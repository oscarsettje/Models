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70149E6-A0A3-4D27-8180-5E8A36039408}" xr6:coauthVersionLast="47" xr6:coauthVersionMax="47" xr10:uidLastSave="{00000000-0000-0000-0000-000000000000}"/>
  <bookViews>
    <workbookView xWindow="19095" yWindow="0" windowWidth="19410" windowHeight="20925" xr2:uid="{CF14C1E9-B064-4373-BF09-286A4179DE2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<sst xmlns="http://schemas.openxmlformats.org/spreadsheetml/2006/main" count="42" uniqueCount="38">
  <si>
    <t>The Mangum Ice Cream Company</t>
  </si>
  <si>
    <t>numbers in mio EUR</t>
  </si>
  <si>
    <t>IR</t>
  </si>
  <si>
    <t>Price</t>
  </si>
  <si>
    <t>Shares</t>
  </si>
  <si>
    <t>MC</t>
  </si>
  <si>
    <t>Cash</t>
  </si>
  <si>
    <t>Debt</t>
  </si>
  <si>
    <t>EV</t>
  </si>
  <si>
    <t>Notes</t>
  </si>
  <si>
    <t>IPO - 8-12-2025</t>
  </si>
  <si>
    <t>Spin-off Unilever</t>
  </si>
  <si>
    <t>Brand</t>
  </si>
  <si>
    <t xml:space="preserve">Magnum </t>
  </si>
  <si>
    <t>Cornetto</t>
  </si>
  <si>
    <t>Walls</t>
  </si>
  <si>
    <t>Ben &amp; Jerries</t>
  </si>
  <si>
    <t>HQ: NE</t>
  </si>
  <si>
    <t>CEO: Peter ter Kulve</t>
  </si>
  <si>
    <t>CFO: Abjijit Bhattacharya</t>
  </si>
  <si>
    <t>20-F Filing:</t>
  </si>
  <si>
    <t>https://www.sec.gov/Archives/edgar/data/2071668/000110465925106340/tm2515841-10_20fr12b.htm</t>
  </si>
  <si>
    <t>History:</t>
  </si>
  <si>
    <t>TAM</t>
  </si>
  <si>
    <t>Main</t>
  </si>
  <si>
    <t>Q225</t>
  </si>
  <si>
    <t>FY22</t>
  </si>
  <si>
    <t>FY23</t>
  </si>
  <si>
    <t>FY24</t>
  </si>
  <si>
    <t>FY25</t>
  </si>
  <si>
    <t>Retail Outlets</t>
  </si>
  <si>
    <t>EM</t>
  </si>
  <si>
    <t>DM</t>
  </si>
  <si>
    <t>Magnum</t>
  </si>
  <si>
    <t>Ben &amp; Jerry</t>
  </si>
  <si>
    <t>H125</t>
  </si>
  <si>
    <t>H224</t>
  </si>
  <si>
    <t>H124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</si>
</sst>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191548</xdr:colOff>
      <xdr:row>56</xdr:row>
      <xdr:rowOff>105603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8D56D7-3679-C484-5420-7AB9061CE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3238500"/>
          <a:ext cx="7506748" cy="593490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27</xdr:col>
      <xdr:colOff>277285</xdr:colOff>
      <xdr:row>47</xdr:row>
      <xdr:rowOff>19708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41F07-8AA7-F93B-797E-A5F599B9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8725" y="2914650"/>
          <a:ext cx="7592485" cy="471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.magnumicecream.com/en/inves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7C7-2301-488B-96C8-8CEEF085AFF6}">
  <dimension ref="A1:P20"/>
  <sheetViews>
    <sheetView tabSelected="1" topLeftCell="B1" zoomScale="200" zoomScaleNormal="200" workbookViewId="0">
      <selection activeCell="B17" sqref="B17"/>
    </sheetView>
  </sheetViews>
  <sheetFormatPr defaultRowHeight="12.75" x14ac:dyDescent="0.2"/>
  <cols>
    <col min="1" max="1" width="4.7109375" customWidth="1"/>
  </cols>
  <sheetData>
    <row r="1" spans="1:10" x14ac:dyDescent="0.2">
      <c r="A1" s="1" t="s">
        <v>0</v>
      </c>
    </row>
    <row r="2" spans="1:10" x14ac:dyDescent="0.2">
      <c r="A2" t="s">
        <v>1</v>
      </c>
    </row>
    <row r="3" spans="1:10" x14ac:dyDescent="0.2">
      <c r="H3" t="s">
        <v>3</v>
      </c>
      <c r="I3">
        <v>13.36</v>
      </c>
    </row>
    <row r="4" spans="1:10" x14ac:dyDescent="0.2">
      <c r="B4" s="3" t="s">
        <v>2</v>
      </c>
      <c r="H4" t="s">
        <v>4</v>
      </c>
      <c r="J4" s="4" t="s">
        <v>25</v>
      </c>
    </row>
    <row r="5" spans="1:10" x14ac:dyDescent="0.2">
      <c r="H5" t="s">
        <v>5</v>
      </c>
    </row>
    <row r="6" spans="1:10" x14ac:dyDescent="0.2">
      <c r="B6" t="s">
        <v>12</v>
      </c>
      <c r="H6" t="s">
        <v>6</v>
      </c>
      <c r="I6">
        <v>49</v>
      </c>
      <c r="J6" s="4" t="s">
        <v>25</v>
      </c>
    </row>
    <row r="7" spans="1:10" x14ac:dyDescent="0.2">
      <c r="B7" t="s">
        <v>13</v>
      </c>
      <c r="H7" t="s">
        <v>7</v>
      </c>
      <c r="I7">
        <f>89+260</f>
        <v>349</v>
      </c>
      <c r="J7" s="4" t="s">
        <v>25</v>
      </c>
    </row>
    <row r="8" spans="1:10" x14ac:dyDescent="0.2">
      <c r="B8" t="s">
        <v>14</v>
      </c>
      <c r="H8" t="s">
        <v>8</v>
      </c>
    </row>
    <row r="9" spans="1:10" x14ac:dyDescent="0.2">
      <c r="B9" t="s">
        <v>15</v>
      </c>
    </row>
    <row r="10" spans="1:10" x14ac:dyDescent="0.2">
      <c r="B10" t="s">
        <v>16</v>
      </c>
    </row>
    <row r="11" spans="1:10" x14ac:dyDescent="0.2">
      <c r="H11" t="s">
        <v>17</v>
      </c>
    </row>
    <row r="12" spans="1:10" x14ac:dyDescent="0.2">
      <c r="H12" t="s">
        <v>18</v>
      </c>
    </row>
    <row r="13" spans="1:10" x14ac:dyDescent="0.2">
      <c r="H13" t="s">
        <v>19</v>
      </c>
    </row>
    <row r="14" spans="1:10" x14ac:dyDescent="0.2">
      <c r="B14" s="2" t="s">
        <v>9</v>
      </c>
    </row>
    <row r="15" spans="1:10" x14ac:dyDescent="0.2">
      <c r="B15" t="s">
        <v>10</v>
      </c>
    </row>
    <row r="16" spans="1:10" x14ac:dyDescent="0.2">
      <c r="B16" t="s">
        <v>11</v>
      </c>
    </row>
    <row r="17" spans="2:16" x14ac:dyDescent="0.2">
      <c r="B17" t="s">
        <v>20</v>
      </c>
    </row>
    <row r="18" spans="2:16" x14ac:dyDescent="0.2">
      <c r="B18" t="s">
        <v>21</v>
      </c>
      <c r="P18" t="s">
        <v>23</v>
      </c>
    </row>
    <row r="20" spans="2:16" x14ac:dyDescent="0.2">
      <c r="B20" t="s">
        <v>22</v>
      </c>
    </row>
  </sheetData>
  <hyperlinks>
    <hyperlink ref="B4" r:id="rId1" xr:uid="{8B67E56F-51F6-4453-9B3C-F9D93A08787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ABAD-E27D-4816-B700-A5DC53679870}">
  <dimension ref="A1:L12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RowHeight="12.75" x14ac:dyDescent="0.2"/>
  <cols>
    <col min="1" max="1" width="5" bestFit="1" customWidth="1"/>
    <col min="2" max="2" width="31" customWidth="1"/>
  </cols>
  <sheetData>
    <row r="1" spans="1:12" x14ac:dyDescent="0.2">
      <c r="A1" s="3" t="s">
        <v>24</v>
      </c>
    </row>
    <row r="2" spans="1:12" x14ac:dyDescent="0.2">
      <c r="C2" s="4" t="s">
        <v>37</v>
      </c>
      <c r="D2" s="4" t="s">
        <v>36</v>
      </c>
      <c r="E2" s="4" t="s">
        <v>35</v>
      </c>
      <c r="F2" s="4"/>
      <c r="G2" s="4"/>
      <c r="H2" s="4"/>
      <c r="I2" s="4" t="s">
        <v>26</v>
      </c>
      <c r="J2" s="4" t="s">
        <v>27</v>
      </c>
      <c r="K2" s="4" t="s">
        <v>28</v>
      </c>
      <c r="L2" s="4" t="s">
        <v>29</v>
      </c>
    </row>
    <row r="3" spans="1:12" x14ac:dyDescent="0.2">
      <c r="B3" t="s">
        <v>30</v>
      </c>
    </row>
    <row r="4" spans="1:12" x14ac:dyDescent="0.2">
      <c r="B4" t="s">
        <v>31</v>
      </c>
      <c r="L4">
        <v>146</v>
      </c>
    </row>
    <row r="5" spans="1:12" x14ac:dyDescent="0.2">
      <c r="B5" t="s">
        <v>32</v>
      </c>
      <c r="L5">
        <v>216</v>
      </c>
    </row>
    <row r="7" spans="1:12" x14ac:dyDescent="0.2">
      <c r="B7" t="s">
        <v>15</v>
      </c>
      <c r="L7">
        <v>2800</v>
      </c>
    </row>
    <row r="8" spans="1:12" x14ac:dyDescent="0.2">
      <c r="B8" t="s">
        <v>33</v>
      </c>
      <c r="L8">
        <v>1800</v>
      </c>
    </row>
    <row r="9" spans="1:12" x14ac:dyDescent="0.2">
      <c r="B9" t="s">
        <v>34</v>
      </c>
      <c r="L9">
        <v>1100</v>
      </c>
    </row>
    <row r="10" spans="1:12" x14ac:dyDescent="0.2">
      <c r="B10" t="s">
        <v>14</v>
      </c>
      <c r="L10">
        <v>700</v>
      </c>
    </row>
    <row r="12" spans="1:12" x14ac:dyDescent="0.2">
      <c r="E12">
        <v>4503</v>
      </c>
    </row>
  </sheetData>
  <hyperlinks>
    <hyperlink ref="A1" location="Main!A1" display="Main" xr:uid="{1053C42B-3D88-4325-9097-6D497CD6B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2025-12-13T09:28:39Z</dcterms:created>
  <dcterms:modified xsi:type="dcterms:W3CDTF">2025-12-13T11:34:30Z</dcterms:modified>
</cp:coreProperties>
</file>