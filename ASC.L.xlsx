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04F795C8-45CC-4C89-AB0A-1762D0B2B51D}" xr6:coauthVersionLast="47" xr6:coauthVersionMax="47" xr10:uidLastSave="{00000000-0000-0000-0000-000000000000}"/>
  <bookViews>
    <workbookView xWindow="19095" yWindow="0" windowWidth="19410" windowHeight="20925" activeTab="1" xr2:uid="{FCC89055-8009-4D10-BE57-380037B28F79}"/>
  </bookViews>
  <sheets>
    <sheet name="Main 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F6" i="1"/>
  <c r="J65" i="2"/>
  <c r="J61" i="2"/>
  <c r="J56" i="2"/>
  <c r="J46" i="2"/>
  <c r="J48" i="2" s="1"/>
  <c r="J39" i="2"/>
  <c r="J37" i="2"/>
  <c r="J21" i="2"/>
  <c r="J19" i="2"/>
  <c r="J16" i="2"/>
  <c r="J29" i="2" s="1"/>
  <c r="J12" i="2"/>
  <c r="J28" i="2"/>
  <c r="J27" i="2"/>
  <c r="F4" i="1"/>
  <c r="H56" i="2"/>
  <c r="G56" i="2"/>
  <c r="I56" i="2"/>
  <c r="H61" i="2"/>
  <c r="H65" i="2" s="1"/>
  <c r="G61" i="2"/>
  <c r="I61" i="2"/>
  <c r="H46" i="2"/>
  <c r="G46" i="2"/>
  <c r="I46" i="2"/>
  <c r="H39" i="2"/>
  <c r="G39" i="2"/>
  <c r="I39" i="2"/>
  <c r="H27" i="2"/>
  <c r="I27" i="2"/>
  <c r="G16" i="2"/>
  <c r="G19" i="2" s="1"/>
  <c r="G21" i="2" s="1"/>
  <c r="H12" i="2"/>
  <c r="H16" i="2" s="1"/>
  <c r="H19" i="2" s="1"/>
  <c r="H21" i="2" s="1"/>
  <c r="I12" i="2"/>
  <c r="I16" i="2" s="1"/>
  <c r="I19" i="2" s="1"/>
  <c r="I21" i="2" s="1"/>
  <c r="F7" i="1" l="1"/>
  <c r="I65" i="2"/>
  <c r="G65" i="2"/>
  <c r="I48" i="2"/>
  <c r="H48" i="2"/>
  <c r="G48" i="2"/>
  <c r="I28" i="2"/>
  <c r="I29" i="2"/>
  <c r="H28" i="2"/>
  <c r="H29" i="2"/>
</calcChain>
</file>

<file path=xl/sharedStrings.xml><?xml version="1.0" encoding="utf-8"?>
<sst xmlns="http://schemas.openxmlformats.org/spreadsheetml/2006/main" count="66" uniqueCount="60">
  <si>
    <t xml:space="preserve">Aosos </t>
  </si>
  <si>
    <t>IR</t>
  </si>
  <si>
    <t xml:space="preserve">Price </t>
  </si>
  <si>
    <t>Shares</t>
  </si>
  <si>
    <t xml:space="preserve">MC </t>
  </si>
  <si>
    <t>Cash</t>
  </si>
  <si>
    <t xml:space="preserve">Debt </t>
  </si>
  <si>
    <t>EV</t>
  </si>
  <si>
    <t xml:space="preserve">Main </t>
  </si>
  <si>
    <t xml:space="preserve">Costumers </t>
  </si>
  <si>
    <t xml:space="preserve">Orders </t>
  </si>
  <si>
    <t xml:space="preserve">Net ABV </t>
  </si>
  <si>
    <t xml:space="preserve">Total Visits </t>
  </si>
  <si>
    <t xml:space="preserve">Conversion </t>
  </si>
  <si>
    <t>Revenue</t>
  </si>
  <si>
    <t>COGS</t>
  </si>
  <si>
    <t xml:space="preserve">Gross Profit </t>
  </si>
  <si>
    <t>Distribution Cost</t>
  </si>
  <si>
    <t xml:space="preserve">Administrative </t>
  </si>
  <si>
    <t xml:space="preserve">Other Income </t>
  </si>
  <si>
    <t xml:space="preserve">Operating Profit </t>
  </si>
  <si>
    <t xml:space="preserve">Interest Income </t>
  </si>
  <si>
    <t xml:space="preserve">Interest Expense </t>
  </si>
  <si>
    <t xml:space="preserve">Pretax Income </t>
  </si>
  <si>
    <t xml:space="preserve">Tax expense </t>
  </si>
  <si>
    <t xml:space="preserve">Net Income </t>
  </si>
  <si>
    <t xml:space="preserve">EPS </t>
  </si>
  <si>
    <t xml:space="preserve">Shares </t>
  </si>
  <si>
    <t>Goodwill &amp; Intangibles</t>
  </si>
  <si>
    <t>PP&amp;E</t>
  </si>
  <si>
    <t>Leases</t>
  </si>
  <si>
    <t xml:space="preserve">Investments </t>
  </si>
  <si>
    <t xml:space="preserve">Other receivables </t>
  </si>
  <si>
    <t xml:space="preserve">Derivatives </t>
  </si>
  <si>
    <t xml:space="preserve">Deferred tax assets </t>
  </si>
  <si>
    <t xml:space="preserve">Non-current assets </t>
  </si>
  <si>
    <t xml:space="preserve">Inventories </t>
  </si>
  <si>
    <t xml:space="preserve">Assets held for sale </t>
  </si>
  <si>
    <t>Trade &amp; other receivables</t>
  </si>
  <si>
    <t>Current tax assets</t>
  </si>
  <si>
    <t xml:space="preserve">Current Assets </t>
  </si>
  <si>
    <t xml:space="preserve">Assets </t>
  </si>
  <si>
    <t xml:space="preserve">Revenue Growth </t>
  </si>
  <si>
    <t xml:space="preserve">Gross Margin </t>
  </si>
  <si>
    <t xml:space="preserve">Operating Margin </t>
  </si>
  <si>
    <t xml:space="preserve">Borrowings </t>
  </si>
  <si>
    <t xml:space="preserve">Lease Liabilties </t>
  </si>
  <si>
    <t xml:space="preserve">Derivative Liabilties </t>
  </si>
  <si>
    <t xml:space="preserve">Provisons </t>
  </si>
  <si>
    <t xml:space="preserve">Trade &amp; other payables </t>
  </si>
  <si>
    <t xml:space="preserve">Lease liabilties </t>
  </si>
  <si>
    <t xml:space="preserve">Derivative liabilties </t>
  </si>
  <si>
    <t xml:space="preserve">Tax Liabilties </t>
  </si>
  <si>
    <t xml:space="preserve">Current Liabilities </t>
  </si>
  <si>
    <t xml:space="preserve">Non Current Liabilties </t>
  </si>
  <si>
    <t xml:space="preserve">Equity </t>
  </si>
  <si>
    <t xml:space="preserve">Equity &amp; Liabilties </t>
  </si>
  <si>
    <t>numbers in mio GBP</t>
  </si>
  <si>
    <t>GMV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</si>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</sst>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/>
    <xf numFmtId="0" fontId="2" fillId="0" borderId="0" xfId="0" applyFont="1"/>
    <xf numFmtId="164" fontId="2" fillId="0" borderId="0" xfId="0" applyNumberFormat="1" applyFont="1"/>
    <xf numFmtId="0" fontId="6" fillId="0" borderId="0" xfId="2" applyFont="1"/>
    <xf numFmtId="10" fontId="2" fillId="0" borderId="0" xfId="0" applyNumberFormat="1" applyFont="1"/>
    <xf numFmtId="9" fontId="2" fillId="0" borderId="0" xfId="0" applyNumberFormat="1" applyFont="1"/>
    <xf numFmtId="9" fontId="2" fillId="0" borderId="0" xfId="1" applyFont="1"/>
    <xf numFmtId="164" fontId="5" fillId="0" borderId="0" xfId="0" applyNumberFormat="1" applyFont="1"/>
    <xf numFmtId="0" fontId="1" fillId="0" borderId="0" xfId="0" applyFont="1"/>
    <xf numFmtId="9" fontId="5" fillId="0" borderId="0" xfId="1" applyFont="1"/>
    <xf numFmtId="164" fontId="1" fillId="0" borderId="0" xfId="0" applyNumberFormat="1" applyFont="1"/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osplc.com/investor-rela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C270-047C-4E77-9CF0-0B64A2E1C8B9}">
  <dimension ref="A1:G10"/>
  <sheetViews>
    <sheetView zoomScale="226" zoomScaleNormal="226" workbookViewId="0">
      <selection activeCell="F3" sqref="F3"/>
    </sheetView>
  </sheetViews>
  <sheetFormatPr defaultRowHeight="12.75" x14ac:dyDescent="0.2"/>
  <cols>
    <col min="1" max="1" width="3.42578125" style="2" customWidth="1"/>
    <col min="2" max="16384" width="9.140625" style="2"/>
  </cols>
  <sheetData>
    <row r="1" spans="1:7" x14ac:dyDescent="0.2">
      <c r="A1" s="1" t="s">
        <v>0</v>
      </c>
    </row>
    <row r="2" spans="1:7" x14ac:dyDescent="0.2">
      <c r="A2" s="2" t="s">
        <v>57</v>
      </c>
      <c r="E2" s="2" t="s">
        <v>2</v>
      </c>
      <c r="F2" s="2">
        <v>2.4350000000000001</v>
      </c>
    </row>
    <row r="3" spans="1:7" x14ac:dyDescent="0.2">
      <c r="E3" s="2" t="s">
        <v>3</v>
      </c>
      <c r="F3" s="3">
        <v>119.294826</v>
      </c>
      <c r="G3" s="12" t="s">
        <v>59</v>
      </c>
    </row>
    <row r="4" spans="1:7" x14ac:dyDescent="0.2">
      <c r="B4" s="4" t="s">
        <v>1</v>
      </c>
      <c r="E4" s="2" t="s">
        <v>4</v>
      </c>
      <c r="F4" s="3">
        <f>+F2*F3</f>
        <v>290.48290130999999</v>
      </c>
    </row>
    <row r="5" spans="1:7" x14ac:dyDescent="0.2">
      <c r="E5" s="2" t="s">
        <v>5</v>
      </c>
      <c r="F5" s="3">
        <v>318.89999999999998</v>
      </c>
      <c r="G5" s="12" t="s">
        <v>59</v>
      </c>
    </row>
    <row r="6" spans="1:7" x14ac:dyDescent="0.2">
      <c r="E6" s="2" t="s">
        <v>6</v>
      </c>
      <c r="F6" s="3">
        <f>407.2+96.4</f>
        <v>503.6</v>
      </c>
      <c r="G6" s="12" t="s">
        <v>59</v>
      </c>
    </row>
    <row r="7" spans="1:7" x14ac:dyDescent="0.2">
      <c r="E7" s="2" t="s">
        <v>7</v>
      </c>
      <c r="F7" s="3">
        <f>+F4-F5+F6</f>
        <v>475.18290131000003</v>
      </c>
    </row>
    <row r="8" spans="1:7" x14ac:dyDescent="0.2">
      <c r="F8" s="3"/>
    </row>
    <row r="9" spans="1:7" x14ac:dyDescent="0.2">
      <c r="F9" s="3"/>
    </row>
    <row r="10" spans="1:7" x14ac:dyDescent="0.2">
      <c r="F10" s="3"/>
    </row>
  </sheetData>
  <hyperlinks>
    <hyperlink ref="B4" r:id="rId1" xr:uid="{233668F1-97B3-476B-ACBE-6F706401F2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DE0F-96D7-4A5E-B61A-8C787FBBE49C}">
  <dimension ref="A1:DA455"/>
  <sheetViews>
    <sheetView tabSelected="1" zoomScale="190" zoomScaleNormal="190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I3" sqref="I3"/>
    </sheetView>
  </sheetViews>
  <sheetFormatPr defaultRowHeight="12.75" x14ac:dyDescent="0.2"/>
  <cols>
    <col min="1" max="1" width="5.85546875" style="2" bestFit="1" customWidth="1"/>
    <col min="2" max="2" width="21.140625" style="2" bestFit="1" customWidth="1"/>
    <col min="3" max="16384" width="9.140625" style="2"/>
  </cols>
  <sheetData>
    <row r="1" spans="1:105" x14ac:dyDescent="0.2">
      <c r="A1" s="4" t="s">
        <v>8</v>
      </c>
    </row>
    <row r="2" spans="1:105" x14ac:dyDescent="0.2">
      <c r="G2" s="2">
        <v>2022</v>
      </c>
      <c r="H2" s="2">
        <v>2023</v>
      </c>
      <c r="I2" s="2">
        <v>2024</v>
      </c>
      <c r="J2" s="2">
        <v>2025</v>
      </c>
    </row>
    <row r="3" spans="1:105" x14ac:dyDescent="0.2">
      <c r="B3" s="9" t="s">
        <v>58</v>
      </c>
      <c r="C3" s="3"/>
      <c r="D3" s="3"/>
      <c r="E3" s="3"/>
      <c r="F3" s="3"/>
      <c r="G3" s="3"/>
      <c r="H3" s="3"/>
      <c r="I3" s="3">
        <v>2817.8</v>
      </c>
      <c r="J3" s="3">
        <v>2456.3000000000002</v>
      </c>
      <c r="K3" s="3"/>
    </row>
    <row r="4" spans="1:105" x14ac:dyDescent="0.2">
      <c r="B4" s="2" t="s">
        <v>9</v>
      </c>
      <c r="D4" s="3"/>
      <c r="E4" s="3"/>
      <c r="F4" s="3"/>
      <c r="G4" s="3"/>
      <c r="H4" s="3">
        <v>23.3</v>
      </c>
      <c r="I4" s="3">
        <v>19.7</v>
      </c>
      <c r="J4" s="3">
        <v>17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105" x14ac:dyDescent="0.2">
      <c r="B5" s="2" t="s">
        <v>10</v>
      </c>
      <c r="D5" s="3"/>
      <c r="E5" s="3"/>
      <c r="F5" s="3"/>
      <c r="G5" s="3"/>
      <c r="H5" s="3">
        <v>83.7</v>
      </c>
      <c r="I5" s="3">
        <v>67.2</v>
      </c>
      <c r="J5" s="3">
        <v>57.3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105" x14ac:dyDescent="0.2">
      <c r="B6" s="2" t="s">
        <v>11</v>
      </c>
      <c r="D6" s="3"/>
      <c r="E6" s="3"/>
      <c r="F6" s="3"/>
      <c r="G6" s="3"/>
      <c r="H6" s="3">
        <v>40.33</v>
      </c>
      <c r="I6" s="3">
        <v>41.07</v>
      </c>
      <c r="J6" s="3">
        <v>43.36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105" x14ac:dyDescent="0.2">
      <c r="B7" s="2" t="s">
        <v>12</v>
      </c>
      <c r="D7" s="3"/>
      <c r="E7" s="3"/>
      <c r="F7" s="3"/>
      <c r="G7" s="3"/>
      <c r="H7" s="3">
        <v>2661.3</v>
      </c>
      <c r="I7" s="3">
        <v>2252.4</v>
      </c>
      <c r="J7" s="3">
        <v>1912.9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105" x14ac:dyDescent="0.2">
      <c r="B8" s="2" t="s">
        <v>13</v>
      </c>
      <c r="H8" s="5">
        <v>3.1E-2</v>
      </c>
      <c r="I8" s="6">
        <v>0.03</v>
      </c>
      <c r="J8" s="6">
        <v>0.03</v>
      </c>
    </row>
    <row r="10" spans="1:105" x14ac:dyDescent="0.2">
      <c r="B10" s="1" t="s">
        <v>14</v>
      </c>
      <c r="C10" s="8"/>
      <c r="D10" s="8"/>
      <c r="E10" s="8"/>
      <c r="F10" s="8"/>
      <c r="G10" s="8"/>
      <c r="H10" s="8">
        <v>3549.5</v>
      </c>
      <c r="I10" s="8">
        <v>2905.8</v>
      </c>
      <c r="J10" s="8">
        <v>2477.8000000000002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5" x14ac:dyDescent="0.2">
      <c r="B11" s="2" t="s">
        <v>15</v>
      </c>
      <c r="C11" s="3"/>
      <c r="D11" s="3"/>
      <c r="E11" s="3"/>
      <c r="F11" s="3"/>
      <c r="G11" s="3"/>
      <c r="H11" s="3">
        <v>2090.5</v>
      </c>
      <c r="I11" s="3">
        <v>1743.3</v>
      </c>
      <c r="J11" s="3">
        <v>1311.1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5" x14ac:dyDescent="0.2">
      <c r="B12" s="2" t="s">
        <v>16</v>
      </c>
      <c r="C12" s="3"/>
      <c r="D12" s="3"/>
      <c r="E12" s="3"/>
      <c r="F12" s="3"/>
      <c r="G12" s="3"/>
      <c r="H12" s="3">
        <f>+H10-H11</f>
        <v>1459</v>
      </c>
      <c r="I12" s="3">
        <f>+I10-I11</f>
        <v>1162.5000000000002</v>
      </c>
      <c r="J12" s="3">
        <f>+J10-J11</f>
        <v>1166.7000000000003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5" x14ac:dyDescent="0.2">
      <c r="B13" s="2" t="s">
        <v>17</v>
      </c>
      <c r="C13" s="3"/>
      <c r="D13" s="3"/>
      <c r="E13" s="3"/>
      <c r="F13" s="3"/>
      <c r="G13" s="3"/>
      <c r="H13" s="3">
        <v>429.7</v>
      </c>
      <c r="I13" s="3">
        <v>326.10000000000002</v>
      </c>
      <c r="J13" s="11">
        <v>262.3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5" x14ac:dyDescent="0.2">
      <c r="B14" s="2" t="s">
        <v>18</v>
      </c>
      <c r="C14" s="3"/>
      <c r="D14" s="3"/>
      <c r="E14" s="3"/>
      <c r="F14" s="3"/>
      <c r="G14" s="3"/>
      <c r="H14" s="3">
        <v>1279.8</v>
      </c>
      <c r="I14" s="3">
        <v>1170.3</v>
      </c>
      <c r="J14" s="11">
        <v>1133.2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5" x14ac:dyDescent="0.2">
      <c r="B15" s="2" t="s">
        <v>19</v>
      </c>
      <c r="C15" s="3"/>
      <c r="D15" s="3"/>
      <c r="E15" s="3"/>
      <c r="F15" s="3"/>
      <c r="G15" s="3"/>
      <c r="H15" s="3">
        <v>2</v>
      </c>
      <c r="I15" s="3">
        <v>2</v>
      </c>
      <c r="J15" s="11">
        <v>16.5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5" x14ac:dyDescent="0.2">
      <c r="B16" s="2" t="s">
        <v>20</v>
      </c>
      <c r="C16" s="3"/>
      <c r="D16" s="3"/>
      <c r="E16" s="3"/>
      <c r="F16" s="3"/>
      <c r="G16" s="3">
        <f t="shared" ref="G16:H16" si="0">+G12-SUM(G13:G14)+G15</f>
        <v>0</v>
      </c>
      <c r="H16" s="3">
        <f t="shared" si="0"/>
        <v>-248.5</v>
      </c>
      <c r="I16" s="3">
        <f>+I12-SUM(I13:I14)+I15</f>
        <v>-331.89999999999986</v>
      </c>
      <c r="J16" s="3">
        <f>+J12-SUM(J13:J14)+J15</f>
        <v>-212.29999999999973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x14ac:dyDescent="0.2">
      <c r="B17" s="2" t="s">
        <v>21</v>
      </c>
      <c r="C17" s="3"/>
      <c r="D17" s="3"/>
      <c r="E17" s="3"/>
      <c r="F17" s="3"/>
      <c r="G17" s="3"/>
      <c r="H17" s="3">
        <v>5</v>
      </c>
      <c r="I17" s="3">
        <v>12</v>
      </c>
      <c r="J17" s="3">
        <v>4.8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x14ac:dyDescent="0.2">
      <c r="B18" s="2" t="s">
        <v>22</v>
      </c>
      <c r="C18" s="3"/>
      <c r="D18" s="3"/>
      <c r="E18" s="3"/>
      <c r="F18" s="3"/>
      <c r="G18" s="3"/>
      <c r="H18" s="3">
        <v>53.2</v>
      </c>
      <c r="I18" s="3">
        <v>59.4</v>
      </c>
      <c r="J18" s="3">
        <v>74.099999999999994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x14ac:dyDescent="0.2">
      <c r="B19" s="2" t="s">
        <v>23</v>
      </c>
      <c r="C19" s="3"/>
      <c r="D19" s="3"/>
      <c r="E19" s="3"/>
      <c r="F19" s="3"/>
      <c r="G19" s="3">
        <f t="shared" ref="G19" si="1">+G16-G18+G17</f>
        <v>0</v>
      </c>
      <c r="H19" s="3">
        <f>+H16-H18+H17</f>
        <v>-296.7</v>
      </c>
      <c r="I19" s="3">
        <f>+I16-I18+I17</f>
        <v>-379.29999999999984</v>
      </c>
      <c r="J19" s="3">
        <f>+J16-J18+J17</f>
        <v>-281.59999999999974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x14ac:dyDescent="0.2">
      <c r="B20" s="2" t="s">
        <v>24</v>
      </c>
      <c r="C20" s="3"/>
      <c r="D20" s="3"/>
      <c r="E20" s="3"/>
      <c r="F20" s="3"/>
      <c r="G20" s="3"/>
      <c r="H20" s="3">
        <v>-73.599999999999994</v>
      </c>
      <c r="I20" s="3">
        <v>-40.6</v>
      </c>
      <c r="J20" s="3">
        <v>16.8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x14ac:dyDescent="0.2">
      <c r="B21" s="2" t="s">
        <v>25</v>
      </c>
      <c r="C21" s="3"/>
      <c r="D21" s="3"/>
      <c r="E21" s="3"/>
      <c r="F21" s="3"/>
      <c r="G21" s="3">
        <f>+G19-G20</f>
        <v>0</v>
      </c>
      <c r="H21" s="3">
        <f>+H19-H20</f>
        <v>-223.1</v>
      </c>
      <c r="I21" s="3">
        <f>+I19-I20</f>
        <v>-338.69999999999982</v>
      </c>
      <c r="J21" s="3">
        <f>+J19-J20</f>
        <v>-298.39999999999975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x14ac:dyDescent="0.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x14ac:dyDescent="0.2">
      <c r="B23" s="2" t="s">
        <v>26</v>
      </c>
      <c r="C23" s="3"/>
      <c r="D23" s="3"/>
      <c r="E23" s="3"/>
      <c r="F23" s="3"/>
      <c r="G23" s="3"/>
      <c r="H23" s="3">
        <v>-2.13</v>
      </c>
      <c r="I23" s="3">
        <v>-2.8439999999999999</v>
      </c>
      <c r="J23" s="3">
        <f>+J21/J24</f>
        <v>-2.5013658178268332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x14ac:dyDescent="0.2">
      <c r="B24" s="2" t="s">
        <v>27</v>
      </c>
      <c r="C24" s="3"/>
      <c r="D24" s="3"/>
      <c r="E24" s="3"/>
      <c r="F24" s="3"/>
      <c r="G24" s="3"/>
      <c r="H24" s="3"/>
      <c r="I24" s="3">
        <v>119.08526000000001</v>
      </c>
      <c r="J24" s="3">
        <v>119.294826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x14ac:dyDescent="0.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x14ac:dyDescent="0.2">
      <c r="B27" s="1" t="s">
        <v>42</v>
      </c>
      <c r="C27" s="8"/>
      <c r="D27" s="8"/>
      <c r="E27" s="8"/>
      <c r="F27" s="8"/>
      <c r="G27" s="8"/>
      <c r="H27" s="10" t="e">
        <f>+H10/G10-1</f>
        <v>#DIV/0!</v>
      </c>
      <c r="I27" s="10">
        <f>+I10/H10-1</f>
        <v>-0.18134948584307642</v>
      </c>
      <c r="J27" s="10">
        <f>+J10/I10-1</f>
        <v>-0.14729162364925319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x14ac:dyDescent="0.2">
      <c r="B28" s="2" t="s">
        <v>43</v>
      </c>
      <c r="C28" s="3"/>
      <c r="D28" s="3"/>
      <c r="E28" s="3"/>
      <c r="F28" s="3"/>
      <c r="G28" s="3"/>
      <c r="H28" s="7">
        <f>+H12/H10</f>
        <v>0.41104380898718129</v>
      </c>
      <c r="I28" s="7">
        <f>+I12/I10</f>
        <v>0.40006194507536658</v>
      </c>
      <c r="J28" s="7">
        <f>+J12/J10</f>
        <v>0.470861247881185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x14ac:dyDescent="0.2">
      <c r="B29" s="2" t="s">
        <v>44</v>
      </c>
      <c r="C29" s="3"/>
      <c r="D29" s="3"/>
      <c r="E29" s="3"/>
      <c r="F29" s="3"/>
      <c r="G29" s="3"/>
      <c r="H29" s="7">
        <f>+H16/H10</f>
        <v>-7.0009860543738561E-2</v>
      </c>
      <c r="I29" s="7">
        <f>+I16/I10</f>
        <v>-0.11421983618968953</v>
      </c>
      <c r="J29" s="7">
        <f>+J16/J10</f>
        <v>-8.5680845911695738E-2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x14ac:dyDescent="0.2">
      <c r="B32" s="2" t="s">
        <v>28</v>
      </c>
      <c r="C32" s="3"/>
      <c r="D32" s="3"/>
      <c r="E32" s="3"/>
      <c r="F32" s="3"/>
      <c r="G32" s="3"/>
      <c r="H32" s="3">
        <v>700.5</v>
      </c>
      <c r="I32" s="3">
        <v>514</v>
      </c>
      <c r="J32" s="3">
        <v>473.6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x14ac:dyDescent="0.2">
      <c r="B33" s="2" t="s">
        <v>29</v>
      </c>
      <c r="C33" s="3"/>
      <c r="D33" s="3"/>
      <c r="E33" s="3"/>
      <c r="F33" s="3"/>
      <c r="G33" s="3"/>
      <c r="H33" s="3">
        <v>362.6</v>
      </c>
      <c r="I33" s="3">
        <v>283.2</v>
      </c>
      <c r="J33" s="3">
        <v>153.4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x14ac:dyDescent="0.2">
      <c r="B34" s="2" t="s">
        <v>30</v>
      </c>
      <c r="C34" s="3"/>
      <c r="D34" s="3"/>
      <c r="E34" s="3"/>
      <c r="F34" s="3"/>
      <c r="G34" s="3"/>
      <c r="H34" s="3">
        <v>295.2</v>
      </c>
      <c r="I34" s="3">
        <v>254</v>
      </c>
      <c r="J34" s="3">
        <v>172.1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x14ac:dyDescent="0.2">
      <c r="B35" s="2" t="s">
        <v>31</v>
      </c>
      <c r="C35" s="3"/>
      <c r="D35" s="3"/>
      <c r="E35" s="3"/>
      <c r="F35" s="3"/>
      <c r="G35" s="3"/>
      <c r="H35" s="3">
        <v>10.9</v>
      </c>
      <c r="I35" s="3">
        <v>7.1</v>
      </c>
      <c r="J35" s="3">
        <v>6.2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x14ac:dyDescent="0.2">
      <c r="B36" s="2" t="s">
        <v>32</v>
      </c>
      <c r="C36" s="3"/>
      <c r="D36" s="3"/>
      <c r="E36" s="3"/>
      <c r="F36" s="3"/>
      <c r="G36" s="3"/>
      <c r="H36" s="3">
        <v>0</v>
      </c>
      <c r="I36" s="3">
        <v>3.7</v>
      </c>
      <c r="J36" s="3">
        <v>44.9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x14ac:dyDescent="0.2">
      <c r="B37" s="2" t="s">
        <v>33</v>
      </c>
      <c r="C37" s="3"/>
      <c r="D37" s="3"/>
      <c r="E37" s="3"/>
      <c r="F37" s="3"/>
      <c r="G37" s="3"/>
      <c r="H37" s="3">
        <v>4.0999999999999996</v>
      </c>
      <c r="I37" s="3">
        <v>0.3</v>
      </c>
      <c r="J37" s="3">
        <f>1.8+0.1</f>
        <v>1.9000000000000001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x14ac:dyDescent="0.2">
      <c r="B38" s="2" t="s">
        <v>34</v>
      </c>
      <c r="C38" s="3"/>
      <c r="D38" s="3"/>
      <c r="E38" s="3"/>
      <c r="F38" s="3"/>
      <c r="G38" s="3"/>
      <c r="H38" s="3">
        <v>17.8</v>
      </c>
      <c r="I38" s="3">
        <v>62.5</v>
      </c>
      <c r="J38" s="3">
        <v>44.7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x14ac:dyDescent="0.2">
      <c r="B39" s="2" t="s">
        <v>35</v>
      </c>
      <c r="C39" s="3"/>
      <c r="D39" s="3"/>
      <c r="E39" s="3"/>
      <c r="F39" s="3"/>
      <c r="G39" s="3">
        <f t="shared" ref="G39:H39" si="2">+SUM(G32:G38)</f>
        <v>0</v>
      </c>
      <c r="H39" s="3">
        <f t="shared" si="2"/>
        <v>1391.1</v>
      </c>
      <c r="I39" s="3">
        <f>+SUM(I32:I38)</f>
        <v>1124.8</v>
      </c>
      <c r="J39" s="3">
        <f>+SUM(J32:J38)</f>
        <v>896.80000000000007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x14ac:dyDescent="0.2">
      <c r="B40" s="2" t="s">
        <v>36</v>
      </c>
      <c r="C40" s="3"/>
      <c r="D40" s="3"/>
      <c r="E40" s="3"/>
      <c r="F40" s="3"/>
      <c r="G40" s="3"/>
      <c r="H40" s="3">
        <v>780</v>
      </c>
      <c r="I40" s="3">
        <v>520.29999999999995</v>
      </c>
      <c r="J40" s="3">
        <v>402.3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x14ac:dyDescent="0.2">
      <c r="B41" s="2" t="s">
        <v>37</v>
      </c>
      <c r="C41" s="3"/>
      <c r="D41" s="3"/>
      <c r="E41" s="3"/>
      <c r="F41" s="3"/>
      <c r="G41" s="3"/>
      <c r="H41" s="3">
        <v>0</v>
      </c>
      <c r="I41" s="3">
        <v>165.5</v>
      </c>
      <c r="J41" s="3"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x14ac:dyDescent="0.2">
      <c r="B42" s="2" t="s">
        <v>38</v>
      </c>
      <c r="C42" s="3"/>
      <c r="D42" s="3"/>
      <c r="E42" s="3"/>
      <c r="F42" s="3"/>
      <c r="G42" s="3"/>
      <c r="H42" s="3">
        <v>81.400000000000006</v>
      </c>
      <c r="I42" s="3">
        <v>53.4</v>
      </c>
      <c r="J42" s="3">
        <v>49.2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x14ac:dyDescent="0.2">
      <c r="B43" s="2" t="s">
        <v>33</v>
      </c>
      <c r="C43" s="3"/>
      <c r="D43" s="3"/>
      <c r="E43" s="3"/>
      <c r="F43" s="3"/>
      <c r="G43" s="3"/>
      <c r="H43" s="3">
        <v>22.4</v>
      </c>
      <c r="I43" s="3">
        <v>9.5</v>
      </c>
      <c r="J43" s="3">
        <v>1.2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x14ac:dyDescent="0.2">
      <c r="B44" s="2" t="s">
        <v>5</v>
      </c>
      <c r="C44" s="3"/>
      <c r="D44" s="3"/>
      <c r="E44" s="3"/>
      <c r="F44" s="3"/>
      <c r="G44" s="3"/>
      <c r="H44" s="3">
        <v>353.3</v>
      </c>
      <c r="I44" s="3">
        <v>391</v>
      </c>
      <c r="J44" s="3">
        <v>318.89999999999998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x14ac:dyDescent="0.2">
      <c r="B45" s="2" t="s">
        <v>39</v>
      </c>
      <c r="C45" s="3"/>
      <c r="D45" s="3"/>
      <c r="E45" s="3"/>
      <c r="F45" s="3"/>
      <c r="G45" s="3"/>
      <c r="H45" s="3">
        <v>9.4</v>
      </c>
      <c r="I45" s="3">
        <v>6.7</v>
      </c>
      <c r="J45" s="3">
        <v>3.7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x14ac:dyDescent="0.2">
      <c r="B46" s="2" t="s">
        <v>40</v>
      </c>
      <c r="C46" s="3"/>
      <c r="D46" s="3"/>
      <c r="E46" s="3"/>
      <c r="F46" s="3"/>
      <c r="G46" s="3">
        <f t="shared" ref="G46:H46" si="3">+SUM(G40:G45)</f>
        <v>0</v>
      </c>
      <c r="H46" s="3">
        <f t="shared" si="3"/>
        <v>1246.5</v>
      </c>
      <c r="I46" s="3">
        <f>+SUM(I40:I45)</f>
        <v>1146.3999999999999</v>
      </c>
      <c r="J46" s="3">
        <f>+SUM(J40:J45)</f>
        <v>775.3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x14ac:dyDescent="0.2">
      <c r="B48" s="2" t="s">
        <v>41</v>
      </c>
      <c r="C48" s="3"/>
      <c r="D48" s="3"/>
      <c r="E48" s="3"/>
      <c r="F48" s="3"/>
      <c r="G48" s="3">
        <f t="shared" ref="G48:H48" si="4">+G46+G39</f>
        <v>0</v>
      </c>
      <c r="H48" s="3">
        <f t="shared" si="4"/>
        <v>2637.6</v>
      </c>
      <c r="I48" s="3">
        <f>+I46+I39</f>
        <v>2271.1999999999998</v>
      </c>
      <c r="J48" s="3">
        <f>+J46+J39</f>
        <v>1672.1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x14ac:dyDescent="0.2">
      <c r="B50" s="2" t="s">
        <v>49</v>
      </c>
      <c r="C50" s="3"/>
      <c r="D50" s="3"/>
      <c r="E50" s="3"/>
      <c r="F50" s="3"/>
      <c r="G50" s="3"/>
      <c r="H50" s="3">
        <v>680.4</v>
      </c>
      <c r="I50" s="3">
        <v>671.7</v>
      </c>
      <c r="J50" s="3">
        <v>619.29999999999995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x14ac:dyDescent="0.2">
      <c r="B51" s="2" t="s">
        <v>45</v>
      </c>
      <c r="C51" s="3"/>
      <c r="D51" s="3"/>
      <c r="E51" s="3"/>
      <c r="F51" s="3"/>
      <c r="G51" s="3"/>
      <c r="H51" s="3">
        <v>1.5</v>
      </c>
      <c r="I51" s="3">
        <v>1.6</v>
      </c>
      <c r="J51" s="3">
        <v>96.4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x14ac:dyDescent="0.2">
      <c r="B52" s="2" t="s">
        <v>50</v>
      </c>
      <c r="C52" s="3"/>
      <c r="D52" s="3"/>
      <c r="E52" s="3"/>
      <c r="F52" s="3"/>
      <c r="G52" s="3"/>
      <c r="H52" s="3">
        <v>25.3</v>
      </c>
      <c r="I52" s="3">
        <v>27.2</v>
      </c>
      <c r="J52" s="3">
        <v>27.5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x14ac:dyDescent="0.2">
      <c r="B53" s="2" t="s">
        <v>51</v>
      </c>
      <c r="C53" s="3"/>
      <c r="D53" s="3"/>
      <c r="E53" s="3"/>
      <c r="F53" s="3"/>
      <c r="G53" s="3"/>
      <c r="H53" s="3">
        <v>6</v>
      </c>
      <c r="I53" s="3">
        <v>6.6</v>
      </c>
      <c r="J53" s="3">
        <v>9.8000000000000007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x14ac:dyDescent="0.2">
      <c r="B54" s="2" t="s">
        <v>48</v>
      </c>
      <c r="C54" s="3"/>
      <c r="D54" s="3"/>
      <c r="E54" s="3"/>
      <c r="F54" s="3"/>
      <c r="G54" s="3"/>
      <c r="H54" s="3">
        <v>2</v>
      </c>
      <c r="I54" s="3">
        <v>2.7</v>
      </c>
      <c r="J54" s="3">
        <v>4.4000000000000004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x14ac:dyDescent="0.2">
      <c r="B55" s="2" t="s">
        <v>52</v>
      </c>
      <c r="C55" s="3"/>
      <c r="D55" s="3"/>
      <c r="E55" s="3"/>
      <c r="F55" s="3"/>
      <c r="G55" s="3"/>
      <c r="H55" s="3">
        <v>0</v>
      </c>
      <c r="I55" s="3">
        <v>4.2</v>
      </c>
      <c r="J55" s="3"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x14ac:dyDescent="0.2">
      <c r="B56" s="2" t="s">
        <v>53</v>
      </c>
      <c r="C56" s="3"/>
      <c r="D56" s="3"/>
      <c r="E56" s="3"/>
      <c r="F56" s="3"/>
      <c r="G56" s="3">
        <f t="shared" ref="G56:H56" si="5">+SUM(G50:G55)</f>
        <v>0</v>
      </c>
      <c r="H56" s="3">
        <f t="shared" si="5"/>
        <v>715.19999999999993</v>
      </c>
      <c r="I56" s="3">
        <f>+SUM(I50:I55)</f>
        <v>714.00000000000023</v>
      </c>
      <c r="J56" s="3">
        <f>+SUM(J50:J55)</f>
        <v>757.39999999999986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x14ac:dyDescent="0.2">
      <c r="B57" s="2" t="s">
        <v>45</v>
      </c>
      <c r="C57" s="3"/>
      <c r="D57" s="3"/>
      <c r="E57" s="3"/>
      <c r="F57" s="3"/>
      <c r="G57" s="3"/>
      <c r="H57" s="3">
        <v>671.3</v>
      </c>
      <c r="I57" s="3">
        <v>686.5</v>
      </c>
      <c r="J57" s="3">
        <v>407.2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x14ac:dyDescent="0.2">
      <c r="B58" s="2" t="s">
        <v>46</v>
      </c>
      <c r="C58" s="3"/>
      <c r="D58" s="3"/>
      <c r="E58" s="3"/>
      <c r="F58" s="3"/>
      <c r="G58" s="3"/>
      <c r="H58" s="3">
        <v>303.7</v>
      </c>
      <c r="I58" s="3">
        <v>262.39999999999998</v>
      </c>
      <c r="J58" s="3">
        <v>197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x14ac:dyDescent="0.2">
      <c r="B59" s="2" t="s">
        <v>47</v>
      </c>
      <c r="C59" s="3"/>
      <c r="D59" s="3"/>
      <c r="E59" s="3"/>
      <c r="F59" s="3"/>
      <c r="G59" s="3"/>
      <c r="H59" s="3">
        <v>0.5</v>
      </c>
      <c r="I59" s="3">
        <v>0.5</v>
      </c>
      <c r="J59" s="3">
        <v>0.3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x14ac:dyDescent="0.2">
      <c r="B60" s="2" t="s">
        <v>48</v>
      </c>
      <c r="C60" s="3"/>
      <c r="D60" s="3"/>
      <c r="E60" s="3"/>
      <c r="F60" s="3"/>
      <c r="G60" s="3"/>
      <c r="H60" s="3">
        <v>68.2</v>
      </c>
      <c r="I60" s="3">
        <v>86.5</v>
      </c>
      <c r="J60" s="3">
        <v>97.8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x14ac:dyDescent="0.2">
      <c r="B61" s="2" t="s">
        <v>54</v>
      </c>
      <c r="C61" s="3"/>
      <c r="D61" s="3"/>
      <c r="E61" s="3"/>
      <c r="F61" s="3"/>
      <c r="G61" s="3">
        <f t="shared" ref="G61:H61" si="6">+SUM(G57:G60)</f>
        <v>0</v>
      </c>
      <c r="H61" s="3">
        <f t="shared" si="6"/>
        <v>1043.7</v>
      </c>
      <c r="I61" s="3">
        <f>+SUM(I57:I60)</f>
        <v>1035.9000000000001</v>
      </c>
      <c r="J61" s="3">
        <f>+SUM(J57:J60)</f>
        <v>702.3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x14ac:dyDescent="0.2">
      <c r="B63" s="2" t="s">
        <v>55</v>
      </c>
      <c r="C63" s="3"/>
      <c r="D63" s="3"/>
      <c r="E63" s="3"/>
      <c r="F63" s="3"/>
      <c r="G63" s="3"/>
      <c r="H63" s="3">
        <v>866.7</v>
      </c>
      <c r="I63" s="3">
        <v>521.29999999999995</v>
      </c>
      <c r="J63" s="3">
        <v>212.4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x14ac:dyDescent="0.2">
      <c r="B65" s="2" t="s">
        <v>56</v>
      </c>
      <c r="C65" s="3"/>
      <c r="D65" s="3"/>
      <c r="E65" s="3"/>
      <c r="F65" s="3"/>
      <c r="G65" s="3">
        <f t="shared" ref="G65:H65" si="7">+G63+G61+G56</f>
        <v>0</v>
      </c>
      <c r="H65" s="3">
        <f t="shared" si="7"/>
        <v>2625.6</v>
      </c>
      <c r="I65" s="3">
        <f>+I63+I61+I56</f>
        <v>2271.2000000000003</v>
      </c>
      <c r="J65" s="3">
        <f>+J63+J61+J56</f>
        <v>1672.1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3:105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3:105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3:105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3:105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3:105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3:10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3:10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3:10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3:10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3:10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3:10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3:10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3:10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3:10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3:10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3:10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3:10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3:10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3:10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3:10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3:10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3:10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3:10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3:10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3:10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3:10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3:10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3:10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3:10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3:10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3:10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3:10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3:10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3:10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3:10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3:10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3:10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3:10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3:10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3:10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3:10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3:10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3:10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3:10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3:10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3:10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3:10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3:10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3:10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3:10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3:10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3:10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3:10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3:10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3:10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3:10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3:10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3:10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3:10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3:10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3:10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3:10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3:10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3:10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3:10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3:10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3:10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3:10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3:10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3:10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3:10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3:10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3:10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3:10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3:10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3:10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3:10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3:10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3:10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3:10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3:10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3:10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3:10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3:10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3:10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3:10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3:10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3:10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3:10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3:10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3:10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3:10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3:10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3:10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3:10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3:10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3:10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3:10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3:10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3:10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3:10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3:10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3:10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3:10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3:10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3:10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3:10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3:10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3:10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3:10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3:10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3:10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3:10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3:10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3:10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3:10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3:10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3:10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3:10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3:10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3:10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3:10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3:10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3:10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3:10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3:10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3:10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3:10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3:10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3:10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3:10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3:10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3:10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3:10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3:10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3:10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3:10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3:10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3:10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3:10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3:10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3:10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3:10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3:10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3:10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3:10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3:10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3:10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3:10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3:10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3:10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3:10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3:10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3:10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3:10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3:10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3:10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3:10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3:10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3:10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3:10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3:10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3:10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3:10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3:10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3:10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3:10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3:10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3:10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3:10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3:10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3:10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3:10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3:10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3:10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3:10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3:10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3:10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3:10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3:10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3:10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3:10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3:10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3:10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3:10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3:10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3:10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3:10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3:10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3:10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3:10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3:10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3:10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3:10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3:10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3:10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3:10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3:10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3:10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3:10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3:10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3:10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3:10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3:10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3:10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3:10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3:10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3:10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3:10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3:10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3:10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3:10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3:10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3:10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3:10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3:10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3:10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3:10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3:10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3:10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3:10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3:10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3:10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3:10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3:10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3:10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3:10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3:10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3:10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3:10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3:10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3:10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3:10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3:10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3:10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3:10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3:10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3:10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3:10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3:10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3:10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3:10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3:10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3:10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3:10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3:10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3:10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3:10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3:10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3:10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3:10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3:10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3:10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3:10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3:10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3:10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3:10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3:10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3:10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3:10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3:10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3:10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3:10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3:10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3:10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3:10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3:10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3:10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3:10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3:10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3:10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3:10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3:10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3:10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3:10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3:10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3:10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3:10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3:10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3:10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3:10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3:10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3:10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3:10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3:10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3:10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3:10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3:10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3:10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3:10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3:10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3:10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3:10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3:10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3:10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3:10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3:10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3:10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3:10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3:10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3:10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3:10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3:10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3:10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3:10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3:10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3:10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3:10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3:10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3:10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3:10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3:10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3:10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3:10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3:10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3:10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3:10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3:10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3:10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3:10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3:10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3:10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3:10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3:10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3:10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3:10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3:10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3:10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3:10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3:10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3:10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3:10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3:10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3:10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3:10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3:10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3:10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3:10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3:10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3:10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3:10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3:10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3:10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3:10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3:10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3:10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3:10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3:10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3:10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3:10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3:10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3:10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3:10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3:10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3:10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3:10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3:10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3:10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3:10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3:10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3:10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3:10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3:10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3:10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3:10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3:10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3:10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3:10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3:10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3:10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3:10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3:10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3:10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3:10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3:10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</sheetData>
  <hyperlinks>
    <hyperlink ref="A1" location="'Main '!A1" display="Main " xr:uid="{A0F34EE7-3CE5-4299-A68D-7CD124C72E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2025-01-02T17:42:27Z</dcterms:created>
  <dcterms:modified xsi:type="dcterms:W3CDTF">2026-03-25T16:21:25Z</dcterms:modified>
</cp:coreProperties>
</file>