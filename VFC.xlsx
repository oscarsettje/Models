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49B54D7F-CE21-44E3-9D07-422DEA8345E5}" xr6:coauthVersionLast="47" xr6:coauthVersionMax="47" xr10:uidLastSave="{00000000-0000-0000-0000-000000000000}"/>
  <bookViews>
    <workbookView xWindow="19095" yWindow="0" windowWidth="19410" windowHeight="20985" activeTab="1" xr2:uid="{FD9221D3-9194-474F-AA6F-D3A3CA930557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2" l="1"/>
  <c r="O27" i="2"/>
  <c r="O25" i="2"/>
  <c r="O23" i="2"/>
  <c r="O21" i="2"/>
  <c r="O33" i="2" s="1"/>
  <c r="O17" i="2"/>
  <c r="O14" i="2"/>
  <c r="N33" i="2"/>
  <c r="O32" i="2"/>
  <c r="N32" i="2"/>
  <c r="O31" i="2"/>
  <c r="N31" i="2"/>
  <c r="O30" i="2"/>
  <c r="N30" i="2"/>
  <c r="H6" i="1"/>
  <c r="N27" i="2"/>
  <c r="N25" i="2"/>
  <c r="N24" i="2"/>
  <c r="N23" i="2"/>
  <c r="N22" i="2"/>
  <c r="N20" i="2"/>
  <c r="N21" i="2" s="1"/>
  <c r="N19" i="2"/>
  <c r="N18" i="2"/>
  <c r="N17" i="2"/>
  <c r="N16" i="2"/>
  <c r="N15" i="2"/>
  <c r="N14" i="2"/>
  <c r="N13" i="2"/>
  <c r="N12" i="2"/>
  <c r="N11" i="2"/>
  <c r="N10" i="2"/>
  <c r="N9" i="2"/>
  <c r="N5" i="2"/>
  <c r="N4" i="2"/>
  <c r="N3" i="2"/>
  <c r="T14" i="2"/>
  <c r="T17" i="2" s="1"/>
  <c r="T21" i="2" s="1"/>
  <c r="T23" i="2" s="1"/>
  <c r="T25" i="2" s="1"/>
  <c r="T27" i="2" s="1"/>
  <c r="U14" i="2"/>
  <c r="U17" i="2" s="1"/>
  <c r="U21" i="2" s="1"/>
  <c r="U23" i="2" s="1"/>
  <c r="U25" i="2" s="1"/>
  <c r="U27" i="2" s="1"/>
  <c r="V14" i="2"/>
  <c r="V17" i="2" s="1"/>
  <c r="V21" i="2" s="1"/>
  <c r="V23" i="2" s="1"/>
  <c r="V25" i="2" s="1"/>
  <c r="V27" i="2" s="1"/>
  <c r="M30" i="2"/>
  <c r="M14" i="2"/>
  <c r="M17" i="2" s="1"/>
  <c r="K30" i="2"/>
  <c r="J30" i="2"/>
  <c r="I30" i="2"/>
  <c r="H30" i="2"/>
  <c r="G30" i="2"/>
  <c r="L30" i="2"/>
  <c r="L14" i="2"/>
  <c r="L31" i="2" s="1"/>
  <c r="K14" i="2"/>
  <c r="K17" i="2" s="1"/>
  <c r="K32" i="2" l="1"/>
  <c r="K21" i="2"/>
  <c r="M32" i="2"/>
  <c r="M21" i="2"/>
  <c r="M31" i="2"/>
  <c r="K31" i="2"/>
  <c r="L17" i="2"/>
  <c r="J14" i="2"/>
  <c r="H14" i="2"/>
  <c r="G14" i="2"/>
  <c r="F14" i="2"/>
  <c r="E14" i="2"/>
  <c r="D14" i="2"/>
  <c r="C14" i="2"/>
  <c r="I14" i="2"/>
  <c r="H4" i="1"/>
  <c r="H7" i="1" s="1"/>
  <c r="K33" i="2" l="1"/>
  <c r="K23" i="2"/>
  <c r="K25" i="2" s="1"/>
  <c r="K27" i="2" s="1"/>
  <c r="I17" i="2"/>
  <c r="I31" i="2"/>
  <c r="C17" i="2"/>
  <c r="C31" i="2"/>
  <c r="D17" i="2"/>
  <c r="D31" i="2"/>
  <c r="E17" i="2"/>
  <c r="E31" i="2"/>
  <c r="F17" i="2"/>
  <c r="F31" i="2"/>
  <c r="G17" i="2"/>
  <c r="G31" i="2"/>
  <c r="H17" i="2"/>
  <c r="H31" i="2"/>
  <c r="J17" i="2"/>
  <c r="J31" i="2"/>
  <c r="L32" i="2"/>
  <c r="L21" i="2"/>
  <c r="M33" i="2"/>
  <c r="M23" i="2"/>
  <c r="M25" i="2" s="1"/>
  <c r="M27" i="2" s="1"/>
  <c r="L33" i="2" l="1"/>
  <c r="L23" i="2"/>
  <c r="L25" i="2" s="1"/>
  <c r="L27" i="2" s="1"/>
  <c r="J21" i="2"/>
  <c r="J32" i="2"/>
  <c r="H21" i="2"/>
  <c r="H32" i="2"/>
  <c r="G21" i="2"/>
  <c r="G32" i="2"/>
  <c r="F21" i="2"/>
  <c r="F32" i="2"/>
  <c r="E21" i="2"/>
  <c r="E32" i="2"/>
  <c r="D21" i="2"/>
  <c r="D32" i="2"/>
  <c r="C21" i="2"/>
  <c r="C32" i="2"/>
  <c r="I21" i="2"/>
  <c r="I32" i="2"/>
  <c r="I23" i="2" l="1"/>
  <c r="I25" i="2" s="1"/>
  <c r="I27" i="2" s="1"/>
  <c r="I33" i="2"/>
  <c r="C23" i="2"/>
  <c r="C25" i="2" s="1"/>
  <c r="C27" i="2" s="1"/>
  <c r="C33" i="2"/>
  <c r="D23" i="2"/>
  <c r="D25" i="2" s="1"/>
  <c r="D27" i="2" s="1"/>
  <c r="D33" i="2"/>
  <c r="E23" i="2"/>
  <c r="E25" i="2" s="1"/>
  <c r="E27" i="2" s="1"/>
  <c r="E33" i="2"/>
  <c r="F23" i="2"/>
  <c r="F25" i="2" s="1"/>
  <c r="F27" i="2" s="1"/>
  <c r="F33" i="2"/>
  <c r="G23" i="2"/>
  <c r="G25" i="2" s="1"/>
  <c r="G27" i="2" s="1"/>
  <c r="G33" i="2"/>
  <c r="H23" i="2"/>
  <c r="H25" i="2" s="1"/>
  <c r="H27" i="2" s="1"/>
  <c r="H33" i="2"/>
  <c r="J23" i="2"/>
  <c r="J25" i="2" s="1"/>
  <c r="J27" i="2" s="1"/>
  <c r="J33" i="2"/>
</calcChain>
</file>

<file path=xl/sharedStrings.xml><?xml version="1.0" encoding="utf-8"?>
<sst xmlns="http://schemas.openxmlformats.org/spreadsheetml/2006/main" count="69" uniqueCount="65">
  <si>
    <t>VF Corporation</t>
  </si>
  <si>
    <t>VFC</t>
  </si>
  <si>
    <t>IR</t>
  </si>
  <si>
    <t>numbers in mio USD</t>
  </si>
  <si>
    <t>Price</t>
  </si>
  <si>
    <t>Shares</t>
  </si>
  <si>
    <t>MC</t>
  </si>
  <si>
    <t>Cash</t>
  </si>
  <si>
    <t>Debt</t>
  </si>
  <si>
    <t>EV</t>
  </si>
  <si>
    <t>Main</t>
  </si>
  <si>
    <t>Q124</t>
  </si>
  <si>
    <t>Q224</t>
  </si>
  <si>
    <t>Q324</t>
  </si>
  <si>
    <t>Q424</t>
  </si>
  <si>
    <t>Q125</t>
  </si>
  <si>
    <t>Q225</t>
  </si>
  <si>
    <t>Q325</t>
  </si>
  <si>
    <t>Q425</t>
  </si>
  <si>
    <t>Revenues</t>
  </si>
  <si>
    <t>COGS</t>
  </si>
  <si>
    <t>Gross Profit</t>
  </si>
  <si>
    <t>SGA</t>
  </si>
  <si>
    <t>Goowill Impairment</t>
  </si>
  <si>
    <t>Operating Income</t>
  </si>
  <si>
    <t>Interest Income</t>
  </si>
  <si>
    <t>Interest Expense</t>
  </si>
  <si>
    <t>Other Income</t>
  </si>
  <si>
    <t>Pretax Income</t>
  </si>
  <si>
    <t>Tax Expense</t>
  </si>
  <si>
    <t>Net Income from con. Operations</t>
  </si>
  <si>
    <t>Loss from discon. Operations</t>
  </si>
  <si>
    <t>Net Income</t>
  </si>
  <si>
    <t>EPS</t>
  </si>
  <si>
    <t>Wholesale</t>
  </si>
  <si>
    <t>D2C</t>
  </si>
  <si>
    <t>Royalty</t>
  </si>
  <si>
    <t>America</t>
  </si>
  <si>
    <t>Europe</t>
  </si>
  <si>
    <t>Asia Pacific</t>
  </si>
  <si>
    <t>Notes</t>
  </si>
  <si>
    <t>Brands:</t>
  </si>
  <si>
    <t>Other Revenue</t>
  </si>
  <si>
    <t>Q126</t>
  </si>
  <si>
    <t>Q226</t>
  </si>
  <si>
    <t>Q326</t>
  </si>
  <si>
    <t>Q426</t>
  </si>
  <si>
    <t>n.a.</t>
  </si>
  <si>
    <t>Revenue Growth</t>
  </si>
  <si>
    <t>Gross Margin</t>
  </si>
  <si>
    <t>Operating Margin</t>
  </si>
  <si>
    <t>Tax Rate</t>
  </si>
  <si>
    <t>The North Face, Timberland, Vans, Kipling</t>
  </si>
  <si>
    <t xml:space="preserve">Eastpack, JanSport, Dickies, Altra, </t>
  </si>
  <si>
    <t xml:space="preserve">Smartwool, Napapijri, Icebreaker </t>
  </si>
  <si>
    <t>FY25</t>
  </si>
  <si>
    <t>FY26</t>
  </si>
  <si>
    <t>FY24</t>
  </si>
  <si>
    <t>Outdoor Revenue</t>
  </si>
  <si>
    <t>Active Revenue</t>
  </si>
  <si>
    <t>Q127</t>
  </si>
  <si>
    <t>Q227</t>
  </si>
  <si>
    <t>Q327</t>
  </si>
  <si>
    <t>Q427</t>
  </si>
  <si>
    <t>FQ127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</si>
</sst>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#,##0.0;\(#,##0.0\)"/>
    <numFmt numFmtId="166" formatCode="#,##0.00;\(#,##0.00\)"/>
  </numFmts>
  <fonts count="10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9" fontId="9" fillId="0" borderId="0" applyFont="0" applyFill="0" applyBorder="0" applyAlignment="0" applyProtection="0"/>
  </cellStyleXfs>
  <cellXfs count="18">
    <xf numFmtId="0" fontId="0" fillId="0" borderId="0" xfId="0"/>
    <xf numFmtId="0" fontId="6" fillId="0" borderId="0" xfId="0" applyFont="1"/>
    <xf numFmtId="0" fontId="4" fillId="0" borderId="0" xfId="0" applyFont="1"/>
    <xf numFmtId="164" fontId="4" fillId="0" borderId="0" xfId="0" applyNumberFormat="1" applyFont="1"/>
    <xf numFmtId="0" fontId="4" fillId="0" borderId="0" xfId="0" applyFont="1" applyAlignment="1">
      <alignment horizontal="right"/>
    </xf>
    <xf numFmtId="0" fontId="7" fillId="0" borderId="0" xfId="1" applyFont="1"/>
    <xf numFmtId="0" fontId="8" fillId="0" borderId="0" xfId="0" applyFont="1"/>
    <xf numFmtId="165" fontId="4" fillId="0" borderId="0" xfId="0" applyNumberFormat="1" applyFont="1"/>
    <xf numFmtId="165" fontId="6" fillId="0" borderId="0" xfId="0" applyNumberFormat="1" applyFont="1"/>
    <xf numFmtId="166" fontId="4" fillId="0" borderId="0" xfId="0" applyNumberFormat="1" applyFont="1"/>
    <xf numFmtId="165" fontId="3" fillId="0" borderId="0" xfId="0" applyNumberFormat="1" applyFont="1" applyAlignment="1">
      <alignment horizontal="right"/>
    </xf>
    <xf numFmtId="0" fontId="3" fillId="0" borderId="0" xfId="0" applyFont="1"/>
    <xf numFmtId="9" fontId="6" fillId="0" borderId="0" xfId="2" applyFont="1"/>
    <xf numFmtId="9" fontId="4" fillId="0" borderId="0" xfId="2" applyFont="1"/>
    <xf numFmtId="0" fontId="2" fillId="0" borderId="0" xfId="0" applyFont="1" applyAlignment="1">
      <alignment horizontal="right"/>
    </xf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</cellXfs>
  <cellStyles count="3">
    <cellStyle name="Hyperlink" xfId="1" builtinId="8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vfc.com/investo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E3357-E065-4428-904F-B44A426A31A2}">
  <dimension ref="A1:I14"/>
  <sheetViews>
    <sheetView zoomScale="200" zoomScaleNormal="200" workbookViewId="0">
      <selection activeCell="H7" sqref="H7"/>
    </sheetView>
  </sheetViews>
  <sheetFormatPr defaultRowHeight="12.75" x14ac:dyDescent="0.2"/>
  <cols>
    <col min="1" max="1" width="4" style="2" customWidth="1"/>
    <col min="2" max="16384" width="9.140625" style="2"/>
  </cols>
  <sheetData>
    <row r="1" spans="1:9" x14ac:dyDescent="0.2">
      <c r="A1" s="1" t="s">
        <v>0</v>
      </c>
    </row>
    <row r="2" spans="1:9" x14ac:dyDescent="0.2">
      <c r="A2" s="2" t="s">
        <v>3</v>
      </c>
      <c r="G2" s="2" t="s">
        <v>4</v>
      </c>
      <c r="H2" s="2">
        <v>14.5</v>
      </c>
    </row>
    <row r="3" spans="1:9" x14ac:dyDescent="0.2">
      <c r="G3" s="2" t="s">
        <v>5</v>
      </c>
      <c r="H3" s="3">
        <v>393.13457</v>
      </c>
      <c r="I3" s="17" t="s">
        <v>64</v>
      </c>
    </row>
    <row r="4" spans="1:9" x14ac:dyDescent="0.2">
      <c r="B4" s="2" t="s">
        <v>1</v>
      </c>
      <c r="G4" s="2" t="s">
        <v>6</v>
      </c>
      <c r="H4" s="3">
        <f>+H2*H3</f>
        <v>5700.4512649999997</v>
      </c>
    </row>
    <row r="5" spans="1:9" x14ac:dyDescent="0.2">
      <c r="B5" s="5" t="s">
        <v>2</v>
      </c>
      <c r="G5" s="2" t="s">
        <v>7</v>
      </c>
      <c r="H5" s="3">
        <v>670.06299999999999</v>
      </c>
      <c r="I5" s="17" t="s">
        <v>64</v>
      </c>
    </row>
    <row r="6" spans="1:9" x14ac:dyDescent="0.2">
      <c r="G6" s="2" t="s">
        <v>8</v>
      </c>
      <c r="H6" s="3">
        <f>9.688+3003.417</f>
        <v>3013.105</v>
      </c>
      <c r="I6" s="17" t="s">
        <v>64</v>
      </c>
    </row>
    <row r="7" spans="1:9" x14ac:dyDescent="0.2">
      <c r="G7" s="2" t="s">
        <v>9</v>
      </c>
      <c r="H7" s="3">
        <f>+H4-H5+H6</f>
        <v>8043.4932649999992</v>
      </c>
    </row>
    <row r="10" spans="1:9" x14ac:dyDescent="0.2">
      <c r="B10" s="6" t="s">
        <v>40</v>
      </c>
    </row>
    <row r="11" spans="1:9" x14ac:dyDescent="0.2">
      <c r="B11" s="2" t="s">
        <v>41</v>
      </c>
    </row>
    <row r="12" spans="1:9" x14ac:dyDescent="0.2">
      <c r="B12" s="15" t="s">
        <v>52</v>
      </c>
    </row>
    <row r="13" spans="1:9" x14ac:dyDescent="0.2">
      <c r="B13" s="15" t="s">
        <v>53</v>
      </c>
    </row>
    <row r="14" spans="1:9" x14ac:dyDescent="0.2">
      <c r="B14" s="15" t="s">
        <v>54</v>
      </c>
    </row>
  </sheetData>
  <hyperlinks>
    <hyperlink ref="B5" r:id="rId1" xr:uid="{A85C3FC3-30BE-4413-9DAF-3F0FDDEBE7E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FD6D1-E9FA-4061-9239-71EF4FDE7FAB}">
  <dimension ref="A1:HC252"/>
  <sheetViews>
    <sheetView tabSelected="1" zoomScale="200" zoomScaleNormal="200" workbookViewId="0">
      <pane xSplit="2" ySplit="2" topLeftCell="K3" activePane="bottomRight" state="frozen"/>
      <selection pane="topRight" activeCell="C1" sqref="C1"/>
      <selection pane="bottomLeft" activeCell="A3" sqref="A3"/>
      <selection pane="bottomRight" activeCell="K9" sqref="K9"/>
    </sheetView>
  </sheetViews>
  <sheetFormatPr defaultRowHeight="12.75" x14ac:dyDescent="0.2"/>
  <cols>
    <col min="1" max="1" width="5.42578125" style="2" bestFit="1" customWidth="1"/>
    <col min="2" max="2" width="28" style="2" customWidth="1"/>
    <col min="3" max="16384" width="9.140625" style="2"/>
  </cols>
  <sheetData>
    <row r="1" spans="1:211" x14ac:dyDescent="0.2">
      <c r="A1" s="5" t="s">
        <v>10</v>
      </c>
    </row>
    <row r="2" spans="1:211" x14ac:dyDescent="0.2"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4" t="s">
        <v>18</v>
      </c>
      <c r="K2" s="4" t="s">
        <v>43</v>
      </c>
      <c r="L2" s="4" t="s">
        <v>44</v>
      </c>
      <c r="M2" s="4" t="s">
        <v>45</v>
      </c>
      <c r="N2" s="4" t="s">
        <v>46</v>
      </c>
      <c r="O2" s="17" t="s">
        <v>60</v>
      </c>
      <c r="P2" s="17" t="s">
        <v>61</v>
      </c>
      <c r="Q2" s="17" t="s">
        <v>62</v>
      </c>
      <c r="R2" s="17" t="s">
        <v>63</v>
      </c>
      <c r="T2" s="14" t="s">
        <v>57</v>
      </c>
      <c r="U2" s="14" t="s">
        <v>55</v>
      </c>
      <c r="V2" s="14" t="s">
        <v>56</v>
      </c>
    </row>
    <row r="3" spans="1:211" x14ac:dyDescent="0.2">
      <c r="B3" s="2" t="s">
        <v>37</v>
      </c>
      <c r="C3" s="7"/>
      <c r="D3" s="7"/>
      <c r="E3" s="7">
        <v>1486.0060000000001</v>
      </c>
      <c r="F3" s="7">
        <v>1061.9000000000001</v>
      </c>
      <c r="G3" s="7">
        <v>975.66899999999998</v>
      </c>
      <c r="H3" s="7">
        <v>1355.8579999999999</v>
      </c>
      <c r="I3" s="7">
        <v>1506.722</v>
      </c>
      <c r="J3" s="7">
        <v>995.2</v>
      </c>
      <c r="K3" s="7">
        <v>937.59799999999996</v>
      </c>
      <c r="L3" s="7">
        <v>1343.492</v>
      </c>
      <c r="M3" s="7">
        <v>1538.6579999999999</v>
      </c>
      <c r="N3" s="7">
        <f>+V3-SUM(K3:M3)</f>
        <v>1010.346</v>
      </c>
      <c r="O3" s="7">
        <v>895.50099999999998</v>
      </c>
      <c r="P3" s="7"/>
      <c r="Q3" s="7"/>
      <c r="R3" s="7"/>
      <c r="S3" s="7"/>
      <c r="T3" s="7">
        <v>5152.7579999999998</v>
      </c>
      <c r="U3" s="7">
        <v>4833.5249999999996</v>
      </c>
      <c r="V3" s="7">
        <v>4830.0940000000001</v>
      </c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</row>
    <row r="4" spans="1:211" x14ac:dyDescent="0.2">
      <c r="B4" s="2" t="s">
        <v>38</v>
      </c>
      <c r="C4" s="7"/>
      <c r="D4" s="7"/>
      <c r="E4" s="7">
        <v>883.00599999999997</v>
      </c>
      <c r="F4" s="7">
        <v>849.6</v>
      </c>
      <c r="G4" s="7">
        <v>532.33600000000001</v>
      </c>
      <c r="H4" s="7">
        <v>1009.5549999999999</v>
      </c>
      <c r="I4" s="7">
        <v>894.24199999999996</v>
      </c>
      <c r="J4" s="7">
        <v>812.3</v>
      </c>
      <c r="K4" s="7">
        <v>551.26300000000003</v>
      </c>
      <c r="L4" s="7">
        <v>1072.655</v>
      </c>
      <c r="M4" s="7">
        <v>928.74</v>
      </c>
      <c r="N4" s="7">
        <f>+V4-SUM(K4:M4)</f>
        <v>819.26199999999972</v>
      </c>
      <c r="O4" s="7">
        <v>511.14600000000002</v>
      </c>
      <c r="P4" s="7"/>
      <c r="Q4" s="7"/>
      <c r="R4" s="7"/>
      <c r="S4" s="7"/>
      <c r="T4" s="7">
        <v>3339.6559999999999</v>
      </c>
      <c r="U4" s="7">
        <v>3248.4609999999998</v>
      </c>
      <c r="V4" s="7">
        <v>3371.92</v>
      </c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</row>
    <row r="5" spans="1:211" x14ac:dyDescent="0.2">
      <c r="B5" s="2" t="s">
        <v>39</v>
      </c>
      <c r="C5" s="7"/>
      <c r="D5" s="7"/>
      <c r="E5" s="7">
        <v>411.18200000000002</v>
      </c>
      <c r="F5" s="7">
        <v>335.8</v>
      </c>
      <c r="G5" s="7">
        <v>261.02499999999998</v>
      </c>
      <c r="H5" s="7">
        <v>392.53500000000003</v>
      </c>
      <c r="I5" s="7">
        <v>432.94799999999998</v>
      </c>
      <c r="J5" s="7">
        <v>336.2</v>
      </c>
      <c r="K5" s="7">
        <v>271.80500000000001</v>
      </c>
      <c r="L5" s="7">
        <v>386.55900000000003</v>
      </c>
      <c r="M5" s="7">
        <v>408.40300000000002</v>
      </c>
      <c r="N5" s="7">
        <f>+V5-SUM(K5:M5)</f>
        <v>336.42599999999993</v>
      </c>
      <c r="O5" s="7">
        <v>262.73200000000003</v>
      </c>
      <c r="P5" s="7"/>
      <c r="Q5" s="7"/>
      <c r="R5" s="7"/>
      <c r="S5" s="7"/>
      <c r="T5" s="7">
        <v>1403.2639999999999</v>
      </c>
      <c r="U5" s="7">
        <v>1422.7049999999999</v>
      </c>
      <c r="V5" s="7">
        <v>1403.193</v>
      </c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</row>
    <row r="6" spans="1:211" x14ac:dyDescent="0.2">
      <c r="B6" s="15" t="s">
        <v>58</v>
      </c>
      <c r="C6" s="7"/>
      <c r="D6" s="7"/>
      <c r="E6" s="7"/>
      <c r="F6" s="7"/>
      <c r="G6" s="7"/>
      <c r="H6" s="7"/>
      <c r="I6" s="7"/>
      <c r="J6" s="7"/>
      <c r="K6" s="7">
        <v>812.46600000000001</v>
      </c>
      <c r="L6" s="7"/>
      <c r="M6" s="7"/>
      <c r="N6" s="7"/>
      <c r="O6" s="7">
        <v>856.97900000000004</v>
      </c>
      <c r="P6" s="7"/>
      <c r="Q6" s="7"/>
      <c r="R6" s="7"/>
      <c r="S6" s="7"/>
      <c r="T6" s="7">
        <v>5230.2870000000003</v>
      </c>
      <c r="U6" s="7">
        <v>5311.0609999999997</v>
      </c>
      <c r="V6" s="7">
        <v>5741.7920000000004</v>
      </c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</row>
    <row r="7" spans="1:211" x14ac:dyDescent="0.2">
      <c r="B7" s="16" t="s">
        <v>59</v>
      </c>
      <c r="C7" s="7"/>
      <c r="D7" s="7"/>
      <c r="E7" s="7"/>
      <c r="F7" s="7"/>
      <c r="G7" s="7"/>
      <c r="H7" s="7"/>
      <c r="I7" s="7"/>
      <c r="J7" s="7"/>
      <c r="K7" s="7">
        <v>699.68700000000001</v>
      </c>
      <c r="L7" s="7"/>
      <c r="M7" s="7"/>
      <c r="N7" s="7"/>
      <c r="O7" s="7">
        <v>667.303</v>
      </c>
      <c r="P7" s="7"/>
      <c r="Q7" s="7"/>
      <c r="R7" s="7"/>
      <c r="S7" s="7"/>
      <c r="T7" s="7">
        <v>3327.6120000000001</v>
      </c>
      <c r="U7" s="7">
        <v>2914.3069999999998</v>
      </c>
      <c r="V7" s="7">
        <v>2720.9670000000001</v>
      </c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</row>
    <row r="8" spans="1:211" x14ac:dyDescent="0.2">
      <c r="B8" s="2" t="s">
        <v>42</v>
      </c>
      <c r="C8" s="7"/>
      <c r="D8" s="7"/>
      <c r="E8" s="7"/>
      <c r="F8" s="7">
        <v>297.89999999999998</v>
      </c>
      <c r="G8" s="7"/>
      <c r="H8" s="10" t="s">
        <v>47</v>
      </c>
      <c r="I8" s="7"/>
      <c r="J8" s="7">
        <v>301.5</v>
      </c>
      <c r="K8" s="10">
        <v>238.51300000000001</v>
      </c>
      <c r="L8" s="10" t="s">
        <v>47</v>
      </c>
      <c r="M8" s="7">
        <v>392.2</v>
      </c>
      <c r="N8" s="7">
        <f>+V8-SUM(K8:M8)</f>
        <v>511.73500000000013</v>
      </c>
      <c r="O8" s="7">
        <v>145.09700000000001</v>
      </c>
      <c r="P8" s="7"/>
      <c r="Q8" s="7"/>
      <c r="R8" s="7"/>
      <c r="S8" s="7"/>
      <c r="T8" s="7">
        <v>1357.779</v>
      </c>
      <c r="U8" s="7">
        <v>1279.3230000000001</v>
      </c>
      <c r="V8" s="7">
        <v>1142.4480000000001</v>
      </c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</row>
    <row r="9" spans="1:211" x14ac:dyDescent="0.2">
      <c r="B9" s="2" t="s">
        <v>34</v>
      </c>
      <c r="C9" s="7"/>
      <c r="D9" s="7"/>
      <c r="E9" s="7">
        <v>1156.502</v>
      </c>
      <c r="F9" s="7">
        <v>967.6</v>
      </c>
      <c r="G9" s="7">
        <v>1013.774</v>
      </c>
      <c r="H9" s="7">
        <v>1827.796</v>
      </c>
      <c r="I9" s="7">
        <v>1250.9369999999999</v>
      </c>
      <c r="J9" s="7">
        <v>920.8</v>
      </c>
      <c r="K9" s="7">
        <v>1024.5060000000001</v>
      </c>
      <c r="L9" s="7">
        <v>1876.9469999999999</v>
      </c>
      <c r="M9" s="7">
        <v>1237.443</v>
      </c>
      <c r="N9" s="7">
        <f>+V9-SUM(K9:M9)</f>
        <v>1204.7470000000003</v>
      </c>
      <c r="O9" s="7">
        <v>924.75199999999995</v>
      </c>
      <c r="P9" s="7"/>
      <c r="Q9" s="7"/>
      <c r="R9" s="7"/>
      <c r="S9" s="7"/>
      <c r="T9" s="7">
        <v>5422.0169999999998</v>
      </c>
      <c r="U9" s="7">
        <v>5300.0940000000001</v>
      </c>
      <c r="V9" s="7">
        <v>5343.643</v>
      </c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</row>
    <row r="10" spans="1:211" x14ac:dyDescent="0.2">
      <c r="B10" s="2" t="s">
        <v>35</v>
      </c>
      <c r="C10" s="7"/>
      <c r="D10" s="7"/>
      <c r="E10" s="7">
        <v>1606.1969999999999</v>
      </c>
      <c r="F10" s="7">
        <v>1279.7</v>
      </c>
      <c r="G10" s="7">
        <v>740.95500000000004</v>
      </c>
      <c r="H10" s="7">
        <v>914.93700000000001</v>
      </c>
      <c r="I10" s="7">
        <v>1565.569</v>
      </c>
      <c r="J10" s="7">
        <v>1223</v>
      </c>
      <c r="K10" s="7">
        <v>720.66300000000001</v>
      </c>
      <c r="L10" s="7">
        <v>909.86099999999999</v>
      </c>
      <c r="M10" s="7">
        <v>1626.002</v>
      </c>
      <c r="N10" s="7">
        <f>+V10-SUM(K10:M10)</f>
        <v>955.34299999999985</v>
      </c>
      <c r="O10" s="7">
        <v>738.39099999999996</v>
      </c>
      <c r="P10" s="7"/>
      <c r="Q10" s="7"/>
      <c r="R10" s="7"/>
      <c r="S10" s="7"/>
      <c r="T10" s="7">
        <v>4426.5879999999997</v>
      </c>
      <c r="U10" s="7">
        <v>4142.2749999999996</v>
      </c>
      <c r="V10" s="7">
        <v>4211.8689999999997</v>
      </c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</row>
    <row r="11" spans="1:211" x14ac:dyDescent="0.2">
      <c r="B11" s="2" t="s">
        <v>36</v>
      </c>
      <c r="C11" s="7"/>
      <c r="D11" s="7"/>
      <c r="E11" s="7">
        <v>17.495000000000001</v>
      </c>
      <c r="F11" s="7">
        <v>0</v>
      </c>
      <c r="G11" s="7">
        <v>14.331</v>
      </c>
      <c r="H11" s="7">
        <v>15.215</v>
      </c>
      <c r="I11" s="7">
        <v>17.405999999999999</v>
      </c>
      <c r="J11" s="7">
        <v>0</v>
      </c>
      <c r="K11" s="7">
        <v>15.497</v>
      </c>
      <c r="L11" s="7">
        <v>15.898</v>
      </c>
      <c r="M11" s="7">
        <v>12.356</v>
      </c>
      <c r="N11" s="7">
        <f>+V11-SUM(K11:M11)</f>
        <v>5.9440000000000026</v>
      </c>
      <c r="O11" s="7">
        <v>6.2359999999999998</v>
      </c>
      <c r="P11" s="7"/>
      <c r="Q11" s="7"/>
      <c r="R11" s="7"/>
      <c r="S11" s="7"/>
      <c r="T11" s="7">
        <v>67.072999999999993</v>
      </c>
      <c r="U11" s="7">
        <v>62.322000000000003</v>
      </c>
      <c r="V11" s="7">
        <v>49.695</v>
      </c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</row>
    <row r="12" spans="1:211" x14ac:dyDescent="0.2">
      <c r="B12" s="1" t="s">
        <v>19</v>
      </c>
      <c r="C12" s="8"/>
      <c r="D12" s="8"/>
      <c r="E12" s="8">
        <v>2780.194</v>
      </c>
      <c r="F12" s="8">
        <v>2247.2979999999998</v>
      </c>
      <c r="G12" s="8">
        <v>1769.06</v>
      </c>
      <c r="H12" s="8">
        <v>2757.9479999999999</v>
      </c>
      <c r="I12" s="8">
        <v>2833.9119999999998</v>
      </c>
      <c r="J12" s="8">
        <v>2143.7710000000002</v>
      </c>
      <c r="K12" s="8">
        <v>1760.6659999999999</v>
      </c>
      <c r="L12" s="8">
        <v>2802.7060000000001</v>
      </c>
      <c r="M12" s="8">
        <v>2875.8009999999999</v>
      </c>
      <c r="N12" s="8">
        <f>+V12-SUM(K12:M12)</f>
        <v>2166.0339999999997</v>
      </c>
      <c r="O12" s="8">
        <v>1669.3789999999999</v>
      </c>
      <c r="P12" s="7"/>
      <c r="Q12" s="7"/>
      <c r="R12" s="7"/>
      <c r="S12" s="8"/>
      <c r="T12" s="8">
        <v>9915.6779999999999</v>
      </c>
      <c r="U12" s="8">
        <v>9504.6910000000007</v>
      </c>
      <c r="V12" s="8">
        <v>9605.2070000000003</v>
      </c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</row>
    <row r="13" spans="1:211" x14ac:dyDescent="0.2">
      <c r="B13" s="2" t="s">
        <v>20</v>
      </c>
      <c r="C13" s="7"/>
      <c r="D13" s="7"/>
      <c r="E13" s="7">
        <v>1261.1880000000001</v>
      </c>
      <c r="F13" s="7">
        <v>1172.3620000000001</v>
      </c>
      <c r="G13" s="7">
        <v>863.38199999999995</v>
      </c>
      <c r="H13" s="7">
        <v>1317.3910000000001</v>
      </c>
      <c r="I13" s="7">
        <v>1238.7380000000001</v>
      </c>
      <c r="J13" s="7">
        <v>1001.3150000000001</v>
      </c>
      <c r="K13" s="7">
        <v>811.66399999999999</v>
      </c>
      <c r="L13" s="7">
        <v>1340.2619999999999</v>
      </c>
      <c r="M13" s="7">
        <v>1247.46</v>
      </c>
      <c r="N13" s="7">
        <f>+V13-SUM(K13:M13)</f>
        <v>944.10600000000022</v>
      </c>
      <c r="O13" s="7">
        <v>752.33500000000004</v>
      </c>
      <c r="P13" s="7"/>
      <c r="Q13" s="7"/>
      <c r="R13" s="7"/>
      <c r="S13" s="7"/>
      <c r="T13" s="7">
        <v>4803.3779999999997</v>
      </c>
      <c r="U13" s="7">
        <v>4420.826</v>
      </c>
      <c r="V13" s="7">
        <v>4343.4920000000002</v>
      </c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</row>
    <row r="14" spans="1:211" x14ac:dyDescent="0.2">
      <c r="B14" s="2" t="s">
        <v>21</v>
      </c>
      <c r="C14" s="7">
        <f t="shared" ref="C14:H14" si="0">+C12-C13</f>
        <v>0</v>
      </c>
      <c r="D14" s="7">
        <f t="shared" si="0"/>
        <v>0</v>
      </c>
      <c r="E14" s="7">
        <f t="shared" si="0"/>
        <v>1519.0059999999999</v>
      </c>
      <c r="F14" s="7">
        <f t="shared" si="0"/>
        <v>1074.9359999999997</v>
      </c>
      <c r="G14" s="7">
        <f t="shared" si="0"/>
        <v>905.678</v>
      </c>
      <c r="H14" s="7">
        <f t="shared" si="0"/>
        <v>1440.5569999999998</v>
      </c>
      <c r="I14" s="7">
        <f>+I12-I13</f>
        <v>1595.1739999999998</v>
      </c>
      <c r="J14" s="7">
        <f t="shared" ref="J14:O14" si="1">+J12-J13</f>
        <v>1142.4560000000001</v>
      </c>
      <c r="K14" s="7">
        <f t="shared" si="1"/>
        <v>949.00199999999995</v>
      </c>
      <c r="L14" s="7">
        <f t="shared" si="1"/>
        <v>1462.4440000000002</v>
      </c>
      <c r="M14" s="7">
        <f t="shared" si="1"/>
        <v>1628.3409999999999</v>
      </c>
      <c r="N14" s="7">
        <f t="shared" si="1"/>
        <v>1221.9279999999994</v>
      </c>
      <c r="O14" s="7">
        <f t="shared" si="1"/>
        <v>917.04399999999987</v>
      </c>
      <c r="P14" s="7"/>
      <c r="Q14" s="7"/>
      <c r="R14" s="7"/>
      <c r="S14" s="7"/>
      <c r="T14" s="7">
        <f>+T12-T13</f>
        <v>5112.3</v>
      </c>
      <c r="U14" s="7">
        <f>+U12-U13</f>
        <v>5083.8650000000007</v>
      </c>
      <c r="V14" s="7">
        <f>+V12-V13</f>
        <v>5261.7150000000001</v>
      </c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</row>
    <row r="15" spans="1:211" x14ac:dyDescent="0.2">
      <c r="B15" s="2" t="s">
        <v>22</v>
      </c>
      <c r="C15" s="7"/>
      <c r="D15" s="7"/>
      <c r="E15" s="7">
        <v>1353.152</v>
      </c>
      <c r="F15" s="7">
        <v>1197.8489999999999</v>
      </c>
      <c r="G15" s="7">
        <v>1028.6980000000001</v>
      </c>
      <c r="H15" s="7">
        <v>1166.654</v>
      </c>
      <c r="I15" s="7">
        <v>1318.3969999999999</v>
      </c>
      <c r="J15" s="7">
        <v>1177.1010000000001</v>
      </c>
      <c r="K15" s="7">
        <v>1035.6110000000001</v>
      </c>
      <c r="L15" s="7">
        <v>1149.8240000000001</v>
      </c>
      <c r="M15" s="7">
        <v>1308.5709999999999</v>
      </c>
      <c r="N15" s="7">
        <f>+V15-SUM(K15:M15)</f>
        <v>1160.424</v>
      </c>
      <c r="O15" s="7">
        <v>1000.116</v>
      </c>
      <c r="P15" s="7"/>
      <c r="Q15" s="7"/>
      <c r="R15" s="7"/>
      <c r="S15" s="7"/>
      <c r="T15" s="7">
        <v>4748.6689999999999</v>
      </c>
      <c r="U15" s="7">
        <v>4690.8500000000004</v>
      </c>
      <c r="V15" s="7">
        <v>4654.43</v>
      </c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</row>
    <row r="16" spans="1:211" x14ac:dyDescent="0.2">
      <c r="B16" s="2" t="s">
        <v>23</v>
      </c>
      <c r="C16" s="7"/>
      <c r="D16" s="7"/>
      <c r="E16" s="7">
        <v>257.096</v>
      </c>
      <c r="F16" s="7">
        <v>250.47</v>
      </c>
      <c r="G16" s="7">
        <v>0</v>
      </c>
      <c r="H16" s="7">
        <v>0</v>
      </c>
      <c r="I16" s="7">
        <v>51</v>
      </c>
      <c r="J16" s="7">
        <v>38.241999999999997</v>
      </c>
      <c r="K16" s="7">
        <v>0</v>
      </c>
      <c r="L16" s="7">
        <v>0</v>
      </c>
      <c r="M16" s="7">
        <v>30.716000000000001</v>
      </c>
      <c r="N16" s="7">
        <f>+V16-SUM(K16:M16)</f>
        <v>0</v>
      </c>
      <c r="O16" s="7">
        <v>0</v>
      </c>
      <c r="P16" s="7"/>
      <c r="Q16" s="7"/>
      <c r="R16" s="7"/>
      <c r="S16" s="7"/>
      <c r="T16" s="7">
        <v>507.56599999999997</v>
      </c>
      <c r="U16" s="7">
        <v>89.242000000000004</v>
      </c>
      <c r="V16" s="7">
        <v>30.716000000000001</v>
      </c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</row>
    <row r="17" spans="2:211" x14ac:dyDescent="0.2">
      <c r="B17" s="2" t="s">
        <v>24</v>
      </c>
      <c r="C17" s="7">
        <f t="shared" ref="C17" si="2">+C14-C15-C16</f>
        <v>0</v>
      </c>
      <c r="D17" s="7">
        <f t="shared" ref="D17" si="3">+D14-D15-D16</f>
        <v>0</v>
      </c>
      <c r="E17" s="7">
        <f t="shared" ref="E17:H17" si="4">+E14-E15-E16</f>
        <v>-91.242000000000189</v>
      </c>
      <c r="F17" s="7">
        <f t="shared" si="4"/>
        <v>-373.38300000000027</v>
      </c>
      <c r="G17" s="7">
        <f t="shared" si="4"/>
        <v>-123.0200000000001</v>
      </c>
      <c r="H17" s="7">
        <f t="shared" si="4"/>
        <v>273.90299999999979</v>
      </c>
      <c r="I17" s="7">
        <f>+I14-I15-I16</f>
        <v>225.77699999999982</v>
      </c>
      <c r="J17" s="7">
        <f t="shared" ref="J17:O17" si="5">+J14-J15-J16</f>
        <v>-72.886999999999972</v>
      </c>
      <c r="K17" s="7">
        <f t="shared" si="5"/>
        <v>-86.609000000000151</v>
      </c>
      <c r="L17" s="7">
        <f t="shared" si="5"/>
        <v>312.62000000000012</v>
      </c>
      <c r="M17" s="7">
        <f t="shared" si="5"/>
        <v>289.05399999999997</v>
      </c>
      <c r="N17" s="7">
        <f t="shared" si="5"/>
        <v>61.503999999999451</v>
      </c>
      <c r="O17" s="7">
        <f t="shared" si="5"/>
        <v>-83.072000000000116</v>
      </c>
      <c r="P17" s="7"/>
      <c r="Q17" s="7"/>
      <c r="R17" s="7"/>
      <c r="S17" s="7"/>
      <c r="T17" s="7">
        <f t="shared" ref="T17:V17" si="6">+T14-T15-T16</f>
        <v>-143.93499999999966</v>
      </c>
      <c r="U17" s="7">
        <f t="shared" si="6"/>
        <v>303.77300000000031</v>
      </c>
      <c r="V17" s="7">
        <f t="shared" si="6"/>
        <v>576.56899999999985</v>
      </c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</row>
    <row r="18" spans="2:211" x14ac:dyDescent="0.2">
      <c r="B18" s="2" t="s">
        <v>25</v>
      </c>
      <c r="C18" s="7"/>
      <c r="D18" s="7"/>
      <c r="E18" s="7">
        <v>3.5649999999999999</v>
      </c>
      <c r="F18" s="7">
        <v>0</v>
      </c>
      <c r="G18" s="7">
        <v>3.395</v>
      </c>
      <c r="H18" s="7">
        <v>3.6779999999999999</v>
      </c>
      <c r="I18" s="7">
        <v>6.8259999999999996</v>
      </c>
      <c r="J18" s="7">
        <v>0</v>
      </c>
      <c r="K18" s="7">
        <v>2.5179999999999998</v>
      </c>
      <c r="L18" s="7">
        <v>3.4079999999999999</v>
      </c>
      <c r="M18" s="7">
        <v>5.1360000000000001</v>
      </c>
      <c r="N18" s="7">
        <f>+V18-SUM(K18:M18)</f>
        <v>6.9659999999999975</v>
      </c>
      <c r="O18" s="7">
        <v>5.8070000000000004</v>
      </c>
      <c r="P18" s="7"/>
      <c r="Q18" s="7"/>
      <c r="R18" s="7"/>
      <c r="S18" s="7"/>
      <c r="T18" s="7">
        <v>20.245999999999999</v>
      </c>
      <c r="U18" s="7">
        <v>24.783000000000001</v>
      </c>
      <c r="V18" s="7">
        <v>18.027999999999999</v>
      </c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</row>
    <row r="19" spans="2:211" x14ac:dyDescent="0.2">
      <c r="B19" s="2" t="s">
        <v>26</v>
      </c>
      <c r="C19" s="7"/>
      <c r="D19" s="7"/>
      <c r="E19" s="7">
        <v>52.661000000000001</v>
      </c>
      <c r="F19" s="7">
        <v>39.896000000000001</v>
      </c>
      <c r="G19" s="7">
        <v>44.341999999999999</v>
      </c>
      <c r="H19" s="7">
        <v>46.366</v>
      </c>
      <c r="I19" s="7">
        <v>43.341999999999999</v>
      </c>
      <c r="J19" s="7">
        <v>29.091999999999999</v>
      </c>
      <c r="K19" s="7">
        <v>43.637999999999998</v>
      </c>
      <c r="L19" s="7">
        <v>49.616999999999997</v>
      </c>
      <c r="M19" s="7">
        <v>39.747</v>
      </c>
      <c r="N19" s="7">
        <f>+V19-SUM(K19:M19)</f>
        <v>33.768999999999977</v>
      </c>
      <c r="O19" s="7">
        <v>30.417999999999999</v>
      </c>
      <c r="P19" s="7"/>
      <c r="Q19" s="7"/>
      <c r="R19" s="7"/>
      <c r="S19" s="7"/>
      <c r="T19" s="7">
        <v>185.92500000000001</v>
      </c>
      <c r="U19" s="7">
        <v>174.136</v>
      </c>
      <c r="V19" s="7">
        <v>166.77099999999999</v>
      </c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</row>
    <row r="20" spans="2:211" x14ac:dyDescent="0.2">
      <c r="B20" s="2" t="s">
        <v>27</v>
      </c>
      <c r="C20" s="7"/>
      <c r="D20" s="7"/>
      <c r="E20" s="7">
        <v>29.004000000000001</v>
      </c>
      <c r="F20" s="7">
        <v>1.5149999999999999</v>
      </c>
      <c r="G20" s="7">
        <v>-1.486</v>
      </c>
      <c r="H20" s="7">
        <v>-0.66</v>
      </c>
      <c r="I20" s="7">
        <v>7.4080000000000004</v>
      </c>
      <c r="J20" s="7">
        <v>-14.631</v>
      </c>
      <c r="K20" s="7">
        <v>1.1359999999999999</v>
      </c>
      <c r="L20" s="7">
        <v>1.87</v>
      </c>
      <c r="M20" s="7">
        <v>108.416</v>
      </c>
      <c r="N20" s="7">
        <f>+V20-SUM(K20:M20)</f>
        <v>-198.03</v>
      </c>
      <c r="O20" s="7">
        <v>0.79100000000000004</v>
      </c>
      <c r="P20" s="7"/>
      <c r="Q20" s="7"/>
      <c r="R20" s="7"/>
      <c r="S20" s="7"/>
      <c r="T20" s="7">
        <v>24.693000000000001</v>
      </c>
      <c r="U20" s="7">
        <v>-9.3689999999999998</v>
      </c>
      <c r="V20" s="7">
        <v>-86.608000000000004</v>
      </c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</row>
    <row r="21" spans="2:211" x14ac:dyDescent="0.2">
      <c r="B21" s="2" t="s">
        <v>28</v>
      </c>
      <c r="C21" s="7">
        <f t="shared" ref="C21:H21" si="7">+C17+C18-C19+C20</f>
        <v>0</v>
      </c>
      <c r="D21" s="7">
        <f t="shared" si="7"/>
        <v>0</v>
      </c>
      <c r="E21" s="7">
        <f t="shared" si="7"/>
        <v>-111.33400000000019</v>
      </c>
      <c r="F21" s="7">
        <f t="shared" si="7"/>
        <v>-411.76400000000029</v>
      </c>
      <c r="G21" s="7">
        <f t="shared" si="7"/>
        <v>-165.45300000000009</v>
      </c>
      <c r="H21" s="7">
        <f t="shared" si="7"/>
        <v>230.55499999999981</v>
      </c>
      <c r="I21" s="7">
        <f>+I17+I18-I19+I20</f>
        <v>196.66899999999978</v>
      </c>
      <c r="J21" s="7">
        <f t="shared" ref="J21:O21" si="8">+J17+J18-J19+J20</f>
        <v>-116.60999999999997</v>
      </c>
      <c r="K21" s="7">
        <f t="shared" si="8"/>
        <v>-126.59300000000016</v>
      </c>
      <c r="L21" s="7">
        <f t="shared" si="8"/>
        <v>268.28100000000012</v>
      </c>
      <c r="M21" s="7">
        <f t="shared" si="8"/>
        <v>362.85899999999998</v>
      </c>
      <c r="N21" s="7">
        <f t="shared" si="8"/>
        <v>-163.32900000000052</v>
      </c>
      <c r="O21" s="7">
        <f t="shared" si="8"/>
        <v>-106.89200000000011</v>
      </c>
      <c r="P21" s="7"/>
      <c r="Q21" s="7"/>
      <c r="R21" s="7"/>
      <c r="S21" s="7"/>
      <c r="T21" s="7">
        <f t="shared" ref="T21:V21" si="9">+T17+T18-T19+T20</f>
        <v>-284.92099999999971</v>
      </c>
      <c r="U21" s="7">
        <f t="shared" si="9"/>
        <v>145.05100000000033</v>
      </c>
      <c r="V21" s="7">
        <f t="shared" si="9"/>
        <v>341.2179999999999</v>
      </c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</row>
    <row r="22" spans="2:211" x14ac:dyDescent="0.2">
      <c r="B22" s="2" t="s">
        <v>29</v>
      </c>
      <c r="C22" s="7"/>
      <c r="D22" s="7"/>
      <c r="E22" s="7">
        <v>-19.597999999999999</v>
      </c>
      <c r="F22" s="7">
        <v>0.36</v>
      </c>
      <c r="G22" s="7">
        <v>-13.426</v>
      </c>
      <c r="H22" s="7">
        <v>28.045999999999999</v>
      </c>
      <c r="I22" s="7">
        <v>27.56</v>
      </c>
      <c r="J22" s="7">
        <v>33.656999999999996</v>
      </c>
      <c r="K22" s="7">
        <v>-10.185</v>
      </c>
      <c r="L22" s="7">
        <v>78.516000000000005</v>
      </c>
      <c r="M22" s="7">
        <v>62.014000000000003</v>
      </c>
      <c r="N22" s="7">
        <f>+V22-SUM(K22:M22)</f>
        <v>-44.046999999999997</v>
      </c>
      <c r="O22" s="7">
        <v>-9.74</v>
      </c>
      <c r="P22" s="7"/>
      <c r="Q22" s="7"/>
      <c r="R22" s="7"/>
      <c r="S22" s="7"/>
      <c r="T22" s="7">
        <v>733.55600000000004</v>
      </c>
      <c r="U22" s="7">
        <v>75.837000000000003</v>
      </c>
      <c r="V22" s="7">
        <v>86.298000000000002</v>
      </c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</row>
    <row r="23" spans="2:211" x14ac:dyDescent="0.2">
      <c r="B23" s="2" t="s">
        <v>30</v>
      </c>
      <c r="C23" s="7">
        <f t="shared" ref="C23:H23" si="10">+C21-C22</f>
        <v>0</v>
      </c>
      <c r="D23" s="7">
        <f t="shared" si="10"/>
        <v>0</v>
      </c>
      <c r="E23" s="7">
        <f t="shared" si="10"/>
        <v>-91.736000000000189</v>
      </c>
      <c r="F23" s="7">
        <f t="shared" si="10"/>
        <v>-412.12400000000031</v>
      </c>
      <c r="G23" s="7">
        <f t="shared" si="10"/>
        <v>-152.0270000000001</v>
      </c>
      <c r="H23" s="7">
        <f t="shared" si="10"/>
        <v>202.50899999999982</v>
      </c>
      <c r="I23" s="7">
        <f>+I21-I22</f>
        <v>169.10899999999978</v>
      </c>
      <c r="J23" s="7">
        <f t="shared" ref="J23:O24" si="11">+J21-J22</f>
        <v>-150.26699999999997</v>
      </c>
      <c r="K23" s="7">
        <f t="shared" si="11"/>
        <v>-116.40800000000016</v>
      </c>
      <c r="L23" s="7">
        <f t="shared" si="11"/>
        <v>189.7650000000001</v>
      </c>
      <c r="M23" s="7">
        <f t="shared" si="11"/>
        <v>300.84499999999997</v>
      </c>
      <c r="N23" s="7">
        <f t="shared" si="11"/>
        <v>-119.28200000000052</v>
      </c>
      <c r="O23" s="7">
        <f t="shared" si="11"/>
        <v>-97.152000000000115</v>
      </c>
      <c r="P23" s="7"/>
      <c r="Q23" s="7"/>
      <c r="R23" s="7"/>
      <c r="S23" s="7"/>
      <c r="T23" s="7">
        <f t="shared" ref="T23:V23" si="12">+T21-T22</f>
        <v>-1018.4769999999997</v>
      </c>
      <c r="U23" s="7">
        <f t="shared" si="12"/>
        <v>69.214000000000325</v>
      </c>
      <c r="V23" s="7">
        <f t="shared" si="12"/>
        <v>254.9199999999999</v>
      </c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</row>
    <row r="24" spans="2:211" x14ac:dyDescent="0.2">
      <c r="B24" s="2" t="s">
        <v>31</v>
      </c>
      <c r="C24" s="7"/>
      <c r="D24" s="7"/>
      <c r="E24" s="7">
        <v>-49.283999999999999</v>
      </c>
      <c r="F24" s="7">
        <v>6.1840000000000002</v>
      </c>
      <c r="G24" s="7">
        <v>106.85899999999999</v>
      </c>
      <c r="H24" s="7">
        <v>150.33099999999999</v>
      </c>
      <c r="I24" s="7">
        <v>1.329</v>
      </c>
      <c r="J24" s="7">
        <v>0.52100000000000002</v>
      </c>
      <c r="K24" s="7">
        <v>0</v>
      </c>
      <c r="L24" s="7">
        <v>0</v>
      </c>
      <c r="M24" s="7">
        <v>0</v>
      </c>
      <c r="N24" s="7">
        <f t="shared" si="11"/>
        <v>75.235000000000525</v>
      </c>
      <c r="O24" s="7">
        <v>0</v>
      </c>
      <c r="P24" s="7"/>
      <c r="Q24" s="7"/>
      <c r="R24" s="7"/>
      <c r="S24" s="7"/>
      <c r="T24" s="7">
        <v>-49.594999999999999</v>
      </c>
      <c r="U24" s="7">
        <v>259.04000000000002</v>
      </c>
      <c r="V24" s="7">
        <v>0</v>
      </c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</row>
    <row r="25" spans="2:211" x14ac:dyDescent="0.2">
      <c r="B25" s="2" t="s">
        <v>32</v>
      </c>
      <c r="C25" s="7">
        <f t="shared" ref="C25:H25" si="13">+C23-C24</f>
        <v>0</v>
      </c>
      <c r="D25" s="7">
        <f t="shared" si="13"/>
        <v>0</v>
      </c>
      <c r="E25" s="7">
        <f t="shared" si="13"/>
        <v>-42.45200000000019</v>
      </c>
      <c r="F25" s="7">
        <f t="shared" si="13"/>
        <v>-418.30800000000033</v>
      </c>
      <c r="G25" s="7">
        <f t="shared" si="13"/>
        <v>-258.88600000000008</v>
      </c>
      <c r="H25" s="7">
        <f t="shared" si="13"/>
        <v>52.177999999999827</v>
      </c>
      <c r="I25" s="7">
        <f>+I23-I24</f>
        <v>167.77999999999977</v>
      </c>
      <c r="J25" s="7">
        <f t="shared" ref="J25:O25" si="14">+J23-J24</f>
        <v>-150.78799999999995</v>
      </c>
      <c r="K25" s="7">
        <f t="shared" si="14"/>
        <v>-116.40800000000016</v>
      </c>
      <c r="L25" s="7">
        <f t="shared" si="14"/>
        <v>189.7650000000001</v>
      </c>
      <c r="M25" s="7">
        <f t="shared" si="14"/>
        <v>300.84499999999997</v>
      </c>
      <c r="N25" s="7">
        <f t="shared" si="14"/>
        <v>-194.51700000000105</v>
      </c>
      <c r="O25" s="7">
        <f t="shared" si="14"/>
        <v>-97.152000000000115</v>
      </c>
      <c r="P25" s="7"/>
      <c r="Q25" s="7"/>
      <c r="R25" s="7"/>
      <c r="S25" s="7"/>
      <c r="T25" s="7">
        <f t="shared" ref="T25:U25" si="15">+T23-T24</f>
        <v>-968.88199999999972</v>
      </c>
      <c r="U25" s="7">
        <f t="shared" si="15"/>
        <v>-189.82599999999968</v>
      </c>
      <c r="V25" s="7">
        <f>+V23-V24</f>
        <v>254.9199999999999</v>
      </c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</row>
    <row r="26" spans="2:211" x14ac:dyDescent="0.2"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</row>
    <row r="27" spans="2:211" x14ac:dyDescent="0.2">
      <c r="B27" s="2" t="s">
        <v>33</v>
      </c>
      <c r="C27" s="9" t="e">
        <f t="shared" ref="C27:D27" si="16">+C25/C28</f>
        <v>#DIV/0!</v>
      </c>
      <c r="D27" s="9" t="e">
        <f t="shared" si="16"/>
        <v>#DIV/0!</v>
      </c>
      <c r="E27" s="9">
        <f>+E25/E28</f>
        <v>-0.10930447522162451</v>
      </c>
      <c r="F27" s="9">
        <f t="shared" ref="F27:O27" si="17">+F25/F28</f>
        <v>-1.0765623753406826</v>
      </c>
      <c r="G27" s="9">
        <f t="shared" si="17"/>
        <v>-0.66596011225983387</v>
      </c>
      <c r="H27" s="9">
        <f t="shared" si="17"/>
        <v>0.13411850587594162</v>
      </c>
      <c r="I27" s="9">
        <f t="shared" si="17"/>
        <v>0.43106947777338089</v>
      </c>
      <c r="J27" s="9">
        <f t="shared" si="17"/>
        <v>-0.38702788721910641</v>
      </c>
      <c r="K27" s="9">
        <f t="shared" si="17"/>
        <v>-0.2984636842860956</v>
      </c>
      <c r="L27" s="9">
        <f t="shared" si="17"/>
        <v>0.48576979787430141</v>
      </c>
      <c r="M27" s="9">
        <f t="shared" si="17"/>
        <v>0.7695918550068428</v>
      </c>
      <c r="N27" s="9">
        <f t="shared" si="17"/>
        <v>-0.49759410613560756</v>
      </c>
      <c r="O27" s="9">
        <f t="shared" si="17"/>
        <v>-0.24776910384155373</v>
      </c>
      <c r="P27" s="7"/>
      <c r="Q27" s="7"/>
      <c r="R27" s="7"/>
      <c r="S27" s="7"/>
      <c r="T27" s="9">
        <f t="shared" ref="T27:U27" si="18">+T25/T28</f>
        <v>-2.4971185567010301</v>
      </c>
      <c r="U27" s="9">
        <f t="shared" si="18"/>
        <v>-0.48779397253515255</v>
      </c>
      <c r="V27" s="9">
        <f>+V25/V28</f>
        <v>0.65240480218253083</v>
      </c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</row>
    <row r="28" spans="2:211" x14ac:dyDescent="0.2">
      <c r="B28" s="2" t="s">
        <v>5</v>
      </c>
      <c r="C28" s="7"/>
      <c r="D28" s="7"/>
      <c r="E28" s="7">
        <v>388.38299999999998</v>
      </c>
      <c r="F28" s="7">
        <v>388.55900000000003</v>
      </c>
      <c r="G28" s="7">
        <v>388.74099999999999</v>
      </c>
      <c r="H28" s="7">
        <v>389.04399999999998</v>
      </c>
      <c r="I28" s="7">
        <v>389.21800000000002</v>
      </c>
      <c r="J28" s="7">
        <v>389.60500000000002</v>
      </c>
      <c r="K28" s="7">
        <v>390.024</v>
      </c>
      <c r="L28" s="7">
        <v>390.64800000000002</v>
      </c>
      <c r="M28" s="7">
        <v>390.91500000000002</v>
      </c>
      <c r="N28" s="7">
        <v>390.91500000000002</v>
      </c>
      <c r="O28" s="7">
        <v>392.10700000000003</v>
      </c>
      <c r="P28" s="7"/>
      <c r="Q28" s="7"/>
      <c r="R28" s="7"/>
      <c r="S28" s="7"/>
      <c r="T28" s="7">
        <v>388</v>
      </c>
      <c r="U28" s="7">
        <v>389.15199999999999</v>
      </c>
      <c r="V28" s="7">
        <v>390.73899999999998</v>
      </c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</row>
    <row r="29" spans="2:211" x14ac:dyDescent="0.2"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</row>
    <row r="30" spans="2:211" x14ac:dyDescent="0.2">
      <c r="B30" s="1" t="s">
        <v>48</v>
      </c>
      <c r="C30" s="8"/>
      <c r="D30" s="8"/>
      <c r="E30" s="8"/>
      <c r="F30" s="8"/>
      <c r="G30" s="12" t="e">
        <f t="shared" ref="G30:K30" si="19">+G12/C12-1</f>
        <v>#DIV/0!</v>
      </c>
      <c r="H30" s="12" t="e">
        <f t="shared" si="19"/>
        <v>#DIV/0!</v>
      </c>
      <c r="I30" s="12">
        <f t="shared" si="19"/>
        <v>1.9321673235752623E-2</v>
      </c>
      <c r="J30" s="12">
        <f t="shared" si="19"/>
        <v>-4.6067321734811983E-2</v>
      </c>
      <c r="K30" s="12">
        <f t="shared" si="19"/>
        <v>-4.74489276791068E-3</v>
      </c>
      <c r="L30" s="12">
        <f>+L12/H12-1</f>
        <v>1.6228732376390109E-2</v>
      </c>
      <c r="M30" s="12">
        <f>+M12/I12-1</f>
        <v>1.4781334071064967E-2</v>
      </c>
      <c r="N30" s="12">
        <f t="shared" ref="N30:O30" si="20">+N12/J12-1</f>
        <v>1.0384971155967371E-2</v>
      </c>
      <c r="O30" s="12">
        <f t="shared" si="20"/>
        <v>-5.1847993884132526E-2</v>
      </c>
      <c r="P30" s="8"/>
      <c r="Q30" s="8"/>
      <c r="R30" s="8"/>
      <c r="S30" s="8"/>
      <c r="T30" s="8"/>
      <c r="U30" s="8"/>
      <c r="V30" s="8"/>
      <c r="W30" s="8"/>
      <c r="X30" s="8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</row>
    <row r="31" spans="2:211" x14ac:dyDescent="0.2">
      <c r="B31" s="11" t="s">
        <v>49</v>
      </c>
      <c r="C31" s="13" t="e">
        <f t="shared" ref="C31" si="21">+C14/C12</f>
        <v>#DIV/0!</v>
      </c>
      <c r="D31" s="13" t="e">
        <f t="shared" ref="D31:K31" si="22">+D14/D12</f>
        <v>#DIV/0!</v>
      </c>
      <c r="E31" s="13">
        <f t="shared" si="22"/>
        <v>0.54636690820856382</v>
      </c>
      <c r="F31" s="13">
        <f t="shared" si="22"/>
        <v>0.47832374700640495</v>
      </c>
      <c r="G31" s="13">
        <f t="shared" si="22"/>
        <v>0.51195437124800747</v>
      </c>
      <c r="H31" s="13">
        <f t="shared" si="22"/>
        <v>0.52232928249553645</v>
      </c>
      <c r="I31" s="13">
        <f t="shared" si="22"/>
        <v>0.56288762671529669</v>
      </c>
      <c r="J31" s="13">
        <f t="shared" si="22"/>
        <v>0.53291886120299237</v>
      </c>
      <c r="K31" s="13">
        <f t="shared" si="22"/>
        <v>0.53900171866782232</v>
      </c>
      <c r="L31" s="13">
        <f>+L14/L12</f>
        <v>0.52179714889824336</v>
      </c>
      <c r="M31" s="13">
        <f>+M14/M12</f>
        <v>0.56622172396490578</v>
      </c>
      <c r="N31" s="13">
        <f t="shared" ref="N31:O31" si="23">+N14/N12</f>
        <v>0.56413149562749232</v>
      </c>
      <c r="O31" s="13">
        <f t="shared" si="23"/>
        <v>0.54933241642550912</v>
      </c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</row>
    <row r="32" spans="2:211" x14ac:dyDescent="0.2">
      <c r="B32" s="11" t="s">
        <v>50</v>
      </c>
      <c r="C32" s="13" t="e">
        <f t="shared" ref="C32" si="24">+C17/C12</f>
        <v>#DIV/0!</v>
      </c>
      <c r="D32" s="13" t="e">
        <f t="shared" ref="D32:K32" si="25">+D17/D12</f>
        <v>#DIV/0!</v>
      </c>
      <c r="E32" s="13">
        <f t="shared" si="25"/>
        <v>-3.2818573092381391E-2</v>
      </c>
      <c r="F32" s="13">
        <f t="shared" si="25"/>
        <v>-0.16614752471634839</v>
      </c>
      <c r="G32" s="13">
        <f t="shared" si="25"/>
        <v>-6.9539755576407861E-2</v>
      </c>
      <c r="H32" s="13">
        <f t="shared" si="25"/>
        <v>9.9314055232368345E-2</v>
      </c>
      <c r="I32" s="13">
        <f t="shared" si="25"/>
        <v>7.9669728629541012E-2</v>
      </c>
      <c r="J32" s="13">
        <f t="shared" si="25"/>
        <v>-3.3999433708171239E-2</v>
      </c>
      <c r="K32" s="13">
        <f t="shared" si="25"/>
        <v>-4.9191044752383561E-2</v>
      </c>
      <c r="L32" s="13">
        <f>+L17/L12</f>
        <v>0.11154220242865291</v>
      </c>
      <c r="M32" s="13">
        <f>+M17/M12</f>
        <v>0.10051251807757212</v>
      </c>
      <c r="N32" s="13">
        <f t="shared" ref="N32:O32" si="26">+N17/N12</f>
        <v>2.8394752806280725E-2</v>
      </c>
      <c r="O32" s="13">
        <f t="shared" si="26"/>
        <v>-4.9762216968106177E-2</v>
      </c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</row>
    <row r="33" spans="2:211" x14ac:dyDescent="0.2">
      <c r="B33" s="11" t="s">
        <v>51</v>
      </c>
      <c r="C33" s="13" t="e">
        <f t="shared" ref="C33" si="27">+C22/C21</f>
        <v>#DIV/0!</v>
      </c>
      <c r="D33" s="13" t="e">
        <f t="shared" ref="D33:K33" si="28">+D22/D21</f>
        <v>#DIV/0!</v>
      </c>
      <c r="E33" s="13">
        <f t="shared" si="28"/>
        <v>0.17602888605457423</v>
      </c>
      <c r="F33" s="13">
        <f t="shared" si="28"/>
        <v>-8.7428721306379313E-4</v>
      </c>
      <c r="G33" s="13">
        <f t="shared" si="28"/>
        <v>8.1146911811813591E-2</v>
      </c>
      <c r="H33" s="13">
        <f t="shared" si="28"/>
        <v>0.12164559432673341</v>
      </c>
      <c r="I33" s="13">
        <f t="shared" si="28"/>
        <v>0.1401339306143827</v>
      </c>
      <c r="J33" s="13">
        <f t="shared" si="28"/>
        <v>-0.28862876254180608</v>
      </c>
      <c r="K33" s="13">
        <f t="shared" si="28"/>
        <v>8.0454685488139055E-2</v>
      </c>
      <c r="L33" s="13">
        <f>+L22/L21</f>
        <v>0.29266328961052018</v>
      </c>
      <c r="M33" s="13">
        <f>+M22/M21</f>
        <v>0.17090384970470626</v>
      </c>
      <c r="N33" s="13">
        <f t="shared" ref="N33:O33" si="29">+N22/N21</f>
        <v>0.26968266505029637</v>
      </c>
      <c r="O33" s="13">
        <f t="shared" si="29"/>
        <v>9.1120008981027484E-2</v>
      </c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</row>
    <row r="34" spans="2:211" x14ac:dyDescent="0.2"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</row>
    <row r="35" spans="2:211" x14ac:dyDescent="0.2"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</row>
    <row r="36" spans="2:211" x14ac:dyDescent="0.2"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</row>
    <row r="37" spans="2:211" x14ac:dyDescent="0.2"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</row>
    <row r="38" spans="2:211" x14ac:dyDescent="0.2"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</row>
    <row r="39" spans="2:211" x14ac:dyDescent="0.2"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</row>
    <row r="40" spans="2:211" x14ac:dyDescent="0.2"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</row>
    <row r="41" spans="2:211" x14ac:dyDescent="0.2"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</row>
    <row r="42" spans="2:211" x14ac:dyDescent="0.2"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</row>
    <row r="43" spans="2:211" x14ac:dyDescent="0.2"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</row>
    <row r="44" spans="2:211" x14ac:dyDescent="0.2"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</row>
    <row r="45" spans="2:211" x14ac:dyDescent="0.2"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</row>
    <row r="46" spans="2:211" x14ac:dyDescent="0.2"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</row>
    <row r="47" spans="2:211" x14ac:dyDescent="0.2"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</row>
    <row r="48" spans="2:211" x14ac:dyDescent="0.2"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</row>
    <row r="49" spans="3:211" x14ac:dyDescent="0.2"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</row>
    <row r="50" spans="3:211" x14ac:dyDescent="0.2"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  <c r="GZ50" s="3"/>
      <c r="HA50" s="3"/>
      <c r="HB50" s="3"/>
      <c r="HC50" s="3"/>
    </row>
    <row r="51" spans="3:211" x14ac:dyDescent="0.2"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</row>
    <row r="52" spans="3:211" x14ac:dyDescent="0.2"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</row>
    <row r="53" spans="3:211" x14ac:dyDescent="0.2"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</row>
    <row r="54" spans="3:211" x14ac:dyDescent="0.2"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  <c r="GZ54" s="3"/>
      <c r="HA54" s="3"/>
      <c r="HB54" s="3"/>
      <c r="HC54" s="3"/>
    </row>
    <row r="55" spans="3:211" x14ac:dyDescent="0.2"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  <c r="GZ55" s="3"/>
      <c r="HA55" s="3"/>
      <c r="HB55" s="3"/>
      <c r="HC55" s="3"/>
    </row>
    <row r="56" spans="3:211" x14ac:dyDescent="0.2"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  <c r="GZ56" s="3"/>
      <c r="HA56" s="3"/>
      <c r="HB56" s="3"/>
      <c r="HC56" s="3"/>
    </row>
    <row r="57" spans="3:211" x14ac:dyDescent="0.2"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  <c r="GZ57" s="3"/>
      <c r="HA57" s="3"/>
      <c r="HB57" s="3"/>
      <c r="HC57" s="3"/>
    </row>
    <row r="58" spans="3:211" x14ac:dyDescent="0.2"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  <c r="GZ58" s="3"/>
      <c r="HA58" s="3"/>
      <c r="HB58" s="3"/>
      <c r="HC58" s="3"/>
    </row>
    <row r="59" spans="3:211" x14ac:dyDescent="0.2"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  <c r="HC59" s="3"/>
    </row>
    <row r="60" spans="3:211" x14ac:dyDescent="0.2"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  <c r="GZ60" s="3"/>
      <c r="HA60" s="3"/>
      <c r="HB60" s="3"/>
      <c r="HC60" s="3"/>
    </row>
    <row r="61" spans="3:211" x14ac:dyDescent="0.2"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  <c r="GZ61" s="3"/>
      <c r="HA61" s="3"/>
      <c r="HB61" s="3"/>
      <c r="HC61" s="3"/>
    </row>
    <row r="62" spans="3:211" x14ac:dyDescent="0.2"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  <c r="GZ62" s="3"/>
      <c r="HA62" s="3"/>
      <c r="HB62" s="3"/>
      <c r="HC62" s="3"/>
    </row>
    <row r="63" spans="3:211" x14ac:dyDescent="0.2"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  <c r="GZ63" s="3"/>
      <c r="HA63" s="3"/>
      <c r="HB63" s="3"/>
      <c r="HC63" s="3"/>
    </row>
    <row r="64" spans="3:211" x14ac:dyDescent="0.2"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  <c r="GZ64" s="3"/>
      <c r="HA64" s="3"/>
      <c r="HB64" s="3"/>
      <c r="HC64" s="3"/>
    </row>
    <row r="65" spans="3:211" x14ac:dyDescent="0.2"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  <c r="GZ65" s="3"/>
      <c r="HA65" s="3"/>
      <c r="HB65" s="3"/>
      <c r="HC65" s="3"/>
    </row>
    <row r="66" spans="3:211" x14ac:dyDescent="0.2"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  <c r="GZ66" s="3"/>
      <c r="HA66" s="3"/>
      <c r="HB66" s="3"/>
      <c r="HC66" s="3"/>
    </row>
    <row r="67" spans="3:211" x14ac:dyDescent="0.2"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</row>
    <row r="68" spans="3:211" x14ac:dyDescent="0.2"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</row>
    <row r="69" spans="3:211" x14ac:dyDescent="0.2"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</row>
    <row r="70" spans="3:211" x14ac:dyDescent="0.2"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</row>
    <row r="71" spans="3:211" x14ac:dyDescent="0.2"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</row>
    <row r="72" spans="3:211" x14ac:dyDescent="0.2"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</row>
    <row r="73" spans="3:211" x14ac:dyDescent="0.2"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</row>
    <row r="74" spans="3:211" x14ac:dyDescent="0.2"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</row>
    <row r="75" spans="3:211" x14ac:dyDescent="0.2"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</row>
    <row r="76" spans="3:211" x14ac:dyDescent="0.2"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</row>
    <row r="77" spans="3:211" x14ac:dyDescent="0.2"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</row>
    <row r="78" spans="3:211" x14ac:dyDescent="0.2"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</row>
    <row r="79" spans="3:211" x14ac:dyDescent="0.2"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</row>
    <row r="80" spans="3:211" x14ac:dyDescent="0.2"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</row>
    <row r="81" spans="3:211" x14ac:dyDescent="0.2"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</row>
    <row r="82" spans="3:211" x14ac:dyDescent="0.2"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</row>
    <row r="83" spans="3:211" x14ac:dyDescent="0.2"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</row>
    <row r="84" spans="3:211" x14ac:dyDescent="0.2"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</row>
    <row r="85" spans="3:211" x14ac:dyDescent="0.2"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</row>
    <row r="86" spans="3:211" x14ac:dyDescent="0.2"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</row>
    <row r="87" spans="3:211" x14ac:dyDescent="0.2"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</row>
    <row r="88" spans="3:211" x14ac:dyDescent="0.2"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</row>
    <row r="89" spans="3:211" x14ac:dyDescent="0.2"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</row>
    <row r="90" spans="3:211" x14ac:dyDescent="0.2"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</row>
    <row r="91" spans="3:211" x14ac:dyDescent="0.2"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</row>
    <row r="92" spans="3:211" x14ac:dyDescent="0.2"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</row>
    <row r="93" spans="3:211" x14ac:dyDescent="0.2"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</row>
    <row r="94" spans="3:211" x14ac:dyDescent="0.2"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</row>
    <row r="95" spans="3:211" x14ac:dyDescent="0.2"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</row>
    <row r="96" spans="3:211" x14ac:dyDescent="0.2"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</row>
    <row r="97" spans="3:211" x14ac:dyDescent="0.2"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</row>
    <row r="98" spans="3:211" x14ac:dyDescent="0.2"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</row>
    <row r="99" spans="3:211" x14ac:dyDescent="0.2"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</row>
    <row r="100" spans="3:211" x14ac:dyDescent="0.2"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</row>
    <row r="101" spans="3:211" x14ac:dyDescent="0.2"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</row>
    <row r="102" spans="3:211" x14ac:dyDescent="0.2"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</row>
    <row r="103" spans="3:211" x14ac:dyDescent="0.2"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</row>
    <row r="104" spans="3:211" x14ac:dyDescent="0.2"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</row>
    <row r="105" spans="3:211" x14ac:dyDescent="0.2"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</row>
    <row r="106" spans="3:211" x14ac:dyDescent="0.2"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</row>
    <row r="107" spans="3:211" x14ac:dyDescent="0.2"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</row>
    <row r="108" spans="3:211" x14ac:dyDescent="0.2"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</row>
    <row r="109" spans="3:211" x14ac:dyDescent="0.2"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</row>
    <row r="110" spans="3:211" x14ac:dyDescent="0.2"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</row>
    <row r="111" spans="3:211" x14ac:dyDescent="0.2"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</row>
    <row r="112" spans="3:211" x14ac:dyDescent="0.2"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</row>
    <row r="113" spans="3:211" x14ac:dyDescent="0.2"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</row>
    <row r="114" spans="3:211" x14ac:dyDescent="0.2"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</row>
    <row r="115" spans="3:211" x14ac:dyDescent="0.2"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</row>
    <row r="116" spans="3:211" x14ac:dyDescent="0.2"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</row>
    <row r="117" spans="3:211" x14ac:dyDescent="0.2"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3"/>
      <c r="GG117" s="3"/>
      <c r="GH117" s="3"/>
      <c r="GI117" s="3"/>
      <c r="GJ117" s="3"/>
      <c r="GK117" s="3"/>
      <c r="GL117" s="3"/>
      <c r="GM117" s="3"/>
      <c r="GN117" s="3"/>
      <c r="GO117" s="3"/>
      <c r="GP117" s="3"/>
      <c r="GQ117" s="3"/>
      <c r="GR117" s="3"/>
      <c r="GS117" s="3"/>
      <c r="GT117" s="3"/>
      <c r="GU117" s="3"/>
      <c r="GV117" s="3"/>
      <c r="GW117" s="3"/>
      <c r="GX117" s="3"/>
      <c r="GY117" s="3"/>
      <c r="GZ117" s="3"/>
      <c r="HA117" s="3"/>
      <c r="HB117" s="3"/>
      <c r="HC117" s="3"/>
    </row>
    <row r="118" spans="3:211" x14ac:dyDescent="0.2"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  <c r="GD118" s="3"/>
      <c r="GE118" s="3"/>
      <c r="GF118" s="3"/>
      <c r="GG118" s="3"/>
      <c r="GH118" s="3"/>
      <c r="GI118" s="3"/>
      <c r="GJ118" s="3"/>
      <c r="GK118" s="3"/>
      <c r="GL118" s="3"/>
      <c r="GM118" s="3"/>
      <c r="GN118" s="3"/>
      <c r="GO118" s="3"/>
      <c r="GP118" s="3"/>
      <c r="GQ118" s="3"/>
      <c r="GR118" s="3"/>
      <c r="GS118" s="3"/>
      <c r="GT118" s="3"/>
      <c r="GU118" s="3"/>
      <c r="GV118" s="3"/>
      <c r="GW118" s="3"/>
      <c r="GX118" s="3"/>
      <c r="GY118" s="3"/>
      <c r="GZ118" s="3"/>
      <c r="HA118" s="3"/>
      <c r="HB118" s="3"/>
      <c r="HC118" s="3"/>
    </row>
    <row r="119" spans="3:211" x14ac:dyDescent="0.2"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  <c r="GV119" s="3"/>
      <c r="GW119" s="3"/>
      <c r="GX119" s="3"/>
      <c r="GY119" s="3"/>
      <c r="GZ119" s="3"/>
      <c r="HA119" s="3"/>
      <c r="HB119" s="3"/>
      <c r="HC119" s="3"/>
    </row>
    <row r="120" spans="3:211" x14ac:dyDescent="0.2"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  <c r="GU120" s="3"/>
      <c r="GV120" s="3"/>
      <c r="GW120" s="3"/>
      <c r="GX120" s="3"/>
      <c r="GY120" s="3"/>
      <c r="GZ120" s="3"/>
      <c r="HA120" s="3"/>
      <c r="HB120" s="3"/>
      <c r="HC120" s="3"/>
    </row>
    <row r="121" spans="3:211" x14ac:dyDescent="0.2"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  <c r="GU121" s="3"/>
      <c r="GV121" s="3"/>
      <c r="GW121" s="3"/>
      <c r="GX121" s="3"/>
      <c r="GY121" s="3"/>
      <c r="GZ121" s="3"/>
      <c r="HA121" s="3"/>
      <c r="HB121" s="3"/>
      <c r="HC121" s="3"/>
    </row>
    <row r="122" spans="3:211" x14ac:dyDescent="0.2"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/>
      <c r="GA122" s="3"/>
      <c r="GB122" s="3"/>
      <c r="GC122" s="3"/>
      <c r="GD122" s="3"/>
      <c r="GE122" s="3"/>
      <c r="GF122" s="3"/>
      <c r="GG122" s="3"/>
      <c r="GH122" s="3"/>
      <c r="GI122" s="3"/>
      <c r="GJ122" s="3"/>
      <c r="GK122" s="3"/>
      <c r="GL122" s="3"/>
      <c r="GM122" s="3"/>
      <c r="GN122" s="3"/>
      <c r="GO122" s="3"/>
      <c r="GP122" s="3"/>
      <c r="GQ122" s="3"/>
      <c r="GR122" s="3"/>
      <c r="GS122" s="3"/>
      <c r="GT122" s="3"/>
      <c r="GU122" s="3"/>
      <c r="GV122" s="3"/>
      <c r="GW122" s="3"/>
      <c r="GX122" s="3"/>
      <c r="GY122" s="3"/>
      <c r="GZ122" s="3"/>
      <c r="HA122" s="3"/>
      <c r="HB122" s="3"/>
      <c r="HC122" s="3"/>
    </row>
    <row r="123" spans="3:211" x14ac:dyDescent="0.2"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  <c r="FX123" s="3"/>
      <c r="FY123" s="3"/>
      <c r="FZ123" s="3"/>
      <c r="GA123" s="3"/>
      <c r="GB123" s="3"/>
      <c r="GC123" s="3"/>
      <c r="GD123" s="3"/>
      <c r="GE123" s="3"/>
      <c r="GF123" s="3"/>
      <c r="GG123" s="3"/>
      <c r="GH123" s="3"/>
      <c r="GI123" s="3"/>
      <c r="GJ123" s="3"/>
      <c r="GK123" s="3"/>
      <c r="GL123" s="3"/>
      <c r="GM123" s="3"/>
      <c r="GN123" s="3"/>
      <c r="GO123" s="3"/>
      <c r="GP123" s="3"/>
      <c r="GQ123" s="3"/>
      <c r="GR123" s="3"/>
      <c r="GS123" s="3"/>
      <c r="GT123" s="3"/>
      <c r="GU123" s="3"/>
      <c r="GV123" s="3"/>
      <c r="GW123" s="3"/>
      <c r="GX123" s="3"/>
      <c r="GY123" s="3"/>
      <c r="GZ123" s="3"/>
      <c r="HA123" s="3"/>
      <c r="HB123" s="3"/>
      <c r="HC123" s="3"/>
    </row>
    <row r="124" spans="3:211" x14ac:dyDescent="0.2"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  <c r="FZ124" s="3"/>
      <c r="GA124" s="3"/>
      <c r="GB124" s="3"/>
      <c r="GC124" s="3"/>
      <c r="GD124" s="3"/>
      <c r="GE124" s="3"/>
      <c r="GF124" s="3"/>
      <c r="GG124" s="3"/>
      <c r="GH124" s="3"/>
      <c r="GI124" s="3"/>
      <c r="GJ124" s="3"/>
      <c r="GK124" s="3"/>
      <c r="GL124" s="3"/>
      <c r="GM124" s="3"/>
      <c r="GN124" s="3"/>
      <c r="GO124" s="3"/>
      <c r="GP124" s="3"/>
      <c r="GQ124" s="3"/>
      <c r="GR124" s="3"/>
      <c r="GS124" s="3"/>
      <c r="GT124" s="3"/>
      <c r="GU124" s="3"/>
      <c r="GV124" s="3"/>
      <c r="GW124" s="3"/>
      <c r="GX124" s="3"/>
      <c r="GY124" s="3"/>
      <c r="GZ124" s="3"/>
      <c r="HA124" s="3"/>
      <c r="HB124" s="3"/>
      <c r="HC124" s="3"/>
    </row>
    <row r="125" spans="3:211" x14ac:dyDescent="0.2"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  <c r="GD125" s="3"/>
      <c r="GE125" s="3"/>
      <c r="GF125" s="3"/>
      <c r="GG125" s="3"/>
      <c r="GH125" s="3"/>
      <c r="GI125" s="3"/>
      <c r="GJ125" s="3"/>
      <c r="GK125" s="3"/>
      <c r="GL125" s="3"/>
      <c r="GM125" s="3"/>
      <c r="GN125" s="3"/>
      <c r="GO125" s="3"/>
      <c r="GP125" s="3"/>
      <c r="GQ125" s="3"/>
      <c r="GR125" s="3"/>
      <c r="GS125" s="3"/>
      <c r="GT125" s="3"/>
      <c r="GU125" s="3"/>
      <c r="GV125" s="3"/>
      <c r="GW125" s="3"/>
      <c r="GX125" s="3"/>
      <c r="GY125" s="3"/>
      <c r="GZ125" s="3"/>
      <c r="HA125" s="3"/>
      <c r="HB125" s="3"/>
      <c r="HC125" s="3"/>
    </row>
    <row r="126" spans="3:211" x14ac:dyDescent="0.2"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  <c r="FT126" s="3"/>
      <c r="FU126" s="3"/>
      <c r="FV126" s="3"/>
      <c r="FW126" s="3"/>
      <c r="FX126" s="3"/>
      <c r="FY126" s="3"/>
      <c r="FZ126" s="3"/>
      <c r="GA126" s="3"/>
      <c r="GB126" s="3"/>
      <c r="GC126" s="3"/>
      <c r="GD126" s="3"/>
      <c r="GE126" s="3"/>
      <c r="GF126" s="3"/>
      <c r="GG126" s="3"/>
      <c r="GH126" s="3"/>
      <c r="GI126" s="3"/>
      <c r="GJ126" s="3"/>
      <c r="GK126" s="3"/>
      <c r="GL126" s="3"/>
      <c r="GM126" s="3"/>
      <c r="GN126" s="3"/>
      <c r="GO126" s="3"/>
      <c r="GP126" s="3"/>
      <c r="GQ126" s="3"/>
      <c r="GR126" s="3"/>
      <c r="GS126" s="3"/>
      <c r="GT126" s="3"/>
      <c r="GU126" s="3"/>
      <c r="GV126" s="3"/>
      <c r="GW126" s="3"/>
      <c r="GX126" s="3"/>
      <c r="GY126" s="3"/>
      <c r="GZ126" s="3"/>
      <c r="HA126" s="3"/>
      <c r="HB126" s="3"/>
      <c r="HC126" s="3"/>
    </row>
    <row r="127" spans="3:211" x14ac:dyDescent="0.2"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3"/>
      <c r="GB127" s="3"/>
      <c r="GC127" s="3"/>
      <c r="GD127" s="3"/>
      <c r="GE127" s="3"/>
      <c r="GF127" s="3"/>
      <c r="GG127" s="3"/>
      <c r="GH127" s="3"/>
      <c r="GI127" s="3"/>
      <c r="GJ127" s="3"/>
      <c r="GK127" s="3"/>
      <c r="GL127" s="3"/>
      <c r="GM127" s="3"/>
      <c r="GN127" s="3"/>
      <c r="GO127" s="3"/>
      <c r="GP127" s="3"/>
      <c r="GQ127" s="3"/>
      <c r="GR127" s="3"/>
      <c r="GS127" s="3"/>
      <c r="GT127" s="3"/>
      <c r="GU127" s="3"/>
      <c r="GV127" s="3"/>
      <c r="GW127" s="3"/>
      <c r="GX127" s="3"/>
      <c r="GY127" s="3"/>
      <c r="GZ127" s="3"/>
      <c r="HA127" s="3"/>
      <c r="HB127" s="3"/>
      <c r="HC127" s="3"/>
    </row>
    <row r="128" spans="3:211" x14ac:dyDescent="0.2"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  <c r="FX128" s="3"/>
      <c r="FY128" s="3"/>
      <c r="FZ128" s="3"/>
      <c r="GA128" s="3"/>
      <c r="GB128" s="3"/>
      <c r="GC128" s="3"/>
      <c r="GD128" s="3"/>
      <c r="GE128" s="3"/>
      <c r="GF128" s="3"/>
      <c r="GG128" s="3"/>
      <c r="GH128" s="3"/>
      <c r="GI128" s="3"/>
      <c r="GJ128" s="3"/>
      <c r="GK128" s="3"/>
      <c r="GL128" s="3"/>
      <c r="GM128" s="3"/>
      <c r="GN128" s="3"/>
      <c r="GO128" s="3"/>
      <c r="GP128" s="3"/>
      <c r="GQ128" s="3"/>
      <c r="GR128" s="3"/>
      <c r="GS128" s="3"/>
      <c r="GT128" s="3"/>
      <c r="GU128" s="3"/>
      <c r="GV128" s="3"/>
      <c r="GW128" s="3"/>
      <c r="GX128" s="3"/>
      <c r="GY128" s="3"/>
      <c r="GZ128" s="3"/>
      <c r="HA128" s="3"/>
      <c r="HB128" s="3"/>
      <c r="HC128" s="3"/>
    </row>
    <row r="129" spans="3:211" x14ac:dyDescent="0.2"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  <c r="FT129" s="3"/>
      <c r="FU129" s="3"/>
      <c r="FV129" s="3"/>
      <c r="FW129" s="3"/>
      <c r="FX129" s="3"/>
      <c r="FY129" s="3"/>
      <c r="FZ129" s="3"/>
      <c r="GA129" s="3"/>
      <c r="GB129" s="3"/>
      <c r="GC129" s="3"/>
      <c r="GD129" s="3"/>
      <c r="GE129" s="3"/>
      <c r="GF129" s="3"/>
      <c r="GG129" s="3"/>
      <c r="GH129" s="3"/>
      <c r="GI129" s="3"/>
      <c r="GJ129" s="3"/>
      <c r="GK129" s="3"/>
      <c r="GL129" s="3"/>
      <c r="GM129" s="3"/>
      <c r="GN129" s="3"/>
      <c r="GO129" s="3"/>
      <c r="GP129" s="3"/>
      <c r="GQ129" s="3"/>
      <c r="GR129" s="3"/>
      <c r="GS129" s="3"/>
      <c r="GT129" s="3"/>
      <c r="GU129" s="3"/>
      <c r="GV129" s="3"/>
      <c r="GW129" s="3"/>
      <c r="GX129" s="3"/>
      <c r="GY129" s="3"/>
      <c r="GZ129" s="3"/>
      <c r="HA129" s="3"/>
      <c r="HB129" s="3"/>
      <c r="HC129" s="3"/>
    </row>
    <row r="130" spans="3:211" x14ac:dyDescent="0.2"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  <c r="FX130" s="3"/>
      <c r="FY130" s="3"/>
      <c r="FZ130" s="3"/>
      <c r="GA130" s="3"/>
      <c r="GB130" s="3"/>
      <c r="GC130" s="3"/>
      <c r="GD130" s="3"/>
      <c r="GE130" s="3"/>
      <c r="GF130" s="3"/>
      <c r="GG130" s="3"/>
      <c r="GH130" s="3"/>
      <c r="GI130" s="3"/>
      <c r="GJ130" s="3"/>
      <c r="GK130" s="3"/>
      <c r="GL130" s="3"/>
      <c r="GM130" s="3"/>
      <c r="GN130" s="3"/>
      <c r="GO130" s="3"/>
      <c r="GP130" s="3"/>
      <c r="GQ130" s="3"/>
      <c r="GR130" s="3"/>
      <c r="GS130" s="3"/>
      <c r="GT130" s="3"/>
      <c r="GU130" s="3"/>
      <c r="GV130" s="3"/>
      <c r="GW130" s="3"/>
      <c r="GX130" s="3"/>
      <c r="GY130" s="3"/>
      <c r="GZ130" s="3"/>
      <c r="HA130" s="3"/>
      <c r="HB130" s="3"/>
      <c r="HC130" s="3"/>
    </row>
    <row r="131" spans="3:211" x14ac:dyDescent="0.2"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  <c r="FT131" s="3"/>
      <c r="FU131" s="3"/>
      <c r="FV131" s="3"/>
      <c r="FW131" s="3"/>
      <c r="FX131" s="3"/>
      <c r="FY131" s="3"/>
      <c r="FZ131" s="3"/>
      <c r="GA131" s="3"/>
      <c r="GB131" s="3"/>
      <c r="GC131" s="3"/>
      <c r="GD131" s="3"/>
      <c r="GE131" s="3"/>
      <c r="GF131" s="3"/>
      <c r="GG131" s="3"/>
      <c r="GH131" s="3"/>
      <c r="GI131" s="3"/>
      <c r="GJ131" s="3"/>
      <c r="GK131" s="3"/>
      <c r="GL131" s="3"/>
      <c r="GM131" s="3"/>
      <c r="GN131" s="3"/>
      <c r="GO131" s="3"/>
      <c r="GP131" s="3"/>
      <c r="GQ131" s="3"/>
      <c r="GR131" s="3"/>
      <c r="GS131" s="3"/>
      <c r="GT131" s="3"/>
      <c r="GU131" s="3"/>
      <c r="GV131" s="3"/>
      <c r="GW131" s="3"/>
      <c r="GX131" s="3"/>
      <c r="GY131" s="3"/>
      <c r="GZ131" s="3"/>
      <c r="HA131" s="3"/>
      <c r="HB131" s="3"/>
      <c r="HC131" s="3"/>
    </row>
    <row r="132" spans="3:211" x14ac:dyDescent="0.2"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  <c r="FX132" s="3"/>
      <c r="FY132" s="3"/>
      <c r="FZ132" s="3"/>
      <c r="GA132" s="3"/>
      <c r="GB132" s="3"/>
      <c r="GC132" s="3"/>
      <c r="GD132" s="3"/>
      <c r="GE132" s="3"/>
      <c r="GF132" s="3"/>
      <c r="GG132" s="3"/>
      <c r="GH132" s="3"/>
      <c r="GI132" s="3"/>
      <c r="GJ132" s="3"/>
      <c r="GK132" s="3"/>
      <c r="GL132" s="3"/>
      <c r="GM132" s="3"/>
      <c r="GN132" s="3"/>
      <c r="GO132" s="3"/>
      <c r="GP132" s="3"/>
      <c r="GQ132" s="3"/>
      <c r="GR132" s="3"/>
      <c r="GS132" s="3"/>
      <c r="GT132" s="3"/>
      <c r="GU132" s="3"/>
      <c r="GV132" s="3"/>
      <c r="GW132" s="3"/>
      <c r="GX132" s="3"/>
      <c r="GY132" s="3"/>
      <c r="GZ132" s="3"/>
      <c r="HA132" s="3"/>
      <c r="HB132" s="3"/>
      <c r="HC132" s="3"/>
    </row>
    <row r="133" spans="3:211" x14ac:dyDescent="0.2"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  <c r="FM133" s="3"/>
      <c r="FN133" s="3"/>
      <c r="FO133" s="3"/>
      <c r="FP133" s="3"/>
      <c r="FQ133" s="3"/>
      <c r="FR133" s="3"/>
      <c r="FS133" s="3"/>
      <c r="FT133" s="3"/>
      <c r="FU133" s="3"/>
      <c r="FV133" s="3"/>
      <c r="FW133" s="3"/>
      <c r="FX133" s="3"/>
      <c r="FY133" s="3"/>
      <c r="FZ133" s="3"/>
      <c r="GA133" s="3"/>
      <c r="GB133" s="3"/>
      <c r="GC133" s="3"/>
      <c r="GD133" s="3"/>
      <c r="GE133" s="3"/>
      <c r="GF133" s="3"/>
      <c r="GG133" s="3"/>
      <c r="GH133" s="3"/>
      <c r="GI133" s="3"/>
      <c r="GJ133" s="3"/>
      <c r="GK133" s="3"/>
      <c r="GL133" s="3"/>
      <c r="GM133" s="3"/>
      <c r="GN133" s="3"/>
      <c r="GO133" s="3"/>
      <c r="GP133" s="3"/>
      <c r="GQ133" s="3"/>
      <c r="GR133" s="3"/>
      <c r="GS133" s="3"/>
      <c r="GT133" s="3"/>
      <c r="GU133" s="3"/>
      <c r="GV133" s="3"/>
      <c r="GW133" s="3"/>
      <c r="GX133" s="3"/>
      <c r="GY133" s="3"/>
      <c r="GZ133" s="3"/>
      <c r="HA133" s="3"/>
      <c r="HB133" s="3"/>
      <c r="HC133" s="3"/>
    </row>
    <row r="134" spans="3:211" x14ac:dyDescent="0.2"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  <c r="FX134" s="3"/>
      <c r="FY134" s="3"/>
      <c r="FZ134" s="3"/>
      <c r="GA134" s="3"/>
      <c r="GB134" s="3"/>
      <c r="GC134" s="3"/>
      <c r="GD134" s="3"/>
      <c r="GE134" s="3"/>
      <c r="GF134" s="3"/>
      <c r="GG134" s="3"/>
      <c r="GH134" s="3"/>
      <c r="GI134" s="3"/>
      <c r="GJ134" s="3"/>
      <c r="GK134" s="3"/>
      <c r="GL134" s="3"/>
      <c r="GM134" s="3"/>
      <c r="GN134" s="3"/>
      <c r="GO134" s="3"/>
      <c r="GP134" s="3"/>
      <c r="GQ134" s="3"/>
      <c r="GR134" s="3"/>
      <c r="GS134" s="3"/>
      <c r="GT134" s="3"/>
      <c r="GU134" s="3"/>
      <c r="GV134" s="3"/>
      <c r="GW134" s="3"/>
      <c r="GX134" s="3"/>
      <c r="GY134" s="3"/>
      <c r="GZ134" s="3"/>
      <c r="HA134" s="3"/>
      <c r="HB134" s="3"/>
      <c r="HC134" s="3"/>
    </row>
    <row r="135" spans="3:211" x14ac:dyDescent="0.2"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  <c r="FT135" s="3"/>
      <c r="FU135" s="3"/>
      <c r="FV135" s="3"/>
      <c r="FW135" s="3"/>
      <c r="FX135" s="3"/>
      <c r="FY135" s="3"/>
      <c r="FZ135" s="3"/>
      <c r="GA135" s="3"/>
      <c r="GB135" s="3"/>
      <c r="GC135" s="3"/>
      <c r="GD135" s="3"/>
      <c r="GE135" s="3"/>
      <c r="GF135" s="3"/>
      <c r="GG135" s="3"/>
      <c r="GH135" s="3"/>
      <c r="GI135" s="3"/>
      <c r="GJ135" s="3"/>
      <c r="GK135" s="3"/>
      <c r="GL135" s="3"/>
      <c r="GM135" s="3"/>
      <c r="GN135" s="3"/>
      <c r="GO135" s="3"/>
      <c r="GP135" s="3"/>
      <c r="GQ135" s="3"/>
      <c r="GR135" s="3"/>
      <c r="GS135" s="3"/>
      <c r="GT135" s="3"/>
      <c r="GU135" s="3"/>
      <c r="GV135" s="3"/>
      <c r="GW135" s="3"/>
      <c r="GX135" s="3"/>
      <c r="GY135" s="3"/>
      <c r="GZ135" s="3"/>
      <c r="HA135" s="3"/>
      <c r="HB135" s="3"/>
      <c r="HC135" s="3"/>
    </row>
    <row r="136" spans="3:211" x14ac:dyDescent="0.2"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  <c r="FX136" s="3"/>
      <c r="FY136" s="3"/>
      <c r="FZ136" s="3"/>
      <c r="GA136" s="3"/>
      <c r="GB136" s="3"/>
      <c r="GC136" s="3"/>
      <c r="GD136" s="3"/>
      <c r="GE136" s="3"/>
      <c r="GF136" s="3"/>
      <c r="GG136" s="3"/>
      <c r="GH136" s="3"/>
      <c r="GI136" s="3"/>
      <c r="GJ136" s="3"/>
      <c r="GK136" s="3"/>
      <c r="GL136" s="3"/>
      <c r="GM136" s="3"/>
      <c r="GN136" s="3"/>
      <c r="GO136" s="3"/>
      <c r="GP136" s="3"/>
      <c r="GQ136" s="3"/>
      <c r="GR136" s="3"/>
      <c r="GS136" s="3"/>
      <c r="GT136" s="3"/>
      <c r="GU136" s="3"/>
      <c r="GV136" s="3"/>
      <c r="GW136" s="3"/>
      <c r="GX136" s="3"/>
      <c r="GY136" s="3"/>
      <c r="GZ136" s="3"/>
      <c r="HA136" s="3"/>
      <c r="HB136" s="3"/>
      <c r="HC136" s="3"/>
    </row>
    <row r="137" spans="3:211" x14ac:dyDescent="0.2"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/>
      <c r="FT137" s="3"/>
      <c r="FU137" s="3"/>
      <c r="FV137" s="3"/>
      <c r="FW137" s="3"/>
      <c r="FX137" s="3"/>
      <c r="FY137" s="3"/>
      <c r="FZ137" s="3"/>
      <c r="GA137" s="3"/>
      <c r="GB137" s="3"/>
      <c r="GC137" s="3"/>
      <c r="GD137" s="3"/>
      <c r="GE137" s="3"/>
      <c r="GF137" s="3"/>
      <c r="GG137" s="3"/>
      <c r="GH137" s="3"/>
      <c r="GI137" s="3"/>
      <c r="GJ137" s="3"/>
      <c r="GK137" s="3"/>
      <c r="GL137" s="3"/>
      <c r="GM137" s="3"/>
      <c r="GN137" s="3"/>
      <c r="GO137" s="3"/>
      <c r="GP137" s="3"/>
      <c r="GQ137" s="3"/>
      <c r="GR137" s="3"/>
      <c r="GS137" s="3"/>
      <c r="GT137" s="3"/>
      <c r="GU137" s="3"/>
      <c r="GV137" s="3"/>
      <c r="GW137" s="3"/>
      <c r="GX137" s="3"/>
      <c r="GY137" s="3"/>
      <c r="GZ137" s="3"/>
      <c r="HA137" s="3"/>
      <c r="HB137" s="3"/>
      <c r="HC137" s="3"/>
    </row>
    <row r="138" spans="3:211" x14ac:dyDescent="0.2"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/>
      <c r="FT138" s="3"/>
      <c r="FU138" s="3"/>
      <c r="FV138" s="3"/>
      <c r="FW138" s="3"/>
      <c r="FX138" s="3"/>
      <c r="FY138" s="3"/>
      <c r="FZ138" s="3"/>
      <c r="GA138" s="3"/>
      <c r="GB138" s="3"/>
      <c r="GC138" s="3"/>
      <c r="GD138" s="3"/>
      <c r="GE138" s="3"/>
      <c r="GF138" s="3"/>
      <c r="GG138" s="3"/>
      <c r="GH138" s="3"/>
      <c r="GI138" s="3"/>
      <c r="GJ138" s="3"/>
      <c r="GK138" s="3"/>
      <c r="GL138" s="3"/>
      <c r="GM138" s="3"/>
      <c r="GN138" s="3"/>
      <c r="GO138" s="3"/>
      <c r="GP138" s="3"/>
      <c r="GQ138" s="3"/>
      <c r="GR138" s="3"/>
      <c r="GS138" s="3"/>
      <c r="GT138" s="3"/>
      <c r="GU138" s="3"/>
      <c r="GV138" s="3"/>
      <c r="GW138" s="3"/>
      <c r="GX138" s="3"/>
      <c r="GY138" s="3"/>
      <c r="GZ138" s="3"/>
      <c r="HA138" s="3"/>
      <c r="HB138" s="3"/>
      <c r="HC138" s="3"/>
    </row>
    <row r="139" spans="3:211" x14ac:dyDescent="0.2"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  <c r="FX139" s="3"/>
      <c r="FY139" s="3"/>
      <c r="FZ139" s="3"/>
      <c r="GA139" s="3"/>
      <c r="GB139" s="3"/>
      <c r="GC139" s="3"/>
      <c r="GD139" s="3"/>
      <c r="GE139" s="3"/>
      <c r="GF139" s="3"/>
      <c r="GG139" s="3"/>
      <c r="GH139" s="3"/>
      <c r="GI139" s="3"/>
      <c r="GJ139" s="3"/>
      <c r="GK139" s="3"/>
      <c r="GL139" s="3"/>
      <c r="GM139" s="3"/>
      <c r="GN139" s="3"/>
      <c r="GO139" s="3"/>
      <c r="GP139" s="3"/>
      <c r="GQ139" s="3"/>
      <c r="GR139" s="3"/>
      <c r="GS139" s="3"/>
      <c r="GT139" s="3"/>
      <c r="GU139" s="3"/>
      <c r="GV139" s="3"/>
      <c r="GW139" s="3"/>
      <c r="GX139" s="3"/>
      <c r="GY139" s="3"/>
      <c r="GZ139" s="3"/>
      <c r="HA139" s="3"/>
      <c r="HB139" s="3"/>
      <c r="HC139" s="3"/>
    </row>
    <row r="140" spans="3:211" x14ac:dyDescent="0.2"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  <c r="FX140" s="3"/>
      <c r="FY140" s="3"/>
      <c r="FZ140" s="3"/>
      <c r="GA140" s="3"/>
      <c r="GB140" s="3"/>
      <c r="GC140" s="3"/>
      <c r="GD140" s="3"/>
      <c r="GE140" s="3"/>
      <c r="GF140" s="3"/>
      <c r="GG140" s="3"/>
      <c r="GH140" s="3"/>
      <c r="GI140" s="3"/>
      <c r="GJ140" s="3"/>
      <c r="GK140" s="3"/>
      <c r="GL140" s="3"/>
      <c r="GM140" s="3"/>
      <c r="GN140" s="3"/>
      <c r="GO140" s="3"/>
      <c r="GP140" s="3"/>
      <c r="GQ140" s="3"/>
      <c r="GR140" s="3"/>
      <c r="GS140" s="3"/>
      <c r="GT140" s="3"/>
      <c r="GU140" s="3"/>
      <c r="GV140" s="3"/>
      <c r="GW140" s="3"/>
      <c r="GX140" s="3"/>
      <c r="GY140" s="3"/>
      <c r="GZ140" s="3"/>
      <c r="HA140" s="3"/>
      <c r="HB140" s="3"/>
      <c r="HC140" s="3"/>
    </row>
    <row r="141" spans="3:211" x14ac:dyDescent="0.2"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  <c r="FX141" s="3"/>
      <c r="FY141" s="3"/>
      <c r="FZ141" s="3"/>
      <c r="GA141" s="3"/>
      <c r="GB141" s="3"/>
      <c r="GC141" s="3"/>
      <c r="GD141" s="3"/>
      <c r="GE141" s="3"/>
      <c r="GF141" s="3"/>
      <c r="GG141" s="3"/>
      <c r="GH141" s="3"/>
      <c r="GI141" s="3"/>
      <c r="GJ141" s="3"/>
      <c r="GK141" s="3"/>
      <c r="GL141" s="3"/>
      <c r="GM141" s="3"/>
      <c r="GN141" s="3"/>
      <c r="GO141" s="3"/>
      <c r="GP141" s="3"/>
      <c r="GQ141" s="3"/>
      <c r="GR141" s="3"/>
      <c r="GS141" s="3"/>
      <c r="GT141" s="3"/>
      <c r="GU141" s="3"/>
      <c r="GV141" s="3"/>
      <c r="GW141" s="3"/>
      <c r="GX141" s="3"/>
      <c r="GY141" s="3"/>
      <c r="GZ141" s="3"/>
      <c r="HA141" s="3"/>
      <c r="HB141" s="3"/>
      <c r="HC141" s="3"/>
    </row>
    <row r="142" spans="3:211" x14ac:dyDescent="0.2"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  <c r="FZ142" s="3"/>
      <c r="GA142" s="3"/>
      <c r="GB142" s="3"/>
      <c r="GC142" s="3"/>
      <c r="GD142" s="3"/>
      <c r="GE142" s="3"/>
      <c r="GF142" s="3"/>
      <c r="GG142" s="3"/>
      <c r="GH142" s="3"/>
      <c r="GI142" s="3"/>
      <c r="GJ142" s="3"/>
      <c r="GK142" s="3"/>
      <c r="GL142" s="3"/>
      <c r="GM142" s="3"/>
      <c r="GN142" s="3"/>
      <c r="GO142" s="3"/>
      <c r="GP142" s="3"/>
      <c r="GQ142" s="3"/>
      <c r="GR142" s="3"/>
      <c r="GS142" s="3"/>
      <c r="GT142" s="3"/>
      <c r="GU142" s="3"/>
      <c r="GV142" s="3"/>
      <c r="GW142" s="3"/>
      <c r="GX142" s="3"/>
      <c r="GY142" s="3"/>
      <c r="GZ142" s="3"/>
      <c r="HA142" s="3"/>
      <c r="HB142" s="3"/>
      <c r="HC142" s="3"/>
    </row>
    <row r="143" spans="3:211" x14ac:dyDescent="0.2"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  <c r="FT143" s="3"/>
      <c r="FU143" s="3"/>
      <c r="FV143" s="3"/>
      <c r="FW143" s="3"/>
      <c r="FX143" s="3"/>
      <c r="FY143" s="3"/>
      <c r="FZ143" s="3"/>
      <c r="GA143" s="3"/>
      <c r="GB143" s="3"/>
      <c r="GC143" s="3"/>
      <c r="GD143" s="3"/>
      <c r="GE143" s="3"/>
      <c r="GF143" s="3"/>
      <c r="GG143" s="3"/>
      <c r="GH143" s="3"/>
      <c r="GI143" s="3"/>
      <c r="GJ143" s="3"/>
      <c r="GK143" s="3"/>
      <c r="GL143" s="3"/>
      <c r="GM143" s="3"/>
      <c r="GN143" s="3"/>
      <c r="GO143" s="3"/>
      <c r="GP143" s="3"/>
      <c r="GQ143" s="3"/>
      <c r="GR143" s="3"/>
      <c r="GS143" s="3"/>
      <c r="GT143" s="3"/>
      <c r="GU143" s="3"/>
      <c r="GV143" s="3"/>
      <c r="GW143" s="3"/>
      <c r="GX143" s="3"/>
      <c r="GY143" s="3"/>
      <c r="GZ143" s="3"/>
      <c r="HA143" s="3"/>
      <c r="HB143" s="3"/>
      <c r="HC143" s="3"/>
    </row>
    <row r="144" spans="3:211" x14ac:dyDescent="0.2"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  <c r="FX144" s="3"/>
      <c r="FY144" s="3"/>
      <c r="FZ144" s="3"/>
      <c r="GA144" s="3"/>
      <c r="GB144" s="3"/>
      <c r="GC144" s="3"/>
      <c r="GD144" s="3"/>
      <c r="GE144" s="3"/>
      <c r="GF144" s="3"/>
      <c r="GG144" s="3"/>
      <c r="GH144" s="3"/>
      <c r="GI144" s="3"/>
      <c r="GJ144" s="3"/>
      <c r="GK144" s="3"/>
      <c r="GL144" s="3"/>
      <c r="GM144" s="3"/>
      <c r="GN144" s="3"/>
      <c r="GO144" s="3"/>
      <c r="GP144" s="3"/>
      <c r="GQ144" s="3"/>
      <c r="GR144" s="3"/>
      <c r="GS144" s="3"/>
      <c r="GT144" s="3"/>
      <c r="GU144" s="3"/>
      <c r="GV144" s="3"/>
      <c r="GW144" s="3"/>
      <c r="GX144" s="3"/>
      <c r="GY144" s="3"/>
      <c r="GZ144" s="3"/>
      <c r="HA144" s="3"/>
      <c r="HB144" s="3"/>
      <c r="HC144" s="3"/>
    </row>
    <row r="145" spans="3:211" x14ac:dyDescent="0.2"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  <c r="FT145" s="3"/>
      <c r="FU145" s="3"/>
      <c r="FV145" s="3"/>
      <c r="FW145" s="3"/>
      <c r="FX145" s="3"/>
      <c r="FY145" s="3"/>
      <c r="FZ145" s="3"/>
      <c r="GA145" s="3"/>
      <c r="GB145" s="3"/>
      <c r="GC145" s="3"/>
      <c r="GD145" s="3"/>
      <c r="GE145" s="3"/>
      <c r="GF145" s="3"/>
      <c r="GG145" s="3"/>
      <c r="GH145" s="3"/>
      <c r="GI145" s="3"/>
      <c r="GJ145" s="3"/>
      <c r="GK145" s="3"/>
      <c r="GL145" s="3"/>
      <c r="GM145" s="3"/>
      <c r="GN145" s="3"/>
      <c r="GO145" s="3"/>
      <c r="GP145" s="3"/>
      <c r="GQ145" s="3"/>
      <c r="GR145" s="3"/>
      <c r="GS145" s="3"/>
      <c r="GT145" s="3"/>
      <c r="GU145" s="3"/>
      <c r="GV145" s="3"/>
      <c r="GW145" s="3"/>
      <c r="GX145" s="3"/>
      <c r="GY145" s="3"/>
      <c r="GZ145" s="3"/>
      <c r="HA145" s="3"/>
      <c r="HB145" s="3"/>
      <c r="HC145" s="3"/>
    </row>
    <row r="146" spans="3:211" x14ac:dyDescent="0.2"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/>
      <c r="FT146" s="3"/>
      <c r="FU146" s="3"/>
      <c r="FV146" s="3"/>
      <c r="FW146" s="3"/>
      <c r="FX146" s="3"/>
      <c r="FY146" s="3"/>
      <c r="FZ146" s="3"/>
      <c r="GA146" s="3"/>
      <c r="GB146" s="3"/>
      <c r="GC146" s="3"/>
      <c r="GD146" s="3"/>
      <c r="GE146" s="3"/>
      <c r="GF146" s="3"/>
      <c r="GG146" s="3"/>
      <c r="GH146" s="3"/>
      <c r="GI146" s="3"/>
      <c r="GJ146" s="3"/>
      <c r="GK146" s="3"/>
      <c r="GL146" s="3"/>
      <c r="GM146" s="3"/>
      <c r="GN146" s="3"/>
      <c r="GO146" s="3"/>
      <c r="GP146" s="3"/>
      <c r="GQ146" s="3"/>
      <c r="GR146" s="3"/>
      <c r="GS146" s="3"/>
      <c r="GT146" s="3"/>
      <c r="GU146" s="3"/>
      <c r="GV146" s="3"/>
      <c r="GW146" s="3"/>
      <c r="GX146" s="3"/>
      <c r="GY146" s="3"/>
      <c r="GZ146" s="3"/>
      <c r="HA146" s="3"/>
      <c r="HB146" s="3"/>
      <c r="HC146" s="3"/>
    </row>
    <row r="147" spans="3:211" x14ac:dyDescent="0.2"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/>
      <c r="FT147" s="3"/>
      <c r="FU147" s="3"/>
      <c r="FV147" s="3"/>
      <c r="FW147" s="3"/>
      <c r="FX147" s="3"/>
      <c r="FY147" s="3"/>
      <c r="FZ147" s="3"/>
      <c r="GA147" s="3"/>
      <c r="GB147" s="3"/>
      <c r="GC147" s="3"/>
      <c r="GD147" s="3"/>
      <c r="GE147" s="3"/>
      <c r="GF147" s="3"/>
      <c r="GG147" s="3"/>
      <c r="GH147" s="3"/>
      <c r="GI147" s="3"/>
      <c r="GJ147" s="3"/>
      <c r="GK147" s="3"/>
      <c r="GL147" s="3"/>
      <c r="GM147" s="3"/>
      <c r="GN147" s="3"/>
      <c r="GO147" s="3"/>
      <c r="GP147" s="3"/>
      <c r="GQ147" s="3"/>
      <c r="GR147" s="3"/>
      <c r="GS147" s="3"/>
      <c r="GT147" s="3"/>
      <c r="GU147" s="3"/>
      <c r="GV147" s="3"/>
      <c r="GW147" s="3"/>
      <c r="GX147" s="3"/>
      <c r="GY147" s="3"/>
      <c r="GZ147" s="3"/>
      <c r="HA147" s="3"/>
      <c r="HB147" s="3"/>
      <c r="HC147" s="3"/>
    </row>
    <row r="148" spans="3:211" x14ac:dyDescent="0.2"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  <c r="FX148" s="3"/>
      <c r="FY148" s="3"/>
      <c r="FZ148" s="3"/>
      <c r="GA148" s="3"/>
      <c r="GB148" s="3"/>
      <c r="GC148" s="3"/>
      <c r="GD148" s="3"/>
      <c r="GE148" s="3"/>
      <c r="GF148" s="3"/>
      <c r="GG148" s="3"/>
      <c r="GH148" s="3"/>
      <c r="GI148" s="3"/>
      <c r="GJ148" s="3"/>
      <c r="GK148" s="3"/>
      <c r="GL148" s="3"/>
      <c r="GM148" s="3"/>
      <c r="GN148" s="3"/>
      <c r="GO148" s="3"/>
      <c r="GP148" s="3"/>
      <c r="GQ148" s="3"/>
      <c r="GR148" s="3"/>
      <c r="GS148" s="3"/>
      <c r="GT148" s="3"/>
      <c r="GU148" s="3"/>
      <c r="GV148" s="3"/>
      <c r="GW148" s="3"/>
      <c r="GX148" s="3"/>
      <c r="GY148" s="3"/>
      <c r="GZ148" s="3"/>
      <c r="HA148" s="3"/>
      <c r="HB148" s="3"/>
      <c r="HC148" s="3"/>
    </row>
    <row r="149" spans="3:211" x14ac:dyDescent="0.2"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3"/>
      <c r="GA149" s="3"/>
      <c r="GB149" s="3"/>
      <c r="GC149" s="3"/>
      <c r="GD149" s="3"/>
      <c r="GE149" s="3"/>
      <c r="GF149" s="3"/>
      <c r="GG149" s="3"/>
      <c r="GH149" s="3"/>
      <c r="GI149" s="3"/>
      <c r="GJ149" s="3"/>
      <c r="GK149" s="3"/>
      <c r="GL149" s="3"/>
      <c r="GM149" s="3"/>
      <c r="GN149" s="3"/>
      <c r="GO149" s="3"/>
      <c r="GP149" s="3"/>
      <c r="GQ149" s="3"/>
      <c r="GR149" s="3"/>
      <c r="GS149" s="3"/>
      <c r="GT149" s="3"/>
      <c r="GU149" s="3"/>
      <c r="GV149" s="3"/>
      <c r="GW149" s="3"/>
      <c r="GX149" s="3"/>
      <c r="GY149" s="3"/>
      <c r="GZ149" s="3"/>
      <c r="HA149" s="3"/>
      <c r="HB149" s="3"/>
      <c r="HC149" s="3"/>
    </row>
    <row r="150" spans="3:211" x14ac:dyDescent="0.2"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  <c r="FX150" s="3"/>
      <c r="FY150" s="3"/>
      <c r="FZ150" s="3"/>
      <c r="GA150" s="3"/>
      <c r="GB150" s="3"/>
      <c r="GC150" s="3"/>
      <c r="GD150" s="3"/>
      <c r="GE150" s="3"/>
      <c r="GF150" s="3"/>
      <c r="GG150" s="3"/>
      <c r="GH150" s="3"/>
      <c r="GI150" s="3"/>
      <c r="GJ150" s="3"/>
      <c r="GK150" s="3"/>
      <c r="GL150" s="3"/>
      <c r="GM150" s="3"/>
      <c r="GN150" s="3"/>
      <c r="GO150" s="3"/>
      <c r="GP150" s="3"/>
      <c r="GQ150" s="3"/>
      <c r="GR150" s="3"/>
      <c r="GS150" s="3"/>
      <c r="GT150" s="3"/>
      <c r="GU150" s="3"/>
      <c r="GV150" s="3"/>
      <c r="GW150" s="3"/>
      <c r="GX150" s="3"/>
      <c r="GY150" s="3"/>
      <c r="GZ150" s="3"/>
      <c r="HA150" s="3"/>
      <c r="HB150" s="3"/>
      <c r="HC150" s="3"/>
    </row>
    <row r="151" spans="3:211" x14ac:dyDescent="0.2"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  <c r="FX151" s="3"/>
      <c r="FY151" s="3"/>
      <c r="FZ151" s="3"/>
      <c r="GA151" s="3"/>
      <c r="GB151" s="3"/>
      <c r="GC151" s="3"/>
      <c r="GD151" s="3"/>
      <c r="GE151" s="3"/>
      <c r="GF151" s="3"/>
      <c r="GG151" s="3"/>
      <c r="GH151" s="3"/>
      <c r="GI151" s="3"/>
      <c r="GJ151" s="3"/>
      <c r="GK151" s="3"/>
      <c r="GL151" s="3"/>
      <c r="GM151" s="3"/>
      <c r="GN151" s="3"/>
      <c r="GO151" s="3"/>
      <c r="GP151" s="3"/>
      <c r="GQ151" s="3"/>
      <c r="GR151" s="3"/>
      <c r="GS151" s="3"/>
      <c r="GT151" s="3"/>
      <c r="GU151" s="3"/>
      <c r="GV151" s="3"/>
      <c r="GW151" s="3"/>
      <c r="GX151" s="3"/>
      <c r="GY151" s="3"/>
      <c r="GZ151" s="3"/>
      <c r="HA151" s="3"/>
      <c r="HB151" s="3"/>
      <c r="HC151" s="3"/>
    </row>
    <row r="152" spans="3:211" x14ac:dyDescent="0.2"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  <c r="FZ152" s="3"/>
      <c r="GA152" s="3"/>
      <c r="GB152" s="3"/>
      <c r="GC152" s="3"/>
      <c r="GD152" s="3"/>
      <c r="GE152" s="3"/>
      <c r="GF152" s="3"/>
      <c r="GG152" s="3"/>
      <c r="GH152" s="3"/>
      <c r="GI152" s="3"/>
      <c r="GJ152" s="3"/>
      <c r="GK152" s="3"/>
      <c r="GL152" s="3"/>
      <c r="GM152" s="3"/>
      <c r="GN152" s="3"/>
      <c r="GO152" s="3"/>
      <c r="GP152" s="3"/>
      <c r="GQ152" s="3"/>
      <c r="GR152" s="3"/>
      <c r="GS152" s="3"/>
      <c r="GT152" s="3"/>
      <c r="GU152" s="3"/>
      <c r="GV152" s="3"/>
      <c r="GW152" s="3"/>
      <c r="GX152" s="3"/>
      <c r="GY152" s="3"/>
      <c r="GZ152" s="3"/>
      <c r="HA152" s="3"/>
      <c r="HB152" s="3"/>
      <c r="HC152" s="3"/>
    </row>
    <row r="153" spans="3:211" x14ac:dyDescent="0.2"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  <c r="FX153" s="3"/>
      <c r="FY153" s="3"/>
      <c r="FZ153" s="3"/>
      <c r="GA153" s="3"/>
      <c r="GB153" s="3"/>
      <c r="GC153" s="3"/>
      <c r="GD153" s="3"/>
      <c r="GE153" s="3"/>
      <c r="GF153" s="3"/>
      <c r="GG153" s="3"/>
      <c r="GH153" s="3"/>
      <c r="GI153" s="3"/>
      <c r="GJ153" s="3"/>
      <c r="GK153" s="3"/>
      <c r="GL153" s="3"/>
      <c r="GM153" s="3"/>
      <c r="GN153" s="3"/>
      <c r="GO153" s="3"/>
      <c r="GP153" s="3"/>
      <c r="GQ153" s="3"/>
      <c r="GR153" s="3"/>
      <c r="GS153" s="3"/>
      <c r="GT153" s="3"/>
      <c r="GU153" s="3"/>
      <c r="GV153" s="3"/>
      <c r="GW153" s="3"/>
      <c r="GX153" s="3"/>
      <c r="GY153" s="3"/>
      <c r="GZ153" s="3"/>
      <c r="HA153" s="3"/>
      <c r="HB153" s="3"/>
      <c r="HC153" s="3"/>
    </row>
    <row r="154" spans="3:211" x14ac:dyDescent="0.2"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  <c r="FX154" s="3"/>
      <c r="FY154" s="3"/>
      <c r="FZ154" s="3"/>
      <c r="GA154" s="3"/>
      <c r="GB154" s="3"/>
      <c r="GC154" s="3"/>
      <c r="GD154" s="3"/>
      <c r="GE154" s="3"/>
      <c r="GF154" s="3"/>
      <c r="GG154" s="3"/>
      <c r="GH154" s="3"/>
      <c r="GI154" s="3"/>
      <c r="GJ154" s="3"/>
      <c r="GK154" s="3"/>
      <c r="GL154" s="3"/>
      <c r="GM154" s="3"/>
      <c r="GN154" s="3"/>
      <c r="GO154" s="3"/>
      <c r="GP154" s="3"/>
      <c r="GQ154" s="3"/>
      <c r="GR154" s="3"/>
      <c r="GS154" s="3"/>
      <c r="GT154" s="3"/>
      <c r="GU154" s="3"/>
      <c r="GV154" s="3"/>
      <c r="GW154" s="3"/>
      <c r="GX154" s="3"/>
      <c r="GY154" s="3"/>
      <c r="GZ154" s="3"/>
      <c r="HA154" s="3"/>
      <c r="HB154" s="3"/>
      <c r="HC154" s="3"/>
    </row>
    <row r="155" spans="3:211" x14ac:dyDescent="0.2"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  <c r="FM155" s="3"/>
      <c r="FN155" s="3"/>
      <c r="FO155" s="3"/>
      <c r="FP155" s="3"/>
      <c r="FQ155" s="3"/>
      <c r="FR155" s="3"/>
      <c r="FS155" s="3"/>
      <c r="FT155" s="3"/>
      <c r="FU155" s="3"/>
      <c r="FV155" s="3"/>
      <c r="FW155" s="3"/>
      <c r="FX155" s="3"/>
      <c r="FY155" s="3"/>
      <c r="FZ155" s="3"/>
      <c r="GA155" s="3"/>
      <c r="GB155" s="3"/>
      <c r="GC155" s="3"/>
      <c r="GD155" s="3"/>
      <c r="GE155" s="3"/>
      <c r="GF155" s="3"/>
      <c r="GG155" s="3"/>
      <c r="GH155" s="3"/>
      <c r="GI155" s="3"/>
      <c r="GJ155" s="3"/>
      <c r="GK155" s="3"/>
      <c r="GL155" s="3"/>
      <c r="GM155" s="3"/>
      <c r="GN155" s="3"/>
      <c r="GO155" s="3"/>
      <c r="GP155" s="3"/>
      <c r="GQ155" s="3"/>
      <c r="GR155" s="3"/>
      <c r="GS155" s="3"/>
      <c r="GT155" s="3"/>
      <c r="GU155" s="3"/>
      <c r="GV155" s="3"/>
      <c r="GW155" s="3"/>
      <c r="GX155" s="3"/>
      <c r="GY155" s="3"/>
      <c r="GZ155" s="3"/>
      <c r="HA155" s="3"/>
      <c r="HB155" s="3"/>
      <c r="HC155" s="3"/>
    </row>
    <row r="156" spans="3:211" x14ac:dyDescent="0.2"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  <c r="FM156" s="3"/>
      <c r="FN156" s="3"/>
      <c r="FO156" s="3"/>
      <c r="FP156" s="3"/>
      <c r="FQ156" s="3"/>
      <c r="FR156" s="3"/>
      <c r="FS156" s="3"/>
      <c r="FT156" s="3"/>
      <c r="FU156" s="3"/>
      <c r="FV156" s="3"/>
      <c r="FW156" s="3"/>
      <c r="FX156" s="3"/>
      <c r="FY156" s="3"/>
      <c r="FZ156" s="3"/>
      <c r="GA156" s="3"/>
      <c r="GB156" s="3"/>
      <c r="GC156" s="3"/>
      <c r="GD156" s="3"/>
      <c r="GE156" s="3"/>
      <c r="GF156" s="3"/>
      <c r="GG156" s="3"/>
      <c r="GH156" s="3"/>
      <c r="GI156" s="3"/>
      <c r="GJ156" s="3"/>
      <c r="GK156" s="3"/>
      <c r="GL156" s="3"/>
      <c r="GM156" s="3"/>
      <c r="GN156" s="3"/>
      <c r="GO156" s="3"/>
      <c r="GP156" s="3"/>
      <c r="GQ156" s="3"/>
      <c r="GR156" s="3"/>
      <c r="GS156" s="3"/>
      <c r="GT156" s="3"/>
      <c r="GU156" s="3"/>
      <c r="GV156" s="3"/>
      <c r="GW156" s="3"/>
      <c r="GX156" s="3"/>
      <c r="GY156" s="3"/>
      <c r="GZ156" s="3"/>
      <c r="HA156" s="3"/>
      <c r="HB156" s="3"/>
      <c r="HC156" s="3"/>
    </row>
    <row r="157" spans="3:211" x14ac:dyDescent="0.2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  <c r="FM157" s="3"/>
      <c r="FN157" s="3"/>
      <c r="FO157" s="3"/>
      <c r="FP157" s="3"/>
      <c r="FQ157" s="3"/>
      <c r="FR157" s="3"/>
      <c r="FS157" s="3"/>
      <c r="FT157" s="3"/>
      <c r="FU157" s="3"/>
      <c r="FV157" s="3"/>
      <c r="FW157" s="3"/>
      <c r="FX157" s="3"/>
      <c r="FY157" s="3"/>
      <c r="FZ157" s="3"/>
      <c r="GA157" s="3"/>
      <c r="GB157" s="3"/>
      <c r="GC157" s="3"/>
      <c r="GD157" s="3"/>
      <c r="GE157" s="3"/>
      <c r="GF157" s="3"/>
      <c r="GG157" s="3"/>
      <c r="GH157" s="3"/>
      <c r="GI157" s="3"/>
      <c r="GJ157" s="3"/>
      <c r="GK157" s="3"/>
      <c r="GL157" s="3"/>
      <c r="GM157" s="3"/>
      <c r="GN157" s="3"/>
      <c r="GO157" s="3"/>
      <c r="GP157" s="3"/>
      <c r="GQ157" s="3"/>
      <c r="GR157" s="3"/>
      <c r="GS157" s="3"/>
      <c r="GT157" s="3"/>
      <c r="GU157" s="3"/>
      <c r="GV157" s="3"/>
      <c r="GW157" s="3"/>
      <c r="GX157" s="3"/>
      <c r="GY157" s="3"/>
      <c r="GZ157" s="3"/>
      <c r="HA157" s="3"/>
      <c r="HB157" s="3"/>
      <c r="HC157" s="3"/>
    </row>
    <row r="158" spans="3:211" x14ac:dyDescent="0.2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/>
      <c r="FQ158" s="3"/>
      <c r="FR158" s="3"/>
      <c r="FS158" s="3"/>
      <c r="FT158" s="3"/>
      <c r="FU158" s="3"/>
      <c r="FV158" s="3"/>
      <c r="FW158" s="3"/>
      <c r="FX158" s="3"/>
      <c r="FY158" s="3"/>
      <c r="FZ158" s="3"/>
      <c r="GA158" s="3"/>
      <c r="GB158" s="3"/>
      <c r="GC158" s="3"/>
      <c r="GD158" s="3"/>
      <c r="GE158" s="3"/>
      <c r="GF158" s="3"/>
      <c r="GG158" s="3"/>
      <c r="GH158" s="3"/>
      <c r="GI158" s="3"/>
      <c r="GJ158" s="3"/>
      <c r="GK158" s="3"/>
      <c r="GL158" s="3"/>
      <c r="GM158" s="3"/>
      <c r="GN158" s="3"/>
      <c r="GO158" s="3"/>
      <c r="GP158" s="3"/>
      <c r="GQ158" s="3"/>
      <c r="GR158" s="3"/>
      <c r="GS158" s="3"/>
      <c r="GT158" s="3"/>
      <c r="GU158" s="3"/>
      <c r="GV158" s="3"/>
      <c r="GW158" s="3"/>
      <c r="GX158" s="3"/>
      <c r="GY158" s="3"/>
      <c r="GZ158" s="3"/>
      <c r="HA158" s="3"/>
      <c r="HB158" s="3"/>
      <c r="HC158" s="3"/>
    </row>
    <row r="159" spans="3:211" x14ac:dyDescent="0.2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/>
      <c r="FR159" s="3"/>
      <c r="FS159" s="3"/>
      <c r="FT159" s="3"/>
      <c r="FU159" s="3"/>
      <c r="FV159" s="3"/>
      <c r="FW159" s="3"/>
      <c r="FX159" s="3"/>
      <c r="FY159" s="3"/>
      <c r="FZ159" s="3"/>
      <c r="GA159" s="3"/>
      <c r="GB159" s="3"/>
      <c r="GC159" s="3"/>
      <c r="GD159" s="3"/>
      <c r="GE159" s="3"/>
      <c r="GF159" s="3"/>
      <c r="GG159" s="3"/>
      <c r="GH159" s="3"/>
      <c r="GI159" s="3"/>
      <c r="GJ159" s="3"/>
      <c r="GK159" s="3"/>
      <c r="GL159" s="3"/>
      <c r="GM159" s="3"/>
      <c r="GN159" s="3"/>
      <c r="GO159" s="3"/>
      <c r="GP159" s="3"/>
      <c r="GQ159" s="3"/>
      <c r="GR159" s="3"/>
      <c r="GS159" s="3"/>
      <c r="GT159" s="3"/>
      <c r="GU159" s="3"/>
      <c r="GV159" s="3"/>
      <c r="GW159" s="3"/>
      <c r="GX159" s="3"/>
      <c r="GY159" s="3"/>
      <c r="GZ159" s="3"/>
      <c r="HA159" s="3"/>
      <c r="HB159" s="3"/>
      <c r="HC159" s="3"/>
    </row>
    <row r="160" spans="3:211" x14ac:dyDescent="0.2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  <c r="FX160" s="3"/>
      <c r="FY160" s="3"/>
      <c r="FZ160" s="3"/>
      <c r="GA160" s="3"/>
      <c r="GB160" s="3"/>
      <c r="GC160" s="3"/>
      <c r="GD160" s="3"/>
      <c r="GE160" s="3"/>
      <c r="GF160" s="3"/>
      <c r="GG160" s="3"/>
      <c r="GH160" s="3"/>
      <c r="GI160" s="3"/>
      <c r="GJ160" s="3"/>
      <c r="GK160" s="3"/>
      <c r="GL160" s="3"/>
      <c r="GM160" s="3"/>
      <c r="GN160" s="3"/>
      <c r="GO160" s="3"/>
      <c r="GP160" s="3"/>
      <c r="GQ160" s="3"/>
      <c r="GR160" s="3"/>
      <c r="GS160" s="3"/>
      <c r="GT160" s="3"/>
      <c r="GU160" s="3"/>
      <c r="GV160" s="3"/>
      <c r="GW160" s="3"/>
      <c r="GX160" s="3"/>
      <c r="GY160" s="3"/>
      <c r="GZ160" s="3"/>
      <c r="HA160" s="3"/>
      <c r="HB160" s="3"/>
      <c r="HC160" s="3"/>
    </row>
    <row r="161" spans="3:211" x14ac:dyDescent="0.2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  <c r="FT161" s="3"/>
      <c r="FU161" s="3"/>
      <c r="FV161" s="3"/>
      <c r="FW161" s="3"/>
      <c r="FX161" s="3"/>
      <c r="FY161" s="3"/>
      <c r="FZ161" s="3"/>
      <c r="GA161" s="3"/>
      <c r="GB161" s="3"/>
      <c r="GC161" s="3"/>
      <c r="GD161" s="3"/>
      <c r="GE161" s="3"/>
      <c r="GF161" s="3"/>
      <c r="GG161" s="3"/>
      <c r="GH161" s="3"/>
      <c r="GI161" s="3"/>
      <c r="GJ161" s="3"/>
      <c r="GK161" s="3"/>
      <c r="GL161" s="3"/>
      <c r="GM161" s="3"/>
      <c r="GN161" s="3"/>
      <c r="GO161" s="3"/>
      <c r="GP161" s="3"/>
      <c r="GQ161" s="3"/>
      <c r="GR161" s="3"/>
      <c r="GS161" s="3"/>
      <c r="GT161" s="3"/>
      <c r="GU161" s="3"/>
      <c r="GV161" s="3"/>
      <c r="GW161" s="3"/>
      <c r="GX161" s="3"/>
      <c r="GY161" s="3"/>
      <c r="GZ161" s="3"/>
      <c r="HA161" s="3"/>
      <c r="HB161" s="3"/>
      <c r="HC161" s="3"/>
    </row>
    <row r="162" spans="3:211" x14ac:dyDescent="0.2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  <c r="FT162" s="3"/>
      <c r="FU162" s="3"/>
      <c r="FV162" s="3"/>
      <c r="FW162" s="3"/>
      <c r="FX162" s="3"/>
      <c r="FY162" s="3"/>
      <c r="FZ162" s="3"/>
      <c r="GA162" s="3"/>
      <c r="GB162" s="3"/>
      <c r="GC162" s="3"/>
      <c r="GD162" s="3"/>
      <c r="GE162" s="3"/>
      <c r="GF162" s="3"/>
      <c r="GG162" s="3"/>
      <c r="GH162" s="3"/>
      <c r="GI162" s="3"/>
      <c r="GJ162" s="3"/>
      <c r="GK162" s="3"/>
      <c r="GL162" s="3"/>
      <c r="GM162" s="3"/>
      <c r="GN162" s="3"/>
      <c r="GO162" s="3"/>
      <c r="GP162" s="3"/>
      <c r="GQ162" s="3"/>
      <c r="GR162" s="3"/>
      <c r="GS162" s="3"/>
      <c r="GT162" s="3"/>
      <c r="GU162" s="3"/>
      <c r="GV162" s="3"/>
      <c r="GW162" s="3"/>
      <c r="GX162" s="3"/>
      <c r="GY162" s="3"/>
      <c r="GZ162" s="3"/>
      <c r="HA162" s="3"/>
      <c r="HB162" s="3"/>
      <c r="HC162" s="3"/>
    </row>
    <row r="163" spans="3:211" x14ac:dyDescent="0.2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/>
      <c r="FT163" s="3"/>
      <c r="FU163" s="3"/>
      <c r="FV163" s="3"/>
      <c r="FW163" s="3"/>
      <c r="FX163" s="3"/>
      <c r="FY163" s="3"/>
      <c r="FZ163" s="3"/>
      <c r="GA163" s="3"/>
      <c r="GB163" s="3"/>
      <c r="GC163" s="3"/>
      <c r="GD163" s="3"/>
      <c r="GE163" s="3"/>
      <c r="GF163" s="3"/>
      <c r="GG163" s="3"/>
      <c r="GH163" s="3"/>
      <c r="GI163" s="3"/>
      <c r="GJ163" s="3"/>
      <c r="GK163" s="3"/>
      <c r="GL163" s="3"/>
      <c r="GM163" s="3"/>
      <c r="GN163" s="3"/>
      <c r="GO163" s="3"/>
      <c r="GP163" s="3"/>
      <c r="GQ163" s="3"/>
      <c r="GR163" s="3"/>
      <c r="GS163" s="3"/>
      <c r="GT163" s="3"/>
      <c r="GU163" s="3"/>
      <c r="GV163" s="3"/>
      <c r="GW163" s="3"/>
      <c r="GX163" s="3"/>
      <c r="GY163" s="3"/>
      <c r="GZ163" s="3"/>
      <c r="HA163" s="3"/>
      <c r="HB163" s="3"/>
      <c r="HC163" s="3"/>
    </row>
    <row r="164" spans="3:211" x14ac:dyDescent="0.2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3"/>
      <c r="FR164" s="3"/>
      <c r="FS164" s="3"/>
      <c r="FT164" s="3"/>
      <c r="FU164" s="3"/>
      <c r="FV164" s="3"/>
      <c r="FW164" s="3"/>
      <c r="FX164" s="3"/>
      <c r="FY164" s="3"/>
      <c r="FZ164" s="3"/>
      <c r="GA164" s="3"/>
      <c r="GB164" s="3"/>
      <c r="GC164" s="3"/>
      <c r="GD164" s="3"/>
      <c r="GE164" s="3"/>
      <c r="GF164" s="3"/>
      <c r="GG164" s="3"/>
      <c r="GH164" s="3"/>
      <c r="GI164" s="3"/>
      <c r="GJ164" s="3"/>
      <c r="GK164" s="3"/>
      <c r="GL164" s="3"/>
      <c r="GM164" s="3"/>
      <c r="GN164" s="3"/>
      <c r="GO164" s="3"/>
      <c r="GP164" s="3"/>
      <c r="GQ164" s="3"/>
      <c r="GR164" s="3"/>
      <c r="GS164" s="3"/>
      <c r="GT164" s="3"/>
      <c r="GU164" s="3"/>
      <c r="GV164" s="3"/>
      <c r="GW164" s="3"/>
      <c r="GX164" s="3"/>
      <c r="GY164" s="3"/>
      <c r="GZ164" s="3"/>
      <c r="HA164" s="3"/>
      <c r="HB164" s="3"/>
      <c r="HC164" s="3"/>
    </row>
    <row r="165" spans="3:211" x14ac:dyDescent="0.2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  <c r="FM165" s="3"/>
      <c r="FN165" s="3"/>
      <c r="FO165" s="3"/>
      <c r="FP165" s="3"/>
      <c r="FQ165" s="3"/>
      <c r="FR165" s="3"/>
      <c r="FS165" s="3"/>
      <c r="FT165" s="3"/>
      <c r="FU165" s="3"/>
      <c r="FV165" s="3"/>
      <c r="FW165" s="3"/>
      <c r="FX165" s="3"/>
      <c r="FY165" s="3"/>
      <c r="FZ165" s="3"/>
      <c r="GA165" s="3"/>
      <c r="GB165" s="3"/>
      <c r="GC165" s="3"/>
      <c r="GD165" s="3"/>
      <c r="GE165" s="3"/>
      <c r="GF165" s="3"/>
      <c r="GG165" s="3"/>
      <c r="GH165" s="3"/>
      <c r="GI165" s="3"/>
      <c r="GJ165" s="3"/>
      <c r="GK165" s="3"/>
      <c r="GL165" s="3"/>
      <c r="GM165" s="3"/>
      <c r="GN165" s="3"/>
      <c r="GO165" s="3"/>
      <c r="GP165" s="3"/>
      <c r="GQ165" s="3"/>
      <c r="GR165" s="3"/>
      <c r="GS165" s="3"/>
      <c r="GT165" s="3"/>
      <c r="GU165" s="3"/>
      <c r="GV165" s="3"/>
      <c r="GW165" s="3"/>
      <c r="GX165" s="3"/>
      <c r="GY165" s="3"/>
      <c r="GZ165" s="3"/>
      <c r="HA165" s="3"/>
      <c r="HB165" s="3"/>
      <c r="HC165" s="3"/>
    </row>
    <row r="166" spans="3:211" x14ac:dyDescent="0.2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  <c r="FT166" s="3"/>
      <c r="FU166" s="3"/>
      <c r="FV166" s="3"/>
      <c r="FW166" s="3"/>
      <c r="FX166" s="3"/>
      <c r="FY166" s="3"/>
      <c r="FZ166" s="3"/>
      <c r="GA166" s="3"/>
      <c r="GB166" s="3"/>
      <c r="GC166" s="3"/>
      <c r="GD166" s="3"/>
      <c r="GE166" s="3"/>
      <c r="GF166" s="3"/>
      <c r="GG166" s="3"/>
      <c r="GH166" s="3"/>
      <c r="GI166" s="3"/>
      <c r="GJ166" s="3"/>
      <c r="GK166" s="3"/>
      <c r="GL166" s="3"/>
      <c r="GM166" s="3"/>
      <c r="GN166" s="3"/>
      <c r="GO166" s="3"/>
      <c r="GP166" s="3"/>
      <c r="GQ166" s="3"/>
      <c r="GR166" s="3"/>
      <c r="GS166" s="3"/>
      <c r="GT166" s="3"/>
      <c r="GU166" s="3"/>
      <c r="GV166" s="3"/>
      <c r="GW166" s="3"/>
      <c r="GX166" s="3"/>
      <c r="GY166" s="3"/>
      <c r="GZ166" s="3"/>
      <c r="HA166" s="3"/>
      <c r="HB166" s="3"/>
      <c r="HC166" s="3"/>
    </row>
    <row r="167" spans="3:211" x14ac:dyDescent="0.2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  <c r="FT167" s="3"/>
      <c r="FU167" s="3"/>
      <c r="FV167" s="3"/>
      <c r="FW167" s="3"/>
      <c r="FX167" s="3"/>
      <c r="FY167" s="3"/>
      <c r="FZ167" s="3"/>
      <c r="GA167" s="3"/>
      <c r="GB167" s="3"/>
      <c r="GC167" s="3"/>
      <c r="GD167" s="3"/>
      <c r="GE167" s="3"/>
      <c r="GF167" s="3"/>
      <c r="GG167" s="3"/>
      <c r="GH167" s="3"/>
      <c r="GI167" s="3"/>
      <c r="GJ167" s="3"/>
      <c r="GK167" s="3"/>
      <c r="GL167" s="3"/>
      <c r="GM167" s="3"/>
      <c r="GN167" s="3"/>
      <c r="GO167" s="3"/>
      <c r="GP167" s="3"/>
      <c r="GQ167" s="3"/>
      <c r="GR167" s="3"/>
      <c r="GS167" s="3"/>
      <c r="GT167" s="3"/>
      <c r="GU167" s="3"/>
      <c r="GV167" s="3"/>
      <c r="GW167" s="3"/>
      <c r="GX167" s="3"/>
      <c r="GY167" s="3"/>
      <c r="GZ167" s="3"/>
      <c r="HA167" s="3"/>
      <c r="HB167" s="3"/>
      <c r="HC167" s="3"/>
    </row>
    <row r="168" spans="3:211" x14ac:dyDescent="0.2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  <c r="FX168" s="3"/>
      <c r="FY168" s="3"/>
      <c r="FZ168" s="3"/>
      <c r="GA168" s="3"/>
      <c r="GB168" s="3"/>
      <c r="GC168" s="3"/>
      <c r="GD168" s="3"/>
      <c r="GE168" s="3"/>
      <c r="GF168" s="3"/>
      <c r="GG168" s="3"/>
      <c r="GH168" s="3"/>
      <c r="GI168" s="3"/>
      <c r="GJ168" s="3"/>
      <c r="GK168" s="3"/>
      <c r="GL168" s="3"/>
      <c r="GM168" s="3"/>
      <c r="GN168" s="3"/>
      <c r="GO168" s="3"/>
      <c r="GP168" s="3"/>
      <c r="GQ168" s="3"/>
      <c r="GR168" s="3"/>
      <c r="GS168" s="3"/>
      <c r="GT168" s="3"/>
      <c r="GU168" s="3"/>
      <c r="GV168" s="3"/>
      <c r="GW168" s="3"/>
      <c r="GX168" s="3"/>
      <c r="GY168" s="3"/>
      <c r="GZ168" s="3"/>
      <c r="HA168" s="3"/>
      <c r="HB168" s="3"/>
      <c r="HC168" s="3"/>
    </row>
    <row r="169" spans="3:211" x14ac:dyDescent="0.2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/>
      <c r="FS169" s="3"/>
      <c r="FT169" s="3"/>
      <c r="FU169" s="3"/>
      <c r="FV169" s="3"/>
      <c r="FW169" s="3"/>
      <c r="FX169" s="3"/>
      <c r="FY169" s="3"/>
      <c r="FZ169" s="3"/>
      <c r="GA169" s="3"/>
      <c r="GB169" s="3"/>
      <c r="GC169" s="3"/>
      <c r="GD169" s="3"/>
      <c r="GE169" s="3"/>
      <c r="GF169" s="3"/>
      <c r="GG169" s="3"/>
      <c r="GH169" s="3"/>
      <c r="GI169" s="3"/>
      <c r="GJ169" s="3"/>
      <c r="GK169" s="3"/>
      <c r="GL169" s="3"/>
      <c r="GM169" s="3"/>
      <c r="GN169" s="3"/>
      <c r="GO169" s="3"/>
      <c r="GP169" s="3"/>
      <c r="GQ169" s="3"/>
      <c r="GR169" s="3"/>
      <c r="GS169" s="3"/>
      <c r="GT169" s="3"/>
      <c r="GU169" s="3"/>
      <c r="GV169" s="3"/>
      <c r="GW169" s="3"/>
      <c r="GX169" s="3"/>
      <c r="GY169" s="3"/>
      <c r="GZ169" s="3"/>
      <c r="HA169" s="3"/>
      <c r="HB169" s="3"/>
      <c r="HC169" s="3"/>
    </row>
    <row r="170" spans="3:211" x14ac:dyDescent="0.2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  <c r="FM170" s="3"/>
      <c r="FN170" s="3"/>
      <c r="FO170" s="3"/>
      <c r="FP170" s="3"/>
      <c r="FQ170" s="3"/>
      <c r="FR170" s="3"/>
      <c r="FS170" s="3"/>
      <c r="FT170" s="3"/>
      <c r="FU170" s="3"/>
      <c r="FV170" s="3"/>
      <c r="FW170" s="3"/>
      <c r="FX170" s="3"/>
      <c r="FY170" s="3"/>
      <c r="FZ170" s="3"/>
      <c r="GA170" s="3"/>
      <c r="GB170" s="3"/>
      <c r="GC170" s="3"/>
      <c r="GD170" s="3"/>
      <c r="GE170" s="3"/>
      <c r="GF170" s="3"/>
      <c r="GG170" s="3"/>
      <c r="GH170" s="3"/>
      <c r="GI170" s="3"/>
      <c r="GJ170" s="3"/>
      <c r="GK170" s="3"/>
      <c r="GL170" s="3"/>
      <c r="GM170" s="3"/>
      <c r="GN170" s="3"/>
      <c r="GO170" s="3"/>
      <c r="GP170" s="3"/>
      <c r="GQ170" s="3"/>
      <c r="GR170" s="3"/>
      <c r="GS170" s="3"/>
      <c r="GT170" s="3"/>
      <c r="GU170" s="3"/>
      <c r="GV170" s="3"/>
      <c r="GW170" s="3"/>
      <c r="GX170" s="3"/>
      <c r="GY170" s="3"/>
      <c r="GZ170" s="3"/>
      <c r="HA170" s="3"/>
      <c r="HB170" s="3"/>
      <c r="HC170" s="3"/>
    </row>
    <row r="171" spans="3:211" x14ac:dyDescent="0.2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3"/>
      <c r="FR171" s="3"/>
      <c r="FS171" s="3"/>
      <c r="FT171" s="3"/>
      <c r="FU171" s="3"/>
      <c r="FV171" s="3"/>
      <c r="FW171" s="3"/>
      <c r="FX171" s="3"/>
      <c r="FY171" s="3"/>
      <c r="FZ171" s="3"/>
      <c r="GA171" s="3"/>
      <c r="GB171" s="3"/>
      <c r="GC171" s="3"/>
      <c r="GD171" s="3"/>
      <c r="GE171" s="3"/>
      <c r="GF171" s="3"/>
      <c r="GG171" s="3"/>
      <c r="GH171" s="3"/>
      <c r="GI171" s="3"/>
      <c r="GJ171" s="3"/>
      <c r="GK171" s="3"/>
      <c r="GL171" s="3"/>
      <c r="GM171" s="3"/>
      <c r="GN171" s="3"/>
      <c r="GO171" s="3"/>
      <c r="GP171" s="3"/>
      <c r="GQ171" s="3"/>
      <c r="GR171" s="3"/>
      <c r="GS171" s="3"/>
      <c r="GT171" s="3"/>
      <c r="GU171" s="3"/>
      <c r="GV171" s="3"/>
      <c r="GW171" s="3"/>
      <c r="GX171" s="3"/>
      <c r="GY171" s="3"/>
      <c r="GZ171" s="3"/>
      <c r="HA171" s="3"/>
      <c r="HB171" s="3"/>
      <c r="HC171" s="3"/>
    </row>
    <row r="172" spans="3:211" x14ac:dyDescent="0.2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/>
      <c r="FT172" s="3"/>
      <c r="FU172" s="3"/>
      <c r="FV172" s="3"/>
      <c r="FW172" s="3"/>
      <c r="FX172" s="3"/>
      <c r="FY172" s="3"/>
      <c r="FZ172" s="3"/>
      <c r="GA172" s="3"/>
      <c r="GB172" s="3"/>
      <c r="GC172" s="3"/>
      <c r="GD172" s="3"/>
      <c r="GE172" s="3"/>
      <c r="GF172" s="3"/>
      <c r="GG172" s="3"/>
      <c r="GH172" s="3"/>
      <c r="GI172" s="3"/>
      <c r="GJ172" s="3"/>
      <c r="GK172" s="3"/>
      <c r="GL172" s="3"/>
      <c r="GM172" s="3"/>
      <c r="GN172" s="3"/>
      <c r="GO172" s="3"/>
      <c r="GP172" s="3"/>
      <c r="GQ172" s="3"/>
      <c r="GR172" s="3"/>
      <c r="GS172" s="3"/>
      <c r="GT172" s="3"/>
      <c r="GU172" s="3"/>
      <c r="GV172" s="3"/>
      <c r="GW172" s="3"/>
      <c r="GX172" s="3"/>
      <c r="GY172" s="3"/>
      <c r="GZ172" s="3"/>
      <c r="HA172" s="3"/>
      <c r="HB172" s="3"/>
      <c r="HC172" s="3"/>
    </row>
    <row r="173" spans="3:211" x14ac:dyDescent="0.2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  <c r="FM173" s="3"/>
      <c r="FN173" s="3"/>
      <c r="FO173" s="3"/>
      <c r="FP173" s="3"/>
      <c r="FQ173" s="3"/>
      <c r="FR173" s="3"/>
      <c r="FS173" s="3"/>
      <c r="FT173" s="3"/>
      <c r="FU173" s="3"/>
      <c r="FV173" s="3"/>
      <c r="FW173" s="3"/>
      <c r="FX173" s="3"/>
      <c r="FY173" s="3"/>
      <c r="FZ173" s="3"/>
      <c r="GA173" s="3"/>
      <c r="GB173" s="3"/>
      <c r="GC173" s="3"/>
      <c r="GD173" s="3"/>
      <c r="GE173" s="3"/>
      <c r="GF173" s="3"/>
      <c r="GG173" s="3"/>
      <c r="GH173" s="3"/>
      <c r="GI173" s="3"/>
      <c r="GJ173" s="3"/>
      <c r="GK173" s="3"/>
      <c r="GL173" s="3"/>
      <c r="GM173" s="3"/>
      <c r="GN173" s="3"/>
      <c r="GO173" s="3"/>
      <c r="GP173" s="3"/>
      <c r="GQ173" s="3"/>
      <c r="GR173" s="3"/>
      <c r="GS173" s="3"/>
      <c r="GT173" s="3"/>
      <c r="GU173" s="3"/>
      <c r="GV173" s="3"/>
      <c r="GW173" s="3"/>
      <c r="GX173" s="3"/>
      <c r="GY173" s="3"/>
      <c r="GZ173" s="3"/>
      <c r="HA173" s="3"/>
      <c r="HB173" s="3"/>
      <c r="HC173" s="3"/>
    </row>
    <row r="174" spans="3:211" x14ac:dyDescent="0.2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  <c r="FM174" s="3"/>
      <c r="FN174" s="3"/>
      <c r="FO174" s="3"/>
      <c r="FP174" s="3"/>
      <c r="FQ174" s="3"/>
      <c r="FR174" s="3"/>
      <c r="FS174" s="3"/>
      <c r="FT174" s="3"/>
      <c r="FU174" s="3"/>
      <c r="FV174" s="3"/>
      <c r="FW174" s="3"/>
      <c r="FX174" s="3"/>
      <c r="FY174" s="3"/>
      <c r="FZ174" s="3"/>
      <c r="GA174" s="3"/>
      <c r="GB174" s="3"/>
      <c r="GC174" s="3"/>
      <c r="GD174" s="3"/>
      <c r="GE174" s="3"/>
      <c r="GF174" s="3"/>
      <c r="GG174" s="3"/>
      <c r="GH174" s="3"/>
      <c r="GI174" s="3"/>
      <c r="GJ174" s="3"/>
      <c r="GK174" s="3"/>
      <c r="GL174" s="3"/>
      <c r="GM174" s="3"/>
      <c r="GN174" s="3"/>
      <c r="GO174" s="3"/>
      <c r="GP174" s="3"/>
      <c r="GQ174" s="3"/>
      <c r="GR174" s="3"/>
      <c r="GS174" s="3"/>
      <c r="GT174" s="3"/>
      <c r="GU174" s="3"/>
      <c r="GV174" s="3"/>
      <c r="GW174" s="3"/>
      <c r="GX174" s="3"/>
      <c r="GY174" s="3"/>
      <c r="GZ174" s="3"/>
      <c r="HA174" s="3"/>
      <c r="HB174" s="3"/>
      <c r="HC174" s="3"/>
    </row>
    <row r="175" spans="3:211" x14ac:dyDescent="0.2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  <c r="FT175" s="3"/>
      <c r="FU175" s="3"/>
      <c r="FV175" s="3"/>
      <c r="FW175" s="3"/>
      <c r="FX175" s="3"/>
      <c r="FY175" s="3"/>
      <c r="FZ175" s="3"/>
      <c r="GA175" s="3"/>
      <c r="GB175" s="3"/>
      <c r="GC175" s="3"/>
      <c r="GD175" s="3"/>
      <c r="GE175" s="3"/>
      <c r="GF175" s="3"/>
      <c r="GG175" s="3"/>
      <c r="GH175" s="3"/>
      <c r="GI175" s="3"/>
      <c r="GJ175" s="3"/>
      <c r="GK175" s="3"/>
      <c r="GL175" s="3"/>
      <c r="GM175" s="3"/>
      <c r="GN175" s="3"/>
      <c r="GO175" s="3"/>
      <c r="GP175" s="3"/>
      <c r="GQ175" s="3"/>
      <c r="GR175" s="3"/>
      <c r="GS175" s="3"/>
      <c r="GT175" s="3"/>
      <c r="GU175" s="3"/>
      <c r="GV175" s="3"/>
      <c r="GW175" s="3"/>
      <c r="GX175" s="3"/>
      <c r="GY175" s="3"/>
      <c r="GZ175" s="3"/>
      <c r="HA175" s="3"/>
      <c r="HB175" s="3"/>
      <c r="HC175" s="3"/>
    </row>
    <row r="176" spans="3:211" x14ac:dyDescent="0.2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/>
      <c r="FT176" s="3"/>
      <c r="FU176" s="3"/>
      <c r="FV176" s="3"/>
      <c r="FW176" s="3"/>
      <c r="FX176" s="3"/>
      <c r="FY176" s="3"/>
      <c r="FZ176" s="3"/>
      <c r="GA176" s="3"/>
      <c r="GB176" s="3"/>
      <c r="GC176" s="3"/>
      <c r="GD176" s="3"/>
      <c r="GE176" s="3"/>
      <c r="GF176" s="3"/>
      <c r="GG176" s="3"/>
      <c r="GH176" s="3"/>
      <c r="GI176" s="3"/>
      <c r="GJ176" s="3"/>
      <c r="GK176" s="3"/>
      <c r="GL176" s="3"/>
      <c r="GM176" s="3"/>
      <c r="GN176" s="3"/>
      <c r="GO176" s="3"/>
      <c r="GP176" s="3"/>
      <c r="GQ176" s="3"/>
      <c r="GR176" s="3"/>
      <c r="GS176" s="3"/>
      <c r="GT176" s="3"/>
      <c r="GU176" s="3"/>
      <c r="GV176" s="3"/>
      <c r="GW176" s="3"/>
      <c r="GX176" s="3"/>
      <c r="GY176" s="3"/>
      <c r="GZ176" s="3"/>
      <c r="HA176" s="3"/>
      <c r="HB176" s="3"/>
      <c r="HC176" s="3"/>
    </row>
    <row r="177" spans="3:211" x14ac:dyDescent="0.2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  <c r="FM177" s="3"/>
      <c r="FN177" s="3"/>
      <c r="FO177" s="3"/>
      <c r="FP177" s="3"/>
      <c r="FQ177" s="3"/>
      <c r="FR177" s="3"/>
      <c r="FS177" s="3"/>
      <c r="FT177" s="3"/>
      <c r="FU177" s="3"/>
      <c r="FV177" s="3"/>
      <c r="FW177" s="3"/>
      <c r="FX177" s="3"/>
      <c r="FY177" s="3"/>
      <c r="FZ177" s="3"/>
      <c r="GA177" s="3"/>
      <c r="GB177" s="3"/>
      <c r="GC177" s="3"/>
      <c r="GD177" s="3"/>
      <c r="GE177" s="3"/>
      <c r="GF177" s="3"/>
      <c r="GG177" s="3"/>
      <c r="GH177" s="3"/>
      <c r="GI177" s="3"/>
      <c r="GJ177" s="3"/>
      <c r="GK177" s="3"/>
      <c r="GL177" s="3"/>
      <c r="GM177" s="3"/>
      <c r="GN177" s="3"/>
      <c r="GO177" s="3"/>
      <c r="GP177" s="3"/>
      <c r="GQ177" s="3"/>
      <c r="GR177" s="3"/>
      <c r="GS177" s="3"/>
      <c r="GT177" s="3"/>
      <c r="GU177" s="3"/>
      <c r="GV177" s="3"/>
      <c r="GW177" s="3"/>
      <c r="GX177" s="3"/>
      <c r="GY177" s="3"/>
      <c r="GZ177" s="3"/>
      <c r="HA177" s="3"/>
      <c r="HB177" s="3"/>
      <c r="HC177" s="3"/>
    </row>
    <row r="178" spans="3:211" x14ac:dyDescent="0.2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  <c r="FI178" s="3"/>
      <c r="FJ178" s="3"/>
      <c r="FK178" s="3"/>
      <c r="FL178" s="3"/>
      <c r="FM178" s="3"/>
      <c r="FN178" s="3"/>
      <c r="FO178" s="3"/>
      <c r="FP178" s="3"/>
      <c r="FQ178" s="3"/>
      <c r="FR178" s="3"/>
      <c r="FS178" s="3"/>
      <c r="FT178" s="3"/>
      <c r="FU178" s="3"/>
      <c r="FV178" s="3"/>
      <c r="FW178" s="3"/>
      <c r="FX178" s="3"/>
      <c r="FY178" s="3"/>
      <c r="FZ178" s="3"/>
      <c r="GA178" s="3"/>
      <c r="GB178" s="3"/>
      <c r="GC178" s="3"/>
      <c r="GD178" s="3"/>
      <c r="GE178" s="3"/>
      <c r="GF178" s="3"/>
      <c r="GG178" s="3"/>
      <c r="GH178" s="3"/>
      <c r="GI178" s="3"/>
      <c r="GJ178" s="3"/>
      <c r="GK178" s="3"/>
      <c r="GL178" s="3"/>
      <c r="GM178" s="3"/>
      <c r="GN178" s="3"/>
      <c r="GO178" s="3"/>
      <c r="GP178" s="3"/>
      <c r="GQ178" s="3"/>
      <c r="GR178" s="3"/>
      <c r="GS178" s="3"/>
      <c r="GT178" s="3"/>
      <c r="GU178" s="3"/>
      <c r="GV178" s="3"/>
      <c r="GW178" s="3"/>
      <c r="GX178" s="3"/>
      <c r="GY178" s="3"/>
      <c r="GZ178" s="3"/>
      <c r="HA178" s="3"/>
      <c r="HB178" s="3"/>
      <c r="HC178" s="3"/>
    </row>
    <row r="179" spans="3:211" x14ac:dyDescent="0.2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  <c r="FL179" s="3"/>
      <c r="FM179" s="3"/>
      <c r="FN179" s="3"/>
      <c r="FO179" s="3"/>
      <c r="FP179" s="3"/>
      <c r="FQ179" s="3"/>
      <c r="FR179" s="3"/>
      <c r="FS179" s="3"/>
      <c r="FT179" s="3"/>
      <c r="FU179" s="3"/>
      <c r="FV179" s="3"/>
      <c r="FW179" s="3"/>
      <c r="FX179" s="3"/>
      <c r="FY179" s="3"/>
      <c r="FZ179" s="3"/>
      <c r="GA179" s="3"/>
      <c r="GB179" s="3"/>
      <c r="GC179" s="3"/>
      <c r="GD179" s="3"/>
      <c r="GE179" s="3"/>
      <c r="GF179" s="3"/>
      <c r="GG179" s="3"/>
      <c r="GH179" s="3"/>
      <c r="GI179" s="3"/>
      <c r="GJ179" s="3"/>
      <c r="GK179" s="3"/>
      <c r="GL179" s="3"/>
      <c r="GM179" s="3"/>
      <c r="GN179" s="3"/>
      <c r="GO179" s="3"/>
      <c r="GP179" s="3"/>
      <c r="GQ179" s="3"/>
      <c r="GR179" s="3"/>
      <c r="GS179" s="3"/>
      <c r="GT179" s="3"/>
      <c r="GU179" s="3"/>
      <c r="GV179" s="3"/>
      <c r="GW179" s="3"/>
      <c r="GX179" s="3"/>
      <c r="GY179" s="3"/>
      <c r="GZ179" s="3"/>
      <c r="HA179" s="3"/>
      <c r="HB179" s="3"/>
      <c r="HC179" s="3"/>
    </row>
    <row r="180" spans="3:211" x14ac:dyDescent="0.2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  <c r="FL180" s="3"/>
      <c r="FM180" s="3"/>
      <c r="FN180" s="3"/>
      <c r="FO180" s="3"/>
      <c r="FP180" s="3"/>
      <c r="FQ180" s="3"/>
      <c r="FR180" s="3"/>
      <c r="FS180" s="3"/>
      <c r="FT180" s="3"/>
      <c r="FU180" s="3"/>
      <c r="FV180" s="3"/>
      <c r="FW180" s="3"/>
      <c r="FX180" s="3"/>
      <c r="FY180" s="3"/>
      <c r="FZ180" s="3"/>
      <c r="GA180" s="3"/>
      <c r="GB180" s="3"/>
      <c r="GC180" s="3"/>
      <c r="GD180" s="3"/>
      <c r="GE180" s="3"/>
      <c r="GF180" s="3"/>
      <c r="GG180" s="3"/>
      <c r="GH180" s="3"/>
      <c r="GI180" s="3"/>
      <c r="GJ180" s="3"/>
      <c r="GK180" s="3"/>
      <c r="GL180" s="3"/>
      <c r="GM180" s="3"/>
      <c r="GN180" s="3"/>
      <c r="GO180" s="3"/>
      <c r="GP180" s="3"/>
      <c r="GQ180" s="3"/>
      <c r="GR180" s="3"/>
      <c r="GS180" s="3"/>
      <c r="GT180" s="3"/>
      <c r="GU180" s="3"/>
      <c r="GV180" s="3"/>
      <c r="GW180" s="3"/>
      <c r="GX180" s="3"/>
      <c r="GY180" s="3"/>
      <c r="GZ180" s="3"/>
      <c r="HA180" s="3"/>
      <c r="HB180" s="3"/>
      <c r="HC180" s="3"/>
    </row>
    <row r="181" spans="3:211" x14ac:dyDescent="0.2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  <c r="FM181" s="3"/>
      <c r="FN181" s="3"/>
      <c r="FO181" s="3"/>
      <c r="FP181" s="3"/>
      <c r="FQ181" s="3"/>
      <c r="FR181" s="3"/>
      <c r="FS181" s="3"/>
      <c r="FT181" s="3"/>
      <c r="FU181" s="3"/>
      <c r="FV181" s="3"/>
      <c r="FW181" s="3"/>
      <c r="FX181" s="3"/>
      <c r="FY181" s="3"/>
      <c r="FZ181" s="3"/>
      <c r="GA181" s="3"/>
      <c r="GB181" s="3"/>
      <c r="GC181" s="3"/>
      <c r="GD181" s="3"/>
      <c r="GE181" s="3"/>
      <c r="GF181" s="3"/>
      <c r="GG181" s="3"/>
      <c r="GH181" s="3"/>
      <c r="GI181" s="3"/>
      <c r="GJ181" s="3"/>
      <c r="GK181" s="3"/>
      <c r="GL181" s="3"/>
      <c r="GM181" s="3"/>
      <c r="GN181" s="3"/>
      <c r="GO181" s="3"/>
      <c r="GP181" s="3"/>
      <c r="GQ181" s="3"/>
      <c r="GR181" s="3"/>
      <c r="GS181" s="3"/>
      <c r="GT181" s="3"/>
      <c r="GU181" s="3"/>
      <c r="GV181" s="3"/>
      <c r="GW181" s="3"/>
      <c r="GX181" s="3"/>
      <c r="GY181" s="3"/>
      <c r="GZ181" s="3"/>
      <c r="HA181" s="3"/>
      <c r="HB181" s="3"/>
      <c r="HC181" s="3"/>
    </row>
    <row r="182" spans="3:211" x14ac:dyDescent="0.2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  <c r="FM182" s="3"/>
      <c r="FN182" s="3"/>
      <c r="FO182" s="3"/>
      <c r="FP182" s="3"/>
      <c r="FQ182" s="3"/>
      <c r="FR182" s="3"/>
      <c r="FS182" s="3"/>
      <c r="FT182" s="3"/>
      <c r="FU182" s="3"/>
      <c r="FV182" s="3"/>
      <c r="FW182" s="3"/>
      <c r="FX182" s="3"/>
      <c r="FY182" s="3"/>
      <c r="FZ182" s="3"/>
      <c r="GA182" s="3"/>
      <c r="GB182" s="3"/>
      <c r="GC182" s="3"/>
      <c r="GD182" s="3"/>
      <c r="GE182" s="3"/>
      <c r="GF182" s="3"/>
      <c r="GG182" s="3"/>
      <c r="GH182" s="3"/>
      <c r="GI182" s="3"/>
      <c r="GJ182" s="3"/>
      <c r="GK182" s="3"/>
      <c r="GL182" s="3"/>
      <c r="GM182" s="3"/>
      <c r="GN182" s="3"/>
      <c r="GO182" s="3"/>
      <c r="GP182" s="3"/>
      <c r="GQ182" s="3"/>
      <c r="GR182" s="3"/>
      <c r="GS182" s="3"/>
      <c r="GT182" s="3"/>
      <c r="GU182" s="3"/>
      <c r="GV182" s="3"/>
      <c r="GW182" s="3"/>
      <c r="GX182" s="3"/>
      <c r="GY182" s="3"/>
      <c r="GZ182" s="3"/>
      <c r="HA182" s="3"/>
      <c r="HB182" s="3"/>
      <c r="HC182" s="3"/>
    </row>
    <row r="183" spans="3:211" x14ac:dyDescent="0.2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/>
      <c r="FK183" s="3"/>
      <c r="FL183" s="3"/>
      <c r="FM183" s="3"/>
      <c r="FN183" s="3"/>
      <c r="FO183" s="3"/>
      <c r="FP183" s="3"/>
      <c r="FQ183" s="3"/>
      <c r="FR183" s="3"/>
      <c r="FS183" s="3"/>
      <c r="FT183" s="3"/>
      <c r="FU183" s="3"/>
      <c r="FV183" s="3"/>
      <c r="FW183" s="3"/>
      <c r="FX183" s="3"/>
      <c r="FY183" s="3"/>
      <c r="FZ183" s="3"/>
      <c r="GA183" s="3"/>
      <c r="GB183" s="3"/>
      <c r="GC183" s="3"/>
      <c r="GD183" s="3"/>
      <c r="GE183" s="3"/>
      <c r="GF183" s="3"/>
      <c r="GG183" s="3"/>
      <c r="GH183" s="3"/>
      <c r="GI183" s="3"/>
      <c r="GJ183" s="3"/>
      <c r="GK183" s="3"/>
      <c r="GL183" s="3"/>
      <c r="GM183" s="3"/>
      <c r="GN183" s="3"/>
      <c r="GO183" s="3"/>
      <c r="GP183" s="3"/>
      <c r="GQ183" s="3"/>
      <c r="GR183" s="3"/>
      <c r="GS183" s="3"/>
      <c r="GT183" s="3"/>
      <c r="GU183" s="3"/>
      <c r="GV183" s="3"/>
      <c r="GW183" s="3"/>
      <c r="GX183" s="3"/>
      <c r="GY183" s="3"/>
      <c r="GZ183" s="3"/>
      <c r="HA183" s="3"/>
      <c r="HB183" s="3"/>
      <c r="HC183" s="3"/>
    </row>
    <row r="184" spans="3:211" x14ac:dyDescent="0.2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/>
      <c r="FT184" s="3"/>
      <c r="FU184" s="3"/>
      <c r="FV184" s="3"/>
      <c r="FW184" s="3"/>
      <c r="FX184" s="3"/>
      <c r="FY184" s="3"/>
      <c r="FZ184" s="3"/>
      <c r="GA184" s="3"/>
      <c r="GB184" s="3"/>
      <c r="GC184" s="3"/>
      <c r="GD184" s="3"/>
      <c r="GE184" s="3"/>
      <c r="GF184" s="3"/>
      <c r="GG184" s="3"/>
      <c r="GH184" s="3"/>
      <c r="GI184" s="3"/>
      <c r="GJ184" s="3"/>
      <c r="GK184" s="3"/>
      <c r="GL184" s="3"/>
      <c r="GM184" s="3"/>
      <c r="GN184" s="3"/>
      <c r="GO184" s="3"/>
      <c r="GP184" s="3"/>
      <c r="GQ184" s="3"/>
      <c r="GR184" s="3"/>
      <c r="GS184" s="3"/>
      <c r="GT184" s="3"/>
      <c r="GU184" s="3"/>
      <c r="GV184" s="3"/>
      <c r="GW184" s="3"/>
      <c r="GX184" s="3"/>
      <c r="GY184" s="3"/>
      <c r="GZ184" s="3"/>
      <c r="HA184" s="3"/>
      <c r="HB184" s="3"/>
      <c r="HC184" s="3"/>
    </row>
    <row r="185" spans="3:211" x14ac:dyDescent="0.2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  <c r="FM185" s="3"/>
      <c r="FN185" s="3"/>
      <c r="FO185" s="3"/>
      <c r="FP185" s="3"/>
      <c r="FQ185" s="3"/>
      <c r="FR185" s="3"/>
      <c r="FS185" s="3"/>
      <c r="FT185" s="3"/>
      <c r="FU185" s="3"/>
      <c r="FV185" s="3"/>
      <c r="FW185" s="3"/>
      <c r="FX185" s="3"/>
      <c r="FY185" s="3"/>
      <c r="FZ185" s="3"/>
      <c r="GA185" s="3"/>
      <c r="GB185" s="3"/>
      <c r="GC185" s="3"/>
      <c r="GD185" s="3"/>
      <c r="GE185" s="3"/>
      <c r="GF185" s="3"/>
      <c r="GG185" s="3"/>
      <c r="GH185" s="3"/>
      <c r="GI185" s="3"/>
      <c r="GJ185" s="3"/>
      <c r="GK185" s="3"/>
      <c r="GL185" s="3"/>
      <c r="GM185" s="3"/>
      <c r="GN185" s="3"/>
      <c r="GO185" s="3"/>
      <c r="GP185" s="3"/>
      <c r="GQ185" s="3"/>
      <c r="GR185" s="3"/>
      <c r="GS185" s="3"/>
      <c r="GT185" s="3"/>
      <c r="GU185" s="3"/>
      <c r="GV185" s="3"/>
      <c r="GW185" s="3"/>
      <c r="GX185" s="3"/>
      <c r="GY185" s="3"/>
      <c r="GZ185" s="3"/>
      <c r="HA185" s="3"/>
      <c r="HB185" s="3"/>
      <c r="HC185" s="3"/>
    </row>
    <row r="186" spans="3:211" x14ac:dyDescent="0.2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  <c r="FM186" s="3"/>
      <c r="FN186" s="3"/>
      <c r="FO186" s="3"/>
      <c r="FP186" s="3"/>
      <c r="FQ186" s="3"/>
      <c r="FR186" s="3"/>
      <c r="FS186" s="3"/>
      <c r="FT186" s="3"/>
      <c r="FU186" s="3"/>
      <c r="FV186" s="3"/>
      <c r="FW186" s="3"/>
      <c r="FX186" s="3"/>
      <c r="FY186" s="3"/>
      <c r="FZ186" s="3"/>
      <c r="GA186" s="3"/>
      <c r="GB186" s="3"/>
      <c r="GC186" s="3"/>
      <c r="GD186" s="3"/>
      <c r="GE186" s="3"/>
      <c r="GF186" s="3"/>
      <c r="GG186" s="3"/>
      <c r="GH186" s="3"/>
      <c r="GI186" s="3"/>
      <c r="GJ186" s="3"/>
      <c r="GK186" s="3"/>
      <c r="GL186" s="3"/>
      <c r="GM186" s="3"/>
      <c r="GN186" s="3"/>
      <c r="GO186" s="3"/>
      <c r="GP186" s="3"/>
      <c r="GQ186" s="3"/>
      <c r="GR186" s="3"/>
      <c r="GS186" s="3"/>
      <c r="GT186" s="3"/>
      <c r="GU186" s="3"/>
      <c r="GV186" s="3"/>
      <c r="GW186" s="3"/>
      <c r="GX186" s="3"/>
      <c r="GY186" s="3"/>
      <c r="GZ186" s="3"/>
      <c r="HA186" s="3"/>
      <c r="HB186" s="3"/>
      <c r="HC186" s="3"/>
    </row>
    <row r="187" spans="3:211" x14ac:dyDescent="0.2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  <c r="FO187" s="3"/>
      <c r="FP187" s="3"/>
      <c r="FQ187" s="3"/>
      <c r="FR187" s="3"/>
      <c r="FS187" s="3"/>
      <c r="FT187" s="3"/>
      <c r="FU187" s="3"/>
      <c r="FV187" s="3"/>
      <c r="FW187" s="3"/>
      <c r="FX187" s="3"/>
      <c r="FY187" s="3"/>
      <c r="FZ187" s="3"/>
      <c r="GA187" s="3"/>
      <c r="GB187" s="3"/>
      <c r="GC187" s="3"/>
      <c r="GD187" s="3"/>
      <c r="GE187" s="3"/>
      <c r="GF187" s="3"/>
      <c r="GG187" s="3"/>
      <c r="GH187" s="3"/>
      <c r="GI187" s="3"/>
      <c r="GJ187" s="3"/>
      <c r="GK187" s="3"/>
      <c r="GL187" s="3"/>
      <c r="GM187" s="3"/>
      <c r="GN187" s="3"/>
      <c r="GO187" s="3"/>
      <c r="GP187" s="3"/>
      <c r="GQ187" s="3"/>
      <c r="GR187" s="3"/>
      <c r="GS187" s="3"/>
      <c r="GT187" s="3"/>
      <c r="GU187" s="3"/>
      <c r="GV187" s="3"/>
      <c r="GW187" s="3"/>
      <c r="GX187" s="3"/>
      <c r="GY187" s="3"/>
      <c r="GZ187" s="3"/>
      <c r="HA187" s="3"/>
      <c r="HB187" s="3"/>
      <c r="HC187" s="3"/>
    </row>
    <row r="188" spans="3:211" x14ac:dyDescent="0.2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  <c r="FM188" s="3"/>
      <c r="FN188" s="3"/>
      <c r="FO188" s="3"/>
      <c r="FP188" s="3"/>
      <c r="FQ188" s="3"/>
      <c r="FR188" s="3"/>
      <c r="FS188" s="3"/>
      <c r="FT188" s="3"/>
      <c r="FU188" s="3"/>
      <c r="FV188" s="3"/>
      <c r="FW188" s="3"/>
      <c r="FX188" s="3"/>
      <c r="FY188" s="3"/>
      <c r="FZ188" s="3"/>
      <c r="GA188" s="3"/>
      <c r="GB188" s="3"/>
      <c r="GC188" s="3"/>
      <c r="GD188" s="3"/>
      <c r="GE188" s="3"/>
      <c r="GF188" s="3"/>
      <c r="GG188" s="3"/>
      <c r="GH188" s="3"/>
      <c r="GI188" s="3"/>
      <c r="GJ188" s="3"/>
      <c r="GK188" s="3"/>
      <c r="GL188" s="3"/>
      <c r="GM188" s="3"/>
      <c r="GN188" s="3"/>
      <c r="GO188" s="3"/>
      <c r="GP188" s="3"/>
      <c r="GQ188" s="3"/>
      <c r="GR188" s="3"/>
      <c r="GS188" s="3"/>
      <c r="GT188" s="3"/>
      <c r="GU188" s="3"/>
      <c r="GV188" s="3"/>
      <c r="GW188" s="3"/>
      <c r="GX188" s="3"/>
      <c r="GY188" s="3"/>
      <c r="GZ188" s="3"/>
      <c r="HA188" s="3"/>
      <c r="HB188" s="3"/>
      <c r="HC188" s="3"/>
    </row>
    <row r="189" spans="3:211" x14ac:dyDescent="0.2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  <c r="FM189" s="3"/>
      <c r="FN189" s="3"/>
      <c r="FO189" s="3"/>
      <c r="FP189" s="3"/>
      <c r="FQ189" s="3"/>
      <c r="FR189" s="3"/>
      <c r="FS189" s="3"/>
      <c r="FT189" s="3"/>
      <c r="FU189" s="3"/>
      <c r="FV189" s="3"/>
      <c r="FW189" s="3"/>
      <c r="FX189" s="3"/>
      <c r="FY189" s="3"/>
      <c r="FZ189" s="3"/>
      <c r="GA189" s="3"/>
      <c r="GB189" s="3"/>
      <c r="GC189" s="3"/>
      <c r="GD189" s="3"/>
      <c r="GE189" s="3"/>
      <c r="GF189" s="3"/>
      <c r="GG189" s="3"/>
      <c r="GH189" s="3"/>
      <c r="GI189" s="3"/>
      <c r="GJ189" s="3"/>
      <c r="GK189" s="3"/>
      <c r="GL189" s="3"/>
      <c r="GM189" s="3"/>
      <c r="GN189" s="3"/>
      <c r="GO189" s="3"/>
      <c r="GP189" s="3"/>
      <c r="GQ189" s="3"/>
      <c r="GR189" s="3"/>
      <c r="GS189" s="3"/>
      <c r="GT189" s="3"/>
      <c r="GU189" s="3"/>
      <c r="GV189" s="3"/>
      <c r="GW189" s="3"/>
      <c r="GX189" s="3"/>
      <c r="GY189" s="3"/>
      <c r="GZ189" s="3"/>
      <c r="HA189" s="3"/>
      <c r="HB189" s="3"/>
      <c r="HC189" s="3"/>
    </row>
    <row r="190" spans="3:211" x14ac:dyDescent="0.2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  <c r="FM190" s="3"/>
      <c r="FN190" s="3"/>
      <c r="FO190" s="3"/>
      <c r="FP190" s="3"/>
      <c r="FQ190" s="3"/>
      <c r="FR190" s="3"/>
      <c r="FS190" s="3"/>
      <c r="FT190" s="3"/>
      <c r="FU190" s="3"/>
      <c r="FV190" s="3"/>
      <c r="FW190" s="3"/>
      <c r="FX190" s="3"/>
      <c r="FY190" s="3"/>
      <c r="FZ190" s="3"/>
      <c r="GA190" s="3"/>
      <c r="GB190" s="3"/>
      <c r="GC190" s="3"/>
      <c r="GD190" s="3"/>
      <c r="GE190" s="3"/>
      <c r="GF190" s="3"/>
      <c r="GG190" s="3"/>
      <c r="GH190" s="3"/>
      <c r="GI190" s="3"/>
      <c r="GJ190" s="3"/>
      <c r="GK190" s="3"/>
      <c r="GL190" s="3"/>
      <c r="GM190" s="3"/>
      <c r="GN190" s="3"/>
      <c r="GO190" s="3"/>
      <c r="GP190" s="3"/>
      <c r="GQ190" s="3"/>
      <c r="GR190" s="3"/>
      <c r="GS190" s="3"/>
      <c r="GT190" s="3"/>
      <c r="GU190" s="3"/>
      <c r="GV190" s="3"/>
      <c r="GW190" s="3"/>
      <c r="GX190" s="3"/>
      <c r="GY190" s="3"/>
      <c r="GZ190" s="3"/>
      <c r="HA190" s="3"/>
      <c r="HB190" s="3"/>
      <c r="HC190" s="3"/>
    </row>
    <row r="191" spans="3:211" x14ac:dyDescent="0.2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  <c r="FM191" s="3"/>
      <c r="FN191" s="3"/>
      <c r="FO191" s="3"/>
      <c r="FP191" s="3"/>
      <c r="FQ191" s="3"/>
      <c r="FR191" s="3"/>
      <c r="FS191" s="3"/>
      <c r="FT191" s="3"/>
      <c r="FU191" s="3"/>
      <c r="FV191" s="3"/>
      <c r="FW191" s="3"/>
      <c r="FX191" s="3"/>
      <c r="FY191" s="3"/>
      <c r="FZ191" s="3"/>
      <c r="GA191" s="3"/>
      <c r="GB191" s="3"/>
      <c r="GC191" s="3"/>
      <c r="GD191" s="3"/>
      <c r="GE191" s="3"/>
      <c r="GF191" s="3"/>
      <c r="GG191" s="3"/>
      <c r="GH191" s="3"/>
      <c r="GI191" s="3"/>
      <c r="GJ191" s="3"/>
      <c r="GK191" s="3"/>
      <c r="GL191" s="3"/>
      <c r="GM191" s="3"/>
      <c r="GN191" s="3"/>
      <c r="GO191" s="3"/>
      <c r="GP191" s="3"/>
      <c r="GQ191" s="3"/>
      <c r="GR191" s="3"/>
      <c r="GS191" s="3"/>
      <c r="GT191" s="3"/>
      <c r="GU191" s="3"/>
      <c r="GV191" s="3"/>
      <c r="GW191" s="3"/>
      <c r="GX191" s="3"/>
      <c r="GY191" s="3"/>
      <c r="GZ191" s="3"/>
      <c r="HA191" s="3"/>
      <c r="HB191" s="3"/>
      <c r="HC191" s="3"/>
    </row>
    <row r="192" spans="3:211" x14ac:dyDescent="0.2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/>
      <c r="FR192" s="3"/>
      <c r="FS192" s="3"/>
      <c r="FT192" s="3"/>
      <c r="FU192" s="3"/>
      <c r="FV192" s="3"/>
      <c r="FW192" s="3"/>
      <c r="FX192" s="3"/>
      <c r="FY192" s="3"/>
      <c r="FZ192" s="3"/>
      <c r="GA192" s="3"/>
      <c r="GB192" s="3"/>
      <c r="GC192" s="3"/>
      <c r="GD192" s="3"/>
      <c r="GE192" s="3"/>
      <c r="GF192" s="3"/>
      <c r="GG192" s="3"/>
      <c r="GH192" s="3"/>
      <c r="GI192" s="3"/>
      <c r="GJ192" s="3"/>
      <c r="GK192" s="3"/>
      <c r="GL192" s="3"/>
      <c r="GM192" s="3"/>
      <c r="GN192" s="3"/>
      <c r="GO192" s="3"/>
      <c r="GP192" s="3"/>
      <c r="GQ192" s="3"/>
      <c r="GR192" s="3"/>
      <c r="GS192" s="3"/>
      <c r="GT192" s="3"/>
      <c r="GU192" s="3"/>
      <c r="GV192" s="3"/>
      <c r="GW192" s="3"/>
      <c r="GX192" s="3"/>
      <c r="GY192" s="3"/>
      <c r="GZ192" s="3"/>
      <c r="HA192" s="3"/>
      <c r="HB192" s="3"/>
      <c r="HC192" s="3"/>
    </row>
    <row r="193" spans="3:211" x14ac:dyDescent="0.2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  <c r="FM193" s="3"/>
      <c r="FN193" s="3"/>
      <c r="FO193" s="3"/>
      <c r="FP193" s="3"/>
      <c r="FQ193" s="3"/>
      <c r="FR193" s="3"/>
      <c r="FS193" s="3"/>
      <c r="FT193" s="3"/>
      <c r="FU193" s="3"/>
      <c r="FV193" s="3"/>
      <c r="FW193" s="3"/>
      <c r="FX193" s="3"/>
      <c r="FY193" s="3"/>
      <c r="FZ193" s="3"/>
      <c r="GA193" s="3"/>
      <c r="GB193" s="3"/>
      <c r="GC193" s="3"/>
      <c r="GD193" s="3"/>
      <c r="GE193" s="3"/>
      <c r="GF193" s="3"/>
      <c r="GG193" s="3"/>
      <c r="GH193" s="3"/>
      <c r="GI193" s="3"/>
      <c r="GJ193" s="3"/>
      <c r="GK193" s="3"/>
      <c r="GL193" s="3"/>
      <c r="GM193" s="3"/>
      <c r="GN193" s="3"/>
      <c r="GO193" s="3"/>
      <c r="GP193" s="3"/>
      <c r="GQ193" s="3"/>
      <c r="GR193" s="3"/>
      <c r="GS193" s="3"/>
      <c r="GT193" s="3"/>
      <c r="GU193" s="3"/>
      <c r="GV193" s="3"/>
      <c r="GW193" s="3"/>
      <c r="GX193" s="3"/>
      <c r="GY193" s="3"/>
      <c r="GZ193" s="3"/>
      <c r="HA193" s="3"/>
      <c r="HB193" s="3"/>
      <c r="HC193" s="3"/>
    </row>
    <row r="194" spans="3:211" x14ac:dyDescent="0.2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3"/>
      <c r="FN194" s="3"/>
      <c r="FO194" s="3"/>
      <c r="FP194" s="3"/>
      <c r="FQ194" s="3"/>
      <c r="FR194" s="3"/>
      <c r="FS194" s="3"/>
      <c r="FT194" s="3"/>
      <c r="FU194" s="3"/>
      <c r="FV194" s="3"/>
      <c r="FW194" s="3"/>
      <c r="FX194" s="3"/>
      <c r="FY194" s="3"/>
      <c r="FZ194" s="3"/>
      <c r="GA194" s="3"/>
      <c r="GB194" s="3"/>
      <c r="GC194" s="3"/>
      <c r="GD194" s="3"/>
      <c r="GE194" s="3"/>
      <c r="GF194" s="3"/>
      <c r="GG194" s="3"/>
      <c r="GH194" s="3"/>
      <c r="GI194" s="3"/>
      <c r="GJ194" s="3"/>
      <c r="GK194" s="3"/>
      <c r="GL194" s="3"/>
      <c r="GM194" s="3"/>
      <c r="GN194" s="3"/>
      <c r="GO194" s="3"/>
      <c r="GP194" s="3"/>
      <c r="GQ194" s="3"/>
      <c r="GR194" s="3"/>
      <c r="GS194" s="3"/>
      <c r="GT194" s="3"/>
      <c r="GU194" s="3"/>
      <c r="GV194" s="3"/>
      <c r="GW194" s="3"/>
      <c r="GX194" s="3"/>
      <c r="GY194" s="3"/>
      <c r="GZ194" s="3"/>
      <c r="HA194" s="3"/>
      <c r="HB194" s="3"/>
      <c r="HC194" s="3"/>
    </row>
    <row r="195" spans="3:211" x14ac:dyDescent="0.2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  <c r="FM195" s="3"/>
      <c r="FN195" s="3"/>
      <c r="FO195" s="3"/>
      <c r="FP195" s="3"/>
      <c r="FQ195" s="3"/>
      <c r="FR195" s="3"/>
      <c r="FS195" s="3"/>
      <c r="FT195" s="3"/>
      <c r="FU195" s="3"/>
      <c r="FV195" s="3"/>
      <c r="FW195" s="3"/>
      <c r="FX195" s="3"/>
      <c r="FY195" s="3"/>
      <c r="FZ195" s="3"/>
      <c r="GA195" s="3"/>
      <c r="GB195" s="3"/>
      <c r="GC195" s="3"/>
      <c r="GD195" s="3"/>
      <c r="GE195" s="3"/>
      <c r="GF195" s="3"/>
      <c r="GG195" s="3"/>
      <c r="GH195" s="3"/>
      <c r="GI195" s="3"/>
      <c r="GJ195" s="3"/>
      <c r="GK195" s="3"/>
      <c r="GL195" s="3"/>
      <c r="GM195" s="3"/>
      <c r="GN195" s="3"/>
      <c r="GO195" s="3"/>
      <c r="GP195" s="3"/>
      <c r="GQ195" s="3"/>
      <c r="GR195" s="3"/>
      <c r="GS195" s="3"/>
      <c r="GT195" s="3"/>
      <c r="GU195" s="3"/>
      <c r="GV195" s="3"/>
      <c r="GW195" s="3"/>
      <c r="GX195" s="3"/>
      <c r="GY195" s="3"/>
      <c r="GZ195" s="3"/>
      <c r="HA195" s="3"/>
      <c r="HB195" s="3"/>
      <c r="HC195" s="3"/>
    </row>
    <row r="196" spans="3:211" x14ac:dyDescent="0.2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/>
      <c r="FR196" s="3"/>
      <c r="FS196" s="3"/>
      <c r="FT196" s="3"/>
      <c r="FU196" s="3"/>
      <c r="FV196" s="3"/>
      <c r="FW196" s="3"/>
      <c r="FX196" s="3"/>
      <c r="FY196" s="3"/>
      <c r="FZ196" s="3"/>
      <c r="GA196" s="3"/>
      <c r="GB196" s="3"/>
      <c r="GC196" s="3"/>
      <c r="GD196" s="3"/>
      <c r="GE196" s="3"/>
      <c r="GF196" s="3"/>
      <c r="GG196" s="3"/>
      <c r="GH196" s="3"/>
      <c r="GI196" s="3"/>
      <c r="GJ196" s="3"/>
      <c r="GK196" s="3"/>
      <c r="GL196" s="3"/>
      <c r="GM196" s="3"/>
      <c r="GN196" s="3"/>
      <c r="GO196" s="3"/>
      <c r="GP196" s="3"/>
      <c r="GQ196" s="3"/>
      <c r="GR196" s="3"/>
      <c r="GS196" s="3"/>
      <c r="GT196" s="3"/>
      <c r="GU196" s="3"/>
      <c r="GV196" s="3"/>
      <c r="GW196" s="3"/>
      <c r="GX196" s="3"/>
      <c r="GY196" s="3"/>
      <c r="GZ196" s="3"/>
      <c r="HA196" s="3"/>
      <c r="HB196" s="3"/>
      <c r="HC196" s="3"/>
    </row>
    <row r="197" spans="3:211" x14ac:dyDescent="0.2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  <c r="FM197" s="3"/>
      <c r="FN197" s="3"/>
      <c r="FO197" s="3"/>
      <c r="FP197" s="3"/>
      <c r="FQ197" s="3"/>
      <c r="FR197" s="3"/>
      <c r="FS197" s="3"/>
      <c r="FT197" s="3"/>
      <c r="FU197" s="3"/>
      <c r="FV197" s="3"/>
      <c r="FW197" s="3"/>
      <c r="FX197" s="3"/>
      <c r="FY197" s="3"/>
      <c r="FZ197" s="3"/>
      <c r="GA197" s="3"/>
      <c r="GB197" s="3"/>
      <c r="GC197" s="3"/>
      <c r="GD197" s="3"/>
      <c r="GE197" s="3"/>
      <c r="GF197" s="3"/>
      <c r="GG197" s="3"/>
      <c r="GH197" s="3"/>
      <c r="GI197" s="3"/>
      <c r="GJ197" s="3"/>
      <c r="GK197" s="3"/>
      <c r="GL197" s="3"/>
      <c r="GM197" s="3"/>
      <c r="GN197" s="3"/>
      <c r="GO197" s="3"/>
      <c r="GP197" s="3"/>
      <c r="GQ197" s="3"/>
      <c r="GR197" s="3"/>
      <c r="GS197" s="3"/>
      <c r="GT197" s="3"/>
      <c r="GU197" s="3"/>
      <c r="GV197" s="3"/>
      <c r="GW197" s="3"/>
      <c r="GX197" s="3"/>
      <c r="GY197" s="3"/>
      <c r="GZ197" s="3"/>
      <c r="HA197" s="3"/>
      <c r="HB197" s="3"/>
      <c r="HC197" s="3"/>
    </row>
    <row r="198" spans="3:211" x14ac:dyDescent="0.2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/>
      <c r="FR198" s="3"/>
      <c r="FS198" s="3"/>
      <c r="FT198" s="3"/>
      <c r="FU198" s="3"/>
      <c r="FV198" s="3"/>
      <c r="FW198" s="3"/>
      <c r="FX198" s="3"/>
      <c r="FY198" s="3"/>
      <c r="FZ198" s="3"/>
      <c r="GA198" s="3"/>
      <c r="GB198" s="3"/>
      <c r="GC198" s="3"/>
      <c r="GD198" s="3"/>
      <c r="GE198" s="3"/>
      <c r="GF198" s="3"/>
      <c r="GG198" s="3"/>
      <c r="GH198" s="3"/>
      <c r="GI198" s="3"/>
      <c r="GJ198" s="3"/>
      <c r="GK198" s="3"/>
      <c r="GL198" s="3"/>
      <c r="GM198" s="3"/>
      <c r="GN198" s="3"/>
      <c r="GO198" s="3"/>
      <c r="GP198" s="3"/>
      <c r="GQ198" s="3"/>
      <c r="GR198" s="3"/>
      <c r="GS198" s="3"/>
      <c r="GT198" s="3"/>
      <c r="GU198" s="3"/>
      <c r="GV198" s="3"/>
      <c r="GW198" s="3"/>
      <c r="GX198" s="3"/>
      <c r="GY198" s="3"/>
      <c r="GZ198" s="3"/>
      <c r="HA198" s="3"/>
      <c r="HB198" s="3"/>
      <c r="HC198" s="3"/>
    </row>
    <row r="199" spans="3:211" x14ac:dyDescent="0.2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  <c r="FM199" s="3"/>
      <c r="FN199" s="3"/>
      <c r="FO199" s="3"/>
      <c r="FP199" s="3"/>
      <c r="FQ199" s="3"/>
      <c r="FR199" s="3"/>
      <c r="FS199" s="3"/>
      <c r="FT199" s="3"/>
      <c r="FU199" s="3"/>
      <c r="FV199" s="3"/>
      <c r="FW199" s="3"/>
      <c r="FX199" s="3"/>
      <c r="FY199" s="3"/>
      <c r="FZ199" s="3"/>
      <c r="GA199" s="3"/>
      <c r="GB199" s="3"/>
      <c r="GC199" s="3"/>
      <c r="GD199" s="3"/>
      <c r="GE199" s="3"/>
      <c r="GF199" s="3"/>
      <c r="GG199" s="3"/>
      <c r="GH199" s="3"/>
      <c r="GI199" s="3"/>
      <c r="GJ199" s="3"/>
      <c r="GK199" s="3"/>
      <c r="GL199" s="3"/>
      <c r="GM199" s="3"/>
      <c r="GN199" s="3"/>
      <c r="GO199" s="3"/>
      <c r="GP199" s="3"/>
      <c r="GQ199" s="3"/>
      <c r="GR199" s="3"/>
      <c r="GS199" s="3"/>
      <c r="GT199" s="3"/>
      <c r="GU199" s="3"/>
      <c r="GV199" s="3"/>
      <c r="GW199" s="3"/>
      <c r="GX199" s="3"/>
      <c r="GY199" s="3"/>
      <c r="GZ199" s="3"/>
      <c r="HA199" s="3"/>
      <c r="HB199" s="3"/>
      <c r="HC199" s="3"/>
    </row>
    <row r="200" spans="3:211" x14ac:dyDescent="0.2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  <c r="FM200" s="3"/>
      <c r="FN200" s="3"/>
      <c r="FO200" s="3"/>
      <c r="FP200" s="3"/>
      <c r="FQ200" s="3"/>
      <c r="FR200" s="3"/>
      <c r="FS200" s="3"/>
      <c r="FT200" s="3"/>
      <c r="FU200" s="3"/>
      <c r="FV200" s="3"/>
      <c r="FW200" s="3"/>
      <c r="FX200" s="3"/>
      <c r="FY200" s="3"/>
      <c r="FZ200" s="3"/>
      <c r="GA200" s="3"/>
      <c r="GB200" s="3"/>
      <c r="GC200" s="3"/>
      <c r="GD200" s="3"/>
      <c r="GE200" s="3"/>
      <c r="GF200" s="3"/>
      <c r="GG200" s="3"/>
      <c r="GH200" s="3"/>
      <c r="GI200" s="3"/>
      <c r="GJ200" s="3"/>
      <c r="GK200" s="3"/>
      <c r="GL200" s="3"/>
      <c r="GM200" s="3"/>
      <c r="GN200" s="3"/>
      <c r="GO200" s="3"/>
      <c r="GP200" s="3"/>
      <c r="GQ200" s="3"/>
      <c r="GR200" s="3"/>
      <c r="GS200" s="3"/>
      <c r="GT200" s="3"/>
      <c r="GU200" s="3"/>
      <c r="GV200" s="3"/>
      <c r="GW200" s="3"/>
      <c r="GX200" s="3"/>
      <c r="GY200" s="3"/>
      <c r="GZ200" s="3"/>
      <c r="HA200" s="3"/>
      <c r="HB200" s="3"/>
      <c r="HC200" s="3"/>
    </row>
    <row r="201" spans="3:211" x14ac:dyDescent="0.2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  <c r="FM201" s="3"/>
      <c r="FN201" s="3"/>
      <c r="FO201" s="3"/>
      <c r="FP201" s="3"/>
      <c r="FQ201" s="3"/>
      <c r="FR201" s="3"/>
      <c r="FS201" s="3"/>
      <c r="FT201" s="3"/>
      <c r="FU201" s="3"/>
      <c r="FV201" s="3"/>
      <c r="FW201" s="3"/>
      <c r="FX201" s="3"/>
      <c r="FY201" s="3"/>
      <c r="FZ201" s="3"/>
      <c r="GA201" s="3"/>
      <c r="GB201" s="3"/>
      <c r="GC201" s="3"/>
      <c r="GD201" s="3"/>
      <c r="GE201" s="3"/>
      <c r="GF201" s="3"/>
      <c r="GG201" s="3"/>
      <c r="GH201" s="3"/>
      <c r="GI201" s="3"/>
      <c r="GJ201" s="3"/>
      <c r="GK201" s="3"/>
      <c r="GL201" s="3"/>
      <c r="GM201" s="3"/>
      <c r="GN201" s="3"/>
      <c r="GO201" s="3"/>
      <c r="GP201" s="3"/>
      <c r="GQ201" s="3"/>
      <c r="GR201" s="3"/>
      <c r="GS201" s="3"/>
      <c r="GT201" s="3"/>
      <c r="GU201" s="3"/>
      <c r="GV201" s="3"/>
      <c r="GW201" s="3"/>
      <c r="GX201" s="3"/>
      <c r="GY201" s="3"/>
      <c r="GZ201" s="3"/>
      <c r="HA201" s="3"/>
      <c r="HB201" s="3"/>
      <c r="HC201" s="3"/>
    </row>
    <row r="202" spans="3:211" x14ac:dyDescent="0.2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  <c r="FM202" s="3"/>
      <c r="FN202" s="3"/>
      <c r="FO202" s="3"/>
      <c r="FP202" s="3"/>
      <c r="FQ202" s="3"/>
      <c r="FR202" s="3"/>
      <c r="FS202" s="3"/>
      <c r="FT202" s="3"/>
      <c r="FU202" s="3"/>
      <c r="FV202" s="3"/>
      <c r="FW202" s="3"/>
      <c r="FX202" s="3"/>
      <c r="FY202" s="3"/>
      <c r="FZ202" s="3"/>
      <c r="GA202" s="3"/>
      <c r="GB202" s="3"/>
      <c r="GC202" s="3"/>
      <c r="GD202" s="3"/>
      <c r="GE202" s="3"/>
      <c r="GF202" s="3"/>
      <c r="GG202" s="3"/>
      <c r="GH202" s="3"/>
      <c r="GI202" s="3"/>
      <c r="GJ202" s="3"/>
      <c r="GK202" s="3"/>
      <c r="GL202" s="3"/>
      <c r="GM202" s="3"/>
      <c r="GN202" s="3"/>
      <c r="GO202" s="3"/>
      <c r="GP202" s="3"/>
      <c r="GQ202" s="3"/>
      <c r="GR202" s="3"/>
      <c r="GS202" s="3"/>
      <c r="GT202" s="3"/>
      <c r="GU202" s="3"/>
      <c r="GV202" s="3"/>
      <c r="GW202" s="3"/>
      <c r="GX202" s="3"/>
      <c r="GY202" s="3"/>
      <c r="GZ202" s="3"/>
      <c r="HA202" s="3"/>
      <c r="HB202" s="3"/>
      <c r="HC202" s="3"/>
    </row>
    <row r="203" spans="3:211" x14ac:dyDescent="0.2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  <c r="FM203" s="3"/>
      <c r="FN203" s="3"/>
      <c r="FO203" s="3"/>
      <c r="FP203" s="3"/>
      <c r="FQ203" s="3"/>
      <c r="FR203" s="3"/>
      <c r="FS203" s="3"/>
      <c r="FT203" s="3"/>
      <c r="FU203" s="3"/>
      <c r="FV203" s="3"/>
      <c r="FW203" s="3"/>
      <c r="FX203" s="3"/>
      <c r="FY203" s="3"/>
      <c r="FZ203" s="3"/>
      <c r="GA203" s="3"/>
      <c r="GB203" s="3"/>
      <c r="GC203" s="3"/>
      <c r="GD203" s="3"/>
      <c r="GE203" s="3"/>
      <c r="GF203" s="3"/>
      <c r="GG203" s="3"/>
      <c r="GH203" s="3"/>
      <c r="GI203" s="3"/>
      <c r="GJ203" s="3"/>
      <c r="GK203" s="3"/>
      <c r="GL203" s="3"/>
      <c r="GM203" s="3"/>
      <c r="GN203" s="3"/>
      <c r="GO203" s="3"/>
      <c r="GP203" s="3"/>
      <c r="GQ203" s="3"/>
      <c r="GR203" s="3"/>
      <c r="GS203" s="3"/>
      <c r="GT203" s="3"/>
      <c r="GU203" s="3"/>
      <c r="GV203" s="3"/>
      <c r="GW203" s="3"/>
      <c r="GX203" s="3"/>
      <c r="GY203" s="3"/>
      <c r="GZ203" s="3"/>
      <c r="HA203" s="3"/>
      <c r="HB203" s="3"/>
      <c r="HC203" s="3"/>
    </row>
    <row r="204" spans="3:211" x14ac:dyDescent="0.2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  <c r="FM204" s="3"/>
      <c r="FN204" s="3"/>
      <c r="FO204" s="3"/>
      <c r="FP204" s="3"/>
      <c r="FQ204" s="3"/>
      <c r="FR204" s="3"/>
      <c r="FS204" s="3"/>
      <c r="FT204" s="3"/>
      <c r="FU204" s="3"/>
      <c r="FV204" s="3"/>
      <c r="FW204" s="3"/>
      <c r="FX204" s="3"/>
      <c r="FY204" s="3"/>
      <c r="FZ204" s="3"/>
      <c r="GA204" s="3"/>
      <c r="GB204" s="3"/>
      <c r="GC204" s="3"/>
      <c r="GD204" s="3"/>
      <c r="GE204" s="3"/>
      <c r="GF204" s="3"/>
      <c r="GG204" s="3"/>
      <c r="GH204" s="3"/>
      <c r="GI204" s="3"/>
      <c r="GJ204" s="3"/>
      <c r="GK204" s="3"/>
      <c r="GL204" s="3"/>
      <c r="GM204" s="3"/>
      <c r="GN204" s="3"/>
      <c r="GO204" s="3"/>
      <c r="GP204" s="3"/>
      <c r="GQ204" s="3"/>
      <c r="GR204" s="3"/>
      <c r="GS204" s="3"/>
      <c r="GT204" s="3"/>
      <c r="GU204" s="3"/>
      <c r="GV204" s="3"/>
      <c r="GW204" s="3"/>
      <c r="GX204" s="3"/>
      <c r="GY204" s="3"/>
      <c r="GZ204" s="3"/>
      <c r="HA204" s="3"/>
      <c r="HB204" s="3"/>
      <c r="HC204" s="3"/>
    </row>
    <row r="205" spans="3:211" x14ac:dyDescent="0.2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  <c r="FM205" s="3"/>
      <c r="FN205" s="3"/>
      <c r="FO205" s="3"/>
      <c r="FP205" s="3"/>
      <c r="FQ205" s="3"/>
      <c r="FR205" s="3"/>
      <c r="FS205" s="3"/>
      <c r="FT205" s="3"/>
      <c r="FU205" s="3"/>
      <c r="FV205" s="3"/>
      <c r="FW205" s="3"/>
      <c r="FX205" s="3"/>
      <c r="FY205" s="3"/>
      <c r="FZ205" s="3"/>
      <c r="GA205" s="3"/>
      <c r="GB205" s="3"/>
      <c r="GC205" s="3"/>
      <c r="GD205" s="3"/>
      <c r="GE205" s="3"/>
      <c r="GF205" s="3"/>
      <c r="GG205" s="3"/>
      <c r="GH205" s="3"/>
      <c r="GI205" s="3"/>
      <c r="GJ205" s="3"/>
      <c r="GK205" s="3"/>
      <c r="GL205" s="3"/>
      <c r="GM205" s="3"/>
      <c r="GN205" s="3"/>
      <c r="GO205" s="3"/>
      <c r="GP205" s="3"/>
      <c r="GQ205" s="3"/>
      <c r="GR205" s="3"/>
      <c r="GS205" s="3"/>
      <c r="GT205" s="3"/>
      <c r="GU205" s="3"/>
      <c r="GV205" s="3"/>
      <c r="GW205" s="3"/>
      <c r="GX205" s="3"/>
      <c r="GY205" s="3"/>
      <c r="GZ205" s="3"/>
      <c r="HA205" s="3"/>
      <c r="HB205" s="3"/>
      <c r="HC205" s="3"/>
    </row>
    <row r="206" spans="3:211" x14ac:dyDescent="0.2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  <c r="FM206" s="3"/>
      <c r="FN206" s="3"/>
      <c r="FO206" s="3"/>
      <c r="FP206" s="3"/>
      <c r="FQ206" s="3"/>
      <c r="FR206" s="3"/>
      <c r="FS206" s="3"/>
      <c r="FT206" s="3"/>
      <c r="FU206" s="3"/>
      <c r="FV206" s="3"/>
      <c r="FW206" s="3"/>
      <c r="FX206" s="3"/>
      <c r="FY206" s="3"/>
      <c r="FZ206" s="3"/>
      <c r="GA206" s="3"/>
      <c r="GB206" s="3"/>
      <c r="GC206" s="3"/>
      <c r="GD206" s="3"/>
      <c r="GE206" s="3"/>
      <c r="GF206" s="3"/>
      <c r="GG206" s="3"/>
      <c r="GH206" s="3"/>
      <c r="GI206" s="3"/>
      <c r="GJ206" s="3"/>
      <c r="GK206" s="3"/>
      <c r="GL206" s="3"/>
      <c r="GM206" s="3"/>
      <c r="GN206" s="3"/>
      <c r="GO206" s="3"/>
      <c r="GP206" s="3"/>
      <c r="GQ206" s="3"/>
      <c r="GR206" s="3"/>
      <c r="GS206" s="3"/>
      <c r="GT206" s="3"/>
      <c r="GU206" s="3"/>
      <c r="GV206" s="3"/>
      <c r="GW206" s="3"/>
      <c r="GX206" s="3"/>
      <c r="GY206" s="3"/>
      <c r="GZ206" s="3"/>
      <c r="HA206" s="3"/>
      <c r="HB206" s="3"/>
      <c r="HC206" s="3"/>
    </row>
    <row r="207" spans="3:211" x14ac:dyDescent="0.2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  <c r="FM207" s="3"/>
      <c r="FN207" s="3"/>
      <c r="FO207" s="3"/>
      <c r="FP207" s="3"/>
      <c r="FQ207" s="3"/>
      <c r="FR207" s="3"/>
      <c r="FS207" s="3"/>
      <c r="FT207" s="3"/>
      <c r="FU207" s="3"/>
      <c r="FV207" s="3"/>
      <c r="FW207" s="3"/>
      <c r="FX207" s="3"/>
      <c r="FY207" s="3"/>
      <c r="FZ207" s="3"/>
      <c r="GA207" s="3"/>
      <c r="GB207" s="3"/>
      <c r="GC207" s="3"/>
      <c r="GD207" s="3"/>
      <c r="GE207" s="3"/>
      <c r="GF207" s="3"/>
      <c r="GG207" s="3"/>
      <c r="GH207" s="3"/>
      <c r="GI207" s="3"/>
      <c r="GJ207" s="3"/>
      <c r="GK207" s="3"/>
      <c r="GL207" s="3"/>
      <c r="GM207" s="3"/>
      <c r="GN207" s="3"/>
      <c r="GO207" s="3"/>
      <c r="GP207" s="3"/>
      <c r="GQ207" s="3"/>
      <c r="GR207" s="3"/>
      <c r="GS207" s="3"/>
      <c r="GT207" s="3"/>
      <c r="GU207" s="3"/>
      <c r="GV207" s="3"/>
      <c r="GW207" s="3"/>
      <c r="GX207" s="3"/>
      <c r="GY207" s="3"/>
      <c r="GZ207" s="3"/>
      <c r="HA207" s="3"/>
      <c r="HB207" s="3"/>
      <c r="HC207" s="3"/>
    </row>
    <row r="208" spans="3:211" x14ac:dyDescent="0.2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  <c r="FM208" s="3"/>
      <c r="FN208" s="3"/>
      <c r="FO208" s="3"/>
      <c r="FP208" s="3"/>
      <c r="FQ208" s="3"/>
      <c r="FR208" s="3"/>
      <c r="FS208" s="3"/>
      <c r="FT208" s="3"/>
      <c r="FU208" s="3"/>
      <c r="FV208" s="3"/>
      <c r="FW208" s="3"/>
      <c r="FX208" s="3"/>
      <c r="FY208" s="3"/>
      <c r="FZ208" s="3"/>
      <c r="GA208" s="3"/>
      <c r="GB208" s="3"/>
      <c r="GC208" s="3"/>
      <c r="GD208" s="3"/>
      <c r="GE208" s="3"/>
      <c r="GF208" s="3"/>
      <c r="GG208" s="3"/>
      <c r="GH208" s="3"/>
      <c r="GI208" s="3"/>
      <c r="GJ208" s="3"/>
      <c r="GK208" s="3"/>
      <c r="GL208" s="3"/>
      <c r="GM208" s="3"/>
      <c r="GN208" s="3"/>
      <c r="GO208" s="3"/>
      <c r="GP208" s="3"/>
      <c r="GQ208" s="3"/>
      <c r="GR208" s="3"/>
      <c r="GS208" s="3"/>
      <c r="GT208" s="3"/>
      <c r="GU208" s="3"/>
      <c r="GV208" s="3"/>
      <c r="GW208" s="3"/>
      <c r="GX208" s="3"/>
      <c r="GY208" s="3"/>
      <c r="GZ208" s="3"/>
      <c r="HA208" s="3"/>
      <c r="HB208" s="3"/>
      <c r="HC208" s="3"/>
    </row>
    <row r="209" spans="3:211" x14ac:dyDescent="0.2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  <c r="FM209" s="3"/>
      <c r="FN209" s="3"/>
      <c r="FO209" s="3"/>
      <c r="FP209" s="3"/>
      <c r="FQ209" s="3"/>
      <c r="FR209" s="3"/>
      <c r="FS209" s="3"/>
      <c r="FT209" s="3"/>
      <c r="FU209" s="3"/>
      <c r="FV209" s="3"/>
      <c r="FW209" s="3"/>
      <c r="FX209" s="3"/>
      <c r="FY209" s="3"/>
      <c r="FZ209" s="3"/>
      <c r="GA209" s="3"/>
      <c r="GB209" s="3"/>
      <c r="GC209" s="3"/>
      <c r="GD209" s="3"/>
      <c r="GE209" s="3"/>
      <c r="GF209" s="3"/>
      <c r="GG209" s="3"/>
      <c r="GH209" s="3"/>
      <c r="GI209" s="3"/>
      <c r="GJ209" s="3"/>
      <c r="GK209" s="3"/>
      <c r="GL209" s="3"/>
      <c r="GM209" s="3"/>
      <c r="GN209" s="3"/>
      <c r="GO209" s="3"/>
      <c r="GP209" s="3"/>
      <c r="GQ209" s="3"/>
      <c r="GR209" s="3"/>
      <c r="GS209" s="3"/>
      <c r="GT209" s="3"/>
      <c r="GU209" s="3"/>
      <c r="GV209" s="3"/>
      <c r="GW209" s="3"/>
      <c r="GX209" s="3"/>
      <c r="GY209" s="3"/>
      <c r="GZ209" s="3"/>
      <c r="HA209" s="3"/>
      <c r="HB209" s="3"/>
      <c r="HC209" s="3"/>
    </row>
    <row r="210" spans="3:211" x14ac:dyDescent="0.2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  <c r="FM210" s="3"/>
      <c r="FN210" s="3"/>
      <c r="FO210" s="3"/>
      <c r="FP210" s="3"/>
      <c r="FQ210" s="3"/>
      <c r="FR210" s="3"/>
      <c r="FS210" s="3"/>
      <c r="FT210" s="3"/>
      <c r="FU210" s="3"/>
      <c r="FV210" s="3"/>
      <c r="FW210" s="3"/>
      <c r="FX210" s="3"/>
      <c r="FY210" s="3"/>
      <c r="FZ210" s="3"/>
      <c r="GA210" s="3"/>
      <c r="GB210" s="3"/>
      <c r="GC210" s="3"/>
      <c r="GD210" s="3"/>
      <c r="GE210" s="3"/>
      <c r="GF210" s="3"/>
      <c r="GG210" s="3"/>
      <c r="GH210" s="3"/>
      <c r="GI210" s="3"/>
      <c r="GJ210" s="3"/>
      <c r="GK210" s="3"/>
      <c r="GL210" s="3"/>
      <c r="GM210" s="3"/>
      <c r="GN210" s="3"/>
      <c r="GO210" s="3"/>
      <c r="GP210" s="3"/>
      <c r="GQ210" s="3"/>
      <c r="GR210" s="3"/>
      <c r="GS210" s="3"/>
      <c r="GT210" s="3"/>
      <c r="GU210" s="3"/>
      <c r="GV210" s="3"/>
      <c r="GW210" s="3"/>
      <c r="GX210" s="3"/>
      <c r="GY210" s="3"/>
      <c r="GZ210" s="3"/>
      <c r="HA210" s="3"/>
      <c r="HB210" s="3"/>
      <c r="HC210" s="3"/>
    </row>
    <row r="211" spans="3:211" x14ac:dyDescent="0.2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  <c r="FM211" s="3"/>
      <c r="FN211" s="3"/>
      <c r="FO211" s="3"/>
      <c r="FP211" s="3"/>
      <c r="FQ211" s="3"/>
      <c r="FR211" s="3"/>
      <c r="FS211" s="3"/>
      <c r="FT211" s="3"/>
      <c r="FU211" s="3"/>
      <c r="FV211" s="3"/>
      <c r="FW211" s="3"/>
      <c r="FX211" s="3"/>
      <c r="FY211" s="3"/>
      <c r="FZ211" s="3"/>
      <c r="GA211" s="3"/>
      <c r="GB211" s="3"/>
      <c r="GC211" s="3"/>
      <c r="GD211" s="3"/>
      <c r="GE211" s="3"/>
      <c r="GF211" s="3"/>
      <c r="GG211" s="3"/>
      <c r="GH211" s="3"/>
      <c r="GI211" s="3"/>
      <c r="GJ211" s="3"/>
      <c r="GK211" s="3"/>
      <c r="GL211" s="3"/>
      <c r="GM211" s="3"/>
      <c r="GN211" s="3"/>
      <c r="GO211" s="3"/>
      <c r="GP211" s="3"/>
      <c r="GQ211" s="3"/>
      <c r="GR211" s="3"/>
      <c r="GS211" s="3"/>
      <c r="GT211" s="3"/>
      <c r="GU211" s="3"/>
      <c r="GV211" s="3"/>
      <c r="GW211" s="3"/>
      <c r="GX211" s="3"/>
      <c r="GY211" s="3"/>
      <c r="GZ211" s="3"/>
      <c r="HA211" s="3"/>
      <c r="HB211" s="3"/>
      <c r="HC211" s="3"/>
    </row>
    <row r="212" spans="3:211" x14ac:dyDescent="0.2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  <c r="FL212" s="3"/>
      <c r="FM212" s="3"/>
      <c r="FN212" s="3"/>
      <c r="FO212" s="3"/>
      <c r="FP212" s="3"/>
      <c r="FQ212" s="3"/>
      <c r="FR212" s="3"/>
      <c r="FS212" s="3"/>
      <c r="FT212" s="3"/>
      <c r="FU212" s="3"/>
      <c r="FV212" s="3"/>
      <c r="FW212" s="3"/>
      <c r="FX212" s="3"/>
      <c r="FY212" s="3"/>
      <c r="FZ212" s="3"/>
      <c r="GA212" s="3"/>
      <c r="GB212" s="3"/>
      <c r="GC212" s="3"/>
      <c r="GD212" s="3"/>
      <c r="GE212" s="3"/>
      <c r="GF212" s="3"/>
      <c r="GG212" s="3"/>
      <c r="GH212" s="3"/>
      <c r="GI212" s="3"/>
      <c r="GJ212" s="3"/>
      <c r="GK212" s="3"/>
      <c r="GL212" s="3"/>
      <c r="GM212" s="3"/>
      <c r="GN212" s="3"/>
      <c r="GO212" s="3"/>
      <c r="GP212" s="3"/>
      <c r="GQ212" s="3"/>
      <c r="GR212" s="3"/>
      <c r="GS212" s="3"/>
      <c r="GT212" s="3"/>
      <c r="GU212" s="3"/>
      <c r="GV212" s="3"/>
      <c r="GW212" s="3"/>
      <c r="GX212" s="3"/>
      <c r="GY212" s="3"/>
      <c r="GZ212" s="3"/>
      <c r="HA212" s="3"/>
      <c r="HB212" s="3"/>
      <c r="HC212" s="3"/>
    </row>
    <row r="213" spans="3:211" x14ac:dyDescent="0.2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  <c r="FM213" s="3"/>
      <c r="FN213" s="3"/>
      <c r="FO213" s="3"/>
      <c r="FP213" s="3"/>
      <c r="FQ213" s="3"/>
      <c r="FR213" s="3"/>
      <c r="FS213" s="3"/>
      <c r="FT213" s="3"/>
      <c r="FU213" s="3"/>
      <c r="FV213" s="3"/>
      <c r="FW213" s="3"/>
      <c r="FX213" s="3"/>
      <c r="FY213" s="3"/>
      <c r="FZ213" s="3"/>
      <c r="GA213" s="3"/>
      <c r="GB213" s="3"/>
      <c r="GC213" s="3"/>
      <c r="GD213" s="3"/>
      <c r="GE213" s="3"/>
      <c r="GF213" s="3"/>
      <c r="GG213" s="3"/>
      <c r="GH213" s="3"/>
      <c r="GI213" s="3"/>
      <c r="GJ213" s="3"/>
      <c r="GK213" s="3"/>
      <c r="GL213" s="3"/>
      <c r="GM213" s="3"/>
      <c r="GN213" s="3"/>
      <c r="GO213" s="3"/>
      <c r="GP213" s="3"/>
      <c r="GQ213" s="3"/>
      <c r="GR213" s="3"/>
      <c r="GS213" s="3"/>
      <c r="GT213" s="3"/>
      <c r="GU213" s="3"/>
      <c r="GV213" s="3"/>
      <c r="GW213" s="3"/>
      <c r="GX213" s="3"/>
      <c r="GY213" s="3"/>
      <c r="GZ213" s="3"/>
      <c r="HA213" s="3"/>
      <c r="HB213" s="3"/>
      <c r="HC213" s="3"/>
    </row>
    <row r="214" spans="3:211" x14ac:dyDescent="0.2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  <c r="FM214" s="3"/>
      <c r="FN214" s="3"/>
      <c r="FO214" s="3"/>
      <c r="FP214" s="3"/>
      <c r="FQ214" s="3"/>
      <c r="FR214" s="3"/>
      <c r="FS214" s="3"/>
      <c r="FT214" s="3"/>
      <c r="FU214" s="3"/>
      <c r="FV214" s="3"/>
      <c r="FW214" s="3"/>
      <c r="FX214" s="3"/>
      <c r="FY214" s="3"/>
      <c r="FZ214" s="3"/>
      <c r="GA214" s="3"/>
      <c r="GB214" s="3"/>
      <c r="GC214" s="3"/>
      <c r="GD214" s="3"/>
      <c r="GE214" s="3"/>
      <c r="GF214" s="3"/>
      <c r="GG214" s="3"/>
      <c r="GH214" s="3"/>
      <c r="GI214" s="3"/>
      <c r="GJ214" s="3"/>
      <c r="GK214" s="3"/>
      <c r="GL214" s="3"/>
      <c r="GM214" s="3"/>
      <c r="GN214" s="3"/>
      <c r="GO214" s="3"/>
      <c r="GP214" s="3"/>
      <c r="GQ214" s="3"/>
      <c r="GR214" s="3"/>
      <c r="GS214" s="3"/>
      <c r="GT214" s="3"/>
      <c r="GU214" s="3"/>
      <c r="GV214" s="3"/>
      <c r="GW214" s="3"/>
      <c r="GX214" s="3"/>
      <c r="GY214" s="3"/>
      <c r="GZ214" s="3"/>
      <c r="HA214" s="3"/>
      <c r="HB214" s="3"/>
      <c r="HC214" s="3"/>
    </row>
    <row r="215" spans="3:211" x14ac:dyDescent="0.2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  <c r="FI215" s="3"/>
      <c r="FJ215" s="3"/>
      <c r="FK215" s="3"/>
      <c r="FL215" s="3"/>
      <c r="FM215" s="3"/>
      <c r="FN215" s="3"/>
      <c r="FO215" s="3"/>
      <c r="FP215" s="3"/>
      <c r="FQ215" s="3"/>
      <c r="FR215" s="3"/>
      <c r="FS215" s="3"/>
      <c r="FT215" s="3"/>
      <c r="FU215" s="3"/>
      <c r="FV215" s="3"/>
      <c r="FW215" s="3"/>
      <c r="FX215" s="3"/>
      <c r="FY215" s="3"/>
      <c r="FZ215" s="3"/>
      <c r="GA215" s="3"/>
      <c r="GB215" s="3"/>
      <c r="GC215" s="3"/>
      <c r="GD215" s="3"/>
      <c r="GE215" s="3"/>
      <c r="GF215" s="3"/>
      <c r="GG215" s="3"/>
      <c r="GH215" s="3"/>
      <c r="GI215" s="3"/>
      <c r="GJ215" s="3"/>
      <c r="GK215" s="3"/>
      <c r="GL215" s="3"/>
      <c r="GM215" s="3"/>
      <c r="GN215" s="3"/>
      <c r="GO215" s="3"/>
      <c r="GP215" s="3"/>
      <c r="GQ215" s="3"/>
      <c r="GR215" s="3"/>
      <c r="GS215" s="3"/>
      <c r="GT215" s="3"/>
      <c r="GU215" s="3"/>
      <c r="GV215" s="3"/>
      <c r="GW215" s="3"/>
      <c r="GX215" s="3"/>
      <c r="GY215" s="3"/>
      <c r="GZ215" s="3"/>
      <c r="HA215" s="3"/>
      <c r="HB215" s="3"/>
      <c r="HC215" s="3"/>
    </row>
    <row r="216" spans="3:211" x14ac:dyDescent="0.2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  <c r="FL216" s="3"/>
      <c r="FM216" s="3"/>
      <c r="FN216" s="3"/>
      <c r="FO216" s="3"/>
      <c r="FP216" s="3"/>
      <c r="FQ216" s="3"/>
      <c r="FR216" s="3"/>
      <c r="FS216" s="3"/>
      <c r="FT216" s="3"/>
      <c r="FU216" s="3"/>
      <c r="FV216" s="3"/>
      <c r="FW216" s="3"/>
      <c r="FX216" s="3"/>
      <c r="FY216" s="3"/>
      <c r="FZ216" s="3"/>
      <c r="GA216" s="3"/>
      <c r="GB216" s="3"/>
      <c r="GC216" s="3"/>
      <c r="GD216" s="3"/>
      <c r="GE216" s="3"/>
      <c r="GF216" s="3"/>
      <c r="GG216" s="3"/>
      <c r="GH216" s="3"/>
      <c r="GI216" s="3"/>
      <c r="GJ216" s="3"/>
      <c r="GK216" s="3"/>
      <c r="GL216" s="3"/>
      <c r="GM216" s="3"/>
      <c r="GN216" s="3"/>
      <c r="GO216" s="3"/>
      <c r="GP216" s="3"/>
      <c r="GQ216" s="3"/>
      <c r="GR216" s="3"/>
      <c r="GS216" s="3"/>
      <c r="GT216" s="3"/>
      <c r="GU216" s="3"/>
      <c r="GV216" s="3"/>
      <c r="GW216" s="3"/>
      <c r="GX216" s="3"/>
      <c r="GY216" s="3"/>
      <c r="GZ216" s="3"/>
      <c r="HA216" s="3"/>
      <c r="HB216" s="3"/>
      <c r="HC216" s="3"/>
    </row>
    <row r="217" spans="3:211" x14ac:dyDescent="0.2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</row>
    <row r="218" spans="3:211" x14ac:dyDescent="0.2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</row>
    <row r="219" spans="3:211" x14ac:dyDescent="0.2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</row>
    <row r="220" spans="3:211" x14ac:dyDescent="0.2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</row>
    <row r="221" spans="3:211" x14ac:dyDescent="0.2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</row>
    <row r="222" spans="3:211" x14ac:dyDescent="0.2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</row>
    <row r="223" spans="3:211" x14ac:dyDescent="0.2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</row>
    <row r="224" spans="3:211" x14ac:dyDescent="0.2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</row>
    <row r="225" spans="3:211" x14ac:dyDescent="0.2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</row>
    <row r="226" spans="3:211" x14ac:dyDescent="0.2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</row>
    <row r="227" spans="3:211" x14ac:dyDescent="0.2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</row>
    <row r="228" spans="3:211" x14ac:dyDescent="0.2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</row>
    <row r="229" spans="3:211" x14ac:dyDescent="0.2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</row>
    <row r="230" spans="3:211" x14ac:dyDescent="0.2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</row>
    <row r="231" spans="3:211" x14ac:dyDescent="0.2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</row>
    <row r="232" spans="3:211" x14ac:dyDescent="0.2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</row>
    <row r="233" spans="3:211" x14ac:dyDescent="0.2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</row>
    <row r="234" spans="3:211" x14ac:dyDescent="0.2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</row>
    <row r="235" spans="3:211" x14ac:dyDescent="0.2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</row>
    <row r="236" spans="3:211" x14ac:dyDescent="0.2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</row>
    <row r="237" spans="3:211" x14ac:dyDescent="0.2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</row>
    <row r="238" spans="3:211" x14ac:dyDescent="0.2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</row>
    <row r="239" spans="3:211" x14ac:dyDescent="0.2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</row>
    <row r="240" spans="3:211" x14ac:dyDescent="0.2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</row>
    <row r="241" spans="3:211" x14ac:dyDescent="0.2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</row>
    <row r="242" spans="3:211" x14ac:dyDescent="0.2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</row>
    <row r="243" spans="3:211" x14ac:dyDescent="0.2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</row>
    <row r="244" spans="3:211" x14ac:dyDescent="0.2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</row>
    <row r="245" spans="3:211" x14ac:dyDescent="0.2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</row>
    <row r="246" spans="3:211" x14ac:dyDescent="0.2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</row>
    <row r="247" spans="3:211" x14ac:dyDescent="0.2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</row>
    <row r="248" spans="3:211" x14ac:dyDescent="0.2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</row>
    <row r="249" spans="3:211" x14ac:dyDescent="0.2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</row>
    <row r="250" spans="3:211" x14ac:dyDescent="0.2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</row>
    <row r="251" spans="3:211" x14ac:dyDescent="0.2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</row>
    <row r="252" spans="3:211" x14ac:dyDescent="0.2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</row>
  </sheetData>
  <hyperlinks>
    <hyperlink ref="A1" location="Main!A1" display="Main" xr:uid="{F19B80C1-46AF-4099-8AA5-CF7124DDE49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2025-01-30T13:50:29Z</dcterms:created>
  <dcterms:modified xsi:type="dcterms:W3CDTF">2026-08-13T09:11:42Z</dcterms:modified>
</cp:coreProperties>
</file>