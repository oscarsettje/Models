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4D8E787-575E-4D3E-987D-B7DD50DC8793}" xr6:coauthVersionLast="47" xr6:coauthVersionMax="47" xr10:uidLastSave="{00000000-0000-0000-0000-000000000000}"/>
  <bookViews>
    <workbookView xWindow="19095" yWindow="0" windowWidth="19410" windowHeight="20925" activeTab="1" xr2:uid="{FD9221D3-9194-474F-AA6F-D3A3CA93055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P17" i="2" s="1"/>
  <c r="P21" i="2" s="1"/>
  <c r="P23" i="2" s="1"/>
  <c r="P25" i="2" s="1"/>
  <c r="P27" i="2" s="1"/>
  <c r="Q14" i="2"/>
  <c r="Q17" i="2" s="1"/>
  <c r="Q21" i="2" s="1"/>
  <c r="Q23" i="2" s="1"/>
  <c r="Q25" i="2" s="1"/>
  <c r="Q27" i="2" s="1"/>
  <c r="R14" i="2"/>
  <c r="R17" i="2" s="1"/>
  <c r="R21" i="2" s="1"/>
  <c r="R23" i="2" s="1"/>
  <c r="R25" i="2" s="1"/>
  <c r="R27" i="2" s="1"/>
  <c r="H6" i="1"/>
  <c r="M30" i="2"/>
  <c r="M14" i="2"/>
  <c r="M17" i="2" s="1"/>
  <c r="K30" i="2"/>
  <c r="J30" i="2"/>
  <c r="I30" i="2"/>
  <c r="H30" i="2"/>
  <c r="G30" i="2"/>
  <c r="L30" i="2"/>
  <c r="L14" i="2"/>
  <c r="L31" i="2" s="1"/>
  <c r="K14" i="2"/>
  <c r="K17" i="2" s="1"/>
  <c r="K32" i="2" l="1"/>
  <c r="K21" i="2"/>
  <c r="M32" i="2"/>
  <c r="M21" i="2"/>
  <c r="M31" i="2"/>
  <c r="K31" i="2"/>
  <c r="L17" i="2"/>
  <c r="J14" i="2"/>
  <c r="H14" i="2"/>
  <c r="G14" i="2"/>
  <c r="F14" i="2"/>
  <c r="E14" i="2"/>
  <c r="D14" i="2"/>
  <c r="C14" i="2"/>
  <c r="I14" i="2"/>
  <c r="H4" i="1"/>
  <c r="H7" i="1" s="1"/>
  <c r="K33" i="2" l="1"/>
  <c r="K23" i="2"/>
  <c r="K25" i="2" s="1"/>
  <c r="K27" i="2" s="1"/>
  <c r="I17" i="2"/>
  <c r="I31" i="2"/>
  <c r="C17" i="2"/>
  <c r="C31" i="2"/>
  <c r="D17" i="2"/>
  <c r="D31" i="2"/>
  <c r="E17" i="2"/>
  <c r="E31" i="2"/>
  <c r="F17" i="2"/>
  <c r="F31" i="2"/>
  <c r="G17" i="2"/>
  <c r="G31" i="2"/>
  <c r="H17" i="2"/>
  <c r="H31" i="2"/>
  <c r="J17" i="2"/>
  <c r="J31" i="2"/>
  <c r="L32" i="2"/>
  <c r="L21" i="2"/>
  <c r="M33" i="2"/>
  <c r="M23" i="2"/>
  <c r="M25" i="2" s="1"/>
  <c r="M27" i="2" s="1"/>
  <c r="L33" i="2" l="1"/>
  <c r="L23" i="2"/>
  <c r="L25" i="2" s="1"/>
  <c r="L27" i="2" s="1"/>
  <c r="J21" i="2"/>
  <c r="J32" i="2"/>
  <c r="H21" i="2"/>
  <c r="H32" i="2"/>
  <c r="G21" i="2"/>
  <c r="G32" i="2"/>
  <c r="F21" i="2"/>
  <c r="F32" i="2"/>
  <c r="E21" i="2"/>
  <c r="E32" i="2"/>
  <c r="D21" i="2"/>
  <c r="D32" i="2"/>
  <c r="C21" i="2"/>
  <c r="C32" i="2"/>
  <c r="I21" i="2"/>
  <c r="I32" i="2"/>
  <c r="I23" i="2" l="1"/>
  <c r="I25" i="2" s="1"/>
  <c r="I27" i="2" s="1"/>
  <c r="I33" i="2"/>
  <c r="C23" i="2"/>
  <c r="C25" i="2" s="1"/>
  <c r="C27" i="2" s="1"/>
  <c r="C33" i="2"/>
  <c r="D23" i="2"/>
  <c r="D25" i="2" s="1"/>
  <c r="D27" i="2" s="1"/>
  <c r="D33" i="2"/>
  <c r="E23" i="2"/>
  <c r="E25" i="2" s="1"/>
  <c r="E27" i="2" s="1"/>
  <c r="E33" i="2"/>
  <c r="F23" i="2"/>
  <c r="F25" i="2" s="1"/>
  <c r="F27" i="2" s="1"/>
  <c r="F33" i="2"/>
  <c r="G23" i="2"/>
  <c r="G25" i="2" s="1"/>
  <c r="G27" i="2" s="1"/>
  <c r="G33" i="2"/>
  <c r="H23" i="2"/>
  <c r="H25" i="2" s="1"/>
  <c r="H27" i="2" s="1"/>
  <c r="H33" i="2"/>
  <c r="J23" i="2"/>
  <c r="J25" i="2" s="1"/>
  <c r="J27" i="2" s="1"/>
  <c r="J33" i="2"/>
</calcChain>
</file>

<file path=xl/sharedStrings.xml><?xml version="1.0" encoding="utf-8"?>
<sst xmlns="http://schemas.openxmlformats.org/spreadsheetml/2006/main" count="66" uniqueCount="61">
  <si>
    <t>VF Corporation</t>
  </si>
  <si>
    <t>VFC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</si>
  <si>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</si>
  <si>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</si>
  <si>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</si>
  <si>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</si>
  <si>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</si>
  <si>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</si>
  <si>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</si>
  <si>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</si>
  <si>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</si>
  <si>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</si>
  <si>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</si>
  <si>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</si>
  <si>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</si>
  <si>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</si>
  <si>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</si>
  <si>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</si>
  <si>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</si>
  <si>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Revenues</t>
  </si>
  <si>
    <t>COGS</t>
  </si>
  <si>
    <t>Gross Profit</t>
  </si>
  <si>
    <t>SGA</t>
  </si>
  <si>
    <t>Goowill Impairment</t>
  </si>
  <si>
    <t>Operating Income</t>
  </si>
  <si>
    <t>Interest Income</t>
  </si>
  <si>
    <t>Interest Expense</t>
  </si>
  <si>
    <t>Other Income</t>
  </si>
  <si>
    <t>Pretax Income</t>
  </si>
  <si>
    <t>Tax Expense</t>
  </si>
  <si>
    <t>Net Income from con. Operations</t>
  </si>
  <si>
    <t>Loss from discon. Operations</t>
  </si>
  <si>
    <t>Net Income</t>
  </si>
  <si>
    <t>EPS</t>
  </si>
  <si>
    <t>Wholesale</t>
  </si>
  <si>
    <t>D2C</t>
  </si>
  <si>
    <t>Royalty</t>
  </si>
  <si>
    <t>America</t>
  </si>
  <si>
    <t>Europe</t>
  </si>
  <si>
    <t>Asia Pacific</t>
  </si>
  <si>
    <t>Notes</t>
  </si>
  <si>
    <t>Brands:</t>
  </si>
  <si>
    <t>Other Revenue</t>
  </si>
  <si>
    <t>Q126</t>
  </si>
  <si>
    <t>Q226</t>
  </si>
  <si>
    <t>Q326</t>
  </si>
  <si>
    <t>Q426</t>
  </si>
  <si>
    <t>n.a.</t>
  </si>
  <si>
    <t>Revenue Growth</t>
  </si>
  <si>
    <t>Gross Margin</t>
  </si>
  <si>
    <t>Operating Margin</t>
  </si>
  <si>
    <t>Tax Rate</t>
  </si>
  <si>
    <t>FQ426</t>
  </si>
  <si>
    <t>The North Face, Timberland, Vans, Kipling</t>
  </si>
  <si>
    <t xml:space="preserve">Eastpack, JanSport, Dickies, Altra, </t>
  </si>
  <si>
    <t xml:space="preserve">Smartwool, Napapijri, Icebreaker </t>
  </si>
  <si>
    <t>FY25</t>
  </si>
  <si>
    <t>FY26</t>
  </si>
  <si>
    <t>FY24</t>
  </si>
  <si>
    <t>Outdoor Revenue</t>
  </si>
  <si>
    <t>Actuve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</si>
</sst>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16">
    <xf numFmtId="0" fontId="0" fillId="0" borderId="0" xfId="0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165" fontId="3" fillId="0" borderId="0" xfId="0" applyNumberFormat="1" applyFont="1"/>
    <xf numFmtId="165" fontId="5" fillId="0" borderId="0" xfId="0" applyNumberFormat="1" applyFont="1"/>
    <xf numFmtId="166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2" fillId="0" borderId="0" xfId="0" applyFont="1"/>
    <xf numFmtId="9" fontId="5" fillId="0" borderId="0" xfId="2" applyFont="1"/>
    <xf numFmtId="9" fontId="3" fillId="0" borderId="0" xfId="2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vfc.com/inves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E3357-E065-4428-904F-B44A426A31A2}">
  <dimension ref="A1:I14"/>
  <sheetViews>
    <sheetView zoomScale="200" zoomScaleNormal="200" workbookViewId="0">
      <selection activeCell="H7" sqref="H7"/>
    </sheetView>
  </sheetViews>
  <sheetFormatPr defaultRowHeight="12.75" x14ac:dyDescent="0.2"/>
  <cols>
    <col min="1" max="1" width="4" style="2" customWidth="1"/>
    <col min="2" max="16384" width="9.140625" style="2"/>
  </cols>
  <sheetData>
    <row r="1" spans="1:9" x14ac:dyDescent="0.2">
      <c r="A1" s="1" t="s">
        <v>0</v>
      </c>
    </row>
    <row r="2" spans="1:9" x14ac:dyDescent="0.2">
      <c r="A2" s="2" t="s">
        <v>3</v>
      </c>
      <c r="G2" s="2" t="s">
        <v>4</v>
      </c>
      <c r="H2" s="2">
        <v>16.72</v>
      </c>
    </row>
    <row r="3" spans="1:9" x14ac:dyDescent="0.2">
      <c r="G3" s="2" t="s">
        <v>5</v>
      </c>
      <c r="H3" s="3">
        <v>391.76970499999999</v>
      </c>
      <c r="I3" s="14" t="s">
        <v>52</v>
      </c>
    </row>
    <row r="4" spans="1:9" x14ac:dyDescent="0.2">
      <c r="B4" s="2" t="s">
        <v>1</v>
      </c>
      <c r="G4" s="2" t="s">
        <v>6</v>
      </c>
      <c r="H4" s="3">
        <f>+H2*H3</f>
        <v>6550.3894675999991</v>
      </c>
    </row>
    <row r="5" spans="1:9" x14ac:dyDescent="0.2">
      <c r="B5" s="5" t="s">
        <v>2</v>
      </c>
      <c r="G5" s="2" t="s">
        <v>7</v>
      </c>
      <c r="H5" s="3">
        <v>823.94299999999998</v>
      </c>
      <c r="I5" s="14" t="s">
        <v>52</v>
      </c>
    </row>
    <row r="6" spans="1:9" x14ac:dyDescent="0.2">
      <c r="G6" s="2" t="s">
        <v>8</v>
      </c>
      <c r="H6" s="3">
        <f>10.139+3519.87</f>
        <v>3530.009</v>
      </c>
      <c r="I6" s="14" t="s">
        <v>52</v>
      </c>
    </row>
    <row r="7" spans="1:9" x14ac:dyDescent="0.2">
      <c r="G7" s="2" t="s">
        <v>9</v>
      </c>
      <c r="H7" s="3">
        <f>+H4-H5+H6</f>
        <v>9256.4554675999989</v>
      </c>
    </row>
    <row r="10" spans="1:9" x14ac:dyDescent="0.2">
      <c r="B10" s="6" t="s">
        <v>40</v>
      </c>
    </row>
    <row r="11" spans="1:9" x14ac:dyDescent="0.2">
      <c r="B11" s="2" t="s">
        <v>41</v>
      </c>
    </row>
    <row r="12" spans="1:9" x14ac:dyDescent="0.2">
      <c r="B12" s="15" t="s">
        <v>53</v>
      </c>
    </row>
    <row r="13" spans="1:9" x14ac:dyDescent="0.2">
      <c r="B13" s="15" t="s">
        <v>54</v>
      </c>
    </row>
    <row r="14" spans="1:9" x14ac:dyDescent="0.2">
      <c r="B14" s="15" t="s">
        <v>55</v>
      </c>
    </row>
  </sheetData>
  <hyperlinks>
    <hyperlink ref="B5" r:id="rId1" xr:uid="{A85C3FC3-30BE-4413-9DAF-3F0FDDEBE7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D6D1-E9FA-4061-9239-71EF4FDE7FAB}">
  <dimension ref="A1:GY252"/>
  <sheetViews>
    <sheetView tabSelected="1" zoomScale="200" zoomScaleNormal="200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P9" sqref="P9"/>
    </sheetView>
  </sheetViews>
  <sheetFormatPr defaultRowHeight="12.75" x14ac:dyDescent="0.2"/>
  <cols>
    <col min="1" max="1" width="5.42578125" style="2" bestFit="1" customWidth="1"/>
    <col min="2" max="2" width="28" style="2" customWidth="1"/>
    <col min="3" max="16384" width="9.140625" style="2"/>
  </cols>
  <sheetData>
    <row r="1" spans="1:207" x14ac:dyDescent="0.2">
      <c r="A1" s="5" t="s">
        <v>10</v>
      </c>
    </row>
    <row r="2" spans="1:207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4" t="s">
        <v>43</v>
      </c>
      <c r="L2" s="4" t="s">
        <v>44</v>
      </c>
      <c r="M2" s="4" t="s">
        <v>45</v>
      </c>
      <c r="N2" s="4" t="s">
        <v>46</v>
      </c>
      <c r="P2" s="14" t="s">
        <v>58</v>
      </c>
      <c r="Q2" s="14" t="s">
        <v>56</v>
      </c>
      <c r="R2" s="14" t="s">
        <v>57</v>
      </c>
    </row>
    <row r="3" spans="1:207" x14ac:dyDescent="0.2">
      <c r="B3" s="2" t="s">
        <v>37</v>
      </c>
      <c r="C3" s="7"/>
      <c r="D3" s="7"/>
      <c r="E3" s="7">
        <v>1486.0060000000001</v>
      </c>
      <c r="F3" s="7">
        <v>1061.9000000000001</v>
      </c>
      <c r="G3" s="7">
        <v>975.66899999999998</v>
      </c>
      <c r="H3" s="7">
        <v>1355.8579999999999</v>
      </c>
      <c r="I3" s="7">
        <v>1506.722</v>
      </c>
      <c r="J3" s="7">
        <v>995.2</v>
      </c>
      <c r="K3" s="7">
        <v>937.59799999999996</v>
      </c>
      <c r="L3" s="7">
        <v>1343.492</v>
      </c>
      <c r="M3" s="7">
        <v>1538.6579999999999</v>
      </c>
      <c r="N3" s="7"/>
      <c r="O3" s="7"/>
      <c r="P3" s="7">
        <v>5152.7579999999998</v>
      </c>
      <c r="Q3" s="7">
        <v>4833.5249999999996</v>
      </c>
      <c r="R3" s="7">
        <v>4830.0940000000001</v>
      </c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</row>
    <row r="4" spans="1:207" x14ac:dyDescent="0.2">
      <c r="B4" s="2" t="s">
        <v>38</v>
      </c>
      <c r="C4" s="7"/>
      <c r="D4" s="7"/>
      <c r="E4" s="7">
        <v>883.00599999999997</v>
      </c>
      <c r="F4" s="7">
        <v>849.6</v>
      </c>
      <c r="G4" s="7">
        <v>532.33600000000001</v>
      </c>
      <c r="H4" s="7">
        <v>1009.5549999999999</v>
      </c>
      <c r="I4" s="7">
        <v>894.24199999999996</v>
      </c>
      <c r="J4" s="7">
        <v>812.3</v>
      </c>
      <c r="K4" s="7">
        <v>551.26300000000003</v>
      </c>
      <c r="L4" s="7">
        <v>1072.655</v>
      </c>
      <c r="M4" s="7">
        <v>928.74</v>
      </c>
      <c r="N4" s="7"/>
      <c r="O4" s="7"/>
      <c r="P4" s="7">
        <v>3339.6559999999999</v>
      </c>
      <c r="Q4" s="7">
        <v>3248.4609999999998</v>
      </c>
      <c r="R4" s="7">
        <v>3371.92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</row>
    <row r="5" spans="1:207" x14ac:dyDescent="0.2">
      <c r="B5" s="2" t="s">
        <v>39</v>
      </c>
      <c r="C5" s="7"/>
      <c r="D5" s="7"/>
      <c r="E5" s="7">
        <v>411.18200000000002</v>
      </c>
      <c r="F5" s="7">
        <v>335.8</v>
      </c>
      <c r="G5" s="7">
        <v>261.02499999999998</v>
      </c>
      <c r="H5" s="7">
        <v>392.53500000000003</v>
      </c>
      <c r="I5" s="7">
        <v>432.94799999999998</v>
      </c>
      <c r="J5" s="7">
        <v>336.2</v>
      </c>
      <c r="K5" s="7">
        <v>271.80500000000001</v>
      </c>
      <c r="L5" s="7">
        <v>386.55900000000003</v>
      </c>
      <c r="M5" s="7">
        <v>408.40300000000002</v>
      </c>
      <c r="N5" s="7"/>
      <c r="O5" s="7"/>
      <c r="P5" s="7">
        <v>1403.2639999999999</v>
      </c>
      <c r="Q5" s="7">
        <v>1422.7049999999999</v>
      </c>
      <c r="R5" s="7">
        <v>1403.193</v>
      </c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</row>
    <row r="6" spans="1:207" x14ac:dyDescent="0.2">
      <c r="B6" s="15" t="s">
        <v>59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>
        <v>5230.2870000000003</v>
      </c>
      <c r="Q6" s="7">
        <v>5311.0609999999997</v>
      </c>
      <c r="R6" s="7">
        <v>5741.7920000000004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</row>
    <row r="7" spans="1:207" x14ac:dyDescent="0.2">
      <c r="B7" s="15" t="s">
        <v>60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>
        <v>3327.6120000000001</v>
      </c>
      <c r="Q7" s="7">
        <v>2914.3069999999998</v>
      </c>
      <c r="R7" s="7">
        <v>2720.9670000000001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</row>
    <row r="8" spans="1:207" x14ac:dyDescent="0.2">
      <c r="B8" s="2" t="s">
        <v>42</v>
      </c>
      <c r="C8" s="7"/>
      <c r="D8" s="7"/>
      <c r="E8" s="7"/>
      <c r="F8" s="7">
        <v>297.89999999999998</v>
      </c>
      <c r="G8" s="7"/>
      <c r="H8" s="10" t="s">
        <v>47</v>
      </c>
      <c r="I8" s="7"/>
      <c r="J8" s="7">
        <v>301.5</v>
      </c>
      <c r="K8" s="10" t="s">
        <v>47</v>
      </c>
      <c r="L8" s="10" t="s">
        <v>47</v>
      </c>
      <c r="M8" s="7">
        <v>392.2</v>
      </c>
      <c r="N8" s="7"/>
      <c r="O8" s="7"/>
      <c r="P8" s="7">
        <v>1357.779</v>
      </c>
      <c r="Q8" s="7">
        <v>1279.3230000000001</v>
      </c>
      <c r="R8" s="7">
        <v>1142.4480000000001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</row>
    <row r="9" spans="1:207" x14ac:dyDescent="0.2">
      <c r="B9" s="2" t="s">
        <v>34</v>
      </c>
      <c r="C9" s="7"/>
      <c r="D9" s="7"/>
      <c r="E9" s="7">
        <v>1156.502</v>
      </c>
      <c r="F9" s="7">
        <v>967.6</v>
      </c>
      <c r="G9" s="7">
        <v>1013.774</v>
      </c>
      <c r="H9" s="7">
        <v>1827.796</v>
      </c>
      <c r="I9" s="7">
        <v>1250.9369999999999</v>
      </c>
      <c r="J9" s="7">
        <v>920.8</v>
      </c>
      <c r="K9" s="7">
        <v>1024.5060000000001</v>
      </c>
      <c r="L9" s="7">
        <v>1876.9469999999999</v>
      </c>
      <c r="M9" s="7">
        <v>1237.443</v>
      </c>
      <c r="N9" s="7"/>
      <c r="O9" s="7"/>
      <c r="P9" s="7">
        <v>5422.0169999999998</v>
      </c>
      <c r="Q9" s="7">
        <v>5300.0940000000001</v>
      </c>
      <c r="R9" s="7">
        <v>5343.643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</row>
    <row r="10" spans="1:207" x14ac:dyDescent="0.2">
      <c r="B10" s="2" t="s">
        <v>35</v>
      </c>
      <c r="C10" s="7"/>
      <c r="D10" s="7"/>
      <c r="E10" s="7">
        <v>1606.1969999999999</v>
      </c>
      <c r="F10" s="7">
        <v>1279.7</v>
      </c>
      <c r="G10" s="7">
        <v>740.95500000000004</v>
      </c>
      <c r="H10" s="7">
        <v>914.93700000000001</v>
      </c>
      <c r="I10" s="7">
        <v>1565.569</v>
      </c>
      <c r="J10" s="7">
        <v>1223</v>
      </c>
      <c r="K10" s="7">
        <v>720.66300000000001</v>
      </c>
      <c r="L10" s="7">
        <v>909.86099999999999</v>
      </c>
      <c r="M10" s="7">
        <v>1626.002</v>
      </c>
      <c r="N10" s="7"/>
      <c r="O10" s="7"/>
      <c r="P10" s="7">
        <v>4426.5879999999997</v>
      </c>
      <c r="Q10" s="7">
        <v>4142.2749999999996</v>
      </c>
      <c r="R10" s="7">
        <v>4211.8689999999997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</row>
    <row r="11" spans="1:207" x14ac:dyDescent="0.2">
      <c r="B11" s="2" t="s">
        <v>36</v>
      </c>
      <c r="C11" s="7"/>
      <c r="D11" s="7"/>
      <c r="E11" s="7">
        <v>17.495000000000001</v>
      </c>
      <c r="F11" s="7">
        <v>0</v>
      </c>
      <c r="G11" s="7">
        <v>14.331</v>
      </c>
      <c r="H11" s="7">
        <v>15.215</v>
      </c>
      <c r="I11" s="7">
        <v>17.405999999999999</v>
      </c>
      <c r="J11" s="7">
        <v>0</v>
      </c>
      <c r="K11" s="7">
        <v>15.497</v>
      </c>
      <c r="L11" s="7">
        <v>15.898</v>
      </c>
      <c r="M11" s="7">
        <v>12.356</v>
      </c>
      <c r="N11" s="7"/>
      <c r="O11" s="7"/>
      <c r="P11" s="7">
        <v>67.072999999999993</v>
      </c>
      <c r="Q11" s="7">
        <v>62.322000000000003</v>
      </c>
      <c r="R11" s="7">
        <v>49.695</v>
      </c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</row>
    <row r="12" spans="1:207" x14ac:dyDescent="0.2">
      <c r="B12" s="1" t="s">
        <v>19</v>
      </c>
      <c r="C12" s="8"/>
      <c r="D12" s="8"/>
      <c r="E12" s="8">
        <v>2780.194</v>
      </c>
      <c r="F12" s="8">
        <v>2247.2979999999998</v>
      </c>
      <c r="G12" s="8">
        <v>1769.06</v>
      </c>
      <c r="H12" s="8">
        <v>2757.9479999999999</v>
      </c>
      <c r="I12" s="8">
        <v>2833.9119999999998</v>
      </c>
      <c r="J12" s="8">
        <v>2143.7710000000002</v>
      </c>
      <c r="K12" s="8">
        <v>1760.6659999999999</v>
      </c>
      <c r="L12" s="8">
        <v>2802.7060000000001</v>
      </c>
      <c r="M12" s="8">
        <v>2875.8009999999999</v>
      </c>
      <c r="N12" s="7"/>
      <c r="O12" s="8"/>
      <c r="P12" s="8">
        <v>9915.6779999999999</v>
      </c>
      <c r="Q12" s="8">
        <v>9504.6910000000007</v>
      </c>
      <c r="R12" s="8">
        <v>9605.2070000000003</v>
      </c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</row>
    <row r="13" spans="1:207" x14ac:dyDescent="0.2">
      <c r="B13" s="2" t="s">
        <v>20</v>
      </c>
      <c r="C13" s="7"/>
      <c r="D13" s="7"/>
      <c r="E13" s="7">
        <v>1261.1880000000001</v>
      </c>
      <c r="F13" s="7">
        <v>1172.3620000000001</v>
      </c>
      <c r="G13" s="7">
        <v>863.38199999999995</v>
      </c>
      <c r="H13" s="7">
        <v>1317.3910000000001</v>
      </c>
      <c r="I13" s="7">
        <v>1238.7380000000001</v>
      </c>
      <c r="J13" s="7">
        <v>1001.3150000000001</v>
      </c>
      <c r="K13" s="7">
        <v>811.66399999999999</v>
      </c>
      <c r="L13" s="7">
        <v>1340.2619999999999</v>
      </c>
      <c r="M13" s="7">
        <v>1247.46</v>
      </c>
      <c r="N13" s="7"/>
      <c r="O13" s="7"/>
      <c r="P13" s="7">
        <v>4803.3779999999997</v>
      </c>
      <c r="Q13" s="7">
        <v>4420.826</v>
      </c>
      <c r="R13" s="7">
        <v>4343.4920000000002</v>
      </c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</row>
    <row r="14" spans="1:207" x14ac:dyDescent="0.2">
      <c r="B14" s="2" t="s">
        <v>21</v>
      </c>
      <c r="C14" s="7">
        <f t="shared" ref="C14:H14" si="0">+C12-C13</f>
        <v>0</v>
      </c>
      <c r="D14" s="7">
        <f t="shared" si="0"/>
        <v>0</v>
      </c>
      <c r="E14" s="7">
        <f t="shared" si="0"/>
        <v>1519.0059999999999</v>
      </c>
      <c r="F14" s="7">
        <f t="shared" si="0"/>
        <v>1074.9359999999997</v>
      </c>
      <c r="G14" s="7">
        <f t="shared" si="0"/>
        <v>905.678</v>
      </c>
      <c r="H14" s="7">
        <f t="shared" si="0"/>
        <v>1440.5569999999998</v>
      </c>
      <c r="I14" s="7">
        <f>+I12-I13</f>
        <v>1595.1739999999998</v>
      </c>
      <c r="J14" s="7">
        <f t="shared" ref="J14:M14" si="1">+J12-J13</f>
        <v>1142.4560000000001</v>
      </c>
      <c r="K14" s="7">
        <f t="shared" si="1"/>
        <v>949.00199999999995</v>
      </c>
      <c r="L14" s="7">
        <f t="shared" si="1"/>
        <v>1462.4440000000002</v>
      </c>
      <c r="M14" s="7">
        <f t="shared" si="1"/>
        <v>1628.3409999999999</v>
      </c>
      <c r="N14" s="7"/>
      <c r="O14" s="7"/>
      <c r="P14" s="7">
        <f>+P12-P13</f>
        <v>5112.3</v>
      </c>
      <c r="Q14" s="7">
        <f>+Q12-Q13</f>
        <v>5083.8650000000007</v>
      </c>
      <c r="R14" s="7">
        <f>+R12-R13</f>
        <v>5261.7150000000001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</row>
    <row r="15" spans="1:207" x14ac:dyDescent="0.2">
      <c r="B15" s="2" t="s">
        <v>22</v>
      </c>
      <c r="C15" s="7"/>
      <c r="D15" s="7"/>
      <c r="E15" s="7">
        <v>1353.152</v>
      </c>
      <c r="F15" s="7">
        <v>1197.8489999999999</v>
      </c>
      <c r="G15" s="7">
        <v>1028.6980000000001</v>
      </c>
      <c r="H15" s="7">
        <v>1166.654</v>
      </c>
      <c r="I15" s="7">
        <v>1318.3969999999999</v>
      </c>
      <c r="J15" s="7">
        <v>1177.1010000000001</v>
      </c>
      <c r="K15" s="7">
        <v>1035.6110000000001</v>
      </c>
      <c r="L15" s="7">
        <v>1149.8240000000001</v>
      </c>
      <c r="M15" s="7">
        <v>1308.5709999999999</v>
      </c>
      <c r="N15" s="7"/>
      <c r="O15" s="7"/>
      <c r="P15" s="7">
        <v>4748.6689999999999</v>
      </c>
      <c r="Q15" s="7">
        <v>4690.8500000000004</v>
      </c>
      <c r="R15" s="7">
        <v>4654.43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</row>
    <row r="16" spans="1:207" x14ac:dyDescent="0.2">
      <c r="B16" s="2" t="s">
        <v>23</v>
      </c>
      <c r="C16" s="7"/>
      <c r="D16" s="7"/>
      <c r="E16" s="7">
        <v>257.096</v>
      </c>
      <c r="F16" s="7">
        <v>250.47</v>
      </c>
      <c r="G16" s="7">
        <v>0</v>
      </c>
      <c r="H16" s="7">
        <v>0</v>
      </c>
      <c r="I16" s="7">
        <v>51</v>
      </c>
      <c r="J16" s="7">
        <v>38.241999999999997</v>
      </c>
      <c r="K16" s="7">
        <v>0</v>
      </c>
      <c r="L16" s="7">
        <v>0</v>
      </c>
      <c r="M16" s="7">
        <v>30.716000000000001</v>
      </c>
      <c r="N16" s="7"/>
      <c r="O16" s="7"/>
      <c r="P16" s="7">
        <v>507.56599999999997</v>
      </c>
      <c r="Q16" s="7">
        <v>89.242000000000004</v>
      </c>
      <c r="R16" s="7">
        <v>30.716000000000001</v>
      </c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</row>
    <row r="17" spans="2:207" x14ac:dyDescent="0.2">
      <c r="B17" s="2" t="s">
        <v>24</v>
      </c>
      <c r="C17" s="7">
        <f t="shared" ref="C17" si="2">+C14-C15-C16</f>
        <v>0</v>
      </c>
      <c r="D17" s="7">
        <f t="shared" ref="D17" si="3">+D14-D15-D16</f>
        <v>0</v>
      </c>
      <c r="E17" s="7">
        <f t="shared" ref="E17:H17" si="4">+E14-E15-E16</f>
        <v>-91.242000000000189</v>
      </c>
      <c r="F17" s="7">
        <f t="shared" si="4"/>
        <v>-373.38300000000027</v>
      </c>
      <c r="G17" s="7">
        <f t="shared" si="4"/>
        <v>-123.0200000000001</v>
      </c>
      <c r="H17" s="7">
        <f t="shared" si="4"/>
        <v>273.90299999999979</v>
      </c>
      <c r="I17" s="7">
        <f>+I14-I15-I16</f>
        <v>225.77699999999982</v>
      </c>
      <c r="J17" s="7">
        <f t="shared" ref="J17:M17" si="5">+J14-J15-J16</f>
        <v>-72.886999999999972</v>
      </c>
      <c r="K17" s="7">
        <f t="shared" si="5"/>
        <v>-86.609000000000151</v>
      </c>
      <c r="L17" s="7">
        <f t="shared" si="5"/>
        <v>312.62000000000012</v>
      </c>
      <c r="M17" s="7">
        <f t="shared" si="5"/>
        <v>289.05399999999997</v>
      </c>
      <c r="N17" s="7"/>
      <c r="O17" s="7"/>
      <c r="P17" s="7">
        <f t="shared" ref="P17:R17" si="6">+P14-P15-P16</f>
        <v>-143.93499999999966</v>
      </c>
      <c r="Q17" s="7">
        <f t="shared" si="6"/>
        <v>303.77300000000031</v>
      </c>
      <c r="R17" s="7">
        <f t="shared" si="6"/>
        <v>576.56899999999985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</row>
    <row r="18" spans="2:207" x14ac:dyDescent="0.2">
      <c r="B18" s="2" t="s">
        <v>25</v>
      </c>
      <c r="C18" s="7"/>
      <c r="D18" s="7"/>
      <c r="E18" s="7">
        <v>3.5649999999999999</v>
      </c>
      <c r="F18" s="7">
        <v>0</v>
      </c>
      <c r="G18" s="7">
        <v>3.395</v>
      </c>
      <c r="H18" s="7">
        <v>3.6779999999999999</v>
      </c>
      <c r="I18" s="7">
        <v>6.8259999999999996</v>
      </c>
      <c r="J18" s="7">
        <v>0</v>
      </c>
      <c r="K18" s="7">
        <v>2.5179999999999998</v>
      </c>
      <c r="L18" s="7">
        <v>3.4079999999999999</v>
      </c>
      <c r="M18" s="7">
        <v>5.1360000000000001</v>
      </c>
      <c r="N18" s="7"/>
      <c r="O18" s="7"/>
      <c r="P18" s="7">
        <v>20.245999999999999</v>
      </c>
      <c r="Q18" s="7">
        <v>24.783000000000001</v>
      </c>
      <c r="R18" s="7">
        <v>18.027999999999999</v>
      </c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</row>
    <row r="19" spans="2:207" x14ac:dyDescent="0.2">
      <c r="B19" s="2" t="s">
        <v>26</v>
      </c>
      <c r="C19" s="7"/>
      <c r="D19" s="7"/>
      <c r="E19" s="7">
        <v>52.661000000000001</v>
      </c>
      <c r="F19" s="7">
        <v>39.896000000000001</v>
      </c>
      <c r="G19" s="7">
        <v>44.341999999999999</v>
      </c>
      <c r="H19" s="7">
        <v>46.366</v>
      </c>
      <c r="I19" s="7">
        <v>43.341999999999999</v>
      </c>
      <c r="J19" s="7">
        <v>29.091999999999999</v>
      </c>
      <c r="K19" s="7">
        <v>43.637999999999998</v>
      </c>
      <c r="L19" s="7">
        <v>49.616999999999997</v>
      </c>
      <c r="M19" s="7">
        <v>39.747</v>
      </c>
      <c r="N19" s="7"/>
      <c r="O19" s="7"/>
      <c r="P19" s="7">
        <v>185.92500000000001</v>
      </c>
      <c r="Q19" s="7">
        <v>174.136</v>
      </c>
      <c r="R19" s="7">
        <v>166.77099999999999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</row>
    <row r="20" spans="2:207" x14ac:dyDescent="0.2">
      <c r="B20" s="2" t="s">
        <v>27</v>
      </c>
      <c r="C20" s="7"/>
      <c r="D20" s="7"/>
      <c r="E20" s="7">
        <v>29.004000000000001</v>
      </c>
      <c r="F20" s="7">
        <v>1.5149999999999999</v>
      </c>
      <c r="G20" s="7">
        <v>-1.486</v>
      </c>
      <c r="H20" s="7">
        <v>-0.66</v>
      </c>
      <c r="I20" s="7">
        <v>7.4080000000000004</v>
      </c>
      <c r="J20" s="7">
        <v>-14.631</v>
      </c>
      <c r="K20" s="7">
        <v>1.1359999999999999</v>
      </c>
      <c r="L20" s="7">
        <v>1.87</v>
      </c>
      <c r="M20" s="7">
        <v>108.416</v>
      </c>
      <c r="N20" s="7"/>
      <c r="O20" s="7"/>
      <c r="P20" s="7">
        <v>24.693000000000001</v>
      </c>
      <c r="Q20" s="7">
        <v>-9.3689999999999998</v>
      </c>
      <c r="R20" s="7">
        <v>-86.608000000000004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</row>
    <row r="21" spans="2:207" x14ac:dyDescent="0.2">
      <c r="B21" s="2" t="s">
        <v>28</v>
      </c>
      <c r="C21" s="7">
        <f t="shared" ref="C21:H21" si="7">+C17+C18-C19+C20</f>
        <v>0</v>
      </c>
      <c r="D21" s="7">
        <f t="shared" si="7"/>
        <v>0</v>
      </c>
      <c r="E21" s="7">
        <f t="shared" si="7"/>
        <v>-111.33400000000019</v>
      </c>
      <c r="F21" s="7">
        <f t="shared" si="7"/>
        <v>-411.76400000000029</v>
      </c>
      <c r="G21" s="7">
        <f t="shared" si="7"/>
        <v>-165.45300000000009</v>
      </c>
      <c r="H21" s="7">
        <f t="shared" si="7"/>
        <v>230.55499999999981</v>
      </c>
      <c r="I21" s="7">
        <f>+I17+I18-I19+I20</f>
        <v>196.66899999999978</v>
      </c>
      <c r="J21" s="7">
        <f t="shared" ref="J21:M21" si="8">+J17+J18-J19+J20</f>
        <v>-116.60999999999997</v>
      </c>
      <c r="K21" s="7">
        <f t="shared" si="8"/>
        <v>-126.59300000000016</v>
      </c>
      <c r="L21" s="7">
        <f t="shared" si="8"/>
        <v>268.28100000000012</v>
      </c>
      <c r="M21" s="7">
        <f t="shared" si="8"/>
        <v>362.85899999999998</v>
      </c>
      <c r="N21" s="7"/>
      <c r="O21" s="7"/>
      <c r="P21" s="7">
        <f t="shared" ref="P21:R21" si="9">+P17+P18-P19+P20</f>
        <v>-284.92099999999971</v>
      </c>
      <c r="Q21" s="7">
        <f t="shared" si="9"/>
        <v>145.05100000000033</v>
      </c>
      <c r="R21" s="7">
        <f t="shared" si="9"/>
        <v>341.2179999999999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</row>
    <row r="22" spans="2:207" x14ac:dyDescent="0.2">
      <c r="B22" s="2" t="s">
        <v>29</v>
      </c>
      <c r="C22" s="7"/>
      <c r="D22" s="7"/>
      <c r="E22" s="7">
        <v>-19.597999999999999</v>
      </c>
      <c r="F22" s="7">
        <v>0.36</v>
      </c>
      <c r="G22" s="7">
        <v>-13.426</v>
      </c>
      <c r="H22" s="7">
        <v>28.045999999999999</v>
      </c>
      <c r="I22" s="7">
        <v>27.56</v>
      </c>
      <c r="J22" s="7">
        <v>33.656999999999996</v>
      </c>
      <c r="K22" s="7">
        <v>-10.185</v>
      </c>
      <c r="L22" s="7">
        <v>78.516000000000005</v>
      </c>
      <c r="M22" s="7">
        <v>62.014000000000003</v>
      </c>
      <c r="N22" s="7"/>
      <c r="O22" s="7"/>
      <c r="P22" s="7">
        <v>733.55600000000004</v>
      </c>
      <c r="Q22" s="7">
        <v>75.837000000000003</v>
      </c>
      <c r="R22" s="7">
        <v>86.298000000000002</v>
      </c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</row>
    <row r="23" spans="2:207" x14ac:dyDescent="0.2">
      <c r="B23" s="2" t="s">
        <v>30</v>
      </c>
      <c r="C23" s="7">
        <f t="shared" ref="C23:H23" si="10">+C21-C22</f>
        <v>0</v>
      </c>
      <c r="D23" s="7">
        <f t="shared" si="10"/>
        <v>0</v>
      </c>
      <c r="E23" s="7">
        <f t="shared" si="10"/>
        <v>-91.736000000000189</v>
      </c>
      <c r="F23" s="7">
        <f t="shared" si="10"/>
        <v>-412.12400000000031</v>
      </c>
      <c r="G23" s="7">
        <f t="shared" si="10"/>
        <v>-152.0270000000001</v>
      </c>
      <c r="H23" s="7">
        <f t="shared" si="10"/>
        <v>202.50899999999982</v>
      </c>
      <c r="I23" s="7">
        <f>+I21-I22</f>
        <v>169.10899999999978</v>
      </c>
      <c r="J23" s="7">
        <f t="shared" ref="J23:M23" si="11">+J21-J22</f>
        <v>-150.26699999999997</v>
      </c>
      <c r="K23" s="7">
        <f t="shared" si="11"/>
        <v>-116.40800000000016</v>
      </c>
      <c r="L23" s="7">
        <f t="shared" si="11"/>
        <v>189.7650000000001</v>
      </c>
      <c r="M23" s="7">
        <f t="shared" si="11"/>
        <v>300.84499999999997</v>
      </c>
      <c r="N23" s="7"/>
      <c r="O23" s="7"/>
      <c r="P23" s="7">
        <f t="shared" ref="P23:R23" si="12">+P21-P22</f>
        <v>-1018.4769999999997</v>
      </c>
      <c r="Q23" s="7">
        <f t="shared" si="12"/>
        <v>69.214000000000325</v>
      </c>
      <c r="R23" s="7">
        <f t="shared" si="12"/>
        <v>254.9199999999999</v>
      </c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</row>
    <row r="24" spans="2:207" x14ac:dyDescent="0.2">
      <c r="B24" s="2" t="s">
        <v>31</v>
      </c>
      <c r="C24" s="7"/>
      <c r="D24" s="7"/>
      <c r="E24" s="7">
        <v>-49.283999999999999</v>
      </c>
      <c r="F24" s="7">
        <v>6.1840000000000002</v>
      </c>
      <c r="G24" s="7">
        <v>106.85899999999999</v>
      </c>
      <c r="H24" s="7">
        <v>150.33099999999999</v>
      </c>
      <c r="I24" s="7">
        <v>1.329</v>
      </c>
      <c r="J24" s="7">
        <v>0.52100000000000002</v>
      </c>
      <c r="K24" s="7">
        <v>0</v>
      </c>
      <c r="L24" s="7">
        <v>0</v>
      </c>
      <c r="M24" s="7">
        <v>0</v>
      </c>
      <c r="N24" s="7"/>
      <c r="O24" s="7"/>
      <c r="P24" s="7">
        <v>-49.594999999999999</v>
      </c>
      <c r="Q24" s="7">
        <v>259.04000000000002</v>
      </c>
      <c r="R24" s="7">
        <v>0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</row>
    <row r="25" spans="2:207" x14ac:dyDescent="0.2">
      <c r="B25" s="2" t="s">
        <v>32</v>
      </c>
      <c r="C25" s="7">
        <f t="shared" ref="C25:H25" si="13">+C23-C24</f>
        <v>0</v>
      </c>
      <c r="D25" s="7">
        <f t="shared" si="13"/>
        <v>0</v>
      </c>
      <c r="E25" s="7">
        <f t="shared" si="13"/>
        <v>-42.45200000000019</v>
      </c>
      <c r="F25" s="7">
        <f t="shared" si="13"/>
        <v>-418.30800000000033</v>
      </c>
      <c r="G25" s="7">
        <f t="shared" si="13"/>
        <v>-258.88600000000008</v>
      </c>
      <c r="H25" s="7">
        <f t="shared" si="13"/>
        <v>52.177999999999827</v>
      </c>
      <c r="I25" s="7">
        <f>+I23-I24</f>
        <v>167.77999999999977</v>
      </c>
      <c r="J25" s="7">
        <f t="shared" ref="J25:M25" si="14">+J23-J24</f>
        <v>-150.78799999999995</v>
      </c>
      <c r="K25" s="7">
        <f t="shared" si="14"/>
        <v>-116.40800000000016</v>
      </c>
      <c r="L25" s="7">
        <f t="shared" si="14"/>
        <v>189.7650000000001</v>
      </c>
      <c r="M25" s="7">
        <f t="shared" si="14"/>
        <v>300.84499999999997</v>
      </c>
      <c r="N25" s="7"/>
      <c r="O25" s="7"/>
      <c r="P25" s="7">
        <f t="shared" ref="P25:Q25" si="15">+P23-P24</f>
        <v>-968.88199999999972</v>
      </c>
      <c r="Q25" s="7">
        <f t="shared" si="15"/>
        <v>-189.82599999999968</v>
      </c>
      <c r="R25" s="7">
        <f>+R23-R24</f>
        <v>254.9199999999999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</row>
    <row r="26" spans="2:207" x14ac:dyDescent="0.2"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</row>
    <row r="27" spans="2:207" x14ac:dyDescent="0.2">
      <c r="B27" s="2" t="s">
        <v>33</v>
      </c>
      <c r="C27" s="9" t="e">
        <f t="shared" ref="C27:D27" si="16">+C25/C28</f>
        <v>#DIV/0!</v>
      </c>
      <c r="D27" s="9" t="e">
        <f t="shared" si="16"/>
        <v>#DIV/0!</v>
      </c>
      <c r="E27" s="9">
        <f>+E25/E28</f>
        <v>-0.10930447522162451</v>
      </c>
      <c r="F27" s="9">
        <f t="shared" ref="F27:M27" si="17">+F25/F28</f>
        <v>-1.0765623753406826</v>
      </c>
      <c r="G27" s="9">
        <f t="shared" si="17"/>
        <v>-0.66596011225983387</v>
      </c>
      <c r="H27" s="9">
        <f t="shared" si="17"/>
        <v>0.13411850587594162</v>
      </c>
      <c r="I27" s="9">
        <f t="shared" si="17"/>
        <v>0.43106947777338089</v>
      </c>
      <c r="J27" s="9">
        <f t="shared" si="17"/>
        <v>-0.38702788721910641</v>
      </c>
      <c r="K27" s="9">
        <f t="shared" si="17"/>
        <v>-0.2984636842860956</v>
      </c>
      <c r="L27" s="9">
        <f t="shared" si="17"/>
        <v>0.48576979787430141</v>
      </c>
      <c r="M27" s="9">
        <f t="shared" si="17"/>
        <v>0.7695918550068428</v>
      </c>
      <c r="N27" s="7"/>
      <c r="O27" s="7"/>
      <c r="P27" s="9">
        <f t="shared" ref="P27:Q27" si="18">+P25/P28</f>
        <v>-2.4971185567010301</v>
      </c>
      <c r="Q27" s="9">
        <f t="shared" si="18"/>
        <v>-0.48779397253515255</v>
      </c>
      <c r="R27" s="9">
        <f>+R25/R28</f>
        <v>0.65240480218253083</v>
      </c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</row>
    <row r="28" spans="2:207" x14ac:dyDescent="0.2">
      <c r="B28" s="2" t="s">
        <v>5</v>
      </c>
      <c r="C28" s="7"/>
      <c r="D28" s="7"/>
      <c r="E28" s="7">
        <v>388.38299999999998</v>
      </c>
      <c r="F28" s="7">
        <v>388.55900000000003</v>
      </c>
      <c r="G28" s="7">
        <v>388.74099999999999</v>
      </c>
      <c r="H28" s="7">
        <v>389.04399999999998</v>
      </c>
      <c r="I28" s="7">
        <v>389.21800000000002</v>
      </c>
      <c r="J28" s="7">
        <v>389.60500000000002</v>
      </c>
      <c r="K28" s="7">
        <v>390.024</v>
      </c>
      <c r="L28" s="7">
        <v>390.64800000000002</v>
      </c>
      <c r="M28" s="7">
        <v>390.91500000000002</v>
      </c>
      <c r="N28" s="7"/>
      <c r="O28" s="7"/>
      <c r="P28" s="7">
        <v>388</v>
      </c>
      <c r="Q28" s="7">
        <v>389.15199999999999</v>
      </c>
      <c r="R28" s="7">
        <v>390.73899999999998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</row>
    <row r="29" spans="2:207" x14ac:dyDescent="0.2"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</row>
    <row r="30" spans="2:207" x14ac:dyDescent="0.2">
      <c r="B30" s="1" t="s">
        <v>48</v>
      </c>
      <c r="C30" s="8"/>
      <c r="D30" s="8"/>
      <c r="E30" s="8"/>
      <c r="F30" s="8"/>
      <c r="G30" s="12" t="e">
        <f t="shared" ref="G30:K30" si="19">+G12/C12-1</f>
        <v>#DIV/0!</v>
      </c>
      <c r="H30" s="12" t="e">
        <f t="shared" si="19"/>
        <v>#DIV/0!</v>
      </c>
      <c r="I30" s="12">
        <f t="shared" si="19"/>
        <v>1.9321673235752623E-2</v>
      </c>
      <c r="J30" s="12">
        <f t="shared" si="19"/>
        <v>-4.6067321734811983E-2</v>
      </c>
      <c r="K30" s="12">
        <f t="shared" si="19"/>
        <v>-4.74489276791068E-3</v>
      </c>
      <c r="L30" s="12">
        <f>+L12/H12-1</f>
        <v>1.6228732376390109E-2</v>
      </c>
      <c r="M30" s="12">
        <f>+M12/I12-1</f>
        <v>1.4781334071064967E-2</v>
      </c>
      <c r="N30" s="8"/>
      <c r="O30" s="8"/>
      <c r="P30" s="8"/>
      <c r="Q30" s="8"/>
      <c r="R30" s="8"/>
      <c r="S30" s="8"/>
      <c r="T30" s="8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</row>
    <row r="31" spans="2:207" x14ac:dyDescent="0.2">
      <c r="B31" s="11" t="s">
        <v>49</v>
      </c>
      <c r="C31" s="13" t="e">
        <f t="shared" ref="C31" si="20">+C14/C12</f>
        <v>#DIV/0!</v>
      </c>
      <c r="D31" s="13" t="e">
        <f t="shared" ref="D31:K31" si="21">+D14/D12</f>
        <v>#DIV/0!</v>
      </c>
      <c r="E31" s="13">
        <f t="shared" si="21"/>
        <v>0.54636690820856382</v>
      </c>
      <c r="F31" s="13">
        <f t="shared" si="21"/>
        <v>0.47832374700640495</v>
      </c>
      <c r="G31" s="13">
        <f t="shared" si="21"/>
        <v>0.51195437124800747</v>
      </c>
      <c r="H31" s="13">
        <f t="shared" si="21"/>
        <v>0.52232928249553645</v>
      </c>
      <c r="I31" s="13">
        <f t="shared" si="21"/>
        <v>0.56288762671529669</v>
      </c>
      <c r="J31" s="13">
        <f t="shared" si="21"/>
        <v>0.53291886120299237</v>
      </c>
      <c r="K31" s="13">
        <f t="shared" si="21"/>
        <v>0.53900171866782232</v>
      </c>
      <c r="L31" s="13">
        <f>+L14/L12</f>
        <v>0.52179714889824336</v>
      </c>
      <c r="M31" s="13">
        <f>+M14/M12</f>
        <v>0.56622172396490578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</row>
    <row r="32" spans="2:207" x14ac:dyDescent="0.2">
      <c r="B32" s="11" t="s">
        <v>50</v>
      </c>
      <c r="C32" s="13" t="e">
        <f t="shared" ref="C32" si="22">+C17/C12</f>
        <v>#DIV/0!</v>
      </c>
      <c r="D32" s="13" t="e">
        <f t="shared" ref="D32:K32" si="23">+D17/D12</f>
        <v>#DIV/0!</v>
      </c>
      <c r="E32" s="13">
        <f t="shared" si="23"/>
        <v>-3.2818573092381391E-2</v>
      </c>
      <c r="F32" s="13">
        <f t="shared" si="23"/>
        <v>-0.16614752471634839</v>
      </c>
      <c r="G32" s="13">
        <f t="shared" si="23"/>
        <v>-6.9539755576407861E-2</v>
      </c>
      <c r="H32" s="13">
        <f t="shared" si="23"/>
        <v>9.9314055232368345E-2</v>
      </c>
      <c r="I32" s="13">
        <f t="shared" si="23"/>
        <v>7.9669728629541012E-2</v>
      </c>
      <c r="J32" s="13">
        <f t="shared" si="23"/>
        <v>-3.3999433708171239E-2</v>
      </c>
      <c r="K32" s="13">
        <f t="shared" si="23"/>
        <v>-4.9191044752383561E-2</v>
      </c>
      <c r="L32" s="13">
        <f>+L17/L12</f>
        <v>0.11154220242865291</v>
      </c>
      <c r="M32" s="13">
        <f>+M17/M12</f>
        <v>0.10051251807757212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</row>
    <row r="33" spans="2:207" x14ac:dyDescent="0.2">
      <c r="B33" s="11" t="s">
        <v>51</v>
      </c>
      <c r="C33" s="13" t="e">
        <f t="shared" ref="C33" si="24">+C22/C21</f>
        <v>#DIV/0!</v>
      </c>
      <c r="D33" s="13" t="e">
        <f t="shared" ref="D33:K33" si="25">+D22/D21</f>
        <v>#DIV/0!</v>
      </c>
      <c r="E33" s="13">
        <f t="shared" si="25"/>
        <v>0.17602888605457423</v>
      </c>
      <c r="F33" s="13">
        <f t="shared" si="25"/>
        <v>-8.7428721306379313E-4</v>
      </c>
      <c r="G33" s="13">
        <f t="shared" si="25"/>
        <v>8.1146911811813591E-2</v>
      </c>
      <c r="H33" s="13">
        <f t="shared" si="25"/>
        <v>0.12164559432673341</v>
      </c>
      <c r="I33" s="13">
        <f t="shared" si="25"/>
        <v>0.1401339306143827</v>
      </c>
      <c r="J33" s="13">
        <f t="shared" si="25"/>
        <v>-0.28862876254180608</v>
      </c>
      <c r="K33" s="13">
        <f t="shared" si="25"/>
        <v>8.0454685488139055E-2</v>
      </c>
      <c r="L33" s="13">
        <f>+L22/L21</f>
        <v>0.29266328961052018</v>
      </c>
      <c r="M33" s="13">
        <f>+M22/M21</f>
        <v>0.17090384970470626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</row>
    <row r="34" spans="2:207" x14ac:dyDescent="0.2"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</row>
    <row r="35" spans="2:207" x14ac:dyDescent="0.2"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</row>
    <row r="36" spans="2:207" x14ac:dyDescent="0.2"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</row>
    <row r="37" spans="2:207" x14ac:dyDescent="0.2"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</row>
    <row r="38" spans="2:207" x14ac:dyDescent="0.2"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</row>
    <row r="39" spans="2:207" x14ac:dyDescent="0.2"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</row>
    <row r="40" spans="2:207" x14ac:dyDescent="0.2"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</row>
    <row r="41" spans="2:207" x14ac:dyDescent="0.2"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</row>
    <row r="42" spans="2:207" x14ac:dyDescent="0.2"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</row>
    <row r="43" spans="2:207" x14ac:dyDescent="0.2"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</row>
    <row r="44" spans="2:207" x14ac:dyDescent="0.2"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</row>
    <row r="45" spans="2:207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</row>
    <row r="46" spans="2:207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</row>
    <row r="47" spans="2:207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</row>
    <row r="48" spans="2:207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</row>
    <row r="49" spans="3:207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</row>
    <row r="50" spans="3:207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</row>
    <row r="51" spans="3:207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</row>
    <row r="52" spans="3:207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</row>
    <row r="53" spans="3:207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</row>
    <row r="54" spans="3:207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</row>
    <row r="55" spans="3:207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</row>
    <row r="56" spans="3:207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</row>
    <row r="57" spans="3:207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</row>
    <row r="58" spans="3:207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</row>
    <row r="59" spans="3:207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</row>
    <row r="60" spans="3:207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</row>
    <row r="61" spans="3:207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</row>
    <row r="62" spans="3:207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</row>
    <row r="63" spans="3:207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</row>
    <row r="64" spans="3:207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</row>
    <row r="65" spans="3:207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</row>
    <row r="66" spans="3:207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</row>
    <row r="67" spans="3:207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</row>
    <row r="68" spans="3:207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</row>
    <row r="69" spans="3:207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</row>
    <row r="70" spans="3:207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</row>
    <row r="71" spans="3:207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</row>
    <row r="72" spans="3:207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</row>
    <row r="73" spans="3:207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</row>
    <row r="74" spans="3:207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</row>
    <row r="75" spans="3:207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</row>
    <row r="76" spans="3:207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</row>
    <row r="77" spans="3:207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</row>
    <row r="78" spans="3:207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</row>
    <row r="79" spans="3:207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</row>
    <row r="80" spans="3:207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</row>
    <row r="81" spans="3:207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</row>
    <row r="82" spans="3:207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</row>
    <row r="83" spans="3:207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</row>
    <row r="84" spans="3:207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</row>
    <row r="85" spans="3:207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</row>
    <row r="86" spans="3:207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</row>
    <row r="87" spans="3:207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</row>
    <row r="88" spans="3:207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</row>
    <row r="89" spans="3:207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</row>
    <row r="90" spans="3:207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</row>
    <row r="91" spans="3:207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</row>
    <row r="92" spans="3:207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</row>
    <row r="93" spans="3:207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</row>
    <row r="94" spans="3:207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</row>
    <row r="95" spans="3:207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</row>
    <row r="96" spans="3:207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</row>
    <row r="97" spans="3:207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</row>
    <row r="98" spans="3:207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</row>
    <row r="99" spans="3:207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</row>
    <row r="100" spans="3:207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</row>
    <row r="101" spans="3:207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</row>
    <row r="102" spans="3:207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</row>
    <row r="103" spans="3:207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</row>
    <row r="104" spans="3:207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</row>
    <row r="105" spans="3:207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</row>
    <row r="106" spans="3:207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</row>
    <row r="107" spans="3:207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</row>
    <row r="108" spans="3:207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</row>
    <row r="109" spans="3:207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</row>
    <row r="110" spans="3:207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</row>
    <row r="111" spans="3:207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</row>
    <row r="112" spans="3:207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</row>
    <row r="113" spans="3:207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</row>
    <row r="114" spans="3:207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</row>
    <row r="115" spans="3:207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</row>
    <row r="116" spans="3:207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</row>
    <row r="117" spans="3:207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</row>
    <row r="118" spans="3:207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</row>
    <row r="119" spans="3:207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</row>
    <row r="120" spans="3:207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</row>
    <row r="121" spans="3:207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</row>
    <row r="122" spans="3:207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</row>
    <row r="123" spans="3:207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</row>
    <row r="124" spans="3:207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</row>
    <row r="125" spans="3:207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</row>
    <row r="126" spans="3:207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</row>
    <row r="127" spans="3:207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</row>
    <row r="128" spans="3:207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</row>
    <row r="129" spans="3:207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</row>
    <row r="130" spans="3:207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</row>
    <row r="131" spans="3:207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</row>
    <row r="132" spans="3:207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</row>
    <row r="133" spans="3:207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</row>
    <row r="134" spans="3:207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</row>
    <row r="135" spans="3:207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</row>
    <row r="136" spans="3:207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</row>
    <row r="137" spans="3:207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</row>
    <row r="138" spans="3:207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</row>
    <row r="139" spans="3:207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</row>
    <row r="140" spans="3:207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</row>
    <row r="141" spans="3:207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</row>
    <row r="142" spans="3:207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</row>
    <row r="143" spans="3:207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</row>
    <row r="144" spans="3:207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</row>
    <row r="145" spans="3:207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</row>
    <row r="146" spans="3:207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</row>
    <row r="147" spans="3:207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</row>
    <row r="148" spans="3:207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</row>
    <row r="149" spans="3:207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</row>
    <row r="150" spans="3:207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</row>
    <row r="151" spans="3:207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</row>
    <row r="152" spans="3:207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</row>
    <row r="153" spans="3:207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</row>
    <row r="154" spans="3:207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</row>
    <row r="155" spans="3:207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</row>
    <row r="156" spans="3:207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</row>
    <row r="157" spans="3:207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</row>
    <row r="158" spans="3:207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</row>
    <row r="159" spans="3:207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</row>
    <row r="160" spans="3:207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</row>
    <row r="161" spans="3:207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</row>
    <row r="162" spans="3:207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</row>
    <row r="163" spans="3:207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</row>
    <row r="164" spans="3:207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</row>
    <row r="165" spans="3:207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</row>
    <row r="166" spans="3:207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</row>
    <row r="167" spans="3:207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</row>
    <row r="168" spans="3:207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</row>
    <row r="169" spans="3:207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</row>
    <row r="170" spans="3:207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</row>
    <row r="171" spans="3:207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</row>
    <row r="172" spans="3:207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</row>
    <row r="173" spans="3:207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</row>
    <row r="174" spans="3:207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</row>
    <row r="175" spans="3:207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</row>
    <row r="176" spans="3:207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</row>
    <row r="177" spans="3:207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</row>
    <row r="178" spans="3:207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</row>
    <row r="179" spans="3:207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</row>
    <row r="180" spans="3:207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</row>
    <row r="181" spans="3:207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</row>
    <row r="182" spans="3:207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</row>
    <row r="183" spans="3:207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</row>
    <row r="184" spans="3:207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</row>
    <row r="185" spans="3:207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</row>
    <row r="186" spans="3:207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</row>
    <row r="187" spans="3:207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</row>
    <row r="188" spans="3:207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</row>
    <row r="189" spans="3:207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</row>
    <row r="190" spans="3:207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</row>
    <row r="191" spans="3:207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</row>
    <row r="192" spans="3:207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</row>
    <row r="193" spans="3:207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</row>
    <row r="194" spans="3:207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</row>
    <row r="195" spans="3:207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</row>
    <row r="196" spans="3:207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</row>
    <row r="197" spans="3:207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</row>
    <row r="198" spans="3:207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</row>
    <row r="199" spans="3:207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</row>
    <row r="200" spans="3:207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</row>
    <row r="201" spans="3:207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</row>
    <row r="202" spans="3:207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</row>
    <row r="203" spans="3:207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</row>
    <row r="204" spans="3:207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</row>
    <row r="205" spans="3:207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</row>
    <row r="206" spans="3:207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</row>
    <row r="207" spans="3:207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</row>
    <row r="208" spans="3:207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</row>
    <row r="209" spans="3:207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</row>
    <row r="210" spans="3:207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</row>
    <row r="211" spans="3:207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</row>
    <row r="212" spans="3:207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</row>
    <row r="213" spans="3:207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</row>
    <row r="214" spans="3:207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</row>
    <row r="215" spans="3:207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</row>
    <row r="216" spans="3:207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</row>
    <row r="217" spans="3:207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</row>
    <row r="218" spans="3:207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</row>
    <row r="219" spans="3:207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</row>
    <row r="220" spans="3:207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</row>
    <row r="221" spans="3:207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</row>
    <row r="222" spans="3:207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</row>
    <row r="223" spans="3:207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</row>
    <row r="224" spans="3:207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</row>
    <row r="225" spans="3:207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</row>
    <row r="226" spans="3:207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</row>
    <row r="227" spans="3:207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</row>
    <row r="228" spans="3:207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</row>
    <row r="229" spans="3:207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</row>
    <row r="230" spans="3:207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</row>
    <row r="231" spans="3:207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</row>
    <row r="232" spans="3:207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</row>
    <row r="233" spans="3:207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</row>
    <row r="234" spans="3:207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</row>
    <row r="235" spans="3:207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</row>
    <row r="236" spans="3:207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</row>
    <row r="237" spans="3:207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</row>
    <row r="238" spans="3:207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</row>
    <row r="239" spans="3:207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</row>
    <row r="240" spans="3:207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</row>
    <row r="241" spans="3:207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</row>
    <row r="242" spans="3:207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</row>
    <row r="243" spans="3:207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</row>
    <row r="244" spans="3:207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</row>
    <row r="245" spans="3:207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</row>
    <row r="246" spans="3:207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</row>
    <row r="247" spans="3:207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</row>
    <row r="248" spans="3:207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</row>
    <row r="249" spans="3:207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</row>
    <row r="250" spans="3:207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</row>
    <row r="251" spans="3:207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</row>
    <row r="252" spans="3:207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</row>
  </sheetData>
  <hyperlinks>
    <hyperlink ref="A1" location="Main!A1" display="Main" xr:uid="{F19B80C1-46AF-4099-8AA5-CF7124DDE49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2025-01-30T13:50:29Z</dcterms:created>
  <dcterms:modified xsi:type="dcterms:W3CDTF">2026-05-26T14:13:44Z</dcterms:modified>
</cp:coreProperties>
</file>