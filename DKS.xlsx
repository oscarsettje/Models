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EF76DCF-26B5-4956-9966-EE0B9D734F9F}" xr6:coauthVersionLast="47" xr6:coauthVersionMax="47" xr10:uidLastSave="{00000000-0000-0000-0000-000000000000}"/>
  <bookViews>
    <workbookView xWindow="19095" yWindow="0" windowWidth="19410" windowHeight="20925" activeTab="1" xr2:uid="{AEDF7C68-C22C-401E-A9BD-35ACF1F87F2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" i="2" l="1"/>
  <c r="T24" i="2"/>
  <c r="T22" i="2"/>
  <c r="T19" i="2"/>
  <c r="T17" i="2"/>
  <c r="T16" i="2"/>
  <c r="T5" i="2"/>
  <c r="J3" i="1"/>
  <c r="P16" i="2"/>
  <c r="P19" i="2" s="1"/>
  <c r="P22" i="2" s="1"/>
  <c r="P24" i="2" s="1"/>
  <c r="P26" i="2" s="1"/>
  <c r="R16" i="2"/>
  <c r="R19" i="2" s="1"/>
  <c r="R22" i="2" s="1"/>
  <c r="R24" i="2" s="1"/>
  <c r="R26" i="2" s="1"/>
  <c r="Q16" i="2"/>
  <c r="Q19" i="2" s="1"/>
  <c r="Q22" i="2" s="1"/>
  <c r="Q24" i="2" s="1"/>
  <c r="Q26" i="2" s="1"/>
  <c r="J26" i="2"/>
  <c r="S16" i="2"/>
  <c r="S19" i="2" s="1"/>
  <c r="S22" i="2" s="1"/>
  <c r="S24" i="2" s="1"/>
  <c r="S26" i="2" s="1"/>
  <c r="R5" i="2"/>
  <c r="Q5" i="2"/>
  <c r="S5" i="2"/>
  <c r="J4" i="1"/>
  <c r="J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tc={89F3C0FF-08AB-4D72-A95D-E11A79CC87F0}</author>
  </authors>
  <commentList>
    <comment ref="T17" authorId="0" shapeId="0" xr:uid="{89F3C0FF-08AB-4D72-A95D-E11A79CC87F0}">
      <text>
        <t>[Threaded comment]
Your version of Excel allows you to read this threaded comment; however, any edits to it will get removed if the file is opened in a newer version of Excel. Learn more: https://go.microsoft.com/fwlink/?linkid=870924
Comment:
    164,191 Merger &amp; integration cost</t>
      </text>
    </comment>
  </commentList>
</comments>
</file>

<file path=xl/sharedStrings.xml><?xml version="1.0" encoding="utf-8"?>
<sst xmlns="http://schemas.openxmlformats.org/spreadsheetml/2006/main" count="55" uniqueCount="51">
  <si>
    <t>Dicks Sporting Goods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</si>
  <si>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</si>
  <si>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</si>
  <si>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</si>
  <si>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</si>
  <si>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</si>
  <si>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</si>
  <si>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</si>
  <si>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</si>
  <si>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</si>
  <si>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</si>
  <si>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</si>
  <si>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</si>
  <si>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</si>
  <si>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</si>
  <si>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</si>
  <si>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</si>
  <si>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In Talks to acquire Footlocker (FL)</t>
  </si>
  <si>
    <t>FY23</t>
  </si>
  <si>
    <t>FY24</t>
  </si>
  <si>
    <t>Dicks Stores</t>
  </si>
  <si>
    <t>Specialty Concept Stores</t>
  </si>
  <si>
    <t>Total Stores</t>
  </si>
  <si>
    <t>Revenue</t>
  </si>
  <si>
    <t>COGS</t>
  </si>
  <si>
    <t>Gross Profit</t>
  </si>
  <si>
    <t>SGA</t>
  </si>
  <si>
    <t>Pre-opening expenses</t>
  </si>
  <si>
    <t>Operating Income</t>
  </si>
  <si>
    <t>Interest Expense</t>
  </si>
  <si>
    <t>Other Income</t>
  </si>
  <si>
    <t>Pretax Income</t>
  </si>
  <si>
    <t>Tax Expense</t>
  </si>
  <si>
    <t>Net Income</t>
  </si>
  <si>
    <t>EPS</t>
  </si>
  <si>
    <t>FY22</t>
  </si>
  <si>
    <t>FY21</t>
  </si>
  <si>
    <t>Harldines</t>
  </si>
  <si>
    <t>Apparel</t>
  </si>
  <si>
    <t>Footwear</t>
  </si>
  <si>
    <t>Other</t>
  </si>
  <si>
    <t>Notes</t>
  </si>
  <si>
    <t>2.4 billion USD -&gt; 24$ per Share</t>
  </si>
  <si>
    <t>Q126</t>
  </si>
  <si>
    <t>Q226</t>
  </si>
  <si>
    <t>Q326</t>
  </si>
  <si>
    <t>Q426</t>
  </si>
  <si>
    <t>FY25</t>
  </si>
  <si>
    <t>Foot Locker Stores</t>
  </si>
  <si>
    <t xml:space="preserve">DICK'S </t>
  </si>
  <si>
    <t>Foot Locker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</si>
</sst>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;\(#,##0.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164" fontId="4" fillId="0" borderId="0" xfId="0" applyNumberFormat="1" applyFont="1"/>
    <xf numFmtId="4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F1AFA14E-AAA8-4A10-8D0A-82682E2D6BA7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7" dT="2026-05-17T10:55:01.96" personId="{F1AFA14E-AAA8-4A10-8D0A-82682E2D6BA7}" id="{89F3C0FF-08AB-4D72-A95D-E11A79CC87F0}">
    <text>164,191 Merger &amp; integration cost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DCF2-F4E9-43E1-BAD1-D2BD4F389259}">
  <dimension ref="A1:K16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215.35</v>
      </c>
    </row>
    <row r="3" spans="1:11" x14ac:dyDescent="0.2">
      <c r="I3" s="2" t="s">
        <v>3</v>
      </c>
      <c r="J3" s="3">
        <f>65.474242+23.570633</f>
        <v>89.044875000000005</v>
      </c>
      <c r="K3" s="8" t="s">
        <v>16</v>
      </c>
    </row>
    <row r="4" spans="1:11" x14ac:dyDescent="0.2">
      <c r="I4" s="2" t="s">
        <v>4</v>
      </c>
      <c r="J4" s="3">
        <f>+J2*J3</f>
        <v>19175.813831250001</v>
      </c>
    </row>
    <row r="5" spans="1:11" x14ac:dyDescent="0.2">
      <c r="I5" s="2" t="s">
        <v>5</v>
      </c>
      <c r="J5" s="3">
        <v>1353.2260000000001</v>
      </c>
      <c r="K5" s="8" t="s">
        <v>16</v>
      </c>
    </row>
    <row r="6" spans="1:11" x14ac:dyDescent="0.2">
      <c r="I6" s="2" t="s">
        <v>6</v>
      </c>
      <c r="J6" s="3">
        <v>1905.299</v>
      </c>
      <c r="K6" s="8" t="s">
        <v>16</v>
      </c>
    </row>
    <row r="7" spans="1:11" x14ac:dyDescent="0.2">
      <c r="I7" s="2" t="s">
        <v>7</v>
      </c>
      <c r="J7" s="3">
        <f>+J4-J5+J6</f>
        <v>19727.886831250002</v>
      </c>
    </row>
    <row r="13" spans="1:11" x14ac:dyDescent="0.2">
      <c r="B13" s="2" t="s">
        <v>41</v>
      </c>
    </row>
    <row r="15" spans="1:11" x14ac:dyDescent="0.2">
      <c r="B15" s="2" t="s">
        <v>17</v>
      </c>
    </row>
    <row r="16" spans="1:11" x14ac:dyDescent="0.2">
      <c r="B16" s="2" t="s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52A1C-0059-44B5-8437-E4B9478204D5}">
  <dimension ref="A1:AQ27"/>
  <sheetViews>
    <sheetView tabSelected="1" zoomScale="200" zoomScaleNormal="20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T25" sqref="T25"/>
    </sheetView>
  </sheetViews>
  <sheetFormatPr defaultRowHeight="12.75" x14ac:dyDescent="0.2"/>
  <cols>
    <col min="1" max="1" width="5.42578125" style="2" bestFit="1" customWidth="1"/>
    <col min="2" max="2" width="34.28515625" style="2" customWidth="1"/>
    <col min="3" max="16384" width="9.140625" style="2"/>
  </cols>
  <sheetData>
    <row r="1" spans="1:43" x14ac:dyDescent="0.2">
      <c r="A1" s="5" t="s">
        <v>8</v>
      </c>
    </row>
    <row r="2" spans="1:43" x14ac:dyDescent="0.2"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8" t="s">
        <v>43</v>
      </c>
      <c r="L2" s="8" t="s">
        <v>44</v>
      </c>
      <c r="M2" s="8" t="s">
        <v>45</v>
      </c>
      <c r="N2" s="8" t="s">
        <v>46</v>
      </c>
      <c r="O2" s="4"/>
      <c r="P2" s="4" t="s">
        <v>36</v>
      </c>
      <c r="Q2" s="4" t="s">
        <v>35</v>
      </c>
      <c r="R2" s="4" t="s">
        <v>18</v>
      </c>
      <c r="S2" s="4" t="s">
        <v>19</v>
      </c>
      <c r="T2" s="8" t="s">
        <v>47</v>
      </c>
    </row>
    <row r="3" spans="1:43" x14ac:dyDescent="0.2">
      <c r="B3" s="2" t="s">
        <v>20</v>
      </c>
      <c r="R3" s="2">
        <v>722</v>
      </c>
      <c r="S3" s="2">
        <v>723</v>
      </c>
      <c r="T3" s="2">
        <v>721</v>
      </c>
    </row>
    <row r="4" spans="1:43" x14ac:dyDescent="0.2">
      <c r="B4" s="2" t="s">
        <v>21</v>
      </c>
      <c r="R4" s="2">
        <v>131</v>
      </c>
      <c r="S4" s="2">
        <v>133</v>
      </c>
      <c r="T4" s="2">
        <v>167</v>
      </c>
    </row>
    <row r="5" spans="1:43" x14ac:dyDescent="0.2">
      <c r="B5" s="1" t="s">
        <v>22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>
        <f t="shared" ref="Q5" si="0">+Q3+Q4</f>
        <v>0</v>
      </c>
      <c r="R5" s="1">
        <f>+R3+R4</f>
        <v>853</v>
      </c>
      <c r="S5" s="1">
        <f>+S3+S4</f>
        <v>856</v>
      </c>
      <c r="T5" s="1">
        <f>+T3+T4</f>
        <v>888</v>
      </c>
      <c r="U5" s="1"/>
      <c r="V5" s="1"/>
      <c r="W5" s="1"/>
    </row>
    <row r="6" spans="1:43" x14ac:dyDescent="0.2">
      <c r="B6" s="9" t="s">
        <v>48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9">
        <v>2593</v>
      </c>
      <c r="T6" s="9">
        <v>2561</v>
      </c>
      <c r="U6" s="1"/>
      <c r="V6" s="1"/>
      <c r="W6" s="1"/>
    </row>
    <row r="7" spans="1:43" x14ac:dyDescent="0.2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43" x14ac:dyDescent="0.2">
      <c r="B8" s="9" t="s">
        <v>49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>
        <v>13442.849</v>
      </c>
      <c r="T8" s="3">
        <v>14108.942999999999</v>
      </c>
    </row>
    <row r="9" spans="1:43" x14ac:dyDescent="0.2">
      <c r="B9" s="9" t="s">
        <v>50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0">
        <v>0</v>
      </c>
      <c r="T9" s="3">
        <v>3106.1770000000001</v>
      </c>
    </row>
    <row r="10" spans="1:43" x14ac:dyDescent="0.2">
      <c r="B10" s="2" t="s">
        <v>37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v>4952.2</v>
      </c>
      <c r="R10" s="3">
        <v>4915.5</v>
      </c>
      <c r="S10" s="3">
        <v>4899.3</v>
      </c>
      <c r="T10" s="3">
        <v>6888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3" x14ac:dyDescent="0.2">
      <c r="B11" s="2" t="s">
        <v>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>
        <v>4218.1000000000004</v>
      </c>
      <c r="R11" s="3">
        <v>4329.8</v>
      </c>
      <c r="S11" s="3">
        <v>4425.3999999999996</v>
      </c>
      <c r="T11" s="3">
        <v>5048.3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3" x14ac:dyDescent="0.2">
      <c r="B12" s="2" t="s">
        <v>39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>
        <v>2979.1</v>
      </c>
      <c r="R12" s="3">
        <v>3388.7</v>
      </c>
      <c r="S12" s="3">
        <v>3829</v>
      </c>
      <c r="T12" s="3">
        <v>4895.3999999999996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3" x14ac:dyDescent="0.2">
      <c r="B13" s="2" t="s">
        <v>40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>
        <v>218.8</v>
      </c>
      <c r="R13" s="3">
        <v>350.4</v>
      </c>
      <c r="S13" s="3">
        <v>289.10000000000002</v>
      </c>
      <c r="T13" s="3">
        <v>383.4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 spans="1:43" x14ac:dyDescent="0.2">
      <c r="B14" s="1" t="s">
        <v>23</v>
      </c>
      <c r="C14" s="1"/>
      <c r="D14" s="1"/>
      <c r="E14" s="1"/>
      <c r="F14" s="1"/>
      <c r="G14" s="1"/>
      <c r="H14" s="1"/>
      <c r="I14" s="1"/>
      <c r="J14" s="6"/>
      <c r="K14" s="6"/>
      <c r="L14" s="6"/>
      <c r="M14" s="6"/>
      <c r="N14" s="6"/>
      <c r="O14" s="6"/>
      <c r="P14" s="6"/>
      <c r="Q14" s="6">
        <v>12368.198</v>
      </c>
      <c r="R14" s="6">
        <v>12984.398999999999</v>
      </c>
      <c r="S14" s="6">
        <v>13442.849</v>
      </c>
      <c r="T14" s="6">
        <v>17215.12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</row>
    <row r="15" spans="1:43" x14ac:dyDescent="0.2">
      <c r="B15" s="2" t="s">
        <v>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>
        <v>8083.64</v>
      </c>
      <c r="R15" s="3">
        <v>8450.6640000000007</v>
      </c>
      <c r="S15" s="3">
        <v>8617.1530000000002</v>
      </c>
      <c r="T15" s="3">
        <v>11547.858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B16" s="2" t="s">
        <v>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>
        <f t="shared" ref="P16" si="1">+P8-P14+P15</f>
        <v>0</v>
      </c>
      <c r="Q16" s="3">
        <f t="shared" ref="Q16:R16" si="2">+Q14-Q15</f>
        <v>4284.558</v>
      </c>
      <c r="R16" s="3">
        <f t="shared" si="2"/>
        <v>4533.7349999999988</v>
      </c>
      <c r="S16" s="3">
        <f>+S14-S15</f>
        <v>4825.6959999999999</v>
      </c>
      <c r="T16" s="3">
        <f>+T14-T15</f>
        <v>5667.2619999999988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2:43" x14ac:dyDescent="0.2">
      <c r="B17" s="2" t="s">
        <v>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2799.8530000000001</v>
      </c>
      <c r="R17" s="3">
        <v>3183.53</v>
      </c>
      <c r="S17" s="3">
        <v>3294.2719999999999</v>
      </c>
      <c r="T17" s="3">
        <f>4338.162+164.191</f>
        <v>4502.3530000000001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2:43" x14ac:dyDescent="0.2">
      <c r="B18" s="2" t="s">
        <v>27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>
        <v>21.686</v>
      </c>
      <c r="R18" s="3">
        <v>67.84</v>
      </c>
      <c r="S18" s="3">
        <v>57.491999999999997</v>
      </c>
      <c r="T18" s="3">
        <v>69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2:43" x14ac:dyDescent="0.2">
      <c r="B19" s="2" t="s">
        <v>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>
        <f t="shared" ref="P19" si="3">+P16-P17+P18</f>
        <v>0</v>
      </c>
      <c r="Q19" s="3">
        <f t="shared" ref="Q19:R19" si="4">+Q16-Q17-Q18</f>
        <v>1463.019</v>
      </c>
      <c r="R19" s="3">
        <f t="shared" si="4"/>
        <v>1282.3649999999986</v>
      </c>
      <c r="S19" s="3">
        <f>+S16-S17-S18</f>
        <v>1473.932</v>
      </c>
      <c r="T19" s="3">
        <f>+T16-T17-T18</f>
        <v>1095.9089999999987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2:43" x14ac:dyDescent="0.2">
      <c r="B20" s="2" t="s">
        <v>29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>
        <v>95.22</v>
      </c>
      <c r="R20" s="3">
        <v>58.023000000000003</v>
      </c>
      <c r="S20" s="3">
        <v>52.987000000000002</v>
      </c>
      <c r="T20" s="3">
        <v>64.263000000000005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2:43" x14ac:dyDescent="0.2">
      <c r="B21" s="2" t="s">
        <v>30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>
        <v>15.949</v>
      </c>
      <c r="R21" s="3">
        <v>93.808999999999997</v>
      </c>
      <c r="S21" s="3">
        <v>98.087999999999994</v>
      </c>
      <c r="T21" s="3">
        <v>110.327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2:43" x14ac:dyDescent="0.2">
      <c r="B22" s="2" t="s">
        <v>31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>
        <f t="shared" ref="P22:R22" si="5">+P19-P20+P21</f>
        <v>0</v>
      </c>
      <c r="Q22" s="3">
        <f t="shared" si="5"/>
        <v>1383.748</v>
      </c>
      <c r="R22" s="3">
        <f t="shared" si="5"/>
        <v>1318.1509999999987</v>
      </c>
      <c r="S22" s="3">
        <f>+S19-S20+S21</f>
        <v>1519.0329999999999</v>
      </c>
      <c r="T22" s="3">
        <f>+T19-T20+T21</f>
        <v>1141.9729999999988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2:43" x14ac:dyDescent="0.2">
      <c r="B23" s="2" t="s">
        <v>32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>
        <v>340.61</v>
      </c>
      <c r="R23" s="3">
        <v>271.63200000000001</v>
      </c>
      <c r="S23" s="3">
        <v>353.72500000000002</v>
      </c>
      <c r="T23" s="3">
        <v>292.73399999999998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2:43" x14ac:dyDescent="0.2">
      <c r="B24" s="2" t="s">
        <v>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>
        <f t="shared" ref="P24:R24" si="6">+P22-P23</f>
        <v>0</v>
      </c>
      <c r="Q24" s="3">
        <f t="shared" si="6"/>
        <v>1043.1379999999999</v>
      </c>
      <c r="R24" s="3">
        <f t="shared" si="6"/>
        <v>1046.5189999999986</v>
      </c>
      <c r="S24" s="3">
        <f>+S22-S23</f>
        <v>1165.308</v>
      </c>
      <c r="T24" s="3">
        <f>+T22-T23</f>
        <v>849.2389999999989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2:43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2:43" x14ac:dyDescent="0.2">
      <c r="B26" s="2" t="s">
        <v>34</v>
      </c>
      <c r="J26" s="7" t="e">
        <f t="shared" ref="J26:R26" si="7">+J24/J27</f>
        <v>#DIV/0!</v>
      </c>
      <c r="K26" s="7"/>
      <c r="L26" s="7"/>
      <c r="M26" s="7"/>
      <c r="N26" s="7"/>
      <c r="O26" s="7"/>
      <c r="P26" s="7" t="e">
        <f t="shared" si="7"/>
        <v>#DIV/0!</v>
      </c>
      <c r="Q26" s="7">
        <f t="shared" si="7"/>
        <v>13.430039138943249</v>
      </c>
      <c r="R26" s="7">
        <f t="shared" si="7"/>
        <v>12.715596218803899</v>
      </c>
      <c r="S26" s="7">
        <f>+S24/S27</f>
        <v>14.481632450166526</v>
      </c>
      <c r="T26" s="7">
        <f>+T24/T27</f>
        <v>10.215180128706308</v>
      </c>
    </row>
    <row r="27" spans="2:43" x14ac:dyDescent="0.2">
      <c r="B27" s="2" t="s">
        <v>3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77.671999999999997</v>
      </c>
      <c r="R27" s="7">
        <v>82.302000000000007</v>
      </c>
      <c r="S27" s="7">
        <v>80.468000000000004</v>
      </c>
      <c r="T27" s="2">
        <v>83.135000000000005</v>
      </c>
    </row>
  </sheetData>
  <hyperlinks>
    <hyperlink ref="A1" location="Main!A1" display="Main" xr:uid="{35F0D976-AB52-4B9A-9CB3-401B736D99E7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2025-05-16T12:46:23Z</dcterms:created>
  <dcterms:modified xsi:type="dcterms:W3CDTF">2026-05-17T10:57:34Z</dcterms:modified>
</cp:coreProperties>
</file>