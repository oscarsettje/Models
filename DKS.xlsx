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A71A68A1-874B-408C-9435-C801B15CB000}" xr6:coauthVersionLast="47" xr6:coauthVersionMax="47" xr10:uidLastSave="{00000000-0000-0000-0000-000000000000}"/>
  <bookViews>
    <workbookView xWindow="19095" yWindow="0" windowWidth="19410" windowHeight="20985" xr2:uid="{AEDF7C68-C22C-401E-A9BD-35ACF1F87F2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L18" i="2"/>
  <c r="N26" i="2"/>
  <c r="M26" i="2"/>
  <c r="J26" i="2"/>
  <c r="I26" i="2"/>
  <c r="F26" i="2"/>
  <c r="E26" i="2"/>
  <c r="D26" i="2"/>
  <c r="C26" i="2"/>
  <c r="K26" i="2"/>
  <c r="N24" i="2"/>
  <c r="M24" i="2"/>
  <c r="J24" i="2"/>
  <c r="I24" i="2"/>
  <c r="F24" i="2"/>
  <c r="E24" i="2"/>
  <c r="D24" i="2"/>
  <c r="C24" i="2"/>
  <c r="K24" i="2"/>
  <c r="N22" i="2"/>
  <c r="M22" i="2"/>
  <c r="K22" i="2"/>
  <c r="J22" i="2"/>
  <c r="I22" i="2"/>
  <c r="F22" i="2"/>
  <c r="E22" i="2"/>
  <c r="D22" i="2"/>
  <c r="C22" i="2"/>
  <c r="N19" i="2"/>
  <c r="M19" i="2"/>
  <c r="K19" i="2"/>
  <c r="J19" i="2"/>
  <c r="I19" i="2"/>
  <c r="G19" i="2"/>
  <c r="G22" i="2" s="1"/>
  <c r="G24" i="2" s="1"/>
  <c r="G26" i="2" s="1"/>
  <c r="F19" i="2"/>
  <c r="E19" i="2"/>
  <c r="D19" i="2"/>
  <c r="C19" i="2"/>
  <c r="K17" i="2"/>
  <c r="P16" i="2"/>
  <c r="P19" i="2" s="1"/>
  <c r="P22" i="2" s="1"/>
  <c r="P24" i="2" s="1"/>
  <c r="P26" i="2" s="1"/>
  <c r="N16" i="2"/>
  <c r="M16" i="2"/>
  <c r="L16" i="2"/>
  <c r="J16" i="2"/>
  <c r="I16" i="2"/>
  <c r="H16" i="2"/>
  <c r="H19" i="2" s="1"/>
  <c r="H22" i="2" s="1"/>
  <c r="H24" i="2" s="1"/>
  <c r="H26" i="2" s="1"/>
  <c r="G16" i="2"/>
  <c r="F16" i="2"/>
  <c r="E16" i="2"/>
  <c r="D16" i="2"/>
  <c r="C16" i="2"/>
  <c r="K16" i="2"/>
  <c r="N5" i="2"/>
  <c r="M5" i="2"/>
  <c r="L5" i="2"/>
  <c r="K5" i="2"/>
  <c r="J5" i="2"/>
  <c r="I5" i="2"/>
  <c r="H5" i="2"/>
  <c r="G5" i="2"/>
  <c r="F5" i="2"/>
  <c r="E5" i="2"/>
  <c r="D5" i="2"/>
  <c r="C5" i="2"/>
  <c r="T26" i="2"/>
  <c r="T24" i="2"/>
  <c r="T22" i="2"/>
  <c r="T19" i="2"/>
  <c r="T17" i="2"/>
  <c r="T16" i="2"/>
  <c r="T5" i="2"/>
  <c r="R16" i="2"/>
  <c r="R19" i="2" s="1"/>
  <c r="R22" i="2" s="1"/>
  <c r="R24" i="2" s="1"/>
  <c r="R26" i="2" s="1"/>
  <c r="Q16" i="2"/>
  <c r="Q19" i="2" s="1"/>
  <c r="Q22" i="2" s="1"/>
  <c r="Q24" i="2" s="1"/>
  <c r="Q26" i="2" s="1"/>
  <c r="S16" i="2"/>
  <c r="S19" i="2" s="1"/>
  <c r="S22" i="2" s="1"/>
  <c r="S24" i="2" s="1"/>
  <c r="S26" i="2" s="1"/>
  <c r="R5" i="2"/>
  <c r="Q5" i="2"/>
  <c r="S5" i="2"/>
  <c r="J4" i="1"/>
  <c r="J7" i="1" s="1"/>
  <c r="L19" i="2" l="1"/>
  <c r="L22" i="2" s="1"/>
  <c r="L24" i="2" s="1"/>
  <c r="L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tc={89F3C0FF-08AB-4D72-A95D-E11A79CC87F0}</author>
  </authors>
  <commentList>
    <comment ref="T17" authorId="0" shapeId="0" xr:uid="{89F3C0FF-08AB-4D72-A95D-E11A79CC87F0}">
      <text>
        <t>[Threaded comment]
Your version of Excel allows you to read this threaded comment; however, any edits to it will get removed if the file is opened in a newer version of Excel. Learn more: https://go.microsoft.com/fwlink/?linkid=870924
Comment:
    164,191 Merger &amp; integration cost</t>
      </text>
    </comment>
  </commentList>
</comments>
</file>

<file path=xl/sharedStrings.xml><?xml version="1.0" encoding="utf-8"?>
<sst xmlns="http://schemas.openxmlformats.org/spreadsheetml/2006/main" count="57" uniqueCount="53">
  <si>
    <t>Dicks Sporting Goods</t>
  </si>
  <si>
    <t>numbers in mio USD</t>
  </si>
  <si>
    <t>Price</t>
  </si>
  <si>
    <t>Shares</t>
  </si>
  <si>
    <t>MC</t>
  </si>
  <si>
    <t>Cash</t>
  </si>
  <si>
    <t>Debt</t>
  </si>
  <si>
    <t>EV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</si>
  <si>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</si>
  <si>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</si>
  <si>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</si>
  <si>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</si>
  <si>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</si>
  <si>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</si>
  <si>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</si>
  <si>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</si>
  <si>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</si>
  <si>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In Talks to acquire Footlocker (FL)</t>
  </si>
  <si>
    <t>FY23</t>
  </si>
  <si>
    <t>FY24</t>
  </si>
  <si>
    <t>Dicks Stores</t>
  </si>
  <si>
    <t>Specialty Concept Stores</t>
  </si>
  <si>
    <t>Total Stores</t>
  </si>
  <si>
    <t>Revenue</t>
  </si>
  <si>
    <t>COGS</t>
  </si>
  <si>
    <t>Gross Profit</t>
  </si>
  <si>
    <t>SGA</t>
  </si>
  <si>
    <t>Pre-opening expenses</t>
  </si>
  <si>
    <t>Operating Income</t>
  </si>
  <si>
    <t>Interest Expense</t>
  </si>
  <si>
    <t>Other Income</t>
  </si>
  <si>
    <t>Pretax Income</t>
  </si>
  <si>
    <t>Tax Expense</t>
  </si>
  <si>
    <t>Net Income</t>
  </si>
  <si>
    <t>EPS</t>
  </si>
  <si>
    <t>FY22</t>
  </si>
  <si>
    <t>FY21</t>
  </si>
  <si>
    <t>Harldines</t>
  </si>
  <si>
    <t>Apparel</t>
  </si>
  <si>
    <t>Footwear</t>
  </si>
  <si>
    <t>Other</t>
  </si>
  <si>
    <t>Notes</t>
  </si>
  <si>
    <t>2.4 billion USD -&gt; 24$ per Share</t>
  </si>
  <si>
    <t>Q126</t>
  </si>
  <si>
    <t>Q226</t>
  </si>
  <si>
    <t>Q326</t>
  </si>
  <si>
    <t>Q426</t>
  </si>
  <si>
    <t>FY25</t>
  </si>
  <si>
    <t>Foot Locker Stores</t>
  </si>
  <si>
    <t xml:space="preserve">DICK'S </t>
  </si>
  <si>
    <t>Foot Locker</t>
  </si>
  <si>
    <t>IR</t>
  </si>
  <si>
    <t>DKS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</si>
</sst>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(#,##0.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7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8" fillId="0" borderId="0" xfId="1" applyFont="1"/>
    <xf numFmtId="164" fontId="7" fillId="0" borderId="0" xfId="0" applyNumberFormat="1" applyFont="1"/>
    <xf numFmtId="4" fontId="5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F1AFA14E-AAA8-4A10-8D0A-82682E2D6BA7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7" dT="2026-05-17T10:55:01.96" personId="{F1AFA14E-AAA8-4A10-8D0A-82682E2D6BA7}" id="{89F3C0FF-08AB-4D72-A95D-E11A79CC87F0}">
    <text>164,191 Merger &amp; integration cost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vestors.dicks.com/investors/default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DCF2-F4E9-43E1-BAD1-D2BD4F389259}">
  <dimension ref="A1:K16"/>
  <sheetViews>
    <sheetView tabSelected="1" topLeftCell="C1" zoomScale="200" zoomScaleNormal="200" workbookViewId="0">
      <selection activeCell="K5" sqref="K5"/>
    </sheetView>
  </sheetViews>
  <sheetFormatPr defaultRowHeight="12.75" x14ac:dyDescent="0.2"/>
  <cols>
    <col min="1" max="1" width="3.85546875" style="2" customWidth="1"/>
    <col min="2" max="16384" width="9.140625" style="2"/>
  </cols>
  <sheetData>
    <row r="1" spans="1:11" x14ac:dyDescent="0.2">
      <c r="A1" s="1" t="s">
        <v>0</v>
      </c>
    </row>
    <row r="2" spans="1:11" x14ac:dyDescent="0.2">
      <c r="A2" s="2" t="s">
        <v>1</v>
      </c>
      <c r="I2" s="2" t="s">
        <v>2</v>
      </c>
      <c r="J2" s="2">
        <v>127.52</v>
      </c>
    </row>
    <row r="3" spans="1:11" x14ac:dyDescent="0.2">
      <c r="I3" s="2" t="s">
        <v>3</v>
      </c>
      <c r="J3" s="7">
        <v>88.534999999999997</v>
      </c>
      <c r="K3" s="14" t="s">
        <v>44</v>
      </c>
    </row>
    <row r="4" spans="1:11" x14ac:dyDescent="0.2">
      <c r="B4" s="5" t="s">
        <v>51</v>
      </c>
      <c r="I4" s="2" t="s">
        <v>4</v>
      </c>
      <c r="J4" s="3">
        <f>+J2*J3</f>
        <v>11289.983199999999</v>
      </c>
    </row>
    <row r="5" spans="1:11" x14ac:dyDescent="0.2">
      <c r="B5" s="12" t="s">
        <v>52</v>
      </c>
      <c r="I5" s="2" t="s">
        <v>5</v>
      </c>
      <c r="J5" s="3">
        <v>913.73599999999999</v>
      </c>
      <c r="K5" s="14" t="s">
        <v>44</v>
      </c>
    </row>
    <row r="6" spans="1:11" x14ac:dyDescent="0.2">
      <c r="I6" s="13" t="s">
        <v>6</v>
      </c>
      <c r="J6" s="3">
        <v>1906.348</v>
      </c>
      <c r="K6" s="14" t="s">
        <v>44</v>
      </c>
    </row>
    <row r="7" spans="1:11" x14ac:dyDescent="0.2">
      <c r="I7" s="2" t="s">
        <v>7</v>
      </c>
      <c r="J7" s="3">
        <f>+J4-J5+J6</f>
        <v>12282.595199999998</v>
      </c>
    </row>
    <row r="13" spans="1:11" x14ac:dyDescent="0.2">
      <c r="B13" s="2" t="s">
        <v>41</v>
      </c>
    </row>
    <row r="15" spans="1:11" x14ac:dyDescent="0.2">
      <c r="B15" s="2" t="s">
        <v>17</v>
      </c>
    </row>
    <row r="16" spans="1:11" x14ac:dyDescent="0.2">
      <c r="B16" s="2" t="s">
        <v>42</v>
      </c>
    </row>
  </sheetData>
  <hyperlinks>
    <hyperlink ref="B4" r:id="rId1" xr:uid="{060BE0DB-103F-4216-A245-CEE356F7A8F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2A1C-0059-44B5-8437-E4B9478204D5}">
  <dimension ref="A1:AQ27"/>
  <sheetViews>
    <sheetView zoomScale="200" zoomScaleNormal="20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T25" sqref="T25"/>
    </sheetView>
  </sheetViews>
  <sheetFormatPr defaultRowHeight="12.75" x14ac:dyDescent="0.2"/>
  <cols>
    <col min="1" max="1" width="5.42578125" style="2" bestFit="1" customWidth="1"/>
    <col min="2" max="2" width="34.28515625" style="2" customWidth="1"/>
    <col min="3" max="16384" width="9.140625" style="2"/>
  </cols>
  <sheetData>
    <row r="1" spans="1:43" x14ac:dyDescent="0.2">
      <c r="A1" s="5" t="s">
        <v>8</v>
      </c>
    </row>
    <row r="2" spans="1:43" x14ac:dyDescent="0.2"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8" t="s">
        <v>43</v>
      </c>
      <c r="L2" s="8" t="s">
        <v>44</v>
      </c>
      <c r="M2" s="8" t="s">
        <v>45</v>
      </c>
      <c r="N2" s="8" t="s">
        <v>46</v>
      </c>
      <c r="O2" s="4"/>
      <c r="P2" s="4" t="s">
        <v>36</v>
      </c>
      <c r="Q2" s="4" t="s">
        <v>35</v>
      </c>
      <c r="R2" s="4" t="s">
        <v>18</v>
      </c>
      <c r="S2" s="4" t="s">
        <v>19</v>
      </c>
      <c r="T2" s="8" t="s">
        <v>47</v>
      </c>
    </row>
    <row r="3" spans="1:43" x14ac:dyDescent="0.2">
      <c r="B3" s="2" t="s">
        <v>20</v>
      </c>
      <c r="K3" s="2">
        <v>720</v>
      </c>
      <c r="L3" s="2">
        <v>723</v>
      </c>
      <c r="R3" s="2">
        <v>722</v>
      </c>
      <c r="S3" s="2">
        <v>723</v>
      </c>
      <c r="T3" s="2">
        <v>721</v>
      </c>
    </row>
    <row r="4" spans="1:43" x14ac:dyDescent="0.2">
      <c r="B4" s="2" t="s">
        <v>21</v>
      </c>
      <c r="K4" s="2">
        <v>168</v>
      </c>
      <c r="L4" s="2">
        <v>169</v>
      </c>
      <c r="R4" s="2">
        <v>131</v>
      </c>
      <c r="S4" s="2">
        <v>133</v>
      </c>
      <c r="T4" s="2">
        <v>167</v>
      </c>
    </row>
    <row r="5" spans="1:43" x14ac:dyDescent="0.2">
      <c r="B5" s="1" t="s">
        <v>22</v>
      </c>
      <c r="C5" s="1">
        <f t="shared" ref="C5:N5" si="0">+C3+C4</f>
        <v>0</v>
      </c>
      <c r="D5" s="1">
        <f t="shared" si="0"/>
        <v>0</v>
      </c>
      <c r="E5" s="1">
        <f t="shared" si="0"/>
        <v>0</v>
      </c>
      <c r="F5" s="1">
        <f t="shared" si="0"/>
        <v>0</v>
      </c>
      <c r="G5" s="1">
        <f t="shared" si="0"/>
        <v>0</v>
      </c>
      <c r="H5" s="1">
        <f t="shared" si="0"/>
        <v>0</v>
      </c>
      <c r="I5" s="1">
        <f t="shared" si="0"/>
        <v>0</v>
      </c>
      <c r="J5" s="1">
        <f t="shared" si="0"/>
        <v>0</v>
      </c>
      <c r="K5" s="1">
        <f t="shared" si="0"/>
        <v>888</v>
      </c>
      <c r="L5" s="1">
        <f t="shared" si="0"/>
        <v>892</v>
      </c>
      <c r="M5" s="1">
        <f t="shared" si="0"/>
        <v>0</v>
      </c>
      <c r="N5" s="1">
        <f t="shared" si="0"/>
        <v>0</v>
      </c>
      <c r="O5" s="1"/>
      <c r="P5" s="1"/>
      <c r="Q5" s="1">
        <f t="shared" ref="Q5" si="1">+Q3+Q4</f>
        <v>0</v>
      </c>
      <c r="R5" s="1">
        <f>+R3+R4</f>
        <v>853</v>
      </c>
      <c r="S5" s="1">
        <f>+S3+S4</f>
        <v>856</v>
      </c>
      <c r="T5" s="1">
        <f>+T3+T4</f>
        <v>888</v>
      </c>
      <c r="U5" s="1"/>
      <c r="V5" s="1"/>
      <c r="W5" s="1"/>
    </row>
    <row r="6" spans="1:43" x14ac:dyDescent="0.2">
      <c r="B6" s="9" t="s">
        <v>48</v>
      </c>
      <c r="C6" s="1"/>
      <c r="D6" s="1"/>
      <c r="E6" s="1"/>
      <c r="F6" s="1"/>
      <c r="G6" s="1"/>
      <c r="H6" s="1"/>
      <c r="I6" s="1"/>
      <c r="J6" s="1"/>
      <c r="K6" s="11">
        <v>2483</v>
      </c>
      <c r="L6" s="12">
        <v>2478</v>
      </c>
      <c r="M6" s="1"/>
      <c r="N6" s="1"/>
      <c r="O6" s="1"/>
      <c r="P6" s="1"/>
      <c r="Q6" s="1"/>
      <c r="R6" s="1"/>
      <c r="S6" s="9">
        <v>2593</v>
      </c>
      <c r="T6" s="9">
        <v>2561</v>
      </c>
      <c r="U6" s="1"/>
      <c r="V6" s="1"/>
      <c r="W6" s="1"/>
    </row>
    <row r="7" spans="1:43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43" x14ac:dyDescent="0.2">
      <c r="B8" s="9" t="s">
        <v>49</v>
      </c>
      <c r="C8" s="3"/>
      <c r="D8" s="3"/>
      <c r="E8" s="3"/>
      <c r="F8" s="3"/>
      <c r="G8" s="3">
        <v>3174.6770000000001</v>
      </c>
      <c r="H8" s="3">
        <v>3646.616</v>
      </c>
      <c r="I8" s="3"/>
      <c r="J8" s="3"/>
      <c r="K8" s="3">
        <v>3377.44</v>
      </c>
      <c r="L8" s="3">
        <v>3849.8870000000002</v>
      </c>
      <c r="M8" s="3"/>
      <c r="N8" s="3"/>
      <c r="O8" s="3"/>
      <c r="P8" s="3"/>
      <c r="Q8" s="3"/>
      <c r="R8" s="3"/>
      <c r="S8" s="3">
        <v>13442.849</v>
      </c>
      <c r="T8" s="3">
        <v>14108.942999999999</v>
      </c>
    </row>
    <row r="9" spans="1:43" x14ac:dyDescent="0.2">
      <c r="B9" s="9" t="s">
        <v>50</v>
      </c>
      <c r="C9" s="3"/>
      <c r="D9" s="3"/>
      <c r="E9" s="3"/>
      <c r="F9" s="3"/>
      <c r="G9" s="3">
        <v>0</v>
      </c>
      <c r="H9" s="3">
        <v>0</v>
      </c>
      <c r="I9" s="3"/>
      <c r="J9" s="3"/>
      <c r="K9" s="3">
        <v>1787.0640000000001</v>
      </c>
      <c r="L9" s="3">
        <v>1736.9280000000001</v>
      </c>
      <c r="M9" s="3"/>
      <c r="N9" s="3"/>
      <c r="O9" s="3"/>
      <c r="P9" s="3"/>
      <c r="Q9" s="3"/>
      <c r="R9" s="3"/>
      <c r="S9" s="10">
        <v>0</v>
      </c>
      <c r="T9" s="3">
        <v>3106.1770000000001</v>
      </c>
    </row>
    <row r="10" spans="1:43" x14ac:dyDescent="0.2">
      <c r="B10" s="2" t="s">
        <v>37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4952.2</v>
      </c>
      <c r="R10" s="3">
        <v>4915.5</v>
      </c>
      <c r="S10" s="3">
        <v>4899.3</v>
      </c>
      <c r="T10" s="3">
        <v>6888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3" x14ac:dyDescent="0.2">
      <c r="B11" s="2" t="s">
        <v>38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>
        <v>4218.1000000000004</v>
      </c>
      <c r="R11" s="3">
        <v>4329.8</v>
      </c>
      <c r="S11" s="3">
        <v>4425.3999999999996</v>
      </c>
      <c r="T11" s="3">
        <v>5048.3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3" x14ac:dyDescent="0.2">
      <c r="B12" s="2" t="s">
        <v>39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>
        <v>2979.1</v>
      </c>
      <c r="R12" s="3">
        <v>3388.7</v>
      </c>
      <c r="S12" s="3">
        <v>3829</v>
      </c>
      <c r="T12" s="3">
        <v>4895.3999999999996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3" x14ac:dyDescent="0.2">
      <c r="B13" s="2" t="s">
        <v>40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v>218.8</v>
      </c>
      <c r="R13" s="3">
        <v>350.4</v>
      </c>
      <c r="S13" s="3">
        <v>289.10000000000002</v>
      </c>
      <c r="T13" s="3">
        <v>383.4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3" x14ac:dyDescent="0.2">
      <c r="B14" s="1" t="s">
        <v>23</v>
      </c>
      <c r="C14" s="1"/>
      <c r="D14" s="1"/>
      <c r="E14" s="1"/>
      <c r="F14" s="1"/>
      <c r="G14" s="1">
        <v>3174.6770000000001</v>
      </c>
      <c r="H14" s="1">
        <v>3646.616</v>
      </c>
      <c r="I14" s="1"/>
      <c r="J14" s="6"/>
      <c r="K14" s="6">
        <v>5164.5039999999999</v>
      </c>
      <c r="L14" s="6">
        <v>5586.8149999999996</v>
      </c>
      <c r="M14" s="6"/>
      <c r="N14" s="6"/>
      <c r="O14" s="6"/>
      <c r="P14" s="6"/>
      <c r="Q14" s="6">
        <v>12368.198</v>
      </c>
      <c r="R14" s="6">
        <v>12984.398999999999</v>
      </c>
      <c r="S14" s="6">
        <v>13442.849</v>
      </c>
      <c r="T14" s="6">
        <v>17215.12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3" x14ac:dyDescent="0.2">
      <c r="B15" s="2" t="s">
        <v>24</v>
      </c>
      <c r="C15" s="3"/>
      <c r="D15" s="3"/>
      <c r="E15" s="3"/>
      <c r="F15" s="3"/>
      <c r="G15" s="3">
        <v>2009.5909999999999</v>
      </c>
      <c r="H15" s="3">
        <v>2295.3440000000001</v>
      </c>
      <c r="I15" s="3"/>
      <c r="J15" s="3"/>
      <c r="K15" s="3">
        <v>3481.2420000000002</v>
      </c>
      <c r="L15" s="3">
        <v>3643.5439999999999</v>
      </c>
      <c r="M15" s="3"/>
      <c r="N15" s="3"/>
      <c r="O15" s="3"/>
      <c r="P15" s="3"/>
      <c r="Q15" s="3">
        <v>8083.64</v>
      </c>
      <c r="R15" s="3">
        <v>8450.6640000000007</v>
      </c>
      <c r="S15" s="3">
        <v>8617.1530000000002</v>
      </c>
      <c r="T15" s="3">
        <v>11547.858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B16" s="2" t="s">
        <v>25</v>
      </c>
      <c r="C16" s="3">
        <f t="shared" ref="C16:J16" si="2">+C14-C15</f>
        <v>0</v>
      </c>
      <c r="D16" s="3">
        <f t="shared" si="2"/>
        <v>0</v>
      </c>
      <c r="E16" s="3">
        <f t="shared" si="2"/>
        <v>0</v>
      </c>
      <c r="F16" s="3">
        <f t="shared" si="2"/>
        <v>0</v>
      </c>
      <c r="G16" s="3">
        <f t="shared" si="2"/>
        <v>1165.0860000000002</v>
      </c>
      <c r="H16" s="3">
        <f t="shared" si="2"/>
        <v>1351.2719999999999</v>
      </c>
      <c r="I16" s="3">
        <f t="shared" si="2"/>
        <v>0</v>
      </c>
      <c r="J16" s="3">
        <f t="shared" si="2"/>
        <v>0</v>
      </c>
      <c r="K16" s="3">
        <f>+K14-K15</f>
        <v>1683.2619999999997</v>
      </c>
      <c r="L16" s="3">
        <f t="shared" ref="L16:P16" si="3">+L14-L15</f>
        <v>1943.2709999999997</v>
      </c>
      <c r="M16" s="3">
        <f t="shared" si="3"/>
        <v>0</v>
      </c>
      <c r="N16" s="3">
        <f t="shared" si="3"/>
        <v>0</v>
      </c>
      <c r="O16" s="3"/>
      <c r="P16" s="3">
        <f t="shared" si="3"/>
        <v>0</v>
      </c>
      <c r="Q16" s="3">
        <f t="shared" ref="Q16:R16" si="4">+Q14-Q15</f>
        <v>4284.558</v>
      </c>
      <c r="R16" s="3">
        <f t="shared" si="4"/>
        <v>4533.7349999999988</v>
      </c>
      <c r="S16" s="3">
        <f>+S14-S15</f>
        <v>4825.6959999999999</v>
      </c>
      <c r="T16" s="3">
        <f>+T14-T15</f>
        <v>5667.2619999999988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2:43" x14ac:dyDescent="0.2">
      <c r="B17" s="2" t="s">
        <v>26</v>
      </c>
      <c r="C17" s="3"/>
      <c r="D17" s="3"/>
      <c r="E17" s="3"/>
      <c r="F17" s="3"/>
      <c r="G17" s="3">
        <v>785.52800000000002</v>
      </c>
      <c r="H17" s="3">
        <v>878.73699999999997</v>
      </c>
      <c r="I17" s="3"/>
      <c r="J17" s="3"/>
      <c r="K17" s="3">
        <f>1163.928+53.815</f>
        <v>1217.7430000000002</v>
      </c>
      <c r="L17" s="3">
        <v>1447.422</v>
      </c>
      <c r="M17" s="3"/>
      <c r="N17" s="3"/>
      <c r="O17" s="3"/>
      <c r="P17" s="3"/>
      <c r="Q17" s="3">
        <v>2799.8530000000001</v>
      </c>
      <c r="R17" s="3">
        <v>3183.53</v>
      </c>
      <c r="S17" s="3">
        <v>3294.2719999999999</v>
      </c>
      <c r="T17" s="3">
        <f>4338.162+164.191</f>
        <v>4502.3530000000001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2:43" x14ac:dyDescent="0.2">
      <c r="B18" s="2" t="s">
        <v>27</v>
      </c>
      <c r="C18" s="3"/>
      <c r="D18" s="3"/>
      <c r="E18" s="3"/>
      <c r="F18" s="3"/>
      <c r="G18" s="3">
        <v>13.442</v>
      </c>
      <c r="H18" s="3">
        <f>8.028+12.322</f>
        <v>20.350000000000001</v>
      </c>
      <c r="I18" s="3"/>
      <c r="J18" s="3"/>
      <c r="K18" s="3">
        <v>14.869</v>
      </c>
      <c r="L18" s="3">
        <f>31.605+23.488</f>
        <v>55.093000000000004</v>
      </c>
      <c r="M18" s="3"/>
      <c r="N18" s="3"/>
      <c r="O18" s="3"/>
      <c r="P18" s="3"/>
      <c r="Q18" s="3">
        <v>21.686</v>
      </c>
      <c r="R18" s="3">
        <v>67.84</v>
      </c>
      <c r="S18" s="3">
        <v>57.491999999999997</v>
      </c>
      <c r="T18" s="3">
        <v>69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2:43" x14ac:dyDescent="0.2">
      <c r="B19" s="2" t="s">
        <v>28</v>
      </c>
      <c r="C19" s="3">
        <f t="shared" ref="C19:N19" si="5">+C16-C17-C18</f>
        <v>0</v>
      </c>
      <c r="D19" s="3">
        <f t="shared" si="5"/>
        <v>0</v>
      </c>
      <c r="E19" s="3">
        <f t="shared" si="5"/>
        <v>0</v>
      </c>
      <c r="F19" s="3">
        <f t="shared" si="5"/>
        <v>0</v>
      </c>
      <c r="G19" s="3">
        <f t="shared" si="5"/>
        <v>366.11600000000021</v>
      </c>
      <c r="H19" s="3">
        <f t="shared" si="5"/>
        <v>452.18499999999995</v>
      </c>
      <c r="I19" s="3">
        <f t="shared" si="5"/>
        <v>0</v>
      </c>
      <c r="J19" s="3">
        <f t="shared" si="5"/>
        <v>0</v>
      </c>
      <c r="K19" s="3">
        <f t="shared" si="5"/>
        <v>450.64999999999952</v>
      </c>
      <c r="L19" s="3">
        <f t="shared" si="5"/>
        <v>440.75599999999969</v>
      </c>
      <c r="M19" s="3">
        <f t="shared" si="5"/>
        <v>0</v>
      </c>
      <c r="N19" s="3">
        <f t="shared" si="5"/>
        <v>0</v>
      </c>
      <c r="O19" s="3"/>
      <c r="P19" s="3">
        <f t="shared" ref="P19" si="6">+P16-P17+P18</f>
        <v>0</v>
      </c>
      <c r="Q19" s="3">
        <f t="shared" ref="Q19:R19" si="7">+Q16-Q17-Q18</f>
        <v>1463.019</v>
      </c>
      <c r="R19" s="3">
        <f t="shared" si="7"/>
        <v>1282.3649999999986</v>
      </c>
      <c r="S19" s="3">
        <f>+S16-S17-S18</f>
        <v>1473.932</v>
      </c>
      <c r="T19" s="3">
        <f>+T16-T17-T18</f>
        <v>1095.9089999999987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2:43" x14ac:dyDescent="0.2">
      <c r="B20" s="2" t="s">
        <v>29</v>
      </c>
      <c r="C20" s="3"/>
      <c r="D20" s="3"/>
      <c r="E20" s="3"/>
      <c r="F20" s="3"/>
      <c r="G20" s="3">
        <v>12.138</v>
      </c>
      <c r="H20" s="3">
        <v>16.117999999999999</v>
      </c>
      <c r="I20" s="3"/>
      <c r="J20" s="3"/>
      <c r="K20" s="3">
        <v>17.541</v>
      </c>
      <c r="L20" s="3">
        <v>17.846</v>
      </c>
      <c r="M20" s="3"/>
      <c r="N20" s="3"/>
      <c r="O20" s="3"/>
      <c r="P20" s="3"/>
      <c r="Q20" s="3">
        <v>95.22</v>
      </c>
      <c r="R20" s="3">
        <v>58.023000000000003</v>
      </c>
      <c r="S20" s="3">
        <v>52.987000000000002</v>
      </c>
      <c r="T20" s="3">
        <v>64.263000000000005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2:43" x14ac:dyDescent="0.2">
      <c r="B21" s="2" t="s">
        <v>30</v>
      </c>
      <c r="C21" s="3"/>
      <c r="D21" s="3"/>
      <c r="E21" s="3"/>
      <c r="F21" s="3"/>
      <c r="G21" s="3">
        <v>-6.2560000000000002</v>
      </c>
      <c r="H21" s="3">
        <v>73.748999999999995</v>
      </c>
      <c r="I21" s="3"/>
      <c r="J21" s="3"/>
      <c r="K21" s="3">
        <v>13.166</v>
      </c>
      <c r="L21" s="3">
        <v>15.504</v>
      </c>
      <c r="M21" s="3"/>
      <c r="N21" s="3"/>
      <c r="O21" s="3"/>
      <c r="P21" s="3"/>
      <c r="Q21" s="3">
        <v>15.949</v>
      </c>
      <c r="R21" s="3">
        <v>93.808999999999997</v>
      </c>
      <c r="S21" s="3">
        <v>98.087999999999994</v>
      </c>
      <c r="T21" s="3">
        <v>110.327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2:43" x14ac:dyDescent="0.2">
      <c r="B22" s="2" t="s">
        <v>31</v>
      </c>
      <c r="C22" s="3">
        <f t="shared" ref="C22:N22" si="8">+C19-C20+C21</f>
        <v>0</v>
      </c>
      <c r="D22" s="3">
        <f t="shared" si="8"/>
        <v>0</v>
      </c>
      <c r="E22" s="3">
        <f t="shared" si="8"/>
        <v>0</v>
      </c>
      <c r="F22" s="3">
        <f t="shared" si="8"/>
        <v>0</v>
      </c>
      <c r="G22" s="3">
        <f t="shared" si="8"/>
        <v>347.72200000000021</v>
      </c>
      <c r="H22" s="3">
        <f t="shared" si="8"/>
        <v>509.81599999999992</v>
      </c>
      <c r="I22" s="3">
        <f t="shared" si="8"/>
        <v>0</v>
      </c>
      <c r="J22" s="3">
        <f t="shared" si="8"/>
        <v>0</v>
      </c>
      <c r="K22" s="3">
        <f t="shared" si="8"/>
        <v>446.27499999999952</v>
      </c>
      <c r="L22" s="3">
        <f t="shared" si="8"/>
        <v>438.4139999999997</v>
      </c>
      <c r="M22" s="3">
        <f t="shared" si="8"/>
        <v>0</v>
      </c>
      <c r="N22" s="3">
        <f t="shared" si="8"/>
        <v>0</v>
      </c>
      <c r="O22" s="3"/>
      <c r="P22" s="3">
        <f t="shared" ref="P22:R22" si="9">+P19-P20+P21</f>
        <v>0</v>
      </c>
      <c r="Q22" s="3">
        <f t="shared" si="9"/>
        <v>1383.748</v>
      </c>
      <c r="R22" s="3">
        <f t="shared" si="9"/>
        <v>1318.1509999999987</v>
      </c>
      <c r="S22" s="3">
        <f>+S19-S20+S21</f>
        <v>1519.0329999999999</v>
      </c>
      <c r="T22" s="3">
        <f>+T19-T20+T21</f>
        <v>1141.9729999999988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2:43" x14ac:dyDescent="0.2">
      <c r="B23" s="2" t="s">
        <v>32</v>
      </c>
      <c r="C23" s="3"/>
      <c r="D23" s="3"/>
      <c r="E23" s="3"/>
      <c r="F23" s="3"/>
      <c r="G23" s="3">
        <v>83.433999999999997</v>
      </c>
      <c r="H23" s="3">
        <v>128.41399999999999</v>
      </c>
      <c r="I23" s="3"/>
      <c r="J23" s="3"/>
      <c r="K23" s="3">
        <v>126.453</v>
      </c>
      <c r="L23" s="3">
        <v>122.953</v>
      </c>
      <c r="M23" s="3"/>
      <c r="N23" s="3"/>
      <c r="O23" s="3"/>
      <c r="P23" s="3"/>
      <c r="Q23" s="3">
        <v>340.61</v>
      </c>
      <c r="R23" s="3">
        <v>271.63200000000001</v>
      </c>
      <c r="S23" s="3">
        <v>353.72500000000002</v>
      </c>
      <c r="T23" s="3">
        <v>292.73399999999998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2:43" x14ac:dyDescent="0.2">
      <c r="B24" s="2" t="s">
        <v>33</v>
      </c>
      <c r="C24" s="3">
        <f t="shared" ref="C24:J24" si="10">+C22-C23</f>
        <v>0</v>
      </c>
      <c r="D24" s="3">
        <f t="shared" si="10"/>
        <v>0</v>
      </c>
      <c r="E24" s="3">
        <f t="shared" si="10"/>
        <v>0</v>
      </c>
      <c r="F24" s="3">
        <f t="shared" si="10"/>
        <v>0</v>
      </c>
      <c r="G24" s="3">
        <f t="shared" si="10"/>
        <v>264.28800000000024</v>
      </c>
      <c r="H24" s="3">
        <f t="shared" si="10"/>
        <v>381.40199999999993</v>
      </c>
      <c r="I24" s="3">
        <f t="shared" si="10"/>
        <v>0</v>
      </c>
      <c r="J24" s="3">
        <f t="shared" si="10"/>
        <v>0</v>
      </c>
      <c r="K24" s="3">
        <f>+K22-K23</f>
        <v>319.82199999999955</v>
      </c>
      <c r="L24" s="3">
        <f t="shared" ref="L24:N24" si="11">+L22-L23</f>
        <v>315.46099999999967</v>
      </c>
      <c r="M24" s="3">
        <f t="shared" si="11"/>
        <v>0</v>
      </c>
      <c r="N24" s="3">
        <f t="shared" si="11"/>
        <v>0</v>
      </c>
      <c r="O24" s="3"/>
      <c r="P24" s="3">
        <f t="shared" ref="P24:R24" si="12">+P22-P23</f>
        <v>0</v>
      </c>
      <c r="Q24" s="3">
        <f t="shared" si="12"/>
        <v>1043.1379999999999</v>
      </c>
      <c r="R24" s="3">
        <f t="shared" si="12"/>
        <v>1046.5189999999986</v>
      </c>
      <c r="S24" s="3">
        <f>+S22-S23</f>
        <v>1165.308</v>
      </c>
      <c r="T24" s="3">
        <f>+T22-T23</f>
        <v>849.2389999999989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2:43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2:43" x14ac:dyDescent="0.2">
      <c r="B26" s="2" t="s">
        <v>34</v>
      </c>
      <c r="C26" s="7" t="e">
        <f t="shared" ref="C26:J26" si="13">+C24/C27</f>
        <v>#DIV/0!</v>
      </c>
      <c r="D26" s="7" t="e">
        <f t="shared" si="13"/>
        <v>#DIV/0!</v>
      </c>
      <c r="E26" s="7" t="e">
        <f t="shared" si="13"/>
        <v>#DIV/0!</v>
      </c>
      <c r="F26" s="7" t="e">
        <f t="shared" si="13"/>
        <v>#DIV/0!</v>
      </c>
      <c r="G26" s="7">
        <f t="shared" si="13"/>
        <v>3.3310394373653001</v>
      </c>
      <c r="H26" s="7">
        <f t="shared" si="13"/>
        <v>4.8189065915322109</v>
      </c>
      <c r="I26" s="7" t="e">
        <f t="shared" si="13"/>
        <v>#DIV/0!</v>
      </c>
      <c r="J26" s="7" t="e">
        <f t="shared" si="13"/>
        <v>#DIV/0!</v>
      </c>
      <c r="K26" s="7">
        <f>+K24/K27</f>
        <v>3.6123792850285148</v>
      </c>
      <c r="L26" s="7">
        <f t="shared" ref="L26:N26" si="14">+L24/L27</f>
        <v>3.5513289578853717</v>
      </c>
      <c r="M26" s="7" t="e">
        <f t="shared" si="14"/>
        <v>#DIV/0!</v>
      </c>
      <c r="N26" s="7" t="e">
        <f t="shared" si="14"/>
        <v>#DIV/0!</v>
      </c>
      <c r="O26" s="7"/>
      <c r="P26" s="7" t="e">
        <f t="shared" ref="P26:R26" si="15">+P24/P27</f>
        <v>#DIV/0!</v>
      </c>
      <c r="Q26" s="7">
        <f t="shared" si="15"/>
        <v>13.430039138943249</v>
      </c>
      <c r="R26" s="7">
        <f t="shared" si="15"/>
        <v>12.715596218803899</v>
      </c>
      <c r="S26" s="7">
        <f>+S24/S27</f>
        <v>14.481632450166526</v>
      </c>
      <c r="T26" s="7">
        <f>+T24/T27</f>
        <v>10.215180128706308</v>
      </c>
    </row>
    <row r="27" spans="2:43" x14ac:dyDescent="0.2">
      <c r="B27" s="2" t="s">
        <v>3</v>
      </c>
      <c r="F27" s="7"/>
      <c r="G27" s="7">
        <v>79.340999999999994</v>
      </c>
      <c r="H27" s="7">
        <v>79.147000000000006</v>
      </c>
      <c r="I27" s="7"/>
      <c r="J27" s="7"/>
      <c r="K27" s="7">
        <v>88.534999999999997</v>
      </c>
      <c r="L27" s="7">
        <v>88.828999999999994</v>
      </c>
      <c r="M27" s="7"/>
      <c r="N27" s="7"/>
      <c r="O27" s="7"/>
      <c r="P27" s="7"/>
      <c r="Q27" s="7">
        <v>77.671999999999997</v>
      </c>
      <c r="R27" s="7">
        <v>82.302000000000007</v>
      </c>
      <c r="S27" s="7">
        <v>80.468000000000004</v>
      </c>
      <c r="T27" s="2">
        <v>83.135000000000005</v>
      </c>
    </row>
  </sheetData>
  <hyperlinks>
    <hyperlink ref="A1" location="Main!A1" display="Main" xr:uid="{35F0D976-AB52-4B9A-9CB3-401B736D99E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2025-05-16T12:46:23Z</dcterms:created>
  <dcterms:modified xsi:type="dcterms:W3CDTF">2026-08-25T17:05:38Z</dcterms:modified>
</cp:coreProperties>
</file>