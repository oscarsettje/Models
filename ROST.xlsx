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776DE622-82C9-4B45-8B31-FA35E0F48108}" xr6:coauthVersionLast="47" xr6:coauthVersionMax="47" xr10:uidLastSave="{00000000-0000-0000-0000-000000000000}"/>
  <bookViews>
    <workbookView xWindow="19095" yWindow="0" windowWidth="19410" windowHeight="20985" xr2:uid="{32D7F01B-6AE9-4EA4-A41D-85AC8D1A6BE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P26" i="2"/>
  <c r="P25" i="2"/>
  <c r="P24" i="2"/>
  <c r="P23" i="2"/>
  <c r="P22" i="2"/>
  <c r="P21" i="2"/>
  <c r="P18" i="2"/>
  <c r="P16" i="2"/>
  <c r="P14" i="2"/>
  <c r="P12" i="2"/>
  <c r="P10" i="2"/>
  <c r="O26" i="2"/>
  <c r="O25" i="2"/>
  <c r="O24" i="2"/>
  <c r="O23" i="2"/>
  <c r="O22" i="2"/>
  <c r="O21" i="2"/>
  <c r="O18" i="2"/>
  <c r="O16" i="2"/>
  <c r="O14" i="2"/>
  <c r="O12" i="2"/>
  <c r="O10" i="2"/>
  <c r="N15" i="2"/>
  <c r="N13" i="2"/>
  <c r="N11" i="2"/>
  <c r="N9" i="2"/>
  <c r="N8" i="2"/>
  <c r="Y21" i="2"/>
  <c r="Z21" i="2"/>
  <c r="AA22" i="2"/>
  <c r="AA10" i="2"/>
  <c r="AA23" i="2" s="1"/>
  <c r="AA5" i="2"/>
  <c r="AA21" i="2" s="1"/>
  <c r="N5" i="2"/>
  <c r="M22" i="2"/>
  <c r="M21" i="2"/>
  <c r="M10" i="2"/>
  <c r="M23" i="2" s="1"/>
  <c r="L21" i="2"/>
  <c r="L22" i="2"/>
  <c r="L10" i="2"/>
  <c r="L12" i="2" s="1"/>
  <c r="J21" i="2"/>
  <c r="I21" i="2"/>
  <c r="H21" i="2"/>
  <c r="G21" i="2"/>
  <c r="K5" i="2"/>
  <c r="K21" i="2" s="1"/>
  <c r="K22" i="2"/>
  <c r="K10" i="2"/>
  <c r="K23" i="2" s="1"/>
  <c r="F5" i="2"/>
  <c r="F4" i="2"/>
  <c r="F3" i="2"/>
  <c r="J5" i="2"/>
  <c r="J4" i="2"/>
  <c r="J3" i="2"/>
  <c r="J19" i="2"/>
  <c r="J15" i="2"/>
  <c r="J13" i="2"/>
  <c r="J11" i="2"/>
  <c r="J9" i="2"/>
  <c r="J8" i="2"/>
  <c r="J22" i="2" s="1"/>
  <c r="Z22" i="2"/>
  <c r="Z10" i="2"/>
  <c r="Z23" i="2" s="1"/>
  <c r="G22" i="2"/>
  <c r="H22" i="2"/>
  <c r="I22" i="2"/>
  <c r="U22" i="2"/>
  <c r="V22" i="2"/>
  <c r="W22" i="2"/>
  <c r="X22" i="2"/>
  <c r="Y22" i="2"/>
  <c r="I10" i="2"/>
  <c r="I23" i="2" s="1"/>
  <c r="H10" i="2"/>
  <c r="H23" i="2" s="1"/>
  <c r="G10" i="2"/>
  <c r="G12" i="2" s="1"/>
  <c r="F10" i="2"/>
  <c r="F12" i="2" s="1"/>
  <c r="E10" i="2"/>
  <c r="E12" i="2" s="1"/>
  <c r="D10" i="2"/>
  <c r="D12" i="2" s="1"/>
  <c r="C10" i="2"/>
  <c r="C12" i="2" s="1"/>
  <c r="X10" i="2"/>
  <c r="X12" i="2" s="1"/>
  <c r="X14" i="2" s="1"/>
  <c r="X16" i="2" s="1"/>
  <c r="X18" i="2" s="1"/>
  <c r="W10" i="2"/>
  <c r="W12" i="2" s="1"/>
  <c r="W14" i="2" s="1"/>
  <c r="W16" i="2" s="1"/>
  <c r="W18" i="2" s="1"/>
  <c r="V10" i="2"/>
  <c r="V12" i="2" s="1"/>
  <c r="U10" i="2"/>
  <c r="U12" i="2" s="1"/>
  <c r="T10" i="2"/>
  <c r="T23" i="2" s="1"/>
  <c r="Y10" i="2"/>
  <c r="Y23" i="2" s="1"/>
  <c r="H5" i="1"/>
  <c r="N10" i="2" l="1"/>
  <c r="N21" i="2"/>
  <c r="L14" i="2"/>
  <c r="L24" i="2"/>
  <c r="N23" i="2"/>
  <c r="N12" i="2"/>
  <c r="N14" i="2" s="1"/>
  <c r="AA12" i="2"/>
  <c r="L23" i="2"/>
  <c r="M12" i="2"/>
  <c r="N22" i="2"/>
  <c r="N24" i="2"/>
  <c r="K12" i="2"/>
  <c r="Z12" i="2"/>
  <c r="J10" i="2"/>
  <c r="J23" i="2" s="1"/>
  <c r="H8" i="1"/>
  <c r="W24" i="2"/>
  <c r="X24" i="2"/>
  <c r="W25" i="2"/>
  <c r="X25" i="2"/>
  <c r="W26" i="2"/>
  <c r="X26" i="2"/>
  <c r="H12" i="2"/>
  <c r="H14" i="2" s="1"/>
  <c r="H16" i="2" s="1"/>
  <c r="I12" i="2"/>
  <c r="I14" i="2" s="1"/>
  <c r="I16" i="2" s="1"/>
  <c r="D24" i="2"/>
  <c r="D14" i="2"/>
  <c r="E24" i="2"/>
  <c r="E14" i="2"/>
  <c r="F14" i="2"/>
  <c r="F24" i="2"/>
  <c r="G14" i="2"/>
  <c r="G24" i="2"/>
  <c r="Y12" i="2"/>
  <c r="T12" i="2"/>
  <c r="T24" i="2" s="1"/>
  <c r="C23" i="2"/>
  <c r="D23" i="2"/>
  <c r="E23" i="2"/>
  <c r="F23" i="2"/>
  <c r="G23" i="2"/>
  <c r="W23" i="2"/>
  <c r="X23" i="2"/>
  <c r="C14" i="2"/>
  <c r="C24" i="2"/>
  <c r="U14" i="2"/>
  <c r="U24" i="2"/>
  <c r="U23" i="2"/>
  <c r="V24" i="2"/>
  <c r="V14" i="2"/>
  <c r="V23" i="2"/>
  <c r="L16" i="2" l="1"/>
  <c r="L26" i="2"/>
  <c r="M24" i="2"/>
  <c r="M14" i="2"/>
  <c r="AA24" i="2"/>
  <c r="AA14" i="2"/>
  <c r="N26" i="2"/>
  <c r="N16" i="2"/>
  <c r="K24" i="2"/>
  <c r="K14" i="2"/>
  <c r="Z24" i="2"/>
  <c r="Z14" i="2"/>
  <c r="J12" i="2"/>
  <c r="I24" i="2"/>
  <c r="I26" i="2"/>
  <c r="H24" i="2"/>
  <c r="H26" i="2"/>
  <c r="Y14" i="2"/>
  <c r="Y24" i="2"/>
  <c r="I18" i="2"/>
  <c r="I25" i="2"/>
  <c r="H25" i="2"/>
  <c r="H18" i="2"/>
  <c r="G16" i="2"/>
  <c r="G26" i="2"/>
  <c r="T14" i="2"/>
  <c r="T26" i="2" s="1"/>
  <c r="F16" i="2"/>
  <c r="F26" i="2"/>
  <c r="E16" i="2"/>
  <c r="E26" i="2"/>
  <c r="D26" i="2"/>
  <c r="D16" i="2"/>
  <c r="C26" i="2"/>
  <c r="C16" i="2"/>
  <c r="U26" i="2"/>
  <c r="U16" i="2"/>
  <c r="V26" i="2"/>
  <c r="V16" i="2"/>
  <c r="N18" i="2" l="1"/>
  <c r="N25" i="2"/>
  <c r="AA26" i="2"/>
  <c r="AA16" i="2"/>
  <c r="M26" i="2"/>
  <c r="M16" i="2"/>
  <c r="L25" i="2"/>
  <c r="L18" i="2"/>
  <c r="K26" i="2"/>
  <c r="K16" i="2"/>
  <c r="J14" i="2"/>
  <c r="J24" i="2"/>
  <c r="T16" i="2"/>
  <c r="T18" i="2" s="1"/>
  <c r="Z26" i="2"/>
  <c r="Z16" i="2"/>
  <c r="D25" i="2"/>
  <c r="D18" i="2"/>
  <c r="E25" i="2"/>
  <c r="E18" i="2"/>
  <c r="F25" i="2"/>
  <c r="F18" i="2"/>
  <c r="G25" i="2"/>
  <c r="G18" i="2"/>
  <c r="Y16" i="2"/>
  <c r="Y26" i="2"/>
  <c r="C25" i="2"/>
  <c r="C18" i="2"/>
  <c r="U18" i="2"/>
  <c r="U25" i="2"/>
  <c r="V25" i="2"/>
  <c r="V18" i="2"/>
  <c r="M25" i="2" l="1"/>
  <c r="M18" i="2"/>
  <c r="T25" i="2"/>
  <c r="AA25" i="2"/>
  <c r="AA18" i="2"/>
  <c r="K25" i="2"/>
  <c r="K18" i="2"/>
  <c r="J16" i="2"/>
  <c r="J26" i="2"/>
  <c r="Z25" i="2"/>
  <c r="Z18" i="2"/>
  <c r="Y18" i="2"/>
  <c r="Y25" i="2"/>
  <c r="J25" i="2" l="1"/>
  <c r="J18" i="2"/>
</calcChain>
</file>

<file path=xl/sharedStrings.xml><?xml version="1.0" encoding="utf-8"?>
<sst xmlns="http://schemas.openxmlformats.org/spreadsheetml/2006/main" count="69" uniqueCount="65">
  <si>
    <t>Ross Stores</t>
  </si>
  <si>
    <t>Price</t>
  </si>
  <si>
    <t>Shares</t>
  </si>
  <si>
    <t>MC</t>
  </si>
  <si>
    <t>Cash</t>
  </si>
  <si>
    <t>Debt</t>
  </si>
  <si>
    <t>EV</t>
  </si>
  <si>
    <t>Q124</t>
  </si>
  <si>
    <t>Main</t>
  </si>
  <si>
    <t>Business Model</t>
  </si>
  <si>
    <t>Brands</t>
  </si>
  <si>
    <t>% of Rev</t>
  </si>
  <si>
    <t>Products</t>
  </si>
  <si>
    <t>Dress for Less</t>
  </si>
  <si>
    <t>Discounters</t>
  </si>
  <si>
    <t>x</t>
  </si>
  <si>
    <t>Q224</t>
  </si>
  <si>
    <t>Q324</t>
  </si>
  <si>
    <t>FY19</t>
  </si>
  <si>
    <t>FY20</t>
  </si>
  <si>
    <t>FY21</t>
  </si>
  <si>
    <t>FY22</t>
  </si>
  <si>
    <t>FY23</t>
  </si>
  <si>
    <t>Revenue</t>
  </si>
  <si>
    <t>COGS</t>
  </si>
  <si>
    <t>Gross Profit</t>
  </si>
  <si>
    <t>SGA</t>
  </si>
  <si>
    <t>Operating Profit</t>
  </si>
  <si>
    <t>Interest Income</t>
  </si>
  <si>
    <t>Pretax Income</t>
  </si>
  <si>
    <t>Income Tax Expense</t>
  </si>
  <si>
    <t>Net Income</t>
  </si>
  <si>
    <t>EPS</t>
  </si>
  <si>
    <t>Revenue Growth</t>
  </si>
  <si>
    <t>Gross Margin</t>
  </si>
  <si>
    <t>Operating Margin</t>
  </si>
  <si>
    <t>Net Margin</t>
  </si>
  <si>
    <t>Tax Rate</t>
  </si>
  <si>
    <t>IR</t>
  </si>
  <si>
    <t>numbers in mio USD</t>
  </si>
  <si>
    <t>ROST</t>
  </si>
  <si>
    <t>Notes</t>
  </si>
  <si>
    <t>1.831 locations in 43 US States</t>
  </si>
  <si>
    <t>CEO:</t>
  </si>
  <si>
    <t>James G. Conroy</t>
  </si>
  <si>
    <t>FY24</t>
  </si>
  <si>
    <t>Ross Dress for Less</t>
  </si>
  <si>
    <t>Total Stores</t>
  </si>
  <si>
    <t>dd's Discount</t>
  </si>
  <si>
    <t>Q125</t>
  </si>
  <si>
    <t>Q225</t>
  </si>
  <si>
    <t>Q325</t>
  </si>
  <si>
    <t>Q425</t>
  </si>
  <si>
    <t>Q126</t>
  </si>
  <si>
    <t>Q226</t>
  </si>
  <si>
    <t>Q326</t>
  </si>
  <si>
    <t>Q426</t>
  </si>
  <si>
    <t>FY25</t>
  </si>
  <si>
    <t>Store Growth</t>
  </si>
  <si>
    <t>FY26</t>
  </si>
  <si>
    <t>Q127</t>
  </si>
  <si>
    <t>Q227</t>
  </si>
  <si>
    <t>Q327</t>
  </si>
  <si>
    <t>Q427</t>
  </si>
  <si>
    <t>FQ227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</si>
</sst>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(#,##0.0\)"/>
    <numFmt numFmtId="165" formatCode="#,##0.00;\(#,##0.00\)"/>
    <numFmt numFmtId="166" formatCode="#,##0;\(#,##0\)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7" fillId="0" borderId="0" xfId="0" applyFont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8" fillId="0" borderId="0" xfId="2" applyFont="1"/>
    <xf numFmtId="0" fontId="4" fillId="0" borderId="0" xfId="0" applyFont="1" applyAlignment="1">
      <alignment horizontal="center"/>
    </xf>
    <xf numFmtId="0" fontId="9" fillId="0" borderId="0" xfId="0" applyFont="1"/>
    <xf numFmtId="0" fontId="7" fillId="0" borderId="1" xfId="0" applyFont="1" applyBorder="1"/>
    <xf numFmtId="0" fontId="7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166" fontId="4" fillId="0" borderId="0" xfId="0" applyNumberFormat="1" applyFont="1" applyAlignment="1">
      <alignment horizontal="right"/>
    </xf>
    <xf numFmtId="166" fontId="4" fillId="0" borderId="0" xfId="0" applyNumberFormat="1" applyFont="1"/>
    <xf numFmtId="166" fontId="7" fillId="0" borderId="0" xfId="0" applyNumberFormat="1" applyFont="1" applyAlignment="1">
      <alignment horizontal="right"/>
    </xf>
    <xf numFmtId="166" fontId="7" fillId="0" borderId="0" xfId="0" applyNumberFormat="1" applyFont="1"/>
    <xf numFmtId="164" fontId="7" fillId="0" borderId="0" xfId="0" applyNumberFormat="1" applyFont="1"/>
    <xf numFmtId="165" fontId="4" fillId="0" borderId="0" xfId="0" applyNumberFormat="1" applyFont="1"/>
    <xf numFmtId="9" fontId="4" fillId="0" borderId="0" xfId="1" applyFont="1"/>
    <xf numFmtId="9" fontId="7" fillId="0" borderId="0" xfId="1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o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29D2-C268-4098-9C30-B4F541321799}">
  <dimension ref="A1:I15"/>
  <sheetViews>
    <sheetView tabSelected="1" topLeftCell="E1" zoomScale="200" zoomScaleNormal="200" workbookViewId="0">
      <selection activeCell="H15" sqref="H15"/>
    </sheetView>
  </sheetViews>
  <sheetFormatPr defaultRowHeight="12.75" x14ac:dyDescent="0.2"/>
  <cols>
    <col min="1" max="1" width="4.140625" style="2" customWidth="1"/>
    <col min="2" max="2" width="17.5703125" style="2" customWidth="1"/>
    <col min="3" max="3" width="9.140625" style="2"/>
    <col min="4" max="4" width="19.5703125" style="2" customWidth="1"/>
    <col min="5" max="7" width="9.140625" style="2"/>
    <col min="8" max="8" width="9.5703125" style="2" bestFit="1" customWidth="1"/>
    <col min="9" max="16384" width="9.140625" style="2"/>
  </cols>
  <sheetData>
    <row r="1" spans="1:9" x14ac:dyDescent="0.2">
      <c r="A1" s="1" t="s">
        <v>0</v>
      </c>
    </row>
    <row r="2" spans="1:9" x14ac:dyDescent="0.2">
      <c r="A2" s="2" t="s">
        <v>39</v>
      </c>
    </row>
    <row r="3" spans="1:9" x14ac:dyDescent="0.2">
      <c r="G3" s="2" t="s">
        <v>1</v>
      </c>
      <c r="H3" s="2">
        <v>249.68</v>
      </c>
    </row>
    <row r="4" spans="1:9" x14ac:dyDescent="0.2">
      <c r="B4" s="2" t="s">
        <v>40</v>
      </c>
      <c r="G4" s="2" t="s">
        <v>2</v>
      </c>
      <c r="H4" s="3">
        <v>317.68700000000001</v>
      </c>
      <c r="I4" s="30" t="s">
        <v>64</v>
      </c>
    </row>
    <row r="5" spans="1:9" x14ac:dyDescent="0.2">
      <c r="B5" s="5" t="s">
        <v>38</v>
      </c>
      <c r="G5" s="2" t="s">
        <v>3</v>
      </c>
      <c r="H5" s="3">
        <f>H4*H3</f>
        <v>79320.090160000007</v>
      </c>
    </row>
    <row r="6" spans="1:9" x14ac:dyDescent="0.2">
      <c r="G6" s="2" t="s">
        <v>4</v>
      </c>
      <c r="H6" s="3">
        <v>4288.1239999999998</v>
      </c>
      <c r="I6" s="30" t="s">
        <v>64</v>
      </c>
    </row>
    <row r="7" spans="1:9" x14ac:dyDescent="0.2">
      <c r="A7" s="6" t="s">
        <v>15</v>
      </c>
      <c r="B7" s="7" t="s">
        <v>9</v>
      </c>
      <c r="G7" s="2" t="s">
        <v>5</v>
      </c>
      <c r="H7" s="3">
        <f>777.053+241.459</f>
        <v>1018.5119999999999</v>
      </c>
      <c r="I7" s="30" t="s">
        <v>64</v>
      </c>
    </row>
    <row r="8" spans="1:9" x14ac:dyDescent="0.2">
      <c r="B8" s="8" t="s">
        <v>10</v>
      </c>
      <c r="C8" s="9" t="s">
        <v>11</v>
      </c>
      <c r="D8" s="9" t="s">
        <v>12</v>
      </c>
      <c r="E8" s="10"/>
      <c r="G8" s="2" t="s">
        <v>6</v>
      </c>
      <c r="H8" s="3">
        <f>H5-H6+H7</f>
        <v>76050.478160000013</v>
      </c>
    </row>
    <row r="9" spans="1:9" x14ac:dyDescent="0.2">
      <c r="B9" s="11" t="s">
        <v>13</v>
      </c>
      <c r="C9" s="12"/>
      <c r="D9" s="12"/>
      <c r="E9" s="13"/>
    </row>
    <row r="10" spans="1:9" x14ac:dyDescent="0.2">
      <c r="B10" s="14" t="s">
        <v>14</v>
      </c>
      <c r="E10" s="15"/>
    </row>
    <row r="11" spans="1:9" x14ac:dyDescent="0.2">
      <c r="B11" s="14"/>
      <c r="E11" s="15"/>
      <c r="G11" s="2" t="s">
        <v>43</v>
      </c>
      <c r="H11" s="2" t="s">
        <v>44</v>
      </c>
    </row>
    <row r="12" spans="1:9" x14ac:dyDescent="0.2">
      <c r="B12" s="16"/>
      <c r="C12" s="17"/>
      <c r="D12" s="17"/>
      <c r="E12" s="18"/>
    </row>
    <row r="14" spans="1:9" x14ac:dyDescent="0.2">
      <c r="B14" s="7" t="s">
        <v>41</v>
      </c>
    </row>
    <row r="15" spans="1:9" x14ac:dyDescent="0.2">
      <c r="B15" s="2" t="s">
        <v>42</v>
      </c>
    </row>
  </sheetData>
  <hyperlinks>
    <hyperlink ref="B5" r:id="rId1" xr:uid="{31955F0F-64C7-4BFB-B153-CF9AD9C226E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2FF4-0653-4938-9B83-B4E1E02AD4C6}">
  <dimension ref="A1:AC486"/>
  <sheetViews>
    <sheetView zoomScale="200" zoomScaleNormal="20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P21" sqref="P21:P26"/>
    </sheetView>
  </sheetViews>
  <sheetFormatPr defaultRowHeight="12.75" x14ac:dyDescent="0.2"/>
  <cols>
    <col min="1" max="1" width="4.7109375" style="2" bestFit="1" customWidth="1"/>
    <col min="2" max="2" width="19.140625" style="2" customWidth="1"/>
    <col min="3" max="16384" width="9.140625" style="2"/>
  </cols>
  <sheetData>
    <row r="1" spans="1:29" x14ac:dyDescent="0.2">
      <c r="A1" s="5" t="s">
        <v>8</v>
      </c>
    </row>
    <row r="2" spans="1:29" x14ac:dyDescent="0.2">
      <c r="C2" s="4" t="s">
        <v>7</v>
      </c>
      <c r="D2" s="4" t="s">
        <v>16</v>
      </c>
      <c r="E2" s="4" t="s">
        <v>17</v>
      </c>
      <c r="F2" s="4" t="s">
        <v>52</v>
      </c>
      <c r="G2" s="4" t="s">
        <v>49</v>
      </c>
      <c r="H2" s="4" t="s">
        <v>50</v>
      </c>
      <c r="I2" s="4" t="s">
        <v>51</v>
      </c>
      <c r="J2" s="4" t="s">
        <v>52</v>
      </c>
      <c r="K2" s="4" t="s">
        <v>53</v>
      </c>
      <c r="L2" s="4" t="s">
        <v>54</v>
      </c>
      <c r="M2" s="4" t="s">
        <v>55</v>
      </c>
      <c r="N2" s="4" t="s">
        <v>56</v>
      </c>
      <c r="O2" s="29" t="s">
        <v>60</v>
      </c>
      <c r="P2" s="29" t="s">
        <v>61</v>
      </c>
      <c r="Q2" s="29" t="s">
        <v>62</v>
      </c>
      <c r="R2" s="29" t="s">
        <v>63</v>
      </c>
      <c r="S2" s="4"/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45</v>
      </c>
      <c r="Z2" s="4" t="s">
        <v>57</v>
      </c>
      <c r="AA2" s="27" t="s">
        <v>59</v>
      </c>
    </row>
    <row r="3" spans="1:29" x14ac:dyDescent="0.2">
      <c r="B3" s="2" t="s">
        <v>46</v>
      </c>
      <c r="C3" s="19"/>
      <c r="D3" s="19">
        <v>1772</v>
      </c>
      <c r="E3" s="19"/>
      <c r="F3" s="19">
        <f>+Y3</f>
        <v>1764</v>
      </c>
      <c r="G3" s="19"/>
      <c r="H3" s="19">
        <v>1795</v>
      </c>
      <c r="I3" s="19"/>
      <c r="J3" s="19">
        <f>+Z3</f>
        <v>1831</v>
      </c>
      <c r="K3" s="19">
        <v>1847</v>
      </c>
      <c r="L3" s="19"/>
      <c r="M3" s="19"/>
      <c r="N3" s="19">
        <v>1904</v>
      </c>
      <c r="O3" s="19"/>
      <c r="P3" s="19"/>
      <c r="Q3" s="19"/>
      <c r="R3" s="19"/>
      <c r="S3" s="19"/>
      <c r="T3" s="19"/>
      <c r="U3" s="19"/>
      <c r="V3" s="19"/>
      <c r="W3" s="19"/>
      <c r="X3" s="19">
        <v>1693</v>
      </c>
      <c r="Y3" s="19">
        <v>1764</v>
      </c>
      <c r="Z3" s="19">
        <v>1831</v>
      </c>
      <c r="AA3" s="19">
        <v>1904</v>
      </c>
      <c r="AB3" s="20"/>
    </row>
    <row r="4" spans="1:29" x14ac:dyDescent="0.2">
      <c r="B4" s="2" t="s">
        <v>48</v>
      </c>
      <c r="C4" s="19"/>
      <c r="D4" s="19">
        <v>339</v>
      </c>
      <c r="E4" s="19"/>
      <c r="F4" s="19">
        <f t="shared" ref="F4:F5" si="0">+Y4</f>
        <v>345</v>
      </c>
      <c r="G4" s="19"/>
      <c r="H4" s="19">
        <v>353</v>
      </c>
      <c r="I4" s="19"/>
      <c r="J4" s="19">
        <f t="shared" ref="J4:J5" si="1">+Z4</f>
        <v>355</v>
      </c>
      <c r="K4" s="19">
        <v>358</v>
      </c>
      <c r="L4" s="19"/>
      <c r="M4" s="19"/>
      <c r="N4" s="19">
        <v>363</v>
      </c>
      <c r="O4" s="19"/>
      <c r="P4" s="19"/>
      <c r="Q4" s="19"/>
      <c r="R4" s="19"/>
      <c r="S4" s="19"/>
      <c r="T4" s="19"/>
      <c r="U4" s="19"/>
      <c r="V4" s="19"/>
      <c r="W4" s="19"/>
      <c r="X4" s="19">
        <v>322</v>
      </c>
      <c r="Y4" s="19">
        <v>345</v>
      </c>
      <c r="Z4" s="19">
        <v>355</v>
      </c>
      <c r="AA4" s="19">
        <v>363</v>
      </c>
      <c r="AB4" s="20"/>
    </row>
    <row r="5" spans="1:29" x14ac:dyDescent="0.2">
      <c r="B5" s="1" t="s">
        <v>47</v>
      </c>
      <c r="C5" s="21"/>
      <c r="D5" s="21">
        <v>2061</v>
      </c>
      <c r="E5" s="21"/>
      <c r="F5" s="21">
        <f t="shared" si="0"/>
        <v>2109</v>
      </c>
      <c r="G5" s="21"/>
      <c r="H5" s="21">
        <v>2148</v>
      </c>
      <c r="I5" s="21">
        <v>2192</v>
      </c>
      <c r="J5" s="21">
        <f t="shared" si="1"/>
        <v>2186</v>
      </c>
      <c r="K5" s="21">
        <f>+K3+K4</f>
        <v>2205</v>
      </c>
      <c r="L5" s="21">
        <v>2233</v>
      </c>
      <c r="M5" s="21">
        <v>2273</v>
      </c>
      <c r="N5" s="21">
        <f>+N3+N4</f>
        <v>2267</v>
      </c>
      <c r="O5" s="21">
        <v>2282</v>
      </c>
      <c r="P5" s="21">
        <v>2328</v>
      </c>
      <c r="Q5" s="21"/>
      <c r="R5" s="21"/>
      <c r="S5" s="21"/>
      <c r="T5" s="21"/>
      <c r="U5" s="21"/>
      <c r="V5" s="21"/>
      <c r="W5" s="21"/>
      <c r="X5" s="21">
        <v>2015</v>
      </c>
      <c r="Y5" s="21">
        <v>2109</v>
      </c>
      <c r="Z5" s="22">
        <v>2186</v>
      </c>
      <c r="AA5" s="21">
        <f>+AA3+AA4</f>
        <v>2267</v>
      </c>
      <c r="AB5" s="22"/>
      <c r="AC5" s="1"/>
    </row>
    <row r="6" spans="1:29" x14ac:dyDescent="0.2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8" spans="1:29" x14ac:dyDescent="0.2">
      <c r="B8" s="1" t="s">
        <v>23</v>
      </c>
      <c r="C8" s="23">
        <v>4494.6859999999997</v>
      </c>
      <c r="D8" s="23">
        <v>4934.9049999999997</v>
      </c>
      <c r="E8" s="23">
        <v>4924.8490000000002</v>
      </c>
      <c r="F8" s="23">
        <v>4934.9049999999997</v>
      </c>
      <c r="G8" s="23">
        <v>4858.067</v>
      </c>
      <c r="H8" s="23">
        <v>5287.5190000000002</v>
      </c>
      <c r="I8" s="23">
        <v>5071.3540000000003</v>
      </c>
      <c r="J8" s="23">
        <f>+Z8-SUM(G8:I8)</f>
        <v>5912.2790000000023</v>
      </c>
      <c r="K8" s="23">
        <v>4984.9709999999995</v>
      </c>
      <c r="L8" s="23">
        <v>5529.152</v>
      </c>
      <c r="M8" s="23">
        <v>5600.9459999999999</v>
      </c>
      <c r="N8" s="23">
        <f>+AA8-SUM(K8:M8)</f>
        <v>6635.4900000000016</v>
      </c>
      <c r="O8" s="23">
        <v>6010.4759999999997</v>
      </c>
      <c r="P8" s="23">
        <v>6264.8860000000004</v>
      </c>
      <c r="Q8" s="23"/>
      <c r="R8" s="23"/>
      <c r="S8" s="23"/>
      <c r="T8" s="23">
        <v>14134.732</v>
      </c>
      <c r="U8" s="23">
        <v>14983.540999999999</v>
      </c>
      <c r="V8" s="23">
        <v>16039.073</v>
      </c>
      <c r="W8" s="23">
        <v>18916.243999999999</v>
      </c>
      <c r="X8" s="23">
        <v>18695.829000000002</v>
      </c>
      <c r="Y8" s="23">
        <v>20376.940999999999</v>
      </c>
      <c r="Z8" s="23">
        <v>21129.219000000001</v>
      </c>
      <c r="AA8" s="23">
        <v>22750.559000000001</v>
      </c>
    </row>
    <row r="9" spans="1:29" x14ac:dyDescent="0.2">
      <c r="B9" s="2" t="s">
        <v>24</v>
      </c>
      <c r="C9" s="3">
        <v>3292.6060000000002</v>
      </c>
      <c r="D9" s="3">
        <v>3569.3670000000002</v>
      </c>
      <c r="E9" s="3">
        <v>3564.268</v>
      </c>
      <c r="F9" s="3">
        <v>3569.3670000000002</v>
      </c>
      <c r="G9" s="3">
        <v>3490.672</v>
      </c>
      <c r="H9" s="3">
        <v>3791.9290000000001</v>
      </c>
      <c r="I9" s="3">
        <v>3634.2829999999999</v>
      </c>
      <c r="J9" s="3">
        <f>+Z9-SUM(G9:I9)</f>
        <v>4343.6219999999994</v>
      </c>
      <c r="K9" s="3">
        <v>3581.366</v>
      </c>
      <c r="L9" s="3">
        <v>4002.1669999999999</v>
      </c>
      <c r="M9" s="3">
        <v>4032.4459999999999</v>
      </c>
      <c r="N9" s="28">
        <f>+AA9-SUM(K9:M9)</f>
        <v>4831.2770000000019</v>
      </c>
      <c r="O9" s="28">
        <v>4230.5889999999999</v>
      </c>
      <c r="P9" s="28">
        <v>4145.2150000000001</v>
      </c>
      <c r="Q9" s="28"/>
      <c r="R9" s="28"/>
      <c r="S9" s="3"/>
      <c r="T9" s="3">
        <v>10042.638000000001</v>
      </c>
      <c r="U9" s="3">
        <v>10726.277</v>
      </c>
      <c r="V9" s="3">
        <v>11536.187</v>
      </c>
      <c r="W9" s="3">
        <v>13708.906999999999</v>
      </c>
      <c r="X9" s="3">
        <v>13946.23</v>
      </c>
      <c r="Y9" s="3">
        <v>14801.601000000001</v>
      </c>
      <c r="Z9" s="3">
        <v>15260.505999999999</v>
      </c>
      <c r="AA9" s="3">
        <v>16447.256000000001</v>
      </c>
      <c r="AB9" s="3"/>
      <c r="AC9" s="3"/>
    </row>
    <row r="10" spans="1:29" x14ac:dyDescent="0.2">
      <c r="B10" s="2" t="s">
        <v>25</v>
      </c>
      <c r="C10" s="3">
        <f t="shared" ref="C10" si="2">C8-C9</f>
        <v>1202.0799999999995</v>
      </c>
      <c r="D10" s="3">
        <f t="shared" ref="D10" si="3">D8-D9</f>
        <v>1365.5379999999996</v>
      </c>
      <c r="E10" s="3">
        <f t="shared" ref="E10" si="4">E8-E9</f>
        <v>1360.5810000000001</v>
      </c>
      <c r="F10" s="3">
        <f t="shared" ref="F10" si="5">F8-F9</f>
        <v>1365.5379999999996</v>
      </c>
      <c r="G10" s="3">
        <f t="shared" ref="G10" si="6">G8-G9</f>
        <v>1367.395</v>
      </c>
      <c r="H10" s="3">
        <f t="shared" ref="H10" si="7">H8-H9</f>
        <v>1495.5900000000001</v>
      </c>
      <c r="I10" s="3">
        <f t="shared" ref="I10" si="8">I8-I9</f>
        <v>1437.0710000000004</v>
      </c>
      <c r="J10" s="3">
        <f t="shared" ref="J10:P10" si="9">J8-J9</f>
        <v>1568.6570000000029</v>
      </c>
      <c r="K10" s="3">
        <f t="shared" si="9"/>
        <v>1403.6049999999996</v>
      </c>
      <c r="L10" s="3">
        <f t="shared" si="9"/>
        <v>1526.9850000000001</v>
      </c>
      <c r="M10" s="3">
        <f t="shared" si="9"/>
        <v>1568.5</v>
      </c>
      <c r="N10" s="3">
        <f t="shared" si="9"/>
        <v>1804.2129999999997</v>
      </c>
      <c r="O10" s="3">
        <f t="shared" si="9"/>
        <v>1779.8869999999997</v>
      </c>
      <c r="P10" s="3">
        <f t="shared" si="9"/>
        <v>2119.6710000000003</v>
      </c>
      <c r="Q10" s="3"/>
      <c r="R10" s="3"/>
      <c r="S10" s="23"/>
      <c r="T10" s="3">
        <f t="shared" ref="T10:X10" si="10">T8-T9</f>
        <v>4092.0939999999991</v>
      </c>
      <c r="U10" s="3">
        <f t="shared" si="10"/>
        <v>4257.2639999999992</v>
      </c>
      <c r="V10" s="3">
        <f t="shared" si="10"/>
        <v>4502.8860000000004</v>
      </c>
      <c r="W10" s="3">
        <f t="shared" si="10"/>
        <v>5207.3369999999995</v>
      </c>
      <c r="X10" s="3">
        <f t="shared" si="10"/>
        <v>4749.599000000002</v>
      </c>
      <c r="Y10" s="3">
        <f>Y8-Y9</f>
        <v>5575.3399999999983</v>
      </c>
      <c r="Z10" s="3">
        <f>Z8-Z9</f>
        <v>5868.7130000000016</v>
      </c>
      <c r="AA10" s="3">
        <f>AA8-AA9</f>
        <v>6303.3029999999999</v>
      </c>
      <c r="AB10" s="3"/>
      <c r="AC10" s="3"/>
    </row>
    <row r="11" spans="1:29" x14ac:dyDescent="0.2">
      <c r="B11" s="2" t="s">
        <v>26</v>
      </c>
      <c r="C11" s="3">
        <v>746.22199999999998</v>
      </c>
      <c r="D11" s="3">
        <v>807.89800000000002</v>
      </c>
      <c r="E11" s="3">
        <v>810.47</v>
      </c>
      <c r="F11" s="3">
        <v>807.89800000000002</v>
      </c>
      <c r="G11" s="3">
        <v>776.28200000000004</v>
      </c>
      <c r="H11" s="3">
        <v>836.35699999999997</v>
      </c>
      <c r="I11" s="3">
        <v>832.85500000000002</v>
      </c>
      <c r="J11" s="3">
        <f>+Z11-SUM(G11:I11)</f>
        <v>837.63299999999981</v>
      </c>
      <c r="K11" s="3">
        <v>797.13499999999999</v>
      </c>
      <c r="L11" s="3">
        <v>888.71100000000001</v>
      </c>
      <c r="M11" s="3">
        <v>920.00199999999995</v>
      </c>
      <c r="N11" s="28">
        <f>+AA11-SUM(K11:M11)</f>
        <v>990.09799999999996</v>
      </c>
      <c r="O11" s="28">
        <v>975.86099999999999</v>
      </c>
      <c r="P11" s="28">
        <v>1016.053</v>
      </c>
      <c r="Q11" s="28"/>
      <c r="R11" s="28"/>
      <c r="S11" s="3"/>
      <c r="T11" s="3">
        <v>2042.6980000000001</v>
      </c>
      <c r="U11" s="3">
        <v>2216.5500000000002</v>
      </c>
      <c r="V11" s="3">
        <v>2356.7040000000002</v>
      </c>
      <c r="W11" s="3">
        <v>2874.4690000000001</v>
      </c>
      <c r="X11" s="3">
        <v>2759.268</v>
      </c>
      <c r="Y11" s="3">
        <v>3267.6770000000001</v>
      </c>
      <c r="Z11" s="3">
        <v>3283.127</v>
      </c>
      <c r="AA11" s="3">
        <v>3595.9459999999999</v>
      </c>
      <c r="AB11" s="3"/>
      <c r="AC11" s="3"/>
    </row>
    <row r="12" spans="1:29" x14ac:dyDescent="0.2">
      <c r="B12" s="2" t="s">
        <v>27</v>
      </c>
      <c r="C12" s="3">
        <f t="shared" ref="C12" si="11">C10-C11</f>
        <v>455.85799999999949</v>
      </c>
      <c r="D12" s="3">
        <f t="shared" ref="D12" si="12">D10-D11</f>
        <v>557.63999999999953</v>
      </c>
      <c r="E12" s="3">
        <f t="shared" ref="E12" si="13">E10-E11</f>
        <v>550.1110000000001</v>
      </c>
      <c r="F12" s="3">
        <f t="shared" ref="F12" si="14">F10-F11</f>
        <v>557.63999999999953</v>
      </c>
      <c r="G12" s="3">
        <f t="shared" ref="G12" si="15">G10-G11</f>
        <v>591.11299999999994</v>
      </c>
      <c r="H12" s="3">
        <f t="shared" ref="H12" si="16">H10-H11</f>
        <v>659.23300000000017</v>
      </c>
      <c r="I12" s="3">
        <f t="shared" ref="I12" si="17">I10-I11</f>
        <v>604.21600000000035</v>
      </c>
      <c r="J12" s="3">
        <f t="shared" ref="J12:P12" si="18">J10-J11</f>
        <v>731.02400000000307</v>
      </c>
      <c r="K12" s="3">
        <f t="shared" si="18"/>
        <v>606.46999999999957</v>
      </c>
      <c r="L12" s="3">
        <f t="shared" si="18"/>
        <v>638.27400000000011</v>
      </c>
      <c r="M12" s="3">
        <f t="shared" si="18"/>
        <v>648.49800000000005</v>
      </c>
      <c r="N12" s="3">
        <f t="shared" si="18"/>
        <v>814.11499999999978</v>
      </c>
      <c r="O12" s="3">
        <f t="shared" si="18"/>
        <v>804.02599999999973</v>
      </c>
      <c r="P12" s="3">
        <f t="shared" si="18"/>
        <v>1103.6180000000004</v>
      </c>
      <c r="Q12" s="3"/>
      <c r="R12" s="3"/>
      <c r="S12" s="23"/>
      <c r="T12" s="3">
        <f t="shared" ref="T12:X12" si="19">T10-T11</f>
        <v>2049.3959999999988</v>
      </c>
      <c r="U12" s="3">
        <f t="shared" si="19"/>
        <v>2040.713999999999</v>
      </c>
      <c r="V12" s="3">
        <f t="shared" si="19"/>
        <v>2146.1820000000002</v>
      </c>
      <c r="W12" s="3">
        <f t="shared" si="19"/>
        <v>2332.8679999999995</v>
      </c>
      <c r="X12" s="3">
        <f t="shared" si="19"/>
        <v>1990.3310000000019</v>
      </c>
      <c r="Y12" s="3">
        <f>Y10-Y11</f>
        <v>2307.6629999999982</v>
      </c>
      <c r="Z12" s="3">
        <f>Z10-Z11</f>
        <v>2585.5860000000016</v>
      </c>
      <c r="AA12" s="3">
        <f>AA10-AA11</f>
        <v>2707.357</v>
      </c>
      <c r="AB12" s="3"/>
      <c r="AC12" s="3"/>
    </row>
    <row r="13" spans="1:29" x14ac:dyDescent="0.2">
      <c r="B13" s="2" t="s">
        <v>28</v>
      </c>
      <c r="C13" s="3">
        <v>31.396999999999998</v>
      </c>
      <c r="D13" s="3">
        <v>37.213999999999999</v>
      </c>
      <c r="E13" s="3">
        <v>43.319000000000003</v>
      </c>
      <c r="F13" s="3">
        <v>37.213999999999999</v>
      </c>
      <c r="G13" s="3">
        <v>45.95</v>
      </c>
      <c r="H13" s="3">
        <v>43.359000000000002</v>
      </c>
      <c r="I13" s="3">
        <v>42.527000000000001</v>
      </c>
      <c r="J13" s="3">
        <f>+Z13-SUM(G13:I13)</f>
        <v>39.731999999999999</v>
      </c>
      <c r="K13" s="3">
        <v>34.408999999999999</v>
      </c>
      <c r="L13" s="3">
        <v>32.345999999999997</v>
      </c>
      <c r="M13" s="3">
        <v>33.9</v>
      </c>
      <c r="N13" s="28">
        <f>+AA13-SUM(K13:M13)</f>
        <v>34.14500000000001</v>
      </c>
      <c r="O13" s="28">
        <v>33.448999999999998</v>
      </c>
      <c r="P13" s="28">
        <v>31.143999999999998</v>
      </c>
      <c r="Q13" s="28"/>
      <c r="R13" s="28"/>
      <c r="S13" s="3"/>
      <c r="T13" s="3">
        <v>-7.6760000000000002</v>
      </c>
      <c r="U13" s="3">
        <v>10.162000000000001</v>
      </c>
      <c r="V13" s="3">
        <v>18.106000000000002</v>
      </c>
      <c r="W13" s="3">
        <v>-74.328000000000003</v>
      </c>
      <c r="X13" s="3">
        <v>-2.8420000000000001</v>
      </c>
      <c r="Y13" s="3">
        <v>164.11799999999999</v>
      </c>
      <c r="Z13" s="3">
        <v>171.56800000000001</v>
      </c>
      <c r="AA13" s="3">
        <v>134.80000000000001</v>
      </c>
      <c r="AB13" s="3"/>
      <c r="AC13" s="3"/>
    </row>
    <row r="14" spans="1:29" x14ac:dyDescent="0.2">
      <c r="B14" s="2" t="s">
        <v>29</v>
      </c>
      <c r="C14" s="3">
        <f t="shared" ref="C14" si="20">C12+C13</f>
        <v>487.25499999999948</v>
      </c>
      <c r="D14" s="3">
        <f t="shared" ref="D14" si="21">D12+D13</f>
        <v>594.85399999999959</v>
      </c>
      <c r="E14" s="3">
        <f t="shared" ref="E14" si="22">E12+E13</f>
        <v>593.43000000000006</v>
      </c>
      <c r="F14" s="3">
        <f t="shared" ref="F14" si="23">F12+F13</f>
        <v>594.85399999999959</v>
      </c>
      <c r="G14" s="3">
        <f t="shared" ref="G14" si="24">G12+G13</f>
        <v>637.06299999999999</v>
      </c>
      <c r="H14" s="3">
        <f t="shared" ref="H14" si="25">H12+H13</f>
        <v>702.59200000000021</v>
      </c>
      <c r="I14" s="3">
        <f t="shared" ref="I14" si="26">I12+I13</f>
        <v>646.74300000000039</v>
      </c>
      <c r="J14" s="3">
        <f t="shared" ref="J14:P14" si="27">J12+J13</f>
        <v>770.75600000000304</v>
      </c>
      <c r="K14" s="3">
        <f t="shared" si="27"/>
        <v>640.87899999999956</v>
      </c>
      <c r="L14" s="3">
        <f t="shared" si="27"/>
        <v>670.62000000000012</v>
      </c>
      <c r="M14" s="3">
        <f t="shared" si="27"/>
        <v>682.39800000000002</v>
      </c>
      <c r="N14" s="3">
        <f t="shared" si="27"/>
        <v>848.25999999999976</v>
      </c>
      <c r="O14" s="3">
        <f t="shared" si="27"/>
        <v>837.47499999999968</v>
      </c>
      <c r="P14" s="3">
        <f t="shared" si="27"/>
        <v>1134.7620000000004</v>
      </c>
      <c r="Q14" s="3"/>
      <c r="R14" s="3"/>
      <c r="S14" s="3"/>
      <c r="T14" s="3">
        <f t="shared" ref="T14:X14" si="28">T12+T13</f>
        <v>2041.7199999999989</v>
      </c>
      <c r="U14" s="3">
        <f t="shared" si="28"/>
        <v>2050.8759999999988</v>
      </c>
      <c r="V14" s="3">
        <f t="shared" si="28"/>
        <v>2164.2880000000005</v>
      </c>
      <c r="W14" s="3">
        <f t="shared" si="28"/>
        <v>2258.5399999999995</v>
      </c>
      <c r="X14" s="3">
        <f t="shared" si="28"/>
        <v>1987.4890000000019</v>
      </c>
      <c r="Y14" s="3">
        <f>Y12+Y13</f>
        <v>2471.7809999999981</v>
      </c>
      <c r="Z14" s="3">
        <f>Z12+Z13</f>
        <v>2757.1540000000018</v>
      </c>
      <c r="AA14" s="3">
        <f>AA12+AA13</f>
        <v>2842.1570000000002</v>
      </c>
      <c r="AB14" s="3"/>
      <c r="AC14" s="3"/>
    </row>
    <row r="15" spans="1:29" x14ac:dyDescent="0.2">
      <c r="B15" s="2" t="s">
        <v>30</v>
      </c>
      <c r="C15" s="3">
        <v>115.06399999999999</v>
      </c>
      <c r="D15" s="3">
        <v>148.535</v>
      </c>
      <c r="E15" s="3">
        <v>146.10300000000001</v>
      </c>
      <c r="F15" s="3">
        <v>148.535</v>
      </c>
      <c r="G15" s="3">
        <v>149.07300000000001</v>
      </c>
      <c r="H15" s="3">
        <v>175.435</v>
      </c>
      <c r="I15" s="3">
        <v>157.935</v>
      </c>
      <c r="J15" s="3">
        <f>+Z15-SUM(G15:I15)</f>
        <v>183.98099999999994</v>
      </c>
      <c r="K15" s="3">
        <v>161.63</v>
      </c>
      <c r="L15" s="3">
        <v>162.625</v>
      </c>
      <c r="M15" s="3">
        <v>170.46299999999999</v>
      </c>
      <c r="N15" s="28">
        <f>+AA15-SUM(K15:M15)</f>
        <v>202.3950000000001</v>
      </c>
      <c r="O15" s="28">
        <v>187.511</v>
      </c>
      <c r="P15" s="28">
        <v>283.46300000000002</v>
      </c>
      <c r="Q15" s="28"/>
      <c r="R15" s="28"/>
      <c r="S15" s="3"/>
      <c r="T15" s="3">
        <v>677.96699999999998</v>
      </c>
      <c r="U15" s="3">
        <v>463.41899999999998</v>
      </c>
      <c r="V15" s="3">
        <v>503.36</v>
      </c>
      <c r="W15" s="3">
        <v>535.95100000000002</v>
      </c>
      <c r="X15" s="3">
        <v>475.44799999999998</v>
      </c>
      <c r="Y15" s="3">
        <v>597.26099999999997</v>
      </c>
      <c r="Z15" s="3">
        <v>666.42399999999998</v>
      </c>
      <c r="AA15" s="3">
        <v>697.11300000000006</v>
      </c>
      <c r="AB15" s="3"/>
      <c r="AC15" s="3"/>
    </row>
    <row r="16" spans="1:29" x14ac:dyDescent="0.2">
      <c r="B16" s="2" t="s">
        <v>31</v>
      </c>
      <c r="C16" s="3">
        <f t="shared" ref="C16" si="29">C14-C15</f>
        <v>372.19099999999946</v>
      </c>
      <c r="D16" s="3">
        <f t="shared" ref="D16" si="30">D14-D15</f>
        <v>446.31899999999962</v>
      </c>
      <c r="E16" s="3">
        <f t="shared" ref="E16" si="31">E14-E15</f>
        <v>447.32700000000006</v>
      </c>
      <c r="F16" s="3">
        <f t="shared" ref="F16" si="32">F14-F15</f>
        <v>446.31899999999962</v>
      </c>
      <c r="G16" s="3">
        <f t="shared" ref="G16" si="33">G14-G15</f>
        <v>487.99</v>
      </c>
      <c r="H16" s="3">
        <f t="shared" ref="H16" si="34">H14-H15</f>
        <v>527.15700000000015</v>
      </c>
      <c r="I16" s="3">
        <f t="shared" ref="I16" si="35">I14-I15</f>
        <v>488.80800000000039</v>
      </c>
      <c r="J16" s="3">
        <f t="shared" ref="J16:P16" si="36">J14-J15</f>
        <v>586.77500000000305</v>
      </c>
      <c r="K16" s="3">
        <f t="shared" si="36"/>
        <v>479.24899999999957</v>
      </c>
      <c r="L16" s="3">
        <f t="shared" si="36"/>
        <v>507.99500000000012</v>
      </c>
      <c r="M16" s="3">
        <f t="shared" si="36"/>
        <v>511.93500000000006</v>
      </c>
      <c r="N16" s="3">
        <f t="shared" si="36"/>
        <v>645.86499999999967</v>
      </c>
      <c r="O16" s="3">
        <f t="shared" si="36"/>
        <v>649.96399999999971</v>
      </c>
      <c r="P16" s="3">
        <f t="shared" si="36"/>
        <v>851.29900000000043</v>
      </c>
      <c r="Q16" s="3"/>
      <c r="R16" s="3"/>
      <c r="S16" s="23"/>
      <c r="T16" s="3">
        <f t="shared" ref="T16:X16" si="37">T14-T15</f>
        <v>1363.7529999999988</v>
      </c>
      <c r="U16" s="3">
        <f t="shared" si="37"/>
        <v>1587.456999999999</v>
      </c>
      <c r="V16" s="3">
        <f t="shared" si="37"/>
        <v>1660.9280000000003</v>
      </c>
      <c r="W16" s="3">
        <f t="shared" si="37"/>
        <v>1722.5889999999995</v>
      </c>
      <c r="X16" s="3">
        <f t="shared" si="37"/>
        <v>1512.041000000002</v>
      </c>
      <c r="Y16" s="3">
        <f>Y14-Y15</f>
        <v>1874.5199999999982</v>
      </c>
      <c r="Z16" s="3">
        <f>Z14-Z15</f>
        <v>2090.7300000000018</v>
      </c>
      <c r="AA16" s="3">
        <f>AA14-AA15</f>
        <v>2145.0439999999999</v>
      </c>
      <c r="AB16" s="3"/>
      <c r="AC16" s="3"/>
    </row>
    <row r="17" spans="2:27" x14ac:dyDescent="0.2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7" x14ac:dyDescent="0.2">
      <c r="B18" s="2" t="s">
        <v>32</v>
      </c>
      <c r="C18" s="24">
        <f t="shared" ref="C18:P18" si="38">C16/C19</f>
        <v>1.100997192714664</v>
      </c>
      <c r="D18" s="24">
        <f t="shared" si="38"/>
        <v>1.3274177574346198</v>
      </c>
      <c r="E18" s="24">
        <f t="shared" si="38"/>
        <v>1.3381725608917026</v>
      </c>
      <c r="F18" s="24">
        <f t="shared" si="38"/>
        <v>1.3274177574346198</v>
      </c>
      <c r="G18" s="24">
        <f t="shared" si="38"/>
        <v>1.4731417807268052</v>
      </c>
      <c r="H18" s="24">
        <f t="shared" si="38"/>
        <v>1.6003940593578476</v>
      </c>
      <c r="I18" s="24">
        <f t="shared" si="38"/>
        <v>1.4915870739373238</v>
      </c>
      <c r="J18" s="24">
        <f t="shared" si="38"/>
        <v>1.7857197201401218</v>
      </c>
      <c r="K18" s="24">
        <f t="shared" si="38"/>
        <v>1.4751706030282217</v>
      </c>
      <c r="L18" s="24">
        <f t="shared" si="38"/>
        <v>1.5727399380804956</v>
      </c>
      <c r="M18" s="24">
        <f t="shared" si="38"/>
        <v>1.5934727799047532</v>
      </c>
      <c r="N18" s="24">
        <f t="shared" si="38"/>
        <v>2.0045468653010543</v>
      </c>
      <c r="O18" s="24">
        <f t="shared" si="38"/>
        <v>2.0314104707820104</v>
      </c>
      <c r="P18" s="24">
        <f t="shared" si="38"/>
        <v>2.6796784256201871</v>
      </c>
      <c r="Q18" s="24"/>
      <c r="R18" s="24"/>
      <c r="S18" s="24"/>
      <c r="T18" s="24">
        <f t="shared" ref="T18:Z18" si="39">T16/T19</f>
        <v>3.5777702571528982</v>
      </c>
      <c r="U18" s="24">
        <f t="shared" si="39"/>
        <v>4.2958463790784558</v>
      </c>
      <c r="V18" s="24">
        <f t="shared" si="39"/>
        <v>4.6334841628959289</v>
      </c>
      <c r="W18" s="24">
        <f t="shared" si="39"/>
        <v>4.900735712497438</v>
      </c>
      <c r="X18" s="24">
        <f t="shared" si="39"/>
        <v>4.4024812783154621</v>
      </c>
      <c r="Y18" s="24">
        <f t="shared" si="39"/>
        <v>5.5924603281153447</v>
      </c>
      <c r="Z18" s="24">
        <f t="shared" si="39"/>
        <v>6.3626735809953399</v>
      </c>
      <c r="AA18" s="24">
        <f t="shared" ref="AA18" si="40">AA16/AA19</f>
        <v>6.657079014338029</v>
      </c>
    </row>
    <row r="19" spans="2:27" x14ac:dyDescent="0.2">
      <c r="B19" s="2" t="s">
        <v>2</v>
      </c>
      <c r="C19" s="3">
        <v>338.04899999999998</v>
      </c>
      <c r="D19" s="3">
        <v>336.23099999999999</v>
      </c>
      <c r="E19" s="3">
        <v>334.28199999999998</v>
      </c>
      <c r="F19" s="3">
        <v>336.23099999999999</v>
      </c>
      <c r="G19" s="3">
        <v>331.25799999999998</v>
      </c>
      <c r="H19" s="3">
        <v>329.392</v>
      </c>
      <c r="I19" s="3">
        <v>327.71</v>
      </c>
      <c r="J19" s="3">
        <f>+Z19</f>
        <v>328.59300000000002</v>
      </c>
      <c r="K19" s="3">
        <v>324.87700000000001</v>
      </c>
      <c r="L19" s="3">
        <v>323</v>
      </c>
      <c r="M19" s="3">
        <v>321.27</v>
      </c>
      <c r="N19" s="3">
        <v>322.2</v>
      </c>
      <c r="O19" s="3">
        <v>319.95699999999999</v>
      </c>
      <c r="P19" s="3">
        <v>317.68700000000001</v>
      </c>
      <c r="Q19" s="3"/>
      <c r="R19" s="3"/>
      <c r="S19" s="3"/>
      <c r="T19" s="3">
        <v>381.17399999999998</v>
      </c>
      <c r="U19" s="3">
        <v>369.53300000000002</v>
      </c>
      <c r="V19" s="3">
        <v>358.46199999999999</v>
      </c>
      <c r="W19" s="3">
        <v>351.49599999999998</v>
      </c>
      <c r="X19" s="3">
        <v>343.452</v>
      </c>
      <c r="Y19" s="3">
        <v>335.18700000000001</v>
      </c>
      <c r="Z19" s="3">
        <v>328.59300000000002</v>
      </c>
      <c r="AA19" s="3">
        <v>322.22000000000003</v>
      </c>
    </row>
    <row r="20" spans="2:27" x14ac:dyDescent="0.2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2:27" x14ac:dyDescent="0.2">
      <c r="B21" s="2" t="s">
        <v>58</v>
      </c>
      <c r="C21" s="3"/>
      <c r="D21" s="3"/>
      <c r="E21" s="3"/>
      <c r="F21" s="3"/>
      <c r="G21" s="25" t="e">
        <f t="shared" ref="G21:J21" si="41">+G5/C5-1</f>
        <v>#DIV/0!</v>
      </c>
      <c r="H21" s="25">
        <f t="shared" si="41"/>
        <v>4.2212518195051008E-2</v>
      </c>
      <c r="I21" s="25" t="e">
        <f t="shared" si="41"/>
        <v>#DIV/0!</v>
      </c>
      <c r="J21" s="25">
        <f t="shared" si="41"/>
        <v>3.6510194404931307E-2</v>
      </c>
      <c r="K21" s="25" t="e">
        <f>+K5/G5-1</f>
        <v>#DIV/0!</v>
      </c>
      <c r="L21" s="25">
        <f t="shared" ref="L21:P21" si="42">+L5/H5-1</f>
        <v>3.9571694599627616E-2</v>
      </c>
      <c r="M21" s="25">
        <f t="shared" si="42"/>
        <v>3.6952554744525523E-2</v>
      </c>
      <c r="N21" s="25">
        <f t="shared" si="42"/>
        <v>3.7053979871912279E-2</v>
      </c>
      <c r="O21" s="25">
        <f t="shared" si="42"/>
        <v>3.4920634920635019E-2</v>
      </c>
      <c r="P21" s="25">
        <f t="shared" si="42"/>
        <v>4.2543663233318485E-2</v>
      </c>
      <c r="Q21" s="25"/>
      <c r="R21" s="25"/>
      <c r="S21" s="3"/>
      <c r="T21" s="3"/>
      <c r="U21" s="3"/>
      <c r="V21" s="3"/>
      <c r="W21" s="3"/>
      <c r="X21" s="3"/>
      <c r="Y21" s="25">
        <f>+Y5/X5-1</f>
        <v>4.6650124069478993E-2</v>
      </c>
      <c r="Z21" s="25">
        <f>+Z5/Y5-1</f>
        <v>3.6510194404931307E-2</v>
      </c>
      <c r="AA21" s="25">
        <f>+AA5/Z5-1</f>
        <v>3.7053979871912279E-2</v>
      </c>
    </row>
    <row r="22" spans="2:27" x14ac:dyDescent="0.2">
      <c r="B22" s="1" t="s">
        <v>33</v>
      </c>
      <c r="C22" s="23"/>
      <c r="D22" s="23"/>
      <c r="E22" s="23"/>
      <c r="F22" s="23"/>
      <c r="G22" s="26">
        <f>G8/C8-1</f>
        <v>8.084680442638259E-2</v>
      </c>
      <c r="H22" s="26">
        <f t="shared" ref="H22:P22" si="43">H8/D8-1</f>
        <v>7.1453047221780475E-2</v>
      </c>
      <c r="I22" s="26">
        <f t="shared" si="43"/>
        <v>2.9748120196172456E-2</v>
      </c>
      <c r="J22" s="26">
        <f t="shared" si="43"/>
        <v>0.19805325533115692</v>
      </c>
      <c r="K22" s="26">
        <f t="shared" si="43"/>
        <v>2.6122323961361493E-2</v>
      </c>
      <c r="L22" s="26">
        <f t="shared" si="43"/>
        <v>4.5698748316554516E-2</v>
      </c>
      <c r="M22" s="26">
        <f t="shared" si="43"/>
        <v>0.1044281270840095</v>
      </c>
      <c r="N22" s="26">
        <f t="shared" si="43"/>
        <v>0.12232355746405044</v>
      </c>
      <c r="O22" s="26">
        <f t="shared" si="43"/>
        <v>0.205719351225915</v>
      </c>
      <c r="P22" s="26">
        <f t="shared" si="43"/>
        <v>0.13306452779739097</v>
      </c>
      <c r="Q22" s="26"/>
      <c r="R22" s="26"/>
      <c r="S22" s="3"/>
      <c r="T22" s="23"/>
      <c r="U22" s="26">
        <f t="shared" ref="U22:X22" si="44">U8/T8-1</f>
        <v>6.0051297753646704E-2</v>
      </c>
      <c r="V22" s="26">
        <f t="shared" si="44"/>
        <v>7.0446098155302561E-2</v>
      </c>
      <c r="W22" s="26">
        <f t="shared" si="44"/>
        <v>0.17938511783068756</v>
      </c>
      <c r="X22" s="26">
        <f t="shared" si="44"/>
        <v>-1.1652154624353428E-2</v>
      </c>
      <c r="Y22" s="26">
        <f>Y8/X8-1</f>
        <v>8.9919093718711096E-2</v>
      </c>
      <c r="Z22" s="26">
        <f>Z8/Y8-1</f>
        <v>3.691810267301654E-2</v>
      </c>
      <c r="AA22" s="26">
        <f>AA8/Z8-1</f>
        <v>7.6734497380144484E-2</v>
      </c>
    </row>
    <row r="23" spans="2:27" x14ac:dyDescent="0.2">
      <c r="B23" s="2" t="s">
        <v>34</v>
      </c>
      <c r="C23" s="25">
        <f t="shared" ref="C23:J23" si="45">C10/C8</f>
        <v>0.26744471137694592</v>
      </c>
      <c r="D23" s="25">
        <f t="shared" si="45"/>
        <v>0.27671008864405688</v>
      </c>
      <c r="E23" s="25">
        <f t="shared" si="45"/>
        <v>0.27626857188920922</v>
      </c>
      <c r="F23" s="25">
        <f t="shared" si="45"/>
        <v>0.27671008864405688</v>
      </c>
      <c r="G23" s="25">
        <f t="shared" si="45"/>
        <v>0.2814689463936994</v>
      </c>
      <c r="H23" s="25">
        <f t="shared" si="45"/>
        <v>0.28285288431114858</v>
      </c>
      <c r="I23" s="25">
        <f t="shared" si="45"/>
        <v>0.283370279416503</v>
      </c>
      <c r="J23" s="25">
        <f t="shared" si="45"/>
        <v>0.26532188349027547</v>
      </c>
      <c r="K23" s="25">
        <f t="shared" ref="K23:L23" si="46">K10/K8</f>
        <v>0.28156733509583098</v>
      </c>
      <c r="L23" s="25">
        <f t="shared" si="46"/>
        <v>0.27616983580845672</v>
      </c>
      <c r="M23" s="25">
        <f t="shared" ref="M23:N23" si="47">M10/M8</f>
        <v>0.28004197862289693</v>
      </c>
      <c r="N23" s="25">
        <f t="shared" si="47"/>
        <v>0.27190350674931307</v>
      </c>
      <c r="O23" s="25">
        <f t="shared" ref="O23:P23" si="48">O10/O8</f>
        <v>0.2961307889757816</v>
      </c>
      <c r="P23" s="25">
        <f t="shared" si="48"/>
        <v>0.33834151172104332</v>
      </c>
      <c r="Q23" s="25"/>
      <c r="R23" s="25"/>
      <c r="S23" s="3"/>
      <c r="T23" s="25">
        <f t="shared" ref="T23:X23" si="49">T10/T8</f>
        <v>0.28950630263099431</v>
      </c>
      <c r="U23" s="25">
        <f t="shared" si="49"/>
        <v>0.28412936568198394</v>
      </c>
      <c r="V23" s="25">
        <f t="shared" si="49"/>
        <v>0.28074477870385656</v>
      </c>
      <c r="W23" s="25">
        <f t="shared" si="49"/>
        <v>0.27528387770849222</v>
      </c>
      <c r="X23" s="25">
        <f t="shared" si="49"/>
        <v>0.25404591580293134</v>
      </c>
      <c r="Y23" s="25">
        <f>Y10/Y8</f>
        <v>0.27361025386489557</v>
      </c>
      <c r="Z23" s="25">
        <f>Z10/Z8</f>
        <v>0.27775342761130933</v>
      </c>
      <c r="AA23" s="25">
        <f>AA10/AA8</f>
        <v>0.2770614559404892</v>
      </c>
    </row>
    <row r="24" spans="2:27" x14ac:dyDescent="0.2">
      <c r="B24" s="2" t="s">
        <v>35</v>
      </c>
      <c r="C24" s="25">
        <f t="shared" ref="C24:J24" si="50">C12/C8</f>
        <v>0.1014215453537799</v>
      </c>
      <c r="D24" s="25">
        <f t="shared" si="50"/>
        <v>0.11299913574830713</v>
      </c>
      <c r="E24" s="25">
        <f t="shared" si="50"/>
        <v>0.11170108971868987</v>
      </c>
      <c r="F24" s="25">
        <f t="shared" si="50"/>
        <v>0.11299913574830713</v>
      </c>
      <c r="G24" s="25">
        <f t="shared" si="50"/>
        <v>0.1216765845345484</v>
      </c>
      <c r="H24" s="25">
        <f t="shared" si="50"/>
        <v>0.124677187921216</v>
      </c>
      <c r="I24" s="25">
        <f t="shared" si="50"/>
        <v>0.11914293500315701</v>
      </c>
      <c r="J24" s="25">
        <f t="shared" si="50"/>
        <v>0.12364504449130408</v>
      </c>
      <c r="K24" s="25">
        <f t="shared" ref="K24:L24" si="51">K12/K8</f>
        <v>0.12165968468021171</v>
      </c>
      <c r="L24" s="25">
        <f t="shared" si="51"/>
        <v>0.11543795504265394</v>
      </c>
      <c r="M24" s="25">
        <f t="shared" ref="M24:N24" si="52">M12/M8</f>
        <v>0.11578365511826039</v>
      </c>
      <c r="N24" s="25">
        <f t="shared" si="52"/>
        <v>0.12269101452944689</v>
      </c>
      <c r="O24" s="25">
        <f t="shared" ref="O24:P24" si="53">O12/O8</f>
        <v>0.13377076956966466</v>
      </c>
      <c r="P24" s="25">
        <f t="shared" si="53"/>
        <v>0.17615931079990926</v>
      </c>
      <c r="Q24" s="25"/>
      <c r="R24" s="25"/>
      <c r="S24" s="3"/>
      <c r="T24" s="25">
        <f t="shared" ref="T24:X24" si="54">T12/T8</f>
        <v>0.14499008541513195</v>
      </c>
      <c r="U24" s="25">
        <f t="shared" si="54"/>
        <v>0.13619704447700307</v>
      </c>
      <c r="V24" s="25">
        <f t="shared" si="54"/>
        <v>0.13380960358494534</v>
      </c>
      <c r="W24" s="25">
        <f t="shared" si="54"/>
        <v>0.12332617405442643</v>
      </c>
      <c r="X24" s="25">
        <f t="shared" si="54"/>
        <v>0.10645855821638087</v>
      </c>
      <c r="Y24" s="25">
        <f>Y12/Y8</f>
        <v>0.11324874523609792</v>
      </c>
      <c r="Z24" s="25">
        <f>Z12/Z8</f>
        <v>0.12237016427346423</v>
      </c>
      <c r="AA24" s="25">
        <f>AA12/AA8</f>
        <v>0.1190017792529845</v>
      </c>
    </row>
    <row r="25" spans="2:27" x14ac:dyDescent="0.2">
      <c r="B25" s="2" t="s">
        <v>36</v>
      </c>
      <c r="C25" s="25">
        <f t="shared" ref="C25:J25" si="55">C16/C8</f>
        <v>8.2806896855531067E-2</v>
      </c>
      <c r="D25" s="25">
        <f t="shared" si="55"/>
        <v>9.0441254694872478E-2</v>
      </c>
      <c r="E25" s="25">
        <f t="shared" si="55"/>
        <v>9.0830602115922754E-2</v>
      </c>
      <c r="F25" s="25">
        <f t="shared" si="55"/>
        <v>9.0441254694872478E-2</v>
      </c>
      <c r="G25" s="25">
        <f t="shared" si="55"/>
        <v>0.10044941743290078</v>
      </c>
      <c r="H25" s="25">
        <f t="shared" si="55"/>
        <v>9.9698365150082693E-2</v>
      </c>
      <c r="I25" s="25">
        <f t="shared" si="55"/>
        <v>9.6386093339175374E-2</v>
      </c>
      <c r="J25" s="25">
        <f t="shared" si="55"/>
        <v>9.924683865561873E-2</v>
      </c>
      <c r="K25" s="25">
        <f t="shared" ref="K25:L25" si="56">K16/K8</f>
        <v>9.6138773926668697E-2</v>
      </c>
      <c r="L25" s="25">
        <f t="shared" si="56"/>
        <v>9.1875752375771211E-2</v>
      </c>
      <c r="M25" s="25">
        <f t="shared" ref="M25:N25" si="57">M16/M8</f>
        <v>9.1401523956845879E-2</v>
      </c>
      <c r="N25" s="25">
        <f t="shared" si="57"/>
        <v>9.7334936832095223E-2</v>
      </c>
      <c r="O25" s="25">
        <f t="shared" ref="O25:P25" si="58">O16/O8</f>
        <v>0.1081385234713523</v>
      </c>
      <c r="P25" s="25">
        <f t="shared" si="58"/>
        <v>0.13588419645624841</v>
      </c>
      <c r="Q25" s="25"/>
      <c r="R25" s="25"/>
      <c r="S25" s="3"/>
      <c r="T25" s="25">
        <f t="shared" ref="T25:X25" si="59">T16/T8</f>
        <v>9.6482409429481844E-2</v>
      </c>
      <c r="U25" s="25">
        <f t="shared" si="59"/>
        <v>0.10594671846928568</v>
      </c>
      <c r="V25" s="25">
        <f t="shared" si="59"/>
        <v>0.1035551119444372</v>
      </c>
      <c r="W25" s="25">
        <f t="shared" si="59"/>
        <v>9.1064008267180294E-2</v>
      </c>
      <c r="X25" s="25">
        <f t="shared" si="59"/>
        <v>8.0875846692864059E-2</v>
      </c>
      <c r="Y25" s="25">
        <f>Y16/Y8</f>
        <v>9.199221806648987E-2</v>
      </c>
      <c r="Z25" s="25">
        <f>Z16/Z8</f>
        <v>9.894970561855608E-2</v>
      </c>
      <c r="AA25" s="25">
        <f>AA16/AA8</f>
        <v>9.4285331626356952E-2</v>
      </c>
    </row>
    <row r="26" spans="2:27" x14ac:dyDescent="0.2">
      <c r="B26" s="2" t="s">
        <v>37</v>
      </c>
      <c r="C26" s="25">
        <f t="shared" ref="C26:J26" si="60">C15/C14</f>
        <v>0.23614739715344146</v>
      </c>
      <c r="D26" s="25">
        <f t="shared" si="60"/>
        <v>0.24969992636848723</v>
      </c>
      <c r="E26" s="25">
        <f t="shared" si="60"/>
        <v>0.24620089985339466</v>
      </c>
      <c r="F26" s="25">
        <f t="shared" si="60"/>
        <v>0.24969992636848723</v>
      </c>
      <c r="G26" s="25">
        <f t="shared" si="60"/>
        <v>0.23400040498349459</v>
      </c>
      <c r="H26" s="25">
        <f t="shared" si="60"/>
        <v>0.24969683685552918</v>
      </c>
      <c r="I26" s="25">
        <f t="shared" si="60"/>
        <v>0.24420055570759933</v>
      </c>
      <c r="J26" s="25">
        <f t="shared" si="60"/>
        <v>0.23870200167108555</v>
      </c>
      <c r="K26" s="25">
        <f t="shared" ref="K26:L26" si="61">K15/K14</f>
        <v>0.25220049338486689</v>
      </c>
      <c r="L26" s="25">
        <f t="shared" si="61"/>
        <v>0.24249947809489722</v>
      </c>
      <c r="M26" s="25">
        <f t="shared" ref="M26:N26" si="62">M15/M14</f>
        <v>0.24979997010542232</v>
      </c>
      <c r="N26" s="25">
        <f t="shared" si="62"/>
        <v>0.23860019333694876</v>
      </c>
      <c r="O26" s="25">
        <f t="shared" ref="O26:P26" si="63">O15/O14</f>
        <v>0.22390041493775942</v>
      </c>
      <c r="P26" s="25">
        <f t="shared" si="63"/>
        <v>0.24979951743184908</v>
      </c>
      <c r="Q26" s="25"/>
      <c r="R26" s="25"/>
      <c r="S26" s="3"/>
      <c r="T26" s="25">
        <f t="shared" ref="T26:X26" si="64">T15/T14</f>
        <v>0.33205679525106302</v>
      </c>
      <c r="U26" s="25">
        <f t="shared" si="64"/>
        <v>0.22596149157725784</v>
      </c>
      <c r="V26" s="25">
        <f t="shared" si="64"/>
        <v>0.2325753319336428</v>
      </c>
      <c r="W26" s="25">
        <f t="shared" si="64"/>
        <v>0.23729976002196115</v>
      </c>
      <c r="X26" s="25">
        <f t="shared" si="64"/>
        <v>0.23922044348421528</v>
      </c>
      <c r="Y26" s="25">
        <f>Y15/Y14</f>
        <v>0.24163184359779463</v>
      </c>
      <c r="Z26" s="25">
        <f>Z15/Z14</f>
        <v>0.24170720968070683</v>
      </c>
      <c r="AA26" s="25">
        <f>AA15/AA14</f>
        <v>0.24527603506773202</v>
      </c>
    </row>
    <row r="27" spans="2:27" x14ac:dyDescent="0.2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2:27" x14ac:dyDescent="0.2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2:27" x14ac:dyDescent="0.2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2:27" x14ac:dyDescent="0.2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2:27" x14ac:dyDescent="0.2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2:27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3:25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3:25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3:25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3:25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3:25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3:25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3:25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3:25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3:25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3:25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3:25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3:25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3:25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3:25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3:25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3:25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3:25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3:25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3:25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3:25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3:25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3:25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3:25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3:25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3:25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3:25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3:25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3:25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3:25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3:25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3:25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3:25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3:25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3:25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3:25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3:25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3:25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3:25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3:25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3:25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3:25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3:25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3:25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3:25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3:25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3:25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3:25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3:25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3:25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3:25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3:25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3:25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3:2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3:2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3:2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3:2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3:2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3:2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3:2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3:2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3:2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3:2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3:2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3:2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3:2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3:2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3:2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3:2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3:2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3:2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3:2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3:2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3:2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3:2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3:2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3:2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3:2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3:2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3:2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3:2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3:2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3:2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3:2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3:2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3:2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3:2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3:2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3:2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3:2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3:2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3:2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3:2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3:2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3:2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3:2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3:2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3:2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3:2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3:2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3:2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3:2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3:2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3:2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3:2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3:2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3:2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3:2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3:2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3:2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3:2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3:2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3:2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3:2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3:2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3:2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3:2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3:2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3:2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3:2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3:2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3:2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3:2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3:2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3:2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3:2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3:2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3:2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3:2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3:2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3:2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3:2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3:2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3:2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3:2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3:2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3:2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3:2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3:2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3:2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3:2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3:2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3:2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3:2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3:2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3:2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3:2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3:2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3:2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3:2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3:2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3:2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3:2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3:2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3:2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3:2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3:2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3:2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3:2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3:2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3:2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3:2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3:2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3:2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3:2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3:2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3:2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3:2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3:2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3:2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3:2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3:2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3:2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3:2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3:2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3:2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3:2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3:2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3:2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3:2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3:2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3:2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3:2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3:2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3:2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3:2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3:2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3:2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3:2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3:2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3:2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3:2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3:2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3:2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3:2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3:2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3:2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3:2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3:2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3:2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3:2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3:2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3:2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3:2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3:2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3:2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3:2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3:2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3:2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3:2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3:2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3:2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3:2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3:2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3:2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3:2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3:2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3:2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3:2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3:2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3:2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3:2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3:2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3:2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3:2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3:2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3:2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3:2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3:2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3:2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3:2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3:2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3:2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3:2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3:2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3:2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3:2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3:2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3:2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3:2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3:2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3:2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3:25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3:25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3:25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3:25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3:25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3:25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3:25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3:25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3:25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3:25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3:25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3:25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3:25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3:25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3:25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3:25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3:25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3:25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3:25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3:25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3:25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3:25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3:25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3:25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3:25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3:25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3:25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3:25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3:25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3:25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3:25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3:25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3:25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3:25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3:25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3:25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3:25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3:25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3:25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3:25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3:25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3:25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3:25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3:25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3:25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3:25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3:25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3:25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3:25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3:25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3:25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3:25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3:2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3:2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3:2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3:2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3:2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3:2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3:2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3:2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3:2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3:2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3:2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3:2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3:2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3:2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3:2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3:2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3:2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3:2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3:25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3:25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3:25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3:25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3:25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3:25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3:25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3:25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3:25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3:25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3:25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3:25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3:25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3:25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3:25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3:25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3:25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3:25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3:25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3:25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3:25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3:25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3:25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3:25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3:25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3:25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3:25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3:25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3:25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3:25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3:25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3:25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3:25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3:25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3:25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3:25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3:25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3:25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3:25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3:25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3:25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3:25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3:25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3:25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3:25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3:25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3:25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3:25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3:25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3:25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3:25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3:25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3:25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3:25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3:25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3:25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3:25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3:25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3:25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3:25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3:25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3:25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3:25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3:25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3:25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3:25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3:25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3:25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3:25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3:25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3:25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3:25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3:25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3:25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3:25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3:25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3:25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3:25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3:25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3:25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3:25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3:25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3:25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3:25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3:25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3:25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3:25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3:25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3:25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3:25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3:25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3:25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3:25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3:25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3:25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3:25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3:25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3:25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3:25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3:25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3:25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3:25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3:25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3:25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3:25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3:25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3:25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3:25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3:25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3:25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3:25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3:25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3:25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3:25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3:25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3:25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3:25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3:25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3:25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3:25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3:25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3:25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3:25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3:25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3:25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3:25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3:25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3:25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3:25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3:25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3:25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3:25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3:25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3:25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3:25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3:25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3:25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3:25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</sheetData>
  <hyperlinks>
    <hyperlink ref="A1" location="Main!A1" display="Main" xr:uid="{E25E3635-CC94-48AA-A2EE-94DB439CA7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2024-06-25T14:43:37Z</dcterms:created>
  <dcterms:modified xsi:type="dcterms:W3CDTF">2026-08-21T09:06:45Z</dcterms:modified>
</cp:coreProperties>
</file>