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C193735-F1AC-446C-9685-4EEF248AD76A}" xr6:coauthVersionLast="47" xr6:coauthVersionMax="47" xr10:uidLastSave="{00000000-0000-0000-0000-000000000000}"/>
  <bookViews>
    <workbookView xWindow="19095" yWindow="0" windowWidth="19410" windowHeight="20925" activeTab="1" xr2:uid="{ED1C07FE-A50A-4536-AFF7-C55D5EA009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2" l="1"/>
  <c r="N22" i="2"/>
  <c r="N20" i="2"/>
  <c r="N19" i="2"/>
  <c r="N18" i="2"/>
  <c r="N16" i="2"/>
  <c r="N15" i="2"/>
  <c r="N14" i="2"/>
  <c r="N13" i="2"/>
  <c r="N12" i="2"/>
  <c r="N10" i="2"/>
  <c r="N9" i="2"/>
  <c r="N8" i="2"/>
  <c r="N7" i="2"/>
  <c r="N4" i="2"/>
  <c r="V35" i="2"/>
  <c r="V34" i="2"/>
  <c r="V33" i="2"/>
  <c r="V32" i="2"/>
  <c r="V31" i="2"/>
  <c r="V27" i="2"/>
  <c r="V25" i="2"/>
  <c r="V23" i="2"/>
  <c r="V21" i="2"/>
  <c r="V17" i="2"/>
  <c r="V11" i="2"/>
  <c r="H6" i="1"/>
  <c r="H5" i="1"/>
  <c r="V5" i="2"/>
  <c r="U35" i="2"/>
  <c r="T35" i="2"/>
  <c r="S35" i="2"/>
  <c r="R35" i="2"/>
  <c r="Q35" i="2"/>
  <c r="P35" i="2"/>
  <c r="U34" i="2"/>
  <c r="T34" i="2"/>
  <c r="S34" i="2"/>
  <c r="R34" i="2"/>
  <c r="Q34" i="2"/>
  <c r="P34" i="2"/>
  <c r="U33" i="2"/>
  <c r="T33" i="2"/>
  <c r="S33" i="2"/>
  <c r="R33" i="2"/>
  <c r="Q33" i="2"/>
  <c r="P33" i="2"/>
  <c r="T31" i="2"/>
  <c r="S31" i="2"/>
  <c r="U31" i="2"/>
  <c r="U32" i="2"/>
  <c r="T32" i="2"/>
  <c r="S32" i="2"/>
  <c r="L35" i="2"/>
  <c r="K35" i="2"/>
  <c r="J35" i="2"/>
  <c r="I35" i="2"/>
  <c r="L34" i="2"/>
  <c r="K34" i="2"/>
  <c r="J34" i="2"/>
  <c r="I34" i="2"/>
  <c r="N33" i="2"/>
  <c r="L33" i="2"/>
  <c r="K33" i="2"/>
  <c r="J33" i="2"/>
  <c r="I33" i="2"/>
  <c r="N32" i="2"/>
  <c r="M32" i="2"/>
  <c r="L32" i="2"/>
  <c r="K32" i="2"/>
  <c r="J32" i="2"/>
  <c r="I32" i="2"/>
  <c r="N31" i="2"/>
  <c r="M31" i="2"/>
  <c r="L31" i="2"/>
  <c r="K31" i="2"/>
  <c r="J31" i="2"/>
  <c r="I31" i="2"/>
  <c r="I7" i="2"/>
  <c r="J7" i="2" s="1"/>
  <c r="F28" i="2"/>
  <c r="F24" i="2"/>
  <c r="F22" i="2"/>
  <c r="F20" i="2"/>
  <c r="F19" i="2"/>
  <c r="F18" i="2"/>
  <c r="F16" i="2"/>
  <c r="F15" i="2"/>
  <c r="F14" i="2"/>
  <c r="F13" i="2"/>
  <c r="F12" i="2"/>
  <c r="F10" i="2"/>
  <c r="F9" i="2"/>
  <c r="F7" i="2"/>
  <c r="F4" i="2"/>
  <c r="J4" i="2"/>
  <c r="J5" i="2" s="1"/>
  <c r="J28" i="2"/>
  <c r="J24" i="2"/>
  <c r="J22" i="2"/>
  <c r="J20" i="2"/>
  <c r="J19" i="2"/>
  <c r="J18" i="2"/>
  <c r="J16" i="2"/>
  <c r="J15" i="2"/>
  <c r="J14" i="2"/>
  <c r="J13" i="2"/>
  <c r="J12" i="2"/>
  <c r="J10" i="2"/>
  <c r="J9" i="2"/>
  <c r="J8" i="2"/>
  <c r="N5" i="2"/>
  <c r="M5" i="2"/>
  <c r="L5" i="2"/>
  <c r="K5" i="2"/>
  <c r="I5" i="2"/>
  <c r="H5" i="2"/>
  <c r="G5" i="2"/>
  <c r="F5" i="2"/>
  <c r="E5" i="2"/>
  <c r="D5" i="2"/>
  <c r="C5" i="2"/>
  <c r="U11" i="2"/>
  <c r="U17" i="2" s="1"/>
  <c r="U21" i="2" s="1"/>
  <c r="U23" i="2" s="1"/>
  <c r="U25" i="2" s="1"/>
  <c r="U27" i="2" s="1"/>
  <c r="T11" i="2"/>
  <c r="T17" i="2" s="1"/>
  <c r="T21" i="2" s="1"/>
  <c r="T23" i="2" s="1"/>
  <c r="T25" i="2" s="1"/>
  <c r="T27" i="2" s="1"/>
  <c r="S11" i="2"/>
  <c r="S17" i="2" s="1"/>
  <c r="S21" i="2" s="1"/>
  <c r="S23" i="2" s="1"/>
  <c r="S25" i="2" s="1"/>
  <c r="S27" i="2" s="1"/>
  <c r="R11" i="2"/>
  <c r="R17" i="2" s="1"/>
  <c r="R21" i="2" s="1"/>
  <c r="R23" i="2" s="1"/>
  <c r="R25" i="2" s="1"/>
  <c r="R27" i="2" s="1"/>
  <c r="Q11" i="2"/>
  <c r="Q17" i="2" s="1"/>
  <c r="Q21" i="2" s="1"/>
  <c r="Q23" i="2" s="1"/>
  <c r="Q25" i="2" s="1"/>
  <c r="Q27" i="2" s="1"/>
  <c r="P11" i="2"/>
  <c r="P17" i="2" s="1"/>
  <c r="P21" i="2" s="1"/>
  <c r="T5" i="2"/>
  <c r="S5" i="2"/>
  <c r="R5" i="2"/>
  <c r="Q5" i="2"/>
  <c r="P5" i="2"/>
  <c r="U5" i="2"/>
  <c r="N11" i="2"/>
  <c r="M11" i="2"/>
  <c r="M17" i="2" s="1"/>
  <c r="M21" i="2" s="1"/>
  <c r="M23" i="2" s="1"/>
  <c r="M25" i="2" s="1"/>
  <c r="M27" i="2" s="1"/>
  <c r="L11" i="2"/>
  <c r="L17" i="2" s="1"/>
  <c r="L21" i="2" s="1"/>
  <c r="L23" i="2" s="1"/>
  <c r="L25" i="2" s="1"/>
  <c r="L27" i="2" s="1"/>
  <c r="K11" i="2"/>
  <c r="K17" i="2" s="1"/>
  <c r="K21" i="2" s="1"/>
  <c r="K23" i="2" s="1"/>
  <c r="K25" i="2" s="1"/>
  <c r="K27" i="2" s="1"/>
  <c r="H31" i="2"/>
  <c r="H32" i="2"/>
  <c r="N17" i="2" l="1"/>
  <c r="N21" i="2" s="1"/>
  <c r="N23" i="2" s="1"/>
  <c r="N25" i="2" s="1"/>
  <c r="N27" i="2" s="1"/>
  <c r="N35" i="2"/>
  <c r="N34" i="2"/>
  <c r="M33" i="2"/>
  <c r="M34" i="2"/>
  <c r="M35" i="2"/>
  <c r="J11" i="2"/>
  <c r="I11" i="2"/>
  <c r="G11" i="2"/>
  <c r="F11" i="2"/>
  <c r="E11" i="2"/>
  <c r="D11" i="2"/>
  <c r="C11" i="2"/>
  <c r="H11" i="2"/>
  <c r="H4" i="1"/>
  <c r="H7" i="1" s="1"/>
  <c r="H17" i="2" l="1"/>
  <c r="H33" i="2"/>
  <c r="C17" i="2"/>
  <c r="C33" i="2"/>
  <c r="D17" i="2"/>
  <c r="D33" i="2"/>
  <c r="F17" i="2"/>
  <c r="F33" i="2"/>
  <c r="G17" i="2"/>
  <c r="G21" i="2" s="1"/>
  <c r="G33" i="2"/>
  <c r="J17" i="2"/>
  <c r="E17" i="2"/>
  <c r="E33" i="2"/>
  <c r="I17" i="2"/>
  <c r="H21" i="2" l="1"/>
  <c r="H34" i="2"/>
  <c r="G34" i="2"/>
  <c r="F21" i="2"/>
  <c r="F34" i="2"/>
  <c r="D21" i="2"/>
  <c r="D34" i="2"/>
  <c r="C21" i="2"/>
  <c r="C34" i="2"/>
  <c r="J21" i="2"/>
  <c r="E21" i="2"/>
  <c r="E34" i="2"/>
  <c r="I21" i="2"/>
  <c r="H23" i="2" l="1"/>
  <c r="H25" i="2" s="1"/>
  <c r="H27" i="2" s="1"/>
  <c r="H35" i="2"/>
  <c r="C23" i="2"/>
  <c r="C25" i="2" s="1"/>
  <c r="C27" i="2" s="1"/>
  <c r="C35" i="2"/>
  <c r="D23" i="2"/>
  <c r="D25" i="2" s="1"/>
  <c r="D27" i="2" s="1"/>
  <c r="D35" i="2"/>
  <c r="F23" i="2"/>
  <c r="F25" i="2" s="1"/>
  <c r="F27" i="2" s="1"/>
  <c r="F35" i="2"/>
  <c r="G23" i="2"/>
  <c r="G25" i="2" s="1"/>
  <c r="G27" i="2" s="1"/>
  <c r="G35" i="2"/>
  <c r="J23" i="2"/>
  <c r="J25" i="2" s="1"/>
  <c r="J27" i="2" s="1"/>
  <c r="E23" i="2"/>
  <c r="E25" i="2" s="1"/>
  <c r="E27" i="2" s="1"/>
  <c r="E35" i="2"/>
  <c r="I23" i="2"/>
  <c r="I25" i="2" s="1"/>
  <c r="I27" i="2" s="1"/>
</calcChain>
</file>

<file path=xl/sharedStrings.xml><?xml version="1.0" encoding="utf-8"?>
<sst xmlns="http://schemas.openxmlformats.org/spreadsheetml/2006/main" count="62" uniqueCount="58">
  <si>
    <t>Ebay</t>
  </si>
  <si>
    <t>numbers in mio USD</t>
  </si>
  <si>
    <t>EBAY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</si>
  <si>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</si>
  <si>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</si>
  <si>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</si>
  <si>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</si>
  <si>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</si>
  <si>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</si>
  <si>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</si>
  <si>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</si>
  <si>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</si>
  <si>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</si>
  <si>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Price</t>
  </si>
  <si>
    <t>Shares</t>
  </si>
  <si>
    <t>MC</t>
  </si>
  <si>
    <t>Cash</t>
  </si>
  <si>
    <t>Debt</t>
  </si>
  <si>
    <t>EV</t>
  </si>
  <si>
    <t>EPS</t>
  </si>
  <si>
    <t>COGS</t>
  </si>
  <si>
    <t>Gross Profit</t>
  </si>
  <si>
    <t>S&amp;M</t>
  </si>
  <si>
    <t>G&amp;A</t>
  </si>
  <si>
    <t>R&amp;D</t>
  </si>
  <si>
    <t>Operating Profit</t>
  </si>
  <si>
    <t>Interest Expense</t>
  </si>
  <si>
    <t>Other Income</t>
  </si>
  <si>
    <t>Pretax Income</t>
  </si>
  <si>
    <t>Tax Expense</t>
  </si>
  <si>
    <t>Net Income</t>
  </si>
  <si>
    <t>Discontinued Operations</t>
  </si>
  <si>
    <t>NI from continued Operations</t>
  </si>
  <si>
    <t>GMV</t>
  </si>
  <si>
    <t>Take Rate</t>
  </si>
  <si>
    <t>GMV Growth</t>
  </si>
  <si>
    <t>Revenue Growth</t>
  </si>
  <si>
    <t>Operating Margin</t>
  </si>
  <si>
    <t>Gross Margin</t>
  </si>
  <si>
    <t>Tax Rate</t>
  </si>
  <si>
    <t>Q125</t>
  </si>
  <si>
    <t>Q225</t>
  </si>
  <si>
    <t>Q325</t>
  </si>
  <si>
    <t>Q425</t>
  </si>
  <si>
    <t>Transaction losses</t>
  </si>
  <si>
    <t>Amortization</t>
  </si>
  <si>
    <t>Equity Investments</t>
  </si>
  <si>
    <t>Marketplace Revenue</t>
  </si>
  <si>
    <t>Advertising Revenue</t>
  </si>
  <si>
    <t>IR</t>
  </si>
  <si>
    <t>FY19</t>
  </si>
  <si>
    <t>FY20</t>
  </si>
  <si>
    <t>FY21</t>
  </si>
  <si>
    <t>FY22</t>
  </si>
  <si>
    <t>FY23</t>
  </si>
  <si>
    <t>FY24</t>
  </si>
  <si>
    <t>FY25</t>
  </si>
  <si>
    <t>Active Buyers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</si>
</sst>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0;\(#,##0.00\)"/>
    <numFmt numFmtId="166" formatCode="0.0%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9" fontId="3" fillId="0" borderId="0" xfId="1" applyFont="1"/>
    <xf numFmtId="164" fontId="6" fillId="0" borderId="0" xfId="0" applyNumberFormat="1" applyFont="1"/>
    <xf numFmtId="165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66" fontId="3" fillId="0" borderId="0" xfId="1" applyNumberFormat="1" applyFont="1"/>
    <xf numFmtId="164" fontId="2" fillId="0" borderId="0" xfId="0" applyNumberFormat="1" applyFont="1"/>
    <xf numFmtId="9" fontId="6" fillId="0" borderId="0" xfId="1" applyFont="1"/>
    <xf numFmtId="4" fontId="3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ebayinc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5467F-95EF-40E7-A419-034BE92A4AF9}">
  <dimension ref="A1:I7"/>
  <sheetViews>
    <sheetView zoomScale="200" zoomScaleNormal="200" workbookViewId="0">
      <selection activeCell="H12" sqref="H12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  <c r="G2" s="2" t="s">
        <v>13</v>
      </c>
      <c r="H2" s="14">
        <v>84.016999999999996</v>
      </c>
    </row>
    <row r="3" spans="1:9" x14ac:dyDescent="0.2">
      <c r="G3" s="2" t="s">
        <v>14</v>
      </c>
      <c r="H3" s="3">
        <v>448</v>
      </c>
      <c r="I3" s="15" t="s">
        <v>43</v>
      </c>
    </row>
    <row r="4" spans="1:9" x14ac:dyDescent="0.2">
      <c r="B4" s="2" t="s">
        <v>2</v>
      </c>
      <c r="G4" s="2" t="s">
        <v>15</v>
      </c>
      <c r="H4" s="3">
        <f>+H2*H3</f>
        <v>37639.615999999995</v>
      </c>
    </row>
    <row r="5" spans="1:9" x14ac:dyDescent="0.2">
      <c r="B5" s="5" t="s">
        <v>49</v>
      </c>
      <c r="G5" s="2" t="s">
        <v>16</v>
      </c>
      <c r="H5" s="3">
        <f>1867+1052</f>
        <v>2919</v>
      </c>
      <c r="I5" s="15" t="s">
        <v>43</v>
      </c>
    </row>
    <row r="6" spans="1:9" x14ac:dyDescent="0.2">
      <c r="G6" s="2" t="s">
        <v>17</v>
      </c>
      <c r="H6" s="3">
        <f>5996+750</f>
        <v>6746</v>
      </c>
      <c r="I6" s="15" t="s">
        <v>43</v>
      </c>
    </row>
    <row r="7" spans="1:9" x14ac:dyDescent="0.2">
      <c r="G7" s="2" t="s">
        <v>18</v>
      </c>
      <c r="H7" s="3">
        <f>+H4-H5+H6</f>
        <v>41466.615999999995</v>
      </c>
    </row>
  </sheetData>
  <hyperlinks>
    <hyperlink ref="B5" r:id="rId1" xr:uid="{69E69191-8FDE-4C54-BC79-F7D09B48F36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A4D81-598D-4355-8C6E-5A128DF97FC3}">
  <dimension ref="A1:BV500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9" sqref="N9"/>
    </sheetView>
  </sheetViews>
  <sheetFormatPr defaultRowHeight="12.75" x14ac:dyDescent="0.2"/>
  <cols>
    <col min="1" max="1" width="4.7109375" style="2" bestFit="1" customWidth="1"/>
    <col min="2" max="2" width="27.42578125" style="2" bestFit="1" customWidth="1"/>
    <col min="3" max="16384" width="9.140625" style="2"/>
  </cols>
  <sheetData>
    <row r="1" spans="1:74" x14ac:dyDescent="0.2">
      <c r="A1" s="5" t="s">
        <v>3</v>
      </c>
    </row>
    <row r="2" spans="1:74" x14ac:dyDescent="0.2"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40</v>
      </c>
      <c r="L2" s="4" t="s">
        <v>41</v>
      </c>
      <c r="M2" s="4" t="s">
        <v>42</v>
      </c>
      <c r="N2" s="4" t="s">
        <v>43</v>
      </c>
      <c r="P2" s="10" t="s">
        <v>50</v>
      </c>
      <c r="Q2" s="10" t="s">
        <v>51</v>
      </c>
      <c r="R2" s="10" t="s">
        <v>52</v>
      </c>
      <c r="S2" s="10" t="s">
        <v>53</v>
      </c>
      <c r="T2" s="10" t="s">
        <v>54</v>
      </c>
      <c r="U2" s="10" t="s">
        <v>55</v>
      </c>
      <c r="V2" s="10" t="s">
        <v>56</v>
      </c>
    </row>
    <row r="3" spans="1:74" x14ac:dyDescent="0.2">
      <c r="B3" s="9" t="s">
        <v>57</v>
      </c>
      <c r="C3" s="4">
        <v>133</v>
      </c>
      <c r="D3" s="4">
        <v>132</v>
      </c>
      <c r="E3" s="4">
        <v>132</v>
      </c>
      <c r="F3" s="4">
        <v>132</v>
      </c>
      <c r="G3" s="4">
        <v>132</v>
      </c>
      <c r="H3" s="4">
        <v>132</v>
      </c>
      <c r="I3" s="4">
        <v>133</v>
      </c>
      <c r="J3" s="4">
        <v>134</v>
      </c>
      <c r="K3" s="4">
        <v>134</v>
      </c>
      <c r="L3" s="4">
        <v>134</v>
      </c>
      <c r="M3" s="4">
        <v>135</v>
      </c>
      <c r="N3" s="4">
        <v>135</v>
      </c>
      <c r="P3" s="10"/>
      <c r="Q3" s="10"/>
      <c r="R3" s="10"/>
      <c r="S3" s="10">
        <v>134</v>
      </c>
      <c r="T3" s="10">
        <v>132</v>
      </c>
      <c r="U3" s="10">
        <v>134</v>
      </c>
      <c r="V3" s="10">
        <v>135</v>
      </c>
    </row>
    <row r="4" spans="1:74" x14ac:dyDescent="0.2">
      <c r="B4" s="2" t="s">
        <v>33</v>
      </c>
      <c r="C4" s="3">
        <v>18410</v>
      </c>
      <c r="D4" s="3">
        <v>18214</v>
      </c>
      <c r="E4" s="3">
        <v>17991</v>
      </c>
      <c r="F4" s="3">
        <f>+T4-SUM(C4:E4)</f>
        <v>18591</v>
      </c>
      <c r="G4" s="3">
        <v>18623</v>
      </c>
      <c r="H4" s="3">
        <v>18418</v>
      </c>
      <c r="I4" s="3">
        <v>18306</v>
      </c>
      <c r="J4" s="3">
        <f>+U4-SUM(G4:I4)</f>
        <v>19320</v>
      </c>
      <c r="K4" s="3">
        <v>18753</v>
      </c>
      <c r="L4" s="3">
        <v>19514</v>
      </c>
      <c r="M4" s="3">
        <v>20105</v>
      </c>
      <c r="N4" s="3">
        <f>+V4-SUM(K4:M4)</f>
        <v>18237</v>
      </c>
      <c r="O4" s="3"/>
      <c r="P4" s="3"/>
      <c r="Q4" s="3"/>
      <c r="R4" s="3"/>
      <c r="S4" s="12">
        <v>73250</v>
      </c>
      <c r="T4" s="3">
        <v>73206</v>
      </c>
      <c r="U4" s="3">
        <v>74667</v>
      </c>
      <c r="V4" s="3">
        <v>76609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</row>
    <row r="5" spans="1:74" x14ac:dyDescent="0.2">
      <c r="B5" s="2" t="s">
        <v>34</v>
      </c>
      <c r="C5" s="11">
        <f t="shared" ref="C5" si="0">+C9/C4</f>
        <v>0.13633894622487777</v>
      </c>
      <c r="D5" s="11">
        <f t="shared" ref="D5" si="1">+D9/D4</f>
        <v>0.13945316789282969</v>
      </c>
      <c r="E5" s="11">
        <f t="shared" ref="E5" si="2">+E9/E4</f>
        <v>0.13895836807292536</v>
      </c>
      <c r="F5" s="11">
        <f t="shared" ref="F5" si="3">+F9/F4</f>
        <v>0.13780861707277714</v>
      </c>
      <c r="G5" s="11">
        <f t="shared" ref="G5" si="4">+G9/G4</f>
        <v>0.13724963754497127</v>
      </c>
      <c r="H5" s="11">
        <f t="shared" ref="H5" si="5">+H9/H4</f>
        <v>0.13964599847974807</v>
      </c>
      <c r="I5" s="11">
        <f t="shared" ref="I5" si="6">+I9/I4</f>
        <v>0.14071888998142684</v>
      </c>
      <c r="J5" s="11">
        <f t="shared" ref="J5" si="7">+J9/J4</f>
        <v>0.13348861283643892</v>
      </c>
      <c r="K5" s="11">
        <f t="shared" ref="K5" si="8">+K9/K4</f>
        <v>0.13784461152882205</v>
      </c>
      <c r="L5" s="11">
        <f t="shared" ref="L5" si="9">+L9/L4</f>
        <v>0.13989955929076561</v>
      </c>
      <c r="M5" s="11">
        <f t="shared" ref="M5" si="10">+M9/M4</f>
        <v>0.14026361601591644</v>
      </c>
      <c r="N5" s="11">
        <f t="shared" ref="N5" si="11">+N9/N4</f>
        <v>0.16258156495037562</v>
      </c>
      <c r="O5" s="3"/>
      <c r="P5" s="11" t="e">
        <f t="shared" ref="P5:T5" si="12">+P9/P4</f>
        <v>#DIV/0!</v>
      </c>
      <c r="Q5" s="11" t="e">
        <f t="shared" si="12"/>
        <v>#DIV/0!</v>
      </c>
      <c r="R5" s="11" t="e">
        <f t="shared" si="12"/>
        <v>#DIV/0!</v>
      </c>
      <c r="S5" s="11">
        <f t="shared" si="12"/>
        <v>0.13372013651877132</v>
      </c>
      <c r="T5" s="11">
        <f t="shared" si="12"/>
        <v>0.13813075430975602</v>
      </c>
      <c r="U5" s="11">
        <f>+U9/U4</f>
        <v>0.13771813518689649</v>
      </c>
      <c r="V5" s="11">
        <f>+V9/V4</f>
        <v>0.14489159237165347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</row>
    <row r="6" spans="1:74" x14ac:dyDescent="0.2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</row>
    <row r="7" spans="1:74" x14ac:dyDescent="0.2">
      <c r="B7" s="2" t="s">
        <v>47</v>
      </c>
      <c r="C7" s="3">
        <v>2193</v>
      </c>
      <c r="D7" s="3">
        <v>2173</v>
      </c>
      <c r="E7" s="3">
        <v>2134</v>
      </c>
      <c r="F7" s="3">
        <f>+T7-SUM(C7:E7)</f>
        <v>2169</v>
      </c>
      <c r="G7" s="3">
        <v>2172</v>
      </c>
      <c r="H7" s="3">
        <v>2174</v>
      </c>
      <c r="I7" s="3">
        <f>+I9-I8</f>
        <v>2168</v>
      </c>
      <c r="J7" s="3">
        <f>+U7-SUM(G7:I7)</f>
        <v>2134</v>
      </c>
      <c r="K7" s="3">
        <v>2143</v>
      </c>
      <c r="L7" s="3">
        <v>2248</v>
      </c>
      <c r="M7" s="3">
        <v>2295</v>
      </c>
      <c r="N7" s="3">
        <f>+V7-SUM(K7:M7)</f>
        <v>2421</v>
      </c>
      <c r="O7" s="3"/>
      <c r="P7" s="3"/>
      <c r="Q7" s="3"/>
      <c r="R7" s="3"/>
      <c r="S7" s="3">
        <v>8644</v>
      </c>
      <c r="T7" s="3">
        <v>8669</v>
      </c>
      <c r="U7" s="3">
        <v>8648</v>
      </c>
      <c r="V7" s="3">
        <v>9107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</row>
    <row r="8" spans="1:74" x14ac:dyDescent="0.2">
      <c r="B8" s="2" t="s">
        <v>48</v>
      </c>
      <c r="C8" s="3">
        <v>317</v>
      </c>
      <c r="D8" s="3">
        <v>367</v>
      </c>
      <c r="E8" s="3">
        <v>366</v>
      </c>
      <c r="F8" s="3">
        <v>393</v>
      </c>
      <c r="G8" s="3">
        <v>384</v>
      </c>
      <c r="H8" s="3">
        <v>398</v>
      </c>
      <c r="I8" s="3">
        <v>408</v>
      </c>
      <c r="J8" s="3">
        <f>+U8-SUM(G8:I8)</f>
        <v>445</v>
      </c>
      <c r="K8" s="3">
        <v>442</v>
      </c>
      <c r="L8" s="3">
        <v>482</v>
      </c>
      <c r="M8" s="3">
        <v>525</v>
      </c>
      <c r="N8" s="3">
        <f>+V8-SUM(K8:M8)</f>
        <v>544</v>
      </c>
      <c r="O8" s="3"/>
      <c r="P8" s="3"/>
      <c r="Q8" s="3"/>
      <c r="R8" s="3"/>
      <c r="S8" s="3">
        <v>1151</v>
      </c>
      <c r="T8" s="3">
        <v>1443</v>
      </c>
      <c r="U8" s="3">
        <v>1635</v>
      </c>
      <c r="V8" s="3">
        <v>1993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</row>
    <row r="9" spans="1:74" x14ac:dyDescent="0.2">
      <c r="B9" s="1" t="s">
        <v>12</v>
      </c>
      <c r="C9" s="7">
        <v>2510</v>
      </c>
      <c r="D9" s="7">
        <v>2540</v>
      </c>
      <c r="E9" s="7">
        <v>2500</v>
      </c>
      <c r="F9" s="7">
        <f>+T9-SUM(C9:E9)</f>
        <v>2562</v>
      </c>
      <c r="G9" s="7">
        <v>2556</v>
      </c>
      <c r="H9" s="7">
        <v>2572</v>
      </c>
      <c r="I9" s="7">
        <v>2576</v>
      </c>
      <c r="J9" s="7">
        <f>+U9-SUM(G9:I9)</f>
        <v>2579</v>
      </c>
      <c r="K9" s="7">
        <v>2585</v>
      </c>
      <c r="L9" s="7">
        <v>2730</v>
      </c>
      <c r="M9" s="7">
        <v>2820</v>
      </c>
      <c r="N9" s="7">
        <f>+V9-SUM(K9:M9)</f>
        <v>2965</v>
      </c>
      <c r="O9" s="3"/>
      <c r="P9" s="3"/>
      <c r="Q9" s="3"/>
      <c r="R9" s="3"/>
      <c r="S9" s="7">
        <v>9795</v>
      </c>
      <c r="T9" s="7">
        <v>10112</v>
      </c>
      <c r="U9" s="7">
        <v>10283</v>
      </c>
      <c r="V9" s="7">
        <v>11100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</row>
    <row r="10" spans="1:74" x14ac:dyDescent="0.2">
      <c r="B10" s="2" t="s">
        <v>20</v>
      </c>
      <c r="C10" s="3">
        <v>700</v>
      </c>
      <c r="D10" s="3">
        <v>718</v>
      </c>
      <c r="E10" s="3">
        <v>705</v>
      </c>
      <c r="F10" s="3">
        <f>+T10-SUM(C10:E10)</f>
        <v>710</v>
      </c>
      <c r="G10" s="3">
        <v>700</v>
      </c>
      <c r="H10" s="3">
        <v>735</v>
      </c>
      <c r="I10" s="3">
        <v>727</v>
      </c>
      <c r="J10" s="3">
        <f>+U10-SUM(G10:I10)</f>
        <v>718</v>
      </c>
      <c r="K10" s="3">
        <v>723</v>
      </c>
      <c r="L10" s="3">
        <v>776</v>
      </c>
      <c r="M10" s="3">
        <v>821</v>
      </c>
      <c r="N10" s="3">
        <f>+V10-SUM(K10:M10)</f>
        <v>849</v>
      </c>
      <c r="O10" s="3"/>
      <c r="P10" s="3"/>
      <c r="Q10" s="3"/>
      <c r="R10" s="3"/>
      <c r="S10" s="3">
        <v>2680</v>
      </c>
      <c r="T10" s="3">
        <v>2833</v>
      </c>
      <c r="U10" s="3">
        <v>2880</v>
      </c>
      <c r="V10" s="3">
        <v>3169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</row>
    <row r="11" spans="1:74" x14ac:dyDescent="0.2">
      <c r="B11" s="2" t="s">
        <v>21</v>
      </c>
      <c r="C11" s="3">
        <f t="shared" ref="C11:G11" si="13">+C9-C10</f>
        <v>1810</v>
      </c>
      <c r="D11" s="3">
        <f t="shared" si="13"/>
        <v>1822</v>
      </c>
      <c r="E11" s="3">
        <f t="shared" si="13"/>
        <v>1795</v>
      </c>
      <c r="F11" s="3">
        <f t="shared" si="13"/>
        <v>1852</v>
      </c>
      <c r="G11" s="3">
        <f t="shared" si="13"/>
        <v>1856</v>
      </c>
      <c r="H11" s="3">
        <f>+H9-H10</f>
        <v>1837</v>
      </c>
      <c r="I11" s="3">
        <f t="shared" ref="I11:V12" si="14">+I9-I10</f>
        <v>1849</v>
      </c>
      <c r="J11" s="3">
        <f t="shared" si="14"/>
        <v>1861</v>
      </c>
      <c r="K11" s="3">
        <f t="shared" si="14"/>
        <v>1862</v>
      </c>
      <c r="L11" s="3">
        <f t="shared" si="14"/>
        <v>1954</v>
      </c>
      <c r="M11" s="3">
        <f t="shared" si="14"/>
        <v>1999</v>
      </c>
      <c r="N11" s="3">
        <f t="shared" si="14"/>
        <v>2116</v>
      </c>
      <c r="O11" s="3"/>
      <c r="P11" s="3">
        <f t="shared" si="14"/>
        <v>0</v>
      </c>
      <c r="Q11" s="3">
        <f t="shared" si="14"/>
        <v>0</v>
      </c>
      <c r="R11" s="3">
        <f t="shared" si="14"/>
        <v>0</v>
      </c>
      <c r="S11" s="3">
        <f t="shared" si="14"/>
        <v>7115</v>
      </c>
      <c r="T11" s="3">
        <f t="shared" si="14"/>
        <v>7279</v>
      </c>
      <c r="U11" s="3">
        <f t="shared" si="14"/>
        <v>7403</v>
      </c>
      <c r="V11" s="3">
        <f t="shared" si="14"/>
        <v>7931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</row>
    <row r="12" spans="1:74" x14ac:dyDescent="0.2">
      <c r="B12" s="2" t="s">
        <v>22</v>
      </c>
      <c r="C12" s="3">
        <v>511</v>
      </c>
      <c r="D12" s="3">
        <v>566</v>
      </c>
      <c r="E12" s="3">
        <v>567</v>
      </c>
      <c r="F12" s="3">
        <f>+T12-SUM(C12:E12)</f>
        <v>573</v>
      </c>
      <c r="G12" s="3">
        <v>541</v>
      </c>
      <c r="H12" s="3">
        <v>577</v>
      </c>
      <c r="I12" s="3">
        <v>592</v>
      </c>
      <c r="J12" s="3">
        <f>+U12-SUM(G12:I12)</f>
        <v>609</v>
      </c>
      <c r="K12" s="3">
        <v>536</v>
      </c>
      <c r="L12" s="3">
        <v>586</v>
      </c>
      <c r="M12" s="3">
        <v>606</v>
      </c>
      <c r="N12" s="3">
        <f>+V12-SUM(K12:M12)</f>
        <v>666</v>
      </c>
      <c r="O12" s="3"/>
      <c r="P12" s="3"/>
      <c r="Q12" s="3"/>
      <c r="R12" s="3"/>
      <c r="S12" s="3">
        <v>2136</v>
      </c>
      <c r="T12" s="3">
        <v>2217</v>
      </c>
      <c r="U12" s="3">
        <v>2319</v>
      </c>
      <c r="V12" s="3">
        <v>2394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</row>
    <row r="13" spans="1:74" x14ac:dyDescent="0.2">
      <c r="B13" s="2" t="s">
        <v>24</v>
      </c>
      <c r="C13" s="3">
        <v>352</v>
      </c>
      <c r="D13" s="3">
        <v>392</v>
      </c>
      <c r="E13" s="3">
        <v>401</v>
      </c>
      <c r="F13" s="3">
        <f>+T13-SUM(C13:E13)</f>
        <v>399</v>
      </c>
      <c r="G13" s="3">
        <v>351</v>
      </c>
      <c r="H13" s="3">
        <v>379</v>
      </c>
      <c r="I13" s="3">
        <v>374</v>
      </c>
      <c r="J13" s="3">
        <f>+U13-SUM(G13:I13)</f>
        <v>375</v>
      </c>
      <c r="K13" s="3">
        <v>362</v>
      </c>
      <c r="L13" s="3">
        <v>421</v>
      </c>
      <c r="M13" s="3">
        <v>423</v>
      </c>
      <c r="N13" s="3">
        <f>+V13-SUM(K13:M13)</f>
        <v>436</v>
      </c>
      <c r="O13" s="3"/>
      <c r="P13" s="3"/>
      <c r="Q13" s="3"/>
      <c r="R13" s="3"/>
      <c r="S13" s="3">
        <v>1330</v>
      </c>
      <c r="T13" s="3">
        <v>1544</v>
      </c>
      <c r="U13" s="3">
        <v>1479</v>
      </c>
      <c r="V13" s="3">
        <v>1642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</row>
    <row r="14" spans="1:74" x14ac:dyDescent="0.2">
      <c r="B14" s="2" t="s">
        <v>23</v>
      </c>
      <c r="C14" s="3">
        <v>297</v>
      </c>
      <c r="D14" s="3">
        <v>251</v>
      </c>
      <c r="E14" s="3">
        <v>283</v>
      </c>
      <c r="F14" s="3">
        <f>+T14-SUM(C14:E14)</f>
        <v>365</v>
      </c>
      <c r="G14" s="3">
        <v>238</v>
      </c>
      <c r="H14" s="3">
        <v>241</v>
      </c>
      <c r="I14" s="3">
        <v>194</v>
      </c>
      <c r="J14" s="3">
        <f>+U14-SUM(G14:I14)</f>
        <v>241</v>
      </c>
      <c r="K14" s="3">
        <v>261</v>
      </c>
      <c r="L14" s="3">
        <v>371</v>
      </c>
      <c r="M14" s="3">
        <v>282</v>
      </c>
      <c r="N14" s="3">
        <f>+V14-SUM(K14:M14)</f>
        <v>284</v>
      </c>
      <c r="O14" s="3"/>
      <c r="P14" s="3"/>
      <c r="Q14" s="3"/>
      <c r="R14" s="3"/>
      <c r="S14" s="3">
        <v>963</v>
      </c>
      <c r="T14" s="3">
        <v>1196</v>
      </c>
      <c r="U14" s="3">
        <v>914</v>
      </c>
      <c r="V14" s="3">
        <v>1198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</row>
    <row r="15" spans="1:74" x14ac:dyDescent="0.2">
      <c r="B15" s="2" t="s">
        <v>44</v>
      </c>
      <c r="C15" s="3">
        <v>84</v>
      </c>
      <c r="D15" s="3">
        <v>90</v>
      </c>
      <c r="E15" s="3">
        <v>85</v>
      </c>
      <c r="F15" s="3">
        <f>+T15-SUM(C15:E15)</f>
        <v>101</v>
      </c>
      <c r="G15" s="3">
        <v>91</v>
      </c>
      <c r="H15" s="3">
        <v>86</v>
      </c>
      <c r="I15" s="3">
        <v>89</v>
      </c>
      <c r="J15" s="3">
        <f>+U15-SUM(G15:I15)</f>
        <v>87</v>
      </c>
      <c r="K15" s="3">
        <v>81</v>
      </c>
      <c r="L15" s="3">
        <v>86</v>
      </c>
      <c r="M15" s="3">
        <v>106</v>
      </c>
      <c r="N15" s="3">
        <f>+V15-SUM(K15:M15)</f>
        <v>123</v>
      </c>
      <c r="O15" s="3"/>
      <c r="P15" s="3"/>
      <c r="Q15" s="3"/>
      <c r="R15" s="3"/>
      <c r="S15" s="3">
        <v>332</v>
      </c>
      <c r="T15" s="3">
        <v>360</v>
      </c>
      <c r="U15" s="3">
        <v>353</v>
      </c>
      <c r="V15" s="3">
        <v>396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</row>
    <row r="16" spans="1:74" x14ac:dyDescent="0.2">
      <c r="B16" s="2" t="s">
        <v>45</v>
      </c>
      <c r="C16" s="3">
        <v>8</v>
      </c>
      <c r="D16" s="3">
        <v>5</v>
      </c>
      <c r="E16" s="3">
        <v>4</v>
      </c>
      <c r="F16" s="3">
        <f>+T16-SUM(C16:E16)</f>
        <v>4</v>
      </c>
      <c r="G16" s="3">
        <v>4</v>
      </c>
      <c r="H16" s="3">
        <v>5</v>
      </c>
      <c r="I16" s="3">
        <v>5</v>
      </c>
      <c r="J16" s="3">
        <f>+U16-SUM(G16:I16)</f>
        <v>6</v>
      </c>
      <c r="K16" s="3">
        <v>6</v>
      </c>
      <c r="L16" s="3">
        <v>6</v>
      </c>
      <c r="M16" s="3">
        <v>6</v>
      </c>
      <c r="N16" s="3">
        <f>+V16-SUM(K16:M16)</f>
        <v>6</v>
      </c>
      <c r="O16" s="3"/>
      <c r="P16" s="3"/>
      <c r="Q16" s="3"/>
      <c r="R16" s="3"/>
      <c r="S16" s="3">
        <v>4</v>
      </c>
      <c r="T16" s="3">
        <v>21</v>
      </c>
      <c r="U16" s="3">
        <v>20</v>
      </c>
      <c r="V16" s="3">
        <v>24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</row>
    <row r="17" spans="2:74" x14ac:dyDescent="0.2">
      <c r="B17" s="2" t="s">
        <v>25</v>
      </c>
      <c r="C17" s="3">
        <f t="shared" ref="C17:G17" si="15">+C11-SUM(C12:C16)</f>
        <v>558</v>
      </c>
      <c r="D17" s="3">
        <f t="shared" si="15"/>
        <v>518</v>
      </c>
      <c r="E17" s="3">
        <f t="shared" si="15"/>
        <v>455</v>
      </c>
      <c r="F17" s="3">
        <f t="shared" si="15"/>
        <v>410</v>
      </c>
      <c r="G17" s="3">
        <f t="shared" si="15"/>
        <v>631</v>
      </c>
      <c r="H17" s="3">
        <f>+H11-SUM(H12:H16)</f>
        <v>549</v>
      </c>
      <c r="I17" s="3">
        <f t="shared" ref="I17:V17" si="16">+I11-SUM(I12:I16)</f>
        <v>595</v>
      </c>
      <c r="J17" s="3">
        <f t="shared" si="16"/>
        <v>543</v>
      </c>
      <c r="K17" s="3">
        <f t="shared" si="16"/>
        <v>616</v>
      </c>
      <c r="L17" s="3">
        <f t="shared" si="16"/>
        <v>484</v>
      </c>
      <c r="M17" s="3">
        <f t="shared" si="16"/>
        <v>576</v>
      </c>
      <c r="N17" s="3">
        <f t="shared" si="16"/>
        <v>601</v>
      </c>
      <c r="O17" s="3"/>
      <c r="P17" s="3">
        <f t="shared" si="16"/>
        <v>0</v>
      </c>
      <c r="Q17" s="3">
        <f t="shared" si="16"/>
        <v>0</v>
      </c>
      <c r="R17" s="3">
        <f t="shared" si="16"/>
        <v>0</v>
      </c>
      <c r="S17" s="3">
        <f t="shared" si="16"/>
        <v>2350</v>
      </c>
      <c r="T17" s="3">
        <f t="shared" si="16"/>
        <v>1941</v>
      </c>
      <c r="U17" s="3">
        <f t="shared" si="16"/>
        <v>2318</v>
      </c>
      <c r="V17" s="3">
        <f t="shared" si="16"/>
        <v>2277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</row>
    <row r="18" spans="2:74" x14ac:dyDescent="0.2">
      <c r="B18" s="2" t="s">
        <v>46</v>
      </c>
      <c r="C18" s="3">
        <v>198</v>
      </c>
      <c r="D18" s="3">
        <v>-214</v>
      </c>
      <c r="E18" s="3">
        <v>1212</v>
      </c>
      <c r="F18" s="3">
        <f>+T18-SUM(C18:E18)</f>
        <v>636</v>
      </c>
      <c r="G18" s="3">
        <v>-97</v>
      </c>
      <c r="H18" s="3">
        <v>-222</v>
      </c>
      <c r="I18" s="3">
        <v>199</v>
      </c>
      <c r="J18" s="3">
        <f>+U18-SUM(G18:I18)</f>
        <v>44</v>
      </c>
      <c r="K18" s="3">
        <v>-2</v>
      </c>
      <c r="L18" s="3">
        <v>-4</v>
      </c>
      <c r="M18" s="3">
        <v>-10</v>
      </c>
      <c r="N18" s="3">
        <f>+V18-SUM(K18:M18)</f>
        <v>21</v>
      </c>
      <c r="O18" s="3"/>
      <c r="P18" s="3"/>
      <c r="Q18" s="3"/>
      <c r="R18" s="3"/>
      <c r="S18" s="3">
        <v>-3786</v>
      </c>
      <c r="T18" s="3">
        <v>1832</v>
      </c>
      <c r="U18" s="3">
        <v>-76</v>
      </c>
      <c r="V18" s="3">
        <v>5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</row>
    <row r="19" spans="2:74" x14ac:dyDescent="0.2">
      <c r="B19" s="2" t="s">
        <v>26</v>
      </c>
      <c r="C19" s="3">
        <v>68</v>
      </c>
      <c r="D19" s="3">
        <v>65</v>
      </c>
      <c r="E19" s="3">
        <v>65</v>
      </c>
      <c r="F19" s="3">
        <f>+T19-SUM(C19:E19)</f>
        <v>65</v>
      </c>
      <c r="G19" s="3">
        <v>66</v>
      </c>
      <c r="H19" s="3">
        <v>65</v>
      </c>
      <c r="I19" s="3">
        <v>63</v>
      </c>
      <c r="J19" s="3">
        <f>+U19-SUM(G19:I19)</f>
        <v>65</v>
      </c>
      <c r="K19" s="3">
        <v>61</v>
      </c>
      <c r="L19" s="3">
        <v>62</v>
      </c>
      <c r="M19" s="3">
        <v>62</v>
      </c>
      <c r="N19" s="3">
        <f>+V19-SUM(K19:M19)</f>
        <v>61</v>
      </c>
      <c r="O19" s="3"/>
      <c r="P19" s="3"/>
      <c r="Q19" s="3"/>
      <c r="R19" s="3"/>
      <c r="S19" s="3">
        <v>235</v>
      </c>
      <c r="T19" s="3">
        <v>263</v>
      </c>
      <c r="U19" s="3">
        <v>259</v>
      </c>
      <c r="V19" s="3">
        <v>246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</row>
    <row r="20" spans="2:74" x14ac:dyDescent="0.2">
      <c r="B20" s="2" t="s">
        <v>27</v>
      </c>
      <c r="C20" s="3">
        <v>42</v>
      </c>
      <c r="D20" s="3">
        <v>46</v>
      </c>
      <c r="E20" s="3">
        <v>59</v>
      </c>
      <c r="F20" s="3">
        <f>+T20-SUM(C20:E20)</f>
        <v>50</v>
      </c>
      <c r="G20" s="3">
        <v>68</v>
      </c>
      <c r="H20" s="3">
        <v>66</v>
      </c>
      <c r="I20" s="3">
        <v>66</v>
      </c>
      <c r="J20" s="3">
        <f>+U20-SUM(G20:I20)</f>
        <v>95</v>
      </c>
      <c r="K20" s="3">
        <v>81</v>
      </c>
      <c r="L20" s="3">
        <v>59</v>
      </c>
      <c r="M20" s="3">
        <v>69</v>
      </c>
      <c r="N20" s="3">
        <f>+V20-SUM(K20:M20)</f>
        <v>62</v>
      </c>
      <c r="O20" s="3"/>
      <c r="P20" s="3"/>
      <c r="Q20" s="3"/>
      <c r="R20" s="3"/>
      <c r="S20" s="3">
        <v>70</v>
      </c>
      <c r="T20" s="3">
        <v>197</v>
      </c>
      <c r="U20" s="3">
        <v>295</v>
      </c>
      <c r="V20" s="3">
        <v>271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</row>
    <row r="21" spans="2:74" x14ac:dyDescent="0.2">
      <c r="B21" s="2" t="s">
        <v>28</v>
      </c>
      <c r="C21" s="3">
        <f t="shared" ref="C21:G21" si="17">+C17+C18-C19+C20</f>
        <v>730</v>
      </c>
      <c r="D21" s="3">
        <f t="shared" si="17"/>
        <v>285</v>
      </c>
      <c r="E21" s="3">
        <f t="shared" si="17"/>
        <v>1661</v>
      </c>
      <c r="F21" s="3">
        <f t="shared" si="17"/>
        <v>1031</v>
      </c>
      <c r="G21" s="3">
        <f t="shared" si="17"/>
        <v>536</v>
      </c>
      <c r="H21" s="3">
        <f>+H17+H18-H19+H20</f>
        <v>328</v>
      </c>
      <c r="I21" s="3">
        <f t="shared" ref="I21:V21" si="18">+I17+I18-I19+I20</f>
        <v>797</v>
      </c>
      <c r="J21" s="3">
        <f t="shared" si="18"/>
        <v>617</v>
      </c>
      <c r="K21" s="3">
        <f t="shared" si="18"/>
        <v>634</v>
      </c>
      <c r="L21" s="3">
        <f t="shared" si="18"/>
        <v>477</v>
      </c>
      <c r="M21" s="3">
        <f t="shared" si="18"/>
        <v>573</v>
      </c>
      <c r="N21" s="3">
        <f t="shared" si="18"/>
        <v>623</v>
      </c>
      <c r="O21" s="3"/>
      <c r="P21" s="3">
        <f t="shared" si="18"/>
        <v>0</v>
      </c>
      <c r="Q21" s="3">
        <f t="shared" si="18"/>
        <v>0</v>
      </c>
      <c r="R21" s="3">
        <f t="shared" si="18"/>
        <v>0</v>
      </c>
      <c r="S21" s="3">
        <f t="shared" si="18"/>
        <v>-1601</v>
      </c>
      <c r="T21" s="3">
        <f t="shared" si="18"/>
        <v>3707</v>
      </c>
      <c r="U21" s="3">
        <f t="shared" si="18"/>
        <v>2278</v>
      </c>
      <c r="V21" s="3">
        <f t="shared" si="18"/>
        <v>2307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</row>
    <row r="22" spans="2:74" x14ac:dyDescent="0.2">
      <c r="B22" s="2" t="s">
        <v>29</v>
      </c>
      <c r="C22" s="3">
        <v>161</v>
      </c>
      <c r="D22" s="3">
        <v>113</v>
      </c>
      <c r="E22" s="3">
        <v>355</v>
      </c>
      <c r="F22" s="3">
        <f>+T22-SUM(C22:E22)</f>
        <v>303</v>
      </c>
      <c r="G22" s="3">
        <v>97</v>
      </c>
      <c r="H22" s="3">
        <v>102</v>
      </c>
      <c r="I22" s="3">
        <v>161</v>
      </c>
      <c r="J22" s="3">
        <f>+U22-SUM(G22:I22)</f>
        <v>-63</v>
      </c>
      <c r="K22" s="3">
        <v>129</v>
      </c>
      <c r="L22" s="3">
        <v>108</v>
      </c>
      <c r="M22" s="3">
        <v>-24</v>
      </c>
      <c r="N22" s="3">
        <f>+V22-SUM(K22:M22)</f>
        <v>98</v>
      </c>
      <c r="O22" s="3"/>
      <c r="P22" s="3"/>
      <c r="Q22" s="3"/>
      <c r="R22" s="3"/>
      <c r="S22" s="3">
        <v>-327</v>
      </c>
      <c r="T22" s="3">
        <v>932</v>
      </c>
      <c r="U22" s="3">
        <v>297</v>
      </c>
      <c r="V22" s="3">
        <v>311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</row>
    <row r="23" spans="2:74" x14ac:dyDescent="0.2">
      <c r="B23" s="2" t="s">
        <v>32</v>
      </c>
      <c r="C23" s="3">
        <f t="shared" ref="C23:G23" si="19">+C21-C22</f>
        <v>569</v>
      </c>
      <c r="D23" s="3">
        <f t="shared" si="19"/>
        <v>172</v>
      </c>
      <c r="E23" s="3">
        <f t="shared" si="19"/>
        <v>1306</v>
      </c>
      <c r="F23" s="3">
        <f t="shared" si="19"/>
        <v>728</v>
      </c>
      <c r="G23" s="3">
        <f t="shared" si="19"/>
        <v>439</v>
      </c>
      <c r="H23" s="3">
        <f>+H21-H22</f>
        <v>226</v>
      </c>
      <c r="I23" s="3">
        <f t="shared" ref="I23:N23" si="20">+I21-I22</f>
        <v>636</v>
      </c>
      <c r="J23" s="3">
        <f t="shared" si="20"/>
        <v>680</v>
      </c>
      <c r="K23" s="3">
        <f t="shared" si="20"/>
        <v>505</v>
      </c>
      <c r="L23" s="3">
        <f t="shared" si="20"/>
        <v>369</v>
      </c>
      <c r="M23" s="3">
        <f t="shared" si="20"/>
        <v>597</v>
      </c>
      <c r="N23" s="3">
        <f t="shared" si="20"/>
        <v>525</v>
      </c>
      <c r="O23" s="3"/>
      <c r="P23" s="3"/>
      <c r="Q23" s="3">
        <f t="shared" ref="Q23:T23" si="21">+Q21-Q22</f>
        <v>0</v>
      </c>
      <c r="R23" s="3">
        <f t="shared" si="21"/>
        <v>0</v>
      </c>
      <c r="S23" s="3">
        <f t="shared" si="21"/>
        <v>-1274</v>
      </c>
      <c r="T23" s="3">
        <f t="shared" si="21"/>
        <v>2775</v>
      </c>
      <c r="U23" s="3">
        <f>+U21-U22</f>
        <v>1981</v>
      </c>
      <c r="V23" s="3">
        <f>+V21-V22</f>
        <v>1996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</row>
    <row r="24" spans="2:74" x14ac:dyDescent="0.2">
      <c r="B24" s="2" t="s">
        <v>31</v>
      </c>
      <c r="C24" s="3">
        <v>-2</v>
      </c>
      <c r="D24" s="3">
        <v>-1</v>
      </c>
      <c r="E24" s="3">
        <v>-1</v>
      </c>
      <c r="F24" s="3">
        <f>+T24-SUM(C24:E24)</f>
        <v>-4</v>
      </c>
      <c r="G24" s="3">
        <v>-1</v>
      </c>
      <c r="H24" s="3">
        <v>-2</v>
      </c>
      <c r="I24" s="3">
        <v>-2</v>
      </c>
      <c r="J24" s="3">
        <f>+U24-SUM(G24:I24)</f>
        <v>-1</v>
      </c>
      <c r="K24" s="3">
        <v>-2</v>
      </c>
      <c r="L24" s="3">
        <v>-1</v>
      </c>
      <c r="M24" s="3">
        <v>35</v>
      </c>
      <c r="N24" s="3">
        <f>+V24-SUM(K24:M24)</f>
        <v>3</v>
      </c>
      <c r="O24" s="3"/>
      <c r="P24" s="3"/>
      <c r="Q24" s="3"/>
      <c r="R24" s="3"/>
      <c r="S24" s="3">
        <v>5</v>
      </c>
      <c r="T24" s="3">
        <v>-8</v>
      </c>
      <c r="U24" s="3">
        <v>-6</v>
      </c>
      <c r="V24" s="3">
        <v>35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</row>
    <row r="25" spans="2:74" x14ac:dyDescent="0.2">
      <c r="B25" s="2" t="s">
        <v>30</v>
      </c>
      <c r="C25" s="3">
        <f t="shared" ref="C25:G25" si="22">+C23+C24</f>
        <v>567</v>
      </c>
      <c r="D25" s="3">
        <f t="shared" si="22"/>
        <v>171</v>
      </c>
      <c r="E25" s="3">
        <f t="shared" si="22"/>
        <v>1305</v>
      </c>
      <c r="F25" s="3">
        <f t="shared" si="22"/>
        <v>724</v>
      </c>
      <c r="G25" s="3">
        <f t="shared" si="22"/>
        <v>438</v>
      </c>
      <c r="H25" s="3">
        <f>+H23+H24</f>
        <v>224</v>
      </c>
      <c r="I25" s="3">
        <f t="shared" ref="I25:N25" si="23">+I23+I24</f>
        <v>634</v>
      </c>
      <c r="J25" s="3">
        <f t="shared" si="23"/>
        <v>679</v>
      </c>
      <c r="K25" s="3">
        <f t="shared" si="23"/>
        <v>503</v>
      </c>
      <c r="L25" s="3">
        <f t="shared" si="23"/>
        <v>368</v>
      </c>
      <c r="M25" s="3">
        <f t="shared" si="23"/>
        <v>632</v>
      </c>
      <c r="N25" s="3">
        <f t="shared" si="23"/>
        <v>528</v>
      </c>
      <c r="O25" s="3"/>
      <c r="P25" s="3"/>
      <c r="Q25" s="3">
        <f t="shared" ref="Q25:T25" si="24">+Q23+Q24</f>
        <v>0</v>
      </c>
      <c r="R25" s="3">
        <f t="shared" si="24"/>
        <v>0</v>
      </c>
      <c r="S25" s="3">
        <f t="shared" si="24"/>
        <v>-1269</v>
      </c>
      <c r="T25" s="3">
        <f t="shared" si="24"/>
        <v>2767</v>
      </c>
      <c r="U25" s="3">
        <f>+U23+U24</f>
        <v>1975</v>
      </c>
      <c r="V25" s="3">
        <f>+V23+V24</f>
        <v>2031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</row>
    <row r="26" spans="2:74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</row>
    <row r="27" spans="2:74" x14ac:dyDescent="0.2">
      <c r="B27" s="2" t="s">
        <v>19</v>
      </c>
      <c r="C27" s="8">
        <f t="shared" ref="C27:J27" si="25">+C25/C28</f>
        <v>1.0558659217877095</v>
      </c>
      <c r="D27" s="8">
        <f t="shared" si="25"/>
        <v>0.3202247191011236</v>
      </c>
      <c r="E27" s="8">
        <f t="shared" si="25"/>
        <v>2.4669187145557654</v>
      </c>
      <c r="F27" s="8">
        <f t="shared" si="25"/>
        <v>1.3660377358490565</v>
      </c>
      <c r="G27" s="8">
        <f t="shared" si="25"/>
        <v>0.84883720930232553</v>
      </c>
      <c r="H27" s="8">
        <f t="shared" si="25"/>
        <v>0.44532803180914515</v>
      </c>
      <c r="I27" s="8">
        <f t="shared" si="25"/>
        <v>1.3018480492813143</v>
      </c>
      <c r="J27" s="8">
        <f t="shared" si="25"/>
        <v>1.3689516129032258</v>
      </c>
      <c r="K27" s="8">
        <f t="shared" ref="K27:N27" si="26">+K25/K28</f>
        <v>1.0770877944325481</v>
      </c>
      <c r="L27" s="8">
        <f t="shared" si="26"/>
        <v>0.79826464208242953</v>
      </c>
      <c r="M27" s="8">
        <f t="shared" si="26"/>
        <v>1.3859649122807018</v>
      </c>
      <c r="N27" s="8">
        <f t="shared" si="26"/>
        <v>1.1785714285714286</v>
      </c>
      <c r="O27" s="3"/>
      <c r="P27" s="3"/>
      <c r="Q27" s="8" t="e">
        <f t="shared" ref="Q27:V27" si="27">+Q25/Q28</f>
        <v>#DIV/0!</v>
      </c>
      <c r="R27" s="8" t="e">
        <f t="shared" si="27"/>
        <v>#DIV/0!</v>
      </c>
      <c r="S27" s="8">
        <f t="shared" si="27"/>
        <v>-2.274193548387097</v>
      </c>
      <c r="T27" s="8">
        <f t="shared" si="27"/>
        <v>5.2207547169811317</v>
      </c>
      <c r="U27" s="8">
        <f t="shared" si="27"/>
        <v>3.9818548387096775</v>
      </c>
      <c r="V27" s="8">
        <f t="shared" si="27"/>
        <v>4.4248366013071898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</row>
    <row r="28" spans="2:74" x14ac:dyDescent="0.2">
      <c r="B28" s="2" t="s">
        <v>14</v>
      </c>
      <c r="C28" s="3">
        <v>537</v>
      </c>
      <c r="D28" s="3">
        <v>534</v>
      </c>
      <c r="E28" s="3">
        <v>529</v>
      </c>
      <c r="F28" s="3">
        <f>+T28</f>
        <v>530</v>
      </c>
      <c r="G28" s="3">
        <v>516</v>
      </c>
      <c r="H28" s="3">
        <v>503</v>
      </c>
      <c r="I28" s="3">
        <v>487</v>
      </c>
      <c r="J28" s="3">
        <f>+U28</f>
        <v>496</v>
      </c>
      <c r="K28" s="3">
        <v>467</v>
      </c>
      <c r="L28" s="3">
        <v>461</v>
      </c>
      <c r="M28" s="3">
        <v>456</v>
      </c>
      <c r="N28" s="3">
        <v>448</v>
      </c>
      <c r="O28" s="3"/>
      <c r="P28" s="3"/>
      <c r="Q28" s="3"/>
      <c r="R28" s="3"/>
      <c r="S28" s="3">
        <v>558</v>
      </c>
      <c r="T28" s="3">
        <v>530</v>
      </c>
      <c r="U28" s="3">
        <v>496</v>
      </c>
      <c r="V28" s="3">
        <v>459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</row>
    <row r="30" spans="2:74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</row>
    <row r="31" spans="2:74" x14ac:dyDescent="0.2">
      <c r="B31" s="2" t="s">
        <v>35</v>
      </c>
      <c r="C31" s="3"/>
      <c r="D31" s="3"/>
      <c r="E31" s="3"/>
      <c r="F31" s="3"/>
      <c r="G31" s="3"/>
      <c r="H31" s="6">
        <f>+H4/D4-1</f>
        <v>1.1200175689030312E-2</v>
      </c>
      <c r="I31" s="6">
        <f t="shared" ref="I31:N31" si="28">+I4/E4-1</f>
        <v>1.7508754377188573E-2</v>
      </c>
      <c r="J31" s="6">
        <f t="shared" si="28"/>
        <v>3.921252218815563E-2</v>
      </c>
      <c r="K31" s="6">
        <f t="shared" si="28"/>
        <v>6.9806153680931349E-3</v>
      </c>
      <c r="L31" s="6">
        <f t="shared" si="28"/>
        <v>5.9507004017808729E-2</v>
      </c>
      <c r="M31" s="6">
        <f t="shared" si="28"/>
        <v>9.8273790014203E-2</v>
      </c>
      <c r="N31" s="6">
        <f t="shared" si="28"/>
        <v>-5.6055900621117982E-2</v>
      </c>
      <c r="O31" s="3"/>
      <c r="P31" s="3"/>
      <c r="Q31" s="3"/>
      <c r="R31" s="3"/>
      <c r="S31" s="6" t="e">
        <f t="shared" ref="S31:T31" si="29">+S4/R4-1</f>
        <v>#DIV/0!</v>
      </c>
      <c r="T31" s="6">
        <f t="shared" si="29"/>
        <v>-6.0068259385670508E-4</v>
      </c>
      <c r="U31" s="6">
        <f>+U4/T4-1</f>
        <v>1.9957380542578562E-2</v>
      </c>
      <c r="V31" s="6">
        <f>+V4/U4-1</f>
        <v>2.6008812460658559E-2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</row>
    <row r="32" spans="2:74" x14ac:dyDescent="0.2">
      <c r="B32" s="1" t="s">
        <v>36</v>
      </c>
      <c r="C32" s="7"/>
      <c r="D32" s="7"/>
      <c r="E32" s="7"/>
      <c r="F32" s="7"/>
      <c r="G32" s="7"/>
      <c r="H32" s="13">
        <f>+H9/D9-1</f>
        <v>1.2598425196850505E-2</v>
      </c>
      <c r="I32" s="13">
        <f t="shared" ref="I32:N32" si="30">+I9/E9-1</f>
        <v>3.0399999999999983E-2</v>
      </c>
      <c r="J32" s="13">
        <f t="shared" si="30"/>
        <v>6.6354410616704662E-3</v>
      </c>
      <c r="K32" s="13">
        <f t="shared" si="30"/>
        <v>1.1345852895148667E-2</v>
      </c>
      <c r="L32" s="13">
        <f t="shared" si="30"/>
        <v>6.1430793157076113E-2</v>
      </c>
      <c r="M32" s="13">
        <f t="shared" si="30"/>
        <v>9.4720496894409978E-2</v>
      </c>
      <c r="N32" s="13">
        <f t="shared" si="30"/>
        <v>0.14967041488949206</v>
      </c>
      <c r="O32" s="3"/>
      <c r="P32" s="3"/>
      <c r="Q32" s="3"/>
      <c r="R32" s="3"/>
      <c r="S32" s="13" t="e">
        <f t="shared" ref="S32:T32" si="31">+S9/R9-1</f>
        <v>#DIV/0!</v>
      </c>
      <c r="T32" s="13">
        <f t="shared" si="31"/>
        <v>3.2363450740173549E-2</v>
      </c>
      <c r="U32" s="13">
        <f>+U9/T9-1</f>
        <v>1.6910601265822889E-2</v>
      </c>
      <c r="V32" s="13">
        <f>+V9/U9-1</f>
        <v>7.9451521929398083E-2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</row>
    <row r="33" spans="2:74" x14ac:dyDescent="0.2">
      <c r="B33" s="2" t="s">
        <v>38</v>
      </c>
      <c r="C33" s="6">
        <f t="shared" ref="C33:G33" si="32">+C11/C9</f>
        <v>0.7211155378486056</v>
      </c>
      <c r="D33" s="6">
        <f t="shared" si="32"/>
        <v>0.71732283464566926</v>
      </c>
      <c r="E33" s="6">
        <f t="shared" si="32"/>
        <v>0.71799999999999997</v>
      </c>
      <c r="F33" s="6">
        <f t="shared" si="32"/>
        <v>0.72287275565964093</v>
      </c>
      <c r="G33" s="6">
        <f t="shared" si="32"/>
        <v>0.72613458528951491</v>
      </c>
      <c r="H33" s="6">
        <f>+H11/H9</f>
        <v>0.71423017107309483</v>
      </c>
      <c r="I33" s="6">
        <f t="shared" ref="I33:N33" si="33">+I11/I9</f>
        <v>0.71777950310559002</v>
      </c>
      <c r="J33" s="6">
        <f t="shared" si="33"/>
        <v>0.72159751841799147</v>
      </c>
      <c r="K33" s="6">
        <f t="shared" si="33"/>
        <v>0.72030947775628629</v>
      </c>
      <c r="L33" s="6">
        <f t="shared" si="33"/>
        <v>0.71575091575091576</v>
      </c>
      <c r="M33" s="6">
        <f t="shared" si="33"/>
        <v>0.70886524822695041</v>
      </c>
      <c r="N33" s="6">
        <f t="shared" si="33"/>
        <v>0.71365935919055645</v>
      </c>
      <c r="O33" s="3"/>
      <c r="P33" s="6" t="e">
        <f t="shared" ref="P33:U33" si="34">+P11/P9</f>
        <v>#DIV/0!</v>
      </c>
      <c r="Q33" s="6" t="e">
        <f t="shared" si="34"/>
        <v>#DIV/0!</v>
      </c>
      <c r="R33" s="6" t="e">
        <f t="shared" si="34"/>
        <v>#DIV/0!</v>
      </c>
      <c r="S33" s="6">
        <f t="shared" si="34"/>
        <v>0.72639101582440024</v>
      </c>
      <c r="T33" s="6">
        <f t="shared" si="34"/>
        <v>0.71983781645569622</v>
      </c>
      <c r="U33" s="6">
        <f t="shared" si="34"/>
        <v>0.71992609160750753</v>
      </c>
      <c r="V33" s="6">
        <f t="shared" ref="V33" si="35">+V11/V9</f>
        <v>0.71450450450450453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</row>
    <row r="34" spans="2:74" x14ac:dyDescent="0.2">
      <c r="B34" s="2" t="s">
        <v>37</v>
      </c>
      <c r="C34" s="6">
        <f t="shared" ref="C34:G34" si="36">+C17/C9</f>
        <v>0.22231075697211156</v>
      </c>
      <c r="D34" s="6">
        <f t="shared" si="36"/>
        <v>0.20393700787401575</v>
      </c>
      <c r="E34" s="6">
        <f t="shared" si="36"/>
        <v>0.182</v>
      </c>
      <c r="F34" s="6">
        <f t="shared" si="36"/>
        <v>0.16003122560499611</v>
      </c>
      <c r="G34" s="6">
        <f t="shared" si="36"/>
        <v>0.24687010954616589</v>
      </c>
      <c r="H34" s="6">
        <f>+H17/H9</f>
        <v>0.21345256609642302</v>
      </c>
      <c r="I34" s="6">
        <f t="shared" ref="I34:N34" si="37">+I17/I9</f>
        <v>0.23097826086956522</v>
      </c>
      <c r="J34" s="6">
        <f t="shared" si="37"/>
        <v>0.21054672353625437</v>
      </c>
      <c r="K34" s="6">
        <f t="shared" si="37"/>
        <v>0.23829787234042554</v>
      </c>
      <c r="L34" s="6">
        <f t="shared" si="37"/>
        <v>0.1772893772893773</v>
      </c>
      <c r="M34" s="6">
        <f t="shared" si="37"/>
        <v>0.20425531914893616</v>
      </c>
      <c r="N34" s="6">
        <f t="shared" si="37"/>
        <v>0.20269814502529512</v>
      </c>
      <c r="O34" s="3"/>
      <c r="P34" s="6" t="e">
        <f t="shared" ref="P34:U34" si="38">+P17/P9</f>
        <v>#DIV/0!</v>
      </c>
      <c r="Q34" s="6" t="e">
        <f t="shared" si="38"/>
        <v>#DIV/0!</v>
      </c>
      <c r="R34" s="6" t="e">
        <f t="shared" si="38"/>
        <v>#DIV/0!</v>
      </c>
      <c r="S34" s="6">
        <f t="shared" si="38"/>
        <v>0.23991832567636548</v>
      </c>
      <c r="T34" s="6">
        <f t="shared" si="38"/>
        <v>0.19195015822784811</v>
      </c>
      <c r="U34" s="6">
        <f t="shared" si="38"/>
        <v>0.22542059710201304</v>
      </c>
      <c r="V34" s="6">
        <f t="shared" ref="V34" si="39">+V17/V9</f>
        <v>0.20513513513513512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</row>
    <row r="35" spans="2:74" x14ac:dyDescent="0.2">
      <c r="B35" s="2" t="s">
        <v>39</v>
      </c>
      <c r="C35" s="6">
        <f t="shared" ref="C35:G35" si="40">+C22/C21</f>
        <v>0.22054794520547946</v>
      </c>
      <c r="D35" s="6">
        <f t="shared" si="40"/>
        <v>0.39649122807017545</v>
      </c>
      <c r="E35" s="6">
        <f t="shared" si="40"/>
        <v>0.21372667068031306</v>
      </c>
      <c r="F35" s="6">
        <f t="shared" si="40"/>
        <v>0.29388942774005822</v>
      </c>
      <c r="G35" s="6">
        <f t="shared" si="40"/>
        <v>0.18097014925373134</v>
      </c>
      <c r="H35" s="6">
        <f>+H22/H21</f>
        <v>0.31097560975609756</v>
      </c>
      <c r="I35" s="6">
        <f t="shared" ref="I35:N35" si="41">+I22/I21</f>
        <v>0.20200752823086573</v>
      </c>
      <c r="J35" s="6">
        <f t="shared" si="41"/>
        <v>-0.10210696920583469</v>
      </c>
      <c r="K35" s="6">
        <f t="shared" si="41"/>
        <v>0.20347003154574134</v>
      </c>
      <c r="L35" s="6">
        <f t="shared" si="41"/>
        <v>0.22641509433962265</v>
      </c>
      <c r="M35" s="6">
        <f t="shared" si="41"/>
        <v>-4.1884816753926704E-2</v>
      </c>
      <c r="N35" s="6">
        <f t="shared" si="41"/>
        <v>0.15730337078651685</v>
      </c>
      <c r="O35" s="3"/>
      <c r="P35" s="6" t="e">
        <f t="shared" ref="P35:U35" si="42">+P22/P21</f>
        <v>#DIV/0!</v>
      </c>
      <c r="Q35" s="6" t="e">
        <f t="shared" si="42"/>
        <v>#DIV/0!</v>
      </c>
      <c r="R35" s="6" t="e">
        <f t="shared" si="42"/>
        <v>#DIV/0!</v>
      </c>
      <c r="S35" s="6">
        <f t="shared" si="42"/>
        <v>0.20424734540911929</v>
      </c>
      <c r="T35" s="6">
        <f t="shared" si="42"/>
        <v>0.25141623954680337</v>
      </c>
      <c r="U35" s="6">
        <f t="shared" si="42"/>
        <v>0.13037752414398596</v>
      </c>
      <c r="V35" s="6">
        <f t="shared" ref="V35" si="43">+V22/V21</f>
        <v>0.13480710879930646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</row>
    <row r="36" spans="2:7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</row>
    <row r="37" spans="2:74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</row>
    <row r="38" spans="2:7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</row>
    <row r="39" spans="2:7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</row>
    <row r="40" spans="2:7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</row>
    <row r="41" spans="2:7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</row>
    <row r="42" spans="2:7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</row>
    <row r="43" spans="2:7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</row>
    <row r="44" spans="2:7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</row>
    <row r="45" spans="2:7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</row>
    <row r="46" spans="2:74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</row>
    <row r="47" spans="2:7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</row>
    <row r="48" spans="2:74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</row>
    <row r="49" spans="3:74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</row>
    <row r="50" spans="3:74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</row>
    <row r="51" spans="3:74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</row>
    <row r="52" spans="3:74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</row>
    <row r="53" spans="3:74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</row>
    <row r="54" spans="3:74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</row>
    <row r="55" spans="3:74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</row>
    <row r="56" spans="3:74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</row>
    <row r="57" spans="3:74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</row>
    <row r="58" spans="3:74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</row>
    <row r="59" spans="3:74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</row>
    <row r="60" spans="3:74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</row>
    <row r="61" spans="3:74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</row>
    <row r="62" spans="3:74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</row>
    <row r="63" spans="3:74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</row>
    <row r="64" spans="3:74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</row>
    <row r="65" spans="3:74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</row>
    <row r="66" spans="3:74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</row>
    <row r="67" spans="3:74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</row>
    <row r="68" spans="3:7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</row>
    <row r="69" spans="3:74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</row>
    <row r="70" spans="3:74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</row>
    <row r="71" spans="3:74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</row>
    <row r="72" spans="3:74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</row>
    <row r="73" spans="3:7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</row>
    <row r="74" spans="3:74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</row>
    <row r="75" spans="3:74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</row>
    <row r="76" spans="3:74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</row>
    <row r="77" spans="3:74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</row>
    <row r="78" spans="3:74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</row>
    <row r="79" spans="3:74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</row>
    <row r="80" spans="3:74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</row>
    <row r="81" spans="3:7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</row>
    <row r="82" spans="3:74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</row>
    <row r="83" spans="3:74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</row>
    <row r="84" spans="3:74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</row>
    <row r="85" spans="3:74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</row>
    <row r="86" spans="3:74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</row>
    <row r="87" spans="3:74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</row>
    <row r="88" spans="3:74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</row>
    <row r="89" spans="3:74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</row>
    <row r="90" spans="3:74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</row>
    <row r="91" spans="3:74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</row>
    <row r="92" spans="3:74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</row>
    <row r="93" spans="3:74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</row>
    <row r="94" spans="3:74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</row>
    <row r="95" spans="3:74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</row>
    <row r="96" spans="3:74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</row>
    <row r="97" spans="3:74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</row>
    <row r="98" spans="3:74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</row>
    <row r="99" spans="3:74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</row>
    <row r="100" spans="3:74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</row>
    <row r="101" spans="3:74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</row>
    <row r="102" spans="3:74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</row>
    <row r="103" spans="3:74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</row>
    <row r="104" spans="3:7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</row>
    <row r="105" spans="3:7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</row>
    <row r="106" spans="3:7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</row>
    <row r="107" spans="3:7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</row>
    <row r="108" spans="3:7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</row>
    <row r="109" spans="3:7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</row>
    <row r="110" spans="3:7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</row>
    <row r="111" spans="3:7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</row>
    <row r="112" spans="3:7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</row>
    <row r="113" spans="3:7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</row>
    <row r="114" spans="3:7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</row>
    <row r="115" spans="3:7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</row>
    <row r="116" spans="3:7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</row>
    <row r="117" spans="3:7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</row>
    <row r="118" spans="3:7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</row>
    <row r="119" spans="3:7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</row>
    <row r="120" spans="3:7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</row>
    <row r="121" spans="3:7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</row>
    <row r="122" spans="3:7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</row>
    <row r="123" spans="3:7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</row>
    <row r="124" spans="3:7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</row>
    <row r="125" spans="3:7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</row>
    <row r="126" spans="3:7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</row>
    <row r="127" spans="3:7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</row>
    <row r="128" spans="3:7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</row>
    <row r="129" spans="3:7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</row>
    <row r="130" spans="3:7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</row>
    <row r="131" spans="3:7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</row>
    <row r="132" spans="3:7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</row>
    <row r="133" spans="3:7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</row>
    <row r="134" spans="3:7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</row>
    <row r="135" spans="3:7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</row>
    <row r="136" spans="3:7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</row>
    <row r="137" spans="3:7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</row>
    <row r="138" spans="3:7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</row>
    <row r="139" spans="3:7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</row>
    <row r="140" spans="3:7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</row>
    <row r="141" spans="3:7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</row>
    <row r="142" spans="3:7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</row>
    <row r="143" spans="3:7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</row>
    <row r="144" spans="3:7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</row>
    <row r="145" spans="3:7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</row>
    <row r="146" spans="3:7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</row>
    <row r="147" spans="3:7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</row>
    <row r="148" spans="3:7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</row>
    <row r="149" spans="3:7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</row>
    <row r="150" spans="3:7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</row>
    <row r="151" spans="3:7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</row>
    <row r="152" spans="3:7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</row>
    <row r="153" spans="3:7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</row>
    <row r="154" spans="3:7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</row>
    <row r="155" spans="3:7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</row>
    <row r="156" spans="3:7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</row>
    <row r="157" spans="3:7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</row>
    <row r="158" spans="3:7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</row>
    <row r="159" spans="3:7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</row>
    <row r="160" spans="3:7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</row>
    <row r="161" spans="3:7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</row>
    <row r="162" spans="3:7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</row>
    <row r="163" spans="3:7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</row>
    <row r="164" spans="3:7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</row>
    <row r="165" spans="3:7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</row>
    <row r="166" spans="3:7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</row>
    <row r="167" spans="3:7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</row>
    <row r="168" spans="3:7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</row>
    <row r="169" spans="3:7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</row>
    <row r="170" spans="3:7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</row>
    <row r="171" spans="3:7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</row>
    <row r="172" spans="3:7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</row>
    <row r="173" spans="3:7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</row>
    <row r="174" spans="3:7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</row>
    <row r="175" spans="3:7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</row>
    <row r="176" spans="3:7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</row>
    <row r="177" spans="3:7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</row>
    <row r="178" spans="3:7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</row>
    <row r="179" spans="3:7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</row>
    <row r="180" spans="3:7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</row>
    <row r="181" spans="3:7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</row>
    <row r="182" spans="3:7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</row>
    <row r="183" spans="3:7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</row>
    <row r="184" spans="3:7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</row>
    <row r="185" spans="3:7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</row>
    <row r="186" spans="3:74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</row>
    <row r="187" spans="3:74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</row>
    <row r="188" spans="3:74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</row>
    <row r="189" spans="3:74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</row>
    <row r="190" spans="3:74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</row>
    <row r="191" spans="3:74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</row>
    <row r="192" spans="3:74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</row>
    <row r="193" spans="3:74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</row>
    <row r="194" spans="3:74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</row>
    <row r="195" spans="3:74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</row>
    <row r="196" spans="3:74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</row>
    <row r="197" spans="3:74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</row>
    <row r="198" spans="3:74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</row>
    <row r="199" spans="3:74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</row>
    <row r="200" spans="3:74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</row>
    <row r="201" spans="3:74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</row>
    <row r="202" spans="3:74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</row>
    <row r="203" spans="3:74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</row>
    <row r="204" spans="3:74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</row>
    <row r="205" spans="3:7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</row>
    <row r="206" spans="3:74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</row>
    <row r="207" spans="3:74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</row>
    <row r="208" spans="3:74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</row>
    <row r="209" spans="3:74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</row>
    <row r="210" spans="3:74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</row>
    <row r="211" spans="3:74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</row>
    <row r="212" spans="3:74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</row>
    <row r="213" spans="3:74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</row>
    <row r="214" spans="3:74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</row>
    <row r="215" spans="3:74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</row>
    <row r="216" spans="3:74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</row>
    <row r="217" spans="3:74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</row>
    <row r="218" spans="3:74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</row>
    <row r="219" spans="3:74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</row>
    <row r="220" spans="3:74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</row>
    <row r="221" spans="3:74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</row>
    <row r="222" spans="3:74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</row>
    <row r="223" spans="3:74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</row>
    <row r="224" spans="3:74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</row>
    <row r="225" spans="3:74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</row>
    <row r="226" spans="3:74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</row>
    <row r="227" spans="3:74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</row>
    <row r="228" spans="3:74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</row>
    <row r="229" spans="3:74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</row>
    <row r="230" spans="3:74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</row>
    <row r="231" spans="3:74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</row>
    <row r="232" spans="3:74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</row>
    <row r="233" spans="3:74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</row>
    <row r="234" spans="3:74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</row>
    <row r="235" spans="3:74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</row>
    <row r="236" spans="3:74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</row>
    <row r="237" spans="3:74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</row>
    <row r="238" spans="3:74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</row>
    <row r="239" spans="3:74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</row>
    <row r="240" spans="3:74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</row>
    <row r="241" spans="3:74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</row>
    <row r="242" spans="3:74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</row>
    <row r="243" spans="3:74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</row>
    <row r="244" spans="3:74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</row>
    <row r="245" spans="3:74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</row>
    <row r="246" spans="3:74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</row>
    <row r="247" spans="3:74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</row>
    <row r="248" spans="3:74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</row>
    <row r="249" spans="3:74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</row>
    <row r="250" spans="3:74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</row>
    <row r="251" spans="3:74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</row>
    <row r="252" spans="3:74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</row>
    <row r="253" spans="3:74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</row>
    <row r="254" spans="3:74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</row>
    <row r="255" spans="3:74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</row>
    <row r="256" spans="3:74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</row>
    <row r="257" spans="3:74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</row>
    <row r="258" spans="3:74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</row>
    <row r="259" spans="3:74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</row>
    <row r="260" spans="3:74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</row>
    <row r="261" spans="3:74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</row>
    <row r="262" spans="3:74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</row>
    <row r="263" spans="3:74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</row>
    <row r="264" spans="3:74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</row>
    <row r="265" spans="3:74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</row>
    <row r="266" spans="3:74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</row>
    <row r="267" spans="3:74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</row>
    <row r="268" spans="3:74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</row>
    <row r="269" spans="3:74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</row>
    <row r="270" spans="3:74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</row>
    <row r="271" spans="3:74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</row>
    <row r="272" spans="3:74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</row>
    <row r="273" spans="3:74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</row>
    <row r="274" spans="3:74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</row>
    <row r="275" spans="3:74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</row>
    <row r="276" spans="3:74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</row>
    <row r="277" spans="3:74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</row>
    <row r="278" spans="3:74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</row>
    <row r="279" spans="3:74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</row>
    <row r="280" spans="3:74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</row>
    <row r="281" spans="3:74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</row>
    <row r="282" spans="3:74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</row>
    <row r="283" spans="3:74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</row>
    <row r="284" spans="3:74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</row>
    <row r="285" spans="3:74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</row>
    <row r="286" spans="3:74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</row>
    <row r="287" spans="3:74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</row>
    <row r="288" spans="3:74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</row>
    <row r="289" spans="3:74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</row>
    <row r="290" spans="3:74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</row>
    <row r="291" spans="3:74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</row>
    <row r="292" spans="3:74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</row>
    <row r="293" spans="3:74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</row>
    <row r="294" spans="3:74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</row>
    <row r="295" spans="3:74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</row>
    <row r="296" spans="3:74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</row>
    <row r="297" spans="3:74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</row>
    <row r="298" spans="3:74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</row>
    <row r="299" spans="3:74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</row>
    <row r="300" spans="3:74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</row>
    <row r="301" spans="3:74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</row>
    <row r="302" spans="3:74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</row>
    <row r="303" spans="3:74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</row>
    <row r="304" spans="3:74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</row>
    <row r="305" spans="3:74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</row>
    <row r="306" spans="3:74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</row>
    <row r="307" spans="3:74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</row>
    <row r="308" spans="3:74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</row>
    <row r="309" spans="3:74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</row>
    <row r="310" spans="3:74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</row>
    <row r="311" spans="3:74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</row>
    <row r="312" spans="3:74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</row>
    <row r="313" spans="3:74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</row>
    <row r="314" spans="3:74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</row>
    <row r="315" spans="3:74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</row>
    <row r="316" spans="3:74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</row>
    <row r="317" spans="3:74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</row>
    <row r="318" spans="3:74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</row>
    <row r="319" spans="3:74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</row>
    <row r="320" spans="3:74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</row>
    <row r="321" spans="3:74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</row>
    <row r="322" spans="3:74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</row>
    <row r="323" spans="3:74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</row>
    <row r="324" spans="3:74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</row>
    <row r="325" spans="3:74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</row>
    <row r="326" spans="3:74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</row>
    <row r="327" spans="3:74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</row>
    <row r="328" spans="3:74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</row>
    <row r="329" spans="3:74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</row>
    <row r="330" spans="3:74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</row>
    <row r="331" spans="3:74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</row>
    <row r="332" spans="3:74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</row>
    <row r="333" spans="3:74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</row>
    <row r="334" spans="3:74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</row>
    <row r="335" spans="3:74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</row>
    <row r="336" spans="3:74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</row>
    <row r="337" spans="3:74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</row>
    <row r="338" spans="3:74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</row>
    <row r="339" spans="3:74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</row>
    <row r="340" spans="3:74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</row>
    <row r="341" spans="3:74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</row>
    <row r="342" spans="3:74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</row>
    <row r="343" spans="3:74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</row>
    <row r="344" spans="3:74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</row>
    <row r="345" spans="3:74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</row>
    <row r="346" spans="3:74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</row>
    <row r="347" spans="3:74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</row>
    <row r="348" spans="3:74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</row>
    <row r="349" spans="3:74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</row>
    <row r="350" spans="3:74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</row>
    <row r="351" spans="3:74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</row>
    <row r="352" spans="3:74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</row>
    <row r="353" spans="3:74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</row>
    <row r="354" spans="3:74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</row>
    <row r="355" spans="3:74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</row>
    <row r="356" spans="3:74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</row>
    <row r="357" spans="3:74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</row>
    <row r="358" spans="3:74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</row>
    <row r="359" spans="3:74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</row>
    <row r="360" spans="3:74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</row>
    <row r="361" spans="3:74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</row>
    <row r="362" spans="3:74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</row>
    <row r="363" spans="3:74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</row>
    <row r="364" spans="3:74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</row>
    <row r="365" spans="3:74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</row>
    <row r="366" spans="3:74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</row>
    <row r="367" spans="3:74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</row>
    <row r="368" spans="3:74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</row>
    <row r="369" spans="3:74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</row>
    <row r="370" spans="3:74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</row>
    <row r="371" spans="3:74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</row>
    <row r="372" spans="3:74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</row>
    <row r="373" spans="3:74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</row>
    <row r="374" spans="3:74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</row>
    <row r="375" spans="3:74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</row>
    <row r="376" spans="3:74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</row>
    <row r="377" spans="3:74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</row>
    <row r="378" spans="3:74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</row>
    <row r="379" spans="3:74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</row>
    <row r="380" spans="3:74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</row>
    <row r="381" spans="3:74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</row>
    <row r="382" spans="3:74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</row>
    <row r="383" spans="3:74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</row>
    <row r="384" spans="3:74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</row>
    <row r="385" spans="3:74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</row>
    <row r="386" spans="3:74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</row>
    <row r="387" spans="3:74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</row>
    <row r="388" spans="3:74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</row>
    <row r="389" spans="3:74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</row>
    <row r="390" spans="3:74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</row>
    <row r="391" spans="3:74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</row>
    <row r="392" spans="3:74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</row>
    <row r="393" spans="3:74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</row>
    <row r="394" spans="3:74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</row>
    <row r="395" spans="3:74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</row>
    <row r="396" spans="3:74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</row>
    <row r="397" spans="3:74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</row>
    <row r="398" spans="3:74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</row>
    <row r="399" spans="3:74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</row>
    <row r="400" spans="3:74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</row>
    <row r="401" spans="3:74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</row>
    <row r="402" spans="3:74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</row>
    <row r="403" spans="3:74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</row>
    <row r="404" spans="3:74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</row>
    <row r="405" spans="3:74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</row>
    <row r="406" spans="3:74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</row>
    <row r="407" spans="3:74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</row>
    <row r="408" spans="3:74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</row>
    <row r="409" spans="3:74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</row>
    <row r="410" spans="3:74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</row>
    <row r="411" spans="3:74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</row>
    <row r="412" spans="3:74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</row>
    <row r="413" spans="3:74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</row>
    <row r="414" spans="3:74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</row>
    <row r="415" spans="3:74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</row>
    <row r="416" spans="3:74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</row>
    <row r="417" spans="3:74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</row>
    <row r="418" spans="3:74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</row>
    <row r="419" spans="3:74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</row>
    <row r="420" spans="3:74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</row>
    <row r="421" spans="3:74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</row>
    <row r="422" spans="3:74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</row>
    <row r="423" spans="3:74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</row>
    <row r="424" spans="3:74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</row>
    <row r="425" spans="3:74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</row>
    <row r="426" spans="3:74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</row>
    <row r="427" spans="3:74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</row>
    <row r="428" spans="3:74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</row>
    <row r="429" spans="3:74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</row>
    <row r="430" spans="3:74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</row>
    <row r="431" spans="3:74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</row>
    <row r="432" spans="3:74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</row>
    <row r="433" spans="3:74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</row>
    <row r="434" spans="3:74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</row>
    <row r="435" spans="3:74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</row>
    <row r="436" spans="3:74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</row>
    <row r="437" spans="3:74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</row>
    <row r="438" spans="3:74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</row>
    <row r="439" spans="3:74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</row>
    <row r="440" spans="3:74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</row>
    <row r="441" spans="3:74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</row>
    <row r="442" spans="3:74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</row>
    <row r="443" spans="3:74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</row>
    <row r="444" spans="3:74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</row>
    <row r="445" spans="3:74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</row>
    <row r="446" spans="3:74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</row>
    <row r="447" spans="3:74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</row>
    <row r="448" spans="3:74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</row>
    <row r="449" spans="3:74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</row>
    <row r="450" spans="3:74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</row>
    <row r="451" spans="3:74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</row>
    <row r="452" spans="3:74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</row>
    <row r="453" spans="3:74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</row>
    <row r="454" spans="3:74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</row>
    <row r="455" spans="3:74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</row>
    <row r="456" spans="3:74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</row>
    <row r="457" spans="3:74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</row>
    <row r="458" spans="3:74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</row>
    <row r="459" spans="3:74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</row>
    <row r="460" spans="3:74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</row>
    <row r="461" spans="3:74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</row>
    <row r="462" spans="3:74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</row>
    <row r="463" spans="3:74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</row>
    <row r="464" spans="3:74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</row>
    <row r="465" spans="3:74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</row>
    <row r="466" spans="3:74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</row>
    <row r="467" spans="3:74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</row>
    <row r="468" spans="3:74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</row>
    <row r="469" spans="3:74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</row>
    <row r="470" spans="3:74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</row>
    <row r="471" spans="3:74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</row>
    <row r="472" spans="3:74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</row>
    <row r="473" spans="3:74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</row>
    <row r="474" spans="3:74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</row>
    <row r="475" spans="3:74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</row>
    <row r="476" spans="3:74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</row>
    <row r="477" spans="3:74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</row>
    <row r="478" spans="3:74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</row>
    <row r="479" spans="3:74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</row>
    <row r="480" spans="3:74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</row>
    <row r="481" spans="3:74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</row>
    <row r="482" spans="3:74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</row>
    <row r="483" spans="3:74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</row>
    <row r="484" spans="3:74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</row>
    <row r="485" spans="3:74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</row>
    <row r="486" spans="3:74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</row>
    <row r="487" spans="3:74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</row>
    <row r="488" spans="3:74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</row>
    <row r="489" spans="3:74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</row>
    <row r="490" spans="3:74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</row>
    <row r="491" spans="3:74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</row>
    <row r="492" spans="3:74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</row>
    <row r="493" spans="3:74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</row>
    <row r="494" spans="3:74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</row>
    <row r="495" spans="3:74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</row>
    <row r="496" spans="3:74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</row>
    <row r="497" spans="3:74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</row>
    <row r="498" spans="3:74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</row>
    <row r="499" spans="3:74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</row>
    <row r="500" spans="3:74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</row>
  </sheetData>
  <hyperlinks>
    <hyperlink ref="A1" location="Main!A1" display="Main" xr:uid="{340CE212-9056-49A1-A643-44B9A2F7CDC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2024-10-28T10:30:01Z</dcterms:created>
  <dcterms:modified xsi:type="dcterms:W3CDTF">2026-02-25T17:16:02Z</dcterms:modified>
</cp:coreProperties>
</file>