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394E8180-DBEB-41BD-B317-43022EBDA47B}" xr6:coauthVersionLast="47" xr6:coauthVersionMax="47" xr10:uidLastSave="{00000000-0000-0000-0000-000000000000}"/>
  <bookViews>
    <workbookView xWindow="19095" yWindow="0" windowWidth="19410" windowHeight="20985" activeTab="1" xr2:uid="{3AF04D28-8998-4CB9-8994-9DFD7A9E4F0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" i="2" l="1"/>
  <c r="Q33" i="2"/>
  <c r="P33" i="2"/>
  <c r="O33" i="2"/>
  <c r="N33" i="2"/>
  <c r="M33" i="2"/>
  <c r="L33" i="2"/>
  <c r="K33" i="2"/>
  <c r="R32" i="2"/>
  <c r="Q32" i="2"/>
  <c r="P32" i="2"/>
  <c r="O32" i="2"/>
  <c r="N32" i="2"/>
  <c r="M32" i="2"/>
  <c r="L32" i="2"/>
  <c r="K32" i="2"/>
  <c r="R31" i="2"/>
  <c r="Q31" i="2"/>
  <c r="P31" i="2"/>
  <c r="O31" i="2"/>
  <c r="N31" i="2"/>
  <c r="M31" i="2"/>
  <c r="L31" i="2"/>
  <c r="K31" i="2"/>
  <c r="R30" i="2"/>
  <c r="Q30" i="2"/>
  <c r="P30" i="2"/>
  <c r="O30" i="2"/>
  <c r="N30" i="2"/>
  <c r="M30" i="2"/>
  <c r="L30" i="2"/>
  <c r="K30" i="2"/>
  <c r="R29" i="2"/>
  <c r="Q29" i="2"/>
  <c r="P29" i="2"/>
  <c r="O29" i="2"/>
  <c r="N29" i="2"/>
  <c r="M29" i="2"/>
  <c r="L29" i="2"/>
  <c r="K29" i="2"/>
  <c r="R28" i="2"/>
  <c r="Q28" i="2"/>
  <c r="P28" i="2"/>
  <c r="O28" i="2"/>
  <c r="N28" i="2"/>
  <c r="M28" i="2"/>
  <c r="L28" i="2"/>
  <c r="K28" i="2"/>
  <c r="R27" i="2"/>
  <c r="Q27" i="2"/>
  <c r="P27" i="2"/>
  <c r="O27" i="2"/>
  <c r="N27" i="2"/>
  <c r="M27" i="2"/>
  <c r="L27" i="2"/>
  <c r="K27" i="2"/>
  <c r="R26" i="2"/>
  <c r="Q26" i="2"/>
  <c r="P26" i="2"/>
  <c r="O26" i="2"/>
  <c r="N26" i="2"/>
  <c r="M26" i="2"/>
  <c r="L26" i="2"/>
  <c r="K26" i="2"/>
  <c r="K19" i="2"/>
  <c r="O23" i="2"/>
  <c r="N23" i="2"/>
  <c r="M23" i="2"/>
  <c r="L23" i="2"/>
  <c r="J23" i="2"/>
  <c r="H23" i="2"/>
  <c r="G23" i="2"/>
  <c r="F23" i="2"/>
  <c r="E23" i="2"/>
  <c r="D23" i="2"/>
  <c r="C23" i="2"/>
  <c r="I23" i="2"/>
  <c r="R21" i="2"/>
  <c r="Q21" i="2"/>
  <c r="P21" i="2"/>
  <c r="O21" i="2"/>
  <c r="N21" i="2"/>
  <c r="M21" i="2"/>
  <c r="L21" i="2"/>
  <c r="J21" i="2"/>
  <c r="I21" i="2"/>
  <c r="H21" i="2"/>
  <c r="G21" i="2"/>
  <c r="F21" i="2"/>
  <c r="D21" i="2"/>
  <c r="C21" i="2"/>
  <c r="E21" i="2"/>
  <c r="O10" i="2"/>
  <c r="O14" i="2" s="1"/>
  <c r="O17" i="2" s="1"/>
  <c r="O19" i="2" s="1"/>
  <c r="N10" i="2"/>
  <c r="N14" i="2" s="1"/>
  <c r="N17" i="2" s="1"/>
  <c r="N19" i="2" s="1"/>
  <c r="M10" i="2"/>
  <c r="M14" i="2" s="1"/>
  <c r="M17" i="2" s="1"/>
  <c r="M19" i="2" s="1"/>
  <c r="L10" i="2"/>
  <c r="L14" i="2" s="1"/>
  <c r="L17" i="2" s="1"/>
  <c r="L19" i="2" s="1"/>
  <c r="K10" i="2"/>
  <c r="K14" i="2" s="1"/>
  <c r="K17" i="2" s="1"/>
  <c r="K21" i="2" s="1"/>
  <c r="K23" i="2" s="1"/>
  <c r="J30" i="2"/>
  <c r="J29" i="2"/>
  <c r="J28" i="2"/>
  <c r="J27" i="2"/>
  <c r="J26" i="2"/>
  <c r="H30" i="2"/>
  <c r="G30" i="2"/>
  <c r="H29" i="2"/>
  <c r="G29" i="2"/>
  <c r="H28" i="2"/>
  <c r="G28" i="2"/>
  <c r="H27" i="2"/>
  <c r="G27" i="2"/>
  <c r="H26" i="2"/>
  <c r="G26" i="2"/>
  <c r="I30" i="2"/>
  <c r="I29" i="2"/>
  <c r="I28" i="2"/>
  <c r="I27" i="2"/>
  <c r="I26" i="2"/>
  <c r="J10" i="2"/>
  <c r="J14" i="2" s="1"/>
  <c r="J17" i="2" s="1"/>
  <c r="J19" i="2" s="1"/>
  <c r="H10" i="2"/>
  <c r="H14" i="2" s="1"/>
  <c r="H17" i="2" s="1"/>
  <c r="H19" i="2" s="1"/>
  <c r="G10" i="2"/>
  <c r="G14" i="2" s="1"/>
  <c r="G17" i="2" s="1"/>
  <c r="G19" i="2" s="1"/>
  <c r="F10" i="2"/>
  <c r="F14" i="2" s="1"/>
  <c r="F17" i="2" s="1"/>
  <c r="F19" i="2" s="1"/>
  <c r="E10" i="2"/>
  <c r="E14" i="2" s="1"/>
  <c r="E17" i="2" s="1"/>
  <c r="E19" i="2" s="1"/>
  <c r="D10" i="2"/>
  <c r="D14" i="2" s="1"/>
  <c r="D17" i="2" s="1"/>
  <c r="D19" i="2" s="1"/>
  <c r="C10" i="2"/>
  <c r="C14" i="2" s="1"/>
  <c r="C17" i="2" s="1"/>
  <c r="C19" i="2" s="1"/>
  <c r="I10" i="2"/>
  <c r="I14" i="2" s="1"/>
  <c r="I17" i="2" s="1"/>
  <c r="I19" i="2" s="1"/>
  <c r="I4" i="1"/>
  <c r="I7" i="1" s="1"/>
  <c r="C32" i="2" l="1"/>
  <c r="E32" i="2"/>
  <c r="D33" i="2"/>
  <c r="D32" i="2"/>
  <c r="C33" i="2"/>
  <c r="E33" i="2"/>
  <c r="H33" i="2"/>
  <c r="J31" i="2"/>
  <c r="J32" i="2"/>
  <c r="G31" i="2"/>
  <c r="F32" i="2"/>
  <c r="G32" i="2"/>
  <c r="H32" i="2"/>
  <c r="F33" i="2"/>
  <c r="G33" i="2"/>
  <c r="J33" i="2"/>
  <c r="I31" i="2"/>
  <c r="I32" i="2"/>
  <c r="I33" i="2"/>
  <c r="C31" i="2"/>
  <c r="D31" i="2"/>
  <c r="E31" i="2"/>
  <c r="F31" i="2"/>
  <c r="H31" i="2"/>
</calcChain>
</file>

<file path=xl/sharedStrings.xml><?xml version="1.0" encoding="utf-8"?>
<sst xmlns="http://schemas.openxmlformats.org/spreadsheetml/2006/main" count="62" uniqueCount="58">
  <si>
    <t>American Eagle Outfiters</t>
  </si>
  <si>
    <t>numbers in mio USD</t>
  </si>
  <si>
    <t>AEO</t>
  </si>
  <si>
    <t>IR</t>
  </si>
  <si>
    <t>Price</t>
  </si>
  <si>
    <t>Shares</t>
  </si>
  <si>
    <t>MC</t>
  </si>
  <si>
    <t>Cash</t>
  </si>
  <si>
    <t>Debt</t>
  </si>
  <si>
    <t>EV</t>
  </si>
  <si>
    <t>Q324</t>
  </si>
  <si>
    <t>Main</t>
  </si>
  <si>
    <t>Q123</t>
  </si>
  <si>
    <t>Q223</t>
  </si>
  <si>
    <t>Q323</t>
  </si>
  <si>
    <t>Q423</t>
  </si>
  <si>
    <t>Q124</t>
  </si>
  <si>
    <t>Q224</t>
  </si>
  <si>
    <t>Revenue</t>
  </si>
  <si>
    <t>COGS</t>
  </si>
  <si>
    <t>Gross Profit</t>
  </si>
  <si>
    <t>SGA</t>
  </si>
  <si>
    <t>Impairment and other</t>
  </si>
  <si>
    <t>D&amp;A</t>
  </si>
  <si>
    <t>Operating Income</t>
  </si>
  <si>
    <t>Interest Income</t>
  </si>
  <si>
    <t>Other Income</t>
  </si>
  <si>
    <t>Pretax Income</t>
  </si>
  <si>
    <t>Tax Expense</t>
  </si>
  <si>
    <t>Net Income</t>
  </si>
  <si>
    <t>EPS</t>
  </si>
  <si>
    <t>Q424</t>
  </si>
  <si>
    <t>American Eagle Revenue</t>
  </si>
  <si>
    <t>Aerie Revenue</t>
  </si>
  <si>
    <t>Total Stores</t>
  </si>
  <si>
    <t>Store Growth</t>
  </si>
  <si>
    <t>Gross Square Feet of Stores</t>
  </si>
  <si>
    <t>Change in Volume of Stores</t>
  </si>
  <si>
    <t>American Eagle Growth</t>
  </si>
  <si>
    <t>Aerie Growth</t>
  </si>
  <si>
    <t>Revenue Growth</t>
  </si>
  <si>
    <t xml:space="preserve">Gross Margin </t>
  </si>
  <si>
    <t xml:space="preserve">Operating Margin </t>
  </si>
  <si>
    <t>Tax Rate</t>
  </si>
  <si>
    <t>Notes</t>
  </si>
  <si>
    <t>x</t>
  </si>
  <si>
    <t>American Eagles, Aeries</t>
  </si>
  <si>
    <t>Brands:</t>
  </si>
  <si>
    <t>Q125</t>
  </si>
  <si>
    <t>Q225</t>
  </si>
  <si>
    <t>Q325</t>
  </si>
  <si>
    <t>Q425</t>
  </si>
  <si>
    <t>Q126</t>
  </si>
  <si>
    <t>Q226</t>
  </si>
  <si>
    <t>Q326</t>
  </si>
  <si>
    <t>Q426</t>
  </si>
  <si>
    <t>Minority Interest</t>
  </si>
  <si>
    <t>Net Income to Shareholders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</si>
</sst>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;\(#,##0.0\)"/>
    <numFmt numFmtId="166" formatCode="#,##0.00;\(#,##0.00\)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4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2" applyFont="1"/>
    <xf numFmtId="3" fontId="2" fillId="0" borderId="0" xfId="0" applyNumberFormat="1" applyFont="1"/>
    <xf numFmtId="164" fontId="4" fillId="0" borderId="0" xfId="0" applyNumberFormat="1" applyFont="1"/>
    <xf numFmtId="4" fontId="2" fillId="0" borderId="0" xfId="0" applyNumberFormat="1" applyFont="1"/>
    <xf numFmtId="9" fontId="2" fillId="0" borderId="0" xfId="1" applyFont="1"/>
    <xf numFmtId="0" fontId="1" fillId="0" borderId="0" xfId="0" applyFont="1"/>
    <xf numFmtId="0" fontId="1" fillId="0" borderId="0" xfId="0" applyFont="1" applyAlignment="1">
      <alignment horizontal="right"/>
    </xf>
    <xf numFmtId="0" fontId="6" fillId="0" borderId="0" xfId="2"/>
    <xf numFmtId="9" fontId="4" fillId="0" borderId="0" xfId="1" applyFont="1"/>
    <xf numFmtId="165" fontId="2" fillId="0" borderId="0" xfId="0" applyNumberFormat="1" applyFont="1"/>
    <xf numFmtId="165" fontId="4" fillId="0" borderId="0" xfId="0" applyNumberFormat="1" applyFont="1"/>
    <xf numFmtId="166" fontId="2" fillId="0" borderId="0" xfId="0" applyNumberFormat="1" applyFont="1"/>
  </cellXfs>
  <cellStyles count="3">
    <cellStyle name="Hyperlink" xfId="2" builtinId="8" customBuiltin="1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s.ae.com/investor-home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CF45-F336-4CFE-854F-50895CD58EE0}">
  <dimension ref="A1:J14"/>
  <sheetViews>
    <sheetView topLeftCell="B1" zoomScale="200" zoomScaleNormal="200" workbookViewId="0">
      <selection activeCell="I7" sqref="I7"/>
    </sheetView>
  </sheetViews>
  <sheetFormatPr defaultRowHeight="12.75" x14ac:dyDescent="0.2"/>
  <cols>
    <col min="1" max="1" width="4.7109375" style="2" customWidth="1"/>
    <col min="2" max="16384" width="9.140625" style="2"/>
  </cols>
  <sheetData>
    <row r="1" spans="1:10" x14ac:dyDescent="0.2">
      <c r="A1" s="1" t="s">
        <v>0</v>
      </c>
    </row>
    <row r="2" spans="1:10" x14ac:dyDescent="0.2">
      <c r="A2" s="2" t="s">
        <v>1</v>
      </c>
      <c r="H2" s="2" t="s">
        <v>4</v>
      </c>
      <c r="I2" s="2">
        <v>17.37</v>
      </c>
    </row>
    <row r="3" spans="1:10" x14ac:dyDescent="0.2">
      <c r="H3" s="2" t="s">
        <v>5</v>
      </c>
      <c r="I3" s="3">
        <v>167.57333299999999</v>
      </c>
      <c r="J3" s="13" t="s">
        <v>52</v>
      </c>
    </row>
    <row r="4" spans="1:10" x14ac:dyDescent="0.2">
      <c r="B4" s="2" t="s">
        <v>2</v>
      </c>
      <c r="H4" s="2" t="s">
        <v>6</v>
      </c>
      <c r="I4" s="3">
        <f>+I2*I3</f>
        <v>2910.7487942100001</v>
      </c>
    </row>
    <row r="5" spans="1:10" x14ac:dyDescent="0.2">
      <c r="B5" s="14" t="s">
        <v>3</v>
      </c>
      <c r="H5" s="2" t="s">
        <v>7</v>
      </c>
      <c r="I5" s="3">
        <v>103.286</v>
      </c>
      <c r="J5" s="13" t="s">
        <v>52</v>
      </c>
    </row>
    <row r="6" spans="1:10" x14ac:dyDescent="0.2">
      <c r="H6" s="2" t="s">
        <v>8</v>
      </c>
      <c r="I6" s="3">
        <v>85</v>
      </c>
      <c r="J6" s="13" t="s">
        <v>52</v>
      </c>
    </row>
    <row r="7" spans="1:10" x14ac:dyDescent="0.2">
      <c r="H7" s="2" t="s">
        <v>9</v>
      </c>
      <c r="I7" s="3">
        <f>+I4-I5+I6</f>
        <v>2892.4627942100001</v>
      </c>
    </row>
    <row r="12" spans="1:10" x14ac:dyDescent="0.2">
      <c r="A12" s="5" t="s">
        <v>45</v>
      </c>
      <c r="B12" s="6" t="s">
        <v>44</v>
      </c>
    </row>
    <row r="13" spans="1:10" x14ac:dyDescent="0.2">
      <c r="B13" s="2" t="s">
        <v>47</v>
      </c>
    </row>
    <row r="14" spans="1:10" x14ac:dyDescent="0.2">
      <c r="B14" s="2" t="s">
        <v>46</v>
      </c>
    </row>
  </sheetData>
  <hyperlinks>
    <hyperlink ref="B5" r:id="rId1" xr:uid="{E6F8A4DF-B7EA-48D7-BCDA-EC12510E4C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3300-CB92-4F6E-827D-008A8029E743}">
  <dimension ref="A1:BU286"/>
  <sheetViews>
    <sheetView tabSelected="1" zoomScale="200" zoomScaleNormal="200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E1" sqref="E1"/>
    </sheetView>
  </sheetViews>
  <sheetFormatPr defaultRowHeight="12.75" x14ac:dyDescent="0.2"/>
  <cols>
    <col min="1" max="1" width="5.42578125" style="2" bestFit="1" customWidth="1"/>
    <col min="2" max="2" width="28.85546875" style="2" customWidth="1"/>
    <col min="3" max="16384" width="9.140625" style="2"/>
  </cols>
  <sheetData>
    <row r="1" spans="1:73" x14ac:dyDescent="0.2">
      <c r="A1" s="7" t="s">
        <v>11</v>
      </c>
    </row>
    <row r="2" spans="1:73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10</v>
      </c>
      <c r="J2" s="4" t="s">
        <v>31</v>
      </c>
      <c r="K2" s="13" t="s">
        <v>48</v>
      </c>
      <c r="L2" s="13" t="s">
        <v>49</v>
      </c>
      <c r="M2" s="13" t="s">
        <v>50</v>
      </c>
      <c r="N2" s="13" t="s">
        <v>51</v>
      </c>
      <c r="O2" s="13" t="s">
        <v>52</v>
      </c>
      <c r="P2" s="13" t="s">
        <v>53</v>
      </c>
      <c r="Q2" s="13" t="s">
        <v>54</v>
      </c>
      <c r="R2" s="13" t="s">
        <v>55</v>
      </c>
    </row>
    <row r="3" spans="1:73" x14ac:dyDescent="0.2">
      <c r="B3" s="2" t="s">
        <v>34</v>
      </c>
      <c r="C3" s="8"/>
      <c r="D3" s="8"/>
      <c r="E3" s="8">
        <v>1199</v>
      </c>
      <c r="F3" s="8"/>
      <c r="G3" s="8"/>
      <c r="H3" s="8"/>
      <c r="I3" s="8">
        <v>1186</v>
      </c>
      <c r="J3" s="8"/>
      <c r="K3" s="8">
        <v>1176</v>
      </c>
      <c r="L3" s="8"/>
      <c r="M3" s="8"/>
      <c r="N3" s="8"/>
      <c r="O3" s="8">
        <v>1170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73" x14ac:dyDescent="0.2">
      <c r="B4" s="2" t="s">
        <v>36</v>
      </c>
      <c r="C4" s="8"/>
      <c r="D4" s="8"/>
      <c r="E4" s="8">
        <v>7333</v>
      </c>
      <c r="F4" s="8"/>
      <c r="G4" s="8"/>
      <c r="H4" s="8"/>
      <c r="I4" s="8">
        <v>7282</v>
      </c>
      <c r="J4" s="8"/>
      <c r="K4" s="8">
        <v>7232</v>
      </c>
      <c r="L4" s="8"/>
      <c r="M4" s="8"/>
      <c r="N4" s="8"/>
      <c r="O4" s="8">
        <v>7220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73" x14ac:dyDescent="0.2">
      <c r="C5" s="4"/>
      <c r="D5" s="4"/>
      <c r="E5" s="4"/>
      <c r="F5" s="4"/>
      <c r="G5" s="4"/>
      <c r="H5" s="4"/>
      <c r="I5" s="4"/>
      <c r="J5" s="4"/>
    </row>
    <row r="6" spans="1:73" x14ac:dyDescent="0.2">
      <c r="B6" s="2" t="s">
        <v>32</v>
      </c>
      <c r="C6" s="16"/>
      <c r="D6" s="16"/>
      <c r="E6" s="16">
        <v>857.37800000000004</v>
      </c>
      <c r="F6" s="16"/>
      <c r="G6" s="16"/>
      <c r="H6" s="16"/>
      <c r="I6" s="16">
        <v>831.91399999999999</v>
      </c>
      <c r="J6" s="16"/>
      <c r="K6" s="16">
        <v>693.86500000000001</v>
      </c>
      <c r="L6" s="16"/>
      <c r="M6" s="16"/>
      <c r="N6" s="16"/>
      <c r="O6" s="16">
        <v>678.476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</row>
    <row r="7" spans="1:73" x14ac:dyDescent="0.2">
      <c r="B7" s="2" t="s">
        <v>33</v>
      </c>
      <c r="C7" s="16"/>
      <c r="D7" s="16"/>
      <c r="E7" s="16">
        <v>393.04199999999997</v>
      </c>
      <c r="F7" s="16"/>
      <c r="G7" s="16"/>
      <c r="H7" s="16"/>
      <c r="I7" s="16">
        <v>410.44200000000001</v>
      </c>
      <c r="J7" s="16"/>
      <c r="K7" s="16">
        <v>359.78800000000001</v>
      </c>
      <c r="L7" s="16"/>
      <c r="M7" s="16"/>
      <c r="N7" s="16"/>
      <c r="O7" s="16">
        <v>480.82600000000002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</row>
    <row r="8" spans="1:73" x14ac:dyDescent="0.2">
      <c r="B8" s="1" t="s">
        <v>18</v>
      </c>
      <c r="C8" s="17"/>
      <c r="D8" s="17"/>
      <c r="E8" s="17">
        <v>1301.0550000000001</v>
      </c>
      <c r="F8" s="17"/>
      <c r="G8" s="17"/>
      <c r="H8" s="17"/>
      <c r="I8" s="17">
        <v>1289.0940000000001</v>
      </c>
      <c r="J8" s="17"/>
      <c r="K8" s="17">
        <v>1089.5989999999999</v>
      </c>
      <c r="L8" s="16"/>
      <c r="M8" s="16"/>
      <c r="N8" s="16"/>
      <c r="O8" s="17">
        <v>1195.2850000000001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</row>
    <row r="9" spans="1:73" x14ac:dyDescent="0.2">
      <c r="B9" s="2" t="s">
        <v>19</v>
      </c>
      <c r="C9" s="16"/>
      <c r="D9" s="16"/>
      <c r="E9" s="16">
        <v>757.25800000000004</v>
      </c>
      <c r="F9" s="16"/>
      <c r="G9" s="16"/>
      <c r="H9" s="16"/>
      <c r="I9" s="16">
        <v>762.47</v>
      </c>
      <c r="J9" s="16"/>
      <c r="K9" s="16">
        <v>767.178</v>
      </c>
      <c r="L9" s="16"/>
      <c r="M9" s="16"/>
      <c r="N9" s="16"/>
      <c r="O9" s="16">
        <v>739.11300000000006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</row>
    <row r="10" spans="1:73" x14ac:dyDescent="0.2">
      <c r="B10" s="2" t="s">
        <v>20</v>
      </c>
      <c r="C10" s="16">
        <f t="shared" ref="C10:H10" si="0">+C8-C9</f>
        <v>0</v>
      </c>
      <c r="D10" s="16">
        <f t="shared" si="0"/>
        <v>0</v>
      </c>
      <c r="E10" s="16">
        <f t="shared" si="0"/>
        <v>543.79700000000003</v>
      </c>
      <c r="F10" s="16">
        <f t="shared" si="0"/>
        <v>0</v>
      </c>
      <c r="G10" s="16">
        <f t="shared" si="0"/>
        <v>0</v>
      </c>
      <c r="H10" s="16">
        <f t="shared" si="0"/>
        <v>0</v>
      </c>
      <c r="I10" s="16">
        <f>+I8-I9</f>
        <v>526.62400000000002</v>
      </c>
      <c r="J10" s="16">
        <f t="shared" ref="J10:O10" si="1">+J8-J9</f>
        <v>0</v>
      </c>
      <c r="K10" s="16">
        <f t="shared" si="1"/>
        <v>322.42099999999994</v>
      </c>
      <c r="L10" s="16">
        <f t="shared" si="1"/>
        <v>0</v>
      </c>
      <c r="M10" s="16">
        <f t="shared" si="1"/>
        <v>0</v>
      </c>
      <c r="N10" s="16">
        <f t="shared" si="1"/>
        <v>0</v>
      </c>
      <c r="O10" s="16">
        <f t="shared" si="1"/>
        <v>456.17200000000003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</row>
    <row r="11" spans="1:73" x14ac:dyDescent="0.2">
      <c r="B11" s="2" t="s">
        <v>21</v>
      </c>
      <c r="C11" s="16"/>
      <c r="D11" s="16"/>
      <c r="E11" s="16">
        <v>361.99200000000002</v>
      </c>
      <c r="F11" s="16"/>
      <c r="G11" s="16"/>
      <c r="H11" s="16"/>
      <c r="I11" s="16">
        <v>351.38</v>
      </c>
      <c r="J11" s="16"/>
      <c r="K11" s="16">
        <v>338.786</v>
      </c>
      <c r="L11" s="16"/>
      <c r="M11" s="16"/>
      <c r="N11" s="16"/>
      <c r="O11" s="16">
        <v>376.49200000000002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</row>
    <row r="12" spans="1:73" x14ac:dyDescent="0.2">
      <c r="B12" s="2" t="s">
        <v>22</v>
      </c>
      <c r="C12" s="16"/>
      <c r="D12" s="16"/>
      <c r="E12" s="16">
        <v>0</v>
      </c>
      <c r="F12" s="16"/>
      <c r="G12" s="16"/>
      <c r="H12" s="16"/>
      <c r="I12" s="16">
        <v>17.561</v>
      </c>
      <c r="J12" s="16"/>
      <c r="K12" s="16">
        <v>17.119</v>
      </c>
      <c r="L12" s="16"/>
      <c r="M12" s="16"/>
      <c r="N12" s="16"/>
      <c r="O12" s="16">
        <v>0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</row>
    <row r="13" spans="1:73" x14ac:dyDescent="0.2">
      <c r="B13" s="2" t="s">
        <v>23</v>
      </c>
      <c r="C13" s="16"/>
      <c r="D13" s="16"/>
      <c r="E13" s="16">
        <v>56.444000000000003</v>
      </c>
      <c r="F13" s="16"/>
      <c r="G13" s="16"/>
      <c r="H13" s="16"/>
      <c r="I13" s="16">
        <v>51.594000000000001</v>
      </c>
      <c r="J13" s="16"/>
      <c r="K13" s="16">
        <v>51.697000000000003</v>
      </c>
      <c r="L13" s="16"/>
      <c r="M13" s="16"/>
      <c r="N13" s="16"/>
      <c r="O13" s="16">
        <v>51.454000000000001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</row>
    <row r="14" spans="1:73" x14ac:dyDescent="0.2">
      <c r="B14" s="2" t="s">
        <v>24</v>
      </c>
      <c r="C14" s="16">
        <f t="shared" ref="C14:H14" si="2">+C10-SUM(C11:C13)</f>
        <v>0</v>
      </c>
      <c r="D14" s="16">
        <f t="shared" si="2"/>
        <v>0</v>
      </c>
      <c r="E14" s="16">
        <f t="shared" si="2"/>
        <v>125.36099999999999</v>
      </c>
      <c r="F14" s="16">
        <f t="shared" si="2"/>
        <v>0</v>
      </c>
      <c r="G14" s="16">
        <f t="shared" si="2"/>
        <v>0</v>
      </c>
      <c r="H14" s="16">
        <f t="shared" si="2"/>
        <v>0</v>
      </c>
      <c r="I14" s="16">
        <f>+I10-SUM(I11:I13)</f>
        <v>106.08900000000006</v>
      </c>
      <c r="J14" s="16">
        <f t="shared" ref="J14:O14" si="3">+J10-SUM(J11:J13)</f>
        <v>0</v>
      </c>
      <c r="K14" s="16">
        <f t="shared" si="3"/>
        <v>-85.18100000000004</v>
      </c>
      <c r="L14" s="16">
        <f t="shared" si="3"/>
        <v>0</v>
      </c>
      <c r="M14" s="16">
        <f t="shared" si="3"/>
        <v>0</v>
      </c>
      <c r="N14" s="16">
        <f t="shared" si="3"/>
        <v>0</v>
      </c>
      <c r="O14" s="16">
        <f t="shared" si="3"/>
        <v>28.225999999999999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</row>
    <row r="15" spans="1:73" x14ac:dyDescent="0.2">
      <c r="B15" s="2" t="s">
        <v>25</v>
      </c>
      <c r="C15" s="16"/>
      <c r="D15" s="16"/>
      <c r="E15" s="16">
        <v>2.871</v>
      </c>
      <c r="F15" s="16"/>
      <c r="G15" s="16"/>
      <c r="H15" s="16"/>
      <c r="I15" s="16">
        <v>1.246</v>
      </c>
      <c r="J15" s="16"/>
      <c r="K15" s="16">
        <v>0.219</v>
      </c>
      <c r="L15" s="16"/>
      <c r="M15" s="16"/>
      <c r="N15" s="16"/>
      <c r="O15" s="16">
        <v>-7.8529999999999998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</row>
    <row r="16" spans="1:73" x14ac:dyDescent="0.2">
      <c r="B16" s="2" t="s">
        <v>26</v>
      </c>
      <c r="C16" s="16"/>
      <c r="D16" s="16"/>
      <c r="E16" s="16">
        <v>3.984</v>
      </c>
      <c r="F16" s="16"/>
      <c r="G16" s="16"/>
      <c r="H16" s="16"/>
      <c r="I16" s="16">
        <v>0.89500000000000002</v>
      </c>
      <c r="J16" s="16"/>
      <c r="K16" s="16">
        <v>-0.16800000000000001</v>
      </c>
      <c r="L16" s="16"/>
      <c r="M16" s="16"/>
      <c r="N16" s="16"/>
      <c r="O16" s="16">
        <v>7.22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</row>
    <row r="17" spans="2:73" x14ac:dyDescent="0.2">
      <c r="B17" s="2" t="s">
        <v>27</v>
      </c>
      <c r="C17" s="16">
        <f t="shared" ref="C17:H17" si="4">+C14+C15+C16</f>
        <v>0</v>
      </c>
      <c r="D17" s="16">
        <f t="shared" si="4"/>
        <v>0</v>
      </c>
      <c r="E17" s="16">
        <f t="shared" si="4"/>
        <v>132.21600000000001</v>
      </c>
      <c r="F17" s="16">
        <f t="shared" si="4"/>
        <v>0</v>
      </c>
      <c r="G17" s="16">
        <f t="shared" si="4"/>
        <v>0</v>
      </c>
      <c r="H17" s="16">
        <f t="shared" si="4"/>
        <v>0</v>
      </c>
      <c r="I17" s="16">
        <f>+I14+I15+I16</f>
        <v>108.23000000000005</v>
      </c>
      <c r="J17" s="16">
        <f t="shared" ref="J17:O17" si="5">+J14+J15+J16</f>
        <v>0</v>
      </c>
      <c r="K17" s="16">
        <f t="shared" si="5"/>
        <v>-85.130000000000052</v>
      </c>
      <c r="L17" s="16">
        <f t="shared" si="5"/>
        <v>0</v>
      </c>
      <c r="M17" s="16">
        <f t="shared" si="5"/>
        <v>0</v>
      </c>
      <c r="N17" s="16">
        <f t="shared" si="5"/>
        <v>0</v>
      </c>
      <c r="O17" s="16">
        <f t="shared" si="5"/>
        <v>27.592999999999996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</row>
    <row r="18" spans="2:73" x14ac:dyDescent="0.2">
      <c r="B18" s="2" t="s">
        <v>28</v>
      </c>
      <c r="C18" s="16"/>
      <c r="D18" s="16"/>
      <c r="E18" s="16">
        <v>35.515999999999998</v>
      </c>
      <c r="F18" s="16"/>
      <c r="G18" s="16"/>
      <c r="H18" s="16"/>
      <c r="I18" s="16">
        <v>28.210999999999999</v>
      </c>
      <c r="J18" s="16"/>
      <c r="K18" s="16">
        <v>-19.712</v>
      </c>
      <c r="L18" s="16"/>
      <c r="M18" s="16"/>
      <c r="N18" s="16"/>
      <c r="O18" s="16">
        <v>4.6580000000000004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</row>
    <row r="19" spans="2:73" x14ac:dyDescent="0.2">
      <c r="B19" s="12" t="s">
        <v>29</v>
      </c>
      <c r="C19" s="16">
        <f t="shared" ref="C19:H19" si="6">+C17-C18</f>
        <v>0</v>
      </c>
      <c r="D19" s="16">
        <f t="shared" si="6"/>
        <v>0</v>
      </c>
      <c r="E19" s="16">
        <f t="shared" si="6"/>
        <v>96.700000000000017</v>
      </c>
      <c r="F19" s="16">
        <f t="shared" si="6"/>
        <v>0</v>
      </c>
      <c r="G19" s="16">
        <f t="shared" si="6"/>
        <v>0</v>
      </c>
      <c r="H19" s="16">
        <f t="shared" si="6"/>
        <v>0</v>
      </c>
      <c r="I19" s="16">
        <f>+I17-I18</f>
        <v>80.019000000000048</v>
      </c>
      <c r="J19" s="16">
        <f t="shared" ref="J19:O19" si="7">+J17-J18</f>
        <v>0</v>
      </c>
      <c r="K19" s="16">
        <f t="shared" si="7"/>
        <v>-65.418000000000049</v>
      </c>
      <c r="L19" s="16">
        <f t="shared" si="7"/>
        <v>0</v>
      </c>
      <c r="M19" s="16">
        <f t="shared" si="7"/>
        <v>0</v>
      </c>
      <c r="N19" s="16">
        <f t="shared" si="7"/>
        <v>0</v>
      </c>
      <c r="O19" s="16">
        <f t="shared" si="7"/>
        <v>22.934999999999995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</row>
    <row r="20" spans="2:73" x14ac:dyDescent="0.2">
      <c r="B20" s="12" t="s">
        <v>56</v>
      </c>
      <c r="C20" s="16"/>
      <c r="D20" s="16"/>
      <c r="E20" s="16">
        <v>0</v>
      </c>
      <c r="F20" s="16"/>
      <c r="G20" s="16"/>
      <c r="H20" s="16"/>
      <c r="I20" s="16"/>
      <c r="J20" s="16"/>
      <c r="K20" s="16">
        <v>-0.51900000000000002</v>
      </c>
      <c r="L20" s="16"/>
      <c r="M20" s="16"/>
      <c r="N20" s="16"/>
      <c r="O20" s="16">
        <v>-0.55800000000000005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</row>
    <row r="21" spans="2:73" x14ac:dyDescent="0.2">
      <c r="B21" s="12" t="s">
        <v>57</v>
      </c>
      <c r="C21" s="16">
        <f t="shared" ref="C21:D21" si="8">+C19-C20</f>
        <v>0</v>
      </c>
      <c r="D21" s="16">
        <f t="shared" si="8"/>
        <v>0</v>
      </c>
      <c r="E21" s="16">
        <f>+E19-E20</f>
        <v>96.700000000000017</v>
      </c>
      <c r="F21" s="16">
        <f t="shared" ref="F21:R21" si="9">+F19-F20</f>
        <v>0</v>
      </c>
      <c r="G21" s="16">
        <f t="shared" si="9"/>
        <v>0</v>
      </c>
      <c r="H21" s="16">
        <f t="shared" si="9"/>
        <v>0</v>
      </c>
      <c r="I21" s="16">
        <f t="shared" si="9"/>
        <v>80.019000000000048</v>
      </c>
      <c r="J21" s="16">
        <f t="shared" si="9"/>
        <v>0</v>
      </c>
      <c r="K21" s="16">
        <f t="shared" si="9"/>
        <v>-64.899000000000044</v>
      </c>
      <c r="L21" s="16">
        <f t="shared" si="9"/>
        <v>0</v>
      </c>
      <c r="M21" s="16">
        <f t="shared" si="9"/>
        <v>0</v>
      </c>
      <c r="N21" s="16">
        <f t="shared" si="9"/>
        <v>0</v>
      </c>
      <c r="O21" s="16">
        <f t="shared" si="9"/>
        <v>23.492999999999995</v>
      </c>
      <c r="P21" s="16">
        <f t="shared" si="9"/>
        <v>0</v>
      </c>
      <c r="Q21" s="16">
        <f t="shared" si="9"/>
        <v>0</v>
      </c>
      <c r="R21" s="16">
        <f t="shared" si="9"/>
        <v>0</v>
      </c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</row>
    <row r="22" spans="2:73" x14ac:dyDescent="0.2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2:73" x14ac:dyDescent="0.2">
      <c r="B23" s="2" t="s">
        <v>30</v>
      </c>
      <c r="C23" s="10" t="e">
        <f t="shared" ref="C23:H23" si="10">+C21/C24</f>
        <v>#DIV/0!</v>
      </c>
      <c r="D23" s="18" t="e">
        <f t="shared" si="10"/>
        <v>#DIV/0!</v>
      </c>
      <c r="E23" s="18">
        <f t="shared" si="10"/>
        <v>0.4950266966310542</v>
      </c>
      <c r="F23" s="18" t="e">
        <f t="shared" si="10"/>
        <v>#DIV/0!</v>
      </c>
      <c r="G23" s="18" t="e">
        <f t="shared" si="10"/>
        <v>#DIV/0!</v>
      </c>
      <c r="H23" s="18" t="e">
        <f t="shared" si="10"/>
        <v>#DIV/0!</v>
      </c>
      <c r="I23" s="18">
        <f>+I21/I24</f>
        <v>0.4176291602949852</v>
      </c>
      <c r="J23" s="18" t="e">
        <f t="shared" ref="J23" si="11">+J21/J24</f>
        <v>#DIV/0!</v>
      </c>
      <c r="K23" s="18">
        <f t="shared" ref="K23" si="12">+K21/K24</f>
        <v>-0.36145766034709403</v>
      </c>
      <c r="L23" s="18" t="e">
        <f t="shared" ref="L23" si="13">+L21/L24</f>
        <v>#DIV/0!</v>
      </c>
      <c r="M23" s="18" t="e">
        <f t="shared" ref="M23" si="14">+M21/M24</f>
        <v>#DIV/0!</v>
      </c>
      <c r="N23" s="18" t="e">
        <f t="shared" ref="N23" si="15">+N21/N24</f>
        <v>#DIV/0!</v>
      </c>
      <c r="O23" s="18">
        <f t="shared" ref="O23" si="16">+O21/O24</f>
        <v>0.13997676289212616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2:73" x14ac:dyDescent="0.2">
      <c r="B24" s="2" t="s">
        <v>5</v>
      </c>
      <c r="C24" s="3"/>
      <c r="D24" s="3"/>
      <c r="E24" s="3">
        <v>195.34299999999999</v>
      </c>
      <c r="F24" s="3"/>
      <c r="G24" s="3"/>
      <c r="H24" s="3"/>
      <c r="I24" s="3">
        <v>191.60300000000001</v>
      </c>
      <c r="J24" s="3"/>
      <c r="K24" s="3">
        <v>179.548</v>
      </c>
      <c r="L24" s="3"/>
      <c r="M24" s="3"/>
      <c r="N24" s="3"/>
      <c r="O24" s="3">
        <v>167.83500000000001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2:73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2:73" x14ac:dyDescent="0.2">
      <c r="B26" s="2" t="s">
        <v>35</v>
      </c>
      <c r="C26" s="3"/>
      <c r="D26" s="3"/>
      <c r="E26" s="3"/>
      <c r="F26" s="3"/>
      <c r="G26" s="11" t="e">
        <f t="shared" ref="G26:H26" si="17">+G3/C3-1</f>
        <v>#DIV/0!</v>
      </c>
      <c r="H26" s="11" t="e">
        <f t="shared" si="17"/>
        <v>#DIV/0!</v>
      </c>
      <c r="I26" s="11">
        <f>+I3/E3-1</f>
        <v>-1.0842368640533784E-2</v>
      </c>
      <c r="J26" s="11" t="e">
        <f>+J3/F3-1</f>
        <v>#DIV/0!</v>
      </c>
      <c r="K26" s="11" t="e">
        <f t="shared" ref="K26:R26" si="18">+K3/G3-1</f>
        <v>#DIV/0!</v>
      </c>
      <c r="L26" s="11" t="e">
        <f t="shared" si="18"/>
        <v>#DIV/0!</v>
      </c>
      <c r="M26" s="11">
        <f t="shared" si="18"/>
        <v>-1</v>
      </c>
      <c r="N26" s="11" t="e">
        <f t="shared" si="18"/>
        <v>#DIV/0!</v>
      </c>
      <c r="O26" s="11">
        <f t="shared" si="18"/>
        <v>-5.1020408163264808E-3</v>
      </c>
      <c r="P26" s="11" t="e">
        <f t="shared" si="18"/>
        <v>#DIV/0!</v>
      </c>
      <c r="Q26" s="11" t="e">
        <f t="shared" si="18"/>
        <v>#DIV/0!</v>
      </c>
      <c r="R26" s="11" t="e">
        <f t="shared" si="18"/>
        <v>#DIV/0!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2:73" x14ac:dyDescent="0.2">
      <c r="B27" s="2" t="s">
        <v>37</v>
      </c>
      <c r="C27" s="3"/>
      <c r="D27" s="3"/>
      <c r="E27" s="3"/>
      <c r="F27" s="3"/>
      <c r="G27" s="11" t="e">
        <f t="shared" ref="G27:H27" si="19">+G4/C4-1</f>
        <v>#DIV/0!</v>
      </c>
      <c r="H27" s="11" t="e">
        <f t="shared" si="19"/>
        <v>#DIV/0!</v>
      </c>
      <c r="I27" s="11">
        <f>+I4/E4-1</f>
        <v>-6.9548615846174444E-3</v>
      </c>
      <c r="J27" s="11" t="e">
        <f>+J4/F4-1</f>
        <v>#DIV/0!</v>
      </c>
      <c r="K27" s="11" t="e">
        <f t="shared" ref="K27:R27" si="20">+K4/G4-1</f>
        <v>#DIV/0!</v>
      </c>
      <c r="L27" s="11" t="e">
        <f t="shared" si="20"/>
        <v>#DIV/0!</v>
      </c>
      <c r="M27" s="11">
        <f t="shared" si="20"/>
        <v>-1</v>
      </c>
      <c r="N27" s="11" t="e">
        <f t="shared" si="20"/>
        <v>#DIV/0!</v>
      </c>
      <c r="O27" s="11">
        <f t="shared" si="20"/>
        <v>-1.6592920353982743E-3</v>
      </c>
      <c r="P27" s="11" t="e">
        <f t="shared" si="20"/>
        <v>#DIV/0!</v>
      </c>
      <c r="Q27" s="11" t="e">
        <f t="shared" si="20"/>
        <v>#DIV/0!</v>
      </c>
      <c r="R27" s="11" t="e">
        <f t="shared" si="20"/>
        <v>#DIV/0!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2:73" x14ac:dyDescent="0.2">
      <c r="B28" s="2" t="s">
        <v>38</v>
      </c>
      <c r="C28" s="3"/>
      <c r="D28" s="3"/>
      <c r="E28" s="3"/>
      <c r="F28" s="3"/>
      <c r="G28" s="11" t="e">
        <f t="shared" ref="G28:H30" si="21">+G6/C6-1</f>
        <v>#DIV/0!</v>
      </c>
      <c r="H28" s="11" t="e">
        <f t="shared" si="21"/>
        <v>#DIV/0!</v>
      </c>
      <c r="I28" s="11">
        <f>+I6/E6-1</f>
        <v>-2.9699852340507982E-2</v>
      </c>
      <c r="J28" s="11" t="e">
        <f>+J6/F6-1</f>
        <v>#DIV/0!</v>
      </c>
      <c r="K28" s="11" t="e">
        <f t="shared" ref="K28:R30" si="22">+K6/G6-1</f>
        <v>#DIV/0!</v>
      </c>
      <c r="L28" s="11" t="e">
        <f t="shared" si="22"/>
        <v>#DIV/0!</v>
      </c>
      <c r="M28" s="11">
        <f t="shared" si="22"/>
        <v>-1</v>
      </c>
      <c r="N28" s="11" t="e">
        <f t="shared" si="22"/>
        <v>#DIV/0!</v>
      </c>
      <c r="O28" s="11">
        <f t="shared" si="22"/>
        <v>-2.2178665878809345E-2</v>
      </c>
      <c r="P28" s="11" t="e">
        <f t="shared" si="22"/>
        <v>#DIV/0!</v>
      </c>
      <c r="Q28" s="11" t="e">
        <f t="shared" si="22"/>
        <v>#DIV/0!</v>
      </c>
      <c r="R28" s="11" t="e">
        <f t="shared" si="22"/>
        <v>#DIV/0!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2:73" x14ac:dyDescent="0.2">
      <c r="B29" s="2" t="s">
        <v>39</v>
      </c>
      <c r="C29" s="3"/>
      <c r="D29" s="3"/>
      <c r="E29" s="3"/>
      <c r="F29" s="3"/>
      <c r="G29" s="11" t="e">
        <f t="shared" si="21"/>
        <v>#DIV/0!</v>
      </c>
      <c r="H29" s="11" t="e">
        <f t="shared" si="21"/>
        <v>#DIV/0!</v>
      </c>
      <c r="I29" s="11">
        <f t="shared" ref="I29:J30" si="23">+I7/E7-1</f>
        <v>4.4270078006930724E-2</v>
      </c>
      <c r="J29" s="11" t="e">
        <f t="shared" si="23"/>
        <v>#DIV/0!</v>
      </c>
      <c r="K29" s="11" t="e">
        <f t="shared" si="22"/>
        <v>#DIV/0!</v>
      </c>
      <c r="L29" s="11" t="e">
        <f t="shared" si="22"/>
        <v>#DIV/0!</v>
      </c>
      <c r="M29" s="11">
        <f t="shared" si="22"/>
        <v>-1</v>
      </c>
      <c r="N29" s="11" t="e">
        <f t="shared" si="22"/>
        <v>#DIV/0!</v>
      </c>
      <c r="O29" s="11">
        <f t="shared" si="22"/>
        <v>0.33641477759124827</v>
      </c>
      <c r="P29" s="11" t="e">
        <f t="shared" si="22"/>
        <v>#DIV/0!</v>
      </c>
      <c r="Q29" s="11" t="e">
        <f t="shared" si="22"/>
        <v>#DIV/0!</v>
      </c>
      <c r="R29" s="11" t="e">
        <f t="shared" si="22"/>
        <v>#DIV/0!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2:73" x14ac:dyDescent="0.2">
      <c r="B30" s="1" t="s">
        <v>40</v>
      </c>
      <c r="C30" s="9"/>
      <c r="D30" s="9"/>
      <c r="E30" s="9"/>
      <c r="F30" s="9"/>
      <c r="G30" s="15" t="e">
        <f t="shared" si="21"/>
        <v>#DIV/0!</v>
      </c>
      <c r="H30" s="15" t="e">
        <f t="shared" si="21"/>
        <v>#DIV/0!</v>
      </c>
      <c r="I30" s="15">
        <f t="shared" si="23"/>
        <v>-9.1933085073268028E-3</v>
      </c>
      <c r="J30" s="15" t="e">
        <f t="shared" si="23"/>
        <v>#DIV/0!</v>
      </c>
      <c r="K30" s="15" t="e">
        <f t="shared" si="22"/>
        <v>#DIV/0!</v>
      </c>
      <c r="L30" s="15" t="e">
        <f t="shared" si="22"/>
        <v>#DIV/0!</v>
      </c>
      <c r="M30" s="15">
        <f t="shared" si="22"/>
        <v>-1</v>
      </c>
      <c r="N30" s="15" t="e">
        <f t="shared" si="22"/>
        <v>#DIV/0!</v>
      </c>
      <c r="O30" s="15">
        <f t="shared" si="22"/>
        <v>9.6995316625657857E-2</v>
      </c>
      <c r="P30" s="15" t="e">
        <f t="shared" si="22"/>
        <v>#DIV/0!</v>
      </c>
      <c r="Q30" s="15" t="e">
        <f t="shared" si="22"/>
        <v>#DIV/0!</v>
      </c>
      <c r="R30" s="15" t="e">
        <f t="shared" si="22"/>
        <v>#DIV/0!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2:73" x14ac:dyDescent="0.2">
      <c r="B31" s="2" t="s">
        <v>41</v>
      </c>
      <c r="C31" s="11" t="e">
        <f t="shared" ref="C31:H31" si="24">+C10/C8</f>
        <v>#DIV/0!</v>
      </c>
      <c r="D31" s="11" t="e">
        <f t="shared" si="24"/>
        <v>#DIV/0!</v>
      </c>
      <c r="E31" s="11">
        <f t="shared" si="24"/>
        <v>0.41796618897740678</v>
      </c>
      <c r="F31" s="11" t="e">
        <f t="shared" si="24"/>
        <v>#DIV/0!</v>
      </c>
      <c r="G31" s="11" t="e">
        <f t="shared" si="24"/>
        <v>#DIV/0!</v>
      </c>
      <c r="H31" s="11" t="e">
        <f t="shared" si="24"/>
        <v>#DIV/0!</v>
      </c>
      <c r="I31" s="11">
        <f>+I10/I8</f>
        <v>0.40852257476956683</v>
      </c>
      <c r="J31" s="11" t="e">
        <f>+J10/J8</f>
        <v>#DIV/0!</v>
      </c>
      <c r="K31" s="11">
        <f t="shared" ref="K31:R31" si="25">+K10/K8</f>
        <v>0.29590794411522031</v>
      </c>
      <c r="L31" s="11" t="e">
        <f t="shared" si="25"/>
        <v>#DIV/0!</v>
      </c>
      <c r="M31" s="11" t="e">
        <f t="shared" si="25"/>
        <v>#DIV/0!</v>
      </c>
      <c r="N31" s="11" t="e">
        <f t="shared" si="25"/>
        <v>#DIV/0!</v>
      </c>
      <c r="O31" s="11">
        <f t="shared" si="25"/>
        <v>0.38164287178371686</v>
      </c>
      <c r="P31" s="11" t="e">
        <f t="shared" si="25"/>
        <v>#DIV/0!</v>
      </c>
      <c r="Q31" s="11" t="e">
        <f t="shared" si="25"/>
        <v>#DIV/0!</v>
      </c>
      <c r="R31" s="11" t="e">
        <f t="shared" si="25"/>
        <v>#DIV/0!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2:73" x14ac:dyDescent="0.2">
      <c r="B32" s="2" t="s">
        <v>42</v>
      </c>
      <c r="C32" s="11" t="e">
        <f t="shared" ref="C32:H32" si="26">+C14/C8</f>
        <v>#DIV/0!</v>
      </c>
      <c r="D32" s="11" t="e">
        <f t="shared" si="26"/>
        <v>#DIV/0!</v>
      </c>
      <c r="E32" s="11">
        <f t="shared" si="26"/>
        <v>9.6353344016970835E-2</v>
      </c>
      <c r="F32" s="11" t="e">
        <f t="shared" si="26"/>
        <v>#DIV/0!</v>
      </c>
      <c r="G32" s="11" t="e">
        <f t="shared" si="26"/>
        <v>#DIV/0!</v>
      </c>
      <c r="H32" s="11" t="e">
        <f t="shared" si="26"/>
        <v>#DIV/0!</v>
      </c>
      <c r="I32" s="11">
        <f>+I14/I8</f>
        <v>8.2297334406955622E-2</v>
      </c>
      <c r="J32" s="11" t="e">
        <f>+J14/J8</f>
        <v>#DIV/0!</v>
      </c>
      <c r="K32" s="11">
        <f t="shared" ref="K32:R32" si="27">+K14/K8</f>
        <v>-7.8176466755200805E-2</v>
      </c>
      <c r="L32" s="11" t="e">
        <f t="shared" si="27"/>
        <v>#DIV/0!</v>
      </c>
      <c r="M32" s="11" t="e">
        <f t="shared" si="27"/>
        <v>#DIV/0!</v>
      </c>
      <c r="N32" s="11" t="e">
        <f t="shared" si="27"/>
        <v>#DIV/0!</v>
      </c>
      <c r="O32" s="11">
        <f t="shared" si="27"/>
        <v>2.3614451783465867E-2</v>
      </c>
      <c r="P32" s="11" t="e">
        <f t="shared" si="27"/>
        <v>#DIV/0!</v>
      </c>
      <c r="Q32" s="11" t="e">
        <f t="shared" si="27"/>
        <v>#DIV/0!</v>
      </c>
      <c r="R32" s="11" t="e">
        <f t="shared" si="27"/>
        <v>#DIV/0!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2:52" x14ac:dyDescent="0.2">
      <c r="B33" s="2" t="s">
        <v>43</v>
      </c>
      <c r="C33" s="11" t="e">
        <f t="shared" ref="C33:H33" si="28">+C18/C17</f>
        <v>#DIV/0!</v>
      </c>
      <c r="D33" s="11" t="e">
        <f t="shared" si="28"/>
        <v>#DIV/0!</v>
      </c>
      <c r="E33" s="11">
        <f t="shared" si="28"/>
        <v>0.26862104435166695</v>
      </c>
      <c r="F33" s="11" t="e">
        <f t="shared" si="28"/>
        <v>#DIV/0!</v>
      </c>
      <c r="G33" s="11" t="e">
        <f t="shared" si="28"/>
        <v>#DIV/0!</v>
      </c>
      <c r="H33" s="11" t="e">
        <f t="shared" si="28"/>
        <v>#DIV/0!</v>
      </c>
      <c r="I33" s="11">
        <f>+I18/I17</f>
        <v>0.26065785826480631</v>
      </c>
      <c r="J33" s="11" t="e">
        <f>+J18/J17</f>
        <v>#DIV/0!</v>
      </c>
      <c r="K33" s="11">
        <f t="shared" ref="K33:R33" si="29">+K18/K17</f>
        <v>0.23155174439093137</v>
      </c>
      <c r="L33" s="11" t="e">
        <f t="shared" si="29"/>
        <v>#DIV/0!</v>
      </c>
      <c r="M33" s="11" t="e">
        <f t="shared" si="29"/>
        <v>#DIV/0!</v>
      </c>
      <c r="N33" s="11" t="e">
        <f t="shared" si="29"/>
        <v>#DIV/0!</v>
      </c>
      <c r="O33" s="11">
        <f t="shared" si="29"/>
        <v>0.1688109303084116</v>
      </c>
      <c r="P33" s="11" t="e">
        <f t="shared" si="29"/>
        <v>#DIV/0!</v>
      </c>
      <c r="Q33" s="11" t="e">
        <f t="shared" si="29"/>
        <v>#DIV/0!</v>
      </c>
      <c r="R33" s="11" t="e">
        <f t="shared" si="29"/>
        <v>#DIV/0!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2:52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2:52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2:52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2:52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2:52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2:52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2:52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2:52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2:52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2:52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2:52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2:52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2:52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2:52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2:52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3:52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3:52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3:52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3:52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3:52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3:52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3:52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3:52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3:52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3:52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3:52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3:52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3:52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3:52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3:52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3:52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3:52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3:52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3:52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3:52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3:52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3:52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3:52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3:52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3:52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3:52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3:52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3:52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3:52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3:52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3:52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3:52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3:52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3:52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3:52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3:52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3:52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3:52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3:52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3:52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3:52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3:52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3:52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3:52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3:52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3:52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3:52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3:52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3:52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3:52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3:52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3:52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3:52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3:52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3:52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3:52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3:52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3:52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3:52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3:52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3:52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3:52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3:52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3:52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3:52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3:52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3:52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3:52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3:52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3:52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3:52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3:52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3:52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3:52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3:52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3:52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3:52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3:52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3:52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3:52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3:52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3:52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3:52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3:52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3:52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3:52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3:52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3:52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3:52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3:52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3:52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3:52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3:52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3:52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3:52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3:52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3:52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3:52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3:52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3:52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3:52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3:52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3:52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3:52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3:52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3:52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3:52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3:52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3:52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3:52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3:52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3:52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3:52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3:52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3:52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3:52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3:52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3:52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3:52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3:52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3:52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3:52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3:52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3:52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3:52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3:52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3:52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3:52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3:52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3:52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3:52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3:52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3:52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3:52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3:52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3:52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3:52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3:52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3:52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3:52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3:52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3:52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3:52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3:52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3:52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3:52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3:52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3:52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3:52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3:52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3:52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3:52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  <row r="201" spans="3:52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</row>
    <row r="202" spans="3:52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</row>
    <row r="203" spans="3:52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</row>
    <row r="204" spans="3:52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</row>
    <row r="205" spans="3:52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</row>
    <row r="206" spans="3:52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</row>
    <row r="207" spans="3:52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</row>
    <row r="208" spans="3:52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</row>
    <row r="209" spans="3:52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</row>
    <row r="210" spans="3:52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</row>
    <row r="211" spans="3:52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</row>
    <row r="212" spans="3:52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</row>
    <row r="213" spans="3:52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</row>
    <row r="214" spans="3:52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</row>
    <row r="215" spans="3:52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</row>
    <row r="216" spans="3:52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</row>
    <row r="217" spans="3:52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</row>
    <row r="218" spans="3:52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</row>
    <row r="219" spans="3:52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</row>
    <row r="220" spans="3:52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</row>
    <row r="221" spans="3:52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</row>
    <row r="222" spans="3:52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</row>
    <row r="223" spans="3:52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</row>
    <row r="224" spans="3:52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</row>
    <row r="225" spans="3:52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</row>
    <row r="226" spans="3:52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</row>
    <row r="227" spans="3:52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</row>
    <row r="228" spans="3:52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</row>
    <row r="229" spans="3:52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</row>
    <row r="230" spans="3:52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</row>
    <row r="231" spans="3:52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</row>
    <row r="232" spans="3:52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</row>
    <row r="233" spans="3:52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</row>
    <row r="234" spans="3:52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</row>
    <row r="235" spans="3:52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</row>
    <row r="236" spans="3:52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</row>
    <row r="237" spans="3:52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</row>
    <row r="238" spans="3:52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</row>
    <row r="239" spans="3:52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</row>
    <row r="240" spans="3:52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</row>
    <row r="241" spans="3:52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</row>
    <row r="242" spans="3:52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</row>
    <row r="243" spans="3:52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</row>
    <row r="244" spans="3:52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</row>
    <row r="245" spans="3:52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</row>
    <row r="246" spans="3:52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</row>
    <row r="247" spans="3:52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</row>
    <row r="248" spans="3:52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</row>
    <row r="249" spans="3:52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</row>
    <row r="250" spans="3:52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</row>
    <row r="251" spans="3:52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</row>
    <row r="252" spans="3:52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</row>
    <row r="253" spans="3:52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</row>
    <row r="254" spans="3:52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  <row r="255" spans="3:52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</row>
    <row r="256" spans="3:52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</row>
    <row r="257" spans="3:52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</row>
    <row r="258" spans="3:52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</row>
    <row r="259" spans="3:52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</row>
    <row r="260" spans="3:52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</row>
    <row r="261" spans="3:52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</row>
    <row r="262" spans="3:52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</row>
    <row r="263" spans="3:52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</row>
    <row r="264" spans="3:52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</row>
    <row r="265" spans="3:52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</row>
    <row r="266" spans="3:52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</row>
    <row r="267" spans="3:52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</row>
    <row r="268" spans="3:52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</row>
    <row r="269" spans="3:52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</row>
    <row r="270" spans="3:52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</row>
    <row r="271" spans="3:52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</row>
    <row r="272" spans="3:52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</row>
    <row r="273" spans="3:52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</row>
    <row r="274" spans="3:52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</row>
    <row r="275" spans="3:52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</row>
    <row r="276" spans="3:52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</row>
    <row r="277" spans="3:52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</row>
    <row r="278" spans="3:52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</row>
    <row r="279" spans="3:52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</row>
    <row r="280" spans="3:52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</row>
    <row r="281" spans="3:52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</row>
    <row r="282" spans="3:52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</row>
    <row r="283" spans="3:52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</row>
    <row r="284" spans="3:52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</row>
    <row r="285" spans="3:52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</row>
    <row r="286" spans="3:52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</row>
  </sheetData>
  <hyperlinks>
    <hyperlink ref="A1" location="Main!A1" display="Main" xr:uid="{20B2418A-132D-4A24-B91E-3081C97D8F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2025-02-03T13:00:34Z</dcterms:created>
  <dcterms:modified xsi:type="dcterms:W3CDTF">2026-09-08T10:02:50Z</dcterms:modified>
</cp:coreProperties>
</file>