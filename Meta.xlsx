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F43A363B-39CD-434D-B984-3FBE11CA701E}" xr6:coauthVersionLast="47" xr6:coauthVersionMax="47" xr10:uidLastSave="{00000000-0000-0000-0000-000000000000}"/>
  <bookViews>
    <workbookView xWindow="19095" yWindow="0" windowWidth="19410" windowHeight="20985" activeTab="1" xr2:uid="{2E7EBCAC-6036-43C0-BFEE-816C31250952}"/>
  </bookViews>
  <sheets>
    <sheet name="Main" sheetId="1" r:id="rId1"/>
    <sheet name="Model" sheetId="2" r:id="rId2"/>
    <sheet name="KPIs" sheetId="3" r:id="rId3"/>
    <sheet name="Coc" sheetId="5" r:id="rId4"/>
    <sheet name="DCF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31" i="2"/>
  <c r="P30" i="2"/>
  <c r="P29" i="2"/>
  <c r="P28" i="2"/>
  <c r="P27" i="2"/>
  <c r="P24" i="2"/>
  <c r="P22" i="2"/>
  <c r="P20" i="2"/>
  <c r="P18" i="2"/>
  <c r="P14" i="2"/>
  <c r="I5" i="1"/>
  <c r="V58" i="4" s="1"/>
  <c r="I3" i="1"/>
  <c r="O4" i="2"/>
  <c r="O24" i="2"/>
  <c r="O22" i="2"/>
  <c r="O20" i="2"/>
  <c r="O18" i="2"/>
  <c r="O14" i="2"/>
  <c r="O31" i="2"/>
  <c r="N31" i="2"/>
  <c r="O30" i="2"/>
  <c r="N30" i="2"/>
  <c r="O29" i="2"/>
  <c r="N29" i="2"/>
  <c r="O28" i="2"/>
  <c r="N28" i="2"/>
  <c r="O27" i="2"/>
  <c r="N27" i="2"/>
  <c r="N24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V61" i="4"/>
  <c r="J42" i="3"/>
  <c r="J41" i="3"/>
  <c r="J46" i="3" s="1"/>
  <c r="J21" i="3"/>
  <c r="J11" i="3"/>
  <c r="J12" i="3" s="1"/>
  <c r="J6" i="3"/>
  <c r="J4" i="3"/>
  <c r="J5" i="3" s="1"/>
  <c r="AA85" i="2"/>
  <c r="AA77" i="2"/>
  <c r="AA78" i="2" s="1"/>
  <c r="AA71" i="2"/>
  <c r="AA72" i="2" s="1"/>
  <c r="AA53" i="2"/>
  <c r="AA48" i="2"/>
  <c r="AA54" i="2" s="1"/>
  <c r="AA56" i="2" s="1"/>
  <c r="AA43" i="2"/>
  <c r="J10" i="3" s="1"/>
  <c r="AA37" i="2"/>
  <c r="AA44" i="2" s="1"/>
  <c r="N4" i="2"/>
  <c r="AA4" i="2"/>
  <c r="M4" i="2"/>
  <c r="M28" i="2"/>
  <c r="M27" i="2"/>
  <c r="M14" i="2"/>
  <c r="L4" i="2"/>
  <c r="L28" i="2"/>
  <c r="L27" i="2"/>
  <c r="L14" i="2"/>
  <c r="K4" i="2"/>
  <c r="K28" i="2"/>
  <c r="K27" i="2"/>
  <c r="K14" i="2"/>
  <c r="V59" i="4"/>
  <c r="AB28" i="2"/>
  <c r="AC28" i="2" s="1"/>
  <c r="H42" i="3"/>
  <c r="I42" i="3"/>
  <c r="H41" i="3"/>
  <c r="G41" i="3"/>
  <c r="F41" i="3"/>
  <c r="E41" i="3"/>
  <c r="D41" i="3"/>
  <c r="C41" i="3"/>
  <c r="I41" i="3"/>
  <c r="H21" i="3"/>
  <c r="G21" i="3"/>
  <c r="F21" i="3"/>
  <c r="E21" i="3"/>
  <c r="D21" i="3"/>
  <c r="C21" i="3"/>
  <c r="I21" i="3"/>
  <c r="H11" i="3"/>
  <c r="H12" i="3" s="1"/>
  <c r="I11" i="3"/>
  <c r="I12" i="3" s="1"/>
  <c r="H6" i="3"/>
  <c r="G6" i="3"/>
  <c r="F6" i="3"/>
  <c r="E6" i="3"/>
  <c r="D6" i="3"/>
  <c r="C6" i="3"/>
  <c r="I6" i="3"/>
  <c r="I4" i="3"/>
  <c r="I5" i="3" s="1"/>
  <c r="H4" i="3"/>
  <c r="H5" i="3" s="1"/>
  <c r="G4" i="3"/>
  <c r="G5" i="3" s="1"/>
  <c r="F4" i="3"/>
  <c r="F5" i="3" s="1"/>
  <c r="E4" i="3"/>
  <c r="E5" i="3" s="1"/>
  <c r="D4" i="3"/>
  <c r="D5" i="3" s="1"/>
  <c r="C4" i="3"/>
  <c r="C5" i="3" s="1"/>
  <c r="K45" i="4"/>
  <c r="J45" i="4"/>
  <c r="G45" i="4"/>
  <c r="F45" i="4"/>
  <c r="L45" i="4"/>
  <c r="K42" i="4"/>
  <c r="J42" i="4"/>
  <c r="I42" i="4"/>
  <c r="H42" i="4"/>
  <c r="G42" i="4"/>
  <c r="F42" i="4"/>
  <c r="L42" i="4"/>
  <c r="K37" i="4"/>
  <c r="J37" i="4"/>
  <c r="I37" i="4"/>
  <c r="H37" i="4"/>
  <c r="G37" i="4"/>
  <c r="L37" i="4"/>
  <c r="F25" i="4"/>
  <c r="L25" i="4"/>
  <c r="K25" i="4"/>
  <c r="J25" i="4"/>
  <c r="I25" i="4"/>
  <c r="H25" i="4"/>
  <c r="G25" i="4"/>
  <c r="G26" i="4" s="1"/>
  <c r="J3" i="4"/>
  <c r="O3" i="4" s="1"/>
  <c r="V32" i="4" a="1"/>
  <c r="V32" i="4" s="1"/>
  <c r="U32" i="4" a="1"/>
  <c r="U32" i="4" s="1"/>
  <c r="T32" i="4" a="1"/>
  <c r="T32" i="4" s="1"/>
  <c r="S32" i="4" a="1"/>
  <c r="S32" i="4" s="1"/>
  <c r="R32" i="4" a="1"/>
  <c r="R32" i="4" s="1"/>
  <c r="Q32" i="4" a="1"/>
  <c r="Q32" i="4" s="1"/>
  <c r="P32" i="4" a="1"/>
  <c r="P32" i="4" s="1"/>
  <c r="O32" i="4" a="1"/>
  <c r="O32" i="4" s="1"/>
  <c r="N32" i="4" a="1"/>
  <c r="N32" i="4" s="1"/>
  <c r="M32" i="4" a="1"/>
  <c r="M32" i="4" s="1"/>
  <c r="H24" i="4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E20" i="4"/>
  <c r="E19" i="4"/>
  <c r="E18" i="4"/>
  <c r="O4" i="4"/>
  <c r="E4" i="4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D2" i="3"/>
  <c r="E2" i="3" s="1"/>
  <c r="F2" i="3" s="1"/>
  <c r="G2" i="3" s="1"/>
  <c r="H2" i="3" s="1"/>
  <c r="I2" i="3" s="1"/>
  <c r="J2" i="3" s="1"/>
  <c r="I47" i="5"/>
  <c r="F37" i="5"/>
  <c r="F32" i="5"/>
  <c r="F20" i="5"/>
  <c r="F8" i="5"/>
  <c r="F22" i="5" s="1"/>
  <c r="J7" i="3" l="1"/>
  <c r="J52" i="3"/>
  <c r="J55" i="3"/>
  <c r="M29" i="2"/>
  <c r="M18" i="2"/>
  <c r="L29" i="2"/>
  <c r="L18" i="2"/>
  <c r="K29" i="2"/>
  <c r="K18" i="2"/>
  <c r="AA87" i="2"/>
  <c r="AA89" i="2" s="1"/>
  <c r="J13" i="3"/>
  <c r="J15" i="3"/>
  <c r="F46" i="4"/>
  <c r="H46" i="3"/>
  <c r="L46" i="4"/>
  <c r="F43" i="4"/>
  <c r="H43" i="4"/>
  <c r="J43" i="4"/>
  <c r="I46" i="3"/>
  <c r="K43" i="4"/>
  <c r="I15" i="3"/>
  <c r="I13" i="3"/>
  <c r="C54" i="3"/>
  <c r="C7" i="3"/>
  <c r="C55" i="3"/>
  <c r="D7" i="3"/>
  <c r="D55" i="3"/>
  <c r="E7" i="3"/>
  <c r="E55" i="3"/>
  <c r="F55" i="3"/>
  <c r="F7" i="3"/>
  <c r="G55" i="3"/>
  <c r="G7" i="3"/>
  <c r="H55" i="3"/>
  <c r="H7" i="3"/>
  <c r="I7" i="3"/>
  <c r="I55" i="3"/>
  <c r="O28" i="4"/>
  <c r="O26" i="4" s="1" a="1"/>
  <c r="O26" i="4" s="1"/>
  <c r="AC12" i="2"/>
  <c r="AD28" i="2"/>
  <c r="AE28" i="2" s="1"/>
  <c r="AF28" i="2" s="1"/>
  <c r="AG28" i="2" s="1"/>
  <c r="AH28" i="2" s="1"/>
  <c r="AI28" i="2" s="1"/>
  <c r="L43" i="4"/>
  <c r="H13" i="3"/>
  <c r="N28" i="4"/>
  <c r="N26" i="4" s="1" a="1"/>
  <c r="N26" i="4" s="1"/>
  <c r="K46" i="4"/>
  <c r="I26" i="4"/>
  <c r="J26" i="4"/>
  <c r="K26" i="4"/>
  <c r="L26" i="4"/>
  <c r="I43" i="4"/>
  <c r="J46" i="4"/>
  <c r="G43" i="4"/>
  <c r="H26" i="4"/>
  <c r="G46" i="4"/>
  <c r="O5" i="4"/>
  <c r="F41" i="5"/>
  <c r="J60" i="3" l="1"/>
  <c r="M20" i="2"/>
  <c r="M30" i="2"/>
  <c r="L20" i="2"/>
  <c r="L30" i="2"/>
  <c r="K20" i="2"/>
  <c r="K30" i="2"/>
  <c r="I60" i="3"/>
  <c r="H60" i="3"/>
  <c r="AD12" i="2"/>
  <c r="AE12" i="2" s="1"/>
  <c r="AF12" i="2" s="1"/>
  <c r="AG12" i="2" s="1"/>
  <c r="AH12" i="2" s="1"/>
  <c r="AI12" i="2" s="1"/>
  <c r="E60" i="3"/>
  <c r="S28" i="4"/>
  <c r="S26" i="4" s="1" a="1"/>
  <c r="S26" i="4" s="1"/>
  <c r="P28" i="4"/>
  <c r="P26" i="4" s="1" a="1"/>
  <c r="P26" i="4" s="1"/>
  <c r="R28" i="4"/>
  <c r="R26" i="4" s="1" a="1"/>
  <c r="R26" i="4" s="1"/>
  <c r="Q28" i="4"/>
  <c r="Q26" i="4" s="1" a="1"/>
  <c r="Q26" i="4" s="1"/>
  <c r="D60" i="3"/>
  <c r="T28" i="4"/>
  <c r="T26" i="4" s="1" a="1"/>
  <c r="T26" i="4" s="1"/>
  <c r="G60" i="3"/>
  <c r="C60" i="3"/>
  <c r="F60" i="3"/>
  <c r="AJ28" i="2"/>
  <c r="U28" i="4"/>
  <c r="U26" i="4" s="1" a="1"/>
  <c r="U26" i="4" s="1"/>
  <c r="M22" i="2" l="1"/>
  <c r="M24" i="2" s="1"/>
  <c r="M31" i="2"/>
  <c r="L22" i="2"/>
  <c r="L24" i="2" s="1"/>
  <c r="L31" i="2"/>
  <c r="K22" i="2"/>
  <c r="K24" i="2" s="1"/>
  <c r="K31" i="2"/>
  <c r="AK28" i="2"/>
  <c r="AL28" i="2" s="1"/>
  <c r="V28" i="4"/>
  <c r="V26" i="4" s="1" a="1"/>
  <c r="V26" i="4" s="1"/>
  <c r="V47" i="2" l="1"/>
  <c r="V45" i="2"/>
  <c r="V41" i="2"/>
  <c r="V43" i="2" s="1"/>
  <c r="E10" i="3" s="1"/>
  <c r="T84" i="2"/>
  <c r="T85" i="2" s="1"/>
  <c r="U84" i="2"/>
  <c r="U85" i="2" s="1"/>
  <c r="T75" i="2"/>
  <c r="T78" i="2" s="1"/>
  <c r="U75" i="2"/>
  <c r="U78" i="2" s="1"/>
  <c r="T69" i="2"/>
  <c r="T68" i="2"/>
  <c r="T71" i="2" s="1"/>
  <c r="F48" i="4" s="1"/>
  <c r="F49" i="4" s="1"/>
  <c r="U69" i="2"/>
  <c r="U68" i="2"/>
  <c r="T21" i="2"/>
  <c r="F37" i="4" s="1"/>
  <c r="T47" i="2"/>
  <c r="U47" i="2"/>
  <c r="T45" i="2"/>
  <c r="U45" i="2"/>
  <c r="T41" i="2"/>
  <c r="T43" i="2" s="1"/>
  <c r="C10" i="3" s="1"/>
  <c r="U41" i="2"/>
  <c r="U43" i="2" s="1"/>
  <c r="W80" i="2"/>
  <c r="W85" i="2"/>
  <c r="V76" i="2"/>
  <c r="V75" i="2"/>
  <c r="V73" i="2"/>
  <c r="W76" i="2"/>
  <c r="W75" i="2"/>
  <c r="W73" i="2"/>
  <c r="V68" i="2"/>
  <c r="V71" i="2" s="1"/>
  <c r="H48" i="4" s="1"/>
  <c r="H49" i="4" s="1"/>
  <c r="V64" i="2"/>
  <c r="W68" i="2"/>
  <c r="W71" i="2" s="1"/>
  <c r="W64" i="2"/>
  <c r="W53" i="2"/>
  <c r="V53" i="2"/>
  <c r="U53" i="2"/>
  <c r="T53" i="2"/>
  <c r="W45" i="2"/>
  <c r="X53" i="2"/>
  <c r="X45" i="2"/>
  <c r="W41" i="2"/>
  <c r="W43" i="2" s="1"/>
  <c r="F10" i="3" s="1"/>
  <c r="X41" i="2"/>
  <c r="X43" i="2" s="1"/>
  <c r="Y89" i="2"/>
  <c r="V85" i="2"/>
  <c r="X85" i="2"/>
  <c r="Y85" i="2"/>
  <c r="Z85" i="2"/>
  <c r="Y78" i="2"/>
  <c r="X78" i="2"/>
  <c r="Z78" i="2"/>
  <c r="Y71" i="2"/>
  <c r="K48" i="4" s="1"/>
  <c r="K49" i="4" s="1"/>
  <c r="X71" i="2"/>
  <c r="J48" i="4" s="1"/>
  <c r="J49" i="4" s="1"/>
  <c r="Z71" i="2"/>
  <c r="L48" i="4" s="1"/>
  <c r="L49" i="4" s="1"/>
  <c r="Y53" i="2"/>
  <c r="Y48" i="2"/>
  <c r="Y54" i="2" s="1"/>
  <c r="Y56" i="2" s="1"/>
  <c r="Z53" i="2"/>
  <c r="Z48" i="2"/>
  <c r="Z54" i="2" s="1"/>
  <c r="Z56" i="2" s="1"/>
  <c r="Y43" i="2"/>
  <c r="Z43" i="2"/>
  <c r="I10" i="3" s="1"/>
  <c r="Y37" i="2"/>
  <c r="X37" i="2"/>
  <c r="W37" i="2"/>
  <c r="V37" i="2"/>
  <c r="U37" i="2"/>
  <c r="T37" i="2"/>
  <c r="Z37" i="2"/>
  <c r="F21" i="2"/>
  <c r="F19" i="2"/>
  <c r="F17" i="2"/>
  <c r="F16" i="2"/>
  <c r="F15" i="2"/>
  <c r="F13" i="2"/>
  <c r="F12" i="2"/>
  <c r="J12" i="2"/>
  <c r="F11" i="2"/>
  <c r="F10" i="2"/>
  <c r="F9" i="2"/>
  <c r="F8" i="2"/>
  <c r="F25" i="2"/>
  <c r="J21" i="2"/>
  <c r="J19" i="2"/>
  <c r="J17" i="2"/>
  <c r="J16" i="2"/>
  <c r="J15" i="2"/>
  <c r="J13" i="2"/>
  <c r="J11" i="2"/>
  <c r="J10" i="2"/>
  <c r="J9" i="2"/>
  <c r="J8" i="2"/>
  <c r="AA28" i="2"/>
  <c r="M28" i="4" s="1"/>
  <c r="M26" i="4" s="1" a="1"/>
  <c r="M26" i="4" s="1"/>
  <c r="M25" i="4" s="1"/>
  <c r="AA27" i="2"/>
  <c r="U29" i="2"/>
  <c r="Y28" i="2"/>
  <c r="X28" i="2"/>
  <c r="W28" i="2"/>
  <c r="V28" i="2"/>
  <c r="U28" i="2"/>
  <c r="Z28" i="2"/>
  <c r="Y27" i="2"/>
  <c r="X27" i="2"/>
  <c r="W27" i="2"/>
  <c r="V27" i="2"/>
  <c r="U27" i="2"/>
  <c r="Z27" i="2"/>
  <c r="AA14" i="2"/>
  <c r="AA18" i="2" s="1"/>
  <c r="Z14" i="2"/>
  <c r="Z18" i="2" s="1"/>
  <c r="Z30" i="2" s="1"/>
  <c r="Y14" i="2"/>
  <c r="Y18" i="2" s="1"/>
  <c r="Y30" i="2" s="1"/>
  <c r="X14" i="2"/>
  <c r="X18" i="2" s="1"/>
  <c r="X30" i="2" s="1"/>
  <c r="W14" i="2"/>
  <c r="W18" i="2" s="1"/>
  <c r="V14" i="2"/>
  <c r="V18" i="2" s="1"/>
  <c r="U14" i="2"/>
  <c r="U18" i="2" s="1"/>
  <c r="T14" i="2"/>
  <c r="T18" i="2" s="1"/>
  <c r="T30" i="2" s="1"/>
  <c r="Z4" i="2"/>
  <c r="Y4" i="2"/>
  <c r="X4" i="2"/>
  <c r="W4" i="2"/>
  <c r="V4" i="2"/>
  <c r="U4" i="2"/>
  <c r="T4" i="2"/>
  <c r="Z44" i="2" l="1"/>
  <c r="I52" i="3" s="1"/>
  <c r="D10" i="3"/>
  <c r="AA30" i="2"/>
  <c r="J23" i="3"/>
  <c r="AA20" i="2"/>
  <c r="J57" i="3"/>
  <c r="J58" i="3"/>
  <c r="F14" i="2"/>
  <c r="F18" i="2" s="1"/>
  <c r="U71" i="2"/>
  <c r="G48" i="4" s="1"/>
  <c r="G49" i="4" s="1"/>
  <c r="Z29" i="2"/>
  <c r="X29" i="2"/>
  <c r="Y29" i="2"/>
  <c r="I48" i="4"/>
  <c r="I49" i="4" s="1"/>
  <c r="X20" i="2"/>
  <c r="J31" i="4"/>
  <c r="G57" i="3"/>
  <c r="G58" i="3"/>
  <c r="Y20" i="2"/>
  <c r="K31" i="4"/>
  <c r="H58" i="3"/>
  <c r="H57" i="3"/>
  <c r="Z20" i="2"/>
  <c r="L31" i="4"/>
  <c r="I23" i="3"/>
  <c r="I58" i="3"/>
  <c r="I57" i="3"/>
  <c r="G10" i="3"/>
  <c r="G23" i="3" s="1"/>
  <c r="I45" i="4"/>
  <c r="I46" i="4" s="1"/>
  <c r="T20" i="2"/>
  <c r="T31" i="2" s="1"/>
  <c r="C14" i="3" s="1"/>
  <c r="F31" i="4"/>
  <c r="F38" i="4" s="1"/>
  <c r="C23" i="3"/>
  <c r="C58" i="3"/>
  <c r="C57" i="3"/>
  <c r="W78" i="2"/>
  <c r="U20" i="2"/>
  <c r="U22" i="2" s="1"/>
  <c r="U58" i="2" s="1"/>
  <c r="U72" i="2" s="1"/>
  <c r="U87" i="2" s="1"/>
  <c r="G31" i="4"/>
  <c r="D23" i="3"/>
  <c r="D58" i="3"/>
  <c r="D57" i="3"/>
  <c r="V78" i="2"/>
  <c r="H45" i="4"/>
  <c r="H46" i="4" s="1"/>
  <c r="T44" i="2"/>
  <c r="C52" i="3" s="1"/>
  <c r="C11" i="3"/>
  <c r="C12" i="3" s="1"/>
  <c r="C13" i="3" s="1"/>
  <c r="C42" i="3"/>
  <c r="C46" i="3" s="1"/>
  <c r="E11" i="3"/>
  <c r="E12" i="3" s="1"/>
  <c r="E42" i="3"/>
  <c r="E46" i="3" s="1"/>
  <c r="Y44" i="2"/>
  <c r="H52" i="3" s="1"/>
  <c r="H10" i="3"/>
  <c r="H23" i="3" s="1"/>
  <c r="V20" i="2"/>
  <c r="V22" i="2" s="1"/>
  <c r="H31" i="4"/>
  <c r="E23" i="3"/>
  <c r="E57" i="3"/>
  <c r="E58" i="3"/>
  <c r="W20" i="2"/>
  <c r="W22" i="2" s="1"/>
  <c r="F23" i="3"/>
  <c r="I31" i="4"/>
  <c r="F58" i="3"/>
  <c r="F57" i="3"/>
  <c r="N25" i="4"/>
  <c r="M31" i="4"/>
  <c r="M37" i="4" s="1"/>
  <c r="M40" i="4" s="1"/>
  <c r="M42" i="4"/>
  <c r="M45" i="4"/>
  <c r="M48" i="4"/>
  <c r="G42" i="3"/>
  <c r="G46" i="3" s="1"/>
  <c r="G11" i="3"/>
  <c r="G12" i="3" s="1"/>
  <c r="X48" i="2"/>
  <c r="X54" i="2" s="1"/>
  <c r="X56" i="2" s="1"/>
  <c r="W48" i="2"/>
  <c r="W54" i="2" s="1"/>
  <c r="W56" i="2" s="1"/>
  <c r="F11" i="3"/>
  <c r="F12" i="3" s="1"/>
  <c r="F42" i="3"/>
  <c r="F46" i="3" s="1"/>
  <c r="D11" i="3"/>
  <c r="D12" i="3" s="1"/>
  <c r="D42" i="3"/>
  <c r="D46" i="3" s="1"/>
  <c r="T48" i="2"/>
  <c r="T54" i="2" s="1"/>
  <c r="T56" i="2" s="1"/>
  <c r="V48" i="2"/>
  <c r="V54" i="2" s="1"/>
  <c r="V56" i="2" s="1"/>
  <c r="T29" i="2"/>
  <c r="AA29" i="2"/>
  <c r="V44" i="2"/>
  <c r="E52" i="3" s="1"/>
  <c r="U48" i="2"/>
  <c r="U54" i="2" s="1"/>
  <c r="U56" i="2" s="1"/>
  <c r="U44" i="2"/>
  <c r="D52" i="3" s="1"/>
  <c r="U30" i="2"/>
  <c r="V29" i="2"/>
  <c r="W29" i="2"/>
  <c r="W44" i="2"/>
  <c r="F52" i="3" s="1"/>
  <c r="X44" i="2"/>
  <c r="G52" i="3" s="1"/>
  <c r="V30" i="2"/>
  <c r="W30" i="2"/>
  <c r="H4" i="2"/>
  <c r="J4" i="2"/>
  <c r="I4" i="2"/>
  <c r="G4" i="2"/>
  <c r="F4" i="2"/>
  <c r="E4" i="2"/>
  <c r="D4" i="2"/>
  <c r="C4" i="2"/>
  <c r="J27" i="2"/>
  <c r="I27" i="2"/>
  <c r="G27" i="2"/>
  <c r="H27" i="2"/>
  <c r="J28" i="2"/>
  <c r="I28" i="2"/>
  <c r="G28" i="2"/>
  <c r="D14" i="2"/>
  <c r="D29" i="2" s="1"/>
  <c r="J14" i="2"/>
  <c r="J29" i="2" s="1"/>
  <c r="I14" i="2"/>
  <c r="I18" i="2" s="1"/>
  <c r="I20" i="2" s="1"/>
  <c r="G14" i="2"/>
  <c r="G29" i="2" s="1"/>
  <c r="E14" i="2"/>
  <c r="E29" i="2" s="1"/>
  <c r="C14" i="2"/>
  <c r="C29" i="2" s="1"/>
  <c r="H28" i="2"/>
  <c r="H14" i="2"/>
  <c r="H18" i="2" s="1"/>
  <c r="H30" i="2" s="1"/>
  <c r="I4" i="1"/>
  <c r="AA22" i="2" l="1"/>
  <c r="AA31" i="2"/>
  <c r="J14" i="3" s="1"/>
  <c r="U31" i="2"/>
  <c r="D14" i="3" s="1"/>
  <c r="D29" i="3" s="1"/>
  <c r="T22" i="2"/>
  <c r="D25" i="3"/>
  <c r="D24" i="3"/>
  <c r="D18" i="3" s="1"/>
  <c r="L40" i="4"/>
  <c r="L51" i="4" s="1"/>
  <c r="L32" i="4"/>
  <c r="L38" i="4"/>
  <c r="N42" i="4"/>
  <c r="N31" i="4"/>
  <c r="N37" i="4" s="1"/>
  <c r="N40" i="4" s="1"/>
  <c r="O25" i="4"/>
  <c r="N48" i="4"/>
  <c r="N45" i="4"/>
  <c r="I38" i="4"/>
  <c r="I32" i="4"/>
  <c r="I40" i="4"/>
  <c r="I51" i="4" s="1"/>
  <c r="G40" i="4"/>
  <c r="G51" i="4" s="1"/>
  <c r="G32" i="4"/>
  <c r="G38" i="4"/>
  <c r="Y22" i="2"/>
  <c r="Y31" i="2"/>
  <c r="H14" i="3" s="1"/>
  <c r="C29" i="3"/>
  <c r="C25" i="3"/>
  <c r="C24" i="3"/>
  <c r="C18" i="3" s="1"/>
  <c r="V24" i="2"/>
  <c r="E22" i="3"/>
  <c r="E28" i="3"/>
  <c r="E30" i="3" s="1"/>
  <c r="E50" i="3"/>
  <c r="E51" i="3" s="1"/>
  <c r="V58" i="2"/>
  <c r="V72" i="2" s="1"/>
  <c r="V87" i="2" s="1"/>
  <c r="V31" i="2"/>
  <c r="E14" i="3" s="1"/>
  <c r="F15" i="3"/>
  <c r="F13" i="3"/>
  <c r="M51" i="4"/>
  <c r="M52" i="4" s="1"/>
  <c r="K32" i="4"/>
  <c r="K38" i="4"/>
  <c r="K40" i="4"/>
  <c r="K51" i="4" s="1"/>
  <c r="T24" i="2"/>
  <c r="C22" i="3"/>
  <c r="C28" i="3"/>
  <c r="C50" i="3"/>
  <c r="T58" i="2"/>
  <c r="T72" i="2" s="1"/>
  <c r="T87" i="2" s="1"/>
  <c r="W24" i="2"/>
  <c r="F22" i="3"/>
  <c r="F50" i="3"/>
  <c r="F51" i="3" s="1"/>
  <c r="W58" i="2"/>
  <c r="W72" i="2" s="1"/>
  <c r="W87" i="2" s="1"/>
  <c r="J40" i="4"/>
  <c r="J51" i="4" s="1"/>
  <c r="J32" i="4"/>
  <c r="J38" i="4"/>
  <c r="X22" i="2"/>
  <c r="X31" i="2"/>
  <c r="G14" i="3" s="1"/>
  <c r="D15" i="3"/>
  <c r="D17" i="3" s="1"/>
  <c r="D13" i="3"/>
  <c r="F28" i="3"/>
  <c r="G15" i="3"/>
  <c r="G13" i="3"/>
  <c r="H15" i="3"/>
  <c r="Z22" i="2"/>
  <c r="Z31" i="2"/>
  <c r="I14" i="3" s="1"/>
  <c r="D22" i="3"/>
  <c r="D28" i="3"/>
  <c r="D30" i="3" s="1"/>
  <c r="D50" i="3"/>
  <c r="D51" i="3" s="1"/>
  <c r="U24" i="2"/>
  <c r="H32" i="4"/>
  <c r="H38" i="4"/>
  <c r="H40" i="4"/>
  <c r="H51" i="4" s="1"/>
  <c r="W31" i="2"/>
  <c r="F14" i="3" s="1"/>
  <c r="F32" i="4"/>
  <c r="F40" i="4"/>
  <c r="F51" i="4" s="1"/>
  <c r="E15" i="3"/>
  <c r="E13" i="3"/>
  <c r="E18" i="2"/>
  <c r="E20" i="2" s="1"/>
  <c r="E31" i="2" s="1"/>
  <c r="I7" i="1"/>
  <c r="C18" i="2"/>
  <c r="C30" i="2" s="1"/>
  <c r="G18" i="2"/>
  <c r="G20" i="2" s="1"/>
  <c r="J18" i="2"/>
  <c r="J20" i="2" s="1"/>
  <c r="J22" i="2" s="1"/>
  <c r="J24" i="2" s="1"/>
  <c r="D18" i="2"/>
  <c r="F30" i="2"/>
  <c r="F20" i="2"/>
  <c r="I30" i="2"/>
  <c r="H29" i="2"/>
  <c r="F29" i="2"/>
  <c r="I29" i="2"/>
  <c r="H20" i="2"/>
  <c r="G17" i="3" l="1"/>
  <c r="C30" i="3"/>
  <c r="J50" i="3"/>
  <c r="J51" i="3" s="1"/>
  <c r="J22" i="3"/>
  <c r="J28" i="3"/>
  <c r="J30" i="3" s="1"/>
  <c r="AA24" i="2"/>
  <c r="J29" i="3"/>
  <c r="J25" i="3"/>
  <c r="J24" i="3"/>
  <c r="J18" i="3" s="1"/>
  <c r="J17" i="3"/>
  <c r="J16" i="3"/>
  <c r="E17" i="3"/>
  <c r="C31" i="3"/>
  <c r="F25" i="3"/>
  <c r="F24" i="3"/>
  <c r="F18" i="3" s="1"/>
  <c r="F16" i="3"/>
  <c r="F29" i="3"/>
  <c r="F31" i="3" s="1"/>
  <c r="H25" i="3"/>
  <c r="H24" i="3"/>
  <c r="H18" i="3" s="1"/>
  <c r="H29" i="3"/>
  <c r="H16" i="3"/>
  <c r="Y24" i="2"/>
  <c r="H28" i="3"/>
  <c r="H22" i="3"/>
  <c r="H50" i="3"/>
  <c r="H51" i="3" s="1"/>
  <c r="Y58" i="2"/>
  <c r="Y72" i="2" s="1"/>
  <c r="Y87" i="2" s="1"/>
  <c r="Y88" i="2" s="1"/>
  <c r="X89" i="2" s="1"/>
  <c r="I16" i="3"/>
  <c r="I25" i="3"/>
  <c r="I24" i="3"/>
  <c r="I18" i="3" s="1"/>
  <c r="I29" i="3"/>
  <c r="I17" i="3"/>
  <c r="H17" i="3"/>
  <c r="O45" i="4"/>
  <c r="O42" i="4"/>
  <c r="O48" i="4"/>
  <c r="O31" i="4"/>
  <c r="O37" i="4" s="1"/>
  <c r="O40" i="4" s="1"/>
  <c r="P25" i="4"/>
  <c r="F17" i="3"/>
  <c r="E24" i="3"/>
  <c r="E18" i="3" s="1"/>
  <c r="E25" i="3"/>
  <c r="E16" i="3"/>
  <c r="E29" i="3"/>
  <c r="E31" i="3" s="1"/>
  <c r="G25" i="3"/>
  <c r="G24" i="3"/>
  <c r="G18" i="3" s="1"/>
  <c r="G29" i="3"/>
  <c r="G31" i="3" s="1"/>
  <c r="G16" i="3"/>
  <c r="Z24" i="2"/>
  <c r="I28" i="3"/>
  <c r="I22" i="3"/>
  <c r="I50" i="3"/>
  <c r="I51" i="3" s="1"/>
  <c r="Z58" i="2"/>
  <c r="Z72" i="2" s="1"/>
  <c r="Z87" i="2" s="1"/>
  <c r="Z89" i="2" s="1"/>
  <c r="N51" i="4"/>
  <c r="N52" i="4" s="1"/>
  <c r="F30" i="3"/>
  <c r="D16" i="3"/>
  <c r="X24" i="2"/>
  <c r="G22" i="3"/>
  <c r="G28" i="3"/>
  <c r="G50" i="3"/>
  <c r="G51" i="3" s="1"/>
  <c r="X58" i="2"/>
  <c r="X72" i="2" s="1"/>
  <c r="X87" i="2" s="1"/>
  <c r="D31" i="3"/>
  <c r="J31" i="2"/>
  <c r="G22" i="2"/>
  <c r="G24" i="2" s="1"/>
  <c r="E22" i="2"/>
  <c r="E24" i="2" s="1"/>
  <c r="E30" i="2"/>
  <c r="C20" i="2"/>
  <c r="C31" i="2" s="1"/>
  <c r="J30" i="2"/>
  <c r="G31" i="2"/>
  <c r="G30" i="2"/>
  <c r="D30" i="2"/>
  <c r="D20" i="2"/>
  <c r="I22" i="2"/>
  <c r="I24" i="2" s="1"/>
  <c r="I31" i="2"/>
  <c r="F31" i="2"/>
  <c r="F22" i="2"/>
  <c r="F24" i="2" s="1"/>
  <c r="H31" i="2"/>
  <c r="H22" i="2"/>
  <c r="H24" i="2" s="1"/>
  <c r="I31" i="3" l="1"/>
  <c r="J31" i="3"/>
  <c r="J54" i="3"/>
  <c r="J59" i="3"/>
  <c r="G30" i="3"/>
  <c r="X88" i="2"/>
  <c r="W89" i="2" s="1"/>
  <c r="W88" i="2" s="1"/>
  <c r="V89" i="2" s="1"/>
  <c r="V88" i="2" s="1"/>
  <c r="U89" i="2" s="1"/>
  <c r="U88" i="2" s="1"/>
  <c r="T89" i="2" s="1"/>
  <c r="T88" i="2" s="1"/>
  <c r="I30" i="3"/>
  <c r="H31" i="3"/>
  <c r="O51" i="4"/>
  <c r="O52" i="4" s="1"/>
  <c r="D54" i="3"/>
  <c r="D59" i="3"/>
  <c r="G54" i="3"/>
  <c r="G59" i="3"/>
  <c r="H30" i="3"/>
  <c r="I54" i="3"/>
  <c r="I59" i="3"/>
  <c r="H54" i="3"/>
  <c r="H59" i="3"/>
  <c r="E54" i="3"/>
  <c r="E59" i="3"/>
  <c r="F54" i="3"/>
  <c r="F59" i="3"/>
  <c r="P45" i="4"/>
  <c r="P48" i="4"/>
  <c r="P42" i="4"/>
  <c r="Q25" i="4"/>
  <c r="P31" i="4"/>
  <c r="P37" i="4" s="1"/>
  <c r="P40" i="4" s="1"/>
  <c r="C22" i="2"/>
  <c r="C24" i="2" s="1"/>
  <c r="D22" i="2"/>
  <c r="D24" i="2" s="1"/>
  <c r="D31" i="2"/>
  <c r="P51" i="4" l="1"/>
  <c r="P52" i="4" s="1"/>
  <c r="Q48" i="4"/>
  <c r="R25" i="4"/>
  <c r="Q45" i="4"/>
  <c r="Q42" i="4"/>
  <c r="Q31" i="4"/>
  <c r="Q37" i="4" s="1"/>
  <c r="Q40" i="4" s="1"/>
  <c r="Q51" i="4" l="1"/>
  <c r="Q52" i="4" s="1"/>
  <c r="S25" i="4"/>
  <c r="R45" i="4"/>
  <c r="R48" i="4"/>
  <c r="R42" i="4"/>
  <c r="R31" i="4"/>
  <c r="R37" i="4" s="1"/>
  <c r="R40" i="4" s="1"/>
  <c r="T25" i="4" l="1"/>
  <c r="S48" i="4"/>
  <c r="S45" i="4"/>
  <c r="S42" i="4"/>
  <c r="S31" i="4"/>
  <c r="S37" i="4" s="1"/>
  <c r="S40" i="4" s="1"/>
  <c r="R51" i="4"/>
  <c r="R52" i="4" s="1"/>
  <c r="S51" i="4" l="1"/>
  <c r="S52" i="4" s="1"/>
  <c r="U25" i="4"/>
  <c r="T48" i="4"/>
  <c r="T45" i="4"/>
  <c r="T42" i="4"/>
  <c r="T31" i="4"/>
  <c r="T37" i="4" s="1"/>
  <c r="T40" i="4" s="1"/>
  <c r="T51" i="4" l="1"/>
  <c r="T52" i="4" s="1"/>
  <c r="U45" i="4"/>
  <c r="U48" i="4"/>
  <c r="U42" i="4"/>
  <c r="V25" i="4"/>
  <c r="U31" i="4"/>
  <c r="U37" i="4" s="1"/>
  <c r="U40" i="4" s="1"/>
  <c r="U51" i="4" l="1"/>
  <c r="U52" i="4" s="1"/>
  <c r="V45" i="4"/>
  <c r="V48" i="4"/>
  <c r="V42" i="4"/>
  <c r="V31" i="4"/>
  <c r="V37" i="4" s="1"/>
  <c r="V40" i="4" s="1"/>
  <c r="V51" i="4" l="1"/>
  <c r="V52" i="4" s="1"/>
  <c r="V54" i="4" s="1"/>
  <c r="V55" i="4"/>
  <c r="V56" i="4" s="1"/>
  <c r="V57" i="4" l="1"/>
  <c r="V60" i="4" s="1"/>
  <c r="V62" i="4" s="1"/>
  <c r="J4" i="4" s="1"/>
  <c r="N69" i="4" l="1"/>
  <c r="J5" i="4"/>
  <c r="C6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6" authorId="0" shapeId="0" xr:uid="{EF9A5F89-7E93-4E8C-A927-6AC1EBA83751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Average Price Per Ad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<sst xmlns="http://schemas.openxmlformats.org/spreadsheetml/2006/main" count="424" uniqueCount="310">
  <si>
    <t>Meta Platforms Inc</t>
  </si>
  <si>
    <t>numbers in mio USD</t>
  </si>
  <si>
    <t>x</t>
  </si>
  <si>
    <t>SEC</t>
  </si>
  <si>
    <t>META</t>
  </si>
  <si>
    <t>Price</t>
  </si>
  <si>
    <t>Shares</t>
  </si>
  <si>
    <t>MC</t>
  </si>
  <si>
    <t>Cash</t>
  </si>
  <si>
    <t>Debt</t>
  </si>
  <si>
    <t>Q224</t>
  </si>
  <si>
    <t>EV</t>
  </si>
  <si>
    <t>Main</t>
  </si>
  <si>
    <t>Q123</t>
  </si>
  <si>
    <t>Q223</t>
  </si>
  <si>
    <t>Q324</t>
  </si>
  <si>
    <t>Q323</t>
  </si>
  <si>
    <t>Q423</t>
  </si>
  <si>
    <t>Q124</t>
  </si>
  <si>
    <t>Q424</t>
  </si>
  <si>
    <t>Revenue</t>
  </si>
  <si>
    <t>COGS</t>
  </si>
  <si>
    <t>Gross Profit</t>
  </si>
  <si>
    <t>R&amp;D</t>
  </si>
  <si>
    <t>Marketing and Sales</t>
  </si>
  <si>
    <t>General and Administrative</t>
  </si>
  <si>
    <t>Operating Profit</t>
  </si>
  <si>
    <t>Pretax Income</t>
  </si>
  <si>
    <t>Interest Income</t>
  </si>
  <si>
    <t>Income Tax</t>
  </si>
  <si>
    <t>Net Income</t>
  </si>
  <si>
    <t>EPS</t>
  </si>
  <si>
    <t>Revenue YoY</t>
  </si>
  <si>
    <t>Gross Margin</t>
  </si>
  <si>
    <t>Operating Margin</t>
  </si>
  <si>
    <t>Tax Rate</t>
  </si>
  <si>
    <t xml:space="preserve">Advertising </t>
  </si>
  <si>
    <t>Other</t>
  </si>
  <si>
    <t>Apps</t>
  </si>
  <si>
    <t>Reality Labs</t>
  </si>
  <si>
    <t>Notes</t>
  </si>
  <si>
    <t>DAP Growth</t>
  </si>
  <si>
    <t>ARPP</t>
  </si>
  <si>
    <t>Ad Impressions</t>
  </si>
  <si>
    <t>Change in APPA</t>
  </si>
  <si>
    <t>Revenue:</t>
  </si>
  <si>
    <t xml:space="preserve">Ads </t>
  </si>
  <si>
    <t>Substantially all of the Revenue -&gt; Ads displayed on Facebook, Instagram, Messanger, Whats App and third party mobile apllications</t>
  </si>
  <si>
    <t>Whats App Buisness Platform, net fees from devolopers using Metas payment infrastructures and other</t>
  </si>
  <si>
    <t>Meta Orion Glasses in colloborations with Luxottica (Ray Ban)</t>
  </si>
  <si>
    <t>Apps: Facebook, Instagram, Messanger, Whats App, Theads</t>
  </si>
  <si>
    <t>Delivery of consumer hadware products such as Meta Quests, wearables, and related software content, Meta Horizon</t>
  </si>
  <si>
    <t>FY18</t>
  </si>
  <si>
    <t>FY19</t>
  </si>
  <si>
    <t>FY20</t>
  </si>
  <si>
    <t>FY21</t>
  </si>
  <si>
    <t>FY22</t>
  </si>
  <si>
    <t>FY23</t>
  </si>
  <si>
    <t>FY24</t>
  </si>
  <si>
    <t>FY25</t>
  </si>
  <si>
    <t>Cash and Cash Equivalents</t>
  </si>
  <si>
    <t>Marketable Securities</t>
  </si>
  <si>
    <t>Accounts receivables</t>
  </si>
  <si>
    <t>Prepaid expenses and other</t>
  </si>
  <si>
    <t>Current Assets</t>
  </si>
  <si>
    <t>Non-marketable securities</t>
  </si>
  <si>
    <t>PP&amp;E</t>
  </si>
  <si>
    <t>Operating Leases</t>
  </si>
  <si>
    <t xml:space="preserve">Goodwill </t>
  </si>
  <si>
    <t>Non-current Assets</t>
  </si>
  <si>
    <t>Total Assets</t>
  </si>
  <si>
    <t>Accounts payables</t>
  </si>
  <si>
    <t>Operating Lease Liabilties</t>
  </si>
  <si>
    <t>Accrued expenses</t>
  </si>
  <si>
    <t>Current Liabilities</t>
  </si>
  <si>
    <t>Tax Payables</t>
  </si>
  <si>
    <t xml:space="preserve">Other </t>
  </si>
  <si>
    <t>Non-current Liabilties</t>
  </si>
  <si>
    <t>Equity</t>
  </si>
  <si>
    <t>Total Liabilities</t>
  </si>
  <si>
    <t>Liabilities &amp; Equity</t>
  </si>
  <si>
    <t>D&amp;A</t>
  </si>
  <si>
    <t>Share-based compensations</t>
  </si>
  <si>
    <t>Deffered Income Taxes</t>
  </si>
  <si>
    <t>Data Center Assets abdondment</t>
  </si>
  <si>
    <t>Impairment for facilities consolid.</t>
  </si>
  <si>
    <t>Change in Prepaid Expenses</t>
  </si>
  <si>
    <t>Cahnge in other Assets</t>
  </si>
  <si>
    <t>Changes in AP</t>
  </si>
  <si>
    <t>Change in AR</t>
  </si>
  <si>
    <t>Change in accrued Expenses</t>
  </si>
  <si>
    <t>Change in other Liabilities</t>
  </si>
  <si>
    <t>Change in WC</t>
  </si>
  <si>
    <t>CFFO</t>
  </si>
  <si>
    <t>CFFI</t>
  </si>
  <si>
    <t>CapEx</t>
  </si>
  <si>
    <t>Purchase of MS</t>
  </si>
  <si>
    <t>Sale of MS</t>
  </si>
  <si>
    <t>Acquisiton of Intangibles</t>
  </si>
  <si>
    <t>Cash EoP</t>
  </si>
  <si>
    <t>Cash BoP</t>
  </si>
  <si>
    <t>Change in Cash</t>
  </si>
  <si>
    <t>FX Effect</t>
  </si>
  <si>
    <t>CFFF</t>
  </si>
  <si>
    <t>Taxes paid settlement of equity awards</t>
  </si>
  <si>
    <t>Stock Buybacks</t>
  </si>
  <si>
    <t>Dividends</t>
  </si>
  <si>
    <t>Issuance of Debt</t>
  </si>
  <si>
    <t>Lease Payments</t>
  </si>
  <si>
    <t>n.a.</t>
  </si>
  <si>
    <t>DAPs in billions</t>
  </si>
  <si>
    <t>Mangement</t>
  </si>
  <si>
    <t>CEO</t>
  </si>
  <si>
    <t>Mark Zuckerberg</t>
  </si>
  <si>
    <t>Javier Olivan</t>
  </si>
  <si>
    <t>COO</t>
  </si>
  <si>
    <t>CPO</t>
  </si>
  <si>
    <t>CLO</t>
  </si>
  <si>
    <t>Chris Cox</t>
  </si>
  <si>
    <t>Jennifer Newstead</t>
  </si>
  <si>
    <t>Founded:</t>
  </si>
  <si>
    <t>Employees: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</si>
  <si>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</si>
  <si>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</si>
  <si>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</si>
  <si>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</si>
  <si>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</si>
  <si>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</si>
  <si>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</si>
  <si>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</si>
  <si>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</si>
  <si>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</si>
  <si>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</si>
  <si>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</si>
  <si>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</si>
  <si>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</si>
  <si>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</si>
  <si>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</si>
  <si>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</si>
  <si>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</si>
  <si>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</si>
  <si>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</si>
  <si>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</si>
  <si>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</si>
  <si>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</si>
  <si>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</si>
  <si>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</si>
  <si>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</si>
  <si>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</si>
  <si>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</si>
  <si>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</si>
  <si>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</si>
  <si>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</si>
  <si>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</si>
  <si>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</si>
  <si>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</si>
  <si>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WACC</t>
  </si>
  <si>
    <t>=&gt; WACC = (D/D+E)*kd * (1-t) + (E/D+E) * ke</t>
  </si>
  <si>
    <t>Change</t>
  </si>
  <si>
    <t>Ratios</t>
  </si>
  <si>
    <t>Shares o/s</t>
  </si>
  <si>
    <t>Market Cap</t>
  </si>
  <si>
    <t>Net Debt</t>
  </si>
  <si>
    <t>Value Driver</t>
  </si>
  <si>
    <t>Capital Emloyed</t>
  </si>
  <si>
    <t>=Long Term Assets + Working Capital (Exclusive of cash)-Accounts Payables</t>
  </si>
  <si>
    <t>=Net Working Capital + PP&amp;E + Other Net Operating Assets (net of Liabilties) + (Intangibles)</t>
  </si>
  <si>
    <t>Invested Capital (exl. 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</si>
  <si>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</si>
  <si>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</si>
  <si>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</si>
  <si>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</si>
  <si>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</si>
  <si>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</si>
  <si>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</si>
  <si>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</si>
  <si>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</si>
  <si>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</si>
  <si>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</si>
  <si>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</si>
  <si>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</si>
  <si>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</si>
  <si>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=Revenue/Equity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</si>
  <si>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</si>
  <si>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</si>
  <si>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</si>
  <si>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</si>
  <si>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</si>
  <si>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</si>
  <si>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</si>
  <si>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</si>
  <si>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</si>
  <si>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</si>
  <si>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</si>
  <si>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</si>
  <si>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</si>
  <si>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</si>
  <si>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</si>
  <si>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</si>
  <si>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</si>
  <si>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</si>
  <si>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</si>
  <si>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</si>
  <si>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</si>
  <si>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</si>
  <si>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</si>
  <si>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</si>
  <si>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</si>
  <si>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</si>
  <si>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</si>
  <si>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</si>
  <si>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</si>
  <si>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</si>
  <si>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</si>
  <si>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</si>
  <si>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</si>
  <si>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</si>
  <si>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</si>
  <si>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</si>
  <si>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</si>
  <si>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</si>
  <si>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</si>
  <si>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</si>
  <si>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</si>
  <si>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</si>
  <si>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</si>
  <si>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</si>
  <si>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</si>
  <si>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</si>
  <si>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</si>
  <si>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</si>
  <si>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</si>
  <si>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</si>
  <si>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</si>
  <si>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</si>
  <si>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</si>
  <si>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</si>
  <si>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</si>
  <si>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</si>
  <si>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</si>
  <si>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</si>
  <si>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</si>
  <si>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EV/EBIT</t>
  </si>
  <si>
    <t>=EV/EBIT</t>
  </si>
  <si>
    <t>EV/FCF</t>
  </si>
  <si>
    <t>=EV/FCF</t>
  </si>
  <si>
    <t>EV/Sales</t>
  </si>
  <si>
    <t>=EV/Revenue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</si>
  <si>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</si>
  <si>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</si>
  <si>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</si>
  <si>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</si>
  <si>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</si>
  <si>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</si>
  <si>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</si>
  <si>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</si>
  <si>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</si>
  <si>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</si>
  <si>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</si>
  <si>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</si>
  <si>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</si>
  <si>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</si>
  <si>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</si>
  <si>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</si>
  <si>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</si>
  <si>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Implied Share Price</t>
  </si>
  <si>
    <t>TGR</t>
  </si>
  <si>
    <t>Probability</t>
  </si>
  <si>
    <t>ROIC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</si>
  <si>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</si>
  <si>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</si>
  <si>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</si>
  <si>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</si>
  <si>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</si>
  <si>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</si>
  <si>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</si>
  <si>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</si>
  <si>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</si>
  <si>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</si>
  <si>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</si>
  <si>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</si>
  <si>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</si>
  <si>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</si>
  <si>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</si>
  <si>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</si>
  <si>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</si>
  <si>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</si>
  <si>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</si>
  <si>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</si>
  <si>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</si>
  <si>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</si>
  <si>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</si>
  <si>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</si>
  <si>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</si>
  <si>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</si>
  <si>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META DCF</t>
  </si>
  <si>
    <t>Invested Capital (incl. Intangibles)</t>
  </si>
  <si>
    <t>2004 by Mark Zuckerberg</t>
  </si>
  <si>
    <t>Q125</t>
  </si>
  <si>
    <t>Q225</t>
  </si>
  <si>
    <t>Q325</t>
  </si>
  <si>
    <t>Q425</t>
  </si>
  <si>
    <t>CFO</t>
  </si>
  <si>
    <t>Susan Li</t>
  </si>
  <si>
    <t>CTO</t>
  </si>
  <si>
    <t>Andrew Boswoth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</si>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</sst>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"/>
    <numFmt numFmtId="165" formatCode="#,##0.0;\(#,##0.0\)"/>
    <numFmt numFmtId="166" formatCode="#,##0.00;\(#,##0.00\)"/>
    <numFmt numFmtId="167" formatCode="\F\Y#,##0"/>
    <numFmt numFmtId="168" formatCode="#,##0.0;[Red]#,##0.0"/>
    <numFmt numFmtId="169" formatCode="#,##0.0"/>
    <numFmt numFmtId="170" formatCode="0.0%"/>
    <numFmt numFmtId="171" formatCode="&quot;FY&quot;0&quot;A&quot;"/>
    <numFmt numFmtId="172" formatCode="0.0"/>
  </numFmts>
  <fonts count="1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1E9D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3">
    <xf numFmtId="0" fontId="0" fillId="0" borderId="0" xfId="0"/>
    <xf numFmtId="0" fontId="10" fillId="0" borderId="0" xfId="0" applyFont="1"/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12" fillId="0" borderId="0" xfId="2" applyFont="1"/>
    <xf numFmtId="0" fontId="4" fillId="0" borderId="0" xfId="0" applyFont="1" applyAlignment="1">
      <alignment horizontal="center"/>
    </xf>
    <xf numFmtId="0" fontId="13" fillId="0" borderId="0" xfId="0" applyFont="1"/>
    <xf numFmtId="3" fontId="4" fillId="0" borderId="0" xfId="0" applyNumberFormat="1" applyFont="1"/>
    <xf numFmtId="166" fontId="4" fillId="0" borderId="0" xfId="0" applyNumberFormat="1" applyFont="1"/>
    <xf numFmtId="9" fontId="4" fillId="0" borderId="0" xfId="1" applyFont="1"/>
    <xf numFmtId="166" fontId="4" fillId="0" borderId="0" xfId="0" applyNumberFormat="1" applyFont="1" applyAlignment="1">
      <alignment horizontal="right"/>
    </xf>
    <xf numFmtId="164" fontId="10" fillId="0" borderId="0" xfId="0" applyNumberFormat="1" applyFont="1"/>
    <xf numFmtId="2" fontId="4" fillId="0" borderId="0" xfId="0" applyNumberFormat="1" applyFont="1"/>
    <xf numFmtId="9" fontId="10" fillId="0" borderId="0" xfId="1" applyFont="1"/>
    <xf numFmtId="0" fontId="14" fillId="0" borderId="0" xfId="0" applyFont="1"/>
    <xf numFmtId="167" fontId="15" fillId="0" borderId="0" xfId="0" applyNumberFormat="1" applyFont="1" applyAlignment="1">
      <alignment horizontal="right"/>
    </xf>
    <xf numFmtId="0" fontId="15" fillId="0" borderId="0" xfId="0" applyFont="1"/>
    <xf numFmtId="0" fontId="16" fillId="0" borderId="0" xfId="0" applyFont="1"/>
    <xf numFmtId="0" fontId="4" fillId="0" borderId="0" xfId="0" quotePrefix="1" applyFont="1"/>
    <xf numFmtId="170" fontId="4" fillId="0" borderId="0" xfId="1" applyNumberFormat="1" applyFont="1"/>
    <xf numFmtId="9" fontId="4" fillId="0" borderId="0" xfId="0" applyNumberFormat="1" applyFont="1"/>
    <xf numFmtId="2" fontId="4" fillId="0" borderId="0" xfId="0" applyNumberFormat="1" applyFont="1" applyAlignment="1">
      <alignment horizontal="right"/>
    </xf>
    <xf numFmtId="168" fontId="4" fillId="0" borderId="0" xfId="0" applyNumberFormat="1" applyFont="1"/>
    <xf numFmtId="0" fontId="9" fillId="2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12" fillId="0" borderId="6" xfId="2" applyFont="1" applyBorder="1"/>
    <xf numFmtId="0" fontId="10" fillId="0" borderId="6" xfId="0" applyFont="1" applyBorder="1"/>
    <xf numFmtId="0" fontId="4" fillId="0" borderId="6" xfId="0" applyFont="1" applyBorder="1"/>
    <xf numFmtId="0" fontId="4" fillId="0" borderId="7" xfId="0" applyFont="1" applyBorder="1"/>
    <xf numFmtId="0" fontId="4" fillId="3" borderId="8" xfId="0" applyFont="1" applyFill="1" applyBorder="1" applyAlignment="1">
      <alignment horizontal="center"/>
    </xf>
    <xf numFmtId="16" fontId="4" fillId="3" borderId="9" xfId="0" applyNumberFormat="1" applyFont="1" applyFill="1" applyBorder="1" applyAlignment="1">
      <alignment horizontal="center"/>
    </xf>
    <xf numFmtId="2" fontId="4" fillId="3" borderId="8" xfId="0" applyNumberFormat="1" applyFont="1" applyFill="1" applyBorder="1" applyAlignment="1">
      <alignment horizontal="center"/>
    </xf>
    <xf numFmtId="169" fontId="4" fillId="3" borderId="9" xfId="1" applyNumberFormat="1" applyFont="1" applyFill="1" applyBorder="1" applyAlignment="1">
      <alignment horizontal="center"/>
    </xf>
    <xf numFmtId="9" fontId="4" fillId="3" borderId="9" xfId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4" borderId="0" xfId="0" applyFont="1" applyFill="1"/>
    <xf numFmtId="0" fontId="11" fillId="4" borderId="0" xfId="0" applyFont="1" applyFill="1"/>
    <xf numFmtId="0" fontId="4" fillId="3" borderId="9" xfId="0" applyFont="1" applyFill="1" applyBorder="1" applyAlignment="1">
      <alignment horizontal="center"/>
    </xf>
    <xf numFmtId="170" fontId="4" fillId="3" borderId="9" xfId="1" applyNumberFormat="1" applyFont="1" applyFill="1" applyBorder="1" applyAlignment="1">
      <alignment horizontal="center"/>
    </xf>
    <xf numFmtId="171" fontId="9" fillId="2" borderId="0" xfId="0" applyNumberFormat="1" applyFont="1" applyFill="1"/>
    <xf numFmtId="0" fontId="17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9" fontId="17" fillId="0" borderId="0" xfId="1" applyFont="1"/>
    <xf numFmtId="170" fontId="4" fillId="3" borderId="9" xfId="1" applyNumberFormat="1" applyFont="1" applyFill="1" applyBorder="1" applyAlignment="1">
      <alignment horizontal="right"/>
    </xf>
    <xf numFmtId="0" fontId="10" fillId="5" borderId="1" xfId="0" applyFont="1" applyFill="1" applyBorder="1"/>
    <xf numFmtId="0" fontId="10" fillId="5" borderId="2" xfId="0" applyFont="1" applyFill="1" applyBorder="1"/>
    <xf numFmtId="164" fontId="10" fillId="5" borderId="2" xfId="0" applyNumberFormat="1" applyFont="1" applyFill="1" applyBorder="1"/>
    <xf numFmtId="164" fontId="10" fillId="5" borderId="3" xfId="0" applyNumberFormat="1" applyFont="1" applyFill="1" applyBorder="1"/>
    <xf numFmtId="0" fontId="17" fillId="0" borderId="0" xfId="0" applyFont="1"/>
    <xf numFmtId="170" fontId="17" fillId="0" borderId="0" xfId="1" applyNumberFormat="1" applyFont="1"/>
    <xf numFmtId="170" fontId="17" fillId="0" borderId="0" xfId="0" applyNumberFormat="1" applyFont="1"/>
    <xf numFmtId="168" fontId="10" fillId="5" borderId="10" xfId="0" applyNumberFormat="1" applyFont="1" applyFill="1" applyBorder="1"/>
    <xf numFmtId="168" fontId="10" fillId="5" borderId="11" xfId="0" applyNumberFormat="1" applyFont="1" applyFill="1" applyBorder="1"/>
    <xf numFmtId="164" fontId="10" fillId="5" borderId="11" xfId="0" applyNumberFormat="1" applyFont="1" applyFill="1" applyBorder="1"/>
    <xf numFmtId="164" fontId="10" fillId="5" borderId="12" xfId="0" applyNumberFormat="1" applyFont="1" applyFill="1" applyBorder="1"/>
    <xf numFmtId="168" fontId="10" fillId="5" borderId="13" xfId="0" applyNumberFormat="1" applyFont="1" applyFill="1" applyBorder="1"/>
    <xf numFmtId="168" fontId="10" fillId="5" borderId="6" xfId="0" applyNumberFormat="1" applyFont="1" applyFill="1" applyBorder="1"/>
    <xf numFmtId="164" fontId="10" fillId="5" borderId="6" xfId="0" applyNumberFormat="1" applyFont="1" applyFill="1" applyBorder="1"/>
    <xf numFmtId="164" fontId="10" fillId="5" borderId="14" xfId="0" applyNumberFormat="1" applyFont="1" applyFill="1" applyBorder="1"/>
    <xf numFmtId="168" fontId="4" fillId="0" borderId="6" xfId="0" applyNumberFormat="1" applyFont="1" applyBorder="1"/>
    <xf numFmtId="168" fontId="4" fillId="0" borderId="6" xfId="0" applyNumberFormat="1" applyFont="1" applyBorder="1" applyAlignment="1">
      <alignment horizontal="right"/>
    </xf>
    <xf numFmtId="168" fontId="4" fillId="0" borderId="2" xfId="0" applyNumberFormat="1" applyFont="1" applyBorder="1"/>
    <xf numFmtId="168" fontId="4" fillId="0" borderId="2" xfId="0" applyNumberFormat="1" applyFont="1" applyBorder="1" applyAlignment="1">
      <alignment horizontal="right"/>
    </xf>
    <xf numFmtId="168" fontId="4" fillId="0" borderId="0" xfId="0" applyNumberFormat="1" applyFont="1" applyAlignment="1">
      <alignment horizontal="right"/>
    </xf>
    <xf numFmtId="0" fontId="4" fillId="6" borderId="10" xfId="0" applyFont="1" applyFill="1" applyBorder="1"/>
    <xf numFmtId="2" fontId="18" fillId="6" borderId="11" xfId="0" applyNumberFormat="1" applyFont="1" applyFill="1" applyBorder="1"/>
    <xf numFmtId="170" fontId="9" fillId="6" borderId="11" xfId="0" applyNumberFormat="1" applyFont="1" applyFill="1" applyBorder="1"/>
    <xf numFmtId="170" fontId="9" fillId="6" borderId="0" xfId="0" applyNumberFormat="1" applyFont="1" applyFill="1"/>
    <xf numFmtId="172" fontId="4" fillId="0" borderId="0" xfId="0" applyNumberFormat="1" applyFont="1"/>
    <xf numFmtId="172" fontId="10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right"/>
    </xf>
    <xf numFmtId="0" fontId="10" fillId="6" borderId="11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 vertical="center" textRotation="90"/>
    </xf>
    <xf numFmtId="0" fontId="10" fillId="6" borderId="5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600076</xdr:colOff>
      <xdr:row>0</xdr:row>
      <xdr:rowOff>90488</xdr:rowOff>
    </xdr:from>
    <xdr:to>
      <xdr:col>27</xdr:col>
      <xdr:colOff>9523</xdr:colOff>
      <xdr:row>30</xdr:row>
      <xdr:rowOff>142876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D891988-A6BD-5DA1-5E16-87BD1DA0E9AD}"/>
            </a:ext>
          </a:extLst>
        </xdr:cNvPr>
        <xdr:cNvCxnSpPr/>
      </xdr:nvCxnSpPr>
      <xdr:spPr>
        <a:xfrm flipH="1">
          <a:off x="15087601" y="90488"/>
          <a:ext cx="19047" cy="491013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0</xdr:row>
      <xdr:rowOff>0</xdr:rowOff>
    </xdr:from>
    <xdr:to>
      <xdr:col>10</xdr:col>
      <xdr:colOff>28575</xdr:colOff>
      <xdr:row>60</xdr:row>
      <xdr:rowOff>44450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D8C75B1-9544-4DBC-9A4E-B7B5DAE91DF1}"/>
            </a:ext>
          </a:extLst>
        </xdr:cNvPr>
        <xdr:cNvCxnSpPr/>
      </xdr:nvCxnSpPr>
      <xdr:spPr>
        <a:xfrm>
          <a:off x="7562850" y="0"/>
          <a:ext cx="0" cy="9759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atmeta.com/home/default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D475-5E7D-486D-B992-BB5391B55D2A}">
  <dimension ref="A1:J21"/>
  <sheetViews>
    <sheetView topLeftCell="B1" zoomScale="200" zoomScaleNormal="200" workbookViewId="0">
      <selection activeCell="I7" sqref="I7"/>
    </sheetView>
  </sheetViews>
  <sheetFormatPr defaultRowHeight="12.75" x14ac:dyDescent="0.2"/>
  <cols>
    <col min="1" max="1" width="4" style="2" customWidth="1"/>
    <col min="2" max="2" width="10.140625" style="2" customWidth="1"/>
    <col min="3" max="8" width="9.140625" style="2"/>
    <col min="9" max="9" width="10.140625" style="2" bestFit="1" customWidth="1"/>
    <col min="10" max="16384" width="9.140625" style="2"/>
  </cols>
  <sheetData>
    <row r="1" spans="1:10" x14ac:dyDescent="0.2">
      <c r="A1" s="1" t="s">
        <v>0</v>
      </c>
    </row>
    <row r="2" spans="1:10" x14ac:dyDescent="0.2">
      <c r="A2" s="2" t="s">
        <v>1</v>
      </c>
      <c r="H2" s="2" t="s">
        <v>5</v>
      </c>
      <c r="I2" s="3">
        <v>535</v>
      </c>
    </row>
    <row r="3" spans="1:10" x14ac:dyDescent="0.2">
      <c r="H3" s="2" t="s">
        <v>6</v>
      </c>
      <c r="I3" s="4">
        <f>2205.128509+342.377716</f>
        <v>2547.5062250000001</v>
      </c>
      <c r="J3" s="82" t="s">
        <v>307</v>
      </c>
    </row>
    <row r="4" spans="1:10" x14ac:dyDescent="0.2">
      <c r="B4" s="2" t="s">
        <v>3</v>
      </c>
      <c r="H4" s="2" t="s">
        <v>7</v>
      </c>
      <c r="I4" s="4">
        <f>I2*I3</f>
        <v>1362915.8303750001</v>
      </c>
    </row>
    <row r="5" spans="1:10" x14ac:dyDescent="0.2">
      <c r="B5" s="6" t="s">
        <v>4</v>
      </c>
      <c r="H5" s="2" t="s">
        <v>8</v>
      </c>
      <c r="I5" s="4">
        <f>15462+74798</f>
        <v>90260</v>
      </c>
      <c r="J5" s="82" t="s">
        <v>307</v>
      </c>
    </row>
    <row r="6" spans="1:10" x14ac:dyDescent="0.2">
      <c r="A6" s="7"/>
      <c r="B6" s="8"/>
      <c r="H6" s="2" t="s">
        <v>9</v>
      </c>
      <c r="I6" s="4">
        <v>83664</v>
      </c>
      <c r="J6" s="82" t="s">
        <v>307</v>
      </c>
    </row>
    <row r="7" spans="1:10" x14ac:dyDescent="0.2">
      <c r="A7" s="7" t="s">
        <v>2</v>
      </c>
      <c r="B7" s="1" t="s">
        <v>111</v>
      </c>
      <c r="H7" s="2" t="s">
        <v>11</v>
      </c>
      <c r="I7" s="4">
        <f>I4-I5+I6</f>
        <v>1356319.8303750001</v>
      </c>
    </row>
    <row r="8" spans="1:10" x14ac:dyDescent="0.2">
      <c r="B8" s="2" t="s">
        <v>112</v>
      </c>
      <c r="C8" s="2" t="s">
        <v>113</v>
      </c>
    </row>
    <row r="9" spans="1:10" x14ac:dyDescent="0.2">
      <c r="B9" s="2" t="s">
        <v>115</v>
      </c>
      <c r="C9" s="2" t="s">
        <v>114</v>
      </c>
      <c r="H9" s="2" t="s">
        <v>120</v>
      </c>
      <c r="I9" s="2" t="s">
        <v>297</v>
      </c>
    </row>
    <row r="10" spans="1:10" x14ac:dyDescent="0.2">
      <c r="B10" s="2" t="s">
        <v>116</v>
      </c>
      <c r="C10" s="2" t="s">
        <v>118</v>
      </c>
      <c r="H10" s="2" t="s">
        <v>121</v>
      </c>
      <c r="I10" s="9">
        <v>74067</v>
      </c>
    </row>
    <row r="11" spans="1:10" x14ac:dyDescent="0.2">
      <c r="B11" s="2" t="s">
        <v>117</v>
      </c>
      <c r="C11" s="2" t="s">
        <v>119</v>
      </c>
    </row>
    <row r="12" spans="1:10" x14ac:dyDescent="0.2">
      <c r="B12" s="74" t="s">
        <v>302</v>
      </c>
      <c r="C12" s="74" t="s">
        <v>303</v>
      </c>
    </row>
    <row r="13" spans="1:10" x14ac:dyDescent="0.2">
      <c r="B13" s="74" t="s">
        <v>304</v>
      </c>
      <c r="C13" s="74" t="s">
        <v>305</v>
      </c>
    </row>
    <row r="15" spans="1:10" x14ac:dyDescent="0.2">
      <c r="A15" s="7" t="s">
        <v>2</v>
      </c>
      <c r="B15" s="8" t="s">
        <v>40</v>
      </c>
    </row>
    <row r="16" spans="1:10" x14ac:dyDescent="0.2">
      <c r="B16" s="2" t="s">
        <v>50</v>
      </c>
    </row>
    <row r="17" spans="2:3" x14ac:dyDescent="0.2">
      <c r="B17" s="2" t="s">
        <v>45</v>
      </c>
    </row>
    <row r="18" spans="2:3" x14ac:dyDescent="0.2">
      <c r="B18" s="2" t="s">
        <v>46</v>
      </c>
      <c r="C18" s="2" t="s">
        <v>47</v>
      </c>
    </row>
    <row r="19" spans="2:3" x14ac:dyDescent="0.2">
      <c r="B19" s="2" t="s">
        <v>37</v>
      </c>
      <c r="C19" s="2" t="s">
        <v>48</v>
      </c>
    </row>
    <row r="20" spans="2:3" x14ac:dyDescent="0.2">
      <c r="B20" s="2" t="s">
        <v>39</v>
      </c>
      <c r="C20" s="2" t="s">
        <v>51</v>
      </c>
    </row>
    <row r="21" spans="2:3" x14ac:dyDescent="0.2">
      <c r="C21" s="2" t="s">
        <v>49</v>
      </c>
    </row>
  </sheetData>
  <hyperlinks>
    <hyperlink ref="B5" r:id="rId1" xr:uid="{668AC949-6C67-4F1B-BD8C-CBD0C73116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6C3B-9DA1-408F-AD58-F1C27A59B54A}">
  <dimension ref="A1:EA702"/>
  <sheetViews>
    <sheetView tabSelected="1"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7" sqref="P7"/>
    </sheetView>
  </sheetViews>
  <sheetFormatPr defaultRowHeight="12.75" x14ac:dyDescent="0.2"/>
  <cols>
    <col min="1" max="1" width="4.7109375" style="2" bestFit="1" customWidth="1"/>
    <col min="2" max="2" width="29.7109375" style="2" bestFit="1" customWidth="1"/>
    <col min="3" max="16384" width="9.140625" style="2"/>
  </cols>
  <sheetData>
    <row r="1" spans="1:131" x14ac:dyDescent="0.2">
      <c r="A1" s="6" t="s">
        <v>12</v>
      </c>
    </row>
    <row r="2" spans="1:131" x14ac:dyDescent="0.2">
      <c r="C2" s="5" t="s">
        <v>13</v>
      </c>
      <c r="D2" s="5" t="s">
        <v>14</v>
      </c>
      <c r="E2" s="5" t="s">
        <v>16</v>
      </c>
      <c r="F2" s="5" t="s">
        <v>17</v>
      </c>
      <c r="G2" s="5" t="s">
        <v>18</v>
      </c>
      <c r="H2" s="5" t="s">
        <v>10</v>
      </c>
      <c r="I2" s="5" t="s">
        <v>15</v>
      </c>
      <c r="J2" s="5" t="s">
        <v>19</v>
      </c>
      <c r="K2" s="5" t="s">
        <v>298</v>
      </c>
      <c r="L2" s="5" t="s">
        <v>299</v>
      </c>
      <c r="M2" s="5" t="s">
        <v>300</v>
      </c>
      <c r="N2" s="5" t="s">
        <v>301</v>
      </c>
      <c r="O2" s="75" t="s">
        <v>306</v>
      </c>
      <c r="P2" s="75" t="s">
        <v>307</v>
      </c>
      <c r="Q2" s="75" t="s">
        <v>308</v>
      </c>
      <c r="R2" s="75" t="s">
        <v>309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</row>
    <row r="3" spans="1:131" x14ac:dyDescent="0.2">
      <c r="B3" s="2" t="s">
        <v>110</v>
      </c>
      <c r="C3" s="10">
        <v>3.02</v>
      </c>
      <c r="D3" s="10">
        <v>3.07</v>
      </c>
      <c r="E3" s="10">
        <v>3.14</v>
      </c>
      <c r="F3" s="10">
        <v>3.19</v>
      </c>
      <c r="G3" s="10">
        <v>3.24</v>
      </c>
      <c r="H3" s="10">
        <v>3.27</v>
      </c>
      <c r="I3" s="10">
        <v>3.29</v>
      </c>
      <c r="J3" s="10">
        <v>3.35</v>
      </c>
      <c r="K3" s="10">
        <v>3.43</v>
      </c>
      <c r="L3" s="10">
        <v>3.48</v>
      </c>
      <c r="M3" s="10">
        <v>3.54</v>
      </c>
      <c r="N3" s="10">
        <v>3.58</v>
      </c>
      <c r="O3" s="10">
        <v>3.56</v>
      </c>
      <c r="P3" s="10">
        <v>3.6</v>
      </c>
      <c r="Q3" s="10"/>
      <c r="R3" s="10"/>
      <c r="S3" s="10"/>
      <c r="T3" s="10">
        <v>2.0299999999999998</v>
      </c>
      <c r="U3" s="10">
        <v>2.2599999999999998</v>
      </c>
      <c r="V3" s="10">
        <v>2.6</v>
      </c>
      <c r="W3" s="10">
        <v>2.82</v>
      </c>
      <c r="X3" s="10">
        <v>2.96</v>
      </c>
      <c r="Y3" s="10">
        <v>3.19</v>
      </c>
      <c r="Z3" s="10">
        <v>3.35</v>
      </c>
      <c r="AA3" s="10">
        <v>3.58</v>
      </c>
    </row>
    <row r="4" spans="1:131" x14ac:dyDescent="0.2">
      <c r="B4" s="2" t="s">
        <v>42</v>
      </c>
      <c r="C4" s="3">
        <f t="shared" ref="C4:G4" si="0">C10/(C3*1000)</f>
        <v>9.3728476821192057</v>
      </c>
      <c r="D4" s="3">
        <f t="shared" si="0"/>
        <v>10.333224755700325</v>
      </c>
      <c r="E4" s="3">
        <f t="shared" si="0"/>
        <v>1.0815286624203821</v>
      </c>
      <c r="F4" s="3">
        <f t="shared" si="0"/>
        <v>21.812225705329155</v>
      </c>
      <c r="G4" s="3">
        <f t="shared" si="0"/>
        <v>11.11574074074074</v>
      </c>
      <c r="H4" s="3">
        <f>H10/(H3*1000)</f>
        <v>11.840366972477064</v>
      </c>
      <c r="I4" s="3">
        <f t="shared" ref="I4:AA4" si="1">I10/(I3*1000)</f>
        <v>12.255015197568389</v>
      </c>
      <c r="J4" s="3">
        <f t="shared" si="1"/>
        <v>14.120298507462687</v>
      </c>
      <c r="K4" s="3">
        <f t="shared" si="1"/>
        <v>12.216326530612244</v>
      </c>
      <c r="L4" s="3">
        <f t="shared" si="1"/>
        <v>13.547701149425288</v>
      </c>
      <c r="M4" s="3">
        <f t="shared" si="1"/>
        <v>14.342372881355931</v>
      </c>
      <c r="N4" s="3">
        <f t="shared" si="1"/>
        <v>16.463407821229051</v>
      </c>
      <c r="O4" s="3">
        <f t="shared" si="1"/>
        <v>15.704775280898877</v>
      </c>
      <c r="P4" s="3">
        <f t="shared" si="1"/>
        <v>16.769444444444446</v>
      </c>
      <c r="Q4" s="3"/>
      <c r="R4" s="3"/>
      <c r="S4" s="10"/>
      <c r="T4" s="3">
        <f t="shared" si="1"/>
        <v>27.506403940886702</v>
      </c>
      <c r="U4" s="3">
        <f t="shared" si="1"/>
        <v>31.281858407079646</v>
      </c>
      <c r="V4" s="3">
        <f t="shared" si="1"/>
        <v>32.625384615384618</v>
      </c>
      <c r="W4" s="3">
        <f t="shared" si="1"/>
        <v>41.012411347517734</v>
      </c>
      <c r="X4" s="3">
        <f t="shared" si="1"/>
        <v>38.66554054054054</v>
      </c>
      <c r="Y4" s="3">
        <f t="shared" si="1"/>
        <v>41.694670846394985</v>
      </c>
      <c r="Z4" s="3">
        <f t="shared" si="1"/>
        <v>48.464179104477608</v>
      </c>
      <c r="AA4" s="3">
        <f t="shared" si="1"/>
        <v>55.519273743016761</v>
      </c>
    </row>
    <row r="5" spans="1:131" x14ac:dyDescent="0.2">
      <c r="B5" s="2" t="s">
        <v>43</v>
      </c>
      <c r="C5" s="11">
        <v>0.26</v>
      </c>
      <c r="D5" s="11">
        <v>0.34</v>
      </c>
      <c r="E5" s="11">
        <v>0.31</v>
      </c>
      <c r="F5" s="11">
        <v>0.21</v>
      </c>
      <c r="G5" s="11">
        <v>0.2</v>
      </c>
      <c r="H5" s="11">
        <v>0.1</v>
      </c>
      <c r="I5" s="11">
        <v>7.0000000000000007E-2</v>
      </c>
      <c r="J5" s="11">
        <v>0.06</v>
      </c>
      <c r="K5" s="11">
        <v>0.05</v>
      </c>
      <c r="L5" s="11">
        <v>0.11</v>
      </c>
      <c r="M5" s="11">
        <v>0.14000000000000001</v>
      </c>
      <c r="N5" s="11">
        <v>0.18</v>
      </c>
      <c r="O5" s="11">
        <v>0.19</v>
      </c>
      <c r="P5" s="11">
        <v>0.14000000000000001</v>
      </c>
      <c r="Q5" s="11"/>
      <c r="R5" s="11"/>
      <c r="S5" s="10"/>
      <c r="T5" s="12" t="s">
        <v>109</v>
      </c>
      <c r="U5" s="12" t="s">
        <v>109</v>
      </c>
      <c r="V5" s="12" t="s">
        <v>109</v>
      </c>
      <c r="W5" s="12" t="s">
        <v>109</v>
      </c>
      <c r="X5" s="11">
        <v>0.26</v>
      </c>
      <c r="Y5" s="11">
        <v>0.21</v>
      </c>
      <c r="Z5" s="11">
        <v>0.06</v>
      </c>
      <c r="AA5" s="11">
        <v>0.18</v>
      </c>
    </row>
    <row r="6" spans="1:131" x14ac:dyDescent="0.2">
      <c r="B6" s="2" t="s">
        <v>44</v>
      </c>
      <c r="C6" s="11">
        <v>-0.17</v>
      </c>
      <c r="D6" s="11">
        <v>-0.16</v>
      </c>
      <c r="E6" s="11">
        <v>-0.06</v>
      </c>
      <c r="F6" s="11">
        <v>0.02</v>
      </c>
      <c r="G6" s="11">
        <v>0.06</v>
      </c>
      <c r="H6" s="11">
        <v>0.1</v>
      </c>
      <c r="I6" s="11">
        <v>0.11</v>
      </c>
      <c r="J6" s="11">
        <v>0.14000000000000001</v>
      </c>
      <c r="K6" s="11">
        <v>0.1</v>
      </c>
      <c r="L6" s="11">
        <v>0.09</v>
      </c>
      <c r="M6" s="11">
        <v>0.1</v>
      </c>
      <c r="N6" s="11">
        <v>0.06</v>
      </c>
      <c r="O6" s="11">
        <v>0.12</v>
      </c>
      <c r="P6" s="11">
        <v>0.12</v>
      </c>
      <c r="Q6" s="11"/>
      <c r="R6" s="11"/>
      <c r="S6" s="4"/>
      <c r="T6" s="12" t="s">
        <v>109</v>
      </c>
      <c r="U6" s="12" t="s">
        <v>109</v>
      </c>
      <c r="V6" s="12" t="s">
        <v>109</v>
      </c>
      <c r="W6" s="12" t="s">
        <v>109</v>
      </c>
      <c r="X6" s="11">
        <v>-0.17</v>
      </c>
      <c r="Y6" s="11">
        <v>0.02</v>
      </c>
      <c r="Z6" s="11">
        <v>0.14000000000000001</v>
      </c>
      <c r="AA6" s="11">
        <v>0.06</v>
      </c>
    </row>
    <row r="7" spans="1:131" x14ac:dyDescent="0.2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131" x14ac:dyDescent="0.2">
      <c r="B8" s="2" t="s">
        <v>36</v>
      </c>
      <c r="C8" s="4">
        <v>28101</v>
      </c>
      <c r="D8" s="4">
        <v>31498</v>
      </c>
      <c r="E8" s="4">
        <v>33643</v>
      </c>
      <c r="F8" s="4">
        <f>+Y8-SUM(C8:E8)</f>
        <v>38706</v>
      </c>
      <c r="G8" s="4">
        <v>35635</v>
      </c>
      <c r="H8" s="4">
        <v>38329</v>
      </c>
      <c r="I8" s="4">
        <v>39885</v>
      </c>
      <c r="J8" s="4">
        <f>+Z8-SUM(G8:I8)</f>
        <v>46784</v>
      </c>
      <c r="K8" s="4">
        <v>41392</v>
      </c>
      <c r="L8" s="4">
        <v>46563</v>
      </c>
      <c r="M8" s="4">
        <v>50082</v>
      </c>
      <c r="N8" s="4">
        <f t="shared" ref="N8:N13" si="2">+AA8-SUM(K8:M8)</f>
        <v>58138</v>
      </c>
      <c r="O8" s="4">
        <v>55024</v>
      </c>
      <c r="P8" s="4">
        <v>59363</v>
      </c>
      <c r="Q8" s="4"/>
      <c r="R8" s="4"/>
      <c r="S8" s="4"/>
      <c r="T8" s="4">
        <v>55013</v>
      </c>
      <c r="U8" s="4">
        <v>69655</v>
      </c>
      <c r="V8" s="4">
        <v>84169</v>
      </c>
      <c r="W8" s="4">
        <v>114934</v>
      </c>
      <c r="X8" s="4">
        <v>113642</v>
      </c>
      <c r="Y8" s="4">
        <v>131948</v>
      </c>
      <c r="Z8" s="4">
        <v>160633</v>
      </c>
      <c r="AA8" s="4">
        <v>196175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</row>
    <row r="9" spans="1:131" x14ac:dyDescent="0.2">
      <c r="B9" s="2" t="s">
        <v>37</v>
      </c>
      <c r="C9" s="4">
        <v>205</v>
      </c>
      <c r="D9" s="4">
        <v>225</v>
      </c>
      <c r="E9" s="4">
        <v>293</v>
      </c>
      <c r="F9" s="4">
        <f t="shared" ref="F9:F21" si="3">+Y9-SUM(C9:E9)</f>
        <v>335</v>
      </c>
      <c r="G9" s="4">
        <v>380</v>
      </c>
      <c r="H9" s="4">
        <v>389</v>
      </c>
      <c r="I9" s="4">
        <v>434</v>
      </c>
      <c r="J9" s="4">
        <f t="shared" ref="J9:J21" si="4">+Z9-SUM(G9:I9)</f>
        <v>519</v>
      </c>
      <c r="K9" s="4">
        <v>510</v>
      </c>
      <c r="L9" s="4">
        <v>583</v>
      </c>
      <c r="M9" s="4">
        <v>690</v>
      </c>
      <c r="N9" s="4">
        <f t="shared" si="2"/>
        <v>801</v>
      </c>
      <c r="O9" s="4">
        <v>885</v>
      </c>
      <c r="P9" s="4">
        <v>1007</v>
      </c>
      <c r="Q9" s="4"/>
      <c r="R9" s="4"/>
      <c r="S9" s="4"/>
      <c r="T9" s="4">
        <v>825</v>
      </c>
      <c r="U9" s="4">
        <v>1042</v>
      </c>
      <c r="V9" s="4">
        <v>657</v>
      </c>
      <c r="W9" s="4">
        <v>721</v>
      </c>
      <c r="X9" s="4">
        <v>808</v>
      </c>
      <c r="Y9" s="4">
        <v>1058</v>
      </c>
      <c r="Z9" s="4">
        <v>1722</v>
      </c>
      <c r="AA9" s="4">
        <v>2584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</row>
    <row r="10" spans="1:131" x14ac:dyDescent="0.2">
      <c r="B10" s="2" t="s">
        <v>38</v>
      </c>
      <c r="C10" s="4">
        <v>28306</v>
      </c>
      <c r="D10" s="4">
        <v>31723</v>
      </c>
      <c r="E10" s="4">
        <v>3396</v>
      </c>
      <c r="F10" s="4">
        <f t="shared" si="3"/>
        <v>69581</v>
      </c>
      <c r="G10" s="4">
        <v>36015</v>
      </c>
      <c r="H10" s="4">
        <v>38718</v>
      </c>
      <c r="I10" s="4">
        <v>40319</v>
      </c>
      <c r="J10" s="4">
        <f t="shared" si="4"/>
        <v>47303</v>
      </c>
      <c r="K10" s="4">
        <v>41902</v>
      </c>
      <c r="L10" s="4">
        <v>47146</v>
      </c>
      <c r="M10" s="4">
        <v>50772</v>
      </c>
      <c r="N10" s="4">
        <f t="shared" si="2"/>
        <v>58939</v>
      </c>
      <c r="O10" s="4">
        <v>55909</v>
      </c>
      <c r="P10" s="4">
        <v>60370</v>
      </c>
      <c r="Q10" s="4"/>
      <c r="R10" s="4"/>
      <c r="S10" s="4"/>
      <c r="T10" s="4">
        <v>55838</v>
      </c>
      <c r="U10" s="4">
        <v>70697</v>
      </c>
      <c r="V10" s="4">
        <v>84826</v>
      </c>
      <c r="W10" s="4">
        <v>115655</v>
      </c>
      <c r="X10" s="4">
        <v>114450</v>
      </c>
      <c r="Y10" s="4">
        <v>133006</v>
      </c>
      <c r="Z10" s="4">
        <v>162355</v>
      </c>
      <c r="AA10" s="4">
        <v>198759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</row>
    <row r="11" spans="1:131" x14ac:dyDescent="0.2">
      <c r="B11" s="2" t="s">
        <v>39</v>
      </c>
      <c r="C11" s="4">
        <v>3339</v>
      </c>
      <c r="D11" s="4">
        <v>276</v>
      </c>
      <c r="E11" s="4">
        <v>210</v>
      </c>
      <c r="F11" s="4">
        <f t="shared" si="3"/>
        <v>-1929</v>
      </c>
      <c r="G11" s="4">
        <v>440</v>
      </c>
      <c r="H11" s="4">
        <v>353</v>
      </c>
      <c r="I11" s="4">
        <v>270</v>
      </c>
      <c r="J11" s="4">
        <f t="shared" si="4"/>
        <v>1083</v>
      </c>
      <c r="K11" s="4">
        <v>412</v>
      </c>
      <c r="L11" s="4">
        <v>370</v>
      </c>
      <c r="M11" s="4">
        <v>470</v>
      </c>
      <c r="N11" s="4">
        <f t="shared" si="2"/>
        <v>955</v>
      </c>
      <c r="O11" s="4">
        <v>402</v>
      </c>
      <c r="P11" s="4">
        <v>431</v>
      </c>
      <c r="Q11" s="4"/>
      <c r="R11" s="4"/>
      <c r="S11" s="4"/>
      <c r="T11" s="4">
        <v>0</v>
      </c>
      <c r="U11" s="4">
        <v>0</v>
      </c>
      <c r="V11" s="4">
        <v>1139</v>
      </c>
      <c r="W11" s="4">
        <v>2274</v>
      </c>
      <c r="X11" s="4">
        <v>2159</v>
      </c>
      <c r="Y11" s="4">
        <v>1896</v>
      </c>
      <c r="Z11" s="4">
        <v>2146</v>
      </c>
      <c r="AA11" s="4">
        <v>2207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</row>
    <row r="12" spans="1:131" x14ac:dyDescent="0.2">
      <c r="B12" s="1" t="s">
        <v>20</v>
      </c>
      <c r="C12" s="13">
        <v>28645</v>
      </c>
      <c r="D12" s="13">
        <v>31999</v>
      </c>
      <c r="E12" s="13">
        <v>34146</v>
      </c>
      <c r="F12" s="13">
        <f t="shared" si="3"/>
        <v>40112</v>
      </c>
      <c r="G12" s="13">
        <v>36455</v>
      </c>
      <c r="H12" s="13">
        <v>39071</v>
      </c>
      <c r="I12" s="13">
        <v>40589</v>
      </c>
      <c r="J12" s="13">
        <f t="shared" si="4"/>
        <v>48386</v>
      </c>
      <c r="K12" s="13">
        <v>42314</v>
      </c>
      <c r="L12" s="13">
        <v>47516</v>
      </c>
      <c r="M12" s="13">
        <v>51242</v>
      </c>
      <c r="N12" s="13">
        <f t="shared" si="2"/>
        <v>59894</v>
      </c>
      <c r="O12" s="13">
        <v>56311</v>
      </c>
      <c r="P12" s="13">
        <v>60801</v>
      </c>
      <c r="Q12" s="13"/>
      <c r="R12" s="13"/>
      <c r="S12" s="4"/>
      <c r="T12" s="13">
        <v>55838</v>
      </c>
      <c r="U12" s="13">
        <v>70697</v>
      </c>
      <c r="V12" s="13">
        <v>85965</v>
      </c>
      <c r="W12" s="13">
        <v>117929</v>
      </c>
      <c r="X12" s="13">
        <v>116609</v>
      </c>
      <c r="Y12" s="13">
        <v>134902</v>
      </c>
      <c r="Z12" s="13">
        <v>164501</v>
      </c>
      <c r="AA12" s="13">
        <v>200966</v>
      </c>
      <c r="AB12" s="13">
        <v>213520</v>
      </c>
      <c r="AC12" s="13">
        <f>+AB12*(1+AC28)</f>
        <v>225524.40408825368</v>
      </c>
      <c r="AD12" s="13">
        <f t="shared" ref="AD12:AI12" si="5">+AC12*(1+AD28)</f>
        <v>236935.78227574998</v>
      </c>
      <c r="AE12" s="13">
        <f t="shared" si="5"/>
        <v>247725.68967298549</v>
      </c>
      <c r="AF12" s="13">
        <f t="shared" si="5"/>
        <v>257878.83540400601</v>
      </c>
      <c r="AG12" s="13">
        <f t="shared" si="5"/>
        <v>267391.18456824945</v>
      </c>
      <c r="AH12" s="13">
        <f t="shared" si="5"/>
        <v>276268.09172645857</v>
      </c>
      <c r="AI12" s="13">
        <f t="shared" si="5"/>
        <v>284522.53580804681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</row>
    <row r="13" spans="1:131" x14ac:dyDescent="0.2">
      <c r="B13" s="2" t="s">
        <v>21</v>
      </c>
      <c r="C13" s="4">
        <v>6108</v>
      </c>
      <c r="D13" s="4">
        <v>5945</v>
      </c>
      <c r="E13" s="4">
        <v>6210</v>
      </c>
      <c r="F13" s="4">
        <f t="shared" si="3"/>
        <v>7696</v>
      </c>
      <c r="G13" s="4">
        <v>6640</v>
      </c>
      <c r="H13" s="4">
        <v>7308</v>
      </c>
      <c r="I13" s="4">
        <v>7375</v>
      </c>
      <c r="J13" s="4">
        <f t="shared" si="4"/>
        <v>8838</v>
      </c>
      <c r="K13" s="4">
        <v>7572</v>
      </c>
      <c r="L13" s="4">
        <v>8491</v>
      </c>
      <c r="M13" s="4">
        <v>9206</v>
      </c>
      <c r="N13" s="4">
        <f t="shared" si="2"/>
        <v>10906</v>
      </c>
      <c r="O13" s="4">
        <v>10218</v>
      </c>
      <c r="P13" s="4">
        <v>11330</v>
      </c>
      <c r="Q13" s="4"/>
      <c r="R13" s="4"/>
      <c r="S13" s="4"/>
      <c r="T13" s="4">
        <v>9355</v>
      </c>
      <c r="U13" s="4">
        <v>12770</v>
      </c>
      <c r="V13" s="4">
        <v>16692</v>
      </c>
      <c r="W13" s="4">
        <v>22649</v>
      </c>
      <c r="X13" s="4">
        <v>25249</v>
      </c>
      <c r="Y13" s="4">
        <v>25959</v>
      </c>
      <c r="Z13" s="4">
        <v>30161</v>
      </c>
      <c r="AA13" s="4">
        <v>36175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</row>
    <row r="14" spans="1:131" x14ac:dyDescent="0.2">
      <c r="B14" s="2" t="s">
        <v>22</v>
      </c>
      <c r="C14" s="4">
        <f t="shared" ref="C14:G14" si="6">C12-C13</f>
        <v>22537</v>
      </c>
      <c r="D14" s="4">
        <f>D12-D13</f>
        <v>26054</v>
      </c>
      <c r="E14" s="4">
        <f t="shared" si="6"/>
        <v>27936</v>
      </c>
      <c r="F14" s="4">
        <f t="shared" si="6"/>
        <v>32416</v>
      </c>
      <c r="G14" s="4">
        <f t="shared" si="6"/>
        <v>29815</v>
      </c>
      <c r="H14" s="4">
        <f>H12-H13</f>
        <v>31763</v>
      </c>
      <c r="I14" s="4">
        <f t="shared" ref="I14:AA14" si="7">I12-I13</f>
        <v>33214</v>
      </c>
      <c r="J14" s="4">
        <f t="shared" si="7"/>
        <v>39548</v>
      </c>
      <c r="K14" s="4">
        <f t="shared" si="7"/>
        <v>34742</v>
      </c>
      <c r="L14" s="4">
        <f t="shared" si="7"/>
        <v>39025</v>
      </c>
      <c r="M14" s="4">
        <f t="shared" si="7"/>
        <v>42036</v>
      </c>
      <c r="N14" s="4">
        <f t="shared" si="7"/>
        <v>48988</v>
      </c>
      <c r="O14" s="4">
        <f t="shared" si="7"/>
        <v>46093</v>
      </c>
      <c r="P14" s="4">
        <f t="shared" si="7"/>
        <v>49471</v>
      </c>
      <c r="Q14" s="4"/>
      <c r="R14" s="4"/>
      <c r="S14" s="4"/>
      <c r="T14" s="4">
        <f t="shared" si="7"/>
        <v>46483</v>
      </c>
      <c r="U14" s="4">
        <f t="shared" si="7"/>
        <v>57927</v>
      </c>
      <c r="V14" s="4">
        <f t="shared" si="7"/>
        <v>69273</v>
      </c>
      <c r="W14" s="4">
        <f t="shared" si="7"/>
        <v>95280</v>
      </c>
      <c r="X14" s="4">
        <f t="shared" si="7"/>
        <v>91360</v>
      </c>
      <c r="Y14" s="4">
        <f t="shared" si="7"/>
        <v>108943</v>
      </c>
      <c r="Z14" s="4">
        <f t="shared" si="7"/>
        <v>134340</v>
      </c>
      <c r="AA14" s="4">
        <f t="shared" si="7"/>
        <v>164791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</row>
    <row r="15" spans="1:131" x14ac:dyDescent="0.2">
      <c r="B15" s="2" t="s">
        <v>23</v>
      </c>
      <c r="C15" s="4">
        <v>9381</v>
      </c>
      <c r="D15" s="4">
        <v>9344</v>
      </c>
      <c r="E15" s="4">
        <v>9241</v>
      </c>
      <c r="F15" s="4">
        <f t="shared" si="3"/>
        <v>10517</v>
      </c>
      <c r="G15" s="4">
        <v>9978</v>
      </c>
      <c r="H15" s="4">
        <v>10537</v>
      </c>
      <c r="I15" s="4">
        <v>11177</v>
      </c>
      <c r="J15" s="4">
        <f t="shared" si="4"/>
        <v>12181</v>
      </c>
      <c r="K15" s="4">
        <v>12150</v>
      </c>
      <c r="L15" s="4">
        <v>12942</v>
      </c>
      <c r="M15" s="4">
        <v>15144</v>
      </c>
      <c r="N15" s="4">
        <f>+AA15-SUM(K15:M15)</f>
        <v>17136</v>
      </c>
      <c r="O15" s="4">
        <v>17699</v>
      </c>
      <c r="P15" s="4">
        <v>21656</v>
      </c>
      <c r="Q15" s="4"/>
      <c r="R15" s="4"/>
      <c r="S15" s="4"/>
      <c r="T15" s="4">
        <v>10273</v>
      </c>
      <c r="U15" s="4">
        <v>13600</v>
      </c>
      <c r="V15" s="4">
        <v>18447</v>
      </c>
      <c r="W15" s="4">
        <v>24655</v>
      </c>
      <c r="X15" s="4">
        <v>35338</v>
      </c>
      <c r="Y15" s="4">
        <v>38483</v>
      </c>
      <c r="Z15" s="4">
        <v>43873</v>
      </c>
      <c r="AA15" s="4">
        <v>57372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</row>
    <row r="16" spans="1:131" x14ac:dyDescent="0.2">
      <c r="B16" s="2" t="s">
        <v>24</v>
      </c>
      <c r="C16" s="4">
        <v>3044</v>
      </c>
      <c r="D16" s="4">
        <v>3154</v>
      </c>
      <c r="E16" s="4">
        <v>2877</v>
      </c>
      <c r="F16" s="4">
        <f t="shared" si="3"/>
        <v>3226</v>
      </c>
      <c r="G16" s="4">
        <v>2564</v>
      </c>
      <c r="H16" s="4">
        <v>2721</v>
      </c>
      <c r="I16" s="4">
        <v>2822</v>
      </c>
      <c r="J16" s="4">
        <f t="shared" si="4"/>
        <v>3240</v>
      </c>
      <c r="K16" s="4">
        <v>2757</v>
      </c>
      <c r="L16" s="4">
        <v>2979</v>
      </c>
      <c r="M16" s="4">
        <v>2845</v>
      </c>
      <c r="N16" s="4">
        <f>+AA16-SUM(K16:M16)</f>
        <v>3410</v>
      </c>
      <c r="O16" s="4">
        <v>2908</v>
      </c>
      <c r="P16" s="4">
        <v>3431</v>
      </c>
      <c r="Q16" s="4"/>
      <c r="R16" s="4"/>
      <c r="S16" s="4"/>
      <c r="T16" s="4">
        <v>7846</v>
      </c>
      <c r="U16" s="4">
        <v>9876</v>
      </c>
      <c r="V16" s="4">
        <v>11591</v>
      </c>
      <c r="W16" s="4">
        <v>14043</v>
      </c>
      <c r="X16" s="4">
        <v>15262</v>
      </c>
      <c r="Y16" s="4">
        <v>12301</v>
      </c>
      <c r="Z16" s="4">
        <v>11347</v>
      </c>
      <c r="AA16" s="4">
        <v>11991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</row>
    <row r="17" spans="2:131" x14ac:dyDescent="0.2">
      <c r="B17" s="2" t="s">
        <v>25</v>
      </c>
      <c r="C17" s="4">
        <v>2885</v>
      </c>
      <c r="D17" s="4">
        <v>4164</v>
      </c>
      <c r="E17" s="4">
        <v>2070</v>
      </c>
      <c r="F17" s="4">
        <f t="shared" si="3"/>
        <v>2289</v>
      </c>
      <c r="G17" s="4">
        <v>3455</v>
      </c>
      <c r="H17" s="4">
        <v>3658</v>
      </c>
      <c r="I17" s="4">
        <v>1865</v>
      </c>
      <c r="J17" s="4">
        <f t="shared" si="4"/>
        <v>762</v>
      </c>
      <c r="K17" s="4">
        <v>2280</v>
      </c>
      <c r="L17" s="4">
        <v>2663</v>
      </c>
      <c r="M17" s="4">
        <v>3512</v>
      </c>
      <c r="N17" s="4">
        <f>+AA17-SUM(K17:M17)</f>
        <v>3697</v>
      </c>
      <c r="O17" s="4">
        <v>2614</v>
      </c>
      <c r="P17" s="4">
        <v>5609</v>
      </c>
      <c r="Q17" s="4"/>
      <c r="R17" s="4"/>
      <c r="S17" s="4"/>
      <c r="T17" s="4">
        <v>3451</v>
      </c>
      <c r="U17" s="4">
        <v>10465</v>
      </c>
      <c r="V17" s="4">
        <v>6564</v>
      </c>
      <c r="W17" s="4">
        <v>9829</v>
      </c>
      <c r="X17" s="4">
        <v>11816</v>
      </c>
      <c r="Y17" s="4">
        <v>11408</v>
      </c>
      <c r="Z17" s="4">
        <v>9740</v>
      </c>
      <c r="AA17" s="4">
        <v>12152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</row>
    <row r="18" spans="2:131" x14ac:dyDescent="0.2">
      <c r="B18" s="2" t="s">
        <v>26</v>
      </c>
      <c r="C18" s="4">
        <f t="shared" ref="C18:G18" si="8">C14-SUM(C15:C17)</f>
        <v>7227</v>
      </c>
      <c r="D18" s="4">
        <f>D14-SUM(D15:D17)</f>
        <v>9392</v>
      </c>
      <c r="E18" s="4">
        <f t="shared" si="8"/>
        <v>13748</v>
      </c>
      <c r="F18" s="4">
        <f t="shared" si="8"/>
        <v>16384</v>
      </c>
      <c r="G18" s="4">
        <f t="shared" si="8"/>
        <v>13818</v>
      </c>
      <c r="H18" s="4">
        <f>H14-SUM(H15:H17)</f>
        <v>14847</v>
      </c>
      <c r="I18" s="4">
        <f t="shared" ref="I18:AA18" si="9">I14-SUM(I15:I17)</f>
        <v>17350</v>
      </c>
      <c r="J18" s="4">
        <f t="shared" si="9"/>
        <v>23365</v>
      </c>
      <c r="K18" s="4">
        <f t="shared" si="9"/>
        <v>17555</v>
      </c>
      <c r="L18" s="4">
        <f t="shared" si="9"/>
        <v>20441</v>
      </c>
      <c r="M18" s="4">
        <f t="shared" si="9"/>
        <v>20535</v>
      </c>
      <c r="N18" s="4">
        <f t="shared" si="9"/>
        <v>24745</v>
      </c>
      <c r="O18" s="4">
        <f t="shared" si="9"/>
        <v>22872</v>
      </c>
      <c r="P18" s="4">
        <f t="shared" si="9"/>
        <v>18775</v>
      </c>
      <c r="Q18" s="4"/>
      <c r="R18" s="4"/>
      <c r="S18" s="4"/>
      <c r="T18" s="4">
        <f t="shared" si="9"/>
        <v>24913</v>
      </c>
      <c r="U18" s="4">
        <f t="shared" si="9"/>
        <v>23986</v>
      </c>
      <c r="V18" s="4">
        <f t="shared" si="9"/>
        <v>32671</v>
      </c>
      <c r="W18" s="4">
        <f t="shared" si="9"/>
        <v>46753</v>
      </c>
      <c r="X18" s="4">
        <f t="shared" si="9"/>
        <v>28944</v>
      </c>
      <c r="Y18" s="4">
        <f t="shared" si="9"/>
        <v>46751</v>
      </c>
      <c r="Z18" s="4">
        <f t="shared" si="9"/>
        <v>69380</v>
      </c>
      <c r="AA18" s="4">
        <f t="shared" si="9"/>
        <v>83276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</row>
    <row r="19" spans="2:131" x14ac:dyDescent="0.2">
      <c r="B19" s="2" t="s">
        <v>28</v>
      </c>
      <c r="C19" s="4">
        <v>80</v>
      </c>
      <c r="D19" s="4">
        <v>-99</v>
      </c>
      <c r="E19" s="4">
        <v>272</v>
      </c>
      <c r="F19" s="4">
        <f t="shared" si="3"/>
        <v>424</v>
      </c>
      <c r="G19" s="4">
        <v>365</v>
      </c>
      <c r="H19" s="4">
        <v>259</v>
      </c>
      <c r="I19" s="4">
        <v>472</v>
      </c>
      <c r="J19" s="4">
        <f t="shared" si="4"/>
        <v>187</v>
      </c>
      <c r="K19" s="4">
        <v>827</v>
      </c>
      <c r="L19" s="4">
        <v>93</v>
      </c>
      <c r="M19" s="4">
        <v>1128</v>
      </c>
      <c r="N19" s="4">
        <f>+AA19-SUM(K19:M19)</f>
        <v>608</v>
      </c>
      <c r="O19" s="4">
        <v>-1120</v>
      </c>
      <c r="P19" s="4">
        <v>-19</v>
      </c>
      <c r="Q19" s="4"/>
      <c r="R19" s="4"/>
      <c r="S19" s="4"/>
      <c r="T19" s="4">
        <v>448</v>
      </c>
      <c r="U19" s="4">
        <v>826</v>
      </c>
      <c r="V19" s="4">
        <v>509</v>
      </c>
      <c r="W19" s="4">
        <v>531</v>
      </c>
      <c r="X19" s="4">
        <v>-125</v>
      </c>
      <c r="Y19" s="4">
        <v>677</v>
      </c>
      <c r="Z19" s="4">
        <v>1283</v>
      </c>
      <c r="AA19" s="4">
        <v>2656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</row>
    <row r="20" spans="2:131" x14ac:dyDescent="0.2">
      <c r="B20" s="2" t="s">
        <v>27</v>
      </c>
      <c r="C20" s="4">
        <f t="shared" ref="C20:P20" si="10">C18+C19</f>
        <v>7307</v>
      </c>
      <c r="D20" s="4">
        <f t="shared" si="10"/>
        <v>9293</v>
      </c>
      <c r="E20" s="4">
        <f t="shared" si="10"/>
        <v>14020</v>
      </c>
      <c r="F20" s="4">
        <f t="shared" si="10"/>
        <v>16808</v>
      </c>
      <c r="G20" s="4">
        <f t="shared" si="10"/>
        <v>14183</v>
      </c>
      <c r="H20" s="4">
        <f t="shared" si="10"/>
        <v>15106</v>
      </c>
      <c r="I20" s="4">
        <f t="shared" si="10"/>
        <v>17822</v>
      </c>
      <c r="J20" s="4">
        <f t="shared" si="10"/>
        <v>23552</v>
      </c>
      <c r="K20" s="4">
        <f t="shared" si="10"/>
        <v>18382</v>
      </c>
      <c r="L20" s="4">
        <f t="shared" si="10"/>
        <v>20534</v>
      </c>
      <c r="M20" s="4">
        <f t="shared" si="10"/>
        <v>21663</v>
      </c>
      <c r="N20" s="4">
        <f t="shared" si="10"/>
        <v>25353</v>
      </c>
      <c r="O20" s="4">
        <f t="shared" si="10"/>
        <v>21752</v>
      </c>
      <c r="P20" s="4">
        <f t="shared" si="10"/>
        <v>18756</v>
      </c>
      <c r="Q20" s="4"/>
      <c r="R20" s="4"/>
      <c r="S20" s="4"/>
      <c r="T20" s="4">
        <f t="shared" ref="T20:AA20" si="11">T18+T19</f>
        <v>25361</v>
      </c>
      <c r="U20" s="4">
        <f t="shared" si="11"/>
        <v>24812</v>
      </c>
      <c r="V20" s="4">
        <f t="shared" si="11"/>
        <v>33180</v>
      </c>
      <c r="W20" s="4">
        <f t="shared" si="11"/>
        <v>47284</v>
      </c>
      <c r="X20" s="4">
        <f t="shared" si="11"/>
        <v>28819</v>
      </c>
      <c r="Y20" s="4">
        <f t="shared" si="11"/>
        <v>47428</v>
      </c>
      <c r="Z20" s="4">
        <f t="shared" si="11"/>
        <v>70663</v>
      </c>
      <c r="AA20" s="4">
        <f t="shared" si="11"/>
        <v>85932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</row>
    <row r="21" spans="2:131" x14ac:dyDescent="0.2">
      <c r="B21" s="2" t="s">
        <v>29</v>
      </c>
      <c r="C21" s="4">
        <v>1598</v>
      </c>
      <c r="D21" s="4">
        <v>1505</v>
      </c>
      <c r="E21" s="4">
        <v>2437</v>
      </c>
      <c r="F21" s="4">
        <f t="shared" si="3"/>
        <v>2790</v>
      </c>
      <c r="G21" s="4">
        <v>1814</v>
      </c>
      <c r="H21" s="4">
        <v>1641</v>
      </c>
      <c r="I21" s="4">
        <v>2134</v>
      </c>
      <c r="J21" s="4">
        <f t="shared" si="4"/>
        <v>2714</v>
      </c>
      <c r="K21" s="4">
        <v>1738</v>
      </c>
      <c r="L21" s="4">
        <v>2197</v>
      </c>
      <c r="M21" s="4">
        <v>18954</v>
      </c>
      <c r="N21" s="4">
        <f>+AA21-SUM(K21:M21)</f>
        <v>2585</v>
      </c>
      <c r="O21" s="4">
        <v>-5021</v>
      </c>
      <c r="P21" s="4">
        <v>2908</v>
      </c>
      <c r="Q21" s="4"/>
      <c r="R21" s="4"/>
      <c r="S21" s="4"/>
      <c r="T21" s="4">
        <f>3249+1</f>
        <v>3250</v>
      </c>
      <c r="U21" s="4">
        <v>6327</v>
      </c>
      <c r="V21" s="4">
        <v>4034</v>
      </c>
      <c r="W21" s="4">
        <v>7914</v>
      </c>
      <c r="X21" s="4">
        <v>5619</v>
      </c>
      <c r="Y21" s="4">
        <v>8330</v>
      </c>
      <c r="Z21" s="4">
        <v>8303</v>
      </c>
      <c r="AA21" s="4">
        <v>25474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</row>
    <row r="22" spans="2:131" x14ac:dyDescent="0.2">
      <c r="B22" s="2" t="s">
        <v>30</v>
      </c>
      <c r="C22" s="4">
        <f t="shared" ref="C22:F22" si="12">C20-C21</f>
        <v>5709</v>
      </c>
      <c r="D22" s="4">
        <f>D20-D21</f>
        <v>7788</v>
      </c>
      <c r="E22" s="4">
        <f t="shared" si="12"/>
        <v>11583</v>
      </c>
      <c r="F22" s="4">
        <f t="shared" si="12"/>
        <v>14018</v>
      </c>
      <c r="G22" s="4">
        <f>G20-G21</f>
        <v>12369</v>
      </c>
      <c r="H22" s="4">
        <f>H20-H21</f>
        <v>13465</v>
      </c>
      <c r="I22" s="4">
        <f t="shared" ref="I22:AA22" si="13">I20-I21</f>
        <v>15688</v>
      </c>
      <c r="J22" s="4">
        <f t="shared" si="13"/>
        <v>20838</v>
      </c>
      <c r="K22" s="4">
        <f t="shared" si="13"/>
        <v>16644</v>
      </c>
      <c r="L22" s="4">
        <f t="shared" si="13"/>
        <v>18337</v>
      </c>
      <c r="M22" s="4">
        <f t="shared" si="13"/>
        <v>2709</v>
      </c>
      <c r="N22" s="4">
        <f t="shared" si="13"/>
        <v>22768</v>
      </c>
      <c r="O22" s="4">
        <f t="shared" si="13"/>
        <v>26773</v>
      </c>
      <c r="P22" s="4">
        <f t="shared" si="13"/>
        <v>15848</v>
      </c>
      <c r="Q22" s="4"/>
      <c r="R22" s="4"/>
      <c r="S22" s="4"/>
      <c r="T22" s="4">
        <f t="shared" si="13"/>
        <v>22111</v>
      </c>
      <c r="U22" s="4">
        <f t="shared" si="13"/>
        <v>18485</v>
      </c>
      <c r="V22" s="4">
        <f t="shared" si="13"/>
        <v>29146</v>
      </c>
      <c r="W22" s="4">
        <f t="shared" si="13"/>
        <v>39370</v>
      </c>
      <c r="X22" s="4">
        <f t="shared" si="13"/>
        <v>23200</v>
      </c>
      <c r="Y22" s="4">
        <f t="shared" si="13"/>
        <v>39098</v>
      </c>
      <c r="Z22" s="4">
        <f t="shared" si="13"/>
        <v>62360</v>
      </c>
      <c r="AA22" s="4">
        <f t="shared" si="13"/>
        <v>60458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</row>
    <row r="23" spans="2:131" x14ac:dyDescent="0.2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</row>
    <row r="24" spans="2:131" x14ac:dyDescent="0.2">
      <c r="B24" s="2" t="s">
        <v>31</v>
      </c>
      <c r="C24" s="14">
        <f t="shared" ref="C24:G24" si="14">C22/C25</f>
        <v>2.206803247004252</v>
      </c>
      <c r="D24" s="14">
        <f t="shared" si="14"/>
        <v>3.0327102803738319</v>
      </c>
      <c r="E24" s="14">
        <f t="shared" si="14"/>
        <v>4.4965062111801242</v>
      </c>
      <c r="F24" s="14">
        <f t="shared" si="14"/>
        <v>5.4459984459984456</v>
      </c>
      <c r="G24" s="14">
        <f t="shared" si="14"/>
        <v>4.8601178781925345</v>
      </c>
      <c r="H24" s="14">
        <f>H22/H25</f>
        <v>5.3137332280978686</v>
      </c>
      <c r="I24" s="14">
        <f t="shared" ref="I24:AA24" si="15">I22/I25</f>
        <v>6.2032423882957692</v>
      </c>
      <c r="J24" s="14">
        <f t="shared" si="15"/>
        <v>8.2244681784391389</v>
      </c>
      <c r="K24" s="14">
        <f t="shared" si="15"/>
        <v>6.5864661654135341</v>
      </c>
      <c r="L24" s="14">
        <f t="shared" si="15"/>
        <v>7.2823669579030978</v>
      </c>
      <c r="M24" s="14">
        <f t="shared" si="15"/>
        <v>1.0762812872467222</v>
      </c>
      <c r="N24" s="14">
        <f t="shared" si="15"/>
        <v>9.0313367711225698</v>
      </c>
      <c r="O24" s="14">
        <f t="shared" si="15"/>
        <v>10.565509076558801</v>
      </c>
      <c r="P24" s="14">
        <f t="shared" si="15"/>
        <v>6.2320094376720405</v>
      </c>
      <c r="Q24" s="14"/>
      <c r="R24" s="14"/>
      <c r="S24" s="4"/>
      <c r="T24" s="14">
        <f t="shared" si="15"/>
        <v>7.6508650519031143</v>
      </c>
      <c r="U24" s="14">
        <f t="shared" si="15"/>
        <v>6.47687456201822</v>
      </c>
      <c r="V24" s="14">
        <f t="shared" si="15"/>
        <v>10.223079621185549</v>
      </c>
      <c r="W24" s="14">
        <f t="shared" si="15"/>
        <v>13.985790408525755</v>
      </c>
      <c r="X24" s="14">
        <f t="shared" si="15"/>
        <v>8.6341644957201336</v>
      </c>
      <c r="Y24" s="14">
        <f t="shared" si="15"/>
        <v>15.189588189588189</v>
      </c>
      <c r="Z24" s="14">
        <f t="shared" si="15"/>
        <v>24.609313338595108</v>
      </c>
      <c r="AA24" s="14">
        <f t="shared" si="15"/>
        <v>23.981753272510907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</row>
    <row r="25" spans="2:131" x14ac:dyDescent="0.2">
      <c r="B25" s="2" t="s">
        <v>6</v>
      </c>
      <c r="C25" s="4">
        <v>2587</v>
      </c>
      <c r="D25" s="4">
        <v>2568</v>
      </c>
      <c r="E25" s="4">
        <v>2576</v>
      </c>
      <c r="F25" s="4">
        <f>+Y25</f>
        <v>2574</v>
      </c>
      <c r="G25" s="4">
        <v>2545</v>
      </c>
      <c r="H25" s="4">
        <v>2534</v>
      </c>
      <c r="I25" s="4">
        <v>2529</v>
      </c>
      <c r="J25" s="4">
        <v>2533.6592650000002</v>
      </c>
      <c r="K25" s="4">
        <v>2527</v>
      </c>
      <c r="L25" s="4">
        <v>2518</v>
      </c>
      <c r="M25" s="4">
        <v>2517</v>
      </c>
      <c r="N25" s="4">
        <v>2521</v>
      </c>
      <c r="O25" s="4">
        <v>2534</v>
      </c>
      <c r="P25" s="4">
        <v>2543</v>
      </c>
      <c r="Q25" s="4"/>
      <c r="R25" s="4"/>
      <c r="S25" s="4"/>
      <c r="T25" s="4">
        <v>2890</v>
      </c>
      <c r="U25" s="4">
        <v>2854</v>
      </c>
      <c r="V25" s="4">
        <v>2851</v>
      </c>
      <c r="W25" s="4">
        <v>2815</v>
      </c>
      <c r="X25" s="4">
        <v>2687</v>
      </c>
      <c r="Y25" s="4">
        <v>2574</v>
      </c>
      <c r="Z25" s="4">
        <v>2534</v>
      </c>
      <c r="AA25" s="4">
        <v>2521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</row>
    <row r="26" spans="2:131" x14ac:dyDescent="0.2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</row>
    <row r="27" spans="2:131" x14ac:dyDescent="0.2">
      <c r="B27" s="2" t="s">
        <v>41</v>
      </c>
      <c r="C27" s="4"/>
      <c r="D27" s="4"/>
      <c r="E27" s="4"/>
      <c r="F27" s="11"/>
      <c r="G27" s="11">
        <f t="shared" ref="G27:M27" si="16">G3/C3-1</f>
        <v>7.2847682119205448E-2</v>
      </c>
      <c r="H27" s="11">
        <f t="shared" si="16"/>
        <v>6.514657980456029E-2</v>
      </c>
      <c r="I27" s="11">
        <f t="shared" si="16"/>
        <v>4.7770700636942554E-2</v>
      </c>
      <c r="J27" s="11">
        <f t="shared" si="16"/>
        <v>5.0156739811912265E-2</v>
      </c>
      <c r="K27" s="11">
        <f t="shared" si="16"/>
        <v>5.8641975308642014E-2</v>
      </c>
      <c r="L27" s="11">
        <f t="shared" si="16"/>
        <v>6.4220183486238591E-2</v>
      </c>
      <c r="M27" s="11">
        <f t="shared" si="16"/>
        <v>7.5987841945288848E-2</v>
      </c>
      <c r="N27" s="11">
        <f t="shared" ref="N27" si="17">N3/J3-1</f>
        <v>6.8656716417910379E-2</v>
      </c>
      <c r="O27" s="11">
        <f t="shared" ref="O27:P27" si="18">O3/K3-1</f>
        <v>3.790087463556846E-2</v>
      </c>
      <c r="P27" s="11">
        <f t="shared" si="18"/>
        <v>3.4482758620689724E-2</v>
      </c>
      <c r="Q27" s="11"/>
      <c r="R27" s="11"/>
      <c r="S27" s="4"/>
      <c r="T27" s="4"/>
      <c r="U27" s="11">
        <f t="shared" ref="U27:Y27" si="19">+U3/T3-1</f>
        <v>0.11330049261083741</v>
      </c>
      <c r="V27" s="11">
        <f t="shared" si="19"/>
        <v>0.15044247787610643</v>
      </c>
      <c r="W27" s="11">
        <f t="shared" si="19"/>
        <v>8.4615384615384537E-2</v>
      </c>
      <c r="X27" s="11">
        <f t="shared" si="19"/>
        <v>4.9645390070921946E-2</v>
      </c>
      <c r="Y27" s="11">
        <f t="shared" si="19"/>
        <v>7.7702702702702631E-2</v>
      </c>
      <c r="Z27" s="11">
        <f>+Z3/Y3-1</f>
        <v>5.0156739811912265E-2</v>
      </c>
      <c r="AA27" s="11">
        <f>+AA3/Z3-1</f>
        <v>6.8656716417910379E-2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</row>
    <row r="28" spans="2:131" x14ac:dyDescent="0.2">
      <c r="B28" s="1" t="s">
        <v>32</v>
      </c>
      <c r="C28" s="13"/>
      <c r="D28" s="13"/>
      <c r="E28" s="13"/>
      <c r="F28" s="13"/>
      <c r="G28" s="15">
        <f t="shared" ref="G28:M28" si="20">G12/C12-1</f>
        <v>0.27264793157619138</v>
      </c>
      <c r="H28" s="15">
        <f t="shared" si="20"/>
        <v>0.2210069064658271</v>
      </c>
      <c r="I28" s="15">
        <f t="shared" si="20"/>
        <v>0.18868974404029748</v>
      </c>
      <c r="J28" s="15">
        <f t="shared" si="20"/>
        <v>0.20627243717590749</v>
      </c>
      <c r="K28" s="15">
        <f t="shared" si="20"/>
        <v>0.16071869428062002</v>
      </c>
      <c r="L28" s="15">
        <f t="shared" si="20"/>
        <v>0.21614496685521223</v>
      </c>
      <c r="M28" s="15">
        <f t="shared" si="20"/>
        <v>0.26246027248761972</v>
      </c>
      <c r="N28" s="15">
        <f t="shared" ref="N28" si="21">N12/J12-1</f>
        <v>0.23783739098086221</v>
      </c>
      <c r="O28" s="15">
        <f t="shared" ref="O28:P28" si="22">O12/K12-1</f>
        <v>0.33078886420570019</v>
      </c>
      <c r="P28" s="15">
        <f t="shared" si="22"/>
        <v>0.27959003283104633</v>
      </c>
      <c r="Q28" s="11"/>
      <c r="R28" s="11"/>
      <c r="S28" s="4"/>
      <c r="T28" s="4"/>
      <c r="U28" s="15">
        <f t="shared" ref="U28:Y28" si="23">+U12/T12-1</f>
        <v>0.26610910132884413</v>
      </c>
      <c r="V28" s="15">
        <f t="shared" si="23"/>
        <v>0.21596390228722573</v>
      </c>
      <c r="W28" s="15">
        <f t="shared" si="23"/>
        <v>0.37182574303495608</v>
      </c>
      <c r="X28" s="15">
        <f t="shared" si="23"/>
        <v>-1.1193175554782941E-2</v>
      </c>
      <c r="Y28" s="15">
        <f t="shared" si="23"/>
        <v>0.15687468377226454</v>
      </c>
      <c r="Z28" s="15">
        <f>+Z12/Y12-1</f>
        <v>0.21941112807816054</v>
      </c>
      <c r="AA28" s="15">
        <f>+AA12/Z12-1</f>
        <v>0.22167038498246217</v>
      </c>
      <c r="AB28" s="15">
        <f t="shared" ref="AB28" si="24">+AB12/AA12-1</f>
        <v>6.2468278216215589E-2</v>
      </c>
      <c r="AC28" s="15">
        <f>+AB28*(1-10%)</f>
        <v>5.622145039459403E-2</v>
      </c>
      <c r="AD28" s="15">
        <f t="shared" ref="AD28:AL28" si="25">+AC28*(1-10%)</f>
        <v>5.0599305355134627E-2</v>
      </c>
      <c r="AE28" s="15">
        <f t="shared" si="25"/>
        <v>4.5539374819621163E-2</v>
      </c>
      <c r="AF28" s="15">
        <f t="shared" si="25"/>
        <v>4.0985437337659046E-2</v>
      </c>
      <c r="AG28" s="15">
        <f t="shared" si="25"/>
        <v>3.6886893603893141E-2</v>
      </c>
      <c r="AH28" s="15">
        <f t="shared" si="25"/>
        <v>3.319820424350383E-2</v>
      </c>
      <c r="AI28" s="15">
        <f t="shared" si="25"/>
        <v>2.9878383819153448E-2</v>
      </c>
      <c r="AJ28" s="15">
        <f t="shared" si="25"/>
        <v>2.6890545437238105E-2</v>
      </c>
      <c r="AK28" s="15">
        <f t="shared" si="25"/>
        <v>2.4201490893514296E-2</v>
      </c>
      <c r="AL28" s="15">
        <f t="shared" si="25"/>
        <v>2.1781341804162867E-2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</row>
    <row r="29" spans="2:131" x14ac:dyDescent="0.2">
      <c r="B29" s="2" t="s">
        <v>33</v>
      </c>
      <c r="C29" s="11">
        <f t="shared" ref="C29:J29" si="26">C14/C12</f>
        <v>0.7867690696456624</v>
      </c>
      <c r="D29" s="11">
        <f t="shared" si="26"/>
        <v>0.81421294415450485</v>
      </c>
      <c r="E29" s="11">
        <f t="shared" si="26"/>
        <v>0.81813389562467054</v>
      </c>
      <c r="F29" s="11">
        <f t="shared" si="26"/>
        <v>0.8081372157957718</v>
      </c>
      <c r="G29" s="11">
        <f t="shared" si="26"/>
        <v>0.81785763269784661</v>
      </c>
      <c r="H29" s="11">
        <f t="shared" si="26"/>
        <v>0.81295590079598679</v>
      </c>
      <c r="I29" s="11">
        <f t="shared" si="26"/>
        <v>0.81830052477272164</v>
      </c>
      <c r="J29" s="11">
        <f t="shared" si="26"/>
        <v>0.81734385979415536</v>
      </c>
      <c r="K29" s="11">
        <f t="shared" ref="K29:L29" si="27">K14/K12</f>
        <v>0.82105213404546962</v>
      </c>
      <c r="L29" s="11">
        <f t="shared" si="27"/>
        <v>0.82130229817324696</v>
      </c>
      <c r="M29" s="11">
        <f t="shared" ref="M29:O29" si="28">M14/M12</f>
        <v>0.82034268763904605</v>
      </c>
      <c r="N29" s="11">
        <f t="shared" si="28"/>
        <v>0.81791164390423077</v>
      </c>
      <c r="O29" s="11">
        <f t="shared" si="28"/>
        <v>0.8185434462183232</v>
      </c>
      <c r="P29" s="11">
        <f t="shared" ref="P29" si="29">P14/P12</f>
        <v>0.81365438068452822</v>
      </c>
      <c r="Q29" s="11"/>
      <c r="R29" s="11"/>
      <c r="S29" s="4"/>
      <c r="T29" s="11">
        <f t="shared" ref="T29" si="30">+T14/T12</f>
        <v>0.8324617643898421</v>
      </c>
      <c r="U29" s="11">
        <f t="shared" ref="U29:Y29" si="31">+U14/U12</f>
        <v>0.81936998741106415</v>
      </c>
      <c r="V29" s="11">
        <f t="shared" si="31"/>
        <v>0.80582795323678236</v>
      </c>
      <c r="W29" s="11">
        <f t="shared" si="31"/>
        <v>0.80794376277251567</v>
      </c>
      <c r="X29" s="11">
        <f t="shared" si="31"/>
        <v>0.78347297378418479</v>
      </c>
      <c r="Y29" s="11">
        <f t="shared" si="31"/>
        <v>0.8075714222176098</v>
      </c>
      <c r="Z29" s="11">
        <f>+Z14/Z12</f>
        <v>0.81665157050717019</v>
      </c>
      <c r="AA29" s="11">
        <f>+AA14/AA12</f>
        <v>0.81999442691798607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</row>
    <row r="30" spans="2:131" x14ac:dyDescent="0.2">
      <c r="B30" s="2" t="s">
        <v>34</v>
      </c>
      <c r="C30" s="11">
        <f t="shared" ref="C30:J30" si="32">C18/C12</f>
        <v>0.25229533950078548</v>
      </c>
      <c r="D30" s="11">
        <f t="shared" si="32"/>
        <v>0.29350917216163003</v>
      </c>
      <c r="E30" s="11">
        <f t="shared" si="32"/>
        <v>0.40262402624026239</v>
      </c>
      <c r="F30" s="11">
        <f t="shared" si="32"/>
        <v>0.40845632229756679</v>
      </c>
      <c r="G30" s="11">
        <f t="shared" si="32"/>
        <v>0.37904265532848719</v>
      </c>
      <c r="H30" s="11">
        <f t="shared" si="32"/>
        <v>0.38000051188861306</v>
      </c>
      <c r="I30" s="11">
        <f t="shared" si="32"/>
        <v>0.4274557146024785</v>
      </c>
      <c r="J30" s="11">
        <f t="shared" si="32"/>
        <v>0.48288761211920805</v>
      </c>
      <c r="K30" s="11">
        <f t="shared" ref="K30:L30" si="33">K18/K12</f>
        <v>0.41487450961856598</v>
      </c>
      <c r="L30" s="11">
        <f t="shared" si="33"/>
        <v>0.43019193534809325</v>
      </c>
      <c r="M30" s="11">
        <f t="shared" ref="M30:O30" si="34">M18/M12</f>
        <v>0.4007454822216151</v>
      </c>
      <c r="N30" s="11">
        <f t="shared" si="34"/>
        <v>0.41314655892076002</v>
      </c>
      <c r="O30" s="11">
        <f t="shared" si="34"/>
        <v>0.40617286143027115</v>
      </c>
      <c r="P30" s="11">
        <f t="shared" ref="P30" si="35">P18/P12</f>
        <v>0.30879426325224912</v>
      </c>
      <c r="Q30" s="11"/>
      <c r="R30" s="11"/>
      <c r="S30" s="4"/>
      <c r="T30" s="11">
        <f t="shared" ref="T30" si="36">+T18/T12</f>
        <v>0.44616569361366809</v>
      </c>
      <c r="U30" s="11">
        <f t="shared" ref="U30:Y30" si="37">+U18/U12</f>
        <v>0.33927889443682191</v>
      </c>
      <c r="V30" s="11">
        <f t="shared" si="37"/>
        <v>0.3800500203571221</v>
      </c>
      <c r="W30" s="11">
        <f t="shared" si="37"/>
        <v>0.39645040660058173</v>
      </c>
      <c r="X30" s="11">
        <f t="shared" si="37"/>
        <v>0.24821411726367604</v>
      </c>
      <c r="Y30" s="11">
        <f t="shared" si="37"/>
        <v>0.34655527716416362</v>
      </c>
      <c r="Z30" s="11">
        <f>+Z18/Z12</f>
        <v>0.42176035404040096</v>
      </c>
      <c r="AA30" s="11">
        <f>+AA18/AA12</f>
        <v>0.41437855159579234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</row>
    <row r="31" spans="2:131" x14ac:dyDescent="0.2">
      <c r="B31" s="2" t="s">
        <v>35</v>
      </c>
      <c r="C31" s="11">
        <f t="shared" ref="C31:G31" si="38">C21/C20</f>
        <v>0.21869440262761736</v>
      </c>
      <c r="D31" s="11">
        <f t="shared" si="38"/>
        <v>0.16194985472936618</v>
      </c>
      <c r="E31" s="11">
        <f t="shared" si="38"/>
        <v>0.1738231098430813</v>
      </c>
      <c r="F31" s="11">
        <f t="shared" si="38"/>
        <v>0.16599238457877202</v>
      </c>
      <c r="G31" s="11">
        <f t="shared" si="38"/>
        <v>0.12789959811041388</v>
      </c>
      <c r="H31" s="11">
        <f>H21/H20</f>
        <v>0.10863233152389778</v>
      </c>
      <c r="I31" s="11">
        <f t="shared" ref="I31:J31" si="39">I21/I20</f>
        <v>0.11973964762652901</v>
      </c>
      <c r="J31" s="11">
        <f t="shared" si="39"/>
        <v>0.115234375</v>
      </c>
      <c r="K31" s="11">
        <f t="shared" ref="K31:L31" si="40">K21/K20</f>
        <v>9.4549015341094556E-2</v>
      </c>
      <c r="L31" s="11">
        <f t="shared" si="40"/>
        <v>0.10699327943897925</v>
      </c>
      <c r="M31" s="11">
        <f t="shared" ref="M31:O31" si="41">M21/M20</f>
        <v>0.87494806813460735</v>
      </c>
      <c r="N31" s="11">
        <f t="shared" si="41"/>
        <v>0.10196032027767916</v>
      </c>
      <c r="O31" s="11">
        <f t="shared" si="41"/>
        <v>-0.23082934902537697</v>
      </c>
      <c r="P31" s="11">
        <f t="shared" ref="P31" si="42">P21/P20</f>
        <v>0.15504371934314354</v>
      </c>
      <c r="Q31" s="11"/>
      <c r="R31" s="11"/>
      <c r="S31" s="4"/>
      <c r="T31" s="11">
        <f t="shared" ref="T31" si="43">+T21/T20</f>
        <v>0.12814952091794488</v>
      </c>
      <c r="U31" s="11">
        <f t="shared" ref="U31:Y31" si="44">+U21/U20</f>
        <v>0.25499758181525067</v>
      </c>
      <c r="V31" s="11">
        <f t="shared" si="44"/>
        <v>0.12157926461723931</v>
      </c>
      <c r="W31" s="11">
        <f t="shared" si="44"/>
        <v>0.16737162676592504</v>
      </c>
      <c r="X31" s="11">
        <f t="shared" si="44"/>
        <v>0.19497553697213643</v>
      </c>
      <c r="Y31" s="11">
        <f t="shared" si="44"/>
        <v>0.17563464620055663</v>
      </c>
      <c r="Z31" s="11">
        <f>+Z21/Z20</f>
        <v>0.11750137978857393</v>
      </c>
      <c r="AA31" s="11">
        <f>+AA21/AA20</f>
        <v>0.29644369966950612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</row>
    <row r="32" spans="2:131" x14ac:dyDescent="0.2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</row>
    <row r="33" spans="2:131" x14ac:dyDescent="0.2">
      <c r="B33" s="2" t="s">
        <v>60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>
        <v>10019</v>
      </c>
      <c r="U33" s="4">
        <v>19079</v>
      </c>
      <c r="V33" s="4">
        <v>17576</v>
      </c>
      <c r="W33" s="4">
        <v>16601</v>
      </c>
      <c r="X33" s="4">
        <v>14681</v>
      </c>
      <c r="Y33" s="4">
        <v>41862</v>
      </c>
      <c r="Z33" s="4">
        <v>43889</v>
      </c>
      <c r="AA33" s="4">
        <v>35873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</row>
    <row r="34" spans="2:131" x14ac:dyDescent="0.2">
      <c r="B34" s="2" t="s">
        <v>61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>
        <v>31095</v>
      </c>
      <c r="U34" s="4">
        <v>35776</v>
      </c>
      <c r="V34" s="4">
        <v>44378</v>
      </c>
      <c r="W34" s="4">
        <v>31397</v>
      </c>
      <c r="X34" s="4">
        <v>26057</v>
      </c>
      <c r="Y34" s="4">
        <v>23541</v>
      </c>
      <c r="Z34" s="4">
        <v>33926</v>
      </c>
      <c r="AA34" s="4">
        <v>45719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</row>
    <row r="35" spans="2:131" x14ac:dyDescent="0.2">
      <c r="B35" s="2" t="s">
        <v>62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>
        <v>7587</v>
      </c>
      <c r="U35" s="4">
        <v>9518</v>
      </c>
      <c r="V35" s="4">
        <v>11335</v>
      </c>
      <c r="W35" s="4">
        <v>14039</v>
      </c>
      <c r="X35" s="4">
        <v>13466</v>
      </c>
      <c r="Y35" s="4">
        <v>16169</v>
      </c>
      <c r="Z35" s="4">
        <v>16994</v>
      </c>
      <c r="AA35" s="4">
        <v>19769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</row>
    <row r="36" spans="2:131" x14ac:dyDescent="0.2">
      <c r="B36" s="2" t="s">
        <v>63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>
        <v>1779</v>
      </c>
      <c r="U36" s="4">
        <v>1852</v>
      </c>
      <c r="V36" s="4">
        <v>2381</v>
      </c>
      <c r="W36" s="4">
        <v>4629</v>
      </c>
      <c r="X36" s="4">
        <v>5345</v>
      </c>
      <c r="Y36" s="4">
        <v>3793</v>
      </c>
      <c r="Z36" s="4">
        <v>5236</v>
      </c>
      <c r="AA36" s="4">
        <v>7361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</row>
    <row r="37" spans="2:131" x14ac:dyDescent="0.2">
      <c r="B37" s="2" t="s">
        <v>64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>
        <f t="shared" ref="T37:Y37" si="45">+SUM(T33:T36)</f>
        <v>50480</v>
      </c>
      <c r="U37" s="4">
        <f t="shared" si="45"/>
        <v>66225</v>
      </c>
      <c r="V37" s="4">
        <f t="shared" si="45"/>
        <v>75670</v>
      </c>
      <c r="W37" s="4">
        <f t="shared" si="45"/>
        <v>66666</v>
      </c>
      <c r="X37" s="4">
        <f t="shared" si="45"/>
        <v>59549</v>
      </c>
      <c r="Y37" s="4">
        <f t="shared" si="45"/>
        <v>85365</v>
      </c>
      <c r="Z37" s="4">
        <f>+SUM(Z33:Z36)</f>
        <v>100045</v>
      </c>
      <c r="AA37" s="4">
        <f>+SUM(AA33:AA36)</f>
        <v>108722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</row>
    <row r="38" spans="2:131" x14ac:dyDescent="0.2">
      <c r="B38" s="2" t="s">
        <v>65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>
        <v>0</v>
      </c>
      <c r="U38" s="4">
        <v>0</v>
      </c>
      <c r="V38" s="4">
        <v>6234</v>
      </c>
      <c r="W38" s="4">
        <v>6775</v>
      </c>
      <c r="X38" s="4">
        <v>6201</v>
      </c>
      <c r="Y38" s="4">
        <v>6141</v>
      </c>
      <c r="Z38" s="4">
        <v>6070</v>
      </c>
      <c r="AA38" s="4">
        <v>27524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</row>
    <row r="39" spans="2:131" x14ac:dyDescent="0.2">
      <c r="B39" s="2" t="s">
        <v>66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>
        <v>24683</v>
      </c>
      <c r="U39" s="4">
        <v>35323</v>
      </c>
      <c r="V39" s="4">
        <v>45633</v>
      </c>
      <c r="W39" s="4">
        <v>57809</v>
      </c>
      <c r="X39" s="4">
        <v>79518</v>
      </c>
      <c r="Y39" s="4">
        <v>96587</v>
      </c>
      <c r="Z39" s="4">
        <v>121346</v>
      </c>
      <c r="AA39" s="4">
        <v>176400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</row>
    <row r="40" spans="2:131" x14ac:dyDescent="0.2">
      <c r="B40" s="2" t="s">
        <v>67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>
        <v>0</v>
      </c>
      <c r="U40" s="4">
        <v>9460</v>
      </c>
      <c r="V40" s="4">
        <v>9348</v>
      </c>
      <c r="W40" s="4">
        <v>12155</v>
      </c>
      <c r="X40" s="4">
        <v>12673</v>
      </c>
      <c r="Y40" s="4">
        <v>13294</v>
      </c>
      <c r="Z40" s="4">
        <v>14922</v>
      </c>
      <c r="AA40" s="4">
        <v>20404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</row>
    <row r="41" spans="2:131" x14ac:dyDescent="0.2">
      <c r="B41" s="2" t="s">
        <v>68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>
        <f>1294+18301</f>
        <v>19595</v>
      </c>
      <c r="U41" s="4">
        <f>894+18715</f>
        <v>19609</v>
      </c>
      <c r="V41" s="4">
        <f>623+19050</f>
        <v>19673</v>
      </c>
      <c r="W41" s="4">
        <f>634+19197</f>
        <v>19831</v>
      </c>
      <c r="X41" s="4">
        <f>897+20306</f>
        <v>21203</v>
      </c>
      <c r="Y41" s="4">
        <v>20654</v>
      </c>
      <c r="Z41" s="4">
        <v>20654</v>
      </c>
      <c r="AA41" s="4">
        <v>24534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</row>
    <row r="42" spans="2:131" x14ac:dyDescent="0.2">
      <c r="B42" s="2" t="s">
        <v>37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>
        <v>2576</v>
      </c>
      <c r="U42" s="4">
        <v>2759</v>
      </c>
      <c r="V42" s="4">
        <v>2758</v>
      </c>
      <c r="W42" s="4">
        <v>2751</v>
      </c>
      <c r="X42" s="4">
        <v>6583</v>
      </c>
      <c r="Y42" s="4">
        <v>7582</v>
      </c>
      <c r="Z42" s="4">
        <v>13017</v>
      </c>
      <c r="AA42" s="4">
        <v>8437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</row>
    <row r="43" spans="2:131" x14ac:dyDescent="0.2">
      <c r="B43" s="2" t="s">
        <v>69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>
        <f t="shared" ref="T43:Y43" si="46">+SUM(T38:T42)</f>
        <v>46854</v>
      </c>
      <c r="U43" s="4">
        <f t="shared" si="46"/>
        <v>67151</v>
      </c>
      <c r="V43" s="4">
        <f t="shared" si="46"/>
        <v>83646</v>
      </c>
      <c r="W43" s="4">
        <f t="shared" si="46"/>
        <v>99321</v>
      </c>
      <c r="X43" s="4">
        <f t="shared" si="46"/>
        <v>126178</v>
      </c>
      <c r="Y43" s="4">
        <f t="shared" si="46"/>
        <v>144258</v>
      </c>
      <c r="Z43" s="4">
        <f>+SUM(Z38:Z42)</f>
        <v>176009</v>
      </c>
      <c r="AA43" s="4">
        <f>+SUM(AA38:AA42)</f>
        <v>257299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</row>
    <row r="44" spans="2:131" x14ac:dyDescent="0.2">
      <c r="B44" s="1" t="s">
        <v>70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3">
        <f t="shared" ref="T44:Y44" si="47">+T37+T43</f>
        <v>97334</v>
      </c>
      <c r="U44" s="13">
        <f t="shared" si="47"/>
        <v>133376</v>
      </c>
      <c r="V44" s="13">
        <f t="shared" si="47"/>
        <v>159316</v>
      </c>
      <c r="W44" s="13">
        <f t="shared" si="47"/>
        <v>165987</v>
      </c>
      <c r="X44" s="13">
        <f t="shared" si="47"/>
        <v>185727</v>
      </c>
      <c r="Y44" s="13">
        <f t="shared" si="47"/>
        <v>229623</v>
      </c>
      <c r="Z44" s="13">
        <f>+Z37+Z43</f>
        <v>276054</v>
      </c>
      <c r="AA44" s="13">
        <f>+AA37+AA43</f>
        <v>366021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</row>
    <row r="45" spans="2:131" x14ac:dyDescent="0.2">
      <c r="B45" s="2" t="s">
        <v>71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>
        <f>820+541</f>
        <v>1361</v>
      </c>
      <c r="U45" s="4">
        <f>1363+886</f>
        <v>2249</v>
      </c>
      <c r="V45" s="4">
        <f>1331+1093</f>
        <v>2424</v>
      </c>
      <c r="W45" s="4">
        <f>4083+1052</f>
        <v>5135</v>
      </c>
      <c r="X45" s="4">
        <f>4990+1117</f>
        <v>6107</v>
      </c>
      <c r="Y45" s="4">
        <v>4849</v>
      </c>
      <c r="Z45" s="4">
        <v>7687</v>
      </c>
      <c r="AA45" s="4">
        <v>8894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</row>
    <row r="46" spans="2:131" x14ac:dyDescent="0.2">
      <c r="B46" s="2" t="s">
        <v>72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>
        <v>0</v>
      </c>
      <c r="U46" s="4">
        <v>800</v>
      </c>
      <c r="V46" s="4">
        <v>1023</v>
      </c>
      <c r="W46" s="4">
        <v>1127</v>
      </c>
      <c r="X46" s="4">
        <v>1367</v>
      </c>
      <c r="Y46" s="4">
        <v>1623</v>
      </c>
      <c r="Z46" s="4">
        <v>1942</v>
      </c>
      <c r="AA46" s="4">
        <v>2213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</row>
    <row r="47" spans="2:131" x14ac:dyDescent="0.2">
      <c r="B47" s="2" t="s">
        <v>73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>
        <f>5509+147</f>
        <v>5656</v>
      </c>
      <c r="U47" s="4">
        <f>11735+269</f>
        <v>12004</v>
      </c>
      <c r="V47" s="4">
        <f>11152+382</f>
        <v>11534</v>
      </c>
      <c r="W47" s="4">
        <v>14873</v>
      </c>
      <c r="X47" s="4">
        <v>19552</v>
      </c>
      <c r="Y47" s="4">
        <v>25488</v>
      </c>
      <c r="Z47" s="4">
        <v>23967</v>
      </c>
      <c r="AA47" s="4">
        <v>30729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</row>
    <row r="48" spans="2:131" x14ac:dyDescent="0.2">
      <c r="B48" s="2" t="s">
        <v>74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f t="shared" ref="T48:X48" si="48">+SUM(T45:T47)</f>
        <v>7017</v>
      </c>
      <c r="U48" s="4">
        <f t="shared" si="48"/>
        <v>15053</v>
      </c>
      <c r="V48" s="4">
        <f t="shared" si="48"/>
        <v>14981</v>
      </c>
      <c r="W48" s="4">
        <f t="shared" si="48"/>
        <v>21135</v>
      </c>
      <c r="X48" s="4">
        <f t="shared" si="48"/>
        <v>27026</v>
      </c>
      <c r="Y48" s="4">
        <f>+SUM(Y45:Y47)</f>
        <v>31960</v>
      </c>
      <c r="Z48" s="4">
        <f>+SUM(Z45:Z47)</f>
        <v>33596</v>
      </c>
      <c r="AA48" s="4">
        <f>+SUM(AA45:AA47)</f>
        <v>41836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</row>
    <row r="49" spans="2:131" x14ac:dyDescent="0.2">
      <c r="B49" s="2" t="s">
        <v>72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>
        <v>0</v>
      </c>
      <c r="U49" s="4">
        <v>9524</v>
      </c>
      <c r="V49" s="4">
        <v>9631</v>
      </c>
      <c r="W49" s="4">
        <v>12746</v>
      </c>
      <c r="X49" s="4">
        <v>15301</v>
      </c>
      <c r="Y49" s="4">
        <v>17226</v>
      </c>
      <c r="Z49" s="4">
        <v>18292</v>
      </c>
      <c r="AA49" s="4">
        <v>22940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</row>
    <row r="50" spans="2:131" x14ac:dyDescent="0.2">
      <c r="B50" s="2" t="s">
        <v>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>
        <v>0</v>
      </c>
      <c r="U50" s="4">
        <v>0</v>
      </c>
      <c r="V50" s="4">
        <v>0</v>
      </c>
      <c r="W50" s="4">
        <v>0</v>
      </c>
      <c r="X50" s="4">
        <v>9923</v>
      </c>
      <c r="Y50" s="4">
        <v>18385</v>
      </c>
      <c r="Z50" s="4">
        <v>28826</v>
      </c>
      <c r="AA50" s="4">
        <v>58744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</row>
    <row r="51" spans="2:131" x14ac:dyDescent="0.2">
      <c r="B51" s="2" t="s">
        <v>75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7514</v>
      </c>
      <c r="Z51" s="4">
        <v>9987</v>
      </c>
      <c r="AA51" s="4">
        <v>21005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</row>
    <row r="52" spans="2:131" x14ac:dyDescent="0.2">
      <c r="B52" s="2" t="s">
        <v>76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>
        <v>6190</v>
      </c>
      <c r="U52" s="4">
        <v>7745</v>
      </c>
      <c r="V52" s="4">
        <v>6414</v>
      </c>
      <c r="W52" s="4">
        <v>7227</v>
      </c>
      <c r="X52" s="4">
        <v>7764</v>
      </c>
      <c r="Y52" s="4">
        <v>1370</v>
      </c>
      <c r="Z52" s="4">
        <v>2716</v>
      </c>
      <c r="AA52" s="4">
        <v>4253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</row>
    <row r="53" spans="2:131" x14ac:dyDescent="0.2">
      <c r="B53" s="2" t="s">
        <v>77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f t="shared" ref="T53:W53" si="49">+SUM(T49:T52)</f>
        <v>6190</v>
      </c>
      <c r="U53" s="4">
        <f t="shared" si="49"/>
        <v>17269</v>
      </c>
      <c r="V53" s="4">
        <f t="shared" si="49"/>
        <v>16045</v>
      </c>
      <c r="W53" s="4">
        <f t="shared" si="49"/>
        <v>19973</v>
      </c>
      <c r="X53" s="4">
        <f>+SUM(X49:X52)</f>
        <v>32988</v>
      </c>
      <c r="Y53" s="4">
        <f>+SUM(Y49:Y52)</f>
        <v>44495</v>
      </c>
      <c r="Z53" s="4">
        <f>+SUM(Z49:Z52)</f>
        <v>59821</v>
      </c>
      <c r="AA53" s="4">
        <f>+SUM(AA49:AA52)</f>
        <v>106942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</row>
    <row r="54" spans="2:131" x14ac:dyDescent="0.2">
      <c r="B54" s="1" t="s">
        <v>79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13">
        <f t="shared" ref="T54:W54" si="50">+T48+T53</f>
        <v>13207</v>
      </c>
      <c r="U54" s="13">
        <f t="shared" si="50"/>
        <v>32322</v>
      </c>
      <c r="V54" s="13">
        <f t="shared" si="50"/>
        <v>31026</v>
      </c>
      <c r="W54" s="13">
        <f t="shared" si="50"/>
        <v>41108</v>
      </c>
      <c r="X54" s="13">
        <f>+X48+X53</f>
        <v>60014</v>
      </c>
      <c r="Y54" s="13">
        <f>+Y48+Y53</f>
        <v>76455</v>
      </c>
      <c r="Z54" s="13">
        <f>+Z48+Z53</f>
        <v>93417</v>
      </c>
      <c r="AA54" s="13">
        <f>+AA48+AA53</f>
        <v>148778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</row>
    <row r="55" spans="2:131" x14ac:dyDescent="0.2">
      <c r="B55" s="2" t="s">
        <v>78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>
        <v>84127</v>
      </c>
      <c r="U55" s="4">
        <v>101054</v>
      </c>
      <c r="V55" s="4">
        <v>128290</v>
      </c>
      <c r="W55" s="4">
        <v>124879</v>
      </c>
      <c r="X55" s="4">
        <v>125713</v>
      </c>
      <c r="Y55" s="4">
        <v>153168</v>
      </c>
      <c r="Z55" s="4">
        <v>182637</v>
      </c>
      <c r="AA55" s="4">
        <v>217243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</row>
    <row r="56" spans="2:131" x14ac:dyDescent="0.2">
      <c r="B56" s="1" t="s">
        <v>80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13">
        <f t="shared" ref="T56:X56" si="51">+T54+T55</f>
        <v>97334</v>
      </c>
      <c r="U56" s="13">
        <f t="shared" si="51"/>
        <v>133376</v>
      </c>
      <c r="V56" s="13">
        <f t="shared" si="51"/>
        <v>159316</v>
      </c>
      <c r="W56" s="13">
        <f t="shared" si="51"/>
        <v>165987</v>
      </c>
      <c r="X56" s="13">
        <f t="shared" si="51"/>
        <v>185727</v>
      </c>
      <c r="Y56" s="13">
        <f>+Y54+Y55</f>
        <v>229623</v>
      </c>
      <c r="Z56" s="13">
        <f>+Z54+Z55</f>
        <v>276054</v>
      </c>
      <c r="AA56" s="13">
        <f>+AA54+AA55</f>
        <v>366021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</row>
    <row r="57" spans="2:131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</row>
    <row r="58" spans="2:131" x14ac:dyDescent="0.2">
      <c r="B58" s="2" t="s">
        <v>30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>
        <f>+T22+1</f>
        <v>22112</v>
      </c>
      <c r="U58" s="4">
        <f t="shared" ref="U58:W58" si="52">+U22</f>
        <v>18485</v>
      </c>
      <c r="V58" s="4">
        <f t="shared" si="52"/>
        <v>29146</v>
      </c>
      <c r="W58" s="4">
        <f t="shared" si="52"/>
        <v>39370</v>
      </c>
      <c r="X58" s="4">
        <f t="shared" ref="X58:Y58" si="53">+X22</f>
        <v>23200</v>
      </c>
      <c r="Y58" s="4">
        <f t="shared" si="53"/>
        <v>39098</v>
      </c>
      <c r="Z58" s="4">
        <f>+Z22</f>
        <v>62360</v>
      </c>
      <c r="AA58" s="4">
        <v>60458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</row>
    <row r="59" spans="2:131" x14ac:dyDescent="0.2">
      <c r="B59" s="2" t="s">
        <v>81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>
        <v>4315</v>
      </c>
      <c r="U59" s="4">
        <v>5741</v>
      </c>
      <c r="V59" s="4">
        <v>6862</v>
      </c>
      <c r="W59" s="4">
        <v>7967</v>
      </c>
      <c r="X59" s="4">
        <v>8686</v>
      </c>
      <c r="Y59" s="4">
        <v>11178</v>
      </c>
      <c r="Z59" s="4">
        <v>15498</v>
      </c>
      <c r="AA59" s="4">
        <v>18616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</row>
    <row r="60" spans="2:131" x14ac:dyDescent="0.2">
      <c r="B60" s="2" t="s">
        <v>82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>
        <v>4152</v>
      </c>
      <c r="U60" s="4">
        <v>4836</v>
      </c>
      <c r="V60" s="4">
        <v>6536</v>
      </c>
      <c r="W60" s="4">
        <v>9164</v>
      </c>
      <c r="X60" s="4">
        <v>11992</v>
      </c>
      <c r="Y60" s="4">
        <v>14027</v>
      </c>
      <c r="Z60" s="4">
        <v>16690</v>
      </c>
      <c r="AA60" s="4">
        <v>20427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</row>
    <row r="61" spans="2:131" x14ac:dyDescent="0.2">
      <c r="B61" s="2" t="s">
        <v>83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v>286</v>
      </c>
      <c r="U61" s="4">
        <v>-37</v>
      </c>
      <c r="V61" s="4">
        <v>-1192</v>
      </c>
      <c r="W61" s="4">
        <v>609</v>
      </c>
      <c r="X61" s="4">
        <v>-3286</v>
      </c>
      <c r="Y61" s="4">
        <v>131</v>
      </c>
      <c r="Z61" s="4">
        <v>-4738</v>
      </c>
      <c r="AA61" s="4">
        <v>18738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</row>
    <row r="62" spans="2:131" x14ac:dyDescent="0.2">
      <c r="B62" s="2" t="s">
        <v>85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>
        <v>0</v>
      </c>
      <c r="U62" s="4">
        <v>0</v>
      </c>
      <c r="V62" s="4">
        <v>0</v>
      </c>
      <c r="W62" s="4">
        <v>0</v>
      </c>
      <c r="X62" s="4">
        <v>2218</v>
      </c>
      <c r="Y62" s="4">
        <v>2432</v>
      </c>
      <c r="Z62" s="4">
        <v>383</v>
      </c>
      <c r="AA62" s="4">
        <v>-1138</v>
      </c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</row>
    <row r="63" spans="2:131" x14ac:dyDescent="0.2">
      <c r="B63" s="2" t="s">
        <v>84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>
        <v>0</v>
      </c>
      <c r="U63" s="4">
        <v>0</v>
      </c>
      <c r="V63" s="4">
        <v>0</v>
      </c>
      <c r="W63" s="4">
        <v>0</v>
      </c>
      <c r="X63" s="4">
        <v>1341</v>
      </c>
      <c r="Y63" s="4">
        <v>-224</v>
      </c>
      <c r="Z63" s="4">
        <v>0</v>
      </c>
      <c r="AA63" s="4">
        <v>0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</row>
    <row r="64" spans="2:131" x14ac:dyDescent="0.2">
      <c r="B64" s="2" t="s">
        <v>37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>
        <v>-64</v>
      </c>
      <c r="U64" s="4">
        <v>39</v>
      </c>
      <c r="V64" s="4">
        <f>33+85</f>
        <v>118</v>
      </c>
      <c r="W64" s="4">
        <f>105-232</f>
        <v>-127</v>
      </c>
      <c r="X64" s="4">
        <v>641</v>
      </c>
      <c r="Y64" s="4">
        <v>635</v>
      </c>
      <c r="Z64" s="4">
        <v>87</v>
      </c>
      <c r="AA64" s="4">
        <v>-416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</row>
    <row r="65" spans="2:131" x14ac:dyDescent="0.2">
      <c r="B65" s="2" t="s">
        <v>89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>
        <v>-1892</v>
      </c>
      <c r="U65" s="4">
        <v>-1961</v>
      </c>
      <c r="V65" s="4">
        <v>-1512</v>
      </c>
      <c r="W65" s="4">
        <v>-3110</v>
      </c>
      <c r="X65" s="4">
        <v>231</v>
      </c>
      <c r="Y65" s="4">
        <v>-2399</v>
      </c>
      <c r="Z65" s="4">
        <v>-1485</v>
      </c>
      <c r="AA65" s="4">
        <v>-1815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</row>
    <row r="66" spans="2:131" x14ac:dyDescent="0.2">
      <c r="B66" s="2" t="s">
        <v>86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>
        <v>-690</v>
      </c>
      <c r="U66" s="4">
        <v>47</v>
      </c>
      <c r="V66" s="4">
        <v>135</v>
      </c>
      <c r="W66" s="4">
        <v>-1750</v>
      </c>
      <c r="X66" s="4">
        <v>162</v>
      </c>
      <c r="Y66" s="4">
        <v>559</v>
      </c>
      <c r="Z66" s="4">
        <v>-698</v>
      </c>
      <c r="AA66" s="4">
        <v>-89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</row>
    <row r="67" spans="2:131" x14ac:dyDescent="0.2">
      <c r="B67" s="2" t="s">
        <v>87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>
        <v>-159</v>
      </c>
      <c r="U67" s="4">
        <v>41</v>
      </c>
      <c r="V67" s="4">
        <v>-34</v>
      </c>
      <c r="W67" s="4">
        <v>-349</v>
      </c>
      <c r="X67" s="4">
        <v>-106</v>
      </c>
      <c r="Y67" s="4">
        <v>-80</v>
      </c>
      <c r="Z67" s="4">
        <v>-270</v>
      </c>
      <c r="AA67" s="4">
        <v>-481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</row>
    <row r="68" spans="2:131" x14ac:dyDescent="0.2">
      <c r="B68" s="2" t="s">
        <v>88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>
        <f>221+157</f>
        <v>378</v>
      </c>
      <c r="U68" s="4">
        <f>113+348</f>
        <v>461</v>
      </c>
      <c r="V68" s="4">
        <f>-17+178</f>
        <v>161</v>
      </c>
      <c r="W68" s="4">
        <f>1436-12</f>
        <v>1424</v>
      </c>
      <c r="X68" s="4">
        <v>210</v>
      </c>
      <c r="Y68" s="4">
        <v>51</v>
      </c>
      <c r="Z68" s="4">
        <v>373</v>
      </c>
      <c r="AA68" s="4">
        <v>-14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</row>
    <row r="69" spans="2:131" x14ac:dyDescent="0.2">
      <c r="B69" s="2" t="s">
        <v>90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>
        <f>1417+53</f>
        <v>1470</v>
      </c>
      <c r="U69" s="4">
        <f>7300+123</f>
        <v>7423</v>
      </c>
      <c r="V69" s="4">
        <v>-946</v>
      </c>
      <c r="W69" s="4">
        <v>3544</v>
      </c>
      <c r="X69" s="4">
        <v>4300</v>
      </c>
      <c r="Y69" s="4">
        <v>5081</v>
      </c>
      <c r="Z69" s="4">
        <v>323</v>
      </c>
      <c r="AA69" s="4">
        <v>1077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</row>
    <row r="70" spans="2:131" x14ac:dyDescent="0.2">
      <c r="B70" s="2" t="s">
        <v>91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v>-634</v>
      </c>
      <c r="U70" s="4">
        <v>1239</v>
      </c>
      <c r="V70" s="4">
        <v>-527</v>
      </c>
      <c r="W70" s="4">
        <v>941</v>
      </c>
      <c r="X70" s="4">
        <v>886</v>
      </c>
      <c r="Y70" s="4">
        <v>624</v>
      </c>
      <c r="Z70" s="4">
        <v>2805</v>
      </c>
      <c r="AA70" s="4">
        <v>437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</row>
    <row r="71" spans="2:131" x14ac:dyDescent="0.2">
      <c r="B71" s="2" t="s">
        <v>92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>
        <f t="shared" ref="T71:X71" si="54">+SUM(T65:T70)</f>
        <v>-1527</v>
      </c>
      <c r="U71" s="4">
        <f t="shared" si="54"/>
        <v>7250</v>
      </c>
      <c r="V71" s="4">
        <f t="shared" si="54"/>
        <v>-2723</v>
      </c>
      <c r="W71" s="4">
        <f t="shared" si="54"/>
        <v>700</v>
      </c>
      <c r="X71" s="4">
        <f t="shared" si="54"/>
        <v>5683</v>
      </c>
      <c r="Y71" s="4">
        <f>+SUM(Y65:Y70)</f>
        <v>3836</v>
      </c>
      <c r="Z71" s="4">
        <f>+SUM(Z65:Z70)</f>
        <v>1048</v>
      </c>
      <c r="AA71" s="4">
        <f>+SUM(AA65:AA70)</f>
        <v>-885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</row>
    <row r="72" spans="2:131" x14ac:dyDescent="0.2">
      <c r="B72" s="1" t="s">
        <v>93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13">
        <f t="shared" ref="T72:Y72" si="55">+T58+SUM(T59:T64)+T71</f>
        <v>29274</v>
      </c>
      <c r="U72" s="13">
        <f t="shared" si="55"/>
        <v>36314</v>
      </c>
      <c r="V72" s="13">
        <f t="shared" si="55"/>
        <v>38747</v>
      </c>
      <c r="W72" s="13">
        <f t="shared" si="55"/>
        <v>57683</v>
      </c>
      <c r="X72" s="13">
        <f t="shared" si="55"/>
        <v>50475</v>
      </c>
      <c r="Y72" s="13">
        <f t="shared" si="55"/>
        <v>71113</v>
      </c>
      <c r="Z72" s="13">
        <f>+Z58+SUM(Z59:Z64)+Z71</f>
        <v>91328</v>
      </c>
      <c r="AA72" s="13">
        <f>+AA58+SUM(AA59:AA64)+AA71</f>
        <v>115800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</row>
    <row r="73" spans="2:131" x14ac:dyDescent="0.2">
      <c r="B73" s="2" t="s">
        <v>95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>
        <v>-13915</v>
      </c>
      <c r="U73" s="4">
        <v>-15102</v>
      </c>
      <c r="V73" s="4">
        <f>-15163+48</f>
        <v>-15115</v>
      </c>
      <c r="W73" s="4">
        <f>-18690+123</f>
        <v>-18567</v>
      </c>
      <c r="X73" s="4">
        <v>-31186</v>
      </c>
      <c r="Y73" s="4">
        <v>-27045</v>
      </c>
      <c r="Z73" s="4">
        <v>-37256</v>
      </c>
      <c r="AA73" s="4">
        <v>-69691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</row>
    <row r="74" spans="2:131" x14ac:dyDescent="0.2">
      <c r="B74" s="2" t="s">
        <v>96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>
        <v>-14656</v>
      </c>
      <c r="U74" s="4">
        <v>-23910</v>
      </c>
      <c r="V74" s="4">
        <v>-33930</v>
      </c>
      <c r="W74" s="4">
        <v>-30407</v>
      </c>
      <c r="X74" s="4">
        <v>-9626</v>
      </c>
      <c r="Y74" s="4">
        <v>-2982</v>
      </c>
      <c r="Z74" s="4">
        <v>-25542</v>
      </c>
      <c r="AA74" s="4">
        <v>-36929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</row>
    <row r="75" spans="2:131" x14ac:dyDescent="0.2">
      <c r="B75" s="2" t="s">
        <v>97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f>12358+4772</f>
        <v>17130</v>
      </c>
      <c r="U75" s="4">
        <f>9565+10152</f>
        <v>19717</v>
      </c>
      <c r="V75" s="4">
        <f>11787+13984</f>
        <v>25771</v>
      </c>
      <c r="W75" s="4">
        <f>31671+10915</f>
        <v>42586</v>
      </c>
      <c r="X75" s="4">
        <v>13158</v>
      </c>
      <c r="Y75" s="4">
        <v>6184</v>
      </c>
      <c r="Z75" s="4">
        <v>15789</v>
      </c>
      <c r="AA75" s="4">
        <v>26874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</row>
    <row r="76" spans="2:131" x14ac:dyDescent="0.2">
      <c r="B76" s="2" t="s">
        <v>98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v>-137</v>
      </c>
      <c r="U76" s="4">
        <v>-508</v>
      </c>
      <c r="V76" s="4">
        <f>-6361-388</f>
        <v>-6749</v>
      </c>
      <c r="W76" s="4">
        <f>-47-851</f>
        <v>-898</v>
      </c>
      <c r="X76" s="4">
        <v>-1312</v>
      </c>
      <c r="Y76" s="4">
        <v>-629</v>
      </c>
      <c r="Z76" s="4">
        <v>-270</v>
      </c>
      <c r="AA76" s="4">
        <v>-4231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</row>
    <row r="77" spans="2:131" x14ac:dyDescent="0.2">
      <c r="B77" s="2" t="s">
        <v>37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v>-25</v>
      </c>
      <c r="U77" s="4">
        <v>-61</v>
      </c>
      <c r="V77" s="4">
        <v>-36</v>
      </c>
      <c r="W77" s="4">
        <v>-284</v>
      </c>
      <c r="X77" s="4">
        <v>-4</v>
      </c>
      <c r="Y77" s="4">
        <v>-23</v>
      </c>
      <c r="Z77" s="4">
        <v>129</v>
      </c>
      <c r="AA77" s="4">
        <f>-2432+2554-18330+182</f>
        <v>-18026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</row>
    <row r="78" spans="2:131" x14ac:dyDescent="0.2">
      <c r="B78" s="1" t="s">
        <v>94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13">
        <f t="shared" ref="T78:Y78" si="56">+SUM(T73:T77)</f>
        <v>-11603</v>
      </c>
      <c r="U78" s="13">
        <f t="shared" si="56"/>
        <v>-19864</v>
      </c>
      <c r="V78" s="13">
        <f t="shared" si="56"/>
        <v>-30059</v>
      </c>
      <c r="W78" s="13">
        <f t="shared" si="56"/>
        <v>-7570</v>
      </c>
      <c r="X78" s="13">
        <f t="shared" si="56"/>
        <v>-28970</v>
      </c>
      <c r="Y78" s="13">
        <f t="shared" si="56"/>
        <v>-24495</v>
      </c>
      <c r="Z78" s="13">
        <f>+SUM(Z73:Z77)</f>
        <v>-47150</v>
      </c>
      <c r="AA78" s="13">
        <f>+SUM(AA73:AA77)</f>
        <v>-102003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</row>
    <row r="79" spans="2:131" x14ac:dyDescent="0.2">
      <c r="B79" s="2" t="s">
        <v>104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v>-3208</v>
      </c>
      <c r="U79" s="4">
        <v>-2337</v>
      </c>
      <c r="V79" s="4">
        <v>-3564</v>
      </c>
      <c r="W79" s="4">
        <v>-5515</v>
      </c>
      <c r="X79" s="4">
        <v>-3595</v>
      </c>
      <c r="Y79" s="4">
        <v>-7012</v>
      </c>
      <c r="Z79" s="4">
        <v>-13770</v>
      </c>
      <c r="AA79" s="4">
        <v>-18400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</row>
    <row r="80" spans="2:131" x14ac:dyDescent="0.2">
      <c r="B80" s="2" t="s">
        <v>105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v>-12879</v>
      </c>
      <c r="U80" s="4">
        <v>-4202</v>
      </c>
      <c r="V80" s="4">
        <v>-6272</v>
      </c>
      <c r="W80" s="4">
        <f>-44537</f>
        <v>-44537</v>
      </c>
      <c r="X80" s="4">
        <v>-27956</v>
      </c>
      <c r="Y80" s="4">
        <v>-19774</v>
      </c>
      <c r="Z80" s="4">
        <v>-30125</v>
      </c>
      <c r="AA80" s="4">
        <v>-26248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</row>
    <row r="81" spans="2:131" x14ac:dyDescent="0.2">
      <c r="B81" s="2" t="s">
        <v>106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-5072</v>
      </c>
      <c r="AA81" s="4">
        <v>-5324</v>
      </c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</row>
    <row r="82" spans="2:131" x14ac:dyDescent="0.2">
      <c r="B82" s="2" t="s">
        <v>107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v>0</v>
      </c>
      <c r="U82" s="4">
        <v>0</v>
      </c>
      <c r="V82" s="4">
        <v>0</v>
      </c>
      <c r="W82" s="4">
        <v>0</v>
      </c>
      <c r="X82" s="4">
        <v>9921</v>
      </c>
      <c r="Y82" s="4">
        <v>8455</v>
      </c>
      <c r="Z82" s="4">
        <v>10432</v>
      </c>
      <c r="AA82" s="4">
        <v>29906</v>
      </c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</row>
    <row r="83" spans="2:131" x14ac:dyDescent="0.2">
      <c r="B83" s="2" t="s">
        <v>108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v>0</v>
      </c>
      <c r="U83" s="4">
        <v>-552</v>
      </c>
      <c r="V83" s="4">
        <v>-604</v>
      </c>
      <c r="W83" s="4">
        <v>-677</v>
      </c>
      <c r="X83" s="4">
        <v>-850</v>
      </c>
      <c r="Y83" s="4">
        <v>-1058</v>
      </c>
      <c r="Z83" s="4">
        <v>-1969</v>
      </c>
      <c r="AA83" s="4">
        <v>-2524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</row>
    <row r="84" spans="2:131" x14ac:dyDescent="0.2">
      <c r="B84" s="2" t="s">
        <v>37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>
        <f>500+15</f>
        <v>515</v>
      </c>
      <c r="U84" s="4">
        <f>-223+15</f>
        <v>-208</v>
      </c>
      <c r="V84" s="4">
        <v>148</v>
      </c>
      <c r="W84" s="4">
        <v>1</v>
      </c>
      <c r="X84" s="4">
        <v>344</v>
      </c>
      <c r="Y84" s="4">
        <v>-111</v>
      </c>
      <c r="Z84" s="4">
        <v>-277</v>
      </c>
      <c r="AA84" s="4">
        <v>2220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</row>
    <row r="85" spans="2:131" x14ac:dyDescent="0.2">
      <c r="B85" s="1" t="s">
        <v>103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13">
        <f t="shared" ref="T85:W85" si="57">+SUM(T79:T84)</f>
        <v>-15572</v>
      </c>
      <c r="U85" s="13">
        <f t="shared" si="57"/>
        <v>-7299</v>
      </c>
      <c r="V85" s="13">
        <f t="shared" si="57"/>
        <v>-10292</v>
      </c>
      <c r="W85" s="13">
        <f t="shared" si="57"/>
        <v>-50728</v>
      </c>
      <c r="X85" s="13">
        <f>+SUM(X79:X84)</f>
        <v>-22136</v>
      </c>
      <c r="Y85" s="13">
        <f>+SUM(Y79:Y84)</f>
        <v>-19500</v>
      </c>
      <c r="Z85" s="13">
        <f>+SUM(Z79:Z84)</f>
        <v>-40781</v>
      </c>
      <c r="AA85" s="13">
        <f>+SUM(AA79:AA84)</f>
        <v>-20370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</row>
    <row r="86" spans="2:131" x14ac:dyDescent="0.2">
      <c r="B86" s="2" t="s">
        <v>102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>
        <v>-179</v>
      </c>
      <c r="U86" s="4">
        <v>4</v>
      </c>
      <c r="V86" s="4">
        <v>279</v>
      </c>
      <c r="W86" s="4">
        <v>-474</v>
      </c>
      <c r="X86" s="4">
        <v>-638</v>
      </c>
      <c r="Y86" s="4">
        <v>113</v>
      </c>
      <c r="Z86" s="4">
        <v>-786</v>
      </c>
      <c r="AA86" s="4">
        <v>235</v>
      </c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</row>
    <row r="87" spans="2:131" x14ac:dyDescent="0.2">
      <c r="B87" s="1" t="s">
        <v>101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13">
        <f t="shared" ref="T87:Y87" si="58">+T85+T86+T78+T72</f>
        <v>1920</v>
      </c>
      <c r="U87" s="13">
        <f t="shared" si="58"/>
        <v>9155</v>
      </c>
      <c r="V87" s="13">
        <f t="shared" si="58"/>
        <v>-1325</v>
      </c>
      <c r="W87" s="13">
        <f t="shared" si="58"/>
        <v>-1089</v>
      </c>
      <c r="X87" s="13">
        <f t="shared" si="58"/>
        <v>-1269</v>
      </c>
      <c r="Y87" s="13">
        <f t="shared" si="58"/>
        <v>27231</v>
      </c>
      <c r="Z87" s="13">
        <f>+Z85+Z86+Z78+Z72</f>
        <v>2611</v>
      </c>
      <c r="AA87" s="13">
        <f>+AA85+AA86+AA78+AA72</f>
        <v>-6338</v>
      </c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</row>
    <row r="88" spans="2:131" x14ac:dyDescent="0.2">
      <c r="B88" s="2" t="s">
        <v>100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>
        <f t="shared" ref="T88:Y88" si="59">+T89-T87</f>
        <v>8204</v>
      </c>
      <c r="U88" s="4">
        <f t="shared" si="59"/>
        <v>10124</v>
      </c>
      <c r="V88" s="4">
        <f t="shared" si="59"/>
        <v>19279</v>
      </c>
      <c r="W88" s="4">
        <f t="shared" si="59"/>
        <v>17954</v>
      </c>
      <c r="X88" s="4">
        <f t="shared" si="59"/>
        <v>16865</v>
      </c>
      <c r="Y88" s="4">
        <f t="shared" si="59"/>
        <v>15596</v>
      </c>
      <c r="Z88" s="4">
        <v>42827</v>
      </c>
      <c r="AA88" s="4">
        <v>42827</v>
      </c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</row>
    <row r="89" spans="2:131" x14ac:dyDescent="0.2">
      <c r="B89" s="2" t="s">
        <v>99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>
        <f t="shared" ref="T89:Y89" si="60">+U88</f>
        <v>10124</v>
      </c>
      <c r="U89" s="4">
        <f t="shared" si="60"/>
        <v>19279</v>
      </c>
      <c r="V89" s="4">
        <f t="shared" si="60"/>
        <v>17954</v>
      </c>
      <c r="W89" s="4">
        <f t="shared" si="60"/>
        <v>16865</v>
      </c>
      <c r="X89" s="4">
        <f t="shared" si="60"/>
        <v>15596</v>
      </c>
      <c r="Y89" s="4">
        <f t="shared" si="60"/>
        <v>42827</v>
      </c>
      <c r="Z89" s="4">
        <f>+Z87+Z88</f>
        <v>45438</v>
      </c>
      <c r="AA89" s="4">
        <f>+AA87+AA88</f>
        <v>36489</v>
      </c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</row>
    <row r="90" spans="2:131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</row>
    <row r="91" spans="2:131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</row>
    <row r="92" spans="2:131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</row>
    <row r="93" spans="2:131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</row>
    <row r="94" spans="2:131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</row>
    <row r="95" spans="2:131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</row>
    <row r="96" spans="2:131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</row>
    <row r="97" spans="3:131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</row>
    <row r="98" spans="3:131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</row>
    <row r="99" spans="3:131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</row>
    <row r="100" spans="3:131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</row>
    <row r="101" spans="3:131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</row>
    <row r="102" spans="3:131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</row>
    <row r="103" spans="3:131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</row>
    <row r="104" spans="3:131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</row>
    <row r="105" spans="3:131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</row>
    <row r="106" spans="3:131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</row>
    <row r="107" spans="3:131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</row>
    <row r="108" spans="3:131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</row>
    <row r="109" spans="3:131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</row>
    <row r="110" spans="3:131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</row>
    <row r="111" spans="3:131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</row>
    <row r="112" spans="3:131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</row>
    <row r="113" spans="3:131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</row>
    <row r="114" spans="3:131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</row>
    <row r="115" spans="3:131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</row>
    <row r="116" spans="3:131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</row>
    <row r="117" spans="3:131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</row>
    <row r="118" spans="3:131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</row>
    <row r="119" spans="3:131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</row>
    <row r="120" spans="3:131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</row>
    <row r="121" spans="3:131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</row>
    <row r="122" spans="3:131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</row>
    <row r="123" spans="3:131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</row>
    <row r="124" spans="3:131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</row>
    <row r="125" spans="3:131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</row>
    <row r="126" spans="3:131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</row>
    <row r="127" spans="3:131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</row>
    <row r="128" spans="3:131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</row>
    <row r="129" spans="3:131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</row>
    <row r="130" spans="3:131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</row>
    <row r="131" spans="3:131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</row>
    <row r="132" spans="3:131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</row>
    <row r="133" spans="3:131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</row>
    <row r="134" spans="3:131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</row>
    <row r="135" spans="3:131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</row>
    <row r="136" spans="3:131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</row>
    <row r="137" spans="3:131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</row>
    <row r="138" spans="3:131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</row>
    <row r="139" spans="3:131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</row>
    <row r="140" spans="3:131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</row>
    <row r="141" spans="3:131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</row>
    <row r="142" spans="3:131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</row>
    <row r="143" spans="3:131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</row>
    <row r="144" spans="3:131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</row>
    <row r="145" spans="3:131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</row>
    <row r="146" spans="3:131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</row>
    <row r="147" spans="3:131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</row>
    <row r="148" spans="3:131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</row>
    <row r="149" spans="3:131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</row>
    <row r="150" spans="3:131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</row>
    <row r="151" spans="3:131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</row>
    <row r="152" spans="3:131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</row>
    <row r="153" spans="3:131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</row>
    <row r="154" spans="3:131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</row>
    <row r="155" spans="3:131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</row>
    <row r="156" spans="3:131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</row>
    <row r="157" spans="3:131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</row>
    <row r="158" spans="3:131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</row>
    <row r="159" spans="3:131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</row>
    <row r="160" spans="3:131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</row>
    <row r="161" spans="3:131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</row>
    <row r="162" spans="3:131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</row>
    <row r="163" spans="3:131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</row>
    <row r="164" spans="3:131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</row>
    <row r="165" spans="3:131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</row>
    <row r="166" spans="3:131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</row>
    <row r="167" spans="3:131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</row>
    <row r="168" spans="3:131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</row>
    <row r="169" spans="3:131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</row>
    <row r="170" spans="3:131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</row>
    <row r="171" spans="3:131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</row>
    <row r="172" spans="3:131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</row>
    <row r="173" spans="3:131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</row>
    <row r="174" spans="3:131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</row>
    <row r="175" spans="3:131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</row>
    <row r="176" spans="3:131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</row>
    <row r="177" spans="3:131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</row>
    <row r="178" spans="3:131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</row>
    <row r="179" spans="3:131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</row>
    <row r="180" spans="3:131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</row>
    <row r="181" spans="3:131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</row>
    <row r="182" spans="3:131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</row>
    <row r="183" spans="3:131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</row>
    <row r="184" spans="3:131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</row>
    <row r="185" spans="3:131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</row>
    <row r="186" spans="3:131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</row>
    <row r="187" spans="3:131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</row>
    <row r="188" spans="3:131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</row>
    <row r="189" spans="3:131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</row>
    <row r="190" spans="3:131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</row>
    <row r="191" spans="3:131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</row>
    <row r="192" spans="3:131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</row>
    <row r="193" spans="3:131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</row>
    <row r="194" spans="3:131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</row>
    <row r="195" spans="3:131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</row>
    <row r="196" spans="3:131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</row>
    <row r="197" spans="3:131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</row>
    <row r="198" spans="3:131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</row>
    <row r="199" spans="3:131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</row>
    <row r="200" spans="3:131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</row>
    <row r="201" spans="3:131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</row>
    <row r="202" spans="3:131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</row>
    <row r="203" spans="3:131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</row>
    <row r="204" spans="3:131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</row>
    <row r="205" spans="3:131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</row>
    <row r="206" spans="3:131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</row>
    <row r="207" spans="3:131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</row>
    <row r="208" spans="3:131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</row>
    <row r="209" spans="3:131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</row>
    <row r="210" spans="3:131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</row>
    <row r="211" spans="3:131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</row>
    <row r="212" spans="3:131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</row>
    <row r="213" spans="3:131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</row>
    <row r="214" spans="3:131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</row>
    <row r="215" spans="3:131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</row>
    <row r="216" spans="3:131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</row>
    <row r="217" spans="3:131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</row>
    <row r="218" spans="3:131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</row>
    <row r="219" spans="3:131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</row>
    <row r="220" spans="3:131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</row>
    <row r="221" spans="3:131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</row>
    <row r="222" spans="3:131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</row>
    <row r="223" spans="3:131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</row>
    <row r="224" spans="3:131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</row>
    <row r="225" spans="3:131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</row>
    <row r="226" spans="3:131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</row>
    <row r="227" spans="3:131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</row>
    <row r="228" spans="3:131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</row>
    <row r="229" spans="3:131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</row>
    <row r="230" spans="3:131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</row>
    <row r="231" spans="3:131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</row>
    <row r="232" spans="3:131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</row>
    <row r="233" spans="3:131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</row>
    <row r="234" spans="3:131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</row>
    <row r="235" spans="3:131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</row>
    <row r="236" spans="3:131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</row>
    <row r="237" spans="3:131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</row>
    <row r="238" spans="3:131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</row>
    <row r="239" spans="3:131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</row>
    <row r="240" spans="3:131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</row>
    <row r="241" spans="3:131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</row>
    <row r="242" spans="3:131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</row>
    <row r="243" spans="3:131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</row>
    <row r="244" spans="3:131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</row>
    <row r="245" spans="3:131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</row>
    <row r="246" spans="3:131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</row>
    <row r="247" spans="3:131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</row>
    <row r="248" spans="3:131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</row>
    <row r="249" spans="3:131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</row>
    <row r="250" spans="3:131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</row>
    <row r="251" spans="3:131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</row>
    <row r="252" spans="3:131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</row>
    <row r="253" spans="3:131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</row>
    <row r="254" spans="3:131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</row>
    <row r="255" spans="3:131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</row>
    <row r="256" spans="3:131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</row>
    <row r="257" spans="3:131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</row>
    <row r="258" spans="3:131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</row>
    <row r="259" spans="3:131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</row>
    <row r="260" spans="3:131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</row>
    <row r="261" spans="3:131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</row>
    <row r="262" spans="3:131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</row>
    <row r="263" spans="3:131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</row>
    <row r="264" spans="3:131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</row>
    <row r="265" spans="3:131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</row>
    <row r="266" spans="3:131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</row>
    <row r="267" spans="3:131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</row>
    <row r="268" spans="3:131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</row>
    <row r="269" spans="3:131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</row>
    <row r="270" spans="3:131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</row>
    <row r="271" spans="3:131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</row>
    <row r="272" spans="3:131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</row>
    <row r="273" spans="3:131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</row>
    <row r="274" spans="3:131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</row>
    <row r="275" spans="3:131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</row>
    <row r="276" spans="3:131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</row>
    <row r="277" spans="3:131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</row>
    <row r="278" spans="3:131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</row>
    <row r="279" spans="3:131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</row>
    <row r="280" spans="3:131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</row>
    <row r="281" spans="3:131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</row>
    <row r="282" spans="3:131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</row>
    <row r="283" spans="3:131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</row>
    <row r="284" spans="3:131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</row>
    <row r="285" spans="3:131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</row>
    <row r="286" spans="3:131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</row>
    <row r="287" spans="3:131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</row>
    <row r="288" spans="3:131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</row>
    <row r="289" spans="3:131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</row>
    <row r="290" spans="3:131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</row>
    <row r="291" spans="3:131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</row>
    <row r="292" spans="3:131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</row>
    <row r="293" spans="3:131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3:131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3:131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3:131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3:131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3:131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3:131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3:131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3:131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3:131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3:131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3:131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3:25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3:25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3:25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3:25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3:25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3:25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3:25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3:25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3:25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3:25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3:25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3:25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3:25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3:25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3:25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3:25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3:25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3:25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3:25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3:25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3:25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3:25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3:25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3:25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3:25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3:25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3:2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4"/>
      <c r="Y331" s="4"/>
    </row>
    <row r="332" spans="3:2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4"/>
      <c r="Y332" s="4"/>
    </row>
    <row r="333" spans="3:2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4"/>
      <c r="Y333" s="4"/>
    </row>
    <row r="334" spans="3:2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4"/>
      <c r="Y334" s="4"/>
    </row>
    <row r="335" spans="3:2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4"/>
      <c r="Y335" s="4"/>
    </row>
    <row r="336" spans="3:2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4"/>
      <c r="Y336" s="4"/>
    </row>
    <row r="337" spans="3:2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4"/>
      <c r="Y337" s="4"/>
    </row>
    <row r="338" spans="3:2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4"/>
      <c r="Y338" s="4"/>
    </row>
    <row r="339" spans="3:2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4"/>
      <c r="Y339" s="4"/>
    </row>
    <row r="340" spans="3:2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4"/>
      <c r="Y340" s="4"/>
    </row>
    <row r="341" spans="3:2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4"/>
      <c r="Y341" s="4"/>
    </row>
    <row r="342" spans="3:2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4"/>
      <c r="Y342" s="4"/>
    </row>
    <row r="343" spans="3:2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4"/>
      <c r="Y343" s="4"/>
    </row>
    <row r="344" spans="3:2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4"/>
      <c r="Y344" s="4"/>
    </row>
    <row r="345" spans="3:2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4"/>
      <c r="Y345" s="4"/>
    </row>
    <row r="346" spans="3:2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4"/>
      <c r="Y346" s="4"/>
    </row>
    <row r="347" spans="3:2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4"/>
      <c r="Y347" s="4"/>
    </row>
    <row r="348" spans="3:2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4"/>
      <c r="Y348" s="4"/>
    </row>
    <row r="349" spans="3:2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4"/>
      <c r="Y349" s="4"/>
    </row>
    <row r="350" spans="3:2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4"/>
      <c r="Y350" s="4"/>
    </row>
    <row r="351" spans="3:2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4"/>
      <c r="Y351" s="4"/>
    </row>
    <row r="352" spans="3:2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4"/>
      <c r="Y352" s="4"/>
    </row>
    <row r="353" spans="3:2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4"/>
      <c r="Y353" s="4"/>
    </row>
    <row r="354" spans="3:2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4"/>
      <c r="Y354" s="4"/>
    </row>
    <row r="355" spans="3:2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4"/>
      <c r="Y355" s="4"/>
    </row>
    <row r="356" spans="3:2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4"/>
      <c r="Y356" s="4"/>
    </row>
    <row r="357" spans="3:2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4"/>
      <c r="Y357" s="4"/>
    </row>
    <row r="358" spans="3:2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4"/>
      <c r="Y358" s="4"/>
    </row>
    <row r="359" spans="3:2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4"/>
      <c r="Y359" s="4"/>
    </row>
    <row r="360" spans="3:2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4"/>
      <c r="Y360" s="4"/>
    </row>
    <row r="361" spans="3:2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4"/>
      <c r="Y361" s="4"/>
    </row>
    <row r="362" spans="3:2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4"/>
      <c r="Y362" s="4"/>
    </row>
    <row r="363" spans="3:2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4"/>
      <c r="Y363" s="4"/>
    </row>
    <row r="364" spans="3:2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4"/>
      <c r="Y364" s="4"/>
    </row>
    <row r="365" spans="3:2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4"/>
      <c r="Y365" s="4"/>
    </row>
    <row r="366" spans="3:2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4"/>
      <c r="Y366" s="4"/>
    </row>
    <row r="367" spans="3:2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4"/>
      <c r="Y367" s="4"/>
    </row>
    <row r="368" spans="3:2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4"/>
      <c r="Y368" s="4"/>
    </row>
    <row r="369" spans="3:2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4"/>
      <c r="Y369" s="4"/>
    </row>
    <row r="370" spans="3:2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4"/>
      <c r="Y370" s="4"/>
    </row>
    <row r="371" spans="3:2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4"/>
      <c r="Y371" s="4"/>
    </row>
    <row r="372" spans="3:2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4"/>
      <c r="Y372" s="4"/>
    </row>
    <row r="373" spans="3:2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4"/>
      <c r="Y373" s="4"/>
    </row>
    <row r="374" spans="3:2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4"/>
      <c r="Y374" s="4"/>
    </row>
    <row r="375" spans="3:2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4"/>
      <c r="Y375" s="4"/>
    </row>
    <row r="376" spans="3:2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4"/>
      <c r="Y376" s="4"/>
    </row>
    <row r="377" spans="3:2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4"/>
      <c r="Y377" s="4"/>
    </row>
    <row r="378" spans="3:2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4"/>
      <c r="Y378" s="4"/>
    </row>
    <row r="379" spans="3:2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4"/>
      <c r="Y379" s="4"/>
    </row>
    <row r="380" spans="3:2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4"/>
      <c r="Y380" s="4"/>
    </row>
    <row r="381" spans="3:2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4"/>
      <c r="Y381" s="4"/>
    </row>
    <row r="382" spans="3:2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4"/>
      <c r="Y382" s="4"/>
    </row>
    <row r="383" spans="3:2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4"/>
      <c r="Y383" s="4"/>
    </row>
    <row r="384" spans="3:2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4"/>
      <c r="Y384" s="4"/>
    </row>
    <row r="385" spans="3:2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4"/>
      <c r="Y385" s="4"/>
    </row>
    <row r="386" spans="3:2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4"/>
      <c r="Y386" s="4"/>
    </row>
    <row r="387" spans="3:2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4"/>
      <c r="Y387" s="4"/>
    </row>
    <row r="388" spans="3:2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4"/>
      <c r="Y388" s="4"/>
    </row>
    <row r="389" spans="3:2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4"/>
      <c r="Y389" s="4"/>
    </row>
    <row r="390" spans="3:2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4"/>
      <c r="Y390" s="4"/>
    </row>
    <row r="391" spans="3:2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4"/>
      <c r="Y391" s="4"/>
    </row>
    <row r="392" spans="3:2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4"/>
      <c r="Y392" s="4"/>
    </row>
    <row r="393" spans="3:2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4"/>
      <c r="Y393" s="4"/>
    </row>
    <row r="394" spans="3:2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4"/>
      <c r="Y394" s="4"/>
    </row>
    <row r="395" spans="3:2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4"/>
      <c r="Y395" s="4"/>
    </row>
    <row r="396" spans="3:2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4"/>
      <c r="Y396" s="4"/>
    </row>
    <row r="397" spans="3:2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4"/>
      <c r="Y397" s="4"/>
    </row>
    <row r="398" spans="3:2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4"/>
      <c r="Y398" s="4"/>
    </row>
    <row r="399" spans="3:2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4"/>
      <c r="Y399" s="4"/>
    </row>
    <row r="400" spans="3:2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4"/>
      <c r="Y400" s="4"/>
    </row>
    <row r="401" spans="3:2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4"/>
      <c r="Y401" s="4"/>
    </row>
    <row r="402" spans="3:2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4"/>
      <c r="Y402" s="4"/>
    </row>
    <row r="403" spans="3:2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4"/>
      <c r="Y403" s="4"/>
    </row>
    <row r="404" spans="3:2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4"/>
      <c r="Y404" s="4"/>
    </row>
    <row r="405" spans="3:2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4"/>
      <c r="Y405" s="4"/>
    </row>
    <row r="406" spans="3:2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4"/>
      <c r="Y406" s="4"/>
    </row>
    <row r="407" spans="3:2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4"/>
      <c r="Y407" s="4"/>
    </row>
    <row r="408" spans="3:2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4"/>
      <c r="Y408" s="4"/>
    </row>
    <row r="409" spans="3:2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4"/>
      <c r="Y409" s="4"/>
    </row>
    <row r="410" spans="3:2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4"/>
      <c r="Y410" s="4"/>
    </row>
    <row r="411" spans="3:2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4"/>
      <c r="Y411" s="4"/>
    </row>
    <row r="412" spans="3:2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4"/>
      <c r="Y412" s="4"/>
    </row>
    <row r="413" spans="3:2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4"/>
      <c r="Y413" s="4"/>
    </row>
    <row r="414" spans="3:2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4"/>
      <c r="Y414" s="4"/>
    </row>
    <row r="415" spans="3:2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4"/>
      <c r="Y415" s="4"/>
    </row>
    <row r="416" spans="3:2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4"/>
      <c r="Y416" s="4"/>
    </row>
    <row r="417" spans="3:2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4"/>
      <c r="Y417" s="4"/>
    </row>
    <row r="418" spans="3:2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4"/>
      <c r="Y418" s="4"/>
    </row>
    <row r="419" spans="3:2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4"/>
      <c r="Y419" s="4"/>
    </row>
    <row r="420" spans="3:2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4"/>
      <c r="Y420" s="4"/>
    </row>
    <row r="421" spans="3:2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4"/>
      <c r="Y421" s="4"/>
    </row>
    <row r="422" spans="3:2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4"/>
      <c r="Y422" s="4"/>
    </row>
    <row r="423" spans="3:2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4"/>
      <c r="Y423" s="4"/>
    </row>
    <row r="424" spans="3:2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4"/>
      <c r="Y424" s="4"/>
    </row>
    <row r="425" spans="3:2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4"/>
      <c r="Y425" s="4"/>
    </row>
    <row r="426" spans="3:2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4"/>
      <c r="Y426" s="4"/>
    </row>
    <row r="427" spans="3:2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4"/>
      <c r="Y427" s="4"/>
    </row>
    <row r="428" spans="3:2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4"/>
      <c r="Y428" s="4"/>
    </row>
    <row r="429" spans="3:2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4"/>
      <c r="Y429" s="4"/>
    </row>
    <row r="430" spans="3:2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4"/>
      <c r="Y430" s="4"/>
    </row>
    <row r="431" spans="3:2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4"/>
      <c r="Y431" s="4"/>
    </row>
    <row r="432" spans="3:2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4"/>
      <c r="Y432" s="4"/>
    </row>
    <row r="433" spans="3:2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4"/>
      <c r="Y433" s="4"/>
    </row>
    <row r="434" spans="3:2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4"/>
      <c r="Y434" s="4"/>
    </row>
    <row r="435" spans="3:2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4"/>
      <c r="Y435" s="4"/>
    </row>
    <row r="436" spans="3:2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4"/>
      <c r="Y436" s="4"/>
    </row>
    <row r="437" spans="3:2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4"/>
      <c r="Y437" s="4"/>
    </row>
    <row r="438" spans="3:2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4"/>
      <c r="Y438" s="4"/>
    </row>
    <row r="439" spans="3:2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4"/>
      <c r="Y439" s="4"/>
    </row>
    <row r="440" spans="3:2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4"/>
      <c r="Y440" s="4"/>
    </row>
    <row r="441" spans="3:2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4"/>
      <c r="Y441" s="4"/>
    </row>
    <row r="442" spans="3:2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4"/>
      <c r="Y442" s="4"/>
    </row>
    <row r="443" spans="3:2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4"/>
      <c r="Y443" s="4"/>
    </row>
    <row r="444" spans="3:2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4"/>
      <c r="Y444" s="4"/>
    </row>
    <row r="445" spans="3:2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4"/>
      <c r="Y445" s="4"/>
    </row>
    <row r="446" spans="3:2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4"/>
      <c r="Y446" s="4"/>
    </row>
    <row r="447" spans="3:2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4"/>
      <c r="Y447" s="4"/>
    </row>
    <row r="448" spans="3:2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4"/>
      <c r="Y448" s="4"/>
    </row>
    <row r="449" spans="3:2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4"/>
      <c r="Y449" s="4"/>
    </row>
    <row r="450" spans="3:2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4"/>
      <c r="Y450" s="4"/>
    </row>
    <row r="451" spans="3:2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4"/>
      <c r="Y451" s="4"/>
    </row>
    <row r="452" spans="3:2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4"/>
      <c r="Y452" s="4"/>
    </row>
    <row r="453" spans="3:2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4"/>
      <c r="Y453" s="4"/>
    </row>
    <row r="454" spans="3:2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4"/>
      <c r="Y454" s="4"/>
    </row>
    <row r="455" spans="3:2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4"/>
      <c r="Y455" s="4"/>
    </row>
    <row r="456" spans="3:2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4"/>
      <c r="Y456" s="4"/>
    </row>
    <row r="457" spans="3:2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4"/>
      <c r="Y457" s="4"/>
    </row>
    <row r="458" spans="3:2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4"/>
      <c r="Y458" s="4"/>
    </row>
    <row r="459" spans="3:2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4"/>
      <c r="Y459" s="4"/>
    </row>
    <row r="460" spans="3:2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4"/>
      <c r="Y460" s="4"/>
    </row>
    <row r="461" spans="3:2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4"/>
      <c r="Y461" s="4"/>
    </row>
    <row r="462" spans="3:2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4"/>
      <c r="Y462" s="4"/>
    </row>
    <row r="463" spans="3:2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4"/>
      <c r="Y463" s="4"/>
    </row>
    <row r="464" spans="3:2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4"/>
      <c r="Y464" s="4"/>
    </row>
    <row r="465" spans="3:2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4"/>
      <c r="Y465" s="4"/>
    </row>
    <row r="466" spans="3:2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4"/>
      <c r="Y466" s="4"/>
    </row>
    <row r="467" spans="3:2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4"/>
      <c r="Y467" s="4"/>
    </row>
    <row r="468" spans="3:2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4"/>
      <c r="Y468" s="4"/>
    </row>
    <row r="469" spans="3:2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4"/>
      <c r="Y469" s="4"/>
    </row>
    <row r="470" spans="3:2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4"/>
      <c r="Y470" s="4"/>
    </row>
    <row r="471" spans="3:2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4"/>
      <c r="Y471" s="4"/>
    </row>
    <row r="472" spans="3:2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4"/>
      <c r="Y472" s="4"/>
    </row>
    <row r="473" spans="3:2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4"/>
      <c r="Y473" s="4"/>
    </row>
    <row r="474" spans="3:2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4"/>
      <c r="Y474" s="4"/>
    </row>
    <row r="475" spans="3:2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4"/>
      <c r="Y475" s="4"/>
    </row>
    <row r="476" spans="3:2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4"/>
      <c r="Y476" s="4"/>
    </row>
    <row r="477" spans="3:2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4"/>
      <c r="Y477" s="4"/>
    </row>
    <row r="478" spans="3:2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4"/>
      <c r="Y478" s="4"/>
    </row>
    <row r="479" spans="3:2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4"/>
      <c r="Y479" s="4"/>
    </row>
    <row r="480" spans="3:2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4"/>
      <c r="Y480" s="4"/>
    </row>
    <row r="481" spans="3:2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4"/>
      <c r="Y481" s="4"/>
    </row>
    <row r="482" spans="3:2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4"/>
      <c r="Y482" s="4"/>
    </row>
    <row r="483" spans="3:2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4"/>
      <c r="Y483" s="4"/>
    </row>
    <row r="484" spans="3:2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4"/>
      <c r="Y484" s="4"/>
    </row>
    <row r="485" spans="3:2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4"/>
      <c r="Y485" s="4"/>
    </row>
    <row r="486" spans="3:2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4"/>
      <c r="Y486" s="4"/>
    </row>
    <row r="487" spans="3:2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4"/>
      <c r="Y487" s="4"/>
    </row>
    <row r="488" spans="3:2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4"/>
      <c r="Y488" s="4"/>
    </row>
    <row r="489" spans="3:2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4"/>
      <c r="Y489" s="4"/>
    </row>
    <row r="490" spans="3:2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4"/>
      <c r="Y490" s="4"/>
    </row>
    <row r="491" spans="3:2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4"/>
      <c r="Y491" s="4"/>
    </row>
    <row r="492" spans="3:2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4"/>
      <c r="Y492" s="4"/>
    </row>
    <row r="493" spans="3:2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4"/>
      <c r="Y493" s="4"/>
    </row>
    <row r="494" spans="3:2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4"/>
      <c r="Y494" s="4"/>
    </row>
    <row r="495" spans="3:2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4"/>
      <c r="Y495" s="4"/>
    </row>
    <row r="496" spans="3:2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4"/>
      <c r="Y496" s="4"/>
    </row>
    <row r="497" spans="3:2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4"/>
      <c r="Y497" s="4"/>
    </row>
    <row r="498" spans="3:2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4"/>
      <c r="Y498" s="4"/>
    </row>
    <row r="499" spans="3:2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4"/>
      <c r="Y499" s="4"/>
    </row>
    <row r="500" spans="3:2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4"/>
      <c r="Y500" s="4"/>
    </row>
    <row r="501" spans="3:2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4"/>
      <c r="Y501" s="4"/>
    </row>
    <row r="502" spans="3:2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4"/>
      <c r="Y502" s="4"/>
    </row>
    <row r="503" spans="3:2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4"/>
      <c r="Y503" s="4"/>
    </row>
    <row r="504" spans="3:2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4"/>
      <c r="Y504" s="4"/>
    </row>
    <row r="505" spans="3:2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4"/>
      <c r="Y505" s="4"/>
    </row>
    <row r="506" spans="3:2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4"/>
      <c r="Y506" s="4"/>
    </row>
    <row r="507" spans="3:2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4"/>
      <c r="Y507" s="4"/>
    </row>
    <row r="508" spans="3:2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4"/>
      <c r="Y508" s="4"/>
    </row>
    <row r="509" spans="3:2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4"/>
      <c r="Y509" s="4"/>
    </row>
    <row r="510" spans="3:2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4"/>
      <c r="Y510" s="4"/>
    </row>
    <row r="511" spans="3:2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4"/>
      <c r="Y511" s="4"/>
    </row>
    <row r="512" spans="3:2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4"/>
      <c r="Y512" s="4"/>
    </row>
    <row r="513" spans="3:2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4"/>
      <c r="Y513" s="4"/>
    </row>
    <row r="514" spans="3:2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4"/>
      <c r="Y514" s="4"/>
    </row>
    <row r="515" spans="3:2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4"/>
      <c r="Y515" s="4"/>
    </row>
    <row r="516" spans="3:2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4"/>
      <c r="Y516" s="4"/>
    </row>
    <row r="517" spans="3:2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4"/>
      <c r="Y517" s="4"/>
    </row>
    <row r="518" spans="3:2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4"/>
      <c r="Y518" s="4"/>
    </row>
    <row r="519" spans="3:2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4"/>
      <c r="Y519" s="4"/>
    </row>
    <row r="520" spans="3:2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4"/>
      <c r="Y520" s="4"/>
    </row>
    <row r="521" spans="3:2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4"/>
      <c r="Y521" s="4"/>
    </row>
    <row r="522" spans="3:2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4"/>
      <c r="Y522" s="4"/>
    </row>
    <row r="523" spans="3:2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4"/>
      <c r="Y523" s="4"/>
    </row>
    <row r="524" spans="3:2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4"/>
      <c r="Y524" s="4"/>
    </row>
    <row r="525" spans="3:2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4"/>
      <c r="Y525" s="4"/>
    </row>
    <row r="526" spans="3:2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4"/>
      <c r="Y526" s="4"/>
    </row>
    <row r="527" spans="3:2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4"/>
      <c r="Y527" s="4"/>
    </row>
    <row r="528" spans="3:2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4"/>
      <c r="Y528" s="4"/>
    </row>
    <row r="529" spans="3:2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4"/>
      <c r="Y529" s="4"/>
    </row>
    <row r="530" spans="3:2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4"/>
      <c r="Y530" s="4"/>
    </row>
    <row r="531" spans="3:2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4"/>
      <c r="Y531" s="4"/>
    </row>
    <row r="532" spans="3:2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4"/>
      <c r="Y532" s="4"/>
    </row>
    <row r="533" spans="3:2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4"/>
      <c r="Y533" s="4"/>
    </row>
    <row r="534" spans="3:2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4"/>
      <c r="Y534" s="4"/>
    </row>
    <row r="535" spans="3:2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4"/>
      <c r="Y535" s="4"/>
    </row>
    <row r="536" spans="3:2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4"/>
      <c r="Y536" s="4"/>
    </row>
    <row r="537" spans="3:2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4"/>
      <c r="Y537" s="4"/>
    </row>
    <row r="538" spans="3:2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4"/>
      <c r="Y538" s="4"/>
    </row>
    <row r="539" spans="3:2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4"/>
      <c r="Y539" s="4"/>
    </row>
    <row r="540" spans="3:2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4"/>
      <c r="Y540" s="4"/>
    </row>
    <row r="541" spans="3:2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4"/>
      <c r="Y541" s="4"/>
    </row>
    <row r="542" spans="3:2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4"/>
      <c r="Y542" s="4"/>
    </row>
    <row r="543" spans="3:2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4"/>
      <c r="Y543" s="4"/>
    </row>
    <row r="544" spans="3:2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4"/>
      <c r="Y544" s="4"/>
    </row>
    <row r="545" spans="3:2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4"/>
      <c r="Y545" s="4"/>
    </row>
    <row r="546" spans="3:2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4"/>
      <c r="Y546" s="4"/>
    </row>
    <row r="547" spans="3:2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4"/>
      <c r="Y547" s="4"/>
    </row>
    <row r="548" spans="3:2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4"/>
      <c r="Y548" s="4"/>
    </row>
    <row r="549" spans="3:2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4"/>
      <c r="Y549" s="4"/>
    </row>
    <row r="550" spans="3:2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4"/>
      <c r="Y550" s="4"/>
    </row>
    <row r="551" spans="3:2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4"/>
      <c r="Y551" s="4"/>
    </row>
    <row r="552" spans="3:2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4"/>
      <c r="Y552" s="4"/>
    </row>
    <row r="553" spans="3:2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4"/>
      <c r="Y553" s="4"/>
    </row>
    <row r="554" spans="3:2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4"/>
      <c r="Y554" s="4"/>
    </row>
    <row r="555" spans="3:2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4"/>
      <c r="Y555" s="4"/>
    </row>
    <row r="556" spans="3:2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4"/>
      <c r="Y556" s="4"/>
    </row>
    <row r="557" spans="3:2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4"/>
      <c r="Y557" s="4"/>
    </row>
    <row r="558" spans="3:2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4"/>
      <c r="Y558" s="4"/>
    </row>
    <row r="559" spans="3:2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4"/>
      <c r="Y559" s="4"/>
    </row>
    <row r="560" spans="3:25" x14ac:dyDescent="0.2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3:25" x14ac:dyDescent="0.2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3:25" x14ac:dyDescent="0.2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3:25" x14ac:dyDescent="0.2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3:25" x14ac:dyDescent="0.2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3:25" x14ac:dyDescent="0.2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3:25" x14ac:dyDescent="0.2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3:25" x14ac:dyDescent="0.2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3:25" x14ac:dyDescent="0.2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3:25" x14ac:dyDescent="0.2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3:25" x14ac:dyDescent="0.2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3:25" x14ac:dyDescent="0.2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3:25" x14ac:dyDescent="0.2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3:25" x14ac:dyDescent="0.2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3:25" x14ac:dyDescent="0.2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3:25" x14ac:dyDescent="0.2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3:25" x14ac:dyDescent="0.2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3:25" x14ac:dyDescent="0.2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3:25" x14ac:dyDescent="0.2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3:25" x14ac:dyDescent="0.2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3:25" x14ac:dyDescent="0.2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3:25" x14ac:dyDescent="0.2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3:25" x14ac:dyDescent="0.2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3:25" x14ac:dyDescent="0.2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3:25" x14ac:dyDescent="0.2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3:25" x14ac:dyDescent="0.2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3:25" x14ac:dyDescent="0.2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3:25" x14ac:dyDescent="0.2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3:25" x14ac:dyDescent="0.2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3:25" x14ac:dyDescent="0.2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3:25" x14ac:dyDescent="0.2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3:25" x14ac:dyDescent="0.2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3:25" x14ac:dyDescent="0.2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3:25" x14ac:dyDescent="0.2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3:25" x14ac:dyDescent="0.2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3:25" x14ac:dyDescent="0.2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3:25" x14ac:dyDescent="0.2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3:25" x14ac:dyDescent="0.2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3:25" x14ac:dyDescent="0.2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3:25" x14ac:dyDescent="0.2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3:25" x14ac:dyDescent="0.2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3:25" x14ac:dyDescent="0.2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3:25" x14ac:dyDescent="0.2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3:25" x14ac:dyDescent="0.2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3:25" x14ac:dyDescent="0.2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3:25" x14ac:dyDescent="0.2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3:25" x14ac:dyDescent="0.2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3:25" x14ac:dyDescent="0.2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3:25" x14ac:dyDescent="0.2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3:25" x14ac:dyDescent="0.2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3:25" x14ac:dyDescent="0.2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3:25" x14ac:dyDescent="0.2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3:25" x14ac:dyDescent="0.2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3:25" x14ac:dyDescent="0.2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3:25" x14ac:dyDescent="0.2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3:25" x14ac:dyDescent="0.2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3:25" x14ac:dyDescent="0.2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3:25" x14ac:dyDescent="0.2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3:25" x14ac:dyDescent="0.2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3:25" x14ac:dyDescent="0.2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3:25" x14ac:dyDescent="0.2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3:25" x14ac:dyDescent="0.2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3:25" x14ac:dyDescent="0.2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3:25" x14ac:dyDescent="0.2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3:25" x14ac:dyDescent="0.2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3:25" x14ac:dyDescent="0.2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3:25" x14ac:dyDescent="0.2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3:25" x14ac:dyDescent="0.2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3:25" x14ac:dyDescent="0.2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3:25" x14ac:dyDescent="0.2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3:25" x14ac:dyDescent="0.2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3:25" x14ac:dyDescent="0.2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3:25" x14ac:dyDescent="0.2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3:25" x14ac:dyDescent="0.2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3:25" x14ac:dyDescent="0.2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3:25" x14ac:dyDescent="0.2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3:25" x14ac:dyDescent="0.2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3:25" x14ac:dyDescent="0.2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3:25" x14ac:dyDescent="0.2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3:25" x14ac:dyDescent="0.2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3:25" x14ac:dyDescent="0.2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3:25" x14ac:dyDescent="0.2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3:25" x14ac:dyDescent="0.2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3:25" x14ac:dyDescent="0.2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3:25" x14ac:dyDescent="0.2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3:25" x14ac:dyDescent="0.2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3:25" x14ac:dyDescent="0.2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3:25" x14ac:dyDescent="0.2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3:25" x14ac:dyDescent="0.2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3:25" x14ac:dyDescent="0.2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3:25" x14ac:dyDescent="0.2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3:25" x14ac:dyDescent="0.2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3:25" x14ac:dyDescent="0.2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3:25" x14ac:dyDescent="0.2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3:25" x14ac:dyDescent="0.2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3:25" x14ac:dyDescent="0.2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3:25" x14ac:dyDescent="0.2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3:25" x14ac:dyDescent="0.2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3:25" x14ac:dyDescent="0.2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3:25" x14ac:dyDescent="0.2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3:25" x14ac:dyDescent="0.2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3:25" x14ac:dyDescent="0.2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3:25" x14ac:dyDescent="0.2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3:25" x14ac:dyDescent="0.2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3:25" x14ac:dyDescent="0.2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3:25" x14ac:dyDescent="0.2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3:25" x14ac:dyDescent="0.2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3:25" x14ac:dyDescent="0.2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3:25" x14ac:dyDescent="0.2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3:25" x14ac:dyDescent="0.2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3:25" x14ac:dyDescent="0.2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3:25" x14ac:dyDescent="0.2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3:25" x14ac:dyDescent="0.2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3:25" x14ac:dyDescent="0.2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3:25" x14ac:dyDescent="0.2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3:25" x14ac:dyDescent="0.2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3:25" x14ac:dyDescent="0.2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3:25" x14ac:dyDescent="0.2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3:25" x14ac:dyDescent="0.2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3:25" x14ac:dyDescent="0.2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3:25" x14ac:dyDescent="0.2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3:25" x14ac:dyDescent="0.2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3:25" x14ac:dyDescent="0.2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3:25" x14ac:dyDescent="0.2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3:25" x14ac:dyDescent="0.2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3:25" x14ac:dyDescent="0.2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3:25" x14ac:dyDescent="0.2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3:25" x14ac:dyDescent="0.2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3:25" x14ac:dyDescent="0.2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3:25" x14ac:dyDescent="0.2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3:25" x14ac:dyDescent="0.2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3:25" x14ac:dyDescent="0.2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3:25" x14ac:dyDescent="0.2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3:25" x14ac:dyDescent="0.2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3:25" x14ac:dyDescent="0.2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3:25" x14ac:dyDescent="0.2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3:25" x14ac:dyDescent="0.2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3:25" x14ac:dyDescent="0.2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3:25" x14ac:dyDescent="0.2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3:25" x14ac:dyDescent="0.2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3:25" x14ac:dyDescent="0.2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3:25" x14ac:dyDescent="0.2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3:25" x14ac:dyDescent="0.2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</sheetData>
  <hyperlinks>
    <hyperlink ref="A1" location="Main!A1" display="Main" xr:uid="{724DD481-B086-417C-95BA-23239FCFE2CC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9392-DE51-4F5A-98F9-7E60A0AB9542}">
  <dimension ref="A1:L60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4" sqref="A14"/>
    </sheetView>
  </sheetViews>
  <sheetFormatPr defaultRowHeight="12.75" x14ac:dyDescent="0.2"/>
  <cols>
    <col min="1" max="1" width="5.42578125" style="2" bestFit="1" customWidth="1"/>
    <col min="2" max="2" width="32.42578125" style="2" bestFit="1" customWidth="1"/>
    <col min="3" max="8" width="9.28515625" style="2" bestFit="1" customWidth="1"/>
    <col min="9" max="9" width="10.140625" style="2" bestFit="1" customWidth="1"/>
    <col min="10" max="10" width="9.28515625" style="2" bestFit="1" customWidth="1"/>
    <col min="11" max="16384" width="9.140625" style="2"/>
  </cols>
  <sheetData>
    <row r="1" spans="1:12" x14ac:dyDescent="0.2">
      <c r="A1" s="6" t="s">
        <v>12</v>
      </c>
    </row>
    <row r="2" spans="1:12" x14ac:dyDescent="0.2">
      <c r="B2" s="16" t="s">
        <v>159</v>
      </c>
      <c r="C2" s="17">
        <v>18</v>
      </c>
      <c r="D2" s="17">
        <f>+C2+1</f>
        <v>19</v>
      </c>
      <c r="E2" s="17">
        <f t="shared" ref="E2:J2" si="0">+D2+1</f>
        <v>20</v>
      </c>
      <c r="F2" s="17">
        <f t="shared" si="0"/>
        <v>21</v>
      </c>
      <c r="G2" s="17">
        <f t="shared" si="0"/>
        <v>22</v>
      </c>
      <c r="H2" s="17">
        <f t="shared" si="0"/>
        <v>23</v>
      </c>
      <c r="I2" s="17">
        <f t="shared" si="0"/>
        <v>24</v>
      </c>
      <c r="J2" s="17">
        <f t="shared" si="0"/>
        <v>25</v>
      </c>
      <c r="K2" s="18"/>
    </row>
    <row r="3" spans="1:12" x14ac:dyDescent="0.2">
      <c r="B3" s="2" t="s">
        <v>5</v>
      </c>
      <c r="C3" s="4">
        <v>135.04</v>
      </c>
      <c r="D3" s="4">
        <v>208.8</v>
      </c>
      <c r="E3" s="4">
        <v>267.68</v>
      </c>
      <c r="F3" s="4">
        <v>336.95</v>
      </c>
      <c r="G3" s="4">
        <v>124.15</v>
      </c>
      <c r="H3" s="4">
        <v>346.29</v>
      </c>
      <c r="I3" s="4">
        <v>598.71</v>
      </c>
      <c r="J3" s="4">
        <v>694</v>
      </c>
      <c r="K3" s="4"/>
    </row>
    <row r="4" spans="1:12" x14ac:dyDescent="0.2">
      <c r="B4" s="2" t="s">
        <v>160</v>
      </c>
      <c r="C4" s="4">
        <f>+Model!T25</f>
        <v>2890</v>
      </c>
      <c r="D4" s="4">
        <f>+Model!U25</f>
        <v>2854</v>
      </c>
      <c r="E4" s="4">
        <f>+Model!V25</f>
        <v>2851</v>
      </c>
      <c r="F4" s="4">
        <f>+Model!W25</f>
        <v>2815</v>
      </c>
      <c r="G4" s="4">
        <f>+Model!X25</f>
        <v>2687</v>
      </c>
      <c r="H4" s="4">
        <f>+Model!Y25</f>
        <v>2574</v>
      </c>
      <c r="I4" s="4">
        <f>+Model!Z25</f>
        <v>2534</v>
      </c>
      <c r="J4" s="4">
        <f>+Model!AA25</f>
        <v>2521</v>
      </c>
      <c r="K4" s="4"/>
    </row>
    <row r="5" spans="1:12" x14ac:dyDescent="0.2">
      <c r="B5" s="2" t="s">
        <v>161</v>
      </c>
      <c r="C5" s="4">
        <f>+C3*C4</f>
        <v>390265.59999999998</v>
      </c>
      <c r="D5" s="4">
        <f t="shared" ref="D5:J5" si="1">+D3*D4</f>
        <v>595915.20000000007</v>
      </c>
      <c r="E5" s="4">
        <f t="shared" si="1"/>
        <v>763155.68</v>
      </c>
      <c r="F5" s="4">
        <f t="shared" si="1"/>
        <v>948514.25</v>
      </c>
      <c r="G5" s="4">
        <f t="shared" si="1"/>
        <v>333591.05</v>
      </c>
      <c r="H5" s="4">
        <f t="shared" si="1"/>
        <v>891350.46000000008</v>
      </c>
      <c r="I5" s="4">
        <f t="shared" si="1"/>
        <v>1517131.1400000001</v>
      </c>
      <c r="J5" s="4">
        <f t="shared" si="1"/>
        <v>1749574</v>
      </c>
      <c r="K5" s="4"/>
    </row>
    <row r="6" spans="1:12" x14ac:dyDescent="0.2">
      <c r="B6" s="2" t="s">
        <v>162</v>
      </c>
      <c r="C6" s="4">
        <f>+Model!T33+Model!T34-Model!T50</f>
        <v>41114</v>
      </c>
      <c r="D6" s="4">
        <f>+Model!U33+Model!U34-Model!U50</f>
        <v>54855</v>
      </c>
      <c r="E6" s="4">
        <f>+Model!V33+Model!V34-Model!V50</f>
        <v>61954</v>
      </c>
      <c r="F6" s="4">
        <f>+Model!W33+Model!W34-Model!W50</f>
        <v>47998</v>
      </c>
      <c r="G6" s="4">
        <f>+Model!X33+Model!X34-Model!X50</f>
        <v>30815</v>
      </c>
      <c r="H6" s="4">
        <f>+Model!Y33+Model!Y34-Model!Y50</f>
        <v>47018</v>
      </c>
      <c r="I6" s="4">
        <f>+Model!Z33+Model!Z34-Model!Z50</f>
        <v>48989</v>
      </c>
      <c r="J6" s="4">
        <f>+Model!AA33+Model!AA34-Model!AA50</f>
        <v>22848</v>
      </c>
      <c r="K6" s="4"/>
    </row>
    <row r="7" spans="1:12" x14ac:dyDescent="0.2">
      <c r="B7" s="2" t="s">
        <v>11</v>
      </c>
      <c r="C7" s="4">
        <f t="shared" ref="C7:H7" si="2">+C5-C6</f>
        <v>349151.6</v>
      </c>
      <c r="D7" s="4">
        <f t="shared" si="2"/>
        <v>541060.20000000007</v>
      </c>
      <c r="E7" s="4">
        <f t="shared" si="2"/>
        <v>701201.68</v>
      </c>
      <c r="F7" s="4">
        <f t="shared" si="2"/>
        <v>900516.25</v>
      </c>
      <c r="G7" s="4">
        <f t="shared" si="2"/>
        <v>302776.05</v>
      </c>
      <c r="H7" s="4">
        <f t="shared" si="2"/>
        <v>844332.46000000008</v>
      </c>
      <c r="I7" s="4">
        <f>+I5-I6</f>
        <v>1468142.1400000001</v>
      </c>
      <c r="J7" s="4">
        <f>+J5-J6</f>
        <v>1726726</v>
      </c>
      <c r="K7" s="4"/>
    </row>
    <row r="8" spans="1:12" x14ac:dyDescent="0.2">
      <c r="C8" s="4"/>
      <c r="D8" s="4"/>
      <c r="E8" s="4"/>
      <c r="F8" s="4"/>
      <c r="G8" s="4"/>
      <c r="H8" s="4"/>
      <c r="I8" s="4"/>
      <c r="J8" s="4"/>
      <c r="K8" s="4"/>
    </row>
    <row r="9" spans="1:12" x14ac:dyDescent="0.2">
      <c r="B9" s="19" t="s">
        <v>163</v>
      </c>
      <c r="C9" s="4"/>
      <c r="D9" s="4"/>
      <c r="E9" s="4"/>
      <c r="F9" s="4"/>
      <c r="G9" s="4"/>
      <c r="H9" s="4"/>
      <c r="I9" s="4"/>
      <c r="J9" s="4"/>
      <c r="K9" s="4"/>
    </row>
    <row r="10" spans="1:12" x14ac:dyDescent="0.2">
      <c r="B10" s="2" t="s">
        <v>164</v>
      </c>
      <c r="C10" s="4">
        <f>+Model!T43+SUM(Model!T35:T36)-Model!T45</f>
        <v>54859</v>
      </c>
      <c r="D10" s="4">
        <f>+Model!U43+SUM(Model!U35:U36)-Model!U45</f>
        <v>76272</v>
      </c>
      <c r="E10" s="4">
        <f>+Model!V43+SUM(Model!V35:V36)-Model!V45</f>
        <v>94938</v>
      </c>
      <c r="F10" s="4">
        <f>+Model!W43+SUM(Model!W35:W36)-Model!W45</f>
        <v>112854</v>
      </c>
      <c r="G10" s="4">
        <f>+Model!X43+SUM(Model!X35:X36)-Model!X45</f>
        <v>138882</v>
      </c>
      <c r="H10" s="4">
        <f>+Model!Y43+SUM(Model!Y35:Y36)-Model!Y45</f>
        <v>159371</v>
      </c>
      <c r="I10" s="4">
        <f>+Model!Z43+SUM(Model!Z35:Z36)-Model!Z45</f>
        <v>190552</v>
      </c>
      <c r="J10" s="4">
        <f>+Model!AA43+SUM(Model!AA35:AA36)-Model!AA45</f>
        <v>275535</v>
      </c>
      <c r="L10" s="20" t="s">
        <v>165</v>
      </c>
    </row>
    <row r="11" spans="1:12" x14ac:dyDescent="0.2">
      <c r="B11" s="2" t="s">
        <v>167</v>
      </c>
      <c r="C11" s="4">
        <f>+Model!T39+SUM(Model!T35:T36)-SUM(Model!T45,L47)-Model!T46+Model!T40-Model!T49</f>
        <v>32688</v>
      </c>
      <c r="D11" s="4">
        <f>+Model!U39+SUM(Model!U35:U36)-SUM(Model!U45,M47)-Model!U46+Model!U40-Model!U49</f>
        <v>43580</v>
      </c>
      <c r="E11" s="4">
        <f>+Model!V39+SUM(Model!V35:V36)-SUM(Model!V45,N47)-Model!V46+Model!V40-Model!V49</f>
        <v>55619</v>
      </c>
      <c r="F11" s="4">
        <f>+Model!W39+SUM(Model!W35:W36)-SUM(Model!W45,O47)-Model!W46+Model!W40-Model!W49</f>
        <v>69624</v>
      </c>
      <c r="G11" s="4">
        <f>+Model!X39+SUM(Model!X35:X36)-SUM(Model!X45,P47)-Model!X46+Model!X40-Model!X49</f>
        <v>88227</v>
      </c>
      <c r="H11" s="4">
        <f>+Model!Y39+SUM(Model!Y35:Y36)-SUM(Model!Y45,Q47)-Model!Y46+Model!Y40-Model!Y49</f>
        <v>106145</v>
      </c>
      <c r="I11" s="4">
        <f>+Model!Z39+SUM(Model!Z35:Z36)-SUM(Model!Z45,R47)-Model!Z46+Model!Z40-Model!Z49</f>
        <v>130577</v>
      </c>
      <c r="J11" s="4">
        <f>+Model!AA39+SUM(Model!AA35:AA36)-SUM(Model!AA45,S47)-Model!AA46+Model!AA40-Model!AA49</f>
        <v>189887</v>
      </c>
      <c r="L11" s="20" t="s">
        <v>166</v>
      </c>
    </row>
    <row r="12" spans="1:12" x14ac:dyDescent="0.2">
      <c r="B12" s="2" t="s">
        <v>296</v>
      </c>
      <c r="C12" s="4">
        <f>+C11+Model!T41</f>
        <v>52283</v>
      </c>
      <c r="D12" s="4">
        <f>+D11+Model!U41</f>
        <v>63189</v>
      </c>
      <c r="E12" s="4">
        <f>+E11+Model!V41</f>
        <v>75292</v>
      </c>
      <c r="F12" s="4">
        <f>+F11+Model!W41</f>
        <v>89455</v>
      </c>
      <c r="G12" s="4">
        <f>+G11+Model!X41</f>
        <v>109430</v>
      </c>
      <c r="H12" s="4">
        <f>+H11+Model!Y41</f>
        <v>126799</v>
      </c>
      <c r="I12" s="4">
        <f>+I11+Model!Z41</f>
        <v>151231</v>
      </c>
      <c r="J12" s="4">
        <f>+J11+Model!AA41</f>
        <v>214421</v>
      </c>
      <c r="L12" s="20"/>
    </row>
    <row r="13" spans="1:12" x14ac:dyDescent="0.2">
      <c r="B13" s="2" t="s">
        <v>168</v>
      </c>
      <c r="C13" s="4">
        <f>+C12+Model!T33+Model!T34+Model!T38</f>
        <v>93397</v>
      </c>
      <c r="D13" s="4">
        <f>+D12+Model!U33+Model!U34+Model!U38</f>
        <v>118044</v>
      </c>
      <c r="E13" s="4">
        <f>+E12+Model!V33+Model!V34+Model!V38</f>
        <v>143480</v>
      </c>
      <c r="F13" s="4">
        <f>+F12+Model!W33+Model!W34+Model!W38</f>
        <v>144228</v>
      </c>
      <c r="G13" s="4">
        <f>+G12+Model!X33+Model!X34+Model!X38</f>
        <v>156369</v>
      </c>
      <c r="H13" s="4">
        <f>+H12+Model!Y33+Model!Y34+Model!Y38</f>
        <v>198343</v>
      </c>
      <c r="I13" s="4">
        <f>+I12+Model!Z33+Model!Z34+Model!Z38</f>
        <v>235116</v>
      </c>
      <c r="J13" s="4">
        <f>+J12+Model!AA33+Model!AA34+Model!AA38</f>
        <v>323537</v>
      </c>
      <c r="L13" s="20" t="s">
        <v>169</v>
      </c>
    </row>
    <row r="14" spans="1:12" x14ac:dyDescent="0.2">
      <c r="B14" s="2" t="s">
        <v>170</v>
      </c>
      <c r="C14" s="4">
        <f>+Model!T18*(1-Model!T31)</f>
        <v>21720.41098537124</v>
      </c>
      <c r="D14" s="4">
        <f>+Model!U18*(1-Model!U31)</f>
        <v>17869.628002579397</v>
      </c>
      <c r="E14" s="4">
        <f>+Model!V18*(1-Model!V31)</f>
        <v>28698.883845690172</v>
      </c>
      <c r="F14" s="4">
        <f>+Model!W18*(1-Model!W31)</f>
        <v>38927.874333812702</v>
      </c>
      <c r="G14" s="4">
        <f>+Model!X18*(1-Model!X31)</f>
        <v>23300.628057878483</v>
      </c>
      <c r="H14" s="4">
        <f>+Model!Y18*(1-Model!Y31)</f>
        <v>38539.904655477774</v>
      </c>
      <c r="I14" s="4">
        <f>+Model!Z18*(1-Model!Z31)</f>
        <v>61227.754270268742</v>
      </c>
      <c r="J14" s="4">
        <f>+Model!AA18*(1-Model!AA31)</f>
        <v>58589.354466322206</v>
      </c>
      <c r="L14" s="2" t="s">
        <v>171</v>
      </c>
    </row>
    <row r="15" spans="1:12" x14ac:dyDescent="0.2">
      <c r="B15" s="2" t="s">
        <v>172</v>
      </c>
      <c r="C15" s="4"/>
      <c r="D15" s="4">
        <f t="shared" ref="D15:H15" si="3">+D12-C12</f>
        <v>10906</v>
      </c>
      <c r="E15" s="4">
        <f t="shared" si="3"/>
        <v>12103</v>
      </c>
      <c r="F15" s="4">
        <f t="shared" si="3"/>
        <v>14163</v>
      </c>
      <c r="G15" s="4">
        <f t="shared" si="3"/>
        <v>19975</v>
      </c>
      <c r="H15" s="4">
        <f t="shared" si="3"/>
        <v>17369</v>
      </c>
      <c r="I15" s="4">
        <f>+I12-H12</f>
        <v>24432</v>
      </c>
      <c r="J15" s="4">
        <f>+J12-I12</f>
        <v>63190</v>
      </c>
      <c r="L15" s="20" t="s">
        <v>173</v>
      </c>
    </row>
    <row r="16" spans="1:12" x14ac:dyDescent="0.2">
      <c r="B16" s="2" t="s">
        <v>174</v>
      </c>
      <c r="C16" s="4"/>
      <c r="D16" s="4">
        <f>+D14-D15+Model!U59+Model!U60</f>
        <v>17540.628002579397</v>
      </c>
      <c r="E16" s="4">
        <f>+E14-E15+Model!V59+Model!V60</f>
        <v>29993.883845690172</v>
      </c>
      <c r="F16" s="4">
        <f>+F14-F15+Model!W59+Model!W60</f>
        <v>41895.874333812702</v>
      </c>
      <c r="G16" s="4">
        <f>+G14-G15+Model!X59+Model!X60</f>
        <v>24003.628057878483</v>
      </c>
      <c r="H16" s="4">
        <f>+H14-H15+Model!Y59+Model!Y60</f>
        <v>46375.904655477774</v>
      </c>
      <c r="I16" s="4">
        <f>+I14-I15+Model!Z59+Model!Z60</f>
        <v>68983.75427026875</v>
      </c>
      <c r="J16" s="4">
        <f>+J14-J15+Model!AA59+Model!AA60</f>
        <v>34442.354466322206</v>
      </c>
      <c r="L16" s="20" t="s">
        <v>175</v>
      </c>
    </row>
    <row r="17" spans="2:12" x14ac:dyDescent="0.2">
      <c r="B17" s="2" t="s">
        <v>176</v>
      </c>
      <c r="D17" s="11">
        <f t="shared" ref="D17:H17" si="4">+D15/D14</f>
        <v>0.61030929118534361</v>
      </c>
      <c r="E17" s="11">
        <f t="shared" si="4"/>
        <v>0.42172371807475562</v>
      </c>
      <c r="F17" s="11">
        <f t="shared" si="4"/>
        <v>0.36382669853868788</v>
      </c>
      <c r="G17" s="11">
        <f t="shared" si="4"/>
        <v>0.85727302930986826</v>
      </c>
      <c r="H17" s="11">
        <f t="shared" si="4"/>
        <v>0.45067573869909144</v>
      </c>
      <c r="I17" s="11">
        <f>+I15/I14</f>
        <v>0.39903472356920666</v>
      </c>
      <c r="J17" s="11">
        <f>+J15/J14</f>
        <v>1.0785235743862358</v>
      </c>
      <c r="L17" s="20" t="s">
        <v>177</v>
      </c>
    </row>
    <row r="18" spans="2:12" x14ac:dyDescent="0.2">
      <c r="B18" s="2" t="s">
        <v>178</v>
      </c>
      <c r="C18" s="2">
        <f>+C12*(C24-DCF!$E$18)</f>
        <v>16492.110985371237</v>
      </c>
      <c r="D18" s="2">
        <f>+D12*(D24-DCF!$E$18)</f>
        <v>11550.728002579395</v>
      </c>
      <c r="E18" s="2">
        <f>+E12*(E24-DCF!$E$18)</f>
        <v>21169.683845690171</v>
      </c>
      <c r="F18" s="2">
        <f>+F12*(F24-DCF!$E$18)</f>
        <v>29982.374333812702</v>
      </c>
      <c r="G18" s="2">
        <f>+G12*(G24-DCF!$E$18)</f>
        <v>12357.628057878483</v>
      </c>
      <c r="H18" s="2">
        <f>+H12*(H24-DCF!$E$18)</f>
        <v>25860.004655477773</v>
      </c>
      <c r="I18" s="2">
        <f>+I12*(I24-DCF!$E$18)</f>
        <v>46104.654270268737</v>
      </c>
      <c r="J18" s="2">
        <f>+J12*(J24-DCF!$E$18)</f>
        <v>37147.2544663222</v>
      </c>
      <c r="L18" s="20" t="s">
        <v>179</v>
      </c>
    </row>
    <row r="20" spans="2:12" x14ac:dyDescent="0.2">
      <c r="B20" s="19" t="s">
        <v>180</v>
      </c>
    </row>
    <row r="21" spans="2:12" x14ac:dyDescent="0.2">
      <c r="B21" s="2" t="s">
        <v>181</v>
      </c>
      <c r="C21" s="14">
        <f>+Model!T12/Model!T55</f>
        <v>0.66373459174819027</v>
      </c>
      <c r="D21" s="14">
        <f>+Model!U12/Model!U55</f>
        <v>0.69959625546737392</v>
      </c>
      <c r="E21" s="14">
        <f>+Model!V12/Model!V55</f>
        <v>0.67008340478603168</v>
      </c>
      <c r="F21" s="14">
        <f>+Model!W12/Model!W55</f>
        <v>0.94434612705098531</v>
      </c>
      <c r="G21" s="14">
        <f>+Model!X12/Model!X55</f>
        <v>0.92758107753374752</v>
      </c>
      <c r="H21" s="14">
        <f>+Model!Y12/Model!Y55</f>
        <v>0.88074532539433825</v>
      </c>
      <c r="I21" s="14">
        <f>+Model!Z12/Model!Z55</f>
        <v>0.90069920114763169</v>
      </c>
      <c r="J21" s="14">
        <f>+Model!AA12/Model!AA55</f>
        <v>0.92507468595075559</v>
      </c>
      <c r="L21" s="20" t="s">
        <v>182</v>
      </c>
    </row>
    <row r="22" spans="2:12" x14ac:dyDescent="0.2">
      <c r="B22" s="2" t="s">
        <v>183</v>
      </c>
      <c r="C22" s="21">
        <f>+Model!T22/Model!T55</f>
        <v>0.2628288183341852</v>
      </c>
      <c r="D22" s="21">
        <f>+Model!U22/Model!U55</f>
        <v>0.18292200209788825</v>
      </c>
      <c r="E22" s="21">
        <f>+Model!V22/Model!V55</f>
        <v>0.22718840127835374</v>
      </c>
      <c r="F22" s="21">
        <f>+Model!W22/Model!W55</f>
        <v>0.31526517669103693</v>
      </c>
      <c r="G22" s="21">
        <f>+Model!X22/Model!X55</f>
        <v>0.18454734196145187</v>
      </c>
      <c r="H22" s="21">
        <f>+Model!Y22/Model!Y55</f>
        <v>0.25526219575890524</v>
      </c>
      <c r="I22" s="21">
        <f>+Model!Z22/Model!Z55</f>
        <v>0.34144231453648494</v>
      </c>
      <c r="J22" s="21">
        <f>+Model!AA22/Model!AA55</f>
        <v>0.27829665397734332</v>
      </c>
      <c r="L22" s="20" t="s">
        <v>184</v>
      </c>
    </row>
    <row r="23" spans="2:12" x14ac:dyDescent="0.2">
      <c r="B23" s="2" t="s">
        <v>185</v>
      </c>
      <c r="C23" s="21">
        <f>+Model!T18/KPIs!C10</f>
        <v>0.45412785504657394</v>
      </c>
      <c r="D23" s="21">
        <f>+Model!U18/KPIs!D10</f>
        <v>0.31447975666037342</v>
      </c>
      <c r="E23" s="21">
        <f>+Model!V18/KPIs!E10</f>
        <v>0.34412985316733025</v>
      </c>
      <c r="F23" s="21">
        <f>+Model!W18/KPIs!F10</f>
        <v>0.41427862548070959</v>
      </c>
      <c r="G23" s="21">
        <f>+Model!X18/KPIs!G10</f>
        <v>0.20840713699399491</v>
      </c>
      <c r="H23" s="21">
        <f>+Model!Y18/KPIs!H10</f>
        <v>0.29334697027690104</v>
      </c>
      <c r="I23" s="21">
        <f>+Model!Z18/KPIs!I10</f>
        <v>0.36410008816491035</v>
      </c>
      <c r="J23" s="21">
        <f>+Model!AA18/KPIs!J10</f>
        <v>0.30223383599179776</v>
      </c>
      <c r="L23" s="20" t="s">
        <v>186</v>
      </c>
    </row>
    <row r="24" spans="2:12" x14ac:dyDescent="0.2">
      <c r="B24" s="2" t="s">
        <v>187</v>
      </c>
      <c r="C24" s="21">
        <f t="shared" ref="C24:H24" si="5">+C14/C12</f>
        <v>0.41543926296064188</v>
      </c>
      <c r="D24" s="21">
        <f t="shared" si="5"/>
        <v>0.28279649943153706</v>
      </c>
      <c r="E24" s="21">
        <f t="shared" si="5"/>
        <v>0.38116777141914376</v>
      </c>
      <c r="F24" s="21">
        <f t="shared" si="5"/>
        <v>0.43516711568735905</v>
      </c>
      <c r="G24" s="21">
        <f t="shared" si="5"/>
        <v>0.21292724168764035</v>
      </c>
      <c r="H24" s="21">
        <f t="shared" si="5"/>
        <v>0.30394486277871097</v>
      </c>
      <c r="I24" s="21">
        <f>+I14/I12</f>
        <v>0.40486245723607422</v>
      </c>
      <c r="J24" s="21">
        <f>+J14/J12</f>
        <v>0.27324447916165956</v>
      </c>
      <c r="L24" s="20" t="s">
        <v>188</v>
      </c>
    </row>
    <row r="25" spans="2:12" x14ac:dyDescent="0.2">
      <c r="B25" s="2" t="s">
        <v>189</v>
      </c>
      <c r="C25" s="21">
        <f t="shared" ref="C25:H25" si="6">+C14/C11</f>
        <v>0.66447659646877266</v>
      </c>
      <c r="D25" s="21">
        <f t="shared" si="6"/>
        <v>0.41004194590590631</v>
      </c>
      <c r="E25" s="21">
        <f t="shared" si="6"/>
        <v>0.51599064790251847</v>
      </c>
      <c r="F25" s="21">
        <f t="shared" si="6"/>
        <v>0.55911574074762582</v>
      </c>
      <c r="G25" s="21">
        <f t="shared" si="6"/>
        <v>0.26409860992528911</v>
      </c>
      <c r="H25" s="21">
        <f t="shared" si="6"/>
        <v>0.36308733011896721</v>
      </c>
      <c r="I25" s="21">
        <f>+I14/I11</f>
        <v>0.46890152377730182</v>
      </c>
      <c r="J25" s="21">
        <f>+J14/J11</f>
        <v>0.30854852868454508</v>
      </c>
      <c r="L25" s="20" t="s">
        <v>190</v>
      </c>
    </row>
    <row r="26" spans="2:12" x14ac:dyDescent="0.2">
      <c r="B26" s="2" t="s">
        <v>191</v>
      </c>
      <c r="L26" s="20" t="s">
        <v>192</v>
      </c>
    </row>
    <row r="28" spans="2:12" x14ac:dyDescent="0.2">
      <c r="B28" s="2" t="s">
        <v>193</v>
      </c>
      <c r="C28" s="21">
        <f>1-(-Model!T80+Model!T81)/Model!T22</f>
        <v>0.4175297363303333</v>
      </c>
      <c r="D28" s="21">
        <f>1-(-Model!U80+Model!U81)/Model!U22</f>
        <v>0.77268055179875572</v>
      </c>
      <c r="E28" s="21">
        <f>1-(-Model!V80+Model!V81)/Model!V22</f>
        <v>0.78480752075756532</v>
      </c>
      <c r="F28" s="21">
        <f>1-(-Model!W80+Model!W81)/Model!W22</f>
        <v>-0.13124206248412507</v>
      </c>
      <c r="G28" s="21">
        <f>1-(-Model!X80+Model!X81)/Model!X22</f>
        <v>-0.20500000000000007</v>
      </c>
      <c r="H28" s="21">
        <f>1-(-Model!Y80+Model!Y81)/Model!Y22</f>
        <v>0.49424522993503506</v>
      </c>
      <c r="I28" s="21">
        <f>1-(-Model!Z80+Model!Z81)/Model!Z22</f>
        <v>0.59825208466965996</v>
      </c>
      <c r="J28" s="21">
        <f>1-(-Model!AA80+Model!AA81)/Model!AA22</f>
        <v>0.65390849846174204</v>
      </c>
      <c r="L28" s="20" t="s">
        <v>194</v>
      </c>
    </row>
    <row r="29" spans="2:12" x14ac:dyDescent="0.2">
      <c r="B29" s="2" t="s">
        <v>195</v>
      </c>
      <c r="C29" s="21">
        <f>-(Model!T73+Model!T70)/KPIs!C14</f>
        <v>0.66983078772306814</v>
      </c>
      <c r="D29" s="21">
        <f>-(Model!U73+Model!U70)/KPIs!D14</f>
        <v>0.77578559542475878</v>
      </c>
      <c r="E29" s="21">
        <f>-(Model!V73+Model!V70)/KPIs!E14</f>
        <v>0.54503861836943956</v>
      </c>
      <c r="F29" s="21">
        <f>-(Model!W73+Model!W70)/KPIs!F14</f>
        <v>0.45278608970154011</v>
      </c>
      <c r="G29" s="21">
        <f>-(Model!X73+Model!X70)/KPIs!G14</f>
        <v>1.3003941320695374</v>
      </c>
      <c r="H29" s="21">
        <f>-(Model!Y73+Model!Y70)/KPIs!H14</f>
        <v>0.68554917912192381</v>
      </c>
      <c r="I29" s="21">
        <f>-(Model!Z73+Model!Z70)/KPIs!I14</f>
        <v>0.56266966526206363</v>
      </c>
      <c r="J29" s="21">
        <f>-(Model!AA73+Model!AA70)/KPIs!J14</f>
        <v>1.1820236053259121</v>
      </c>
      <c r="L29" s="20" t="s">
        <v>196</v>
      </c>
    </row>
    <row r="30" spans="2:12" x14ac:dyDescent="0.2">
      <c r="B30" s="2" t="s">
        <v>197</v>
      </c>
      <c r="C30" s="21">
        <f t="shared" ref="C30:H30" si="7">+C28*C22</f>
        <v>0.10973884721908542</v>
      </c>
      <c r="D30" s="21">
        <f t="shared" si="7"/>
        <v>0.14134027351712944</v>
      </c>
      <c r="E30" s="21">
        <f t="shared" si="7"/>
        <v>0.17829916595213968</v>
      </c>
      <c r="F30" s="21">
        <f t="shared" si="7"/>
        <v>-4.1376052018353801E-2</v>
      </c>
      <c r="G30" s="21">
        <f t="shared" si="7"/>
        <v>-3.7832205102097644E-2</v>
      </c>
      <c r="H30" s="21">
        <f t="shared" si="7"/>
        <v>0.12616212263658205</v>
      </c>
      <c r="I30" s="21">
        <f>+I28*I22</f>
        <v>0.20426857646588586</v>
      </c>
      <c r="J30" s="21">
        <f>+J28*J22</f>
        <v>0.18198054712925157</v>
      </c>
      <c r="L30" s="20" t="s">
        <v>198</v>
      </c>
    </row>
    <row r="31" spans="2:12" x14ac:dyDescent="0.2">
      <c r="B31" s="2" t="s">
        <v>199</v>
      </c>
      <c r="C31" s="21">
        <f t="shared" ref="C31:H31" si="8">+C29*C24</f>
        <v>0.27827400876001762</v>
      </c>
      <c r="D31" s="21">
        <f t="shared" si="8"/>
        <v>0.21938945069553245</v>
      </c>
      <c r="E31" s="21">
        <f t="shared" si="8"/>
        <v>0.20775115550124848</v>
      </c>
      <c r="F31" s="21">
        <f t="shared" si="8"/>
        <v>0.19703761667877703</v>
      </c>
      <c r="G31" s="21">
        <f t="shared" si="8"/>
        <v>0.27688933564835971</v>
      </c>
      <c r="H31" s="21">
        <f t="shared" si="8"/>
        <v>0.20836915117627108</v>
      </c>
      <c r="I31" s="21">
        <f>+I29*I24</f>
        <v>0.22780382329019844</v>
      </c>
      <c r="J31" s="21">
        <f>+J29*J24</f>
        <v>0.32298142439406591</v>
      </c>
      <c r="L31" s="20" t="s">
        <v>200</v>
      </c>
    </row>
    <row r="33" spans="2:12" x14ac:dyDescent="0.2">
      <c r="B33" s="19" t="s">
        <v>201</v>
      </c>
    </row>
    <row r="34" spans="2:12" x14ac:dyDescent="0.2">
      <c r="B34" s="2" t="s">
        <v>202</v>
      </c>
      <c r="L34" s="20" t="s">
        <v>203</v>
      </c>
    </row>
    <row r="35" spans="2:12" x14ac:dyDescent="0.2">
      <c r="B35" s="2" t="s">
        <v>204</v>
      </c>
      <c r="L35" s="20" t="s">
        <v>205</v>
      </c>
    </row>
    <row r="36" spans="2:12" x14ac:dyDescent="0.2">
      <c r="B36" s="2" t="s">
        <v>206</v>
      </c>
      <c r="L36" s="20" t="s">
        <v>207</v>
      </c>
    </row>
    <row r="37" spans="2:12" x14ac:dyDescent="0.2">
      <c r="B37" s="2" t="s">
        <v>208</v>
      </c>
      <c r="C37" s="11"/>
      <c r="D37" s="11"/>
      <c r="E37" s="11"/>
      <c r="F37" s="11"/>
      <c r="G37" s="11"/>
      <c r="I37" s="22"/>
      <c r="J37" s="22"/>
      <c r="L37" s="20" t="s">
        <v>209</v>
      </c>
    </row>
    <row r="38" spans="2:12" x14ac:dyDescent="0.2">
      <c r="B38" s="2" t="s">
        <v>210</v>
      </c>
      <c r="C38" s="5"/>
      <c r="D38" s="23"/>
      <c r="E38" s="5"/>
      <c r="F38" s="5"/>
      <c r="G38" s="5"/>
      <c r="I38" s="22"/>
      <c r="J38" s="22"/>
      <c r="L38" s="20" t="s">
        <v>211</v>
      </c>
    </row>
    <row r="40" spans="2:12" x14ac:dyDescent="0.2">
      <c r="B40" s="19" t="s">
        <v>212</v>
      </c>
    </row>
    <row r="41" spans="2:12" x14ac:dyDescent="0.2">
      <c r="B41" s="2" t="s">
        <v>213</v>
      </c>
      <c r="C41" s="14">
        <f>+Model!T35/Model!T12*360</f>
        <v>48.915075754862279</v>
      </c>
      <c r="D41" s="14">
        <f>+Model!U35/Model!U12*360</f>
        <v>48.467120245554973</v>
      </c>
      <c r="E41" s="14">
        <f>+Model!V35/Model!V12*360</f>
        <v>47.468155644739142</v>
      </c>
      <c r="F41" s="14">
        <f>+Model!W35/Model!W12*360</f>
        <v>42.856634076435817</v>
      </c>
      <c r="G41" s="14">
        <f>+Model!X35/Model!X12*360</f>
        <v>41.572777401401261</v>
      </c>
      <c r="H41" s="14">
        <f>+Model!Y35/Model!Y12*360</f>
        <v>43.148656061437194</v>
      </c>
      <c r="I41" s="14">
        <f>+Model!Z35/Model!Z12*360</f>
        <v>37.190290636531088</v>
      </c>
      <c r="J41" s="14">
        <f>+Model!AA35/Model!AA12*360</f>
        <v>35.413154463939172</v>
      </c>
      <c r="L41" s="20" t="s">
        <v>214</v>
      </c>
    </row>
    <row r="42" spans="2:12" x14ac:dyDescent="0.2">
      <c r="B42" s="2" t="s">
        <v>215</v>
      </c>
      <c r="C42" s="14">
        <f>+Model!T45/Model!T12*360</f>
        <v>8.7746695798560115</v>
      </c>
      <c r="D42" s="14">
        <f>+Model!U45/Model!U12*360</f>
        <v>11.452253985317622</v>
      </c>
      <c r="E42" s="14">
        <f>+Model!V45/Model!V12*360</f>
        <v>10.151108009073459</v>
      </c>
      <c r="F42" s="14">
        <f>+Model!W45/Model!W12*360</f>
        <v>15.675533583766503</v>
      </c>
      <c r="G42" s="14">
        <f>+Model!X45/Model!X12*360</f>
        <v>18.853776295140168</v>
      </c>
      <c r="H42" s="14">
        <f>+Model!Y45/Model!Y12*360</f>
        <v>12.940060191842967</v>
      </c>
      <c r="I42" s="14">
        <f>+Model!Z45/Model!Z12*360</f>
        <v>16.822511717253999</v>
      </c>
      <c r="J42" s="14">
        <f>+Model!AA45/Model!AA12*360</f>
        <v>15.932247245802774</v>
      </c>
      <c r="L42" s="20" t="s">
        <v>216</v>
      </c>
    </row>
    <row r="43" spans="2:12" x14ac:dyDescent="0.2">
      <c r="B43" s="2" t="s">
        <v>217</v>
      </c>
      <c r="C43" s="5" t="s">
        <v>109</v>
      </c>
      <c r="D43" s="5" t="s">
        <v>109</v>
      </c>
      <c r="E43" s="5" t="s">
        <v>109</v>
      </c>
      <c r="F43" s="5" t="s">
        <v>109</v>
      </c>
      <c r="G43" s="5" t="s">
        <v>109</v>
      </c>
      <c r="H43" s="5" t="s">
        <v>109</v>
      </c>
      <c r="I43" s="5" t="s">
        <v>109</v>
      </c>
      <c r="J43" s="5" t="s">
        <v>109</v>
      </c>
      <c r="L43" s="20" t="s">
        <v>218</v>
      </c>
    </row>
    <row r="44" spans="2:12" x14ac:dyDescent="0.2">
      <c r="B44" s="2" t="s">
        <v>219</v>
      </c>
      <c r="C44" s="5" t="s">
        <v>109</v>
      </c>
      <c r="D44" s="5" t="s">
        <v>109</v>
      </c>
      <c r="E44" s="5" t="s">
        <v>109</v>
      </c>
      <c r="F44" s="5" t="s">
        <v>109</v>
      </c>
      <c r="G44" s="5" t="s">
        <v>109</v>
      </c>
      <c r="H44" s="5" t="s">
        <v>109</v>
      </c>
      <c r="I44" s="5" t="s">
        <v>109</v>
      </c>
      <c r="J44" s="5" t="s">
        <v>109</v>
      </c>
      <c r="L44" s="20" t="s">
        <v>220</v>
      </c>
    </row>
    <row r="45" spans="2:12" x14ac:dyDescent="0.2">
      <c r="B45" s="2" t="s">
        <v>221</v>
      </c>
      <c r="C45" s="5" t="s">
        <v>109</v>
      </c>
      <c r="D45" s="5" t="s">
        <v>109</v>
      </c>
      <c r="E45" s="5" t="s">
        <v>109</v>
      </c>
      <c r="F45" s="5" t="s">
        <v>109</v>
      </c>
      <c r="G45" s="5" t="s">
        <v>109</v>
      </c>
      <c r="H45" s="5" t="s">
        <v>109</v>
      </c>
      <c r="I45" s="5" t="s">
        <v>109</v>
      </c>
      <c r="J45" s="5" t="s">
        <v>109</v>
      </c>
      <c r="L45" s="20" t="s">
        <v>222</v>
      </c>
    </row>
    <row r="46" spans="2:12" x14ac:dyDescent="0.2">
      <c r="B46" s="2" t="s">
        <v>223</v>
      </c>
      <c r="C46" s="23">
        <f t="shared" ref="C46:H46" si="9">+C41-C42</f>
        <v>40.14040617500627</v>
      </c>
      <c r="D46" s="23">
        <f t="shared" si="9"/>
        <v>37.014866260237355</v>
      </c>
      <c r="E46" s="23">
        <f t="shared" si="9"/>
        <v>37.317047635665681</v>
      </c>
      <c r="F46" s="23">
        <f t="shared" si="9"/>
        <v>27.181100492669316</v>
      </c>
      <c r="G46" s="23">
        <f t="shared" si="9"/>
        <v>22.719001106261093</v>
      </c>
      <c r="H46" s="23">
        <f t="shared" si="9"/>
        <v>30.208595869594227</v>
      </c>
      <c r="I46" s="23">
        <f>+I41-I42</f>
        <v>20.367778919277089</v>
      </c>
      <c r="J46" s="23">
        <f>+J41-J42</f>
        <v>19.480907218136398</v>
      </c>
      <c r="L46" s="20" t="s">
        <v>224</v>
      </c>
    </row>
    <row r="48" spans="2:12" x14ac:dyDescent="0.2">
      <c r="B48" s="19" t="s">
        <v>225</v>
      </c>
    </row>
    <row r="49" spans="2:12" x14ac:dyDescent="0.2">
      <c r="B49" s="19" t="s">
        <v>226</v>
      </c>
      <c r="C49" s="24"/>
      <c r="D49" s="24"/>
      <c r="E49" s="24"/>
      <c r="F49" s="24"/>
      <c r="G49" s="24"/>
    </row>
    <row r="50" spans="2:12" x14ac:dyDescent="0.2">
      <c r="B50" s="2" t="s">
        <v>227</v>
      </c>
      <c r="C50" s="14">
        <f>+C5/Model!T22</f>
        <v>17.650291710008592</v>
      </c>
      <c r="D50" s="14">
        <f>+D5/Model!U22</f>
        <v>32.237771165810123</v>
      </c>
      <c r="E50" s="14">
        <f>+E5/Model!V22</f>
        <v>26.183890756879162</v>
      </c>
      <c r="F50" s="14">
        <f>+F5/Model!W22</f>
        <v>24.09231013462027</v>
      </c>
      <c r="G50" s="14">
        <f>+G5/Model!X22</f>
        <v>14.378924568965516</v>
      </c>
      <c r="H50" s="14">
        <f>+H5/Model!Y22</f>
        <v>22.797853087114433</v>
      </c>
      <c r="I50" s="14">
        <f>+I5/Model!Z22</f>
        <v>24.328594291212319</v>
      </c>
      <c r="J50" s="14">
        <f>+J5/Model!AA22</f>
        <v>28.938668166330345</v>
      </c>
      <c r="L50" s="20" t="s">
        <v>228</v>
      </c>
    </row>
    <row r="51" spans="2:12" x14ac:dyDescent="0.2">
      <c r="B51" s="2" t="s">
        <v>229</v>
      </c>
      <c r="C51" s="14"/>
      <c r="D51" s="14">
        <f>+D50/((Model!U22/Model!T22-1)*100)</f>
        <v>-1.965828345965879</v>
      </c>
      <c r="E51" s="14">
        <f>+E50/((Model!V22/Model!U22-1)*100)</f>
        <v>0.45399983176147757</v>
      </c>
      <c r="F51" s="14">
        <f>+F50/((Model!W22/Model!V22-1)*100)</f>
        <v>0.68680992877899316</v>
      </c>
      <c r="G51" s="14">
        <f>+G50/((Model!X22/Model!W22-1)*100)</f>
        <v>-0.35009168848495509</v>
      </c>
      <c r="H51" s="14">
        <f>+H50/((Model!Y22/Model!X22-1)*100)</f>
        <v>0.3326897670279626</v>
      </c>
      <c r="I51" s="14">
        <f>+I50/((Model!Z22/Model!Y22-1)*100)</f>
        <v>0.40890696397464499</v>
      </c>
      <c r="J51" s="14">
        <f>+J50/((Model!AA22/Model!Z22-1)*100)</f>
        <v>-9.487988153797895</v>
      </c>
      <c r="L51" s="20" t="s">
        <v>230</v>
      </c>
    </row>
    <row r="52" spans="2:12" x14ac:dyDescent="0.2">
      <c r="B52" s="2" t="s">
        <v>231</v>
      </c>
      <c r="C52" s="14">
        <f>+C5/Model!T44</f>
        <v>4.0095506195163049</v>
      </c>
      <c r="D52" s="14">
        <f>+D5/Model!U44</f>
        <v>4.4679342610364685</v>
      </c>
      <c r="E52" s="14">
        <f>+E5/Model!V44</f>
        <v>4.7902011097441566</v>
      </c>
      <c r="F52" s="14">
        <f>+F5/Model!W44</f>
        <v>5.7143887774343778</v>
      </c>
      <c r="G52" s="14">
        <f>+G5/Model!X44</f>
        <v>1.7961365337296138</v>
      </c>
      <c r="H52" s="14">
        <f>+H5/Model!Y44</f>
        <v>3.8817995584066058</v>
      </c>
      <c r="I52" s="14">
        <f>+I5/Model!Z44</f>
        <v>5.495776695863853</v>
      </c>
      <c r="J52" s="14">
        <f>+J5/Model!AA44</f>
        <v>4.7799825693061324</v>
      </c>
      <c r="L52" s="20" t="s">
        <v>232</v>
      </c>
    </row>
    <row r="53" spans="2:12" x14ac:dyDescent="0.2">
      <c r="B53" s="2" t="s">
        <v>233</v>
      </c>
      <c r="C53" s="14"/>
      <c r="D53" s="14"/>
      <c r="E53" s="14"/>
      <c r="F53" s="14"/>
      <c r="G53" s="14"/>
      <c r="I53" s="14"/>
      <c r="J53" s="14"/>
      <c r="L53" s="20" t="s">
        <v>234</v>
      </c>
    </row>
    <row r="54" spans="2:12" x14ac:dyDescent="0.2">
      <c r="B54" s="2" t="s">
        <v>235</v>
      </c>
      <c r="C54" s="14" t="e">
        <f t="shared" ref="C54:H54" si="10">+C5/C16</f>
        <v>#DIV/0!</v>
      </c>
      <c r="D54" s="14">
        <f t="shared" si="10"/>
        <v>33.973424435679789</v>
      </c>
      <c r="E54" s="14">
        <f t="shared" si="10"/>
        <v>25.443709921869889</v>
      </c>
      <c r="F54" s="14">
        <f t="shared" si="10"/>
        <v>22.639800817678296</v>
      </c>
      <c r="G54" s="14">
        <f t="shared" si="10"/>
        <v>13.89752620710637</v>
      </c>
      <c r="H54" s="14">
        <f t="shared" si="10"/>
        <v>19.220120159849358</v>
      </c>
      <c r="I54" s="14">
        <f>+I5/I16</f>
        <v>21.992585878351754</v>
      </c>
      <c r="J54" s="14">
        <f>+J5/J16</f>
        <v>50.797166079651625</v>
      </c>
      <c r="L54" s="20" t="s">
        <v>236</v>
      </c>
    </row>
    <row r="55" spans="2:12" x14ac:dyDescent="0.2">
      <c r="B55" s="2" t="s">
        <v>237</v>
      </c>
      <c r="C55" s="14">
        <f>+C5/Model!T12</f>
        <v>6.989247465883448</v>
      </c>
      <c r="D55" s="14">
        <f>+D5/Model!U12</f>
        <v>8.4291440938087909</v>
      </c>
      <c r="E55" s="14">
        <f>+E5/Model!V12</f>
        <v>8.8775161984528594</v>
      </c>
      <c r="F55" s="14">
        <f>+F5/Model!W12</f>
        <v>8.0430958458055262</v>
      </c>
      <c r="G55" s="14">
        <f>+G5/Model!X12</f>
        <v>2.8607658928556114</v>
      </c>
      <c r="H55" s="14">
        <f>+H5/Model!Y12</f>
        <v>6.6073924775021871</v>
      </c>
      <c r="I55" s="14">
        <f>+I5/Model!Z12</f>
        <v>9.2226256375341187</v>
      </c>
      <c r="J55" s="14">
        <f>+J5/Model!AA12</f>
        <v>8.7058208851248473</v>
      </c>
      <c r="L55" s="20" t="s">
        <v>238</v>
      </c>
    </row>
    <row r="56" spans="2:12" x14ac:dyDescent="0.2">
      <c r="B56" s="19" t="s">
        <v>239</v>
      </c>
      <c r="I56" s="14"/>
      <c r="J56" s="14"/>
    </row>
    <row r="57" spans="2:12" x14ac:dyDescent="0.2">
      <c r="B57" s="2" t="s">
        <v>240</v>
      </c>
      <c r="C57" s="14">
        <f>+C7/(Model!T18+Model!T59)</f>
        <v>11.945791706582728</v>
      </c>
      <c r="D57" s="14">
        <f>+D7/(Model!U18+Model!U59)</f>
        <v>18.200968816227675</v>
      </c>
      <c r="E57" s="14">
        <f>+E7/(Model!V18+Model!V59)</f>
        <v>17.737122909973948</v>
      </c>
      <c r="F57" s="14">
        <f>+F7/(Model!W18+Model!W59)</f>
        <v>16.456802814327485</v>
      </c>
      <c r="G57" s="14">
        <f>+G7/(Model!X18+Model!X59)</f>
        <v>8.0461347329258572</v>
      </c>
      <c r="H57" s="14">
        <f>+H7/(Model!Y18+Model!Y59)</f>
        <v>14.575298382502719</v>
      </c>
      <c r="I57" s="14">
        <f>+I7/(Model!Z18+Model!Z59)</f>
        <v>17.297086877636136</v>
      </c>
      <c r="J57" s="14">
        <f>+J7/(Model!AA18+Model!AA59)</f>
        <v>16.946629764849057</v>
      </c>
      <c r="L57" s="20" t="s">
        <v>241</v>
      </c>
    </row>
    <row r="58" spans="2:12" x14ac:dyDescent="0.2">
      <c r="B58" s="2" t="s">
        <v>242</v>
      </c>
      <c r="C58" s="14">
        <f>+C7/Model!T18</f>
        <v>14.014835627985388</v>
      </c>
      <c r="D58" s="14">
        <f>+D7/Model!U18</f>
        <v>22.5573334445093</v>
      </c>
      <c r="E58" s="14">
        <f>+E7/Model!V18</f>
        <v>21.462510483303237</v>
      </c>
      <c r="F58" s="14">
        <f>+F7/Model!W18</f>
        <v>19.261143669924923</v>
      </c>
      <c r="G58" s="14">
        <f>+G7/Model!X18</f>
        <v>10.460753524046433</v>
      </c>
      <c r="H58" s="14">
        <f>+H7/Model!Y18</f>
        <v>18.060201065217857</v>
      </c>
      <c r="I58" s="14">
        <f>+I7/Model!Z18</f>
        <v>21.160884116460078</v>
      </c>
      <c r="J58" s="14">
        <f>+J7/Model!AA18</f>
        <v>20.734977664633266</v>
      </c>
      <c r="L58" s="20" t="s">
        <v>243</v>
      </c>
    </row>
    <row r="59" spans="2:12" x14ac:dyDescent="0.2">
      <c r="B59" s="2" t="s">
        <v>244</v>
      </c>
      <c r="C59" s="14"/>
      <c r="D59" s="14">
        <f t="shared" ref="D59:H59" si="11">+D7/D16</f>
        <v>30.846113372932582</v>
      </c>
      <c r="E59" s="14">
        <f t="shared" si="11"/>
        <v>23.378155480213206</v>
      </c>
      <c r="F59" s="14">
        <f t="shared" si="11"/>
        <v>21.494151018904137</v>
      </c>
      <c r="G59" s="14">
        <f t="shared" si="11"/>
        <v>12.613761939234127</v>
      </c>
      <c r="H59" s="14">
        <f t="shared" si="11"/>
        <v>18.206274708223297</v>
      </c>
      <c r="I59" s="14">
        <f>+I7/I16</f>
        <v>21.282433168946177</v>
      </c>
      <c r="J59" s="14">
        <f>+J7/J16</f>
        <v>50.133796796278716</v>
      </c>
      <c r="L59" s="20" t="s">
        <v>245</v>
      </c>
    </row>
    <row r="60" spans="2:12" x14ac:dyDescent="0.2">
      <c r="B60" s="2" t="s">
        <v>246</v>
      </c>
      <c r="C60" s="14">
        <f>+C7/Model!T12</f>
        <v>6.2529388588416488</v>
      </c>
      <c r="D60" s="14">
        <f>+D7/Model!U12</f>
        <v>7.6532271524958633</v>
      </c>
      <c r="E60" s="14">
        <f>+E7/Model!V12</f>
        <v>8.1568275460943411</v>
      </c>
      <c r="F60" s="14">
        <f>+F7/Model!W12</f>
        <v>7.6360882395339571</v>
      </c>
      <c r="G60" s="14">
        <f>+G7/Model!X12</f>
        <v>2.5965067018840742</v>
      </c>
      <c r="H60" s="14">
        <f>+H7/Model!Y12</f>
        <v>6.2588579857970981</v>
      </c>
      <c r="I60" s="14">
        <f>+I7/Model!Z12</f>
        <v>8.9248219767660988</v>
      </c>
      <c r="J60" s="14">
        <f>+J7/Model!AA12</f>
        <v>8.5921300120418387</v>
      </c>
      <c r="L60" s="20" t="s">
        <v>247</v>
      </c>
    </row>
  </sheetData>
  <hyperlinks>
    <hyperlink ref="A1" location="Main!A1" display="Main" xr:uid="{F2CE95A4-66BC-4412-AAC6-240FC8E482A6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8755-841C-487A-B715-A85AC1833BAF}">
  <dimension ref="A1:I48"/>
  <sheetViews>
    <sheetView showGridLines="0" zoomScale="200" zoomScaleNormal="200" workbookViewId="0">
      <selection activeCell="A2" sqref="A2"/>
    </sheetView>
  </sheetViews>
  <sheetFormatPr defaultRowHeight="12.75" x14ac:dyDescent="0.2"/>
  <cols>
    <col min="1" max="1" width="5.42578125" style="2" bestFit="1" customWidth="1"/>
    <col min="2" max="16384" width="9.140625" style="2"/>
  </cols>
  <sheetData>
    <row r="1" spans="1:8" x14ac:dyDescent="0.2">
      <c r="A1" s="6" t="s">
        <v>12</v>
      </c>
    </row>
    <row r="3" spans="1:8" x14ac:dyDescent="0.2">
      <c r="B3" s="25" t="s">
        <v>122</v>
      </c>
      <c r="C3" s="25"/>
      <c r="D3" s="25"/>
      <c r="E3" s="25"/>
      <c r="F3" s="25"/>
    </row>
    <row r="4" spans="1:8" x14ac:dyDescent="0.2">
      <c r="A4" s="7" t="s">
        <v>2</v>
      </c>
      <c r="B4" s="19" t="s">
        <v>123</v>
      </c>
    </row>
    <row r="5" spans="1:8" x14ac:dyDescent="0.2">
      <c r="B5" s="19" t="s">
        <v>124</v>
      </c>
    </row>
    <row r="6" spans="1:8" x14ac:dyDescent="0.2">
      <c r="B6" s="2" t="s">
        <v>125</v>
      </c>
      <c r="H6" s="20" t="s">
        <v>126</v>
      </c>
    </row>
    <row r="7" spans="1:8" x14ac:dyDescent="0.2">
      <c r="B7" s="2" t="s">
        <v>127</v>
      </c>
      <c r="H7" s="20" t="s">
        <v>128</v>
      </c>
    </row>
    <row r="8" spans="1:8" x14ac:dyDescent="0.2">
      <c r="B8" s="2" t="s">
        <v>124</v>
      </c>
      <c r="F8" s="2">
        <f>F6+F7</f>
        <v>0</v>
      </c>
      <c r="H8" s="20" t="s">
        <v>129</v>
      </c>
    </row>
    <row r="10" spans="1:8" x14ac:dyDescent="0.2">
      <c r="A10" s="7" t="s">
        <v>2</v>
      </c>
      <c r="B10" s="19" t="s">
        <v>130</v>
      </c>
    </row>
    <row r="11" spans="1:8" x14ac:dyDescent="0.2">
      <c r="B11" s="2" t="s">
        <v>131</v>
      </c>
      <c r="H11" s="20" t="s">
        <v>132</v>
      </c>
    </row>
    <row r="12" spans="1:8" x14ac:dyDescent="0.2">
      <c r="B12" s="2" t="s">
        <v>133</v>
      </c>
      <c r="H12" s="20" t="s">
        <v>134</v>
      </c>
    </row>
    <row r="13" spans="1:8" x14ac:dyDescent="0.2">
      <c r="B13" s="2" t="s">
        <v>135</v>
      </c>
      <c r="H13" s="20" t="s">
        <v>136</v>
      </c>
    </row>
    <row r="14" spans="1:8" x14ac:dyDescent="0.2">
      <c r="B14" s="2" t="s">
        <v>137</v>
      </c>
      <c r="H14" s="20" t="s">
        <v>138</v>
      </c>
    </row>
    <row r="15" spans="1:8" x14ac:dyDescent="0.2">
      <c r="B15" s="2" t="s">
        <v>139</v>
      </c>
      <c r="H15" s="20" t="s">
        <v>140</v>
      </c>
    </row>
    <row r="17" spans="1:8" x14ac:dyDescent="0.2">
      <c r="A17" s="7" t="s">
        <v>2</v>
      </c>
      <c r="B17" s="19" t="s">
        <v>141</v>
      </c>
    </row>
    <row r="18" spans="1:8" x14ac:dyDescent="0.2">
      <c r="B18" s="2" t="s">
        <v>142</v>
      </c>
      <c r="H18" s="20" t="s">
        <v>143</v>
      </c>
    </row>
    <row r="19" spans="1:8" x14ac:dyDescent="0.2">
      <c r="B19" s="2" t="s">
        <v>124</v>
      </c>
    </row>
    <row r="20" spans="1:8" x14ac:dyDescent="0.2">
      <c r="B20" s="2" t="s">
        <v>141</v>
      </c>
      <c r="F20" s="2">
        <f>F18-F19</f>
        <v>0</v>
      </c>
    </row>
    <row r="22" spans="1:8" x14ac:dyDescent="0.2">
      <c r="A22" s="7" t="s">
        <v>2</v>
      </c>
      <c r="B22" s="26" t="s">
        <v>123</v>
      </c>
      <c r="C22" s="27"/>
      <c r="D22" s="27"/>
      <c r="E22" s="27"/>
      <c r="F22" s="28">
        <f>F8+F15*F20</f>
        <v>0</v>
      </c>
      <c r="H22" s="20" t="s">
        <v>144</v>
      </c>
    </row>
    <row r="25" spans="1:8" x14ac:dyDescent="0.2">
      <c r="A25" s="7" t="s">
        <v>2</v>
      </c>
      <c r="B25" s="19" t="s">
        <v>145</v>
      </c>
    </row>
    <row r="26" spans="1:8" x14ac:dyDescent="0.2">
      <c r="B26" s="2" t="s">
        <v>146</v>
      </c>
      <c r="H26" s="20" t="s">
        <v>147</v>
      </c>
    </row>
    <row r="27" spans="1:8" x14ac:dyDescent="0.2">
      <c r="B27" s="2" t="s">
        <v>148</v>
      </c>
    </row>
    <row r="28" spans="1:8" x14ac:dyDescent="0.2">
      <c r="B28" s="2" t="s">
        <v>124</v>
      </c>
    </row>
    <row r="29" spans="1:8" x14ac:dyDescent="0.2">
      <c r="B29" s="2" t="s">
        <v>149</v>
      </c>
    </row>
    <row r="30" spans="1:8" x14ac:dyDescent="0.2">
      <c r="B30" s="2" t="s">
        <v>150</v>
      </c>
    </row>
    <row r="32" spans="1:8" x14ac:dyDescent="0.2">
      <c r="A32" s="7" t="s">
        <v>2</v>
      </c>
      <c r="B32" s="26" t="s">
        <v>145</v>
      </c>
      <c r="C32" s="27"/>
      <c r="D32" s="27"/>
      <c r="E32" s="27"/>
      <c r="F32" s="28">
        <f>F28+F29+F30</f>
        <v>0</v>
      </c>
    </row>
    <row r="34" spans="1:9" x14ac:dyDescent="0.2">
      <c r="A34" s="7" t="s">
        <v>2</v>
      </c>
      <c r="B34" s="19" t="s">
        <v>151</v>
      </c>
    </row>
    <row r="35" spans="1:9" x14ac:dyDescent="0.2">
      <c r="B35" s="2" t="s">
        <v>152</v>
      </c>
    </row>
    <row r="36" spans="1:9" x14ac:dyDescent="0.2">
      <c r="B36" s="2" t="s">
        <v>153</v>
      </c>
    </row>
    <row r="37" spans="1:9" x14ac:dyDescent="0.2">
      <c r="B37" s="2" t="s">
        <v>154</v>
      </c>
      <c r="F37" s="2">
        <f>F35+F36</f>
        <v>0</v>
      </c>
    </row>
    <row r="39" spans="1:9" x14ac:dyDescent="0.2">
      <c r="B39" s="2" t="s">
        <v>155</v>
      </c>
    </row>
    <row r="41" spans="1:9" x14ac:dyDescent="0.2">
      <c r="A41" s="7" t="s">
        <v>2</v>
      </c>
      <c r="B41" s="26" t="s">
        <v>156</v>
      </c>
      <c r="C41" s="27"/>
      <c r="D41" s="27"/>
      <c r="E41" s="27"/>
      <c r="F41" s="28" t="e">
        <f>(F32*(F35/F37)*(1-F39))+((F36/F38)*F22)</f>
        <v>#DIV/0!</v>
      </c>
      <c r="H41" s="20" t="s">
        <v>157</v>
      </c>
    </row>
    <row r="47" spans="1:9" x14ac:dyDescent="0.2">
      <c r="I47" s="2" t="e">
        <f>SLOPE(H48:H52,K48:K52)</f>
        <v>#DIV/0!</v>
      </c>
    </row>
    <row r="48" spans="1:9" x14ac:dyDescent="0.2">
      <c r="H48" s="2" t="s">
        <v>158</v>
      </c>
    </row>
  </sheetData>
  <hyperlinks>
    <hyperlink ref="A1" location="Main!A1" display="Main" xr:uid="{09EC116E-2AB5-4CAD-B604-A265A1BE89F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BDF4-A587-444A-8940-D1033E4FDDD6}">
  <dimension ref="A1:AM76"/>
  <sheetViews>
    <sheetView showGridLines="0" zoomScaleNormal="100" workbookViewId="0">
      <selection activeCell="A2" sqref="A2"/>
    </sheetView>
  </sheetViews>
  <sheetFormatPr defaultRowHeight="12.75" x14ac:dyDescent="0.2"/>
  <cols>
    <col min="1" max="1" width="5.42578125" style="2" bestFit="1" customWidth="1"/>
    <col min="2" max="2" width="9.140625" style="2"/>
    <col min="3" max="3" width="9.28515625" style="2" bestFit="1" customWidth="1"/>
    <col min="4" max="4" width="9.140625" style="2"/>
    <col min="5" max="5" width="10.28515625" style="2" customWidth="1"/>
    <col min="6" max="21" width="9.28515625" style="2" bestFit="1" customWidth="1"/>
    <col min="22" max="22" width="11.85546875" style="2" bestFit="1" customWidth="1"/>
    <col min="23" max="16384" width="9.140625" style="2"/>
  </cols>
  <sheetData>
    <row r="1" spans="1:39" x14ac:dyDescent="0.2">
      <c r="A1" s="29" t="s">
        <v>12</v>
      </c>
      <c r="B1" s="30" t="s">
        <v>295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</row>
    <row r="2" spans="1:39" x14ac:dyDescent="0.2">
      <c r="E2" s="32"/>
    </row>
    <row r="3" spans="1:39" x14ac:dyDescent="0.2">
      <c r="B3" s="2" t="s">
        <v>248</v>
      </c>
      <c r="E3" s="33" t="s">
        <v>4</v>
      </c>
      <c r="G3" s="2" t="s">
        <v>249</v>
      </c>
      <c r="J3" s="33">
        <f>+Main!I2</f>
        <v>535</v>
      </c>
      <c r="L3" s="2" t="s">
        <v>249</v>
      </c>
      <c r="O3" s="33">
        <f>+J3</f>
        <v>535</v>
      </c>
    </row>
    <row r="4" spans="1:39" x14ac:dyDescent="0.2">
      <c r="B4" s="2" t="s">
        <v>250</v>
      </c>
      <c r="E4" s="34">
        <f ca="1">+TODAY()</f>
        <v>46233</v>
      </c>
      <c r="G4" s="2" t="s">
        <v>251</v>
      </c>
      <c r="J4" s="35">
        <f ca="1">V62</f>
        <v>408.82166587975041</v>
      </c>
      <c r="L4" s="2" t="s">
        <v>252</v>
      </c>
      <c r="O4" s="36">
        <f>+J15+O15+T15</f>
        <v>0</v>
      </c>
    </row>
    <row r="5" spans="1:39" x14ac:dyDescent="0.2">
      <c r="B5" s="2" t="s">
        <v>253</v>
      </c>
      <c r="E5" s="34">
        <v>46022</v>
      </c>
      <c r="G5" s="2" t="s">
        <v>254</v>
      </c>
      <c r="J5" s="37">
        <f ca="1">J4/J3-1</f>
        <v>-0.23584735349579367</v>
      </c>
      <c r="L5" s="2" t="s">
        <v>254</v>
      </c>
      <c r="O5" s="37">
        <f>O4/O3-1</f>
        <v>-1</v>
      </c>
    </row>
    <row r="7" spans="1:39" x14ac:dyDescent="0.2">
      <c r="A7" s="38" t="s">
        <v>2</v>
      </c>
      <c r="B7" s="25" t="s">
        <v>255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39" x14ac:dyDescent="0.2">
      <c r="A8" s="38"/>
    </row>
    <row r="9" spans="1:39" x14ac:dyDescent="0.2">
      <c r="A9" s="38"/>
      <c r="B9" s="39" t="s">
        <v>256</v>
      </c>
      <c r="C9" s="40"/>
      <c r="D9" s="40"/>
      <c r="E9" s="40"/>
      <c r="G9" s="39" t="s">
        <v>257</v>
      </c>
      <c r="H9" s="39"/>
      <c r="I9" s="40"/>
      <c r="J9" s="40"/>
      <c r="L9" s="39" t="s">
        <v>258</v>
      </c>
      <c r="M9" s="40"/>
      <c r="N9" s="40"/>
      <c r="O9" s="40"/>
      <c r="Q9" s="39" t="s">
        <v>259</v>
      </c>
      <c r="R9" s="40"/>
      <c r="S9" s="40"/>
      <c r="T9" s="40"/>
    </row>
    <row r="10" spans="1:39" x14ac:dyDescent="0.2">
      <c r="A10" s="38"/>
      <c r="B10" s="8" t="s">
        <v>260</v>
      </c>
      <c r="G10" s="8" t="s">
        <v>260</v>
      </c>
      <c r="H10" s="8"/>
      <c r="I10" s="8" t="s">
        <v>261</v>
      </c>
      <c r="J10" s="8" t="s">
        <v>262</v>
      </c>
      <c r="L10" s="8" t="s">
        <v>260</v>
      </c>
      <c r="N10" s="8" t="s">
        <v>261</v>
      </c>
      <c r="O10" s="8" t="s">
        <v>262</v>
      </c>
      <c r="Q10" s="8" t="s">
        <v>260</v>
      </c>
      <c r="S10" s="8" t="s">
        <v>261</v>
      </c>
      <c r="T10" s="8" t="s">
        <v>262</v>
      </c>
    </row>
    <row r="11" spans="1:39" x14ac:dyDescent="0.2">
      <c r="B11" s="2" t="s">
        <v>20</v>
      </c>
      <c r="E11" s="41">
        <v>2</v>
      </c>
      <c r="G11" s="2" t="s">
        <v>263</v>
      </c>
      <c r="K11" s="1"/>
      <c r="L11" s="2" t="s">
        <v>263</v>
      </c>
      <c r="Q11" s="2" t="s">
        <v>263</v>
      </c>
    </row>
    <row r="12" spans="1:39" x14ac:dyDescent="0.2">
      <c r="B12" s="2" t="s">
        <v>264</v>
      </c>
      <c r="E12" s="41">
        <v>2</v>
      </c>
      <c r="G12" s="2" t="s">
        <v>264</v>
      </c>
      <c r="L12" s="2" t="s">
        <v>264</v>
      </c>
      <c r="Q12" s="2" t="s">
        <v>264</v>
      </c>
    </row>
    <row r="13" spans="1:39" x14ac:dyDescent="0.2">
      <c r="B13" s="2" t="s">
        <v>156</v>
      </c>
      <c r="E13" s="41">
        <v>2</v>
      </c>
      <c r="G13" s="2" t="s">
        <v>265</v>
      </c>
      <c r="J13" s="42"/>
      <c r="O13" s="42"/>
      <c r="T13" s="42"/>
    </row>
    <row r="14" spans="1:39" x14ac:dyDescent="0.2">
      <c r="B14" s="2" t="s">
        <v>266</v>
      </c>
      <c r="E14" s="41">
        <v>2</v>
      </c>
      <c r="G14" s="2" t="s">
        <v>267</v>
      </c>
      <c r="J14" s="42"/>
      <c r="L14" s="2" t="s">
        <v>267</v>
      </c>
      <c r="O14" s="42"/>
      <c r="Q14" s="2" t="s">
        <v>267</v>
      </c>
      <c r="T14" s="42"/>
    </row>
    <row r="15" spans="1:39" x14ac:dyDescent="0.2">
      <c r="B15" s="2" t="s">
        <v>268</v>
      </c>
      <c r="E15" s="41">
        <v>2</v>
      </c>
      <c r="G15" s="2" t="s">
        <v>269</v>
      </c>
      <c r="J15" s="42"/>
      <c r="L15" s="2" t="s">
        <v>269</v>
      </c>
      <c r="O15" s="42"/>
      <c r="Q15" s="2" t="s">
        <v>269</v>
      </c>
      <c r="T15" s="42"/>
    </row>
    <row r="17" spans="1:22" x14ac:dyDescent="0.2">
      <c r="B17" s="8" t="s">
        <v>270</v>
      </c>
    </row>
    <row r="18" spans="1:22" x14ac:dyDescent="0.2">
      <c r="B18" s="2" t="s">
        <v>156</v>
      </c>
      <c r="E18" s="42">
        <f>CHOOSE(E13,J18,O18,T18)</f>
        <v>0.1</v>
      </c>
      <c r="G18" s="2" t="s">
        <v>156</v>
      </c>
      <c r="J18" s="42"/>
      <c r="L18" s="2" t="s">
        <v>156</v>
      </c>
      <c r="O18" s="42">
        <v>0.1</v>
      </c>
      <c r="Q18" s="2" t="s">
        <v>156</v>
      </c>
      <c r="T18" s="42"/>
    </row>
    <row r="19" spans="1:22" x14ac:dyDescent="0.2">
      <c r="B19" s="2" t="s">
        <v>266</v>
      </c>
      <c r="E19" s="42">
        <f>CHOOSE(E14,J19,O19,T19)</f>
        <v>0.03</v>
      </c>
      <c r="G19" s="2" t="s">
        <v>266</v>
      </c>
      <c r="J19" s="42"/>
      <c r="L19" s="2" t="s">
        <v>266</v>
      </c>
      <c r="O19" s="42">
        <v>0.03</v>
      </c>
      <c r="Q19" s="2" t="s">
        <v>266</v>
      </c>
      <c r="T19" s="42"/>
    </row>
    <row r="20" spans="1:22" x14ac:dyDescent="0.2">
      <c r="B20" s="2" t="s">
        <v>271</v>
      </c>
      <c r="E20" s="42">
        <f>CHOOSE(E15,J20,O20,T20)</f>
        <v>0.15</v>
      </c>
      <c r="G20" s="2" t="s">
        <v>271</v>
      </c>
      <c r="J20" s="42"/>
      <c r="L20" s="2" t="s">
        <v>271</v>
      </c>
      <c r="O20" s="42">
        <v>0.15</v>
      </c>
      <c r="Q20" s="2" t="s">
        <v>271</v>
      </c>
      <c r="T20" s="42"/>
    </row>
    <row r="24" spans="1:22" x14ac:dyDescent="0.2">
      <c r="A24" s="38" t="s">
        <v>2</v>
      </c>
      <c r="B24" s="25" t="s">
        <v>272</v>
      </c>
      <c r="C24" s="25"/>
      <c r="D24" s="25"/>
      <c r="E24" s="25"/>
      <c r="F24" s="43">
        <v>18</v>
      </c>
      <c r="G24" s="43">
        <v>19</v>
      </c>
      <c r="H24" s="43">
        <f>G24+1</f>
        <v>20</v>
      </c>
      <c r="I24" s="43">
        <f t="shared" ref="I24:V24" si="0">H24+1</f>
        <v>21</v>
      </c>
      <c r="J24" s="43">
        <f t="shared" si="0"/>
        <v>22</v>
      </c>
      <c r="K24" s="43">
        <f t="shared" si="0"/>
        <v>23</v>
      </c>
      <c r="L24" s="43">
        <f t="shared" si="0"/>
        <v>24</v>
      </c>
      <c r="M24" s="43">
        <f t="shared" si="0"/>
        <v>25</v>
      </c>
      <c r="N24" s="43">
        <f t="shared" si="0"/>
        <v>26</v>
      </c>
      <c r="O24" s="43">
        <f t="shared" si="0"/>
        <v>27</v>
      </c>
      <c r="P24" s="43">
        <f t="shared" si="0"/>
        <v>28</v>
      </c>
      <c r="Q24" s="43">
        <f t="shared" si="0"/>
        <v>29</v>
      </c>
      <c r="R24" s="43">
        <f t="shared" si="0"/>
        <v>30</v>
      </c>
      <c r="S24" s="43">
        <f t="shared" si="0"/>
        <v>31</v>
      </c>
      <c r="T24" s="43">
        <f t="shared" si="0"/>
        <v>32</v>
      </c>
      <c r="U24" s="43">
        <f t="shared" si="0"/>
        <v>33</v>
      </c>
      <c r="V24" s="43">
        <f t="shared" si="0"/>
        <v>34</v>
      </c>
    </row>
    <row r="25" spans="1:22" x14ac:dyDescent="0.2">
      <c r="B25" s="2" t="s">
        <v>263</v>
      </c>
      <c r="F25" s="4">
        <f>+Model!T12</f>
        <v>55838</v>
      </c>
      <c r="G25" s="4">
        <f>+Model!U12</f>
        <v>70697</v>
      </c>
      <c r="H25" s="4">
        <f>+Model!V12</f>
        <v>85965</v>
      </c>
      <c r="I25" s="4">
        <f>+Model!W12</f>
        <v>117929</v>
      </c>
      <c r="J25" s="4">
        <f>+Model!X12</f>
        <v>116609</v>
      </c>
      <c r="K25" s="4">
        <f>+Model!Y12</f>
        <v>134902</v>
      </c>
      <c r="L25" s="4">
        <f>+Model!Z12</f>
        <v>164501</v>
      </c>
      <c r="M25" s="4">
        <f ca="1">L25*(1+M26)</f>
        <v>200966</v>
      </c>
      <c r="N25" s="4">
        <f t="shared" ref="N25:V25" ca="1" si="1">M25*(1+N26)</f>
        <v>213519.99999999997</v>
      </c>
      <c r="O25" s="4">
        <f t="shared" ca="1" si="1"/>
        <v>225524.40408825365</v>
      </c>
      <c r="P25" s="4">
        <f t="shared" ca="1" si="1"/>
        <v>236935.78227574995</v>
      </c>
      <c r="Q25" s="4">
        <f t="shared" ca="1" si="1"/>
        <v>247725.68967298546</v>
      </c>
      <c r="R25" s="4">
        <f t="shared" ca="1" si="1"/>
        <v>257878.83540400598</v>
      </c>
      <c r="S25" s="4">
        <f t="shared" ca="1" si="1"/>
        <v>267391.18456824939</v>
      </c>
      <c r="T25" s="4">
        <f t="shared" ca="1" si="1"/>
        <v>276268.09172645852</v>
      </c>
      <c r="U25" s="4">
        <f t="shared" ca="1" si="1"/>
        <v>284522.5358080467</v>
      </c>
      <c r="V25" s="4">
        <f t="shared" ca="1" si="1"/>
        <v>292173.50198511122</v>
      </c>
    </row>
    <row r="26" spans="1:22" x14ac:dyDescent="0.2">
      <c r="B26" s="44" t="s">
        <v>273</v>
      </c>
      <c r="C26" s="45"/>
      <c r="G26" s="46">
        <f>G25/F25-1</f>
        <v>0.26610910132884413</v>
      </c>
      <c r="H26" s="46">
        <f>H25/G25-1</f>
        <v>0.21596390228722573</v>
      </c>
      <c r="I26" s="46">
        <f t="shared" ref="I26:L26" si="2">I25/H25-1</f>
        <v>0.37182574303495608</v>
      </c>
      <c r="J26" s="46">
        <f t="shared" si="2"/>
        <v>-1.1193175554782941E-2</v>
      </c>
      <c r="K26" s="46">
        <f t="shared" si="2"/>
        <v>0.15687468377226454</v>
      </c>
      <c r="L26" s="46">
        <f t="shared" si="2"/>
        <v>0.21941112807816054</v>
      </c>
      <c r="M26" s="46" cm="1">
        <f t="array" aca="1" ref="M26" ca="1">OFFSET(M26,$E$11,,)</f>
        <v>0.22167038498246217</v>
      </c>
      <c r="N26" s="46" cm="1">
        <f t="array" aca="1" ref="N26" ca="1">OFFSET(N26,$E$11,,)</f>
        <v>6.2468278216215589E-2</v>
      </c>
      <c r="O26" s="46" cm="1">
        <f t="array" aca="1" ref="O26" ca="1">OFFSET(O26,$E$11,,)</f>
        <v>5.622145039459403E-2</v>
      </c>
      <c r="P26" s="46" cm="1">
        <f t="array" aca="1" ref="P26" ca="1">OFFSET(P26,$E$11,,)</f>
        <v>5.0599305355134627E-2</v>
      </c>
      <c r="Q26" s="46" cm="1">
        <f t="array" aca="1" ref="Q26" ca="1">OFFSET(Q26,$E$11,,)</f>
        <v>4.5539374819621163E-2</v>
      </c>
      <c r="R26" s="46" cm="1">
        <f t="array" aca="1" ref="R26" ca="1">OFFSET(R26,$E$11,,)</f>
        <v>4.0985437337659046E-2</v>
      </c>
      <c r="S26" s="46" cm="1">
        <f t="array" aca="1" ref="S26" ca="1">OFFSET(S26,$E$11,,)</f>
        <v>3.6886893603893141E-2</v>
      </c>
      <c r="T26" s="46" cm="1">
        <f t="array" aca="1" ref="T26" ca="1">OFFSET(T26,$E$11,,)</f>
        <v>3.319820424350383E-2</v>
      </c>
      <c r="U26" s="46" cm="1">
        <f t="array" aca="1" ref="U26" ca="1">OFFSET(U26,$E$11,,)</f>
        <v>2.9878383819153448E-2</v>
      </c>
      <c r="V26" s="46" cm="1">
        <f t="array" aca="1" ref="V26" ca="1">OFFSET(V26,$E$11,,)</f>
        <v>2.6890545437238105E-2</v>
      </c>
    </row>
    <row r="27" spans="1:22" x14ac:dyDescent="0.2">
      <c r="B27" s="44" t="s">
        <v>257</v>
      </c>
      <c r="C27" s="45"/>
      <c r="I27" s="11"/>
      <c r="J27" s="11"/>
      <c r="K27" s="11"/>
      <c r="L27" s="11"/>
      <c r="M27" s="47"/>
      <c r="N27" s="47"/>
      <c r="O27" s="47"/>
      <c r="P27" s="47"/>
      <c r="Q27" s="47"/>
      <c r="R27" s="47"/>
      <c r="S27" s="47"/>
      <c r="T27" s="47"/>
      <c r="U27" s="47"/>
      <c r="V27" s="47"/>
    </row>
    <row r="28" spans="1:22" x14ac:dyDescent="0.2">
      <c r="B28" s="44" t="s">
        <v>274</v>
      </c>
      <c r="C28" s="45"/>
      <c r="I28" s="11"/>
      <c r="J28" s="11"/>
      <c r="K28" s="11"/>
      <c r="L28" s="11"/>
      <c r="M28" s="47">
        <f>+Model!AA28</f>
        <v>0.22167038498246217</v>
      </c>
      <c r="N28" s="47">
        <f>+Model!AB28</f>
        <v>6.2468278216215589E-2</v>
      </c>
      <c r="O28" s="47">
        <f>+Model!AC28</f>
        <v>5.622145039459403E-2</v>
      </c>
      <c r="P28" s="47">
        <f>+Model!AD28</f>
        <v>5.0599305355134627E-2</v>
      </c>
      <c r="Q28" s="47">
        <f>+Model!AE28</f>
        <v>4.5539374819621163E-2</v>
      </c>
      <c r="R28" s="47">
        <f>+Model!AF28</f>
        <v>4.0985437337659046E-2</v>
      </c>
      <c r="S28" s="47">
        <f>+Model!AG28</f>
        <v>3.6886893603893141E-2</v>
      </c>
      <c r="T28" s="47">
        <f>+Model!AH28</f>
        <v>3.319820424350383E-2</v>
      </c>
      <c r="U28" s="47">
        <f>+Model!AI28</f>
        <v>2.9878383819153448E-2</v>
      </c>
      <c r="V28" s="47">
        <f>+Model!AJ28</f>
        <v>2.6890545437238105E-2</v>
      </c>
    </row>
    <row r="29" spans="1:22" x14ac:dyDescent="0.2">
      <c r="B29" s="44" t="s">
        <v>275</v>
      </c>
      <c r="C29" s="45"/>
      <c r="I29" s="11"/>
      <c r="J29" s="11"/>
      <c r="K29" s="11"/>
      <c r="L29" s="11"/>
      <c r="M29" s="47"/>
      <c r="N29" s="47"/>
      <c r="O29" s="47"/>
      <c r="P29" s="47"/>
      <c r="Q29" s="47"/>
      <c r="R29" s="47"/>
      <c r="S29" s="47"/>
      <c r="T29" s="47"/>
      <c r="U29" s="47"/>
      <c r="V29" s="47"/>
    </row>
    <row r="31" spans="1:22" x14ac:dyDescent="0.2">
      <c r="B31" s="2" t="s">
        <v>264</v>
      </c>
      <c r="F31" s="4">
        <f>+Model!T18</f>
        <v>24913</v>
      </c>
      <c r="G31" s="4">
        <f>+Model!U18</f>
        <v>23986</v>
      </c>
      <c r="H31" s="4">
        <f>+Model!V18</f>
        <v>32671</v>
      </c>
      <c r="I31" s="4">
        <f>+Model!W18</f>
        <v>46753</v>
      </c>
      <c r="J31" s="4">
        <f>+Model!X18</f>
        <v>28944</v>
      </c>
      <c r="K31" s="4">
        <f>+Model!Y18</f>
        <v>46751</v>
      </c>
      <c r="L31" s="4">
        <f>+Model!Z18</f>
        <v>69380</v>
      </c>
      <c r="M31" s="4">
        <f ca="1">M32*M25</f>
        <v>84405.72</v>
      </c>
      <c r="N31" s="4">
        <f t="shared" ref="N31:V31" ca="1" si="3">N32*N25</f>
        <v>90745.999999999985</v>
      </c>
      <c r="O31" s="4">
        <f t="shared" ca="1" si="3"/>
        <v>96975.493757949065</v>
      </c>
      <c r="P31" s="4">
        <f t="shared" ca="1" si="3"/>
        <v>104251.74420132997</v>
      </c>
      <c r="Q31" s="4">
        <f t="shared" ca="1" si="3"/>
        <v>111476.56035284346</v>
      </c>
      <c r="R31" s="4">
        <f t="shared" ca="1" si="3"/>
        <v>116045.47593180269</v>
      </c>
      <c r="S31" s="4">
        <f t="shared" ca="1" si="3"/>
        <v>120326.03305571222</v>
      </c>
      <c r="T31" s="4">
        <f t="shared" ca="1" si="3"/>
        <v>124320.64127690633</v>
      </c>
      <c r="U31" s="4">
        <f t="shared" ca="1" si="3"/>
        <v>128035.14111362102</v>
      </c>
      <c r="V31" s="4">
        <f t="shared" ca="1" si="3"/>
        <v>131478.07589330006</v>
      </c>
    </row>
    <row r="32" spans="1:22" x14ac:dyDescent="0.2">
      <c r="B32" s="44" t="s">
        <v>276</v>
      </c>
      <c r="F32" s="46">
        <f>F31/F25</f>
        <v>0.44616569361366809</v>
      </c>
      <c r="G32" s="46">
        <f>G31/G25</f>
        <v>0.33927889443682191</v>
      </c>
      <c r="H32" s="46">
        <f t="shared" ref="H32:L32" si="4">H31/H25</f>
        <v>0.3800500203571221</v>
      </c>
      <c r="I32" s="46">
        <f t="shared" si="4"/>
        <v>0.39645040660058173</v>
      </c>
      <c r="J32" s="46">
        <f t="shared" si="4"/>
        <v>0.24821411726367604</v>
      </c>
      <c r="K32" s="46">
        <f t="shared" si="4"/>
        <v>0.34655527716416362</v>
      </c>
      <c r="L32" s="46">
        <f t="shared" si="4"/>
        <v>0.42176035404040096</v>
      </c>
      <c r="M32" s="46" cm="1">
        <f t="array" aca="1" ref="M32" ca="1">OFFSET(M32,$E$12,,)</f>
        <v>0.42</v>
      </c>
      <c r="N32" s="46" cm="1">
        <f t="array" aca="1" ref="N32" ca="1">OFFSET(N32,$E$12,,)</f>
        <v>0.42499999999999999</v>
      </c>
      <c r="O32" s="46" cm="1">
        <f t="array" aca="1" ref="O32" ca="1">OFFSET(O32,$E$12,,)</f>
        <v>0.43</v>
      </c>
      <c r="P32" s="46" cm="1">
        <f t="array" aca="1" ref="P32" ca="1">OFFSET(P32,$E$12,,)</f>
        <v>0.44</v>
      </c>
      <c r="Q32" s="46" cm="1">
        <f t="array" aca="1" ref="Q32" ca="1">OFFSET(Q32,$E$12,,)</f>
        <v>0.45</v>
      </c>
      <c r="R32" s="46" cm="1">
        <f t="array" aca="1" ref="R32" ca="1">OFFSET(R32,$E$12,,)</f>
        <v>0.45</v>
      </c>
      <c r="S32" s="46" cm="1">
        <f t="array" aca="1" ref="S32" ca="1">OFFSET(S32,$E$12,,)</f>
        <v>0.45</v>
      </c>
      <c r="T32" s="46" cm="1">
        <f t="array" aca="1" ref="T32" ca="1">OFFSET(T32,$E$12,,)</f>
        <v>0.45</v>
      </c>
      <c r="U32" s="46" cm="1">
        <f t="array" aca="1" ref="U32" ca="1">OFFSET(U32,$E$12,,)</f>
        <v>0.45</v>
      </c>
      <c r="V32" s="46" cm="1">
        <f t="array" aca="1" ref="V32" ca="1">OFFSET(V32,$E$12,,)</f>
        <v>0.45</v>
      </c>
    </row>
    <row r="33" spans="2:22" x14ac:dyDescent="0.2">
      <c r="B33" s="44" t="s">
        <v>257</v>
      </c>
      <c r="M33" s="47"/>
      <c r="N33" s="47"/>
      <c r="O33" s="47"/>
      <c r="P33" s="47"/>
      <c r="Q33" s="47"/>
      <c r="R33" s="47"/>
      <c r="S33" s="47"/>
      <c r="T33" s="47"/>
      <c r="U33" s="47"/>
      <c r="V33" s="47"/>
    </row>
    <row r="34" spans="2:22" x14ac:dyDescent="0.2">
      <c r="B34" s="44" t="s">
        <v>274</v>
      </c>
      <c r="M34" s="47">
        <v>0.42</v>
      </c>
      <c r="N34" s="47">
        <v>0.42499999999999999</v>
      </c>
      <c r="O34" s="47">
        <v>0.43</v>
      </c>
      <c r="P34" s="47">
        <v>0.44</v>
      </c>
      <c r="Q34" s="47">
        <v>0.45</v>
      </c>
      <c r="R34" s="47">
        <v>0.45</v>
      </c>
      <c r="S34" s="47">
        <v>0.45</v>
      </c>
      <c r="T34" s="47">
        <v>0.45</v>
      </c>
      <c r="U34" s="47">
        <v>0.45</v>
      </c>
      <c r="V34" s="47">
        <v>0.45</v>
      </c>
    </row>
    <row r="35" spans="2:22" x14ac:dyDescent="0.2">
      <c r="B35" s="44" t="s">
        <v>275</v>
      </c>
      <c r="M35" s="47"/>
      <c r="N35" s="47"/>
      <c r="O35" s="47"/>
      <c r="P35" s="47"/>
      <c r="Q35" s="47"/>
      <c r="R35" s="47"/>
      <c r="S35" s="47"/>
      <c r="T35" s="47"/>
      <c r="U35" s="47"/>
      <c r="V35" s="47"/>
    </row>
    <row r="37" spans="2:22" x14ac:dyDescent="0.2">
      <c r="B37" s="2" t="s">
        <v>277</v>
      </c>
      <c r="F37" s="4">
        <f>+Model!T21</f>
        <v>3250</v>
      </c>
      <c r="G37" s="4">
        <f>+Model!U21</f>
        <v>6327</v>
      </c>
      <c r="H37" s="4">
        <f>+Model!V21</f>
        <v>4034</v>
      </c>
      <c r="I37" s="4">
        <f>+Model!W21</f>
        <v>7914</v>
      </c>
      <c r="J37" s="4">
        <f>+Model!X21</f>
        <v>5619</v>
      </c>
      <c r="K37" s="4">
        <f>+Model!Y21</f>
        <v>8330</v>
      </c>
      <c r="L37" s="4">
        <f>+Model!Z21</f>
        <v>8303</v>
      </c>
      <c r="M37" s="4">
        <f ca="1">M38*M31</f>
        <v>12660.858</v>
      </c>
      <c r="N37" s="4">
        <f t="shared" ref="N37:V37" ca="1" si="5">N38*N31</f>
        <v>13611.899999999998</v>
      </c>
      <c r="O37" s="4">
        <f t="shared" ca="1" si="5"/>
        <v>14546.32406369236</v>
      </c>
      <c r="P37" s="4">
        <f t="shared" ca="1" si="5"/>
        <v>15637.761630199495</v>
      </c>
      <c r="Q37" s="4">
        <f t="shared" ca="1" si="5"/>
        <v>16721.484052926517</v>
      </c>
      <c r="R37" s="4">
        <f t="shared" ca="1" si="5"/>
        <v>17406.821389770404</v>
      </c>
      <c r="S37" s="4">
        <f t="shared" ca="1" si="5"/>
        <v>18048.904958356834</v>
      </c>
      <c r="T37" s="4">
        <f t="shared" ca="1" si="5"/>
        <v>18648.096191535948</v>
      </c>
      <c r="U37" s="4">
        <f t="shared" ca="1" si="5"/>
        <v>19205.271167043153</v>
      </c>
      <c r="V37" s="4">
        <f t="shared" ca="1" si="5"/>
        <v>19721.711383995007</v>
      </c>
    </row>
    <row r="38" spans="2:22" x14ac:dyDescent="0.2">
      <c r="B38" s="45" t="s">
        <v>278</v>
      </c>
      <c r="F38" s="46">
        <f t="shared" ref="F38:L38" si="6">F37/F31</f>
        <v>0.13045397984987758</v>
      </c>
      <c r="G38" s="46">
        <f t="shared" si="6"/>
        <v>0.26377887100808806</v>
      </c>
      <c r="H38" s="46">
        <f t="shared" si="6"/>
        <v>0.12347341679165008</v>
      </c>
      <c r="I38" s="46">
        <f t="shared" si="6"/>
        <v>0.16927256004962249</v>
      </c>
      <c r="J38" s="46">
        <f t="shared" si="6"/>
        <v>0.1941334991708126</v>
      </c>
      <c r="K38" s="46">
        <f t="shared" si="6"/>
        <v>0.1781780068875532</v>
      </c>
      <c r="L38" s="46">
        <f t="shared" si="6"/>
        <v>0.11967425771115595</v>
      </c>
      <c r="M38" s="46">
        <v>0.15</v>
      </c>
      <c r="N38" s="46">
        <v>0.15</v>
      </c>
      <c r="O38" s="46">
        <v>0.15</v>
      </c>
      <c r="P38" s="46">
        <v>0.15</v>
      </c>
      <c r="Q38" s="46">
        <v>0.15</v>
      </c>
      <c r="R38" s="46">
        <v>0.15</v>
      </c>
      <c r="S38" s="46">
        <v>0.15</v>
      </c>
      <c r="T38" s="46">
        <v>0.15</v>
      </c>
      <c r="U38" s="46">
        <v>0.15</v>
      </c>
      <c r="V38" s="46">
        <v>0.15</v>
      </c>
    </row>
    <row r="39" spans="2:22" x14ac:dyDescent="0.2">
      <c r="B39" s="45"/>
    </row>
    <row r="40" spans="2:22" x14ac:dyDescent="0.2">
      <c r="B40" s="48" t="s">
        <v>279</v>
      </c>
      <c r="C40" s="49"/>
      <c r="D40" s="49"/>
      <c r="E40" s="49"/>
      <c r="F40" s="50">
        <f t="shared" ref="F40:V40" si="7">F31-F37</f>
        <v>21663</v>
      </c>
      <c r="G40" s="50">
        <f t="shared" si="7"/>
        <v>17659</v>
      </c>
      <c r="H40" s="50">
        <f t="shared" si="7"/>
        <v>28637</v>
      </c>
      <c r="I40" s="50">
        <f t="shared" si="7"/>
        <v>38839</v>
      </c>
      <c r="J40" s="50">
        <f t="shared" si="7"/>
        <v>23325</v>
      </c>
      <c r="K40" s="50">
        <f t="shared" si="7"/>
        <v>38421</v>
      </c>
      <c r="L40" s="50">
        <f t="shared" si="7"/>
        <v>61077</v>
      </c>
      <c r="M40" s="50">
        <f t="shared" ca="1" si="7"/>
        <v>71744.861999999994</v>
      </c>
      <c r="N40" s="50">
        <f t="shared" ca="1" si="7"/>
        <v>77134.099999999991</v>
      </c>
      <c r="O40" s="50">
        <f t="shared" ca="1" si="7"/>
        <v>82429.169694256707</v>
      </c>
      <c r="P40" s="50">
        <f t="shared" ca="1" si="7"/>
        <v>88613.982571130473</v>
      </c>
      <c r="Q40" s="50">
        <f t="shared" ca="1" si="7"/>
        <v>94755.076299916938</v>
      </c>
      <c r="R40" s="50">
        <f t="shared" ca="1" si="7"/>
        <v>98638.65454203228</v>
      </c>
      <c r="S40" s="50">
        <f t="shared" ca="1" si="7"/>
        <v>102277.12809735539</v>
      </c>
      <c r="T40" s="50">
        <f t="shared" ca="1" si="7"/>
        <v>105672.54508537038</v>
      </c>
      <c r="U40" s="50">
        <f t="shared" ca="1" si="7"/>
        <v>108829.86994657788</v>
      </c>
      <c r="V40" s="51">
        <f t="shared" ca="1" si="7"/>
        <v>111756.36450930506</v>
      </c>
    </row>
    <row r="42" spans="2:22" x14ac:dyDescent="0.2">
      <c r="B42" s="2" t="s">
        <v>280</v>
      </c>
      <c r="F42" s="4">
        <f>+Model!T59+Model!T60</f>
        <v>8467</v>
      </c>
      <c r="G42" s="4">
        <f>+Model!U59+Model!U60</f>
        <v>10577</v>
      </c>
      <c r="H42" s="4">
        <f>+Model!V59+Model!V60</f>
        <v>13398</v>
      </c>
      <c r="I42" s="4">
        <f>+Model!W59+Model!W60</f>
        <v>17131</v>
      </c>
      <c r="J42" s="4">
        <f>+Model!X59+Model!X60</f>
        <v>20678</v>
      </c>
      <c r="K42" s="4">
        <f>+Model!Y59+Model!Y60</f>
        <v>25205</v>
      </c>
      <c r="L42" s="4">
        <f>+Model!Z59+Model!Z60</f>
        <v>32188</v>
      </c>
      <c r="M42" s="4">
        <f ca="1">M43*M25</f>
        <v>38183.54</v>
      </c>
      <c r="N42" s="4">
        <f t="shared" ref="N42:V42" ca="1" si="8">N43*N25</f>
        <v>40568.799999999996</v>
      </c>
      <c r="O42" s="4">
        <f t="shared" ca="1" si="8"/>
        <v>42849.636776768195</v>
      </c>
      <c r="P42" s="4">
        <f t="shared" ca="1" si="8"/>
        <v>45017.798632392492</v>
      </c>
      <c r="Q42" s="4">
        <f t="shared" ca="1" si="8"/>
        <v>47067.881037867235</v>
      </c>
      <c r="R42" s="4">
        <f t="shared" ca="1" si="8"/>
        <v>48996.978726761139</v>
      </c>
      <c r="S42" s="4">
        <f t="shared" ca="1" si="8"/>
        <v>50804.325067967387</v>
      </c>
      <c r="T42" s="4">
        <f t="shared" ca="1" si="8"/>
        <v>52490.937428027115</v>
      </c>
      <c r="U42" s="4">
        <f t="shared" ca="1" si="8"/>
        <v>54059.281803528873</v>
      </c>
      <c r="V42" s="4">
        <f t="shared" ca="1" si="8"/>
        <v>55512.965377171131</v>
      </c>
    </row>
    <row r="43" spans="2:22" x14ac:dyDescent="0.2">
      <c r="B43" s="44" t="s">
        <v>276</v>
      </c>
      <c r="C43" s="52"/>
      <c r="D43" s="52"/>
      <c r="E43" s="52"/>
      <c r="F43" s="53">
        <f>F42/F25</f>
        <v>0.15163508721659086</v>
      </c>
      <c r="G43" s="53">
        <f>G42/G25</f>
        <v>0.14961030878255088</v>
      </c>
      <c r="H43" s="53">
        <f t="shared" ref="H43:L43" si="9">H42/H25</f>
        <v>0.15585412667946258</v>
      </c>
      <c r="I43" s="53">
        <f t="shared" si="9"/>
        <v>0.1452653715371113</v>
      </c>
      <c r="J43" s="53">
        <f t="shared" si="9"/>
        <v>0.17732765052440205</v>
      </c>
      <c r="K43" s="53">
        <f t="shared" si="9"/>
        <v>0.18683933522112348</v>
      </c>
      <c r="L43" s="53">
        <f t="shared" si="9"/>
        <v>0.19567054303621254</v>
      </c>
      <c r="M43" s="54">
        <v>0.19</v>
      </c>
      <c r="N43" s="54">
        <v>0.19</v>
      </c>
      <c r="O43" s="54">
        <v>0.19</v>
      </c>
      <c r="P43" s="54">
        <v>0.19</v>
      </c>
      <c r="Q43" s="54">
        <v>0.19</v>
      </c>
      <c r="R43" s="54">
        <v>0.19</v>
      </c>
      <c r="S43" s="54">
        <v>0.19</v>
      </c>
      <c r="T43" s="54">
        <v>0.19</v>
      </c>
      <c r="U43" s="54">
        <v>0.19</v>
      </c>
      <c r="V43" s="54">
        <v>0.19</v>
      </c>
    </row>
    <row r="45" spans="2:22" x14ac:dyDescent="0.2">
      <c r="B45" s="2" t="s">
        <v>95</v>
      </c>
      <c r="F45" s="4">
        <f>+Model!T73</f>
        <v>-13915</v>
      </c>
      <c r="G45" s="4">
        <f>+Model!U73</f>
        <v>-15102</v>
      </c>
      <c r="H45" s="4">
        <f>+Model!V73</f>
        <v>-15115</v>
      </c>
      <c r="I45" s="4">
        <f>+Model!W73</f>
        <v>-18567</v>
      </c>
      <c r="J45" s="4">
        <f>+Model!X73</f>
        <v>-31186</v>
      </c>
      <c r="K45" s="4">
        <f>+Model!Y73</f>
        <v>-27045</v>
      </c>
      <c r="L45" s="4">
        <f>+Model!Z73</f>
        <v>-37256</v>
      </c>
      <c r="M45" s="4">
        <f ca="1">M46*M25</f>
        <v>-46222.18</v>
      </c>
      <c r="N45" s="4">
        <f t="shared" ref="N45:V45" ca="1" si="10">N46*N25</f>
        <v>-49109.599999999999</v>
      </c>
      <c r="O45" s="4">
        <f t="shared" ca="1" si="10"/>
        <v>-51870.612940298342</v>
      </c>
      <c r="P45" s="4">
        <f t="shared" ca="1" si="10"/>
        <v>-54495.229923422492</v>
      </c>
      <c r="Q45" s="4">
        <f t="shared" ca="1" si="10"/>
        <v>-56976.908624786658</v>
      </c>
      <c r="R45" s="4">
        <f t="shared" ca="1" si="10"/>
        <v>-59312.132142921379</v>
      </c>
      <c r="S45" s="4">
        <f t="shared" ca="1" si="10"/>
        <v>-61499.972450697365</v>
      </c>
      <c r="T45" s="4">
        <f t="shared" ca="1" si="10"/>
        <v>-63541.66109708546</v>
      </c>
      <c r="U45" s="4">
        <f t="shared" ca="1" si="10"/>
        <v>-65440.183235850745</v>
      </c>
      <c r="V45" s="4">
        <f t="shared" ca="1" si="10"/>
        <v>-67199.90545657558</v>
      </c>
    </row>
    <row r="46" spans="2:22" x14ac:dyDescent="0.2">
      <c r="B46" s="44" t="s">
        <v>276</v>
      </c>
      <c r="F46" s="53">
        <f>F45/F25</f>
        <v>-0.24920305168523227</v>
      </c>
      <c r="G46" s="53">
        <f>G45/G25</f>
        <v>-0.21361585357228738</v>
      </c>
      <c r="H46" s="53">
        <f t="shared" ref="H46:L46" si="11">H45/H25</f>
        <v>-0.17582737160472287</v>
      </c>
      <c r="I46" s="53">
        <f t="shared" si="11"/>
        <v>-0.15744218979216307</v>
      </c>
      <c r="J46" s="53">
        <f t="shared" si="11"/>
        <v>-0.26744076357742541</v>
      </c>
      <c r="K46" s="53">
        <f t="shared" si="11"/>
        <v>-0.20047886613986449</v>
      </c>
      <c r="L46" s="53">
        <f t="shared" si="11"/>
        <v>-0.22647886638986997</v>
      </c>
      <c r="M46" s="54">
        <v>-0.23</v>
      </c>
      <c r="N46" s="54">
        <v>-0.23</v>
      </c>
      <c r="O46" s="54">
        <v>-0.23</v>
      </c>
      <c r="P46" s="54">
        <v>-0.23</v>
      </c>
      <c r="Q46" s="54">
        <v>-0.23</v>
      </c>
      <c r="R46" s="54">
        <v>-0.23</v>
      </c>
      <c r="S46" s="54">
        <v>-0.23</v>
      </c>
      <c r="T46" s="54">
        <v>-0.23</v>
      </c>
      <c r="U46" s="54">
        <v>-0.23</v>
      </c>
      <c r="V46" s="54">
        <v>-0.23</v>
      </c>
    </row>
    <row r="48" spans="2:22" x14ac:dyDescent="0.2">
      <c r="B48" s="2" t="s">
        <v>92</v>
      </c>
      <c r="F48" s="4">
        <f>+Model!T71</f>
        <v>-1527</v>
      </c>
      <c r="G48" s="4">
        <f>+Model!U71</f>
        <v>7250</v>
      </c>
      <c r="H48" s="4">
        <f>+Model!V71</f>
        <v>-2723</v>
      </c>
      <c r="I48" s="4">
        <f>+Model!W71</f>
        <v>700</v>
      </c>
      <c r="J48" s="4">
        <f>+Model!X71</f>
        <v>5683</v>
      </c>
      <c r="K48" s="4">
        <f>+Model!Y71</f>
        <v>3836</v>
      </c>
      <c r="L48" s="4">
        <f>+Model!Z71</f>
        <v>1048</v>
      </c>
      <c r="M48" s="4">
        <f ca="1">M49*M25</f>
        <v>2009.66</v>
      </c>
      <c r="N48" s="4">
        <f t="shared" ref="N48:V48" ca="1" si="12">N49*N25</f>
        <v>2135.1999999999998</v>
      </c>
      <c r="O48" s="4">
        <f t="shared" ca="1" si="12"/>
        <v>2255.2440408825364</v>
      </c>
      <c r="P48" s="4">
        <f t="shared" ca="1" si="12"/>
        <v>2369.3578227574994</v>
      </c>
      <c r="Q48" s="4">
        <f t="shared" ca="1" si="12"/>
        <v>2477.2568967298548</v>
      </c>
      <c r="R48" s="4">
        <f t="shared" ca="1" si="12"/>
        <v>2578.7883540400599</v>
      </c>
      <c r="S48" s="4">
        <f t="shared" ca="1" si="12"/>
        <v>2673.911845682494</v>
      </c>
      <c r="T48" s="4">
        <f t="shared" ca="1" si="12"/>
        <v>2762.6809172645853</v>
      </c>
      <c r="U48" s="4">
        <f t="shared" ca="1" si="12"/>
        <v>2845.2253580804672</v>
      </c>
      <c r="V48" s="4">
        <f t="shared" ca="1" si="12"/>
        <v>2921.7350198511122</v>
      </c>
    </row>
    <row r="49" spans="2:24" x14ac:dyDescent="0.2">
      <c r="B49" s="44" t="s">
        <v>276</v>
      </c>
      <c r="F49" s="53">
        <f>F48/F25</f>
        <v>-2.7346968014613705E-2</v>
      </c>
      <c r="G49" s="53">
        <f>G48/G25</f>
        <v>0.10255032038134575</v>
      </c>
      <c r="H49" s="53">
        <f t="shared" ref="H49:L49" si="13">H48/H25</f>
        <v>-3.167568196358983E-2</v>
      </c>
      <c r="I49" s="53">
        <f t="shared" si="13"/>
        <v>5.9357749154152076E-3</v>
      </c>
      <c r="J49" s="53">
        <f t="shared" si="13"/>
        <v>4.8735517841676027E-2</v>
      </c>
      <c r="K49" s="53">
        <f t="shared" si="13"/>
        <v>2.8435456850157893E-2</v>
      </c>
      <c r="L49" s="53">
        <f t="shared" si="13"/>
        <v>6.3707819405353161E-3</v>
      </c>
      <c r="M49" s="54">
        <v>0.01</v>
      </c>
      <c r="N49" s="54">
        <v>0.01</v>
      </c>
      <c r="O49" s="54">
        <v>0.01</v>
      </c>
      <c r="P49" s="54">
        <v>0.01</v>
      </c>
      <c r="Q49" s="54">
        <v>0.01</v>
      </c>
      <c r="R49" s="54">
        <v>0.01</v>
      </c>
      <c r="S49" s="54">
        <v>0.01</v>
      </c>
      <c r="T49" s="54">
        <v>0.01</v>
      </c>
      <c r="U49" s="54">
        <v>0.01</v>
      </c>
      <c r="V49" s="54">
        <v>0.01</v>
      </c>
    </row>
    <row r="51" spans="2:24" x14ac:dyDescent="0.2">
      <c r="B51" s="55" t="s">
        <v>281</v>
      </c>
      <c r="C51" s="56"/>
      <c r="D51" s="56"/>
      <c r="E51" s="56"/>
      <c r="F51" s="57">
        <f>F40+F42+F45+F48</f>
        <v>14688</v>
      </c>
      <c r="G51" s="57">
        <f>G40+G42+G45+G48</f>
        <v>20384</v>
      </c>
      <c r="H51" s="57">
        <f t="shared" ref="H51:U51" si="14">H40+H42+H45+H48</f>
        <v>24197</v>
      </c>
      <c r="I51" s="57">
        <f t="shared" si="14"/>
        <v>38103</v>
      </c>
      <c r="J51" s="57">
        <f t="shared" si="14"/>
        <v>18500</v>
      </c>
      <c r="K51" s="57">
        <f t="shared" si="14"/>
        <v>40417</v>
      </c>
      <c r="L51" s="57">
        <f t="shared" si="14"/>
        <v>57057</v>
      </c>
      <c r="M51" s="57">
        <f ca="1">M40+M42+M45+M48</f>
        <v>65715.881999999998</v>
      </c>
      <c r="N51" s="57">
        <f t="shared" ca="1" si="14"/>
        <v>70728.499999999985</v>
      </c>
      <c r="O51" s="57">
        <f t="shared" ca="1" si="14"/>
        <v>75663.437571609102</v>
      </c>
      <c r="P51" s="57">
        <f t="shared" ca="1" si="14"/>
        <v>81505.909102857971</v>
      </c>
      <c r="Q51" s="57">
        <f t="shared" ca="1" si="14"/>
        <v>87323.30560972738</v>
      </c>
      <c r="R51" s="57">
        <f t="shared" ca="1" si="14"/>
        <v>90902.289479912084</v>
      </c>
      <c r="S51" s="57">
        <f t="shared" ca="1" si="14"/>
        <v>94255.392560307911</v>
      </c>
      <c r="T51" s="57">
        <f t="shared" ca="1" si="14"/>
        <v>97384.502333576631</v>
      </c>
      <c r="U51" s="57">
        <f t="shared" ca="1" si="14"/>
        <v>100294.19387233647</v>
      </c>
      <c r="V51" s="58">
        <f ca="1">V40+V42+V45+V48</f>
        <v>102991.15944975172</v>
      </c>
    </row>
    <row r="52" spans="2:24" x14ac:dyDescent="0.2">
      <c r="B52" s="59" t="s">
        <v>282</v>
      </c>
      <c r="C52" s="60"/>
      <c r="D52" s="60"/>
      <c r="E52" s="60"/>
      <c r="F52" s="60"/>
      <c r="G52" s="61"/>
      <c r="H52" s="61"/>
      <c r="I52" s="61"/>
      <c r="J52" s="61"/>
      <c r="K52" s="61"/>
      <c r="L52" s="61"/>
      <c r="M52" s="61">
        <f ca="1">(M51/(1+$E$18)^M53)*M53</f>
        <v>36261.135698821447</v>
      </c>
      <c r="N52" s="61">
        <f ca="1">N51/(1+$E$18)^N53</f>
        <v>60821.346355321177</v>
      </c>
      <c r="O52" s="61">
        <f t="shared" ref="O52:U52" ca="1" si="15">O51/(1+$E$18)^O53</f>
        <v>59150.02944006832</v>
      </c>
      <c r="P52" s="61">
        <f t="shared" ca="1" si="15"/>
        <v>57924.90195221841</v>
      </c>
      <c r="Q52" s="61">
        <f t="shared" ca="1" si="15"/>
        <v>56417.481329803457</v>
      </c>
      <c r="R52" s="61">
        <f t="shared" ca="1" si="15"/>
        <v>53390.705886904216</v>
      </c>
      <c r="S52" s="61">
        <f t="shared" ca="1" si="15"/>
        <v>50327.384703992007</v>
      </c>
      <c r="T52" s="61">
        <f t="shared" ca="1" si="15"/>
        <v>47271.057727669555</v>
      </c>
      <c r="U52" s="61">
        <f t="shared" ca="1" si="15"/>
        <v>44257.673212722024</v>
      </c>
      <c r="V52" s="62">
        <f ca="1">V51/(1+$E$18)^V53</f>
        <v>41316.169259268332</v>
      </c>
    </row>
    <row r="53" spans="2:24" x14ac:dyDescent="0.2">
      <c r="B53" s="2" t="s">
        <v>283</v>
      </c>
      <c r="M53" s="14">
        <f ca="1">YEARFRAC(E4,E5)</f>
        <v>0.58333333333333337</v>
      </c>
      <c r="N53" s="14">
        <f ca="1">M53+1</f>
        <v>1.5833333333333335</v>
      </c>
      <c r="O53" s="14">
        <f ca="1">N53+1</f>
        <v>2.5833333333333335</v>
      </c>
      <c r="P53" s="14">
        <f t="shared" ref="P53:V53" ca="1" si="16">O53+1</f>
        <v>3.5833333333333335</v>
      </c>
      <c r="Q53" s="14">
        <f t="shared" ca="1" si="16"/>
        <v>4.5833333333333339</v>
      </c>
      <c r="R53" s="14">
        <f t="shared" ca="1" si="16"/>
        <v>5.5833333333333339</v>
      </c>
      <c r="S53" s="14">
        <f t="shared" ca="1" si="16"/>
        <v>6.5833333333333339</v>
      </c>
      <c r="T53" s="14">
        <f t="shared" ca="1" si="16"/>
        <v>7.5833333333333339</v>
      </c>
      <c r="U53" s="14">
        <f t="shared" ca="1" si="16"/>
        <v>8.5833333333333339</v>
      </c>
      <c r="V53" s="14">
        <f t="shared" ca="1" si="16"/>
        <v>9.5833333333333339</v>
      </c>
    </row>
    <row r="54" spans="2:24" x14ac:dyDescent="0.2">
      <c r="B54" s="2" t="s">
        <v>284</v>
      </c>
      <c r="N54" s="24"/>
      <c r="O54" s="24"/>
      <c r="P54" s="24"/>
      <c r="Q54" s="24"/>
      <c r="V54" s="4">
        <f ca="1">SUM(M52:V52)</f>
        <v>507137.8855667889</v>
      </c>
    </row>
    <row r="55" spans="2:24" x14ac:dyDescent="0.2">
      <c r="B55" s="2" t="s">
        <v>285</v>
      </c>
      <c r="N55" s="24"/>
      <c r="O55" s="24"/>
      <c r="P55" s="24"/>
      <c r="Q55" s="24"/>
      <c r="V55" s="4">
        <f ca="1">+(V40*(1+E19))*(1-(E19/E20))/(E18-E19)</f>
        <v>1315532.0622238196</v>
      </c>
      <c r="X55" s="20" t="s">
        <v>286</v>
      </c>
    </row>
    <row r="56" spans="2:24" x14ac:dyDescent="0.2">
      <c r="B56" s="31" t="s">
        <v>287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63"/>
      <c r="O56" s="63"/>
      <c r="P56" s="63"/>
      <c r="Q56" s="63"/>
      <c r="R56" s="63"/>
      <c r="S56" s="63"/>
      <c r="T56" s="63"/>
      <c r="U56" s="63"/>
      <c r="V56" s="64">
        <f ca="1">V55/(1+E18)^V53</f>
        <v>527741.85317674535</v>
      </c>
    </row>
    <row r="57" spans="2:24" x14ac:dyDescent="0.2">
      <c r="B57" s="27" t="s">
        <v>288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65"/>
      <c r="O57" s="65"/>
      <c r="P57" s="65"/>
      <c r="Q57" s="65"/>
      <c r="R57" s="65"/>
      <c r="S57" s="65"/>
      <c r="T57" s="65"/>
      <c r="U57" s="65"/>
      <c r="V57" s="66">
        <f ca="1">V54+V56</f>
        <v>1034879.7387435343</v>
      </c>
    </row>
    <row r="58" spans="2:24" x14ac:dyDescent="0.2">
      <c r="B58" s="2" t="s">
        <v>289</v>
      </c>
      <c r="N58" s="24"/>
      <c r="O58" s="24"/>
      <c r="P58" s="24"/>
      <c r="Q58" s="24"/>
      <c r="V58" s="67">
        <f>+Main!I5</f>
        <v>90260</v>
      </c>
    </row>
    <row r="59" spans="2:24" x14ac:dyDescent="0.2">
      <c r="B59" s="31" t="s">
        <v>290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63"/>
      <c r="O59" s="63"/>
      <c r="P59" s="63"/>
      <c r="Q59" s="63"/>
      <c r="R59" s="63"/>
      <c r="S59" s="63"/>
      <c r="T59" s="63"/>
      <c r="U59" s="63"/>
      <c r="V59" s="64">
        <f>+Main!I6</f>
        <v>83664</v>
      </c>
    </row>
    <row r="60" spans="2:24" x14ac:dyDescent="0.2">
      <c r="B60" s="2" t="s">
        <v>291</v>
      </c>
      <c r="N60" s="24"/>
      <c r="O60" s="24"/>
      <c r="P60" s="24"/>
      <c r="Q60" s="24"/>
      <c r="V60" s="67">
        <f ca="1">V57+V58-V59</f>
        <v>1041475.7387435343</v>
      </c>
    </row>
    <row r="61" spans="2:24" x14ac:dyDescent="0.2">
      <c r="B61" s="31" t="s">
        <v>292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63"/>
      <c r="O61" s="63"/>
      <c r="P61" s="63"/>
      <c r="Q61" s="63"/>
      <c r="R61" s="63"/>
      <c r="S61" s="63"/>
      <c r="T61" s="63"/>
      <c r="U61" s="63"/>
      <c r="V61" s="64">
        <f>+Main!I3</f>
        <v>2547.5062250000001</v>
      </c>
    </row>
    <row r="62" spans="2:24" x14ac:dyDescent="0.2">
      <c r="B62" s="2" t="s">
        <v>249</v>
      </c>
      <c r="V62" s="67">
        <f ca="1">V60/V61</f>
        <v>408.82166587975041</v>
      </c>
    </row>
    <row r="66" spans="1:22" x14ac:dyDescent="0.2">
      <c r="A66" s="38" t="s">
        <v>2</v>
      </c>
      <c r="B66" s="25" t="s">
        <v>293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8" spans="1:22" x14ac:dyDescent="0.2">
      <c r="B68" s="68"/>
      <c r="C68" s="76" t="s">
        <v>266</v>
      </c>
      <c r="D68" s="76"/>
      <c r="E68" s="76"/>
      <c r="F68" s="76"/>
      <c r="G68" s="76"/>
      <c r="H68" s="76"/>
      <c r="I68" s="76"/>
      <c r="J68" s="77"/>
      <c r="M68" s="68"/>
      <c r="N68" s="78" t="s">
        <v>294</v>
      </c>
      <c r="O68" s="78"/>
      <c r="P68" s="78"/>
      <c r="Q68" s="78"/>
      <c r="R68" s="78"/>
      <c r="S68" s="78"/>
      <c r="T68" s="78"/>
      <c r="U68" s="79"/>
    </row>
    <row r="69" spans="1:22" x14ac:dyDescent="0.2">
      <c r="B69" s="80" t="s">
        <v>156</v>
      </c>
      <c r="C69" s="69">
        <f ca="1">+J4</f>
        <v>408.82166587975041</v>
      </c>
      <c r="D69" s="70"/>
      <c r="E69" s="70"/>
      <c r="F69" s="70"/>
      <c r="G69" s="70"/>
      <c r="H69" s="70"/>
      <c r="I69" s="70"/>
      <c r="J69" s="70"/>
      <c r="M69" s="80" t="s">
        <v>156</v>
      </c>
      <c r="N69" s="69">
        <f ca="1">+J4</f>
        <v>408.82166587975041</v>
      </c>
      <c r="O69" s="70"/>
      <c r="P69" s="70"/>
      <c r="Q69" s="70"/>
      <c r="R69" s="70"/>
      <c r="S69" s="70"/>
      <c r="T69" s="70"/>
      <c r="U69" s="70"/>
    </row>
    <row r="70" spans="1:22" x14ac:dyDescent="0.2">
      <c r="B70" s="80"/>
      <c r="C70" s="71"/>
      <c r="D70" s="72"/>
      <c r="E70" s="72"/>
      <c r="F70" s="72"/>
      <c r="G70" s="73"/>
      <c r="H70" s="72"/>
      <c r="I70" s="72"/>
      <c r="J70" s="72"/>
      <c r="M70" s="80"/>
      <c r="N70" s="71"/>
      <c r="O70" s="72"/>
      <c r="P70" s="72"/>
      <c r="Q70" s="72"/>
      <c r="R70" s="73"/>
      <c r="S70" s="72"/>
      <c r="T70" s="72"/>
      <c r="U70" s="72"/>
    </row>
    <row r="71" spans="1:22" x14ac:dyDescent="0.2">
      <c r="B71" s="80"/>
      <c r="C71" s="71"/>
      <c r="D71" s="72"/>
      <c r="E71" s="72"/>
      <c r="F71" s="72"/>
      <c r="G71" s="73"/>
      <c r="H71" s="72"/>
      <c r="I71" s="72"/>
      <c r="J71" s="72"/>
      <c r="M71" s="80"/>
      <c r="N71" s="71"/>
      <c r="O71" s="72"/>
      <c r="P71" s="72"/>
      <c r="Q71" s="72"/>
      <c r="R71" s="73"/>
      <c r="S71" s="72"/>
      <c r="T71" s="72"/>
      <c r="U71" s="72"/>
    </row>
    <row r="72" spans="1:22" x14ac:dyDescent="0.2">
      <c r="B72" s="80"/>
      <c r="C72" s="71"/>
      <c r="D72" s="73"/>
      <c r="E72" s="73"/>
      <c r="F72" s="73"/>
      <c r="G72" s="73"/>
      <c r="H72" s="73"/>
      <c r="I72" s="73"/>
      <c r="J72" s="73"/>
      <c r="M72" s="80"/>
      <c r="N72" s="71"/>
      <c r="O72" s="73"/>
      <c r="P72" s="73"/>
      <c r="Q72" s="73"/>
      <c r="R72" s="73"/>
      <c r="S72" s="73"/>
      <c r="T72" s="73"/>
      <c r="U72" s="73"/>
    </row>
    <row r="73" spans="1:22" x14ac:dyDescent="0.2">
      <c r="B73" s="80"/>
      <c r="C73" s="71"/>
      <c r="D73" s="72"/>
      <c r="E73" s="72"/>
      <c r="F73" s="72"/>
      <c r="G73" s="73"/>
      <c r="H73" s="72"/>
      <c r="I73" s="72"/>
      <c r="J73" s="72"/>
      <c r="M73" s="80"/>
      <c r="N73" s="71"/>
      <c r="O73" s="72"/>
      <c r="P73" s="72"/>
      <c r="Q73" s="72"/>
      <c r="R73" s="73"/>
      <c r="S73" s="72"/>
      <c r="T73" s="72"/>
      <c r="U73" s="72"/>
    </row>
    <row r="74" spans="1:22" x14ac:dyDescent="0.2">
      <c r="B74" s="80"/>
      <c r="C74" s="71"/>
      <c r="D74" s="72"/>
      <c r="E74" s="72"/>
      <c r="F74" s="72"/>
      <c r="G74" s="73"/>
      <c r="H74" s="72"/>
      <c r="I74" s="72"/>
      <c r="J74" s="72"/>
      <c r="M74" s="80"/>
      <c r="N74" s="71"/>
      <c r="O74" s="72"/>
      <c r="P74" s="72"/>
      <c r="Q74" s="72"/>
      <c r="R74" s="73"/>
      <c r="S74" s="72"/>
      <c r="T74" s="72"/>
      <c r="U74" s="72"/>
    </row>
    <row r="75" spans="1:22" x14ac:dyDescent="0.2">
      <c r="B75" s="80"/>
      <c r="C75" s="71"/>
      <c r="D75" s="72"/>
      <c r="E75" s="72"/>
      <c r="F75" s="72"/>
      <c r="G75" s="73"/>
      <c r="H75" s="72"/>
      <c r="I75" s="72"/>
      <c r="J75" s="72"/>
      <c r="M75" s="80"/>
      <c r="N75" s="71"/>
      <c r="O75" s="72"/>
      <c r="P75" s="72"/>
      <c r="Q75" s="72"/>
      <c r="R75" s="73"/>
      <c r="S75" s="72"/>
      <c r="T75" s="72"/>
      <c r="U75" s="72"/>
    </row>
    <row r="76" spans="1:22" x14ac:dyDescent="0.2">
      <c r="B76" s="81"/>
      <c r="C76" s="71"/>
      <c r="D76" s="72"/>
      <c r="E76" s="72"/>
      <c r="F76" s="72"/>
      <c r="G76" s="73"/>
      <c r="H76" s="72"/>
      <c r="I76" s="72"/>
      <c r="J76" s="72"/>
      <c r="M76" s="81"/>
      <c r="N76" s="71"/>
      <c r="O76" s="72"/>
      <c r="P76" s="72"/>
      <c r="Q76" s="72"/>
      <c r="R76" s="73"/>
      <c r="S76" s="72"/>
      <c r="T76" s="72"/>
      <c r="U76" s="72"/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3" operator="lessThan">
      <formula>$J$3</formula>
    </cfRule>
    <cfRule type="cellIs" dxfId="2" priority="4" operator="greaterThan">
      <formula>$J$3</formula>
    </cfRule>
  </conditionalFormatting>
  <conditionalFormatting sqref="O70:U76">
    <cfRule type="cellIs" dxfId="1" priority="1" operator="lessThan">
      <formula>$J$3</formula>
    </cfRule>
    <cfRule type="cellIs" dxfId="0" priority="2" operator="greaterThan">
      <formula>$J$3</formula>
    </cfRule>
  </conditionalFormatting>
  <dataValidations count="1">
    <dataValidation type="list" allowBlank="1" showInputMessage="1" showErrorMessage="1" sqref="E11:E15" xr:uid="{1B9ED51E-0982-40E1-9A0B-1A26D11C4C07}">
      <formula1>"1,2,3"</formula1>
    </dataValidation>
  </dataValidations>
  <hyperlinks>
    <hyperlink ref="A1" location="Main!A1" display="Main" xr:uid="{21AEC6B8-3F1F-425F-B61A-50CACC0788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KPIs</vt:lpstr>
      <vt:lpstr>Coc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2024-09-27T08:32:50Z</dcterms:created>
  <dcterms:modified xsi:type="dcterms:W3CDTF">2026-07-30T16:45:12Z</dcterms:modified>
</cp:coreProperties>
</file>