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A74055A-2814-42DB-A26B-3D092BDA28C9}" xr6:coauthVersionLast="47" xr6:coauthVersionMax="47" xr10:uidLastSave="{00000000-0000-0000-0000-000000000000}"/>
  <bookViews>
    <workbookView xWindow="19095" yWindow="0" windowWidth="19410" windowHeight="20925" activeTab="1" xr2:uid="{C81D1CBC-96B8-4154-B447-A9A1A7A2C71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Q26" i="2"/>
  <c r="P26" i="2"/>
  <c r="O26" i="2"/>
  <c r="N26" i="2"/>
  <c r="M26" i="2"/>
  <c r="L26" i="2"/>
  <c r="Q24" i="2"/>
  <c r="P24" i="2"/>
  <c r="O24" i="2"/>
  <c r="N24" i="2"/>
  <c r="M24" i="2"/>
  <c r="L24" i="2"/>
  <c r="P22" i="2"/>
  <c r="O22" i="2"/>
  <c r="N22" i="2"/>
  <c r="M22" i="2"/>
  <c r="L22" i="2"/>
  <c r="Q20" i="2"/>
  <c r="P20" i="2"/>
  <c r="O20" i="2"/>
  <c r="N20" i="2"/>
  <c r="M20" i="2"/>
  <c r="L20" i="2"/>
  <c r="O17" i="2"/>
  <c r="Q16" i="2"/>
  <c r="P16" i="2"/>
  <c r="O16" i="2"/>
  <c r="N16" i="2"/>
  <c r="M16" i="2"/>
  <c r="L16" i="2"/>
  <c r="R13" i="2"/>
  <c r="Q13" i="2"/>
  <c r="P13" i="2"/>
  <c r="O13" i="2"/>
  <c r="N13" i="2"/>
  <c r="M13" i="2"/>
  <c r="L13" i="2"/>
  <c r="K13" i="2"/>
  <c r="K16" i="2" s="1"/>
  <c r="K20" i="2" s="1"/>
  <c r="K22" i="2" s="1"/>
  <c r="K24" i="2" s="1"/>
  <c r="K26" i="2" s="1"/>
  <c r="C24" i="2"/>
  <c r="C26" i="2" s="1"/>
  <c r="I37" i="2"/>
  <c r="F35" i="2"/>
  <c r="E35" i="2"/>
  <c r="D35" i="2"/>
  <c r="C35" i="2"/>
  <c r="F34" i="2"/>
  <c r="E34" i="2"/>
  <c r="D34" i="2"/>
  <c r="C34" i="2"/>
  <c r="F33" i="2"/>
  <c r="E33" i="2"/>
  <c r="D33" i="2"/>
  <c r="C33" i="2"/>
  <c r="J35" i="2"/>
  <c r="J34" i="2"/>
  <c r="J33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J32" i="2"/>
  <c r="J31" i="2"/>
  <c r="J30" i="2"/>
  <c r="J29" i="2"/>
  <c r="I36" i="2"/>
  <c r="I35" i="2"/>
  <c r="I34" i="2"/>
  <c r="I33" i="2"/>
  <c r="I32" i="2"/>
  <c r="I31" i="2"/>
  <c r="I30" i="2"/>
  <c r="I29" i="2"/>
  <c r="J13" i="2"/>
  <c r="J16" i="2" s="1"/>
  <c r="J20" i="2" s="1"/>
  <c r="J22" i="2" s="1"/>
  <c r="J24" i="2" s="1"/>
  <c r="J26" i="2" s="1"/>
  <c r="H13" i="2"/>
  <c r="H16" i="2" s="1"/>
  <c r="H20" i="2" s="1"/>
  <c r="H22" i="2" s="1"/>
  <c r="H24" i="2" s="1"/>
  <c r="H26" i="2" s="1"/>
  <c r="G13" i="2"/>
  <c r="G16" i="2" s="1"/>
  <c r="G20" i="2" s="1"/>
  <c r="G22" i="2" s="1"/>
  <c r="G24" i="2" s="1"/>
  <c r="G26" i="2" s="1"/>
  <c r="F13" i="2"/>
  <c r="F16" i="2" s="1"/>
  <c r="F20" i="2" s="1"/>
  <c r="F22" i="2" s="1"/>
  <c r="F24" i="2" s="1"/>
  <c r="F26" i="2" s="1"/>
  <c r="E13" i="2"/>
  <c r="E16" i="2" s="1"/>
  <c r="E20" i="2" s="1"/>
  <c r="E22" i="2" s="1"/>
  <c r="E24" i="2" s="1"/>
  <c r="E26" i="2" s="1"/>
  <c r="D13" i="2"/>
  <c r="D16" i="2" s="1"/>
  <c r="D20" i="2" s="1"/>
  <c r="D22" i="2" s="1"/>
  <c r="D24" i="2" s="1"/>
  <c r="D26" i="2" s="1"/>
  <c r="C13" i="2"/>
  <c r="C16" i="2" s="1"/>
  <c r="C20" i="2" s="1"/>
  <c r="C22" i="2" s="1"/>
  <c r="I13" i="2"/>
  <c r="I16" i="2" s="1"/>
  <c r="I20" i="2" s="1"/>
  <c r="I22" i="2" s="1"/>
  <c r="I24" i="2" s="1"/>
  <c r="I26" i="2" s="1"/>
  <c r="I5" i="1"/>
  <c r="I8" i="1" s="1"/>
  <c r="I38" i="2" l="1"/>
  <c r="C36" i="2"/>
  <c r="D36" i="2"/>
  <c r="E36" i="2"/>
  <c r="F36" i="2"/>
  <c r="G36" i="2"/>
  <c r="J37" i="2"/>
  <c r="H36" i="2"/>
  <c r="J38" i="2"/>
  <c r="C37" i="2"/>
  <c r="D37" i="2"/>
  <c r="E37" i="2"/>
  <c r="J36" i="2"/>
  <c r="F37" i="2"/>
  <c r="G37" i="2"/>
  <c r="H37" i="2"/>
  <c r="C38" i="2"/>
  <c r="D38" i="2"/>
  <c r="E38" i="2"/>
  <c r="F38" i="2"/>
  <c r="G38" i="2"/>
  <c r="H38" i="2"/>
</calcChain>
</file>

<file path=xl/sharedStrings.xml><?xml version="1.0" encoding="utf-8"?>
<sst xmlns="http://schemas.openxmlformats.org/spreadsheetml/2006/main" count="77" uniqueCount="73">
  <si>
    <t>Turning Point Brands</t>
  </si>
  <si>
    <t>Shares</t>
  </si>
  <si>
    <t>Price</t>
  </si>
  <si>
    <t>MC</t>
  </si>
  <si>
    <t>Cash</t>
  </si>
  <si>
    <t>Debt</t>
  </si>
  <si>
    <t>EV</t>
  </si>
  <si>
    <t>Q224</t>
  </si>
  <si>
    <t>numbers in mio USD</t>
  </si>
  <si>
    <t>TPB</t>
  </si>
  <si>
    <t>Q324</t>
  </si>
  <si>
    <t>IR</t>
  </si>
  <si>
    <t>Main</t>
  </si>
  <si>
    <t>Q123</t>
  </si>
  <si>
    <t>Q223</t>
  </si>
  <si>
    <t>Q323</t>
  </si>
  <si>
    <t>Q423</t>
  </si>
  <si>
    <t>Q124</t>
  </si>
  <si>
    <t>Q424</t>
  </si>
  <si>
    <t>Revenue</t>
  </si>
  <si>
    <t>COGS</t>
  </si>
  <si>
    <t>Gross Profit</t>
  </si>
  <si>
    <t>Net Income to Company</t>
  </si>
  <si>
    <t>EPS</t>
  </si>
  <si>
    <t>SG&amp;A</t>
  </si>
  <si>
    <t>Other Operating Expenses</t>
  </si>
  <si>
    <t>Operating Income</t>
  </si>
  <si>
    <t>Interest Expense</t>
  </si>
  <si>
    <t>Investment Loss</t>
  </si>
  <si>
    <t>Gain on extinguishment of debt</t>
  </si>
  <si>
    <t>Pretax Income</t>
  </si>
  <si>
    <t>Tax Expense</t>
  </si>
  <si>
    <t>Net Income</t>
  </si>
  <si>
    <t>Minority Shares</t>
  </si>
  <si>
    <t>Zig-Zag Revenue</t>
  </si>
  <si>
    <t>Stokers Revenue</t>
  </si>
  <si>
    <t xml:space="preserve">Creative Distribution Solution </t>
  </si>
  <si>
    <t>Gross Profit Zig Zag</t>
  </si>
  <si>
    <t>Gross Profit Stokers</t>
  </si>
  <si>
    <t xml:space="preserve">Gross Profit Distribution Solution </t>
  </si>
  <si>
    <t>Zig Zag Growth</t>
  </si>
  <si>
    <t>Stokers Growth</t>
  </si>
  <si>
    <t>Distribution Solution Growth</t>
  </si>
  <si>
    <t>Revenue Growth</t>
  </si>
  <si>
    <t xml:space="preserve">Zig Zag Gross Margin </t>
  </si>
  <si>
    <t xml:space="preserve">Stokers Gross Margin </t>
  </si>
  <si>
    <t>Distribution Solution Gross Margin</t>
  </si>
  <si>
    <t xml:space="preserve">Gross Margin </t>
  </si>
  <si>
    <t xml:space="preserve">Operating Margin </t>
  </si>
  <si>
    <t>Tax Rate</t>
  </si>
  <si>
    <t>Domestic Revenue</t>
  </si>
  <si>
    <t>Foreign Revenue</t>
  </si>
  <si>
    <t>Segments</t>
  </si>
  <si>
    <t>% of Rev</t>
  </si>
  <si>
    <t>Products</t>
  </si>
  <si>
    <t>Zig Zag</t>
  </si>
  <si>
    <t>Stokers</t>
  </si>
  <si>
    <t xml:space="preserve">Distribution Solution </t>
  </si>
  <si>
    <t>Notes</t>
  </si>
  <si>
    <t>215.000 retail outlets</t>
  </si>
  <si>
    <t>smoking accessoires, consumables</t>
  </si>
  <si>
    <t>Zig Zag founded 1879</t>
  </si>
  <si>
    <t>moist snuff, chewing tobacco</t>
  </si>
  <si>
    <t>B2B distrubution soultions</t>
  </si>
  <si>
    <t>Alp nicotine pouches partnership with Tucker Carlson</t>
  </si>
  <si>
    <t>Q126</t>
  </si>
  <si>
    <t>Q125</t>
  </si>
  <si>
    <t>Q225</t>
  </si>
  <si>
    <t>Q325</t>
  </si>
  <si>
    <t>Q425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</si>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</sst>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0" xfId="0" applyFont="1"/>
    <xf numFmtId="0" fontId="2" fillId="0" borderId="0" xfId="0" applyFont="1"/>
    <xf numFmtId="164" fontId="2" fillId="0" borderId="0" xfId="0" applyNumberFormat="1" applyFont="1"/>
    <xf numFmtId="0" fontId="6" fillId="0" borderId="0" xfId="2" applyFont="1"/>
    <xf numFmtId="0" fontId="2" fillId="0" borderId="0" xfId="0" applyFont="1" applyAlignment="1">
      <alignment horizontal="right"/>
    </xf>
    <xf numFmtId="0" fontId="7" fillId="0" borderId="1" xfId="0" applyFont="1" applyBorder="1"/>
    <xf numFmtId="0" fontId="7" fillId="0" borderId="5" xfId="0" applyFont="1" applyBorder="1"/>
    <xf numFmtId="0" fontId="7" fillId="0" borderId="2" xfId="0" applyFont="1" applyBorder="1"/>
    <xf numFmtId="0" fontId="7" fillId="0" borderId="3" xfId="0" applyFont="1" applyBorder="1"/>
    <xf numFmtId="0" fontId="2" fillId="0" borderId="4" xfId="0" applyFont="1" applyBorder="1"/>
    <xf numFmtId="9" fontId="2" fillId="0" borderId="5" xfId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9" fontId="2" fillId="0" borderId="0" xfId="1" applyFont="1" applyBorder="1"/>
    <xf numFmtId="0" fontId="2" fillId="0" borderId="8" xfId="0" applyFont="1" applyBorder="1"/>
    <xf numFmtId="0" fontId="2" fillId="0" borderId="9" xfId="0" applyFont="1" applyBorder="1"/>
    <xf numFmtId="9" fontId="2" fillId="0" borderId="10" xfId="1" applyFont="1" applyBorder="1"/>
    <xf numFmtId="0" fontId="2" fillId="0" borderId="10" xfId="0" applyFont="1" applyBorder="1"/>
    <xf numFmtId="0" fontId="2" fillId="0" borderId="11" xfId="0" applyFont="1" applyBorder="1"/>
    <xf numFmtId="0" fontId="8" fillId="0" borderId="0" xfId="0" applyFont="1"/>
    <xf numFmtId="164" fontId="5" fillId="0" borderId="0" xfId="0" applyNumberFormat="1" applyFont="1"/>
    <xf numFmtId="165" fontId="2" fillId="0" borderId="0" xfId="0" applyNumberFormat="1" applyFont="1"/>
    <xf numFmtId="9" fontId="2" fillId="0" borderId="0" xfId="1" applyFont="1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urningpointbrands.com/investor-relations/overview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FB96-90CB-4784-9B70-ACD36F5D1097}">
  <dimension ref="A1:J17"/>
  <sheetViews>
    <sheetView topLeftCell="D1" zoomScale="200" zoomScaleNormal="200" workbookViewId="0">
      <selection activeCell="I8" sqref="I8"/>
    </sheetView>
  </sheetViews>
  <sheetFormatPr defaultRowHeight="12.75" x14ac:dyDescent="0.2"/>
  <cols>
    <col min="1" max="1" width="4.5703125" style="2" customWidth="1"/>
    <col min="2" max="2" width="19.85546875" style="2" bestFit="1" customWidth="1"/>
    <col min="3" max="3" width="8.7109375" style="2" bestFit="1" customWidth="1"/>
    <col min="4" max="4" width="33.28515625" style="2" bestFit="1" customWidth="1"/>
    <col min="5" max="16384" width="9.140625" style="2"/>
  </cols>
  <sheetData>
    <row r="1" spans="1:10" x14ac:dyDescent="0.2">
      <c r="A1" s="1" t="s">
        <v>0</v>
      </c>
    </row>
    <row r="2" spans="1:10" x14ac:dyDescent="0.2">
      <c r="A2" s="2" t="s">
        <v>8</v>
      </c>
    </row>
    <row r="3" spans="1:10" x14ac:dyDescent="0.2">
      <c r="H3" s="2" t="s">
        <v>2</v>
      </c>
      <c r="I3" s="3">
        <v>90.75</v>
      </c>
    </row>
    <row r="4" spans="1:10" x14ac:dyDescent="0.2">
      <c r="B4" s="4" t="s">
        <v>11</v>
      </c>
      <c r="H4" s="2" t="s">
        <v>1</v>
      </c>
      <c r="I4" s="3">
        <v>19.367533999999999</v>
      </c>
      <c r="J4" s="26" t="s">
        <v>65</v>
      </c>
    </row>
    <row r="5" spans="1:10" x14ac:dyDescent="0.2">
      <c r="B5" s="2" t="s">
        <v>9</v>
      </c>
      <c r="H5" s="2" t="s">
        <v>3</v>
      </c>
      <c r="I5" s="3">
        <f>I3*I4</f>
        <v>1757.6037105</v>
      </c>
      <c r="J5" s="5"/>
    </row>
    <row r="6" spans="1:10" x14ac:dyDescent="0.2">
      <c r="H6" s="2" t="s">
        <v>4</v>
      </c>
      <c r="I6" s="3">
        <v>192.43899999999999</v>
      </c>
      <c r="J6" s="26" t="s">
        <v>65</v>
      </c>
    </row>
    <row r="7" spans="1:10" x14ac:dyDescent="0.2">
      <c r="B7" s="6" t="s">
        <v>52</v>
      </c>
      <c r="C7" s="7" t="s">
        <v>53</v>
      </c>
      <c r="D7" s="8" t="s">
        <v>54</v>
      </c>
      <c r="E7" s="9"/>
      <c r="H7" s="2" t="s">
        <v>5</v>
      </c>
      <c r="I7" s="3">
        <v>293.88499999999999</v>
      </c>
      <c r="J7" s="26" t="s">
        <v>65</v>
      </c>
    </row>
    <row r="8" spans="1:10" x14ac:dyDescent="0.2">
      <c r="B8" s="10" t="s">
        <v>55</v>
      </c>
      <c r="C8" s="11">
        <v>0.4670081520967268</v>
      </c>
      <c r="D8" s="12" t="s">
        <v>60</v>
      </c>
      <c r="E8" s="13"/>
      <c r="H8" s="2" t="s">
        <v>6</v>
      </c>
      <c r="I8" s="3">
        <f>I5-I6+I7</f>
        <v>1859.0497104999999</v>
      </c>
    </row>
    <row r="9" spans="1:10" x14ac:dyDescent="0.2">
      <c r="B9" s="14" t="s">
        <v>56</v>
      </c>
      <c r="C9" s="15">
        <v>0.3917929878712707</v>
      </c>
      <c r="D9" s="2" t="s">
        <v>62</v>
      </c>
      <c r="E9" s="16"/>
      <c r="I9" s="3"/>
    </row>
    <row r="10" spans="1:10" x14ac:dyDescent="0.2">
      <c r="B10" s="17" t="s">
        <v>57</v>
      </c>
      <c r="C10" s="18">
        <v>0.14119886003200241</v>
      </c>
      <c r="D10" s="19" t="s">
        <v>63</v>
      </c>
      <c r="E10" s="20"/>
    </row>
    <row r="14" spans="1:10" x14ac:dyDescent="0.2">
      <c r="B14" s="21" t="s">
        <v>58</v>
      </c>
    </row>
    <row r="15" spans="1:10" x14ac:dyDescent="0.2">
      <c r="B15" s="2" t="s">
        <v>59</v>
      </c>
    </row>
    <row r="16" spans="1:10" x14ac:dyDescent="0.2">
      <c r="B16" s="2" t="s">
        <v>61</v>
      </c>
    </row>
    <row r="17" spans="2:2" x14ac:dyDescent="0.2">
      <c r="B17" s="25" t="s">
        <v>64</v>
      </c>
    </row>
  </sheetData>
  <hyperlinks>
    <hyperlink ref="B4" r:id="rId1" xr:uid="{93C15E35-3C53-4C8C-B6CD-35FBA1B983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7ADB-ACFA-4EB0-96C0-5F536B3183DD}">
  <dimension ref="A1:BD496"/>
  <sheetViews>
    <sheetView tabSelected="1"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O5" sqref="O5"/>
    </sheetView>
  </sheetViews>
  <sheetFormatPr defaultRowHeight="12.75" x14ac:dyDescent="0.2"/>
  <cols>
    <col min="1" max="1" width="5.42578125" style="2" bestFit="1" customWidth="1"/>
    <col min="2" max="2" width="30.28515625" style="2" customWidth="1"/>
    <col min="3" max="16384" width="9.140625" style="2"/>
  </cols>
  <sheetData>
    <row r="1" spans="1:56" x14ac:dyDescent="0.2">
      <c r="A1" s="4" t="s">
        <v>12</v>
      </c>
    </row>
    <row r="2" spans="1:56" x14ac:dyDescent="0.2"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7</v>
      </c>
      <c r="I2" s="5" t="s">
        <v>10</v>
      </c>
      <c r="J2" s="5" t="s">
        <v>18</v>
      </c>
      <c r="K2" s="26" t="s">
        <v>66</v>
      </c>
      <c r="L2" s="26" t="s">
        <v>67</v>
      </c>
      <c r="M2" s="26" t="s">
        <v>68</v>
      </c>
      <c r="N2" s="26" t="s">
        <v>69</v>
      </c>
      <c r="O2" s="26" t="s">
        <v>65</v>
      </c>
      <c r="P2" s="26" t="s">
        <v>70</v>
      </c>
      <c r="Q2" s="26" t="s">
        <v>71</v>
      </c>
      <c r="R2" s="26" t="s">
        <v>72</v>
      </c>
    </row>
    <row r="3" spans="1:56" x14ac:dyDescent="0.2">
      <c r="B3" s="2" t="s">
        <v>50</v>
      </c>
      <c r="C3" s="3">
        <v>93.86</v>
      </c>
      <c r="D3" s="3">
        <v>98.120999999999995</v>
      </c>
      <c r="E3" s="3">
        <v>93.533000000000001</v>
      </c>
      <c r="F3" s="3"/>
      <c r="G3" s="3">
        <v>89.91</v>
      </c>
      <c r="H3" s="3">
        <v>100.119</v>
      </c>
      <c r="I3" s="3">
        <v>97.634</v>
      </c>
      <c r="J3" s="3"/>
      <c r="K3" s="3">
        <v>100.488</v>
      </c>
      <c r="L3" s="3"/>
      <c r="M3" s="3"/>
      <c r="O3" s="2">
        <v>116.15300000000001</v>
      </c>
    </row>
    <row r="4" spans="1:56" x14ac:dyDescent="0.2">
      <c r="B4" s="2" t="s">
        <v>51</v>
      </c>
      <c r="C4" s="3">
        <v>7.0960000000000001</v>
      </c>
      <c r="D4" s="3">
        <v>7.4740000000000002</v>
      </c>
      <c r="E4" s="3">
        <v>8.1890000000000001</v>
      </c>
      <c r="F4" s="3"/>
      <c r="G4" s="3">
        <v>7.1479999999999997</v>
      </c>
      <c r="H4" s="3">
        <v>8.3930000000000007</v>
      </c>
      <c r="I4" s="3">
        <v>7.9829999999999997</v>
      </c>
      <c r="J4" s="3"/>
      <c r="K4" s="3">
        <v>5.9480000000000004</v>
      </c>
      <c r="L4" s="3"/>
      <c r="M4" s="3"/>
      <c r="O4" s="2">
        <v>8.125</v>
      </c>
    </row>
    <row r="5" spans="1:56" x14ac:dyDescent="0.2">
      <c r="B5" s="2" t="s">
        <v>34</v>
      </c>
      <c r="C5" s="3">
        <v>41.887</v>
      </c>
      <c r="D5" s="3">
        <v>46.722000000000001</v>
      </c>
      <c r="E5" s="3">
        <v>46.753999999999998</v>
      </c>
      <c r="F5" s="3"/>
      <c r="G5" s="3">
        <v>46.697000000000003</v>
      </c>
      <c r="H5" s="3">
        <v>50.481999999999999</v>
      </c>
      <c r="I5" s="3">
        <v>49.323999999999998</v>
      </c>
      <c r="J5" s="3"/>
      <c r="K5" s="3">
        <v>47.265000000000001</v>
      </c>
      <c r="L5" s="3"/>
      <c r="M5" s="3"/>
      <c r="N5" s="3"/>
      <c r="O5" s="3">
        <v>36.668999999999997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6" x14ac:dyDescent="0.2">
      <c r="B6" s="2" t="s">
        <v>35</v>
      </c>
      <c r="C6" s="3">
        <v>33.661999999999999</v>
      </c>
      <c r="D6" s="3">
        <v>36.055999999999997</v>
      </c>
      <c r="E6" s="3">
        <v>36.915999999999997</v>
      </c>
      <c r="F6" s="3"/>
      <c r="G6" s="3">
        <v>36.366999999999997</v>
      </c>
      <c r="H6" s="3">
        <v>42.743000000000002</v>
      </c>
      <c r="I6" s="3">
        <v>41.38</v>
      </c>
      <c r="J6" s="3"/>
      <c r="K6" s="3">
        <v>59.170999999999999</v>
      </c>
      <c r="L6" s="3"/>
      <c r="M6" s="3"/>
      <c r="N6" s="3"/>
      <c r="O6" s="3">
        <v>87.608999999999995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56" x14ac:dyDescent="0.2">
      <c r="B7" s="2" t="s">
        <v>36</v>
      </c>
      <c r="C7" s="3">
        <v>25.407</v>
      </c>
      <c r="D7" s="3">
        <v>22.817</v>
      </c>
      <c r="E7" s="3">
        <v>18.052</v>
      </c>
      <c r="F7" s="3"/>
      <c r="G7" s="3">
        <v>13.994</v>
      </c>
      <c r="H7" s="3">
        <v>15.287000000000001</v>
      </c>
      <c r="I7" s="3">
        <v>14.913</v>
      </c>
      <c r="J7" s="3"/>
      <c r="K7" s="27">
        <v>0</v>
      </c>
      <c r="L7" s="3"/>
      <c r="M7" s="3"/>
      <c r="N7" s="3"/>
      <c r="O7" s="27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56" x14ac:dyDescent="0.2">
      <c r="B8" s="1" t="s">
        <v>19</v>
      </c>
      <c r="C8" s="22">
        <v>100.956</v>
      </c>
      <c r="D8" s="22">
        <v>105.595</v>
      </c>
      <c r="E8" s="22">
        <v>101.72199999999999</v>
      </c>
      <c r="F8" s="22"/>
      <c r="G8" s="22">
        <v>97.058000000000007</v>
      </c>
      <c r="H8" s="22">
        <v>108.512</v>
      </c>
      <c r="I8" s="22">
        <v>105.617</v>
      </c>
      <c r="J8" s="22"/>
      <c r="K8" s="22">
        <v>106.43600000000001</v>
      </c>
      <c r="L8" s="22"/>
      <c r="M8" s="22"/>
      <c r="N8" s="22"/>
      <c r="O8" s="22">
        <v>124.27800000000001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56" x14ac:dyDescent="0.2">
      <c r="B9" s="2" t="s">
        <v>20</v>
      </c>
      <c r="C9" s="3">
        <v>52.338999999999999</v>
      </c>
      <c r="D9" s="3">
        <v>53.116999999999997</v>
      </c>
      <c r="E9" s="3">
        <v>50.1</v>
      </c>
      <c r="F9" s="3"/>
      <c r="G9" s="3">
        <v>45.146000000000001</v>
      </c>
      <c r="H9" s="3">
        <v>54.670999999999999</v>
      </c>
      <c r="I9" s="3">
        <v>51.917999999999999</v>
      </c>
      <c r="J9" s="3"/>
      <c r="K9" s="3">
        <v>46.826000000000001</v>
      </c>
      <c r="L9" s="3"/>
      <c r="M9" s="3"/>
      <c r="N9" s="3"/>
      <c r="O9" s="3">
        <v>55.982999999999997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56" x14ac:dyDescent="0.2">
      <c r="B10" s="2" t="s">
        <v>37</v>
      </c>
      <c r="C10" s="3">
        <v>22.39</v>
      </c>
      <c r="D10" s="3">
        <v>26.422000000000001</v>
      </c>
      <c r="E10" s="3">
        <v>26.745000000000001</v>
      </c>
      <c r="F10" s="3"/>
      <c r="G10" s="3">
        <v>27.538</v>
      </c>
      <c r="H10" s="3">
        <v>26.872</v>
      </c>
      <c r="I10" s="3">
        <v>27.327000000000002</v>
      </c>
      <c r="J10" s="3"/>
      <c r="K10" s="3">
        <v>25.565000000000001</v>
      </c>
      <c r="L10" s="3"/>
      <c r="M10" s="3"/>
      <c r="N10" s="3"/>
      <c r="O10" s="3">
        <v>20.945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 spans="1:56" x14ac:dyDescent="0.2">
      <c r="B11" s="2" t="s">
        <v>38</v>
      </c>
      <c r="C11" s="3">
        <v>19.465</v>
      </c>
      <c r="D11" s="3">
        <v>19.968</v>
      </c>
      <c r="E11" s="3">
        <v>20.571999999999999</v>
      </c>
      <c r="F11" s="3"/>
      <c r="G11" s="3">
        <v>20.815000000000001</v>
      </c>
      <c r="H11" s="3">
        <v>23.524000000000001</v>
      </c>
      <c r="I11" s="3">
        <v>23.071000000000002</v>
      </c>
      <c r="J11" s="3"/>
      <c r="K11" s="3">
        <v>34.045000000000002</v>
      </c>
      <c r="L11" s="3"/>
      <c r="M11" s="3"/>
      <c r="N11" s="3"/>
      <c r="O11" s="3">
        <v>47.35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 spans="1:56" x14ac:dyDescent="0.2">
      <c r="B12" s="2" t="s">
        <v>39</v>
      </c>
      <c r="C12" s="3">
        <v>6.7619999999999996</v>
      </c>
      <c r="D12" s="3">
        <v>6.0880000000000001</v>
      </c>
      <c r="E12" s="3">
        <v>4.3049999999999997</v>
      </c>
      <c r="F12" s="3"/>
      <c r="G12" s="3">
        <v>3.5590000000000002</v>
      </c>
      <c r="H12" s="3">
        <v>3.4449999999999998</v>
      </c>
      <c r="I12" s="3">
        <v>3.3010000000000002</v>
      </c>
      <c r="J12" s="3"/>
      <c r="K12" s="27">
        <v>0</v>
      </c>
      <c r="L12" s="3"/>
      <c r="M12" s="3"/>
      <c r="N12" s="3"/>
      <c r="O12" s="27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 spans="1:56" x14ac:dyDescent="0.2">
      <c r="B13" s="2" t="s">
        <v>21</v>
      </c>
      <c r="C13" s="3">
        <f t="shared" ref="C13:R13" si="0">+C8-C9</f>
        <v>48.617000000000004</v>
      </c>
      <c r="D13" s="3">
        <f t="shared" si="0"/>
        <v>52.478000000000002</v>
      </c>
      <c r="E13" s="3">
        <f t="shared" si="0"/>
        <v>51.621999999999993</v>
      </c>
      <c r="F13" s="3">
        <f t="shared" si="0"/>
        <v>0</v>
      </c>
      <c r="G13" s="3">
        <f t="shared" si="0"/>
        <v>51.912000000000006</v>
      </c>
      <c r="H13" s="3">
        <f t="shared" si="0"/>
        <v>53.841000000000001</v>
      </c>
      <c r="I13" s="3">
        <f t="shared" si="0"/>
        <v>53.699000000000005</v>
      </c>
      <c r="J13" s="3">
        <f t="shared" si="0"/>
        <v>0</v>
      </c>
      <c r="K13" s="3">
        <f t="shared" si="0"/>
        <v>59.610000000000007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68.295000000000016</v>
      </c>
      <c r="P13" s="3">
        <f t="shared" si="0"/>
        <v>0</v>
      </c>
      <c r="Q13" s="3">
        <f t="shared" si="0"/>
        <v>0</v>
      </c>
      <c r="R13" s="3">
        <f t="shared" si="0"/>
        <v>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 x14ac:dyDescent="0.2">
      <c r="B14" s="2" t="s">
        <v>24</v>
      </c>
      <c r="C14" s="3">
        <v>30.774999999999999</v>
      </c>
      <c r="D14" s="3">
        <v>31.933</v>
      </c>
      <c r="E14" s="3">
        <v>31.385000000000002</v>
      </c>
      <c r="F14" s="3"/>
      <c r="G14" s="3">
        <v>32.646000000000001</v>
      </c>
      <c r="H14" s="3">
        <v>32.753</v>
      </c>
      <c r="I14" s="3">
        <v>33.159999999999997</v>
      </c>
      <c r="J14" s="3"/>
      <c r="K14" s="3">
        <v>36.420999999999999</v>
      </c>
      <c r="L14" s="3"/>
      <c r="M14" s="3"/>
      <c r="N14" s="3"/>
      <c r="O14" s="3">
        <v>55.811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 spans="1:56" x14ac:dyDescent="0.2">
      <c r="B15" s="2" t="s">
        <v>25</v>
      </c>
      <c r="C15" s="3">
        <v>0</v>
      </c>
      <c r="D15" s="3">
        <v>0</v>
      </c>
      <c r="E15" s="3">
        <v>0</v>
      </c>
      <c r="F15" s="3"/>
      <c r="G15" s="3">
        <v>0</v>
      </c>
      <c r="H15" s="3">
        <v>-1.6739999999999999</v>
      </c>
      <c r="I15" s="3">
        <v>0</v>
      </c>
      <c r="J15" s="3"/>
      <c r="K15" s="3">
        <v>0</v>
      </c>
      <c r="L15" s="3"/>
      <c r="M15" s="3"/>
      <c r="N15" s="3"/>
      <c r="O15" s="3"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 spans="1:56" x14ac:dyDescent="0.2">
      <c r="B16" s="2" t="s">
        <v>26</v>
      </c>
      <c r="C16" s="3">
        <f t="shared" ref="C16:Q16" si="1">+C13-SUM(C14:C15)</f>
        <v>17.842000000000006</v>
      </c>
      <c r="D16" s="3">
        <f t="shared" si="1"/>
        <v>20.545000000000002</v>
      </c>
      <c r="E16" s="3">
        <f t="shared" si="1"/>
        <v>20.236999999999991</v>
      </c>
      <c r="F16" s="3">
        <f t="shared" si="1"/>
        <v>0</v>
      </c>
      <c r="G16" s="3">
        <f t="shared" si="1"/>
        <v>19.266000000000005</v>
      </c>
      <c r="H16" s="3">
        <f t="shared" si="1"/>
        <v>22.762</v>
      </c>
      <c r="I16" s="3">
        <f t="shared" si="1"/>
        <v>20.539000000000009</v>
      </c>
      <c r="J16" s="3">
        <f t="shared" si="1"/>
        <v>0</v>
      </c>
      <c r="K16" s="3">
        <f t="shared" si="1"/>
        <v>23.189000000000007</v>
      </c>
      <c r="L16" s="3">
        <f t="shared" si="1"/>
        <v>0</v>
      </c>
      <c r="M16" s="3">
        <f t="shared" si="1"/>
        <v>0</v>
      </c>
      <c r="N16" s="3">
        <f t="shared" si="1"/>
        <v>0</v>
      </c>
      <c r="O16" s="3">
        <f t="shared" si="1"/>
        <v>12.484000000000016</v>
      </c>
      <c r="P16" s="3">
        <f t="shared" si="1"/>
        <v>0</v>
      </c>
      <c r="Q16" s="3">
        <f t="shared" si="1"/>
        <v>0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 spans="2:56" x14ac:dyDescent="0.2">
      <c r="B17" s="2" t="s">
        <v>27</v>
      </c>
      <c r="C17" s="3">
        <v>4.01</v>
      </c>
      <c r="D17" s="3">
        <v>4.0190000000000001</v>
      </c>
      <c r="E17" s="3">
        <v>3.984</v>
      </c>
      <c r="F17" s="3"/>
      <c r="G17" s="3">
        <v>3.4790000000000001</v>
      </c>
      <c r="H17" s="3">
        <v>2.9910000000000001</v>
      </c>
      <c r="I17" s="3">
        <v>3.7730000000000001</v>
      </c>
      <c r="J17" s="3"/>
      <c r="K17" s="3">
        <v>4.4139999999999997</v>
      </c>
      <c r="L17" s="3"/>
      <c r="M17" s="3"/>
      <c r="N17" s="3"/>
      <c r="O17" s="3">
        <f>4.423+0.063</f>
        <v>4.4859999999999998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 spans="2:56" x14ac:dyDescent="0.2">
      <c r="B18" s="2" t="s">
        <v>28</v>
      </c>
      <c r="C18" s="3">
        <v>4.7990000000000004</v>
      </c>
      <c r="D18" s="3">
        <v>4.08</v>
      </c>
      <c r="E18" s="3">
        <v>2.101</v>
      </c>
      <c r="F18" s="3"/>
      <c r="G18" s="3">
        <v>-0.11899999999999999</v>
      </c>
      <c r="H18" s="3">
        <v>2.4390000000000001</v>
      </c>
      <c r="I18" s="3">
        <v>-0.20300000000000001</v>
      </c>
      <c r="J18" s="3"/>
      <c r="K18" s="3">
        <v>-0.14099999999999999</v>
      </c>
      <c r="L18" s="3"/>
      <c r="M18" s="3"/>
      <c r="N18" s="3"/>
      <c r="O18" s="3">
        <v>-0.151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 spans="2:56" x14ac:dyDescent="0.2">
      <c r="B19" s="2" t="s">
        <v>29</v>
      </c>
      <c r="C19" s="3">
        <v>0.77700000000000002</v>
      </c>
      <c r="D19" s="3">
        <v>0.6</v>
      </c>
      <c r="E19" s="3">
        <v>0.48099999999999998</v>
      </c>
      <c r="F19" s="3"/>
      <c r="G19" s="3">
        <v>0</v>
      </c>
      <c r="H19" s="3">
        <v>0</v>
      </c>
      <c r="I19" s="3">
        <v>0</v>
      </c>
      <c r="J19" s="3"/>
      <c r="K19" s="3">
        <f>0.15-1.235</f>
        <v>-1.0850000000000002</v>
      </c>
      <c r="L19" s="3"/>
      <c r="M19" s="3"/>
      <c r="N19" s="3"/>
      <c r="O19" s="3">
        <v>2.9830000000000001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 spans="2:56" x14ac:dyDescent="0.2">
      <c r="B20" s="2" t="s">
        <v>30</v>
      </c>
      <c r="C20" s="3">
        <f t="shared" ref="C20:H20" si="2">+C16-C17-C18+C19</f>
        <v>9.8100000000000041</v>
      </c>
      <c r="D20" s="3">
        <f t="shared" si="2"/>
        <v>13.046000000000003</v>
      </c>
      <c r="E20" s="3">
        <f t="shared" si="2"/>
        <v>14.632999999999994</v>
      </c>
      <c r="F20" s="3">
        <f t="shared" si="2"/>
        <v>0</v>
      </c>
      <c r="G20" s="3">
        <f t="shared" si="2"/>
        <v>15.906000000000006</v>
      </c>
      <c r="H20" s="3">
        <f t="shared" si="2"/>
        <v>17.332000000000001</v>
      </c>
      <c r="I20" s="3">
        <f>+I16-I17-I18+I19</f>
        <v>16.969000000000008</v>
      </c>
      <c r="J20" s="3">
        <f t="shared" ref="J20:Q20" si="3">+J16-J17-J18+J19</f>
        <v>0</v>
      </c>
      <c r="K20" s="3">
        <f t="shared" si="3"/>
        <v>17.831000000000003</v>
      </c>
      <c r="L20" s="3">
        <f t="shared" si="3"/>
        <v>0</v>
      </c>
      <c r="M20" s="3">
        <f t="shared" si="3"/>
        <v>0</v>
      </c>
      <c r="N20" s="3">
        <f t="shared" si="3"/>
        <v>0</v>
      </c>
      <c r="O20" s="3">
        <f t="shared" si="3"/>
        <v>11.132000000000017</v>
      </c>
      <c r="P20" s="3">
        <f t="shared" si="3"/>
        <v>0</v>
      </c>
      <c r="Q20" s="3">
        <f t="shared" si="3"/>
        <v>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 spans="2:56" x14ac:dyDescent="0.2">
      <c r="B21" s="2" t="s">
        <v>31</v>
      </c>
      <c r="C21" s="3">
        <v>2.468</v>
      </c>
      <c r="D21" s="3">
        <v>3.3380000000000001</v>
      </c>
      <c r="E21" s="3">
        <v>3.7669999999999999</v>
      </c>
      <c r="F21" s="3"/>
      <c r="G21" s="3">
        <v>3.7269999999999999</v>
      </c>
      <c r="H21" s="3">
        <v>4.415</v>
      </c>
      <c r="I21" s="3">
        <v>4.601</v>
      </c>
      <c r="J21" s="3"/>
      <c r="K21" s="3">
        <v>2.04</v>
      </c>
      <c r="L21" s="3"/>
      <c r="M21" s="3"/>
      <c r="N21" s="3"/>
      <c r="O21" s="3">
        <v>-2.81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 spans="2:56" x14ac:dyDescent="0.2">
      <c r="B22" s="2" t="s">
        <v>32</v>
      </c>
      <c r="C22" s="3">
        <f t="shared" ref="C22:H22" si="4">+C20-C21</f>
        <v>7.3420000000000041</v>
      </c>
      <c r="D22" s="3">
        <f t="shared" si="4"/>
        <v>9.708000000000002</v>
      </c>
      <c r="E22" s="3">
        <f t="shared" si="4"/>
        <v>10.865999999999994</v>
      </c>
      <c r="F22" s="3">
        <f t="shared" si="4"/>
        <v>0</v>
      </c>
      <c r="G22" s="3">
        <f t="shared" si="4"/>
        <v>12.179000000000006</v>
      </c>
      <c r="H22" s="3">
        <f t="shared" si="4"/>
        <v>12.917000000000002</v>
      </c>
      <c r="I22" s="3">
        <f>+I20-I21</f>
        <v>12.368000000000009</v>
      </c>
      <c r="J22" s="3">
        <f t="shared" ref="J22:P22" si="5">+J20-J21</f>
        <v>0</v>
      </c>
      <c r="K22" s="3">
        <f t="shared" si="5"/>
        <v>15.791000000000004</v>
      </c>
      <c r="L22" s="3">
        <f t="shared" si="5"/>
        <v>0</v>
      </c>
      <c r="M22" s="3">
        <f t="shared" si="5"/>
        <v>0</v>
      </c>
      <c r="N22" s="3">
        <f t="shared" si="5"/>
        <v>0</v>
      </c>
      <c r="O22" s="3">
        <f t="shared" si="5"/>
        <v>13.942000000000018</v>
      </c>
      <c r="P22" s="3">
        <f t="shared" si="5"/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2:56" x14ac:dyDescent="0.2">
      <c r="B23" s="2" t="s">
        <v>33</v>
      </c>
      <c r="C23" s="3">
        <v>-0.255</v>
      </c>
      <c r="D23" s="3">
        <v>-0.217</v>
      </c>
      <c r="E23" s="3">
        <v>3.5000000000000003E-2</v>
      </c>
      <c r="F23" s="3"/>
      <c r="G23" s="3">
        <v>0.16900000000000001</v>
      </c>
      <c r="H23" s="3">
        <v>-8.6999999999999994E-2</v>
      </c>
      <c r="I23" s="3">
        <v>-1.6E-2</v>
      </c>
      <c r="J23" s="3"/>
      <c r="K23" s="3">
        <v>1.3959999999999999</v>
      </c>
      <c r="L23" s="3"/>
      <c r="M23" s="3"/>
      <c r="N23" s="3"/>
      <c r="O23" s="3">
        <v>2.2749999999999999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2:56" x14ac:dyDescent="0.2">
      <c r="B24" s="2" t="s">
        <v>22</v>
      </c>
      <c r="C24" s="3">
        <f t="shared" ref="C24:H24" si="6">+C22-C23</f>
        <v>7.597000000000004</v>
      </c>
      <c r="D24" s="3">
        <f t="shared" si="6"/>
        <v>9.9250000000000025</v>
      </c>
      <c r="E24" s="3">
        <f t="shared" si="6"/>
        <v>10.830999999999994</v>
      </c>
      <c r="F24" s="3">
        <f t="shared" si="6"/>
        <v>0</v>
      </c>
      <c r="G24" s="3">
        <f t="shared" si="6"/>
        <v>12.010000000000005</v>
      </c>
      <c r="H24" s="3">
        <f t="shared" si="6"/>
        <v>13.004000000000001</v>
      </c>
      <c r="I24" s="3">
        <f>+I22-I23</f>
        <v>12.384000000000009</v>
      </c>
      <c r="J24" s="3">
        <f t="shared" ref="J24:Q24" si="7">+J22-J23</f>
        <v>0</v>
      </c>
      <c r="K24" s="3">
        <f t="shared" si="7"/>
        <v>14.395000000000003</v>
      </c>
      <c r="L24" s="3">
        <f t="shared" si="7"/>
        <v>0</v>
      </c>
      <c r="M24" s="3">
        <f t="shared" si="7"/>
        <v>0</v>
      </c>
      <c r="N24" s="3">
        <f t="shared" si="7"/>
        <v>0</v>
      </c>
      <c r="O24" s="3">
        <f t="shared" si="7"/>
        <v>11.667000000000018</v>
      </c>
      <c r="P24" s="3">
        <f t="shared" si="7"/>
        <v>0</v>
      </c>
      <c r="Q24" s="3">
        <f t="shared" si="7"/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2:56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2:56" x14ac:dyDescent="0.2">
      <c r="B26" s="2" t="s">
        <v>23</v>
      </c>
      <c r="C26" s="23">
        <f t="shared" ref="C26:H26" si="8">+C24/C27</f>
        <v>0.43333640971572535</v>
      </c>
      <c r="D26" s="23">
        <f t="shared" si="8"/>
        <v>0.5644258401599479</v>
      </c>
      <c r="E26" s="23">
        <f t="shared" si="8"/>
        <v>0.6155383218212338</v>
      </c>
      <c r="F26" s="23" t="e">
        <f t="shared" si="8"/>
        <v>#DIV/0!</v>
      </c>
      <c r="G26" s="23">
        <f t="shared" si="8"/>
        <v>0.68027272535719163</v>
      </c>
      <c r="H26" s="23">
        <f t="shared" si="8"/>
        <v>0.73648962899816339</v>
      </c>
      <c r="I26" s="23">
        <f>+I24/I27</f>
        <v>0.69875874964840656</v>
      </c>
      <c r="J26" s="23" t="e">
        <f t="shared" ref="J26:Q26" si="9">+J24/J27</f>
        <v>#DIV/0!</v>
      </c>
      <c r="K26" s="23">
        <f t="shared" si="9"/>
        <v>0.80892404784806837</v>
      </c>
      <c r="L26" s="23" t="e">
        <f t="shared" si="9"/>
        <v>#DIV/0!</v>
      </c>
      <c r="M26" s="23" t="e">
        <f t="shared" si="9"/>
        <v>#DIV/0!</v>
      </c>
      <c r="N26" s="23" t="e">
        <f t="shared" si="9"/>
        <v>#DIV/0!</v>
      </c>
      <c r="O26" s="23">
        <f t="shared" si="9"/>
        <v>0.60720119697795316</v>
      </c>
      <c r="P26" s="23" t="e">
        <f t="shared" si="9"/>
        <v>#DIV/0!</v>
      </c>
      <c r="Q26" s="23" t="e">
        <f t="shared" si="9"/>
        <v>#DIV/0!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2:56" x14ac:dyDescent="0.2">
      <c r="B27" s="2" t="s">
        <v>1</v>
      </c>
      <c r="C27" s="3">
        <v>17.531414000000002</v>
      </c>
      <c r="D27" s="3">
        <v>17.584240999999999</v>
      </c>
      <c r="E27" s="3">
        <v>17.595980000000001</v>
      </c>
      <c r="F27" s="3"/>
      <c r="G27" s="3">
        <v>17.654684</v>
      </c>
      <c r="H27" s="3">
        <v>17.656732000000002</v>
      </c>
      <c r="I27" s="3">
        <v>17.722854999999999</v>
      </c>
      <c r="J27" s="3"/>
      <c r="K27" s="3">
        <v>17.795242999999999</v>
      </c>
      <c r="L27" s="3"/>
      <c r="M27" s="3"/>
      <c r="N27" s="3"/>
      <c r="O27" s="3">
        <v>19.214389000000001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2:56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2:56" x14ac:dyDescent="0.2">
      <c r="B29" s="2" t="s">
        <v>40</v>
      </c>
      <c r="C29" s="3"/>
      <c r="D29" s="3"/>
      <c r="E29" s="3"/>
      <c r="F29" s="3"/>
      <c r="G29" s="24">
        <f t="shared" ref="G29:H32" si="10">+G5/C5-1</f>
        <v>0.11483276434215872</v>
      </c>
      <c r="H29" s="24">
        <f t="shared" si="10"/>
        <v>8.0476007020247486E-2</v>
      </c>
      <c r="I29" s="24">
        <f>+I5/E5-1</f>
        <v>5.4968558839885384E-2</v>
      </c>
      <c r="J29" s="24" t="e">
        <f>+J5/F5-1</f>
        <v>#DIV/0!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 spans="2:56" x14ac:dyDescent="0.2">
      <c r="B30" s="2" t="s">
        <v>41</v>
      </c>
      <c r="C30" s="3"/>
      <c r="D30" s="3"/>
      <c r="E30" s="3"/>
      <c r="F30" s="3"/>
      <c r="G30" s="24">
        <f t="shared" si="10"/>
        <v>8.0357673340859082E-2</v>
      </c>
      <c r="H30" s="24">
        <f t="shared" si="10"/>
        <v>0.18546150432660324</v>
      </c>
      <c r="I30" s="24">
        <f t="shared" ref="I30:J32" si="11">+I6/E6-1</f>
        <v>0.12092317694224741</v>
      </c>
      <c r="J30" s="24" t="e">
        <f t="shared" si="11"/>
        <v>#DIV/0!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 spans="2:56" x14ac:dyDescent="0.2">
      <c r="B31" s="2" t="s">
        <v>42</v>
      </c>
      <c r="C31" s="3"/>
      <c r="D31" s="3"/>
      <c r="E31" s="3"/>
      <c r="F31" s="3"/>
      <c r="G31" s="24">
        <f t="shared" si="10"/>
        <v>-0.44920691148108793</v>
      </c>
      <c r="H31" s="24">
        <f t="shared" si="10"/>
        <v>-0.33001709251873601</v>
      </c>
      <c r="I31" s="24">
        <f t="shared" si="11"/>
        <v>-0.17388654996676267</v>
      </c>
      <c r="J31" s="24" t="e">
        <f t="shared" si="11"/>
        <v>#DIV/0!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 spans="2:56" x14ac:dyDescent="0.2">
      <c r="B32" s="2" t="s">
        <v>43</v>
      </c>
      <c r="C32" s="3"/>
      <c r="D32" s="3"/>
      <c r="E32" s="3"/>
      <c r="F32" s="3"/>
      <c r="G32" s="24">
        <f t="shared" si="10"/>
        <v>-3.8610879987321156E-2</v>
      </c>
      <c r="H32" s="24">
        <f t="shared" si="10"/>
        <v>2.7624414034755462E-2</v>
      </c>
      <c r="I32" s="24">
        <f t="shared" si="11"/>
        <v>3.8290635260809003E-2</v>
      </c>
      <c r="J32" s="24" t="e">
        <f t="shared" si="11"/>
        <v>#DIV/0!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 spans="2:56" x14ac:dyDescent="0.2">
      <c r="B33" s="2" t="s">
        <v>44</v>
      </c>
      <c r="C33" s="24">
        <f t="shared" ref="C33:F33" si="12">+C10/C5</f>
        <v>0.53453338744717938</v>
      </c>
      <c r="D33" s="24">
        <f t="shared" si="12"/>
        <v>0.56551517486408975</v>
      </c>
      <c r="E33" s="24">
        <f t="shared" si="12"/>
        <v>0.57203661718783427</v>
      </c>
      <c r="F33" s="24" t="e">
        <f t="shared" si="12"/>
        <v>#DIV/0!</v>
      </c>
      <c r="G33" s="24">
        <f t="shared" ref="G33:H33" si="13">+G10/G5</f>
        <v>0.58971668415529899</v>
      </c>
      <c r="H33" s="24">
        <f t="shared" si="13"/>
        <v>0.53230854562022112</v>
      </c>
      <c r="I33" s="24">
        <f>+I10/I5</f>
        <v>0.55403049225529155</v>
      </c>
      <c r="J33" s="24" t="e">
        <f>+J10/J5</f>
        <v>#DIV/0!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 spans="2:56" x14ac:dyDescent="0.2">
      <c r="B34" s="2" t="s">
        <v>45</v>
      </c>
      <c r="C34" s="24">
        <f t="shared" ref="C34:F34" si="14">+C11/C6</f>
        <v>0.57824847008496227</v>
      </c>
      <c r="D34" s="24">
        <f t="shared" si="14"/>
        <v>0.55380519192367428</v>
      </c>
      <c r="E34" s="24">
        <f t="shared" si="14"/>
        <v>0.55726514248564307</v>
      </c>
      <c r="F34" s="24" t="e">
        <f t="shared" si="14"/>
        <v>#DIV/0!</v>
      </c>
      <c r="G34" s="24">
        <f t="shared" ref="G34:I36" si="15">+G11/G6</f>
        <v>0.57235955674100158</v>
      </c>
      <c r="H34" s="24">
        <f t="shared" si="15"/>
        <v>0.550359123131273</v>
      </c>
      <c r="I34" s="24">
        <f t="shared" si="15"/>
        <v>0.55753987433542773</v>
      </c>
      <c r="J34" s="24" t="e">
        <f t="shared" ref="J34" si="16">+J11/J6</f>
        <v>#DIV/0!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 spans="2:56" x14ac:dyDescent="0.2">
      <c r="B35" s="2" t="s">
        <v>46</v>
      </c>
      <c r="C35" s="24">
        <f t="shared" ref="C35:F35" si="17">+C12/C7</f>
        <v>0.26614712480812375</v>
      </c>
      <c r="D35" s="24">
        <f t="shared" si="17"/>
        <v>0.26681860016654252</v>
      </c>
      <c r="E35" s="24">
        <f t="shared" si="17"/>
        <v>0.23847773099933525</v>
      </c>
      <c r="F35" s="24" t="e">
        <f t="shared" si="17"/>
        <v>#DIV/0!</v>
      </c>
      <c r="G35" s="24">
        <f t="shared" si="15"/>
        <v>0.25432328140631699</v>
      </c>
      <c r="H35" s="24">
        <f t="shared" si="15"/>
        <v>0.22535487669261461</v>
      </c>
      <c r="I35" s="24">
        <f t="shared" si="15"/>
        <v>0.22135049956413869</v>
      </c>
      <c r="J35" s="24" t="e">
        <f t="shared" ref="J35" si="18">+J12/J7</f>
        <v>#DIV/0!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 spans="2:56" x14ac:dyDescent="0.2">
      <c r="B36" s="2" t="s">
        <v>47</v>
      </c>
      <c r="C36" s="24">
        <f t="shared" ref="C36:F36" si="19">+C13/C8</f>
        <v>0.48156622687111222</v>
      </c>
      <c r="D36" s="24">
        <f t="shared" si="19"/>
        <v>0.49697428855532932</v>
      </c>
      <c r="E36" s="24">
        <f t="shared" si="19"/>
        <v>0.5074811741806099</v>
      </c>
      <c r="F36" s="24" t="e">
        <f t="shared" si="19"/>
        <v>#DIV/0!</v>
      </c>
      <c r="G36" s="24">
        <f t="shared" si="15"/>
        <v>0.53485544725834044</v>
      </c>
      <c r="H36" s="24">
        <f t="shared" si="15"/>
        <v>0.49617553818932469</v>
      </c>
      <c r="I36" s="24">
        <f t="shared" si="15"/>
        <v>0.50843140782260432</v>
      </c>
      <c r="J36" s="24" t="e">
        <f t="shared" ref="J36" si="20">+J13/J8</f>
        <v>#DIV/0!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 spans="2:56" x14ac:dyDescent="0.2">
      <c r="B37" s="2" t="s">
        <v>48</v>
      </c>
      <c r="C37" s="24">
        <f t="shared" ref="C37:H37" si="21">+C16/C8</f>
        <v>0.17673045683267963</v>
      </c>
      <c r="D37" s="24">
        <f t="shared" si="21"/>
        <v>0.1945641365594962</v>
      </c>
      <c r="E37" s="24">
        <f t="shared" si="21"/>
        <v>0.19894418119974039</v>
      </c>
      <c r="F37" s="24" t="e">
        <f t="shared" si="21"/>
        <v>#DIV/0!</v>
      </c>
      <c r="G37" s="24">
        <f t="shared" si="21"/>
        <v>0.19849986605946965</v>
      </c>
      <c r="H37" s="24">
        <f t="shared" si="21"/>
        <v>0.20976481863757004</v>
      </c>
      <c r="I37" s="24">
        <f>+I16/I8</f>
        <v>0.19446679985229659</v>
      </c>
      <c r="J37" s="24" t="e">
        <f>+J16/J8</f>
        <v>#DIV/0!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 spans="2:56" x14ac:dyDescent="0.2">
      <c r="B38" s="2" t="s">
        <v>49</v>
      </c>
      <c r="C38" s="24">
        <f t="shared" ref="C38:H38" si="22">+C21/C20</f>
        <v>0.25158002038735972</v>
      </c>
      <c r="D38" s="24">
        <f t="shared" si="22"/>
        <v>0.25586386631917823</v>
      </c>
      <c r="E38" s="24">
        <f t="shared" si="22"/>
        <v>0.257431832160186</v>
      </c>
      <c r="F38" s="24" t="e">
        <f t="shared" si="22"/>
        <v>#DIV/0!</v>
      </c>
      <c r="G38" s="24">
        <f t="shared" si="22"/>
        <v>0.23431409530994585</v>
      </c>
      <c r="H38" s="24">
        <f t="shared" si="22"/>
        <v>0.25473113316408952</v>
      </c>
      <c r="I38" s="24">
        <f>+I21/I20</f>
        <v>0.2711414933113323</v>
      </c>
      <c r="J38" s="24" t="e">
        <f>+J21/J20</f>
        <v>#DIV/0!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 spans="2:56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 spans="2:56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 spans="2:56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 spans="2:56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 spans="2:56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2:56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spans="2:56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 spans="2:5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 spans="2:5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 spans="2:5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 spans="3:5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3:5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3:5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3:5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3:5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3:5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 spans="3:5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3:5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3:5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3:5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3:5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3:5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3:5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 spans="3:5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3:5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 spans="3:5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 spans="3:5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 spans="3:5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 spans="3:5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 spans="3:5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 spans="3:5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 spans="3:5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 spans="3:5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 spans="3:5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 spans="3:5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 spans="3:5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 spans="3:5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 spans="3:5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 spans="3:5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 spans="3:5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 spans="3:5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 spans="3:5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 spans="3:5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 spans="3:5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3:5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 spans="3:5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 spans="3:5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3:5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 spans="3:5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spans="3:5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spans="3:5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spans="3:5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 spans="3:5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3:5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3:5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3:5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3:5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3:5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3:5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3:5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3:5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3:5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3:5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3:5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3:5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3:5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3:5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3:5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3:5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3:5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 spans="3:5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 spans="3:5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 spans="3:5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 spans="3:5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 spans="3:5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 spans="3:5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 spans="3:5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 spans="3:5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 spans="3:5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 spans="3:5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 spans="3:5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 spans="3:5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 spans="3:5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 spans="3:5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 spans="3:5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 spans="3:5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 spans="3:5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 spans="3:5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 spans="3:5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 spans="3:5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 spans="3:5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 spans="3:5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 spans="3:5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 spans="3:5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 spans="3:5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 spans="3:5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3:5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 spans="3:5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 spans="3:5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 spans="3:5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 spans="3:5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3:5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3:5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 spans="3:5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 spans="3:5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 spans="3:5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3:5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3:5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3:5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3:5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3:5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3:5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3:5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3:5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3:5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3:5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3:5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3:5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3:5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3:5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3:5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3:5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3:5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3:5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3:5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3:5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3:5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3:5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3:5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3:5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3:5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3:5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3:5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3:5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3:5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3:5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3:5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3:5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3:5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3:5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3:5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3:5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3:5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3:5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3:5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3:5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3:5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3:5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3:5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3:5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3:5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3:5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3:5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3:5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 spans="3:5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 spans="3:5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 spans="3:5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 spans="3:5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 spans="3:5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 spans="3:5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 spans="3:5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 spans="3:5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 spans="3:5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 spans="3:5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 spans="3:5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 spans="3:5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 spans="3:5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 spans="3:5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3:5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3:5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 spans="3:5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 spans="3:5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 spans="3:5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 spans="3:5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3:5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3:5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3:5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3:5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3:5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3:5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3:5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3:5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3:5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3:5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3:5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3:5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3:5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3:5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3:5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3:5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3:5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3:5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3:5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3:5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3:5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3:5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3:5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3:5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3:5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3:5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3:5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3:5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3:5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3:5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3:5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3:5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3:5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3:5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3:5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3:5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3:5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3:5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3:5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3:56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3:56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3:56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3:56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3:56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3:56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3:56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3:56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3:56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3:56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3:56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3:56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 spans="3:56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 spans="3:56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 spans="3:56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 spans="3:56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 spans="3:56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 spans="3:56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 spans="3:56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 spans="3:56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 spans="3:56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 spans="3:56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 spans="3:56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 spans="3:56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 spans="3:56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 spans="3:56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 spans="3:56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 spans="3:56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 spans="3:56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 spans="3:56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 spans="3:56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 spans="3:56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 spans="3:56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 spans="3:56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 spans="3:56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 spans="3:56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 spans="3:56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 spans="3:56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 spans="3:56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 spans="3:56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 spans="3:56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 spans="3:56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 spans="3:56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 spans="3:56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 spans="3:56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 spans="3:56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 spans="3:56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 spans="3:56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 spans="3:56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 spans="3:56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 spans="3:56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 spans="3:56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 spans="3:56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 spans="3:56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 spans="3:56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 spans="3:56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 spans="3:56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 spans="3:56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 spans="3:56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 spans="3:56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 spans="3:56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 spans="3:56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 spans="3:56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 spans="3:56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 spans="3:56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 spans="3:56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 spans="3:56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 spans="3:56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 spans="3:56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 spans="3:56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 spans="3:56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 spans="3:56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 spans="3:56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 spans="3:56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 spans="3:56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 spans="3:56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 spans="3:56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 spans="3:56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 spans="3:56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 spans="3:56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 spans="3:56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 spans="3:56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 spans="3:56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 spans="3:56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 spans="3:56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 spans="3:56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 spans="3:56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 spans="3:56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 spans="3:56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 spans="3:56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 spans="3:56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 spans="3:56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 spans="3:56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 spans="3:56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 spans="3:56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 spans="3:56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 spans="3:56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 spans="3:56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 spans="3:56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 spans="3:56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 spans="3:56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 spans="3:56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 spans="3:56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 spans="3:56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 spans="3:56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 spans="3:56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 spans="3:56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 spans="3:56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 spans="3:56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 spans="3:56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 spans="3:56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 spans="3:56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 spans="3:56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 spans="3:56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 spans="3:56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 spans="3:56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 spans="3:56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 spans="3:56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 spans="3:56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 spans="3:56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 spans="3:56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 spans="3:56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 spans="3:56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 spans="3:56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 spans="3:56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 spans="3:56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 spans="3:56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 spans="3:56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 spans="3:56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 spans="3:56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 spans="3:56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 spans="3:56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 spans="3:56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 spans="3:56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 spans="3:56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 spans="3:56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 spans="3:56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 spans="3:56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 spans="3:56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 spans="3:56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 spans="3:56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 spans="3:56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 spans="3:56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 spans="3:56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 spans="3:56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 spans="3:56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 spans="3:56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 spans="3:56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 spans="3:56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 spans="3:56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 spans="3:56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 spans="3:56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 spans="3:56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 spans="3:56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 spans="3:56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 spans="3:56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 spans="3:56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 spans="3:56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 spans="3:56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 spans="3:56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 spans="3:56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 spans="3:56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 spans="3:56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 spans="3:56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 spans="3:56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 spans="3:56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 spans="3:56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 spans="3:56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 spans="3:56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 spans="3:56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 spans="3:56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 spans="3:56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 spans="3:56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 spans="3:56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 spans="3:56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 spans="3:56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 spans="3:56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 spans="3:56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 spans="3:56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 spans="3:56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 spans="3:56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 spans="3:56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 spans="3:56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 spans="3:56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 spans="3:56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 spans="3:56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 spans="3:56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 spans="3:56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 spans="3:56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 spans="3:56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 spans="3:56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 spans="3:56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 spans="3:56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 spans="3:56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 spans="3:56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 spans="3:56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 spans="3:56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 spans="3:56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 spans="3:56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 spans="3:56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 spans="3:56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 spans="3:56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 spans="3:56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 spans="3:56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 spans="3:56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 spans="3:56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 spans="3:56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 spans="3:56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 spans="3:56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 spans="3:56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 spans="3:56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 spans="3:56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 spans="3:56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 spans="3:56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 spans="3:56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 spans="3:56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 spans="3:56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 spans="3:56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 spans="3:56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 spans="3:56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 spans="3:56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 spans="3:56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 spans="3:56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 spans="3:56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 spans="3:56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 spans="3:56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 spans="3:56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 spans="3:56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 spans="3:56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 spans="3:56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 spans="3:56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 spans="3:56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 spans="3:56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 spans="3:56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 spans="3:56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 spans="3:56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 spans="3:56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 spans="3:56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 spans="3:56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 spans="3:56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 spans="3:56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 spans="3:56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 spans="3:56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 spans="3:56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 spans="3:56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</sheetData>
  <hyperlinks>
    <hyperlink ref="A1" location="Main!A1" display="Main" xr:uid="{C7120031-EE97-4714-AD9D-866A187491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2024-08-04T08:23:50Z</dcterms:created>
  <dcterms:modified xsi:type="dcterms:W3CDTF">2026-05-15T12:55:10Z</dcterms:modified>
</cp:coreProperties>
</file>