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CB2C4AE5-A903-4177-A8C2-4760E7E2F9C9}" xr6:coauthVersionLast="47" xr6:coauthVersionMax="47" xr10:uidLastSave="{00000000-0000-0000-0000-000000000000}"/>
  <bookViews>
    <workbookView xWindow="19095" yWindow="0" windowWidth="19410" windowHeight="20985" activeTab="1" xr2:uid="{0F543347-D4D0-4782-A0BE-24D35C709E7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" l="1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S28" i="2"/>
  <c r="R28" i="2"/>
  <c r="Q28" i="2"/>
  <c r="P28" i="2"/>
  <c r="O28" i="2"/>
  <c r="N28" i="2"/>
  <c r="M28" i="2"/>
  <c r="L28" i="2"/>
  <c r="I6" i="1"/>
  <c r="R17" i="2"/>
  <c r="S13" i="2"/>
  <c r="S19" i="2" s="1"/>
  <c r="S22" i="2" s="1"/>
  <c r="S24" i="2" s="1"/>
  <c r="S26" i="2" s="1"/>
  <c r="R13" i="2"/>
  <c r="R19" i="2" s="1"/>
  <c r="R22" i="2" s="1"/>
  <c r="R24" i="2" s="1"/>
  <c r="R26" i="2" s="1"/>
  <c r="S9" i="2"/>
  <c r="R9" i="2"/>
  <c r="S6" i="2"/>
  <c r="R6" i="2"/>
  <c r="Q24" i="2"/>
  <c r="P24" i="2"/>
  <c r="O24" i="2"/>
  <c r="Q26" i="2"/>
  <c r="P26" i="2"/>
  <c r="O26" i="2"/>
  <c r="N26" i="2"/>
  <c r="M26" i="2"/>
  <c r="L26" i="2"/>
  <c r="Q22" i="2"/>
  <c r="P22" i="2"/>
  <c r="O22" i="2"/>
  <c r="N22" i="2"/>
  <c r="M22" i="2"/>
  <c r="L22" i="2"/>
  <c r="Q19" i="2"/>
  <c r="P19" i="2"/>
  <c r="O19" i="2"/>
  <c r="N19" i="2"/>
  <c r="M19" i="2"/>
  <c r="L19" i="2"/>
  <c r="Q13" i="2"/>
  <c r="P13" i="2"/>
  <c r="O13" i="2"/>
  <c r="N13" i="2"/>
  <c r="M13" i="2"/>
  <c r="L13" i="2"/>
  <c r="I9" i="2"/>
  <c r="I6" i="2"/>
  <c r="J28" i="2"/>
  <c r="I28" i="2"/>
  <c r="I26" i="2"/>
  <c r="I24" i="2"/>
  <c r="H24" i="2"/>
  <c r="I22" i="2"/>
  <c r="I19" i="2"/>
  <c r="I13" i="2"/>
  <c r="E9" i="2"/>
  <c r="G9" i="2"/>
  <c r="H26" i="2"/>
  <c r="H28" i="2" s="1"/>
  <c r="F26" i="2"/>
  <c r="F28" i="2" s="1"/>
  <c r="D26" i="2"/>
  <c r="D28" i="2" s="1"/>
  <c r="C26" i="2"/>
  <c r="C28" i="2" s="1"/>
  <c r="E13" i="2"/>
  <c r="E19" i="2" s="1"/>
  <c r="E22" i="2" s="1"/>
  <c r="E24" i="2" s="1"/>
  <c r="E26" i="2" s="1"/>
  <c r="E28" i="2" s="1"/>
  <c r="H13" i="2"/>
  <c r="H19" i="2" s="1"/>
  <c r="H22" i="2" s="1"/>
  <c r="F13" i="2"/>
  <c r="F19" i="2" s="1"/>
  <c r="F22" i="2" s="1"/>
  <c r="D13" i="2"/>
  <c r="D19" i="2" s="1"/>
  <c r="D22" i="2" s="1"/>
  <c r="C13" i="2"/>
  <c r="C19" i="2" s="1"/>
  <c r="C22" i="2" s="1"/>
  <c r="G13" i="2"/>
  <c r="G19" i="2" s="1"/>
  <c r="G22" i="2" s="1"/>
  <c r="G24" i="2" s="1"/>
  <c r="I4" i="1"/>
  <c r="I7" i="1" s="1"/>
  <c r="G26" i="2" l="1"/>
  <c r="G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G18" authorId="0" shapeId="0" xr:uid="{550D028C-DA5D-4DE0-9493-7A2652B1A06E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Curtailment loss</t>
        </r>
      </text>
    </comment>
  </commentList>
</comments>
</file>

<file path=xl/sharedStrings.xml><?xml version="1.0" encoding="utf-8"?>
<sst xmlns="http://schemas.openxmlformats.org/spreadsheetml/2006/main" count="66" uniqueCount="59">
  <si>
    <t>Next PLC</t>
  </si>
  <si>
    <t>numbers in mio GBP</t>
  </si>
  <si>
    <t>Price</t>
  </si>
  <si>
    <t>Shares</t>
  </si>
  <si>
    <t>MC</t>
  </si>
  <si>
    <t>Cash</t>
  </si>
  <si>
    <t>Debt</t>
  </si>
  <si>
    <t>EV</t>
  </si>
  <si>
    <t>NXT.L</t>
  </si>
  <si>
    <t>IR</t>
  </si>
  <si>
    <t>Main</t>
  </si>
  <si>
    <t>H123</t>
  </si>
  <si>
    <t>H223</t>
  </si>
  <si>
    <t>H124</t>
  </si>
  <si>
    <t>H224</t>
  </si>
  <si>
    <t>FY18</t>
  </si>
  <si>
    <t>FY19</t>
  </si>
  <si>
    <t>FY20</t>
  </si>
  <si>
    <t>FY21</t>
  </si>
  <si>
    <t>FY22</t>
  </si>
  <si>
    <t>FY23</t>
  </si>
  <si>
    <t>FY24</t>
  </si>
  <si>
    <t>FY25</t>
  </si>
  <si>
    <t>Revenue</t>
  </si>
  <si>
    <t>H125</t>
  </si>
  <si>
    <t>H225</t>
  </si>
  <si>
    <t>EPS</t>
  </si>
  <si>
    <t>COGS</t>
  </si>
  <si>
    <t>Impairment losses</t>
  </si>
  <si>
    <t>Gross Profit</t>
  </si>
  <si>
    <t>Distribution Costs</t>
  </si>
  <si>
    <t>Administrative Expenses</t>
  </si>
  <si>
    <t>Other Gains</t>
  </si>
  <si>
    <t>Profits of subsidaries</t>
  </si>
  <si>
    <t>Exceptional Items</t>
  </si>
  <si>
    <t>Operating Income</t>
  </si>
  <si>
    <t>Finance Income</t>
  </si>
  <si>
    <t>Finance Expenses</t>
  </si>
  <si>
    <t>Pretax Income</t>
  </si>
  <si>
    <t>Tax Expense</t>
  </si>
  <si>
    <t>Net Income</t>
  </si>
  <si>
    <t>Non-controlling interest</t>
  </si>
  <si>
    <t>Net Income to Company</t>
  </si>
  <si>
    <t>Number of Stores</t>
  </si>
  <si>
    <t>Store in sq. Ft.</t>
  </si>
  <si>
    <t>Online</t>
  </si>
  <si>
    <t>Retail</t>
  </si>
  <si>
    <t>Finance</t>
  </si>
  <si>
    <t>Other</t>
  </si>
  <si>
    <t>Segments</t>
  </si>
  <si>
    <t>%of Rev</t>
  </si>
  <si>
    <t>Next</t>
  </si>
  <si>
    <t>Own Brands:</t>
  </si>
  <si>
    <t>Retail Brands</t>
  </si>
  <si>
    <t>Levis, Babour, Adidas, Nike, Boss, The North Face etc.</t>
  </si>
  <si>
    <t>H122</t>
  </si>
  <si>
    <t>H222</t>
  </si>
  <si>
    <t>FY26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</si>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</sst>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;\(#,##0.0\)"/>
    <numFmt numFmtId="166" formatCode="#,##0.00;\(#,##0.00\)"/>
    <numFmt numFmtId="167" formatCode="#,##0;\(#,##0\)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8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9" fillId="0" borderId="0" xfId="2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3" fillId="0" borderId="4" xfId="0" applyFont="1" applyBorder="1"/>
    <xf numFmtId="9" fontId="3" fillId="0" borderId="5" xfId="1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0" xfId="1" applyFont="1" applyBorder="1"/>
    <xf numFmtId="0" fontId="3" fillId="0" borderId="8" xfId="0" applyFont="1" applyBorder="1"/>
    <xf numFmtId="0" fontId="3" fillId="0" borderId="9" xfId="0" applyFont="1" applyBorder="1"/>
    <xf numFmtId="9" fontId="3" fillId="0" borderId="10" xfId="1" applyFont="1" applyBorder="1"/>
    <xf numFmtId="0" fontId="3" fillId="0" borderId="10" xfId="0" applyFont="1" applyBorder="1"/>
    <xf numFmtId="0" fontId="3" fillId="0" borderId="11" xfId="0" applyFont="1" applyBorder="1"/>
    <xf numFmtId="0" fontId="11" fillId="0" borderId="0" xfId="0" applyFont="1"/>
    <xf numFmtId="167" fontId="3" fillId="0" borderId="0" xfId="0" applyNumberFormat="1" applyFont="1"/>
    <xf numFmtId="165" fontId="3" fillId="0" borderId="0" xfId="0" applyNumberFormat="1" applyFont="1"/>
    <xf numFmtId="165" fontId="8" fillId="0" borderId="0" xfId="0" applyNumberFormat="1" applyFont="1"/>
    <xf numFmtId="166" fontId="3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xtplc.co.uk/investor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644F-2F30-431F-A16F-D9DF0AFF1D5B}">
  <dimension ref="A1:J17"/>
  <sheetViews>
    <sheetView zoomScale="200" zoomScaleNormal="200" workbookViewId="0">
      <selection activeCell="I3" sqref="I3"/>
    </sheetView>
  </sheetViews>
  <sheetFormatPr defaultRowHeight="12.75" x14ac:dyDescent="0.2"/>
  <cols>
    <col min="1" max="1" width="4.85546875" style="2" customWidth="1"/>
    <col min="2" max="2" width="9.140625" style="2"/>
    <col min="3" max="3" width="8.28515625" style="2" bestFit="1" customWidth="1"/>
    <col min="4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  <c r="H2" s="2" t="s">
        <v>2</v>
      </c>
      <c r="I2" s="3">
        <v>156</v>
      </c>
    </row>
    <row r="3" spans="1:10" x14ac:dyDescent="0.2">
      <c r="H3" s="2" t="s">
        <v>3</v>
      </c>
      <c r="I3" s="22">
        <v>116.9</v>
      </c>
      <c r="J3" s="26" t="s">
        <v>58</v>
      </c>
    </row>
    <row r="4" spans="1:10" x14ac:dyDescent="0.2">
      <c r="B4" s="2" t="s">
        <v>8</v>
      </c>
      <c r="H4" s="2" t="s">
        <v>4</v>
      </c>
      <c r="I4" s="3">
        <f>+I2*I3</f>
        <v>18236.400000000001</v>
      </c>
    </row>
    <row r="5" spans="1:10" x14ac:dyDescent="0.2">
      <c r="B5" s="5" t="s">
        <v>9</v>
      </c>
      <c r="H5" s="2" t="s">
        <v>5</v>
      </c>
      <c r="I5" s="27">
        <v>96.2</v>
      </c>
      <c r="J5" s="26" t="s">
        <v>58</v>
      </c>
    </row>
    <row r="6" spans="1:10" x14ac:dyDescent="0.2">
      <c r="H6" s="2" t="s">
        <v>6</v>
      </c>
      <c r="I6" s="3">
        <f>96+112.9+600</f>
        <v>808.9</v>
      </c>
      <c r="J6" s="26" t="s">
        <v>58</v>
      </c>
    </row>
    <row r="7" spans="1:10" x14ac:dyDescent="0.2">
      <c r="B7" s="6" t="s">
        <v>49</v>
      </c>
      <c r="C7" s="7" t="s">
        <v>50</v>
      </c>
      <c r="D7" s="7"/>
      <c r="E7" s="8"/>
      <c r="H7" s="2" t="s">
        <v>7</v>
      </c>
      <c r="I7" s="3">
        <f>+I4-I5+I6</f>
        <v>18949.100000000002</v>
      </c>
    </row>
    <row r="8" spans="1:10" x14ac:dyDescent="0.2">
      <c r="B8" s="9" t="s">
        <v>45</v>
      </c>
      <c r="C8" s="10">
        <v>0.51767420719555257</v>
      </c>
      <c r="D8" s="11"/>
      <c r="E8" s="12"/>
    </row>
    <row r="9" spans="1:10" x14ac:dyDescent="0.2">
      <c r="B9" s="13" t="s">
        <v>46</v>
      </c>
      <c r="C9" s="14">
        <v>0.29967483654417681</v>
      </c>
      <c r="E9" s="15"/>
    </row>
    <row r="10" spans="1:10" x14ac:dyDescent="0.2">
      <c r="B10" s="13" t="s">
        <v>47</v>
      </c>
      <c r="C10" s="14">
        <v>9.1871710123638137E-2</v>
      </c>
      <c r="E10" s="15"/>
    </row>
    <row r="11" spans="1:10" x14ac:dyDescent="0.2">
      <c r="B11" s="16" t="s">
        <v>48</v>
      </c>
      <c r="C11" s="17">
        <v>0.13017027376665155</v>
      </c>
      <c r="D11" s="18"/>
      <c r="E11" s="19"/>
    </row>
    <row r="14" spans="1:10" x14ac:dyDescent="0.2">
      <c r="B14" s="20" t="s">
        <v>52</v>
      </c>
    </row>
    <row r="15" spans="1:10" x14ac:dyDescent="0.2">
      <c r="B15" s="2" t="s">
        <v>51</v>
      </c>
    </row>
    <row r="16" spans="1:10" x14ac:dyDescent="0.2">
      <c r="B16" s="20" t="s">
        <v>53</v>
      </c>
    </row>
    <row r="17" spans="2:2" x14ac:dyDescent="0.2">
      <c r="B17" s="2" t="s">
        <v>54</v>
      </c>
    </row>
  </sheetData>
  <hyperlinks>
    <hyperlink ref="B5" r:id="rId1" xr:uid="{9EAE4332-CE34-4AF2-842A-22B67CAB61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A1A9-CAE9-46C3-8DE3-A737E516BE83}">
  <dimension ref="A1:AU628"/>
  <sheetViews>
    <sheetView tabSelected="1" zoomScale="200" zoomScaleNormal="2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J1" sqref="J1"/>
    </sheetView>
  </sheetViews>
  <sheetFormatPr defaultRowHeight="12.75" x14ac:dyDescent="0.2"/>
  <cols>
    <col min="1" max="1" width="5.42578125" style="2" bestFit="1" customWidth="1"/>
    <col min="2" max="2" width="24.85546875" style="2" customWidth="1"/>
    <col min="3" max="16384" width="9.140625" style="2"/>
  </cols>
  <sheetData>
    <row r="1" spans="1:47" x14ac:dyDescent="0.2">
      <c r="A1" s="5" t="s">
        <v>10</v>
      </c>
    </row>
    <row r="2" spans="1:47" x14ac:dyDescent="0.2">
      <c r="C2" s="25" t="s">
        <v>55</v>
      </c>
      <c r="D2" s="25" t="s">
        <v>56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24</v>
      </c>
      <c r="J2" s="25" t="s">
        <v>25</v>
      </c>
      <c r="K2" s="4"/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26" t="s">
        <v>57</v>
      </c>
    </row>
    <row r="3" spans="1:47" x14ac:dyDescent="0.2">
      <c r="B3" s="2" t="s">
        <v>43</v>
      </c>
      <c r="C3" s="21"/>
      <c r="D3" s="21"/>
      <c r="E3" s="21">
        <v>471</v>
      </c>
      <c r="F3" s="21"/>
      <c r="G3" s="21">
        <v>487</v>
      </c>
      <c r="H3" s="21"/>
      <c r="I3" s="21">
        <v>457</v>
      </c>
      <c r="J3" s="21">
        <v>458</v>
      </c>
      <c r="K3" s="21"/>
      <c r="L3" s="21"/>
      <c r="M3" s="21"/>
      <c r="N3" s="21"/>
      <c r="O3" s="21"/>
      <c r="P3" s="21"/>
      <c r="Q3" s="21"/>
      <c r="R3" s="21">
        <v>457</v>
      </c>
      <c r="S3" s="21">
        <v>458</v>
      </c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</row>
    <row r="4" spans="1:47" x14ac:dyDescent="0.2">
      <c r="B4" s="2" t="s">
        <v>44</v>
      </c>
      <c r="C4" s="21"/>
      <c r="D4" s="21"/>
      <c r="E4" s="21">
        <v>8105</v>
      </c>
      <c r="F4" s="21"/>
      <c r="G4" s="21">
        <v>8075</v>
      </c>
      <c r="H4" s="21"/>
      <c r="I4" s="21">
        <v>8078</v>
      </c>
      <c r="J4" s="21">
        <v>8113</v>
      </c>
      <c r="K4" s="21"/>
      <c r="L4" s="21"/>
      <c r="M4" s="21"/>
      <c r="N4" s="21"/>
      <c r="O4" s="21"/>
      <c r="P4" s="21"/>
      <c r="Q4" s="21"/>
      <c r="R4" s="21">
        <v>8078</v>
      </c>
      <c r="S4" s="21">
        <v>8113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</row>
    <row r="5" spans="1:47" x14ac:dyDescent="0.2"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47" x14ac:dyDescent="0.2">
      <c r="B6" s="2" t="s">
        <v>45</v>
      </c>
      <c r="C6" s="22"/>
      <c r="D6" s="22"/>
      <c r="E6" s="22">
        <v>1381.9</v>
      </c>
      <c r="F6" s="22"/>
      <c r="G6" s="22">
        <v>1480.6</v>
      </c>
      <c r="H6" s="22"/>
      <c r="I6" s="22">
        <f>1156.1+591.8</f>
        <v>1747.8999999999999</v>
      </c>
      <c r="J6" s="22">
        <f>+R6-I6</f>
        <v>1731.1000000000001</v>
      </c>
      <c r="K6" s="22"/>
      <c r="L6" s="22"/>
      <c r="M6" s="22"/>
      <c r="N6" s="22"/>
      <c r="O6" s="22"/>
      <c r="P6" s="22"/>
      <c r="Q6" s="22"/>
      <c r="R6" s="22">
        <f>2549+930</f>
        <v>3479</v>
      </c>
      <c r="S6" s="22">
        <f>2800+1297</f>
        <v>4097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47" x14ac:dyDescent="0.2">
      <c r="B7" s="2" t="s">
        <v>46</v>
      </c>
      <c r="C7" s="22"/>
      <c r="D7" s="22"/>
      <c r="E7" s="22">
        <v>876</v>
      </c>
      <c r="F7" s="22"/>
      <c r="G7" s="22">
        <v>857.1</v>
      </c>
      <c r="H7" s="22"/>
      <c r="I7" s="22">
        <v>878.4</v>
      </c>
      <c r="J7" s="22">
        <f t="shared" ref="J7:J25" si="0">+R7-I7</f>
        <v>970.6</v>
      </c>
      <c r="K7" s="22"/>
      <c r="L7" s="22"/>
      <c r="M7" s="22"/>
      <c r="N7" s="22"/>
      <c r="O7" s="22"/>
      <c r="P7" s="22"/>
      <c r="Q7" s="22"/>
      <c r="R7" s="22">
        <v>1849</v>
      </c>
      <c r="S7" s="22">
        <v>1893</v>
      </c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47" x14ac:dyDescent="0.2">
      <c r="B8" s="2" t="s">
        <v>47</v>
      </c>
      <c r="C8" s="22"/>
      <c r="D8" s="22"/>
      <c r="E8" s="22">
        <v>143.1</v>
      </c>
      <c r="F8" s="22"/>
      <c r="G8" s="22">
        <v>150.1</v>
      </c>
      <c r="H8" s="22"/>
      <c r="I8" s="22">
        <v>151.1</v>
      </c>
      <c r="J8" s="22">
        <f t="shared" si="0"/>
        <v>148.9</v>
      </c>
      <c r="K8" s="22"/>
      <c r="L8" s="22"/>
      <c r="M8" s="22"/>
      <c r="N8" s="22"/>
      <c r="O8" s="22"/>
      <c r="P8" s="22"/>
      <c r="Q8" s="22"/>
      <c r="R8" s="22">
        <v>300</v>
      </c>
      <c r="S8" s="22">
        <v>301</v>
      </c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47" x14ac:dyDescent="0.2">
      <c r="B9" s="2" t="s">
        <v>48</v>
      </c>
      <c r="C9" s="22"/>
      <c r="D9" s="22"/>
      <c r="E9" s="22">
        <f>73.7+94.8+252.2-305.1</f>
        <v>115.59999999999997</v>
      </c>
      <c r="F9" s="22"/>
      <c r="G9" s="22">
        <f>94.1+321+301.3-344.1</f>
        <v>372.30000000000007</v>
      </c>
      <c r="H9" s="22"/>
      <c r="I9" s="22">
        <f>318.9+48.2</f>
        <v>367.09999999999997</v>
      </c>
      <c r="J9" s="22">
        <f t="shared" si="0"/>
        <v>-195.09999999999997</v>
      </c>
      <c r="K9" s="22"/>
      <c r="L9" s="22"/>
      <c r="M9" s="22"/>
      <c r="N9" s="22"/>
      <c r="O9" s="22"/>
      <c r="P9" s="22"/>
      <c r="Q9" s="22"/>
      <c r="R9" s="22">
        <f>67+105</f>
        <v>172</v>
      </c>
      <c r="S9" s="22">
        <f>78+104</f>
        <v>182</v>
      </c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47" x14ac:dyDescent="0.2">
      <c r="B10" s="1" t="s">
        <v>23</v>
      </c>
      <c r="C10" s="23"/>
      <c r="D10" s="23"/>
      <c r="E10" s="23">
        <v>2516.6</v>
      </c>
      <c r="F10" s="23"/>
      <c r="G10" s="23">
        <v>2860.1</v>
      </c>
      <c r="H10" s="23"/>
      <c r="I10" s="23">
        <v>3144.5</v>
      </c>
      <c r="J10" s="23">
        <f t="shared" si="0"/>
        <v>2973.6000000000004</v>
      </c>
      <c r="K10" s="23"/>
      <c r="L10" s="23"/>
      <c r="M10" s="23"/>
      <c r="N10" s="23"/>
      <c r="O10" s="23"/>
      <c r="P10" s="23"/>
      <c r="Q10" s="23"/>
      <c r="R10" s="23">
        <v>6118.1</v>
      </c>
      <c r="S10" s="23">
        <v>6901.3</v>
      </c>
      <c r="T10" s="23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47" x14ac:dyDescent="0.2">
      <c r="B11" s="2" t="s">
        <v>27</v>
      </c>
      <c r="C11" s="22"/>
      <c r="D11" s="22"/>
      <c r="E11" s="22">
        <v>1399.9</v>
      </c>
      <c r="F11" s="22"/>
      <c r="G11" s="22">
        <v>1633.8</v>
      </c>
      <c r="H11" s="22"/>
      <c r="I11" s="22">
        <v>1767.8</v>
      </c>
      <c r="J11" s="22">
        <f t="shared" si="0"/>
        <v>1688.7</v>
      </c>
      <c r="K11" s="22"/>
      <c r="L11" s="22"/>
      <c r="M11" s="22"/>
      <c r="N11" s="22"/>
      <c r="O11" s="22"/>
      <c r="P11" s="22"/>
      <c r="Q11" s="22"/>
      <c r="R11" s="22">
        <v>3456.5</v>
      </c>
      <c r="S11" s="22">
        <v>3847.5</v>
      </c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47" x14ac:dyDescent="0.2">
      <c r="B12" s="2" t="s">
        <v>28</v>
      </c>
      <c r="C12" s="22"/>
      <c r="D12" s="22"/>
      <c r="E12" s="22">
        <v>17.600000000000001</v>
      </c>
      <c r="F12" s="22"/>
      <c r="G12" s="22">
        <v>4.9000000000000004</v>
      </c>
      <c r="H12" s="22"/>
      <c r="I12" s="22">
        <v>1.7</v>
      </c>
      <c r="J12" s="22">
        <f t="shared" si="0"/>
        <v>17.7</v>
      </c>
      <c r="K12" s="22"/>
      <c r="L12" s="22"/>
      <c r="M12" s="22"/>
      <c r="N12" s="22"/>
      <c r="O12" s="22"/>
      <c r="P12" s="22"/>
      <c r="Q12" s="22"/>
      <c r="R12" s="22">
        <v>19.399999999999999</v>
      </c>
      <c r="S12" s="22">
        <v>7.1</v>
      </c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47" x14ac:dyDescent="0.2">
      <c r="B13" s="2" t="s">
        <v>29</v>
      </c>
      <c r="C13" s="22">
        <f t="shared" ref="C13:F13" si="1">+C10-C11-C12</f>
        <v>0</v>
      </c>
      <c r="D13" s="22">
        <f t="shared" si="1"/>
        <v>0</v>
      </c>
      <c r="E13" s="22">
        <f>+E10-E11-E12</f>
        <v>1099.0999999999999</v>
      </c>
      <c r="F13" s="22">
        <f t="shared" si="1"/>
        <v>0</v>
      </c>
      <c r="G13" s="22">
        <f>+G10-G11-G12</f>
        <v>1221.3999999999999</v>
      </c>
      <c r="H13" s="22">
        <f t="shared" ref="H13:J13" si="2">+H10-H11-H12</f>
        <v>0</v>
      </c>
      <c r="I13" s="22">
        <f t="shared" si="2"/>
        <v>1375</v>
      </c>
      <c r="J13" s="22">
        <f t="shared" si="2"/>
        <v>1267.2000000000003</v>
      </c>
      <c r="K13" s="22"/>
      <c r="L13" s="22">
        <f t="shared" ref="L13:T13" si="3">+L10-L11-L12</f>
        <v>0</v>
      </c>
      <c r="M13" s="22">
        <f t="shared" si="3"/>
        <v>0</v>
      </c>
      <c r="N13" s="22">
        <f t="shared" si="3"/>
        <v>0</v>
      </c>
      <c r="O13" s="22">
        <f t="shared" si="3"/>
        <v>0</v>
      </c>
      <c r="P13" s="22">
        <f t="shared" si="3"/>
        <v>0</v>
      </c>
      <c r="Q13" s="22">
        <f t="shared" si="3"/>
        <v>0</v>
      </c>
      <c r="R13" s="22">
        <f t="shared" ref="R13:S13" si="4">+R10-R11-R12</f>
        <v>2642.2000000000003</v>
      </c>
      <c r="S13" s="22">
        <f t="shared" si="4"/>
        <v>3046.7000000000003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47" x14ac:dyDescent="0.2">
      <c r="B14" s="2" t="s">
        <v>30</v>
      </c>
      <c r="C14" s="22"/>
      <c r="D14" s="22"/>
      <c r="E14" s="22">
        <v>376.5</v>
      </c>
      <c r="F14" s="22"/>
      <c r="G14" s="22">
        <v>422.8</v>
      </c>
      <c r="H14" s="22"/>
      <c r="I14" s="22">
        <v>482.7</v>
      </c>
      <c r="J14" s="22">
        <f t="shared" si="0"/>
        <v>396.09999999999997</v>
      </c>
      <c r="K14" s="22"/>
      <c r="L14" s="22"/>
      <c r="M14" s="22"/>
      <c r="N14" s="22"/>
      <c r="O14" s="22"/>
      <c r="P14" s="22"/>
      <c r="Q14" s="22"/>
      <c r="R14" s="22">
        <v>878.8</v>
      </c>
      <c r="S14" s="22">
        <v>1027.0999999999999</v>
      </c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47" x14ac:dyDescent="0.2">
      <c r="B15" s="2" t="s">
        <v>31</v>
      </c>
      <c r="C15" s="22"/>
      <c r="D15" s="22"/>
      <c r="E15" s="22">
        <v>287.10000000000002</v>
      </c>
      <c r="F15" s="22"/>
      <c r="G15" s="22">
        <v>313.60000000000002</v>
      </c>
      <c r="H15" s="22"/>
      <c r="I15" s="22">
        <v>345.2</v>
      </c>
      <c r="J15" s="22">
        <f t="shared" si="0"/>
        <v>325.40000000000003</v>
      </c>
      <c r="K15" s="22"/>
      <c r="L15" s="22"/>
      <c r="M15" s="22"/>
      <c r="N15" s="22"/>
      <c r="O15" s="22"/>
      <c r="P15" s="22"/>
      <c r="Q15" s="22"/>
      <c r="R15" s="22">
        <v>670.6</v>
      </c>
      <c r="S15" s="22">
        <v>742.4</v>
      </c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47" x14ac:dyDescent="0.2">
      <c r="B16" s="2" t="s">
        <v>32</v>
      </c>
      <c r="C16" s="22"/>
      <c r="D16" s="22"/>
      <c r="E16" s="22">
        <v>13</v>
      </c>
      <c r="F16" s="22"/>
      <c r="G16" s="22">
        <v>3.3</v>
      </c>
      <c r="H16" s="22"/>
      <c r="I16" s="22">
        <v>2.4</v>
      </c>
      <c r="J16" s="22">
        <f t="shared" si="0"/>
        <v>1</v>
      </c>
      <c r="K16" s="22"/>
      <c r="L16" s="22"/>
      <c r="M16" s="22"/>
      <c r="N16" s="22"/>
      <c r="O16" s="22"/>
      <c r="P16" s="22"/>
      <c r="Q16" s="22"/>
      <c r="R16" s="22">
        <v>3.4</v>
      </c>
      <c r="S16" s="22">
        <v>-3.4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2:35" x14ac:dyDescent="0.2">
      <c r="B17" s="2" t="s">
        <v>33</v>
      </c>
      <c r="C17" s="22"/>
      <c r="D17" s="22"/>
      <c r="E17" s="22">
        <v>4</v>
      </c>
      <c r="F17" s="22"/>
      <c r="G17" s="22">
        <v>1.9</v>
      </c>
      <c r="H17" s="22"/>
      <c r="I17" s="22">
        <v>3.1</v>
      </c>
      <c r="J17" s="22">
        <f t="shared" si="0"/>
        <v>-9.4</v>
      </c>
      <c r="K17" s="22"/>
      <c r="L17" s="22"/>
      <c r="M17" s="22"/>
      <c r="N17" s="22"/>
      <c r="O17" s="22"/>
      <c r="P17" s="22"/>
      <c r="Q17" s="22"/>
      <c r="R17" s="22">
        <f>6.7-13</f>
        <v>-6.3</v>
      </c>
      <c r="S17" s="22">
        <v>7.9</v>
      </c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2:35" x14ac:dyDescent="0.2">
      <c r="B18" s="2" t="s">
        <v>34</v>
      </c>
      <c r="C18" s="22"/>
      <c r="D18" s="22"/>
      <c r="E18" s="22">
        <v>0</v>
      </c>
      <c r="F18" s="22"/>
      <c r="G18" s="22">
        <v>-14.5</v>
      </c>
      <c r="H18" s="22"/>
      <c r="I18" s="22">
        <v>0</v>
      </c>
      <c r="J18" s="22">
        <f t="shared" si="0"/>
        <v>-14.5</v>
      </c>
      <c r="K18" s="22"/>
      <c r="L18" s="22"/>
      <c r="M18" s="22"/>
      <c r="N18" s="22"/>
      <c r="O18" s="22"/>
      <c r="P18" s="22"/>
      <c r="Q18" s="22"/>
      <c r="R18" s="22">
        <v>-14.5</v>
      </c>
      <c r="S18" s="22">
        <v>-2.9</v>
      </c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2:35" x14ac:dyDescent="0.2">
      <c r="B19" s="2" t="s">
        <v>35</v>
      </c>
      <c r="C19" s="22">
        <f t="shared" ref="C19:F19" si="5">+C13-SUM(C14:C15)+C16+C17+C18</f>
        <v>0</v>
      </c>
      <c r="D19" s="22">
        <f t="shared" si="5"/>
        <v>0</v>
      </c>
      <c r="E19" s="22">
        <f t="shared" si="5"/>
        <v>452.49999999999989</v>
      </c>
      <c r="F19" s="22">
        <f t="shared" si="5"/>
        <v>0</v>
      </c>
      <c r="G19" s="22">
        <f>+G13-SUM(G14:G15)+G16+G17+G18</f>
        <v>475.69999999999976</v>
      </c>
      <c r="H19" s="22">
        <f t="shared" ref="H19:J19" si="6">+H13-SUM(H14:H15)+H16+H17+H18</f>
        <v>0</v>
      </c>
      <c r="I19" s="22">
        <f t="shared" si="6"/>
        <v>552.6</v>
      </c>
      <c r="J19" s="22">
        <f t="shared" si="6"/>
        <v>522.8000000000003</v>
      </c>
      <c r="K19" s="22"/>
      <c r="L19" s="22">
        <f t="shared" ref="L19:T19" si="7">+L13-SUM(L14:L15)+L16+L17+L18</f>
        <v>0</v>
      </c>
      <c r="M19" s="22">
        <f t="shared" si="7"/>
        <v>0</v>
      </c>
      <c r="N19" s="22">
        <f t="shared" si="7"/>
        <v>0</v>
      </c>
      <c r="O19" s="22">
        <f t="shared" si="7"/>
        <v>0</v>
      </c>
      <c r="P19" s="22">
        <f t="shared" si="7"/>
        <v>0</v>
      </c>
      <c r="Q19" s="22">
        <f t="shared" si="7"/>
        <v>0</v>
      </c>
      <c r="R19" s="22">
        <f t="shared" ref="R19:S19" si="8">+R13-SUM(R14:R15)+R16+R17+R18</f>
        <v>1075.4000000000003</v>
      </c>
      <c r="S19" s="22">
        <f t="shared" si="8"/>
        <v>1278.8000000000002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2:35" x14ac:dyDescent="0.2">
      <c r="B20" s="2" t="s">
        <v>36</v>
      </c>
      <c r="C20" s="22"/>
      <c r="D20" s="22"/>
      <c r="E20" s="22">
        <v>4.0999999999999996</v>
      </c>
      <c r="F20" s="22"/>
      <c r="G20" s="22">
        <v>4.0999999999999996</v>
      </c>
      <c r="H20" s="22"/>
      <c r="I20" s="22">
        <v>5.4</v>
      </c>
      <c r="J20" s="22">
        <f t="shared" si="0"/>
        <v>2.7999999999999989</v>
      </c>
      <c r="K20" s="22"/>
      <c r="L20" s="22"/>
      <c r="M20" s="22"/>
      <c r="N20" s="22"/>
      <c r="O20" s="22"/>
      <c r="P20" s="22"/>
      <c r="Q20" s="22"/>
      <c r="R20" s="22">
        <v>8.1999999999999993</v>
      </c>
      <c r="S20" s="22">
        <v>11</v>
      </c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2:35" x14ac:dyDescent="0.2">
      <c r="B21" s="2" t="s">
        <v>37</v>
      </c>
      <c r="C21" s="22"/>
      <c r="D21" s="22"/>
      <c r="E21" s="22">
        <v>40.9</v>
      </c>
      <c r="F21" s="22"/>
      <c r="G21" s="22">
        <v>47.7</v>
      </c>
      <c r="H21" s="22"/>
      <c r="I21" s="22">
        <v>49</v>
      </c>
      <c r="J21" s="22">
        <f t="shared" si="0"/>
        <v>47.599999999999994</v>
      </c>
      <c r="K21" s="22"/>
      <c r="L21" s="22"/>
      <c r="M21" s="22"/>
      <c r="N21" s="22"/>
      <c r="O21" s="22"/>
      <c r="P21" s="22"/>
      <c r="Q21" s="22"/>
      <c r="R21" s="22">
        <v>96.6</v>
      </c>
      <c r="S21" s="22">
        <v>97.2</v>
      </c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2:35" x14ac:dyDescent="0.2">
      <c r="B22" s="2" t="s">
        <v>38</v>
      </c>
      <c r="C22" s="22">
        <f t="shared" ref="C22:F22" si="9">+C19+C20-C21</f>
        <v>0</v>
      </c>
      <c r="D22" s="22">
        <f t="shared" si="9"/>
        <v>0</v>
      </c>
      <c r="E22" s="22">
        <f t="shared" si="9"/>
        <v>415.69999999999993</v>
      </c>
      <c r="F22" s="22">
        <f t="shared" si="9"/>
        <v>0</v>
      </c>
      <c r="G22" s="22">
        <f>+G19+G20-G21</f>
        <v>432.0999999999998</v>
      </c>
      <c r="H22" s="22">
        <f t="shared" ref="H22:J22" si="10">+H19+H20-H21</f>
        <v>0</v>
      </c>
      <c r="I22" s="22">
        <f t="shared" si="10"/>
        <v>509</v>
      </c>
      <c r="J22" s="22">
        <f t="shared" si="10"/>
        <v>478.00000000000023</v>
      </c>
      <c r="K22" s="22"/>
      <c r="L22" s="22">
        <f t="shared" ref="L22:T22" si="11">+L19+L20-L21</f>
        <v>0</v>
      </c>
      <c r="M22" s="22">
        <f t="shared" si="11"/>
        <v>0</v>
      </c>
      <c r="N22" s="22">
        <f t="shared" si="11"/>
        <v>0</v>
      </c>
      <c r="O22" s="22">
        <f t="shared" si="11"/>
        <v>0</v>
      </c>
      <c r="P22" s="22">
        <f t="shared" si="11"/>
        <v>0</v>
      </c>
      <c r="Q22" s="22">
        <f t="shared" si="11"/>
        <v>0</v>
      </c>
      <c r="R22" s="22">
        <f t="shared" ref="R22:S22" si="12">+R19+R20-R21</f>
        <v>987.00000000000034</v>
      </c>
      <c r="S22" s="22">
        <f t="shared" si="12"/>
        <v>1192.6000000000001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2:35" x14ac:dyDescent="0.2">
      <c r="B23" s="2" t="s">
        <v>39</v>
      </c>
      <c r="C23" s="22"/>
      <c r="D23" s="22"/>
      <c r="E23" s="22">
        <v>97.4</v>
      </c>
      <c r="F23" s="22"/>
      <c r="G23" s="22">
        <v>106.7</v>
      </c>
      <c r="H23" s="22"/>
      <c r="I23" s="22">
        <v>126.7</v>
      </c>
      <c r="J23" s="22">
        <f t="shared" si="0"/>
        <v>117.10000000000001</v>
      </c>
      <c r="K23" s="22"/>
      <c r="L23" s="22"/>
      <c r="M23" s="22"/>
      <c r="N23" s="22"/>
      <c r="O23" s="22"/>
      <c r="P23" s="22"/>
      <c r="Q23" s="22"/>
      <c r="R23" s="22">
        <v>243.8</v>
      </c>
      <c r="S23" s="22">
        <v>294.60000000000002</v>
      </c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2:35" x14ac:dyDescent="0.2">
      <c r="B24" s="2" t="s">
        <v>40</v>
      </c>
      <c r="C24" s="22"/>
      <c r="D24" s="22"/>
      <c r="E24" s="22">
        <f>+E22-E23</f>
        <v>318.29999999999995</v>
      </c>
      <c r="F24" s="22"/>
      <c r="G24" s="22">
        <f>+G22-G23</f>
        <v>325.39999999999981</v>
      </c>
      <c r="H24" s="22">
        <f t="shared" ref="H24:J24" si="13">+H22-H23</f>
        <v>0</v>
      </c>
      <c r="I24" s="22">
        <f t="shared" si="13"/>
        <v>382.3</v>
      </c>
      <c r="J24" s="22">
        <f t="shared" si="13"/>
        <v>360.9000000000002</v>
      </c>
      <c r="K24" s="22"/>
      <c r="L24" s="22"/>
      <c r="M24" s="22"/>
      <c r="N24" s="22"/>
      <c r="O24" s="22">
        <f t="shared" ref="O24:S24" si="14">+O22-O23</f>
        <v>0</v>
      </c>
      <c r="P24" s="22">
        <f t="shared" si="14"/>
        <v>0</v>
      </c>
      <c r="Q24" s="22">
        <f t="shared" si="14"/>
        <v>0</v>
      </c>
      <c r="R24" s="22">
        <f t="shared" ref="R24" si="15">+R22-R23</f>
        <v>743.20000000000027</v>
      </c>
      <c r="S24" s="22">
        <f>+S22-S23</f>
        <v>898.00000000000011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2:35" x14ac:dyDescent="0.2">
      <c r="B25" s="2" t="s">
        <v>41</v>
      </c>
      <c r="C25" s="22"/>
      <c r="D25" s="22"/>
      <c r="E25" s="22">
        <v>-3.5</v>
      </c>
      <c r="F25" s="22"/>
      <c r="G25" s="22">
        <v>2.5</v>
      </c>
      <c r="H25" s="22"/>
      <c r="I25" s="22">
        <v>2.8</v>
      </c>
      <c r="J25" s="22">
        <f t="shared" si="0"/>
        <v>4.3</v>
      </c>
      <c r="K25" s="22"/>
      <c r="L25" s="22"/>
      <c r="M25" s="22"/>
      <c r="N25" s="22"/>
      <c r="O25" s="22"/>
      <c r="P25" s="22"/>
      <c r="Q25" s="22"/>
      <c r="R25" s="22">
        <v>7.1</v>
      </c>
      <c r="S25" s="22">
        <v>9.5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2:35" x14ac:dyDescent="0.2">
      <c r="B26" s="22" t="s">
        <v>42</v>
      </c>
      <c r="C26" s="22">
        <f t="shared" ref="C26:F26" si="16">+C24-C25</f>
        <v>0</v>
      </c>
      <c r="D26" s="22">
        <f t="shared" si="16"/>
        <v>0</v>
      </c>
      <c r="E26" s="22">
        <f t="shared" si="16"/>
        <v>321.79999999999995</v>
      </c>
      <c r="F26" s="22">
        <f t="shared" si="16"/>
        <v>0</v>
      </c>
      <c r="G26" s="22">
        <f>+G24-G25</f>
        <v>322.89999999999981</v>
      </c>
      <c r="H26" s="22">
        <f t="shared" ref="H26:J26" si="17">+H24-H25</f>
        <v>0</v>
      </c>
      <c r="I26" s="22">
        <f t="shared" si="17"/>
        <v>379.5</v>
      </c>
      <c r="J26" s="22">
        <f t="shared" si="17"/>
        <v>356.60000000000019</v>
      </c>
      <c r="K26" s="22"/>
      <c r="L26" s="22">
        <f t="shared" ref="L26:T26" si="18">+L24-L25</f>
        <v>0</v>
      </c>
      <c r="M26" s="22">
        <f t="shared" si="18"/>
        <v>0</v>
      </c>
      <c r="N26" s="22">
        <f t="shared" si="18"/>
        <v>0</v>
      </c>
      <c r="O26" s="22">
        <f t="shared" si="18"/>
        <v>0</v>
      </c>
      <c r="P26" s="22">
        <f t="shared" si="18"/>
        <v>0</v>
      </c>
      <c r="Q26" s="22">
        <f t="shared" si="18"/>
        <v>0</v>
      </c>
      <c r="R26" s="22">
        <f t="shared" ref="R26:S26" si="19">+R24-R25</f>
        <v>736.10000000000025</v>
      </c>
      <c r="S26" s="22">
        <f t="shared" si="19"/>
        <v>888.50000000000011</v>
      </c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2:35" x14ac:dyDescent="0.2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2:35" x14ac:dyDescent="0.2">
      <c r="B28" s="2" t="s">
        <v>26</v>
      </c>
      <c r="C28" s="24" t="e">
        <f t="shared" ref="C28:D28" si="20">+C26/C29</f>
        <v>#DIV/0!</v>
      </c>
      <c r="D28" s="24" t="e">
        <f t="shared" si="20"/>
        <v>#DIV/0!</v>
      </c>
      <c r="E28" s="24">
        <f>+E26/E29</f>
        <v>2.6442070665571071</v>
      </c>
      <c r="F28" s="24" t="e">
        <f t="shared" ref="F28:S28" si="21">+F26/F29</f>
        <v>#DIV/0!</v>
      </c>
      <c r="G28" s="24">
        <f t="shared" si="21"/>
        <v>2.6796680497925296</v>
      </c>
      <c r="H28" s="24" t="e">
        <f t="shared" si="21"/>
        <v>#DIV/0!</v>
      </c>
      <c r="I28" s="24">
        <f t="shared" si="21"/>
        <v>3.240819812126388</v>
      </c>
      <c r="J28" s="24">
        <f t="shared" si="21"/>
        <v>3.0504704875962374</v>
      </c>
      <c r="K28" s="22"/>
      <c r="L28" s="24" t="e">
        <f t="shared" si="21"/>
        <v>#DIV/0!</v>
      </c>
      <c r="M28" s="24" t="e">
        <f t="shared" si="21"/>
        <v>#DIV/0!</v>
      </c>
      <c r="N28" s="24" t="e">
        <f t="shared" si="21"/>
        <v>#DIV/0!</v>
      </c>
      <c r="O28" s="24" t="e">
        <f t="shared" si="21"/>
        <v>#DIV/0!</v>
      </c>
      <c r="P28" s="24" t="e">
        <f t="shared" si="21"/>
        <v>#DIV/0!</v>
      </c>
      <c r="Q28" s="24" t="e">
        <f t="shared" si="21"/>
        <v>#DIV/0!</v>
      </c>
      <c r="R28" s="24">
        <f t="shared" si="21"/>
        <v>6.1495405179615723</v>
      </c>
      <c r="S28" s="24">
        <f t="shared" si="21"/>
        <v>7.6005132591958944</v>
      </c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2:35" x14ac:dyDescent="0.2">
      <c r="B29" s="2" t="s">
        <v>3</v>
      </c>
      <c r="C29" s="22"/>
      <c r="D29" s="22"/>
      <c r="E29" s="22">
        <v>121.7</v>
      </c>
      <c r="F29" s="22"/>
      <c r="G29" s="22">
        <v>120.5</v>
      </c>
      <c r="H29" s="22"/>
      <c r="I29" s="22">
        <v>117.1</v>
      </c>
      <c r="J29" s="22">
        <v>116.9</v>
      </c>
      <c r="K29" s="22"/>
      <c r="L29" s="22"/>
      <c r="M29" s="22"/>
      <c r="N29" s="22"/>
      <c r="O29" s="22"/>
      <c r="P29" s="22"/>
      <c r="Q29" s="22"/>
      <c r="R29" s="22">
        <v>119.7</v>
      </c>
      <c r="S29" s="22">
        <v>116.9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2:35" x14ac:dyDescent="0.2"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</row>
    <row r="31" spans="2:35" x14ac:dyDescent="0.2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2:35" x14ac:dyDescent="0.2"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spans="3:35" x14ac:dyDescent="0.2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spans="3:35" x14ac:dyDescent="0.2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spans="3:35" x14ac:dyDescent="0.2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 spans="3:35" x14ac:dyDescent="0.2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spans="3:35" x14ac:dyDescent="0.2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3:35" x14ac:dyDescent="0.2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3:35" x14ac:dyDescent="0.2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3:35" x14ac:dyDescent="0.2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3:35" x14ac:dyDescent="0.2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3:35" x14ac:dyDescent="0.2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3:35" x14ac:dyDescent="0.2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3:35" x14ac:dyDescent="0.2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3:35" x14ac:dyDescent="0.2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3:35" x14ac:dyDescent="0.2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3:35" x14ac:dyDescent="0.2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3:35" x14ac:dyDescent="0.2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3:35" x14ac:dyDescent="0.2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3:35" x14ac:dyDescent="0.2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3:35" x14ac:dyDescent="0.2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3:35" x14ac:dyDescent="0.2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3:35" x14ac:dyDescent="0.2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3:35" x14ac:dyDescent="0.2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3:35" x14ac:dyDescent="0.2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3:35" x14ac:dyDescent="0.2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3:35" x14ac:dyDescent="0.2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3:35" x14ac:dyDescent="0.2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3:35" x14ac:dyDescent="0.2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3:35" x14ac:dyDescent="0.2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3:35" x14ac:dyDescent="0.2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3:35" x14ac:dyDescent="0.2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3:35" x14ac:dyDescent="0.2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3:35" x14ac:dyDescent="0.2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3:35" x14ac:dyDescent="0.2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3:35" x14ac:dyDescent="0.2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3:35" x14ac:dyDescent="0.2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3:35" x14ac:dyDescent="0.2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3:35" x14ac:dyDescent="0.2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3:35" x14ac:dyDescent="0.2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3:35" x14ac:dyDescent="0.2"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3:35" x14ac:dyDescent="0.2"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3:35" x14ac:dyDescent="0.2"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3:35" x14ac:dyDescent="0.2"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3:35" x14ac:dyDescent="0.2"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spans="3:35" x14ac:dyDescent="0.2"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spans="3:35" x14ac:dyDescent="0.2"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3:35" x14ac:dyDescent="0.2"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3:35" x14ac:dyDescent="0.2"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spans="3:35" x14ac:dyDescent="0.2"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spans="3:35" x14ac:dyDescent="0.2"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spans="3:35" x14ac:dyDescent="0.2"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spans="3:35" x14ac:dyDescent="0.2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spans="3:35" x14ac:dyDescent="0.2"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spans="3:35" x14ac:dyDescent="0.2"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spans="3:35" x14ac:dyDescent="0.2"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spans="3:35" x14ac:dyDescent="0.2"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spans="3:35" x14ac:dyDescent="0.2"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spans="3:35" x14ac:dyDescent="0.2"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spans="3:35" x14ac:dyDescent="0.2"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spans="3:35" x14ac:dyDescent="0.2"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3:35" x14ac:dyDescent="0.2"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 spans="3:35" x14ac:dyDescent="0.2"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3:35" x14ac:dyDescent="0.2"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spans="3:35" x14ac:dyDescent="0.2"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 spans="3:35" x14ac:dyDescent="0.2"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 spans="3:35" x14ac:dyDescent="0.2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spans="3:35" x14ac:dyDescent="0.2"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spans="3:35" x14ac:dyDescent="0.2"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 spans="3:35" x14ac:dyDescent="0.2"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spans="3:35" x14ac:dyDescent="0.2"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 spans="3:35" x14ac:dyDescent="0.2"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spans="3:35" x14ac:dyDescent="0.2"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 spans="3:35" x14ac:dyDescent="0.2"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spans="3:35" x14ac:dyDescent="0.2"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 spans="3:35" x14ac:dyDescent="0.2"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spans="3:35" x14ac:dyDescent="0.2"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 spans="3:35" x14ac:dyDescent="0.2"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spans="3:35" x14ac:dyDescent="0.2"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 spans="3:35" x14ac:dyDescent="0.2"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spans="3:35" x14ac:dyDescent="0.2"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 spans="3:35" x14ac:dyDescent="0.2"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 spans="3:35" x14ac:dyDescent="0.2"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spans="3:35" x14ac:dyDescent="0.2"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</row>
    <row r="115" spans="3:35" x14ac:dyDescent="0.2"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</row>
    <row r="116" spans="3:35" x14ac:dyDescent="0.2"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</row>
    <row r="117" spans="3:35" x14ac:dyDescent="0.2"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</row>
    <row r="118" spans="3:35" x14ac:dyDescent="0.2"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</row>
    <row r="119" spans="3:35" x14ac:dyDescent="0.2"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</row>
    <row r="120" spans="3:35" x14ac:dyDescent="0.2"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</row>
    <row r="121" spans="3:35" x14ac:dyDescent="0.2"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</row>
    <row r="122" spans="3:35" x14ac:dyDescent="0.2"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</row>
    <row r="123" spans="3:35" x14ac:dyDescent="0.2"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</row>
    <row r="124" spans="3:35" x14ac:dyDescent="0.2"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</row>
    <row r="125" spans="3:35" x14ac:dyDescent="0.2"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</row>
    <row r="126" spans="3:35" x14ac:dyDescent="0.2"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</row>
    <row r="127" spans="3:35" x14ac:dyDescent="0.2"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</row>
    <row r="128" spans="3:35" x14ac:dyDescent="0.2"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</row>
    <row r="129" spans="3:35" x14ac:dyDescent="0.2"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</row>
    <row r="130" spans="3:35" x14ac:dyDescent="0.2"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</row>
    <row r="131" spans="3:35" x14ac:dyDescent="0.2"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 spans="3:35" x14ac:dyDescent="0.2"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</row>
    <row r="133" spans="3:35" x14ac:dyDescent="0.2"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</row>
    <row r="134" spans="3:35" x14ac:dyDescent="0.2"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</row>
    <row r="135" spans="3:35" x14ac:dyDescent="0.2"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</row>
    <row r="136" spans="3:35" x14ac:dyDescent="0.2"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</row>
    <row r="137" spans="3:35" x14ac:dyDescent="0.2"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</row>
    <row r="138" spans="3:35" x14ac:dyDescent="0.2"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</row>
    <row r="139" spans="3:35" x14ac:dyDescent="0.2"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</row>
    <row r="140" spans="3:35" x14ac:dyDescent="0.2"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</row>
    <row r="141" spans="3:35" x14ac:dyDescent="0.2"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</row>
    <row r="142" spans="3:35" x14ac:dyDescent="0.2"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</row>
    <row r="143" spans="3:35" x14ac:dyDescent="0.2"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</row>
    <row r="144" spans="3:35" x14ac:dyDescent="0.2"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</row>
    <row r="145" spans="3:35" x14ac:dyDescent="0.2"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</row>
    <row r="146" spans="3:35" x14ac:dyDescent="0.2"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</row>
    <row r="147" spans="3:35" x14ac:dyDescent="0.2"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</row>
    <row r="148" spans="3:35" x14ac:dyDescent="0.2"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</row>
    <row r="149" spans="3:35" x14ac:dyDescent="0.2"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</row>
    <row r="150" spans="3:35" x14ac:dyDescent="0.2"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</row>
    <row r="151" spans="3:35" x14ac:dyDescent="0.2"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</row>
    <row r="152" spans="3:35" x14ac:dyDescent="0.2"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</row>
    <row r="153" spans="3:35" x14ac:dyDescent="0.2"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</row>
    <row r="154" spans="3:35" x14ac:dyDescent="0.2"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</row>
    <row r="155" spans="3:35" x14ac:dyDescent="0.2"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</row>
    <row r="156" spans="3:35" x14ac:dyDescent="0.2"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</row>
    <row r="157" spans="3:35" x14ac:dyDescent="0.2"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</row>
    <row r="158" spans="3:35" x14ac:dyDescent="0.2"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</row>
    <row r="159" spans="3:35" x14ac:dyDescent="0.2"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</row>
    <row r="160" spans="3:35" x14ac:dyDescent="0.2"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</row>
    <row r="161" spans="3:35" x14ac:dyDescent="0.2"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spans="3:35" x14ac:dyDescent="0.2"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</row>
    <row r="163" spans="3:35" x14ac:dyDescent="0.2"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</row>
    <row r="164" spans="3:35" x14ac:dyDescent="0.2"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spans="3:35" x14ac:dyDescent="0.2"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</row>
    <row r="166" spans="3:35" x14ac:dyDescent="0.2"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spans="3:35" x14ac:dyDescent="0.2"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</row>
    <row r="168" spans="3:35" x14ac:dyDescent="0.2"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spans="3:35" x14ac:dyDescent="0.2"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</row>
    <row r="170" spans="3:35" x14ac:dyDescent="0.2"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</row>
    <row r="171" spans="3:35" x14ac:dyDescent="0.2"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</row>
    <row r="172" spans="3:35" x14ac:dyDescent="0.2"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spans="3:35" x14ac:dyDescent="0.2"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spans="3:35" x14ac:dyDescent="0.2"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</row>
    <row r="175" spans="3:35" x14ac:dyDescent="0.2"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spans="3:35" x14ac:dyDescent="0.2"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</row>
    <row r="177" spans="3:35" x14ac:dyDescent="0.2"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spans="3:35" x14ac:dyDescent="0.2"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</row>
    <row r="179" spans="3:35" x14ac:dyDescent="0.2"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spans="3:35" x14ac:dyDescent="0.2"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</row>
    <row r="181" spans="3:35" x14ac:dyDescent="0.2"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spans="3:35" x14ac:dyDescent="0.2"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</row>
    <row r="183" spans="3:35" x14ac:dyDescent="0.2"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spans="3:35" x14ac:dyDescent="0.2"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</row>
    <row r="185" spans="3:35" x14ac:dyDescent="0.2"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spans="3:35" x14ac:dyDescent="0.2"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 spans="3:35" x14ac:dyDescent="0.2"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spans="3:35" x14ac:dyDescent="0.2"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spans="3:35" x14ac:dyDescent="0.2"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spans="3:35" x14ac:dyDescent="0.2"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spans="3:35" x14ac:dyDescent="0.2"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</row>
    <row r="192" spans="3:35" x14ac:dyDescent="0.2"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</row>
    <row r="193" spans="3:35" x14ac:dyDescent="0.2"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</row>
    <row r="194" spans="3:35" x14ac:dyDescent="0.2"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spans="3:35" x14ac:dyDescent="0.2"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spans="3:35" x14ac:dyDescent="0.2"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</row>
    <row r="197" spans="3:35" x14ac:dyDescent="0.2"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</row>
    <row r="198" spans="3:35" x14ac:dyDescent="0.2"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spans="3:35" x14ac:dyDescent="0.2"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</row>
    <row r="200" spans="3:35" x14ac:dyDescent="0.2"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</row>
    <row r="201" spans="3:35" x14ac:dyDescent="0.2"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</row>
    <row r="202" spans="3:35" x14ac:dyDescent="0.2"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</row>
    <row r="203" spans="3:35" x14ac:dyDescent="0.2"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</row>
    <row r="204" spans="3:35" x14ac:dyDescent="0.2"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</row>
    <row r="205" spans="3:35" x14ac:dyDescent="0.2"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</row>
    <row r="206" spans="3:35" x14ac:dyDescent="0.2"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</row>
    <row r="207" spans="3:35" x14ac:dyDescent="0.2"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</row>
    <row r="208" spans="3:35" x14ac:dyDescent="0.2"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</row>
    <row r="209" spans="3:35" x14ac:dyDescent="0.2"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</row>
    <row r="210" spans="3:35" x14ac:dyDescent="0.2"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</row>
    <row r="211" spans="3:35" x14ac:dyDescent="0.2"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</row>
    <row r="212" spans="3:35" x14ac:dyDescent="0.2"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</row>
    <row r="213" spans="3:35" x14ac:dyDescent="0.2"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</row>
    <row r="214" spans="3:35" x14ac:dyDescent="0.2"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</row>
    <row r="215" spans="3:35" x14ac:dyDescent="0.2"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</row>
    <row r="216" spans="3:35" x14ac:dyDescent="0.2"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</row>
    <row r="217" spans="3:35" x14ac:dyDescent="0.2"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</row>
    <row r="218" spans="3:35" x14ac:dyDescent="0.2"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</row>
    <row r="219" spans="3:35" x14ac:dyDescent="0.2"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</row>
    <row r="220" spans="3:35" x14ac:dyDescent="0.2"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</row>
    <row r="221" spans="3:35" x14ac:dyDescent="0.2"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</row>
    <row r="222" spans="3:35" x14ac:dyDescent="0.2"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</row>
    <row r="223" spans="3:35" x14ac:dyDescent="0.2"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</row>
    <row r="224" spans="3:35" x14ac:dyDescent="0.2"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</row>
    <row r="225" spans="3:35" x14ac:dyDescent="0.2"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</row>
    <row r="226" spans="3:35" x14ac:dyDescent="0.2"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</row>
    <row r="227" spans="3:35" x14ac:dyDescent="0.2"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</row>
    <row r="228" spans="3:35" x14ac:dyDescent="0.2"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</row>
    <row r="229" spans="3:35" x14ac:dyDescent="0.2"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</row>
    <row r="230" spans="3:35" x14ac:dyDescent="0.2"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</row>
    <row r="231" spans="3:35" x14ac:dyDescent="0.2"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</row>
    <row r="232" spans="3:35" x14ac:dyDescent="0.2"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</row>
    <row r="233" spans="3:35" x14ac:dyDescent="0.2"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</row>
    <row r="234" spans="3:35" x14ac:dyDescent="0.2"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</row>
    <row r="235" spans="3:35" x14ac:dyDescent="0.2"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</row>
    <row r="236" spans="3:35" x14ac:dyDescent="0.2"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</row>
    <row r="237" spans="3:35" x14ac:dyDescent="0.2"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</row>
    <row r="238" spans="3:35" x14ac:dyDescent="0.2"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</row>
    <row r="239" spans="3:35" x14ac:dyDescent="0.2"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</row>
    <row r="240" spans="3:35" x14ac:dyDescent="0.2"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</row>
    <row r="241" spans="3:35" x14ac:dyDescent="0.2"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</row>
    <row r="242" spans="3:35" x14ac:dyDescent="0.2"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</row>
    <row r="243" spans="3:35" x14ac:dyDescent="0.2"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</row>
    <row r="244" spans="3:35" x14ac:dyDescent="0.2"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</row>
    <row r="245" spans="3:35" x14ac:dyDescent="0.2"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</row>
    <row r="246" spans="3:35" x14ac:dyDescent="0.2"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</row>
    <row r="247" spans="3:35" x14ac:dyDescent="0.2"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</row>
    <row r="248" spans="3:35" x14ac:dyDescent="0.2"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</row>
    <row r="249" spans="3:35" x14ac:dyDescent="0.2"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</row>
    <row r="250" spans="3:35" x14ac:dyDescent="0.2"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</row>
    <row r="251" spans="3:35" x14ac:dyDescent="0.2"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</row>
    <row r="252" spans="3:35" x14ac:dyDescent="0.2"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</row>
    <row r="253" spans="3:35" x14ac:dyDescent="0.2"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</row>
    <row r="254" spans="3:35" x14ac:dyDescent="0.2"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</row>
    <row r="255" spans="3:35" x14ac:dyDescent="0.2"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</row>
    <row r="256" spans="3:35" x14ac:dyDescent="0.2"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</row>
    <row r="257" spans="3:35" x14ac:dyDescent="0.2"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</row>
    <row r="258" spans="3:35" x14ac:dyDescent="0.2"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</row>
    <row r="259" spans="3:35" x14ac:dyDescent="0.2"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</row>
    <row r="260" spans="3:35" x14ac:dyDescent="0.2"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</row>
    <row r="261" spans="3:35" x14ac:dyDescent="0.2"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</row>
    <row r="262" spans="3:35" x14ac:dyDescent="0.2"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</row>
    <row r="263" spans="3:35" x14ac:dyDescent="0.2"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</row>
    <row r="264" spans="3:35" x14ac:dyDescent="0.2"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</row>
    <row r="265" spans="3:35" x14ac:dyDescent="0.2"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</row>
    <row r="266" spans="3:35" x14ac:dyDescent="0.2"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</row>
    <row r="267" spans="3:35" x14ac:dyDescent="0.2"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</row>
    <row r="268" spans="3:35" x14ac:dyDescent="0.2"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</row>
    <row r="269" spans="3:35" x14ac:dyDescent="0.2"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</row>
    <row r="270" spans="3:35" x14ac:dyDescent="0.2"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</row>
    <row r="271" spans="3:35" x14ac:dyDescent="0.2"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</row>
    <row r="272" spans="3:35" x14ac:dyDescent="0.2"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</row>
    <row r="273" spans="3:35" x14ac:dyDescent="0.2"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</row>
    <row r="274" spans="3:35" x14ac:dyDescent="0.2"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</row>
    <row r="275" spans="3:35" x14ac:dyDescent="0.2"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</row>
    <row r="276" spans="3:35" x14ac:dyDescent="0.2"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</row>
    <row r="277" spans="3:35" x14ac:dyDescent="0.2"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</row>
    <row r="278" spans="3:35" x14ac:dyDescent="0.2"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</row>
    <row r="279" spans="3:35" x14ac:dyDescent="0.2"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</row>
    <row r="280" spans="3:35" x14ac:dyDescent="0.2"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</row>
    <row r="281" spans="3:35" x14ac:dyDescent="0.2"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</row>
    <row r="282" spans="3:35" x14ac:dyDescent="0.2"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</row>
    <row r="283" spans="3:35" x14ac:dyDescent="0.2"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</row>
    <row r="284" spans="3:35" x14ac:dyDescent="0.2"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</row>
    <row r="285" spans="3:35" x14ac:dyDescent="0.2"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</row>
    <row r="286" spans="3:35" x14ac:dyDescent="0.2"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</row>
    <row r="287" spans="3:35" x14ac:dyDescent="0.2"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</row>
    <row r="288" spans="3:35" x14ac:dyDescent="0.2"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</row>
    <row r="289" spans="3:35" x14ac:dyDescent="0.2"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</row>
    <row r="290" spans="3:35" x14ac:dyDescent="0.2"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</row>
    <row r="291" spans="3:35" x14ac:dyDescent="0.2"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</row>
    <row r="292" spans="3:35" x14ac:dyDescent="0.2"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</row>
    <row r="293" spans="3:35" x14ac:dyDescent="0.2"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</row>
    <row r="294" spans="3:35" x14ac:dyDescent="0.2"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</row>
    <row r="295" spans="3:35" x14ac:dyDescent="0.2"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</row>
    <row r="296" spans="3:35" x14ac:dyDescent="0.2"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</row>
    <row r="297" spans="3:35" x14ac:dyDescent="0.2"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</row>
    <row r="298" spans="3:35" x14ac:dyDescent="0.2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</row>
    <row r="299" spans="3:35" x14ac:dyDescent="0.2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</row>
    <row r="300" spans="3:35" x14ac:dyDescent="0.2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</row>
    <row r="301" spans="3:35" x14ac:dyDescent="0.2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</row>
    <row r="302" spans="3:35" x14ac:dyDescent="0.2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</row>
    <row r="303" spans="3:35" x14ac:dyDescent="0.2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</row>
    <row r="304" spans="3:35" x14ac:dyDescent="0.2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</row>
    <row r="305" spans="3:35" x14ac:dyDescent="0.2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</row>
    <row r="306" spans="3:35" x14ac:dyDescent="0.2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</row>
    <row r="307" spans="3:35" x14ac:dyDescent="0.2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</row>
    <row r="308" spans="3:35" x14ac:dyDescent="0.2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</row>
    <row r="309" spans="3:35" x14ac:dyDescent="0.2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</row>
    <row r="310" spans="3:35" x14ac:dyDescent="0.2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</row>
    <row r="311" spans="3:35" x14ac:dyDescent="0.2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</row>
    <row r="312" spans="3:35" x14ac:dyDescent="0.2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</row>
    <row r="313" spans="3:35" x14ac:dyDescent="0.2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</row>
    <row r="314" spans="3:35" x14ac:dyDescent="0.2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</row>
    <row r="315" spans="3:35" x14ac:dyDescent="0.2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</row>
    <row r="316" spans="3:35" x14ac:dyDescent="0.2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</row>
    <row r="317" spans="3:35" x14ac:dyDescent="0.2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</row>
    <row r="318" spans="3:35" x14ac:dyDescent="0.2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</row>
    <row r="319" spans="3:35" x14ac:dyDescent="0.2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</row>
    <row r="320" spans="3:35" x14ac:dyDescent="0.2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</row>
    <row r="321" spans="3:35" x14ac:dyDescent="0.2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</row>
    <row r="322" spans="3:35" x14ac:dyDescent="0.2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</row>
    <row r="323" spans="3:35" x14ac:dyDescent="0.2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</row>
    <row r="324" spans="3:35" x14ac:dyDescent="0.2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</row>
    <row r="325" spans="3:35" x14ac:dyDescent="0.2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</row>
    <row r="326" spans="3:35" x14ac:dyDescent="0.2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</row>
    <row r="327" spans="3:35" x14ac:dyDescent="0.2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</row>
    <row r="328" spans="3:35" x14ac:dyDescent="0.2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</row>
    <row r="329" spans="3:35" x14ac:dyDescent="0.2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</row>
    <row r="330" spans="3:35" x14ac:dyDescent="0.2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</row>
    <row r="331" spans="3:35" x14ac:dyDescent="0.2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</row>
    <row r="332" spans="3:35" x14ac:dyDescent="0.2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</row>
    <row r="333" spans="3:35" x14ac:dyDescent="0.2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</row>
    <row r="334" spans="3:35" x14ac:dyDescent="0.2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</row>
    <row r="335" spans="3:35" x14ac:dyDescent="0.2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</row>
    <row r="336" spans="3:35" x14ac:dyDescent="0.2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</row>
    <row r="337" spans="3:35" x14ac:dyDescent="0.2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</row>
    <row r="338" spans="3:35" x14ac:dyDescent="0.2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</row>
    <row r="339" spans="3:35" x14ac:dyDescent="0.2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</row>
    <row r="340" spans="3:35" x14ac:dyDescent="0.2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</row>
    <row r="341" spans="3:35" x14ac:dyDescent="0.2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</row>
    <row r="342" spans="3:35" x14ac:dyDescent="0.2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</row>
    <row r="343" spans="3:35" x14ac:dyDescent="0.2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</row>
    <row r="344" spans="3:35" x14ac:dyDescent="0.2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</row>
    <row r="345" spans="3:35" x14ac:dyDescent="0.2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</row>
    <row r="346" spans="3:35" x14ac:dyDescent="0.2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</row>
    <row r="347" spans="3:35" x14ac:dyDescent="0.2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</row>
    <row r="348" spans="3:35" x14ac:dyDescent="0.2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</row>
    <row r="349" spans="3:35" x14ac:dyDescent="0.2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</row>
    <row r="350" spans="3:35" x14ac:dyDescent="0.2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</row>
    <row r="351" spans="3:35" x14ac:dyDescent="0.2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</row>
    <row r="352" spans="3:35" x14ac:dyDescent="0.2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</row>
    <row r="353" spans="3:35" x14ac:dyDescent="0.2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</row>
    <row r="354" spans="3:35" x14ac:dyDescent="0.2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</row>
    <row r="355" spans="3:35" x14ac:dyDescent="0.2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</row>
    <row r="356" spans="3:35" x14ac:dyDescent="0.2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</row>
    <row r="357" spans="3:35" x14ac:dyDescent="0.2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</row>
    <row r="358" spans="3:35" x14ac:dyDescent="0.2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</row>
    <row r="359" spans="3:35" x14ac:dyDescent="0.2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</row>
    <row r="360" spans="3:35" x14ac:dyDescent="0.2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</row>
    <row r="361" spans="3:35" x14ac:dyDescent="0.2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</row>
    <row r="362" spans="3:35" x14ac:dyDescent="0.2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</row>
    <row r="363" spans="3:35" x14ac:dyDescent="0.2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</row>
    <row r="364" spans="3:35" x14ac:dyDescent="0.2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</row>
    <row r="365" spans="3:35" x14ac:dyDescent="0.2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</row>
    <row r="366" spans="3:35" x14ac:dyDescent="0.2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</row>
    <row r="367" spans="3:35" x14ac:dyDescent="0.2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</row>
    <row r="368" spans="3:35" x14ac:dyDescent="0.2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</row>
    <row r="369" spans="3:35" x14ac:dyDescent="0.2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</row>
    <row r="370" spans="3:35" x14ac:dyDescent="0.2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</row>
    <row r="371" spans="3:35" x14ac:dyDescent="0.2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</row>
    <row r="372" spans="3:35" x14ac:dyDescent="0.2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</row>
    <row r="373" spans="3:35" x14ac:dyDescent="0.2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</row>
    <row r="374" spans="3:35" x14ac:dyDescent="0.2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</row>
    <row r="375" spans="3:35" x14ac:dyDescent="0.2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</row>
    <row r="376" spans="3:35" x14ac:dyDescent="0.2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</row>
    <row r="377" spans="3:35" x14ac:dyDescent="0.2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</row>
    <row r="378" spans="3:35" x14ac:dyDescent="0.2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</row>
    <row r="379" spans="3:35" x14ac:dyDescent="0.2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</row>
    <row r="380" spans="3:35" x14ac:dyDescent="0.2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</row>
    <row r="381" spans="3:35" x14ac:dyDescent="0.2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</row>
    <row r="382" spans="3:35" x14ac:dyDescent="0.2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</row>
    <row r="383" spans="3:35" x14ac:dyDescent="0.2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</row>
    <row r="384" spans="3:35" x14ac:dyDescent="0.2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</row>
    <row r="385" spans="3:35" x14ac:dyDescent="0.2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</row>
    <row r="386" spans="3:35" x14ac:dyDescent="0.2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</row>
    <row r="387" spans="3:35" x14ac:dyDescent="0.2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</row>
    <row r="388" spans="3:35" x14ac:dyDescent="0.2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</row>
    <row r="389" spans="3:35" x14ac:dyDescent="0.2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</row>
    <row r="390" spans="3:35" x14ac:dyDescent="0.2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</row>
    <row r="391" spans="3:35" x14ac:dyDescent="0.2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</row>
    <row r="392" spans="3:35" x14ac:dyDescent="0.2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</row>
    <row r="393" spans="3:35" x14ac:dyDescent="0.2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</row>
    <row r="394" spans="3:35" x14ac:dyDescent="0.2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</row>
    <row r="395" spans="3:35" x14ac:dyDescent="0.2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</row>
    <row r="396" spans="3:35" x14ac:dyDescent="0.2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</row>
    <row r="397" spans="3:35" x14ac:dyDescent="0.2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</row>
    <row r="398" spans="3:35" x14ac:dyDescent="0.2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</row>
    <row r="399" spans="3:35" x14ac:dyDescent="0.2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</row>
    <row r="400" spans="3:35" x14ac:dyDescent="0.2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</row>
    <row r="401" spans="3:35" x14ac:dyDescent="0.2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</row>
    <row r="402" spans="3:35" x14ac:dyDescent="0.2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</row>
    <row r="403" spans="3:35" x14ac:dyDescent="0.2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</row>
    <row r="404" spans="3:35" x14ac:dyDescent="0.2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</row>
    <row r="405" spans="3:35" x14ac:dyDescent="0.2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</row>
    <row r="406" spans="3:35" x14ac:dyDescent="0.2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</row>
    <row r="407" spans="3:35" x14ac:dyDescent="0.2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</row>
    <row r="408" spans="3:35" x14ac:dyDescent="0.2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</row>
    <row r="409" spans="3:35" x14ac:dyDescent="0.2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</row>
    <row r="410" spans="3:35" x14ac:dyDescent="0.2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</row>
    <row r="411" spans="3:35" x14ac:dyDescent="0.2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</row>
    <row r="412" spans="3:35" x14ac:dyDescent="0.2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</row>
    <row r="413" spans="3:35" x14ac:dyDescent="0.2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</row>
    <row r="414" spans="3:35" x14ac:dyDescent="0.2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</row>
    <row r="415" spans="3:35" x14ac:dyDescent="0.2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</row>
    <row r="416" spans="3:35" x14ac:dyDescent="0.2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</row>
    <row r="417" spans="3:35" x14ac:dyDescent="0.2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</row>
    <row r="418" spans="3:35" x14ac:dyDescent="0.2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</row>
    <row r="419" spans="3:35" x14ac:dyDescent="0.2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</row>
    <row r="420" spans="3:35" x14ac:dyDescent="0.2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</row>
    <row r="421" spans="3:35" x14ac:dyDescent="0.2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</row>
    <row r="422" spans="3:35" x14ac:dyDescent="0.2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</row>
    <row r="423" spans="3:35" x14ac:dyDescent="0.2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</row>
    <row r="424" spans="3:35" x14ac:dyDescent="0.2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</row>
    <row r="425" spans="3:35" x14ac:dyDescent="0.2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</row>
    <row r="426" spans="3:35" x14ac:dyDescent="0.2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</row>
    <row r="427" spans="3:35" x14ac:dyDescent="0.2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</row>
    <row r="428" spans="3:35" x14ac:dyDescent="0.2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</row>
    <row r="429" spans="3:35" x14ac:dyDescent="0.2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</row>
    <row r="430" spans="3:35" x14ac:dyDescent="0.2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</row>
    <row r="431" spans="3:35" x14ac:dyDescent="0.2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</row>
    <row r="432" spans="3:35" x14ac:dyDescent="0.2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</row>
    <row r="433" spans="3:35" x14ac:dyDescent="0.2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</row>
    <row r="434" spans="3:35" x14ac:dyDescent="0.2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</row>
    <row r="435" spans="3:35" x14ac:dyDescent="0.2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</row>
    <row r="436" spans="3:35" x14ac:dyDescent="0.2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</row>
    <row r="437" spans="3:35" x14ac:dyDescent="0.2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</row>
    <row r="438" spans="3:35" x14ac:dyDescent="0.2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</row>
    <row r="439" spans="3:35" x14ac:dyDescent="0.2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</row>
    <row r="440" spans="3:35" x14ac:dyDescent="0.2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</row>
    <row r="441" spans="3:35" x14ac:dyDescent="0.2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</row>
    <row r="442" spans="3:35" x14ac:dyDescent="0.2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</row>
    <row r="443" spans="3:35" x14ac:dyDescent="0.2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</row>
    <row r="444" spans="3:35" x14ac:dyDescent="0.2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</row>
    <row r="445" spans="3:35" x14ac:dyDescent="0.2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</row>
    <row r="446" spans="3:35" x14ac:dyDescent="0.2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</row>
    <row r="447" spans="3:35" x14ac:dyDescent="0.2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</row>
    <row r="448" spans="3:35" x14ac:dyDescent="0.2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</row>
    <row r="449" spans="3:35" x14ac:dyDescent="0.2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</row>
    <row r="450" spans="3:35" x14ac:dyDescent="0.2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</row>
    <row r="451" spans="3:35" x14ac:dyDescent="0.2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</row>
    <row r="452" spans="3:35" x14ac:dyDescent="0.2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</row>
    <row r="453" spans="3:35" x14ac:dyDescent="0.2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</row>
    <row r="454" spans="3:35" x14ac:dyDescent="0.2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</row>
    <row r="455" spans="3:35" x14ac:dyDescent="0.2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</row>
    <row r="456" spans="3:35" x14ac:dyDescent="0.2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</row>
    <row r="457" spans="3:35" x14ac:dyDescent="0.2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</row>
    <row r="458" spans="3:35" x14ac:dyDescent="0.2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</row>
    <row r="459" spans="3:35" x14ac:dyDescent="0.2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</row>
    <row r="460" spans="3:35" x14ac:dyDescent="0.2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</row>
    <row r="461" spans="3:35" x14ac:dyDescent="0.2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</row>
    <row r="462" spans="3:35" x14ac:dyDescent="0.2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</row>
    <row r="463" spans="3:35" x14ac:dyDescent="0.2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</row>
    <row r="464" spans="3:35" x14ac:dyDescent="0.2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</row>
    <row r="465" spans="3:35" x14ac:dyDescent="0.2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</row>
    <row r="466" spans="3:35" x14ac:dyDescent="0.2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</row>
    <row r="467" spans="3:35" x14ac:dyDescent="0.2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</row>
    <row r="468" spans="3:35" x14ac:dyDescent="0.2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</row>
    <row r="469" spans="3:35" x14ac:dyDescent="0.2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</row>
    <row r="470" spans="3:35" x14ac:dyDescent="0.2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</row>
    <row r="471" spans="3:35" x14ac:dyDescent="0.2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</row>
    <row r="472" spans="3:35" x14ac:dyDescent="0.2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</row>
    <row r="473" spans="3:35" x14ac:dyDescent="0.2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</row>
    <row r="474" spans="3:35" x14ac:dyDescent="0.2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</row>
    <row r="475" spans="3:35" x14ac:dyDescent="0.2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</row>
    <row r="476" spans="3:35" x14ac:dyDescent="0.2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</row>
    <row r="477" spans="3:35" x14ac:dyDescent="0.2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</row>
    <row r="478" spans="3:35" x14ac:dyDescent="0.2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</row>
    <row r="479" spans="3:35" x14ac:dyDescent="0.2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</row>
    <row r="480" spans="3:35" x14ac:dyDescent="0.2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</row>
    <row r="481" spans="3:35" x14ac:dyDescent="0.2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</row>
    <row r="482" spans="3:35" x14ac:dyDescent="0.2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</row>
    <row r="483" spans="3:35" x14ac:dyDescent="0.2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</row>
    <row r="484" spans="3:35" x14ac:dyDescent="0.2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</row>
    <row r="485" spans="3:35" x14ac:dyDescent="0.2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</row>
    <row r="486" spans="3:35" x14ac:dyDescent="0.2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</row>
    <row r="487" spans="3:35" x14ac:dyDescent="0.2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</row>
    <row r="488" spans="3:35" x14ac:dyDescent="0.2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</row>
    <row r="489" spans="3:35" x14ac:dyDescent="0.2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</row>
    <row r="490" spans="3:35" x14ac:dyDescent="0.2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</row>
    <row r="491" spans="3:35" x14ac:dyDescent="0.2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</row>
    <row r="492" spans="3:35" x14ac:dyDescent="0.2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</row>
    <row r="493" spans="3:35" x14ac:dyDescent="0.2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</row>
    <row r="494" spans="3:35" x14ac:dyDescent="0.2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</row>
    <row r="495" spans="3:35" x14ac:dyDescent="0.2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</row>
    <row r="496" spans="3:35" x14ac:dyDescent="0.2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</row>
    <row r="497" spans="3:35" x14ac:dyDescent="0.2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</row>
    <row r="498" spans="3:35" x14ac:dyDescent="0.2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</row>
    <row r="499" spans="3:35" x14ac:dyDescent="0.2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</row>
    <row r="500" spans="3:35" x14ac:dyDescent="0.2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</row>
    <row r="501" spans="3:35" x14ac:dyDescent="0.2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</row>
    <row r="502" spans="3:35" x14ac:dyDescent="0.2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</row>
    <row r="503" spans="3:35" x14ac:dyDescent="0.2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</row>
    <row r="504" spans="3:35" x14ac:dyDescent="0.2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</row>
    <row r="505" spans="3:35" x14ac:dyDescent="0.2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</row>
    <row r="506" spans="3:35" x14ac:dyDescent="0.2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</row>
    <row r="507" spans="3:35" x14ac:dyDescent="0.2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</row>
    <row r="508" spans="3:35" x14ac:dyDescent="0.2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</row>
    <row r="509" spans="3:35" x14ac:dyDescent="0.2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</row>
    <row r="510" spans="3:35" x14ac:dyDescent="0.2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</row>
    <row r="511" spans="3:35" x14ac:dyDescent="0.2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</row>
    <row r="512" spans="3:35" x14ac:dyDescent="0.2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</row>
    <row r="513" spans="3:35" x14ac:dyDescent="0.2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</row>
    <row r="514" spans="3:35" x14ac:dyDescent="0.2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</row>
    <row r="515" spans="3:35" x14ac:dyDescent="0.2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</row>
    <row r="516" spans="3:35" x14ac:dyDescent="0.2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</row>
    <row r="517" spans="3:35" x14ac:dyDescent="0.2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</row>
    <row r="518" spans="3:35" x14ac:dyDescent="0.2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</row>
    <row r="519" spans="3:35" x14ac:dyDescent="0.2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</row>
    <row r="520" spans="3:35" x14ac:dyDescent="0.2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</row>
    <row r="521" spans="3:35" x14ac:dyDescent="0.2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</row>
    <row r="522" spans="3:35" x14ac:dyDescent="0.2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</row>
    <row r="523" spans="3:35" x14ac:dyDescent="0.2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</row>
    <row r="524" spans="3:35" x14ac:dyDescent="0.2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</row>
    <row r="525" spans="3:35" x14ac:dyDescent="0.2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</row>
    <row r="526" spans="3:35" x14ac:dyDescent="0.2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</row>
    <row r="527" spans="3:35" x14ac:dyDescent="0.2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</row>
    <row r="528" spans="3:35" x14ac:dyDescent="0.2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</row>
    <row r="529" spans="3:35" x14ac:dyDescent="0.2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</row>
    <row r="530" spans="3:35" x14ac:dyDescent="0.2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</row>
    <row r="531" spans="3:35" x14ac:dyDescent="0.2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</row>
    <row r="532" spans="3:35" x14ac:dyDescent="0.2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</row>
    <row r="533" spans="3:35" x14ac:dyDescent="0.2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</row>
    <row r="534" spans="3:35" x14ac:dyDescent="0.2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</row>
    <row r="535" spans="3:35" x14ac:dyDescent="0.2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</row>
    <row r="536" spans="3:35" x14ac:dyDescent="0.2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</row>
    <row r="537" spans="3:35" x14ac:dyDescent="0.2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</row>
    <row r="538" spans="3:35" x14ac:dyDescent="0.2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</row>
    <row r="539" spans="3:35" x14ac:dyDescent="0.2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</row>
    <row r="540" spans="3:35" x14ac:dyDescent="0.2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</row>
    <row r="541" spans="3:35" x14ac:dyDescent="0.2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</row>
    <row r="542" spans="3:35" x14ac:dyDescent="0.2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</row>
    <row r="543" spans="3:35" x14ac:dyDescent="0.2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</row>
    <row r="544" spans="3:35" x14ac:dyDescent="0.2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</row>
    <row r="545" spans="3:35" x14ac:dyDescent="0.2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</row>
    <row r="546" spans="3:35" x14ac:dyDescent="0.2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</row>
    <row r="547" spans="3:35" x14ac:dyDescent="0.2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</row>
    <row r="548" spans="3:35" x14ac:dyDescent="0.2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</row>
    <row r="549" spans="3:35" x14ac:dyDescent="0.2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</row>
    <row r="550" spans="3:35" x14ac:dyDescent="0.2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</row>
    <row r="551" spans="3:35" x14ac:dyDescent="0.2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</row>
    <row r="552" spans="3:35" x14ac:dyDescent="0.2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</row>
    <row r="553" spans="3:35" x14ac:dyDescent="0.2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</row>
    <row r="554" spans="3:35" x14ac:dyDescent="0.2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</row>
    <row r="555" spans="3:35" x14ac:dyDescent="0.2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</row>
    <row r="556" spans="3:35" x14ac:dyDescent="0.2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</row>
    <row r="557" spans="3:35" x14ac:dyDescent="0.2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</row>
    <row r="558" spans="3:35" x14ac:dyDescent="0.2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</row>
    <row r="559" spans="3:35" x14ac:dyDescent="0.2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</row>
    <row r="560" spans="3:35" x14ac:dyDescent="0.2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</row>
    <row r="561" spans="3:35" x14ac:dyDescent="0.2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</row>
    <row r="562" spans="3:35" x14ac:dyDescent="0.2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</row>
    <row r="563" spans="3:35" x14ac:dyDescent="0.2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</row>
    <row r="564" spans="3:35" x14ac:dyDescent="0.2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</row>
    <row r="565" spans="3:35" x14ac:dyDescent="0.2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</row>
    <row r="566" spans="3:35" x14ac:dyDescent="0.2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</row>
    <row r="567" spans="3:35" x14ac:dyDescent="0.2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</row>
    <row r="568" spans="3:35" x14ac:dyDescent="0.2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</row>
    <row r="569" spans="3:35" x14ac:dyDescent="0.2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</row>
    <row r="570" spans="3:35" x14ac:dyDescent="0.2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</row>
    <row r="571" spans="3:35" x14ac:dyDescent="0.2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</row>
    <row r="572" spans="3:35" x14ac:dyDescent="0.2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</row>
    <row r="573" spans="3:35" x14ac:dyDescent="0.2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</row>
    <row r="574" spans="3:35" x14ac:dyDescent="0.2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</row>
    <row r="575" spans="3:35" x14ac:dyDescent="0.2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</row>
    <row r="576" spans="3:35" x14ac:dyDescent="0.2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</row>
    <row r="577" spans="3:35" x14ac:dyDescent="0.2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</row>
    <row r="578" spans="3:35" x14ac:dyDescent="0.2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</row>
    <row r="579" spans="3:35" x14ac:dyDescent="0.2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</row>
    <row r="580" spans="3:35" x14ac:dyDescent="0.2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</row>
    <row r="581" spans="3:35" x14ac:dyDescent="0.2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</row>
    <row r="582" spans="3:35" x14ac:dyDescent="0.2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</row>
    <row r="583" spans="3:35" x14ac:dyDescent="0.2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</row>
    <row r="584" spans="3:35" x14ac:dyDescent="0.2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</row>
    <row r="585" spans="3:35" x14ac:dyDescent="0.2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</row>
    <row r="586" spans="3:35" x14ac:dyDescent="0.2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</row>
    <row r="587" spans="3:35" x14ac:dyDescent="0.2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</row>
    <row r="588" spans="3:35" x14ac:dyDescent="0.2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</row>
    <row r="589" spans="3:35" x14ac:dyDescent="0.2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</row>
    <row r="590" spans="3:35" x14ac:dyDescent="0.2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</row>
    <row r="591" spans="3:35" x14ac:dyDescent="0.2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</row>
    <row r="592" spans="3:35" x14ac:dyDescent="0.2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</row>
    <row r="593" spans="3:35" x14ac:dyDescent="0.2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</row>
    <row r="594" spans="3:35" x14ac:dyDescent="0.2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</row>
    <row r="595" spans="3:35" x14ac:dyDescent="0.2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</row>
    <row r="596" spans="3:35" x14ac:dyDescent="0.2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</row>
    <row r="597" spans="3:35" x14ac:dyDescent="0.2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</row>
    <row r="598" spans="3:35" x14ac:dyDescent="0.2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</row>
    <row r="599" spans="3:35" x14ac:dyDescent="0.2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</row>
    <row r="600" spans="3:35" x14ac:dyDescent="0.2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</row>
    <row r="601" spans="3:35" x14ac:dyDescent="0.2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</row>
    <row r="602" spans="3:35" x14ac:dyDescent="0.2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</row>
    <row r="603" spans="3:35" x14ac:dyDescent="0.2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</row>
    <row r="604" spans="3:35" x14ac:dyDescent="0.2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</row>
    <row r="605" spans="3:35" x14ac:dyDescent="0.2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</row>
    <row r="606" spans="3:35" x14ac:dyDescent="0.2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</row>
    <row r="607" spans="3:35" x14ac:dyDescent="0.2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</row>
    <row r="608" spans="3:35" x14ac:dyDescent="0.2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</row>
    <row r="609" spans="3:35" x14ac:dyDescent="0.2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</row>
    <row r="610" spans="3:35" x14ac:dyDescent="0.2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</row>
    <row r="611" spans="3:35" x14ac:dyDescent="0.2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</row>
    <row r="612" spans="3:35" x14ac:dyDescent="0.2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</row>
    <row r="613" spans="3:35" x14ac:dyDescent="0.2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</row>
    <row r="614" spans="3:35" x14ac:dyDescent="0.2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</row>
    <row r="615" spans="3:35" x14ac:dyDescent="0.2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</row>
    <row r="616" spans="3:35" x14ac:dyDescent="0.2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</row>
    <row r="617" spans="3:35" x14ac:dyDescent="0.2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</row>
    <row r="618" spans="3:35" x14ac:dyDescent="0.2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</row>
    <row r="619" spans="3:35" x14ac:dyDescent="0.2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</row>
    <row r="620" spans="3:35" x14ac:dyDescent="0.2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</row>
    <row r="621" spans="3:35" x14ac:dyDescent="0.2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</row>
    <row r="622" spans="3:35" x14ac:dyDescent="0.2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</row>
    <row r="623" spans="3:35" x14ac:dyDescent="0.2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</row>
    <row r="624" spans="3:35" x14ac:dyDescent="0.2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</row>
    <row r="625" spans="3:35" x14ac:dyDescent="0.2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</row>
    <row r="626" spans="3:35" x14ac:dyDescent="0.2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</row>
    <row r="627" spans="3:35" x14ac:dyDescent="0.2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</row>
    <row r="628" spans="3:35" x14ac:dyDescent="0.2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</row>
  </sheetData>
  <hyperlinks>
    <hyperlink ref="A1" location="Main!A1" display="Main" xr:uid="{AC81BA68-B80D-4748-BD23-8E934E37DA38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2025-02-18T12:12:17Z</dcterms:created>
  <dcterms:modified xsi:type="dcterms:W3CDTF">2026-08-25T08:59:24Z</dcterms:modified>
</cp:coreProperties>
</file>