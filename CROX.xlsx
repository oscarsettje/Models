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16A29BFE-70C8-4CD1-8E75-9F98B17ED35B}" xr6:coauthVersionLast="47" xr6:coauthVersionMax="47" xr10:uidLastSave="{00000000-0000-0000-0000-000000000000}"/>
  <bookViews>
    <workbookView xWindow="-120" yWindow="-120" windowWidth="38640" windowHeight="21120" activeTab="4" xr2:uid="{CE56C274-430F-49C4-B695-C61D5C0F48E5}"/>
  </bookViews>
  <sheets>
    <sheet name="Main" sheetId="1" r:id="rId1"/>
    <sheet name="Model" sheetId="2" r:id="rId2"/>
    <sheet name="Ratios" sheetId="3" r:id="rId3"/>
    <sheet name="Coc" sheetId="5" r:id="rId4"/>
    <sheet name="DCF" sheetId="4" r:id="rId5"/>
    <sheet name="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" l="1"/>
  <c r="M46" i="2"/>
  <c r="L46" i="2"/>
  <c r="K46" i="2"/>
  <c r="J46" i="2"/>
  <c r="I46" i="2"/>
  <c r="H46" i="2"/>
  <c r="G46" i="2"/>
  <c r="N45" i="2"/>
  <c r="M45" i="2"/>
  <c r="L45" i="2"/>
  <c r="K45" i="2"/>
  <c r="J45" i="2"/>
  <c r="I45" i="2"/>
  <c r="H45" i="2"/>
  <c r="G45" i="2"/>
  <c r="N44" i="2"/>
  <c r="M44" i="2"/>
  <c r="L44" i="2"/>
  <c r="K44" i="2"/>
  <c r="J44" i="2"/>
  <c r="I44" i="2"/>
  <c r="H44" i="2"/>
  <c r="G44" i="2"/>
  <c r="N43" i="2"/>
  <c r="M43" i="2"/>
  <c r="L43" i="2"/>
  <c r="K43" i="2"/>
  <c r="J43" i="2"/>
  <c r="I43" i="2"/>
  <c r="H43" i="2"/>
  <c r="G43" i="2"/>
  <c r="N42" i="2"/>
  <c r="M42" i="2"/>
  <c r="L42" i="2"/>
  <c r="K42" i="2"/>
  <c r="J42" i="2"/>
  <c r="I42" i="2"/>
  <c r="H42" i="2"/>
  <c r="G42" i="2"/>
  <c r="N41" i="2"/>
  <c r="M41" i="2"/>
  <c r="L41" i="2"/>
  <c r="K41" i="2"/>
  <c r="J41" i="2"/>
  <c r="I41" i="2"/>
  <c r="H41" i="2"/>
  <c r="G41" i="2"/>
  <c r="N40" i="2"/>
  <c r="M40" i="2"/>
  <c r="L40" i="2"/>
  <c r="K40" i="2"/>
  <c r="J40" i="2"/>
  <c r="I40" i="2"/>
  <c r="H40" i="2"/>
  <c r="G40" i="2"/>
  <c r="N39" i="2"/>
  <c r="M39" i="2"/>
  <c r="L39" i="2"/>
  <c r="K39" i="2"/>
  <c r="J39" i="2"/>
  <c r="I39" i="2"/>
  <c r="H39" i="2"/>
  <c r="G39" i="2"/>
  <c r="N38" i="2"/>
  <c r="M38" i="2"/>
  <c r="L38" i="2"/>
  <c r="K38" i="2"/>
  <c r="J38" i="2"/>
  <c r="I38" i="2"/>
  <c r="H38" i="2"/>
  <c r="G38" i="2"/>
  <c r="N17" i="2"/>
  <c r="N16" i="2"/>
  <c r="N15" i="2"/>
  <c r="N14" i="2"/>
  <c r="N13" i="2"/>
  <c r="N12" i="2"/>
  <c r="O41" i="2"/>
  <c r="O40" i="2"/>
  <c r="O39" i="2"/>
  <c r="O38" i="2"/>
  <c r="O17" i="2"/>
  <c r="O16" i="2"/>
  <c r="H6" i="1"/>
  <c r="O46" i="2"/>
  <c r="O45" i="2"/>
  <c r="O44" i="2"/>
  <c r="O43" i="2"/>
  <c r="O42" i="2"/>
  <c r="O31" i="2"/>
  <c r="O29" i="2"/>
  <c r="O27" i="2"/>
  <c r="O22" i="2"/>
  <c r="O20" i="2"/>
  <c r="J6" i="3"/>
  <c r="J4" i="3"/>
  <c r="J5" i="3" s="1"/>
  <c r="J7" i="3" s="1"/>
  <c r="AA17" i="2"/>
  <c r="AA16" i="2"/>
  <c r="AA111" i="2"/>
  <c r="AA104" i="2"/>
  <c r="AA99" i="2"/>
  <c r="AA100" i="2" s="1"/>
  <c r="AA77" i="2"/>
  <c r="AA71" i="2"/>
  <c r="AA63" i="2"/>
  <c r="AA55" i="2"/>
  <c r="N20" i="2"/>
  <c r="N22" i="2" s="1"/>
  <c r="AA42" i="2"/>
  <c r="AA39" i="2"/>
  <c r="AA38" i="2"/>
  <c r="AA37" i="2"/>
  <c r="AA36" i="2"/>
  <c r="AA35" i="2"/>
  <c r="AA34" i="2"/>
  <c r="AA20" i="2"/>
  <c r="M17" i="2"/>
  <c r="M16" i="2"/>
  <c r="M20" i="2"/>
  <c r="M22" i="2" s="1"/>
  <c r="F35" i="5"/>
  <c r="F32" i="5"/>
  <c r="F15" i="5"/>
  <c r="F22" i="5"/>
  <c r="F19" i="5"/>
  <c r="F11" i="5"/>
  <c r="F6" i="5"/>
  <c r="J7" i="6"/>
  <c r="J6" i="6"/>
  <c r="J5" i="6"/>
  <c r="J3" i="6"/>
  <c r="D28" i="6"/>
  <c r="V1006" i="6"/>
  <c r="V1005" i="6"/>
  <c r="V1004" i="6"/>
  <c r="V1003" i="6"/>
  <c r="V1002" i="6"/>
  <c r="V1001" i="6"/>
  <c r="V1000" i="6"/>
  <c r="V999" i="6"/>
  <c r="V998" i="6"/>
  <c r="V997" i="6"/>
  <c r="V996" i="6"/>
  <c r="V995" i="6"/>
  <c r="V994" i="6"/>
  <c r="V993" i="6"/>
  <c r="V992" i="6"/>
  <c r="V991" i="6"/>
  <c r="V990" i="6"/>
  <c r="V989" i="6"/>
  <c r="V988" i="6"/>
  <c r="V987" i="6"/>
  <c r="V986" i="6"/>
  <c r="V985" i="6"/>
  <c r="V984" i="6"/>
  <c r="V983" i="6"/>
  <c r="V982" i="6"/>
  <c r="V981" i="6"/>
  <c r="V980" i="6"/>
  <c r="V979" i="6"/>
  <c r="V978" i="6"/>
  <c r="V977" i="6"/>
  <c r="V976" i="6"/>
  <c r="V975" i="6"/>
  <c r="V974" i="6"/>
  <c r="V973" i="6"/>
  <c r="V972" i="6"/>
  <c r="V971" i="6"/>
  <c r="V970" i="6"/>
  <c r="V969" i="6"/>
  <c r="V968" i="6"/>
  <c r="V967" i="6"/>
  <c r="V966" i="6"/>
  <c r="V965" i="6"/>
  <c r="V964" i="6"/>
  <c r="V963" i="6"/>
  <c r="V962" i="6"/>
  <c r="V961" i="6"/>
  <c r="V960" i="6"/>
  <c r="V959" i="6"/>
  <c r="V958" i="6"/>
  <c r="V957" i="6"/>
  <c r="V956" i="6"/>
  <c r="V955" i="6"/>
  <c r="V954" i="6"/>
  <c r="V953" i="6"/>
  <c r="V952" i="6"/>
  <c r="V951" i="6"/>
  <c r="V950" i="6"/>
  <c r="V949" i="6"/>
  <c r="V948" i="6"/>
  <c r="V947" i="6"/>
  <c r="V946" i="6"/>
  <c r="V945" i="6"/>
  <c r="V944" i="6"/>
  <c r="V943" i="6"/>
  <c r="V942" i="6"/>
  <c r="V941" i="6"/>
  <c r="V940" i="6"/>
  <c r="V939" i="6"/>
  <c r="V938" i="6"/>
  <c r="V937" i="6"/>
  <c r="V936" i="6"/>
  <c r="V935" i="6"/>
  <c r="V934" i="6"/>
  <c r="V933" i="6"/>
  <c r="V932" i="6"/>
  <c r="V931" i="6"/>
  <c r="V930" i="6"/>
  <c r="V929" i="6"/>
  <c r="V928" i="6"/>
  <c r="V927" i="6"/>
  <c r="V926" i="6"/>
  <c r="V925" i="6"/>
  <c r="V924" i="6"/>
  <c r="V923" i="6"/>
  <c r="V922" i="6"/>
  <c r="V921" i="6"/>
  <c r="V920" i="6"/>
  <c r="V919" i="6"/>
  <c r="V918" i="6"/>
  <c r="V917" i="6"/>
  <c r="V916" i="6"/>
  <c r="V915" i="6"/>
  <c r="V914" i="6"/>
  <c r="V913" i="6"/>
  <c r="V912" i="6"/>
  <c r="V911" i="6"/>
  <c r="V910" i="6"/>
  <c r="V909" i="6"/>
  <c r="V908" i="6"/>
  <c r="V907" i="6"/>
  <c r="V906" i="6"/>
  <c r="V905" i="6"/>
  <c r="V904" i="6"/>
  <c r="V903" i="6"/>
  <c r="V902" i="6"/>
  <c r="V901" i="6"/>
  <c r="V900" i="6"/>
  <c r="V899" i="6"/>
  <c r="V898" i="6"/>
  <c r="V897" i="6"/>
  <c r="V896" i="6"/>
  <c r="V895" i="6"/>
  <c r="V894" i="6"/>
  <c r="V893" i="6"/>
  <c r="V892" i="6"/>
  <c r="V891" i="6"/>
  <c r="V890" i="6"/>
  <c r="V889" i="6"/>
  <c r="V888" i="6"/>
  <c r="V887" i="6"/>
  <c r="V886" i="6"/>
  <c r="V885" i="6"/>
  <c r="V884" i="6"/>
  <c r="V883" i="6"/>
  <c r="V882" i="6"/>
  <c r="V881" i="6"/>
  <c r="V880" i="6"/>
  <c r="V879" i="6"/>
  <c r="V878" i="6"/>
  <c r="V877" i="6"/>
  <c r="V876" i="6"/>
  <c r="V875" i="6"/>
  <c r="V874" i="6"/>
  <c r="V873" i="6"/>
  <c r="V872" i="6"/>
  <c r="V871" i="6"/>
  <c r="V870" i="6"/>
  <c r="V869" i="6"/>
  <c r="V868" i="6"/>
  <c r="V867" i="6"/>
  <c r="V866" i="6"/>
  <c r="V865" i="6"/>
  <c r="V864" i="6"/>
  <c r="V863" i="6"/>
  <c r="V862" i="6"/>
  <c r="V861" i="6"/>
  <c r="V860" i="6"/>
  <c r="V859" i="6"/>
  <c r="V858" i="6"/>
  <c r="V857" i="6"/>
  <c r="V856" i="6"/>
  <c r="V855" i="6"/>
  <c r="V854" i="6"/>
  <c r="V853" i="6"/>
  <c r="V852" i="6"/>
  <c r="V851" i="6"/>
  <c r="V850" i="6"/>
  <c r="V849" i="6"/>
  <c r="V848" i="6"/>
  <c r="V847" i="6"/>
  <c r="V846" i="6"/>
  <c r="V845" i="6"/>
  <c r="V844" i="6"/>
  <c r="V843" i="6"/>
  <c r="V842" i="6"/>
  <c r="V841" i="6"/>
  <c r="V840" i="6"/>
  <c r="V839" i="6"/>
  <c r="V838" i="6"/>
  <c r="V837" i="6"/>
  <c r="V836" i="6"/>
  <c r="V835" i="6"/>
  <c r="V834" i="6"/>
  <c r="V833" i="6"/>
  <c r="V832" i="6"/>
  <c r="V831" i="6"/>
  <c r="V830" i="6"/>
  <c r="V829" i="6"/>
  <c r="V828" i="6"/>
  <c r="V827" i="6"/>
  <c r="V826" i="6"/>
  <c r="V825" i="6"/>
  <c r="V824" i="6"/>
  <c r="V823" i="6"/>
  <c r="V822" i="6"/>
  <c r="V821" i="6"/>
  <c r="V820" i="6"/>
  <c r="V819" i="6"/>
  <c r="V818" i="6"/>
  <c r="V817" i="6"/>
  <c r="V816" i="6"/>
  <c r="V815" i="6"/>
  <c r="V814" i="6"/>
  <c r="V813" i="6"/>
  <c r="V812" i="6"/>
  <c r="V811" i="6"/>
  <c r="V810" i="6"/>
  <c r="V809" i="6"/>
  <c r="V808" i="6"/>
  <c r="V807" i="6"/>
  <c r="V806" i="6"/>
  <c r="V805" i="6"/>
  <c r="V804" i="6"/>
  <c r="V803" i="6"/>
  <c r="V802" i="6"/>
  <c r="V801" i="6"/>
  <c r="V800" i="6"/>
  <c r="V799" i="6"/>
  <c r="V798" i="6"/>
  <c r="V797" i="6"/>
  <c r="V796" i="6"/>
  <c r="V795" i="6"/>
  <c r="V794" i="6"/>
  <c r="V793" i="6"/>
  <c r="V792" i="6"/>
  <c r="V791" i="6"/>
  <c r="V790" i="6"/>
  <c r="V789" i="6"/>
  <c r="V788" i="6"/>
  <c r="V787" i="6"/>
  <c r="V786" i="6"/>
  <c r="V785" i="6"/>
  <c r="V784" i="6"/>
  <c r="V783" i="6"/>
  <c r="V782" i="6"/>
  <c r="V781" i="6"/>
  <c r="V780" i="6"/>
  <c r="V779" i="6"/>
  <c r="V778" i="6"/>
  <c r="V777" i="6"/>
  <c r="V776" i="6"/>
  <c r="V775" i="6"/>
  <c r="V774" i="6"/>
  <c r="V773" i="6"/>
  <c r="V772" i="6"/>
  <c r="V771" i="6"/>
  <c r="V770" i="6"/>
  <c r="V769" i="6"/>
  <c r="V768" i="6"/>
  <c r="V767" i="6"/>
  <c r="V766" i="6"/>
  <c r="V765" i="6"/>
  <c r="V764" i="6"/>
  <c r="V763" i="6"/>
  <c r="V762" i="6"/>
  <c r="V761" i="6"/>
  <c r="V760" i="6"/>
  <c r="V759" i="6"/>
  <c r="V758" i="6"/>
  <c r="V757" i="6"/>
  <c r="V756" i="6"/>
  <c r="V755" i="6"/>
  <c r="V754" i="6"/>
  <c r="V753" i="6"/>
  <c r="V752" i="6"/>
  <c r="V751" i="6"/>
  <c r="V750" i="6"/>
  <c r="V749" i="6"/>
  <c r="V748" i="6"/>
  <c r="V747" i="6"/>
  <c r="V746" i="6"/>
  <c r="V745" i="6"/>
  <c r="V744" i="6"/>
  <c r="V743" i="6"/>
  <c r="V742" i="6"/>
  <c r="V741" i="6"/>
  <c r="V740" i="6"/>
  <c r="V739" i="6"/>
  <c r="V738" i="6"/>
  <c r="V737" i="6"/>
  <c r="V736" i="6"/>
  <c r="V735" i="6"/>
  <c r="V734" i="6"/>
  <c r="V733" i="6"/>
  <c r="V732" i="6"/>
  <c r="V731" i="6"/>
  <c r="V730" i="6"/>
  <c r="V729" i="6"/>
  <c r="V728" i="6"/>
  <c r="V727" i="6"/>
  <c r="V726" i="6"/>
  <c r="V725" i="6"/>
  <c r="V724" i="6"/>
  <c r="V723" i="6"/>
  <c r="V722" i="6"/>
  <c r="V721" i="6"/>
  <c r="V720" i="6"/>
  <c r="V719" i="6"/>
  <c r="V718" i="6"/>
  <c r="V717" i="6"/>
  <c r="V716" i="6"/>
  <c r="V715" i="6"/>
  <c r="V714" i="6"/>
  <c r="V713" i="6"/>
  <c r="V712" i="6"/>
  <c r="V711" i="6"/>
  <c r="V710" i="6"/>
  <c r="V709" i="6"/>
  <c r="V708" i="6"/>
  <c r="V707" i="6"/>
  <c r="V706" i="6"/>
  <c r="V705" i="6"/>
  <c r="V704" i="6"/>
  <c r="V703" i="6"/>
  <c r="V702" i="6"/>
  <c r="V701" i="6"/>
  <c r="V700" i="6"/>
  <c r="V699" i="6"/>
  <c r="V698" i="6"/>
  <c r="V697" i="6"/>
  <c r="V696" i="6"/>
  <c r="V695" i="6"/>
  <c r="V694" i="6"/>
  <c r="V693" i="6"/>
  <c r="V692" i="6"/>
  <c r="V691" i="6"/>
  <c r="V690" i="6"/>
  <c r="V689" i="6"/>
  <c r="V688" i="6"/>
  <c r="V687" i="6"/>
  <c r="V686" i="6"/>
  <c r="V685" i="6"/>
  <c r="V684" i="6"/>
  <c r="V683" i="6"/>
  <c r="V682" i="6"/>
  <c r="V681" i="6"/>
  <c r="V680" i="6"/>
  <c r="V679" i="6"/>
  <c r="V678" i="6"/>
  <c r="V677" i="6"/>
  <c r="V676" i="6"/>
  <c r="V675" i="6"/>
  <c r="V674" i="6"/>
  <c r="V673" i="6"/>
  <c r="V672" i="6"/>
  <c r="V671" i="6"/>
  <c r="V670" i="6"/>
  <c r="V669" i="6"/>
  <c r="V668" i="6"/>
  <c r="V667" i="6"/>
  <c r="V666" i="6"/>
  <c r="V665" i="6"/>
  <c r="V664" i="6"/>
  <c r="V663" i="6"/>
  <c r="V662" i="6"/>
  <c r="V661" i="6"/>
  <c r="V660" i="6"/>
  <c r="V659" i="6"/>
  <c r="V658" i="6"/>
  <c r="V657" i="6"/>
  <c r="V656" i="6"/>
  <c r="V655" i="6"/>
  <c r="V654" i="6"/>
  <c r="V653" i="6"/>
  <c r="V652" i="6"/>
  <c r="V651" i="6"/>
  <c r="V650" i="6"/>
  <c r="V649" i="6"/>
  <c r="V648" i="6"/>
  <c r="V647" i="6"/>
  <c r="V646" i="6"/>
  <c r="V645" i="6"/>
  <c r="V644" i="6"/>
  <c r="V643" i="6"/>
  <c r="V642" i="6"/>
  <c r="V641" i="6"/>
  <c r="V640" i="6"/>
  <c r="V639" i="6"/>
  <c r="V638" i="6"/>
  <c r="V637" i="6"/>
  <c r="V636" i="6"/>
  <c r="V635" i="6"/>
  <c r="V634" i="6"/>
  <c r="V633" i="6"/>
  <c r="V632" i="6"/>
  <c r="V631" i="6"/>
  <c r="V630" i="6"/>
  <c r="V629" i="6"/>
  <c r="V628" i="6"/>
  <c r="V627" i="6"/>
  <c r="V626" i="6"/>
  <c r="V625" i="6"/>
  <c r="V624" i="6"/>
  <c r="V623" i="6"/>
  <c r="V622" i="6"/>
  <c r="V621" i="6"/>
  <c r="V620" i="6"/>
  <c r="V619" i="6"/>
  <c r="V618" i="6"/>
  <c r="V617" i="6"/>
  <c r="V616" i="6"/>
  <c r="V615" i="6"/>
  <c r="V614" i="6"/>
  <c r="V613" i="6"/>
  <c r="V612" i="6"/>
  <c r="V611" i="6"/>
  <c r="V610" i="6"/>
  <c r="V609" i="6"/>
  <c r="V608" i="6"/>
  <c r="V607" i="6"/>
  <c r="V606" i="6"/>
  <c r="V605" i="6"/>
  <c r="V604" i="6"/>
  <c r="V603" i="6"/>
  <c r="V602" i="6"/>
  <c r="V601" i="6"/>
  <c r="V600" i="6"/>
  <c r="V599" i="6"/>
  <c r="V598" i="6"/>
  <c r="V597" i="6"/>
  <c r="V596" i="6"/>
  <c r="V595" i="6"/>
  <c r="V594" i="6"/>
  <c r="V593" i="6"/>
  <c r="V592" i="6"/>
  <c r="V591" i="6"/>
  <c r="V590" i="6"/>
  <c r="V589" i="6"/>
  <c r="V588" i="6"/>
  <c r="V587" i="6"/>
  <c r="V586" i="6"/>
  <c r="V585" i="6"/>
  <c r="V584" i="6"/>
  <c r="V583" i="6"/>
  <c r="V582" i="6"/>
  <c r="V581" i="6"/>
  <c r="V580" i="6"/>
  <c r="V579" i="6"/>
  <c r="V578" i="6"/>
  <c r="V577" i="6"/>
  <c r="V576" i="6"/>
  <c r="V575" i="6"/>
  <c r="V574" i="6"/>
  <c r="V573" i="6"/>
  <c r="V572" i="6"/>
  <c r="V571" i="6"/>
  <c r="V570" i="6"/>
  <c r="V569" i="6"/>
  <c r="V568" i="6"/>
  <c r="V567" i="6"/>
  <c r="V566" i="6"/>
  <c r="V565" i="6"/>
  <c r="V564" i="6"/>
  <c r="V563" i="6"/>
  <c r="V562" i="6"/>
  <c r="V561" i="6"/>
  <c r="V560" i="6"/>
  <c r="V559" i="6"/>
  <c r="V558" i="6"/>
  <c r="V557" i="6"/>
  <c r="V556" i="6"/>
  <c r="V555" i="6"/>
  <c r="V554" i="6"/>
  <c r="V553" i="6"/>
  <c r="V552" i="6"/>
  <c r="V551" i="6"/>
  <c r="V550" i="6"/>
  <c r="V549" i="6"/>
  <c r="V548" i="6"/>
  <c r="V547" i="6"/>
  <c r="V546" i="6"/>
  <c r="V545" i="6"/>
  <c r="V544" i="6"/>
  <c r="V543" i="6"/>
  <c r="V542" i="6"/>
  <c r="V541" i="6"/>
  <c r="V540" i="6"/>
  <c r="V539" i="6"/>
  <c r="V538" i="6"/>
  <c r="V537" i="6"/>
  <c r="V536" i="6"/>
  <c r="V535" i="6"/>
  <c r="V534" i="6"/>
  <c r="V533" i="6"/>
  <c r="V532" i="6"/>
  <c r="V531" i="6"/>
  <c r="V530" i="6"/>
  <c r="V529" i="6"/>
  <c r="V528" i="6"/>
  <c r="V527" i="6"/>
  <c r="V526" i="6"/>
  <c r="V525" i="6"/>
  <c r="V524" i="6"/>
  <c r="V523" i="6"/>
  <c r="V522" i="6"/>
  <c r="V521" i="6"/>
  <c r="V520" i="6"/>
  <c r="V519" i="6"/>
  <c r="V518" i="6"/>
  <c r="V517" i="6"/>
  <c r="V516" i="6"/>
  <c r="V515" i="6"/>
  <c r="V514" i="6"/>
  <c r="V513" i="6"/>
  <c r="V512" i="6"/>
  <c r="V511" i="6"/>
  <c r="V510" i="6"/>
  <c r="V509" i="6"/>
  <c r="V508" i="6"/>
  <c r="V507" i="6"/>
  <c r="V506" i="6"/>
  <c r="V505" i="6"/>
  <c r="V504" i="6"/>
  <c r="V503" i="6"/>
  <c r="V502" i="6"/>
  <c r="V501" i="6"/>
  <c r="V500" i="6"/>
  <c r="V499" i="6"/>
  <c r="V498" i="6"/>
  <c r="V497" i="6"/>
  <c r="V496" i="6"/>
  <c r="V495" i="6"/>
  <c r="V494" i="6"/>
  <c r="V493" i="6"/>
  <c r="V492" i="6"/>
  <c r="V491" i="6"/>
  <c r="V490" i="6"/>
  <c r="V489" i="6"/>
  <c r="V488" i="6"/>
  <c r="V487" i="6"/>
  <c r="V486" i="6"/>
  <c r="V485" i="6"/>
  <c r="V484" i="6"/>
  <c r="V483" i="6"/>
  <c r="V482" i="6"/>
  <c r="V481" i="6"/>
  <c r="V480" i="6"/>
  <c r="V479" i="6"/>
  <c r="V478" i="6"/>
  <c r="V477" i="6"/>
  <c r="V476" i="6"/>
  <c r="V475" i="6"/>
  <c r="V474" i="6"/>
  <c r="V473" i="6"/>
  <c r="V472" i="6"/>
  <c r="V471" i="6"/>
  <c r="V470" i="6"/>
  <c r="V469" i="6"/>
  <c r="V468" i="6"/>
  <c r="V467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AA78" i="2" l="1"/>
  <c r="AA80" i="2" s="1"/>
  <c r="AA64" i="2"/>
  <c r="N27" i="2"/>
  <c r="AA22" i="2"/>
  <c r="AA43" i="2"/>
  <c r="AA113" i="2"/>
  <c r="M27" i="2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L17" i="2"/>
  <c r="L16" i="2"/>
  <c r="L14" i="2"/>
  <c r="G71" i="2"/>
  <c r="G55" i="2"/>
  <c r="F63" i="2"/>
  <c r="G63" i="2"/>
  <c r="J71" i="2"/>
  <c r="J63" i="2"/>
  <c r="J55" i="2"/>
  <c r="M77" i="2"/>
  <c r="L77" i="2"/>
  <c r="K77" i="2"/>
  <c r="J77" i="2"/>
  <c r="I77" i="2"/>
  <c r="H77" i="2"/>
  <c r="G77" i="2"/>
  <c r="F77" i="2"/>
  <c r="E77" i="2"/>
  <c r="M71" i="2"/>
  <c r="L71" i="2"/>
  <c r="K71" i="2"/>
  <c r="I71" i="2"/>
  <c r="H71" i="2"/>
  <c r="F71" i="2"/>
  <c r="E71" i="2"/>
  <c r="D71" i="2"/>
  <c r="D78" i="2" s="1"/>
  <c r="D80" i="2" s="1"/>
  <c r="C71" i="2"/>
  <c r="C78" i="2" s="1"/>
  <c r="C80" i="2" s="1"/>
  <c r="M63" i="2"/>
  <c r="L63" i="2"/>
  <c r="K63" i="2"/>
  <c r="I63" i="2"/>
  <c r="H63" i="2"/>
  <c r="M55" i="2"/>
  <c r="L55" i="2"/>
  <c r="K55" i="2"/>
  <c r="I55" i="2"/>
  <c r="H55" i="2"/>
  <c r="F55" i="2"/>
  <c r="E55" i="2"/>
  <c r="E64" i="2" s="1"/>
  <c r="D55" i="2"/>
  <c r="D64" i="2" s="1"/>
  <c r="C55" i="2"/>
  <c r="C64" i="2" s="1"/>
  <c r="L20" i="2"/>
  <c r="L22" i="2" s="1"/>
  <c r="K17" i="2"/>
  <c r="K16" i="2"/>
  <c r="V35" i="4"/>
  <c r="U35" i="4"/>
  <c r="T35" i="4"/>
  <c r="S35" i="4"/>
  <c r="R35" i="4"/>
  <c r="Q35" i="4"/>
  <c r="P35" i="4"/>
  <c r="O35" i="4"/>
  <c r="N35" i="4"/>
  <c r="M35" i="4"/>
  <c r="V33" i="4"/>
  <c r="U33" i="4"/>
  <c r="T33" i="4"/>
  <c r="S33" i="4"/>
  <c r="R33" i="4"/>
  <c r="Q33" i="4"/>
  <c r="P33" i="4"/>
  <c r="O33" i="4"/>
  <c r="N33" i="4"/>
  <c r="M33" i="4"/>
  <c r="V29" i="4"/>
  <c r="U29" i="4"/>
  <c r="T29" i="4"/>
  <c r="S29" i="4"/>
  <c r="R29" i="4"/>
  <c r="Q29" i="4"/>
  <c r="P29" i="4"/>
  <c r="O29" i="4"/>
  <c r="N29" i="4"/>
  <c r="M29" i="4"/>
  <c r="V27" i="4"/>
  <c r="U27" i="4"/>
  <c r="T27" i="4"/>
  <c r="S27" i="4"/>
  <c r="R27" i="4"/>
  <c r="Q27" i="4"/>
  <c r="P27" i="4"/>
  <c r="O27" i="4"/>
  <c r="N27" i="4"/>
  <c r="M27" i="4"/>
  <c r="K20" i="2"/>
  <c r="K22" i="2" s="1"/>
  <c r="V58" i="4"/>
  <c r="V59" i="4"/>
  <c r="H6" i="3"/>
  <c r="G6" i="3"/>
  <c r="F6" i="3"/>
  <c r="E6" i="3"/>
  <c r="D6" i="3"/>
  <c r="C6" i="3"/>
  <c r="I6" i="3"/>
  <c r="H4" i="3"/>
  <c r="H5" i="3" s="1"/>
  <c r="G4" i="3"/>
  <c r="G5" i="3" s="1"/>
  <c r="F4" i="3"/>
  <c r="F5" i="3" s="1"/>
  <c r="E4" i="3"/>
  <c r="E5" i="3" s="1"/>
  <c r="D4" i="3"/>
  <c r="D5" i="3" s="1"/>
  <c r="C4" i="3"/>
  <c r="C5" i="3" s="1"/>
  <c r="I4" i="3"/>
  <c r="I5" i="3" s="1"/>
  <c r="O34" i="4"/>
  <c r="P34" i="4" s="1"/>
  <c r="Q34" i="4" s="1"/>
  <c r="R34" i="4" s="1"/>
  <c r="S34" i="4" s="1"/>
  <c r="T34" i="4" s="1"/>
  <c r="U34" i="4" s="1"/>
  <c r="V34" i="4" s="1"/>
  <c r="N34" i="4"/>
  <c r="N32" i="4" a="1"/>
  <c r="N32" i="4" s="1"/>
  <c r="O28" i="4"/>
  <c r="O26" i="4" s="1" a="1"/>
  <c r="O26" i="4" s="1"/>
  <c r="V61" i="4"/>
  <c r="J3" i="4"/>
  <c r="O3" i="4" s="1"/>
  <c r="K45" i="4"/>
  <c r="J45" i="4"/>
  <c r="I45" i="4"/>
  <c r="L45" i="4"/>
  <c r="K42" i="4"/>
  <c r="J42" i="4"/>
  <c r="I42" i="4"/>
  <c r="H42" i="4"/>
  <c r="G42" i="4"/>
  <c r="L42" i="4"/>
  <c r="K37" i="4"/>
  <c r="J37" i="4"/>
  <c r="I37" i="4"/>
  <c r="H37" i="4"/>
  <c r="G37" i="4"/>
  <c r="L37" i="4"/>
  <c r="K25" i="4"/>
  <c r="J25" i="4"/>
  <c r="I25" i="4"/>
  <c r="H25" i="4"/>
  <c r="G25" i="4"/>
  <c r="L25" i="4"/>
  <c r="O32" i="4" a="1"/>
  <c r="O32" i="4" s="1"/>
  <c r="M32" i="4" a="1"/>
  <c r="M32" i="4" s="1"/>
  <c r="N26" i="4" a="1"/>
  <c r="N26" i="4" s="1"/>
  <c r="M26" i="4" a="1"/>
  <c r="M26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E4" i="4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F20" i="5"/>
  <c r="F8" i="5"/>
  <c r="D2" i="3"/>
  <c r="E2" i="3" s="1"/>
  <c r="F2" i="3" s="1"/>
  <c r="G2" i="3" s="1"/>
  <c r="H2" i="3" s="1"/>
  <c r="I2" i="3" s="1"/>
  <c r="J2" i="3" s="1"/>
  <c r="G64" i="2" l="1"/>
  <c r="L64" i="2"/>
  <c r="L78" i="2"/>
  <c r="L80" i="2" s="1"/>
  <c r="I78" i="2"/>
  <c r="I80" i="2" s="1"/>
  <c r="H78" i="2"/>
  <c r="H80" i="2" s="1"/>
  <c r="F78" i="2"/>
  <c r="F80" i="2" s="1"/>
  <c r="E78" i="2"/>
  <c r="E80" i="2" s="1"/>
  <c r="K64" i="2"/>
  <c r="H64" i="2"/>
  <c r="I64" i="2"/>
  <c r="N29" i="2"/>
  <c r="AA44" i="2"/>
  <c r="AA27" i="2"/>
  <c r="F64" i="2"/>
  <c r="M78" i="2"/>
  <c r="M80" i="2" s="1"/>
  <c r="G78" i="2"/>
  <c r="G80" i="2" s="1"/>
  <c r="K78" i="2"/>
  <c r="K80" i="2" s="1"/>
  <c r="M64" i="2"/>
  <c r="L27" i="2"/>
  <c r="I43" i="4"/>
  <c r="J78" i="2"/>
  <c r="J80" i="2" s="1"/>
  <c r="J64" i="2"/>
  <c r="M29" i="2"/>
  <c r="H7" i="3"/>
  <c r="K43" i="4"/>
  <c r="D7" i="3"/>
  <c r="F7" i="3"/>
  <c r="G7" i="3"/>
  <c r="D31" i="6"/>
  <c r="D30" i="6"/>
  <c r="K27" i="2"/>
  <c r="P28" i="4"/>
  <c r="Q28" i="4" s="1"/>
  <c r="R28" i="4" s="1"/>
  <c r="S28" i="4" s="1"/>
  <c r="T28" i="4" s="1"/>
  <c r="U28" i="4" s="1"/>
  <c r="V28" i="4" s="1"/>
  <c r="I7" i="3"/>
  <c r="C7" i="3"/>
  <c r="E7" i="3"/>
  <c r="L43" i="4"/>
  <c r="L46" i="4"/>
  <c r="M25" i="4"/>
  <c r="M31" i="4" s="1"/>
  <c r="M37" i="4" s="1"/>
  <c r="M40" i="4" s="1"/>
  <c r="J26" i="4"/>
  <c r="L26" i="4"/>
  <c r="J46" i="4"/>
  <c r="K26" i="4"/>
  <c r="K46" i="4"/>
  <c r="G43" i="4"/>
  <c r="H26" i="4"/>
  <c r="H43" i="4"/>
  <c r="J43" i="4"/>
  <c r="I26" i="4"/>
  <c r="I46" i="4"/>
  <c r="P32" i="4" a="1"/>
  <c r="P32" i="4" s="1"/>
  <c r="O5" i="4"/>
  <c r="N31" i="2" l="1"/>
  <c r="AA46" i="2"/>
  <c r="AA29" i="2"/>
  <c r="M31" i="2"/>
  <c r="L29" i="2"/>
  <c r="D32" i="6"/>
  <c r="K29" i="2"/>
  <c r="Q26" i="4" a="1"/>
  <c r="Q26" i="4" s="1"/>
  <c r="P26" i="4" a="1"/>
  <c r="P26" i="4" s="1"/>
  <c r="M42" i="4"/>
  <c r="M45" i="4"/>
  <c r="M48" i="4"/>
  <c r="N25" i="4"/>
  <c r="O25" i="4" s="1"/>
  <c r="Q32" i="4" a="1"/>
  <c r="Q32" i="4" s="1"/>
  <c r="R26" i="4" a="1"/>
  <c r="R26" i="4" s="1"/>
  <c r="AA31" i="2" l="1"/>
  <c r="AA45" i="2"/>
  <c r="L31" i="2"/>
  <c r="K31" i="2"/>
  <c r="M51" i="4"/>
  <c r="M52" i="4" s="1"/>
  <c r="N31" i="4"/>
  <c r="N37" i="4" s="1"/>
  <c r="N40" i="4" s="1"/>
  <c r="N45" i="4"/>
  <c r="N42" i="4"/>
  <c r="N48" i="4"/>
  <c r="R32" i="4" a="1"/>
  <c r="R32" i="4" s="1"/>
  <c r="S26" i="4" a="1"/>
  <c r="S26" i="4" s="1"/>
  <c r="O45" i="4"/>
  <c r="O48" i="4"/>
  <c r="O42" i="4"/>
  <c r="P25" i="4"/>
  <c r="O31" i="4"/>
  <c r="N51" i="4" l="1"/>
  <c r="N52" i="4" s="1"/>
  <c r="S32" i="4" a="1"/>
  <c r="S32" i="4" s="1"/>
  <c r="T26" i="4" a="1"/>
  <c r="T26" i="4" s="1"/>
  <c r="O37" i="4"/>
  <c r="O40" i="4" s="1"/>
  <c r="O51" i="4" s="1"/>
  <c r="O52" i="4" s="1"/>
  <c r="P45" i="4"/>
  <c r="Q25" i="4"/>
  <c r="P48" i="4"/>
  <c r="P42" i="4"/>
  <c r="P31" i="4"/>
  <c r="T32" i="4" l="1" a="1"/>
  <c r="T32" i="4" s="1"/>
  <c r="V26" i="4" a="1"/>
  <c r="V26" i="4" s="1"/>
  <c r="U26" i="4" a="1"/>
  <c r="U26" i="4" s="1"/>
  <c r="Q48" i="4"/>
  <c r="Q42" i="4"/>
  <c r="Q45" i="4"/>
  <c r="R25" i="4"/>
  <c r="Q31" i="4"/>
  <c r="P37" i="4"/>
  <c r="P40" i="4" s="1"/>
  <c r="P51" i="4" s="1"/>
  <c r="P52" i="4" s="1"/>
  <c r="V32" i="4" l="1" a="1"/>
  <c r="V32" i="4" s="1"/>
  <c r="U32" i="4" a="1"/>
  <c r="U32" i="4" s="1"/>
  <c r="Q37" i="4"/>
  <c r="Q40" i="4" s="1"/>
  <c r="Q51" i="4" s="1"/>
  <c r="Q52" i="4" s="1"/>
  <c r="R42" i="4"/>
  <c r="S25" i="4"/>
  <c r="R45" i="4"/>
  <c r="R48" i="4"/>
  <c r="R31" i="4"/>
  <c r="R37" i="4" l="1"/>
  <c r="R40" i="4" s="1"/>
  <c r="R51" i="4" s="1"/>
  <c r="R52" i="4" s="1"/>
  <c r="S42" i="4"/>
  <c r="S45" i="4"/>
  <c r="S48" i="4"/>
  <c r="T25" i="4"/>
  <c r="S31" i="4"/>
  <c r="S37" i="4" l="1"/>
  <c r="S40" i="4" s="1"/>
  <c r="S51" i="4" s="1"/>
  <c r="S52" i="4" s="1"/>
  <c r="U25" i="4"/>
  <c r="T45" i="4"/>
  <c r="T48" i="4"/>
  <c r="T42" i="4"/>
  <c r="T31" i="4"/>
  <c r="T37" i="4" l="1"/>
  <c r="T40" i="4" s="1"/>
  <c r="T51" i="4" s="1"/>
  <c r="T52" i="4" s="1"/>
  <c r="V25" i="4"/>
  <c r="U48" i="4"/>
  <c r="U42" i="4"/>
  <c r="U45" i="4"/>
  <c r="U31" i="4"/>
  <c r="U37" i="4" l="1"/>
  <c r="U40" i="4" s="1"/>
  <c r="U51" i="4" s="1"/>
  <c r="U52" i="4" s="1"/>
  <c r="V45" i="4"/>
  <c r="V48" i="4"/>
  <c r="V42" i="4"/>
  <c r="V31" i="4"/>
  <c r="V37" i="4" l="1"/>
  <c r="V40" i="4" s="1"/>
  <c r="V55" i="4" l="1"/>
  <c r="V56" i="4" s="1"/>
  <c r="V51" i="4"/>
  <c r="V52" i="4" s="1"/>
  <c r="V54" i="4" s="1"/>
  <c r="V57" i="4" l="1"/>
  <c r="V60" i="4" s="1"/>
  <c r="V62" i="4" s="1"/>
  <c r="J4" i="4" s="1"/>
  <c r="N69" i="4" l="1"/>
  <c r="C69" i="4"/>
  <c r="J5" i="4"/>
  <c r="F13" i="2"/>
  <c r="F12" i="2"/>
  <c r="J13" i="2"/>
  <c r="J12" i="2"/>
  <c r="T12" i="2"/>
  <c r="T108" i="2"/>
  <c r="T111" i="2" s="1"/>
  <c r="U108" i="2"/>
  <c r="U111" i="2" s="1"/>
  <c r="T101" i="2"/>
  <c r="T104" i="2" s="1"/>
  <c r="U101" i="2"/>
  <c r="G45" i="4" s="1"/>
  <c r="G46" i="4" s="1"/>
  <c r="V101" i="2"/>
  <c r="H45" i="4" s="1"/>
  <c r="H46" i="4" s="1"/>
  <c r="T99" i="2"/>
  <c r="T91" i="2"/>
  <c r="U99" i="2"/>
  <c r="G48" i="4" s="1"/>
  <c r="G49" i="4" s="1"/>
  <c r="U91" i="2"/>
  <c r="V99" i="2"/>
  <c r="H48" i="4" s="1"/>
  <c r="H49" i="4" s="1"/>
  <c r="V91" i="2"/>
  <c r="V71" i="2"/>
  <c r="T28" i="2"/>
  <c r="T21" i="2"/>
  <c r="V21" i="2"/>
  <c r="U12" i="2"/>
  <c r="V12" i="2"/>
  <c r="U17" i="2"/>
  <c r="V17" i="2"/>
  <c r="W41" i="2" s="1"/>
  <c r="W13" i="2"/>
  <c r="W105" i="2"/>
  <c r="W111" i="2" s="1"/>
  <c r="V111" i="2"/>
  <c r="W99" i="2"/>
  <c r="I48" i="4" s="1"/>
  <c r="I49" i="4" s="1"/>
  <c r="W71" i="2"/>
  <c r="U71" i="2"/>
  <c r="T71" i="2"/>
  <c r="V77" i="2"/>
  <c r="U77" i="2"/>
  <c r="T77" i="2"/>
  <c r="V63" i="2"/>
  <c r="U63" i="2"/>
  <c r="T63" i="2"/>
  <c r="V55" i="2"/>
  <c r="U55" i="2"/>
  <c r="T55" i="2"/>
  <c r="Y115" i="2"/>
  <c r="Y111" i="2"/>
  <c r="X111" i="2"/>
  <c r="Y99" i="2"/>
  <c r="K48" i="4" s="1"/>
  <c r="K49" i="4" s="1"/>
  <c r="X99" i="2"/>
  <c r="J48" i="4" s="1"/>
  <c r="J49" i="4" s="1"/>
  <c r="Z111" i="2"/>
  <c r="Y104" i="2"/>
  <c r="X104" i="2"/>
  <c r="W104" i="2"/>
  <c r="Z104" i="2"/>
  <c r="Z99" i="2"/>
  <c r="L48" i="4" s="1"/>
  <c r="L49" i="4" s="1"/>
  <c r="Y77" i="2"/>
  <c r="X77" i="2"/>
  <c r="W77" i="2"/>
  <c r="Z77" i="2"/>
  <c r="Y71" i="2"/>
  <c r="X71" i="2"/>
  <c r="Z71" i="2"/>
  <c r="Z78" i="2" s="1"/>
  <c r="Z80" i="2" s="1"/>
  <c r="Y63" i="2"/>
  <c r="Y55" i="2"/>
  <c r="X55" i="2"/>
  <c r="W55" i="2"/>
  <c r="X63" i="2"/>
  <c r="W63" i="2"/>
  <c r="Z63" i="2"/>
  <c r="Z55" i="2"/>
  <c r="X17" i="2"/>
  <c r="X41" i="2" s="1"/>
  <c r="X16" i="2"/>
  <c r="W14" i="2"/>
  <c r="W38" i="2" s="1"/>
  <c r="J28" i="2"/>
  <c r="J26" i="2"/>
  <c r="J25" i="2"/>
  <c r="J24" i="2"/>
  <c r="J23" i="2"/>
  <c r="J21" i="2"/>
  <c r="J19" i="2"/>
  <c r="J18" i="2"/>
  <c r="J15" i="2"/>
  <c r="J14" i="2"/>
  <c r="F28" i="2"/>
  <c r="F26" i="2"/>
  <c r="F25" i="2"/>
  <c r="F24" i="2"/>
  <c r="F23" i="2"/>
  <c r="F21" i="2"/>
  <c r="F19" i="2"/>
  <c r="F18" i="2"/>
  <c r="F15" i="2"/>
  <c r="F14" i="2"/>
  <c r="G17" i="2"/>
  <c r="G16" i="2"/>
  <c r="C17" i="2"/>
  <c r="C16" i="2"/>
  <c r="I17" i="2"/>
  <c r="I16" i="2"/>
  <c r="E17" i="2"/>
  <c r="E16" i="2"/>
  <c r="D17" i="2"/>
  <c r="D16" i="2"/>
  <c r="H17" i="2"/>
  <c r="H16" i="2"/>
  <c r="Y35" i="2"/>
  <c r="Y34" i="2"/>
  <c r="X34" i="2"/>
  <c r="W34" i="2"/>
  <c r="V34" i="2"/>
  <c r="U34" i="2"/>
  <c r="Z34" i="2"/>
  <c r="Z35" i="2"/>
  <c r="Y37" i="2"/>
  <c r="Y36" i="2"/>
  <c r="X36" i="2"/>
  <c r="W36" i="2"/>
  <c r="V36" i="2"/>
  <c r="U36" i="2"/>
  <c r="Z36" i="2"/>
  <c r="Z37" i="2"/>
  <c r="Y42" i="2"/>
  <c r="X42" i="2"/>
  <c r="W42" i="2"/>
  <c r="V42" i="2"/>
  <c r="U42" i="2"/>
  <c r="W40" i="2"/>
  <c r="V40" i="2"/>
  <c r="U40" i="2"/>
  <c r="Y39" i="2"/>
  <c r="Y38" i="2"/>
  <c r="V38" i="2"/>
  <c r="U38" i="2"/>
  <c r="Z39" i="2"/>
  <c r="Z38" i="2"/>
  <c r="Z42" i="2"/>
  <c r="Y17" i="2"/>
  <c r="Y16" i="2"/>
  <c r="Z17" i="2"/>
  <c r="Z16" i="2"/>
  <c r="X20" i="2"/>
  <c r="X22" i="2" s="1"/>
  <c r="W20" i="2"/>
  <c r="W22" i="2" s="1"/>
  <c r="V20" i="2"/>
  <c r="U20" i="2"/>
  <c r="U22" i="2" s="1"/>
  <c r="T20" i="2"/>
  <c r="Z20" i="2"/>
  <c r="Z22" i="2" s="1"/>
  <c r="Y20" i="2"/>
  <c r="Y22" i="2" s="1"/>
  <c r="Y5" i="2"/>
  <c r="X5" i="2"/>
  <c r="W5" i="2"/>
  <c r="V5" i="2"/>
  <c r="U5" i="2"/>
  <c r="T5" i="2"/>
  <c r="Z5" i="2"/>
  <c r="H4" i="1"/>
  <c r="I20" i="2"/>
  <c r="H20" i="2"/>
  <c r="E20" i="2"/>
  <c r="E22" i="2" s="1"/>
  <c r="E44" i="2" s="1"/>
  <c r="D20" i="2"/>
  <c r="D22" i="2" s="1"/>
  <c r="C20" i="2"/>
  <c r="C22" i="2" s="1"/>
  <c r="G20" i="2"/>
  <c r="G22" i="2" s="1"/>
  <c r="G27" i="2" s="1"/>
  <c r="Z41" i="2" l="1"/>
  <c r="AA41" i="2"/>
  <c r="Z40" i="2"/>
  <c r="AA40" i="2"/>
  <c r="W78" i="2"/>
  <c r="W80" i="2" s="1"/>
  <c r="H7" i="1"/>
  <c r="F36" i="5"/>
  <c r="F37" i="5" s="1"/>
  <c r="F41" i="5" s="1"/>
  <c r="T100" i="2"/>
  <c r="T113" i="2" s="1"/>
  <c r="T22" i="2"/>
  <c r="U104" i="2"/>
  <c r="Z27" i="2"/>
  <c r="Z29" i="2" s="1"/>
  <c r="L31" i="4"/>
  <c r="U27" i="2"/>
  <c r="U29" i="2" s="1"/>
  <c r="G31" i="4"/>
  <c r="T43" i="2"/>
  <c r="V104" i="2"/>
  <c r="Y27" i="2"/>
  <c r="K31" i="4"/>
  <c r="W27" i="2"/>
  <c r="I31" i="4"/>
  <c r="V41" i="2"/>
  <c r="X27" i="2"/>
  <c r="J31" i="4"/>
  <c r="T78" i="2"/>
  <c r="T80" i="2" s="1"/>
  <c r="U78" i="2"/>
  <c r="U80" i="2" s="1"/>
  <c r="V78" i="2"/>
  <c r="V80" i="2" s="1"/>
  <c r="V22" i="2"/>
  <c r="U41" i="2"/>
  <c r="F16" i="2"/>
  <c r="F17" i="2"/>
  <c r="Y40" i="2"/>
  <c r="U43" i="2"/>
  <c r="T64" i="2"/>
  <c r="U64" i="2"/>
  <c r="W64" i="2"/>
  <c r="X64" i="2"/>
  <c r="Y64" i="2"/>
  <c r="X40" i="2"/>
  <c r="Z64" i="2"/>
  <c r="J17" i="2"/>
  <c r="X38" i="2"/>
  <c r="V64" i="2"/>
  <c r="X78" i="2"/>
  <c r="X80" i="2" s="1"/>
  <c r="Y78" i="2"/>
  <c r="Y80" i="2" s="1"/>
  <c r="F20" i="2"/>
  <c r="F22" i="2" s="1"/>
  <c r="X43" i="2"/>
  <c r="Y43" i="2"/>
  <c r="Z43" i="2"/>
  <c r="V43" i="2"/>
  <c r="U44" i="2"/>
  <c r="W43" i="2"/>
  <c r="Y44" i="2"/>
  <c r="J20" i="2"/>
  <c r="W44" i="2"/>
  <c r="X44" i="2"/>
  <c r="J16" i="2"/>
  <c r="Z44" i="2"/>
  <c r="Y41" i="2"/>
  <c r="H22" i="2"/>
  <c r="C43" i="2"/>
  <c r="D43" i="2"/>
  <c r="C27" i="2"/>
  <c r="C44" i="2"/>
  <c r="D27" i="2"/>
  <c r="D44" i="2"/>
  <c r="E43" i="2"/>
  <c r="E27" i="2"/>
  <c r="I22" i="2"/>
  <c r="T27" i="2" l="1"/>
  <c r="T44" i="2"/>
  <c r="Z31" i="2"/>
  <c r="Z82" i="2"/>
  <c r="Z100" i="2" s="1"/>
  <c r="Z113" i="2" s="1"/>
  <c r="Z115" i="2" s="1"/>
  <c r="AA114" i="2" s="1"/>
  <c r="AA115" i="2" s="1"/>
  <c r="U45" i="2"/>
  <c r="U31" i="2"/>
  <c r="Y29" i="2"/>
  <c r="Y46" i="2"/>
  <c r="W29" i="2"/>
  <c r="W46" i="2"/>
  <c r="X29" i="2"/>
  <c r="X46" i="2"/>
  <c r="F43" i="2"/>
  <c r="U46" i="2"/>
  <c r="Z45" i="2"/>
  <c r="Z46" i="2"/>
  <c r="X45" i="2"/>
  <c r="G32" i="4"/>
  <c r="G40" i="4"/>
  <c r="G51" i="4" s="1"/>
  <c r="G38" i="4"/>
  <c r="V27" i="2"/>
  <c r="V29" i="2" s="1"/>
  <c r="V82" i="2" s="1"/>
  <c r="V100" i="2" s="1"/>
  <c r="V113" i="2" s="1"/>
  <c r="H31" i="4"/>
  <c r="J38" i="4"/>
  <c r="J40" i="4"/>
  <c r="J51" i="4" s="1"/>
  <c r="J32" i="4"/>
  <c r="I32" i="4"/>
  <c r="I40" i="4"/>
  <c r="I51" i="4" s="1"/>
  <c r="I38" i="4"/>
  <c r="K32" i="4"/>
  <c r="K40" i="4"/>
  <c r="K51" i="4" s="1"/>
  <c r="K38" i="4"/>
  <c r="Y82" i="2"/>
  <c r="Y100" i="2" s="1"/>
  <c r="Y113" i="2" s="1"/>
  <c r="Y114" i="2" s="1"/>
  <c r="X115" i="2" s="1"/>
  <c r="L32" i="4"/>
  <c r="L40" i="4"/>
  <c r="L51" i="4" s="1"/>
  <c r="L38" i="4"/>
  <c r="W82" i="2"/>
  <c r="W100" i="2" s="1"/>
  <c r="W113" i="2" s="1"/>
  <c r="U82" i="2"/>
  <c r="U100" i="2" s="1"/>
  <c r="U113" i="2" s="1"/>
  <c r="V44" i="2"/>
  <c r="J22" i="2"/>
  <c r="F27" i="2"/>
  <c r="F44" i="2"/>
  <c r="H27" i="2"/>
  <c r="D46" i="2"/>
  <c r="D29" i="2"/>
  <c r="C29" i="2"/>
  <c r="C46" i="2"/>
  <c r="G29" i="2"/>
  <c r="E46" i="2"/>
  <c r="E29" i="2"/>
  <c r="E31" i="2" s="1"/>
  <c r="I27" i="2"/>
  <c r="T29" i="2" l="1"/>
  <c r="T46" i="2"/>
  <c r="T45" i="2"/>
  <c r="T31" i="2"/>
  <c r="Y31" i="2"/>
  <c r="Y45" i="2"/>
  <c r="W45" i="2"/>
  <c r="W31" i="2"/>
  <c r="X31" i="2"/>
  <c r="X82" i="2"/>
  <c r="X100" i="2" s="1"/>
  <c r="X113" i="2" s="1"/>
  <c r="X114" i="2" s="1"/>
  <c r="W115" i="2" s="1"/>
  <c r="W114" i="2" s="1"/>
  <c r="V115" i="2" s="1"/>
  <c r="V114" i="2" s="1"/>
  <c r="U115" i="2" s="1"/>
  <c r="U114" i="2" s="1"/>
  <c r="T115" i="2" s="1"/>
  <c r="T114" i="2" s="1"/>
  <c r="J27" i="2"/>
  <c r="F29" i="2"/>
  <c r="F45" i="2" s="1"/>
  <c r="F46" i="2"/>
  <c r="V46" i="2"/>
  <c r="H32" i="4"/>
  <c r="H40" i="4"/>
  <c r="H51" i="4" s="1"/>
  <c r="H38" i="4"/>
  <c r="V45" i="2"/>
  <c r="V31" i="2"/>
  <c r="H29" i="2"/>
  <c r="H31" i="2" s="1"/>
  <c r="C31" i="2"/>
  <c r="C45" i="2"/>
  <c r="D45" i="2"/>
  <c r="G31" i="2"/>
  <c r="E45" i="2"/>
  <c r="I29" i="2"/>
  <c r="I31" i="2" s="1"/>
  <c r="J29" i="2" l="1"/>
  <c r="J31" i="2" l="1"/>
  <c r="F31" i="2"/>
  <c r="D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  <author>tc={00FCACC7-419A-4BE6-9120-71F40502A3D1}</author>
  </authors>
  <commentList>
    <comment ref="B7" authorId="0" shapeId="0" xr:uid="{6E3E0F3D-F588-46E1-ADF8-7BFAA9191ED9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In thousands</t>
        </r>
      </text>
    </comment>
    <comment ref="X102" authorId="1" shapeId="0" xr:uid="{00FCACC7-419A-4BE6-9120-71F40502A3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Acqusition of HEYDUDE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<sst xmlns="http://schemas.openxmlformats.org/spreadsheetml/2006/main" count="3550" uniqueCount="1389">
  <si>
    <t>Crocs Inc.</t>
  </si>
  <si>
    <t>Crox</t>
  </si>
  <si>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</si>
  <si>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</si>
  <si>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</si>
  <si>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</si>
  <si>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</si>
  <si>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</si>
  <si>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</si>
  <si>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</si>
  <si>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</si>
  <si>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</si>
  <si>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</si>
  <si>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</si>
  <si>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</si>
  <si>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</si>
  <si>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</si>
  <si>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FY18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</si>
  <si>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</si>
  <si>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</si>
  <si>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</si>
  <si>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</si>
  <si>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</si>
  <si>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</si>
  <si>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</si>
  <si>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</si>
  <si>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</si>
  <si>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SG&amp;A</t>
  </si>
  <si>
    <t>Operating Profit</t>
  </si>
  <si>
    <t>Other Income</t>
  </si>
  <si>
    <t>Loss on Foreign Currency</t>
  </si>
  <si>
    <t>Interest Income</t>
  </si>
  <si>
    <t>Interest Expense</t>
  </si>
  <si>
    <t>Pretax Income</t>
  </si>
  <si>
    <t>EPS</t>
  </si>
  <si>
    <t>Income Tax Expense</t>
  </si>
  <si>
    <t>Net Income</t>
  </si>
  <si>
    <t>Revenue Growth</t>
  </si>
  <si>
    <t>Operating Margin</t>
  </si>
  <si>
    <t>Gross Margin</t>
  </si>
  <si>
    <t>Net Margin</t>
  </si>
  <si>
    <t>Tax Rate</t>
  </si>
  <si>
    <t>numbers in mio USD</t>
  </si>
  <si>
    <t>Corcs Stores</t>
  </si>
  <si>
    <t>HEYDUDE Stores</t>
  </si>
  <si>
    <t>Total Stores</t>
  </si>
  <si>
    <t>Unit Sales Crocs</t>
  </si>
  <si>
    <t>Unit Sales HEYDUDE</t>
  </si>
  <si>
    <t>Avergae Price Crocs</t>
  </si>
  <si>
    <t>Avergae Price HEYDUDE</t>
  </si>
  <si>
    <t>Crocs Revenue</t>
  </si>
  <si>
    <t>HEYDUDE Revenue</t>
  </si>
  <si>
    <t>Wholesale Revenue</t>
  </si>
  <si>
    <t>DTC Revenue</t>
  </si>
  <si>
    <t>Crocs Store Growth</t>
  </si>
  <si>
    <t>HEYDUDE Store Growth</t>
  </si>
  <si>
    <t>Units Crocs Growth</t>
  </si>
  <si>
    <t>Units HEYDUDE Growth</t>
  </si>
  <si>
    <t>Crocs Revenue Growth</t>
  </si>
  <si>
    <t>HEYDUDE Revenue Growth</t>
  </si>
  <si>
    <t>Wholesale Growth</t>
  </si>
  <si>
    <t>DTC Growth</t>
  </si>
  <si>
    <t>Cash &amp; Cash Equivalents</t>
  </si>
  <si>
    <t>Restricted Cash</t>
  </si>
  <si>
    <t>Accounts Receivables</t>
  </si>
  <si>
    <t>Inventories</t>
  </si>
  <si>
    <t>Tax receivables</t>
  </si>
  <si>
    <t>Other receivables</t>
  </si>
  <si>
    <t>Prepaid expenses</t>
  </si>
  <si>
    <t>Current Assets</t>
  </si>
  <si>
    <t>Total Assets</t>
  </si>
  <si>
    <t>Non-current Assets</t>
  </si>
  <si>
    <t>PP&amp;E</t>
  </si>
  <si>
    <t>Intangibles</t>
  </si>
  <si>
    <t>Goodwill</t>
  </si>
  <si>
    <t>Deffered taxes</t>
  </si>
  <si>
    <t>Leases</t>
  </si>
  <si>
    <t>Other</t>
  </si>
  <si>
    <t>Current Liabilties</t>
  </si>
  <si>
    <t>Accounts Payables</t>
  </si>
  <si>
    <t>Accrued Expenses</t>
  </si>
  <si>
    <t>Tax Payables</t>
  </si>
  <si>
    <t>Current Debt</t>
  </si>
  <si>
    <t>Operating Leases</t>
  </si>
  <si>
    <t>Total Liabilties</t>
  </si>
  <si>
    <t>Equity</t>
  </si>
  <si>
    <t>Liabilties &amp; Equity</t>
  </si>
  <si>
    <t>Non-current Liabilties</t>
  </si>
  <si>
    <t>D&amp;A</t>
  </si>
  <si>
    <t>Disposal of Asets</t>
  </si>
  <si>
    <t>Inventory Donations</t>
  </si>
  <si>
    <t>Provison Doubtful accounts</t>
  </si>
  <si>
    <t>SBCs</t>
  </si>
  <si>
    <t>Asset impairments</t>
  </si>
  <si>
    <t>Deferred Taxes</t>
  </si>
  <si>
    <t>Change in AR</t>
  </si>
  <si>
    <t>Change in Inventories</t>
  </si>
  <si>
    <t>Change in Prepaid Expenses</t>
  </si>
  <si>
    <t>Change in AP</t>
  </si>
  <si>
    <t>Change in accrued expenses</t>
  </si>
  <si>
    <t>Change in laeses</t>
  </si>
  <si>
    <t>Changes in Tax Payables</t>
  </si>
  <si>
    <t>Change in WC</t>
  </si>
  <si>
    <t>CFFO</t>
  </si>
  <si>
    <t>CapEx</t>
  </si>
  <si>
    <t>Acquisitions</t>
  </si>
  <si>
    <t>CFFI</t>
  </si>
  <si>
    <t>Cash EoP</t>
  </si>
  <si>
    <t>Cash BoP</t>
  </si>
  <si>
    <t>Change in Cash</t>
  </si>
  <si>
    <t>FX Effects</t>
  </si>
  <si>
    <t>Issuance of Debt</t>
  </si>
  <si>
    <t>Repayment of Debt</t>
  </si>
  <si>
    <t xml:space="preserve">Deferred Debt </t>
  </si>
  <si>
    <t>Stock Repurchases</t>
  </si>
  <si>
    <t>Tax Withholdings</t>
  </si>
  <si>
    <t>CFFF</t>
  </si>
  <si>
    <t>IR</t>
  </si>
  <si>
    <t>North America Crocs</t>
  </si>
  <si>
    <t>International Crocs</t>
  </si>
  <si>
    <t>n.a.</t>
  </si>
  <si>
    <t>Notes</t>
  </si>
  <si>
    <t>Segments</t>
  </si>
  <si>
    <t>Crocs</t>
  </si>
  <si>
    <t>Heydude</t>
  </si>
  <si>
    <t>% of Rev</t>
  </si>
  <si>
    <t>Products</t>
  </si>
  <si>
    <t>Stores</t>
  </si>
  <si>
    <t>Ratios</t>
  </si>
  <si>
    <t>Shares o/s</t>
  </si>
  <si>
    <t>Market Cap</t>
  </si>
  <si>
    <t>Net Debt</t>
  </si>
  <si>
    <t>x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</si>
  <si>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</si>
  <si>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</si>
  <si>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</si>
  <si>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</si>
  <si>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</si>
  <si>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</si>
  <si>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</si>
  <si>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</si>
  <si>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</si>
  <si>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</si>
  <si>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</si>
  <si>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</si>
  <si>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</si>
  <si>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</si>
  <si>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</si>
  <si>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</si>
  <si>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</si>
  <si>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</si>
  <si>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</si>
  <si>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</si>
  <si>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</si>
  <si>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</si>
  <si>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</si>
  <si>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</si>
  <si>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</si>
  <si>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</si>
  <si>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</si>
  <si>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</si>
  <si>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</si>
  <si>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</si>
  <si>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</si>
  <si>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</si>
  <si>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</si>
  <si>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</si>
  <si>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</si>
  <si>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</si>
  <si>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</si>
  <si>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</si>
  <si>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</si>
  <si>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</si>
  <si>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</si>
  <si>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</si>
  <si>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</si>
  <si>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</si>
  <si>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</si>
  <si>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</si>
  <si>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</si>
  <si>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</si>
  <si>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</si>
  <si>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</si>
  <si>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</si>
  <si>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</si>
  <si>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</si>
  <si>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</si>
  <si>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</si>
  <si>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</si>
  <si>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</si>
  <si>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</si>
  <si>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</si>
  <si>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</si>
  <si>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</si>
  <si>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</si>
  <si>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</si>
  <si>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</si>
  <si>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</si>
  <si>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</si>
  <si>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</si>
  <si>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</si>
  <si>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</si>
  <si>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</si>
  <si>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</si>
  <si>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</si>
  <si>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</si>
  <si>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</si>
  <si>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</si>
  <si>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</si>
  <si>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</si>
  <si>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</si>
  <si>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</si>
  <si>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</si>
  <si>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</si>
  <si>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</si>
  <si>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</si>
  <si>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</si>
  <si>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</si>
  <si>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</si>
  <si>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</si>
  <si>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</si>
  <si>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</si>
  <si>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</si>
  <si>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</si>
  <si>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</si>
  <si>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</si>
  <si>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</si>
  <si>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</si>
  <si>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</si>
  <si>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</si>
  <si>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</si>
  <si>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</si>
  <si>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</si>
  <si>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</si>
  <si>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</si>
  <si>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</si>
  <si>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</si>
  <si>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</si>
  <si>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</si>
  <si>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</si>
  <si>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</si>
  <si>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</si>
  <si>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</si>
  <si>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</si>
  <si>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</si>
  <si>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</si>
  <si>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</si>
  <si>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</si>
  <si>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</si>
  <si>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</si>
  <si>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</si>
  <si>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</si>
  <si>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</si>
  <si>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</si>
  <si>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</si>
  <si>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Change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</si>
  <si>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</si>
  <si>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</si>
  <si>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</si>
  <si>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</si>
  <si>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</si>
  <si>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</si>
  <si>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</si>
  <si>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</si>
  <si>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</si>
  <si>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</si>
  <si>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</si>
  <si>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</si>
  <si>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</si>
  <si>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</si>
  <si>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</si>
  <si>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</si>
  <si>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</si>
  <si>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</si>
  <si>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</si>
  <si>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</si>
  <si>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</si>
  <si>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</si>
  <si>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</si>
  <si>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</si>
  <si>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</si>
  <si>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</si>
  <si>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</si>
  <si>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</si>
  <si>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</si>
  <si>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</si>
  <si>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</si>
  <si>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</si>
  <si>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</si>
  <si>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</si>
  <si>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</si>
  <si>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</si>
  <si>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</si>
  <si>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</si>
  <si>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</si>
  <si>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</si>
  <si>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</si>
  <si>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</si>
  <si>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</si>
  <si>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</si>
  <si>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</si>
  <si>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</si>
  <si>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</si>
  <si>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CROX</t>
  </si>
  <si>
    <t>CROCS DCF</t>
  </si>
  <si>
    <t>Acquistion of Heydude in 2021 for 2.5 billion USD</t>
  </si>
  <si>
    <t>Clogs, other shoes, Accessoires</t>
  </si>
  <si>
    <t>Casual Shoes &amp; other, Accessoires</t>
  </si>
  <si>
    <t>Founded:</t>
  </si>
  <si>
    <t>Employees: 7.910</t>
  </si>
  <si>
    <t>Management</t>
  </si>
  <si>
    <t>CEO</t>
  </si>
  <si>
    <t>CFO</t>
  </si>
  <si>
    <t>CBO</t>
  </si>
  <si>
    <t>DFO</t>
  </si>
  <si>
    <t>CPO</t>
  </si>
  <si>
    <t>CIO</t>
  </si>
  <si>
    <t>Andrew Rees</t>
  </si>
  <si>
    <t>Susan Healy</t>
  </si>
  <si>
    <t>Terence Reilly</t>
  </si>
  <si>
    <t>Anne Mehlman</t>
  </si>
  <si>
    <t>Adam Michaels</t>
  </si>
  <si>
    <t>Shanoon Sisler</t>
  </si>
  <si>
    <t>Tom Britt</t>
  </si>
  <si>
    <t>TAM 160 billion USD -&gt; Market Share of  3%</t>
  </si>
  <si>
    <t>First Clog introduced in 2002 in six different colours</t>
  </si>
  <si>
    <t>Heydude: Most important models: Wally, Wendy and sandals</t>
  </si>
  <si>
    <t>Competitors: Nike, Sketchers, Underarmor, Adidas, Deckers etc.</t>
  </si>
  <si>
    <t>Crocs: Mostly Clogs; jibbitz and sandals;</t>
  </si>
  <si>
    <t>collabs with other brands like Crocs X Birkenstock</t>
  </si>
  <si>
    <t>Q125</t>
  </si>
  <si>
    <t>Outlook for 2025 canceled</t>
  </si>
  <si>
    <t>Heydude: Sydney Sweeney new Brand Ambassador</t>
  </si>
  <si>
    <t>Q225</t>
  </si>
  <si>
    <t>Q325</t>
  </si>
  <si>
    <t>Q425</t>
  </si>
  <si>
    <t>Impact of tariffs: around 45 to 130 mio USD</t>
  </si>
  <si>
    <t>Crocs number one brand on Tik Tok shops</t>
  </si>
  <si>
    <t>Guidance: Revenues for Q3 down to be down between 9-11%</t>
  </si>
  <si>
    <t>Operating Margin of approximately 18 to 19%</t>
  </si>
  <si>
    <t>https://web.quartr.com/articles/c73151dc-7087-46ee-8927-68817e7948a0</t>
  </si>
  <si>
    <t>Close</t>
  </si>
  <si>
    <t>UTC Date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</si>
  <si>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</si>
  <si>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</si>
  <si>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</si>
  <si>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</si>
  <si>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</si>
  <si>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</si>
  <si>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</si>
  <si>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</si>
  <si>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</si>
  <si>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</si>
  <si>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</si>
  <si>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</si>
  <si>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</si>
  <si>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</si>
  <si>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</si>
  <si>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</si>
  <si>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</si>
  <si>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</si>
  <si>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</si>
  <si>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</si>
  <si>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</si>
  <si>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</si>
  <si>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</si>
  <si>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</si>
  <si>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</si>
  <si>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</si>
  <si>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</si>
  <si>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</si>
  <si>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</si>
  <si>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</si>
  <si>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</si>
  <si>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</si>
  <si>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</si>
  <si>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</si>
  <si>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</si>
  <si>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</si>
  <si>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</si>
  <si>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</si>
  <si>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</si>
  <si>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</si>
  <si>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</si>
  <si>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</si>
  <si>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</si>
  <si>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</si>
  <si>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</si>
  <si>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</si>
  <si>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</si>
  <si>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</si>
  <si>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</si>
  <si>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</si>
  <si>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</si>
  <si>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</si>
  <si>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</si>
  <si>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</si>
  <si>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</si>
  <si>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</si>
  <si>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</si>
  <si>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</si>
  <si>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</si>
  <si>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</si>
  <si>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</si>
  <si>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</si>
  <si>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</si>
  <si>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</si>
  <si>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</si>
  <si>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</si>
  <si>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</si>
  <si>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</si>
  <si>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</si>
  <si>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</si>
  <si>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</si>
  <si>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</si>
  <si>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</si>
  <si>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</si>
  <si>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</si>
  <si>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</si>
  <si>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</si>
  <si>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</si>
  <si>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</si>
  <si>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</si>
  <si>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</si>
  <si>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</si>
  <si>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</si>
  <si>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</si>
  <si>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</si>
  <si>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</si>
  <si>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</si>
  <si>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</si>
  <si>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</si>
  <si>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</si>
  <si>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</si>
  <si>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</si>
  <si>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</si>
  <si>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</si>
  <si>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</si>
  <si>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</si>
  <si>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</si>
  <si>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</si>
  <si>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</si>
  <si>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</si>
  <si>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</si>
  <si>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</si>
  <si>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</si>
  <si>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</si>
  <si>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</si>
  <si>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</si>
  <si>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</si>
  <si>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</si>
  <si>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</si>
  <si>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</si>
  <si>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</si>
  <si>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</si>
  <si>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</si>
  <si>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</si>
  <si>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</si>
  <si>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</si>
  <si>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</si>
  <si>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</si>
  <si>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</si>
  <si>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</si>
  <si>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</si>
  <si>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</si>
  <si>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</si>
  <si>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</si>
  <si>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</si>
  <si>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</si>
  <si>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</si>
  <si>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</si>
  <si>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</si>
  <si>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</si>
  <si>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</si>
  <si>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</si>
  <si>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</si>
  <si>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</si>
  <si>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</si>
  <si>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</si>
  <si>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</si>
  <si>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</si>
  <si>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</si>
  <si>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</si>
  <si>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</si>
  <si>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</si>
  <si>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</si>
  <si>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</si>
  <si>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</si>
  <si>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</si>
  <si>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</si>
  <si>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</si>
  <si>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</si>
  <si>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</si>
  <si>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</si>
  <si>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</si>
  <si>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</si>
  <si>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</si>
  <si>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</si>
  <si>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</si>
  <si>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</si>
  <si>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</si>
  <si>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</si>
  <si>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</si>
  <si>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</si>
  <si>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</si>
  <si>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</si>
  <si>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</si>
  <si>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</si>
  <si>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</si>
  <si>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</si>
  <si>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</si>
  <si>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</si>
  <si>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</si>
  <si>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</si>
  <si>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</si>
  <si>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</si>
  <si>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</si>
  <si>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</si>
  <si>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</si>
  <si>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</si>
  <si>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</si>
  <si>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</si>
  <si>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</si>
  <si>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</si>
  <si>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</si>
  <si>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</si>
  <si>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</si>
  <si>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</si>
  <si>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</si>
  <si>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</si>
  <si>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</si>
  <si>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</si>
  <si>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</si>
  <si>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</si>
  <si>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</si>
  <si>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</si>
  <si>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</si>
  <si>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</si>
  <si>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</si>
  <si>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</si>
  <si>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</si>
  <si>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</si>
  <si>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</si>
  <si>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</si>
  <si>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</si>
  <si>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</si>
  <si>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</si>
  <si>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</si>
  <si>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</si>
  <si>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</si>
  <si>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</si>
  <si>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</si>
  <si>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</si>
  <si>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</si>
  <si>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</si>
  <si>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</si>
  <si>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</si>
  <si>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</si>
  <si>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</si>
  <si>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</si>
  <si>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</si>
  <si>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</si>
  <si>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</si>
  <si>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</si>
  <si>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</si>
  <si>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</si>
  <si>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</si>
  <si>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</si>
  <si>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</si>
  <si>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</si>
  <si>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</si>
  <si>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</si>
  <si>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</si>
  <si>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</si>
  <si>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</si>
  <si>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</si>
  <si>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</si>
  <si>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</si>
  <si>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</si>
  <si>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</si>
  <si>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</si>
  <si>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</si>
  <si>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</si>
  <si>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</si>
  <si>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</si>
  <si>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</si>
  <si>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</si>
  <si>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</si>
  <si>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</si>
  <si>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</si>
  <si>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</si>
  <si>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</si>
  <si>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</si>
  <si>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</si>
  <si>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</si>
  <si>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</si>
  <si>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</si>
  <si>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</si>
  <si>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</si>
  <si>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</si>
  <si>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</si>
  <si>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</si>
  <si>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</si>
  <si>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</si>
  <si>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</si>
  <si>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</si>
  <si>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</si>
  <si>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</si>
  <si>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</si>
  <si>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</si>
  <si>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</si>
  <si>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</si>
  <si>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</si>
  <si>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</si>
  <si>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</si>
  <si>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</si>
  <si>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</si>
  <si>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</si>
  <si>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</si>
  <si>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</si>
  <si>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</si>
  <si>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</si>
  <si>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</si>
  <si>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</si>
  <si>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</si>
  <si>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</si>
  <si>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</si>
  <si>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</si>
  <si>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</si>
  <si>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</si>
  <si>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</si>
  <si>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</si>
  <si>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</si>
  <si>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</si>
  <si>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</si>
  <si>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</si>
  <si>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</si>
  <si>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</si>
  <si>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</si>
  <si>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</si>
  <si>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</si>
  <si>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</si>
  <si>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</si>
  <si>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</si>
  <si>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</si>
  <si>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</si>
  <si>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</si>
  <si>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</si>
  <si>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</si>
  <si>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</si>
  <si>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</si>
  <si>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</si>
  <si>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</si>
  <si>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</si>
  <si>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</si>
  <si>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</si>
  <si>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</si>
  <si>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</si>
  <si>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</si>
  <si>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</si>
  <si>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</si>
  <si>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</si>
  <si>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</si>
  <si>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</si>
  <si>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</si>
  <si>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</si>
  <si>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</si>
  <si>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</si>
  <si>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</si>
  <si>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</si>
  <si>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</si>
  <si>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</si>
  <si>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</si>
  <si>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</si>
  <si>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</si>
  <si>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</si>
  <si>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</si>
  <si>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</si>
  <si>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</si>
  <si>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</si>
  <si>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</si>
  <si>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</si>
  <si>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</si>
  <si>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</si>
  <si>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</si>
  <si>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</si>
  <si>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</si>
  <si>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</si>
  <si>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</si>
  <si>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</si>
  <si>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</si>
  <si>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</si>
  <si>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</si>
  <si>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</si>
  <si>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</si>
  <si>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</si>
  <si>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</si>
  <si>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</si>
  <si>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</si>
  <si>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</si>
  <si>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</si>
  <si>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</si>
  <si>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</si>
  <si>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</si>
  <si>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</si>
  <si>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</si>
  <si>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</si>
  <si>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</si>
  <si>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</si>
  <si>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</si>
  <si>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</si>
  <si>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</si>
  <si>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</si>
  <si>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</si>
  <si>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</si>
  <si>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</si>
  <si>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</si>
  <si>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</si>
  <si>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</si>
  <si>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</si>
  <si>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</si>
  <si>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</si>
  <si>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</si>
  <si>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</si>
  <si>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</si>
  <si>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</si>
  <si>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</si>
  <si>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</si>
  <si>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</si>
  <si>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</si>
  <si>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</si>
  <si>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</si>
  <si>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</si>
  <si>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</si>
  <si>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</si>
  <si>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</si>
  <si>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</si>
  <si>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</si>
  <si>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</si>
  <si>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</si>
  <si>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</si>
  <si>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</si>
  <si>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</si>
  <si>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</si>
  <si>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</si>
  <si>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</si>
  <si>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</si>
  <si>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</si>
  <si>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</si>
  <si>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</si>
  <si>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</si>
  <si>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</si>
  <si>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</si>
  <si>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</si>
  <si>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</si>
  <si>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</si>
  <si>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</si>
  <si>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</si>
  <si>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</si>
  <si>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</si>
  <si>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</si>
  <si>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</si>
  <si>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</si>
  <si>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</si>
  <si>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</si>
  <si>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</si>
  <si>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</si>
  <si>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</si>
  <si>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</si>
  <si>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</si>
  <si>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</si>
  <si>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</si>
  <si>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</si>
  <si>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</si>
  <si>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</si>
  <si>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</si>
  <si>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</si>
  <si>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</si>
  <si>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</si>
  <si>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</si>
  <si>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</si>
  <si>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</si>
  <si>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</si>
  <si>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</si>
  <si>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</si>
  <si>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</si>
  <si>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</si>
  <si>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</si>
  <si>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</si>
  <si>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</si>
  <si>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</si>
  <si>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</si>
  <si>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</si>
  <si>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</si>
  <si>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</si>
  <si>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</si>
  <si>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</si>
  <si>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</si>
  <si>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</si>
  <si>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</si>
  <si>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</si>
  <si>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</si>
  <si>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</si>
  <si>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</si>
  <si>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</si>
  <si>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</si>
  <si>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</si>
  <si>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</si>
  <si>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</si>
  <si>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</si>
  <si>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</si>
  <si>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</si>
  <si>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</si>
  <si>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</si>
  <si>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</si>
  <si>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</si>
  <si>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</si>
  <si>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</si>
  <si>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</si>
  <si>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</si>
  <si>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</si>
  <si>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</si>
  <si>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</si>
  <si>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</si>
  <si>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</si>
  <si>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</si>
  <si>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</si>
  <si>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</si>
  <si>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</si>
  <si>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</si>
  <si>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</si>
  <si>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</si>
  <si>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</si>
  <si>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</si>
  <si>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</si>
  <si>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</si>
  <si>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</si>
  <si>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</si>
  <si>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</si>
  <si>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</si>
  <si>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</si>
  <si>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</si>
  <si>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</si>
  <si>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</si>
  <si>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</si>
  <si>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</si>
  <si>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</si>
  <si>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</si>
  <si>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</si>
  <si>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</si>
  <si>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</si>
  <si>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</si>
  <si>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</si>
  <si>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</si>
  <si>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</si>
  <si>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</si>
  <si>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</si>
  <si>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</si>
  <si>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</si>
  <si>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</si>
  <si>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</si>
  <si>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</si>
  <si>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</si>
  <si>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</si>
  <si>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</si>
  <si>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</si>
  <si>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</si>
  <si>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</si>
  <si>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</si>
  <si>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</si>
  <si>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</si>
  <si>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</si>
  <si>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</si>
  <si>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</si>
  <si>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</si>
  <si>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</si>
  <si>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</si>
  <si>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</si>
  <si>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</si>
  <si>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</si>
  <si>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</si>
  <si>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</si>
  <si>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</si>
  <si>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</si>
  <si>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</si>
  <si>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</si>
  <si>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</si>
  <si>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</si>
  <si>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</si>
  <si>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</si>
  <si>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</si>
  <si>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</si>
  <si>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</si>
  <si>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</si>
  <si>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</si>
  <si>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</si>
  <si>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</si>
  <si>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</si>
  <si>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</si>
  <si>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</si>
  <si>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</si>
  <si>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</si>
  <si>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</si>
  <si>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</si>
  <si>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</si>
  <si>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</si>
  <si>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</si>
  <si>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</si>
  <si>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</si>
  <si>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</si>
  <si>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</si>
  <si>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</si>
  <si>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</si>
  <si>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</si>
  <si>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</si>
  <si>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</si>
  <si>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</si>
  <si>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</si>
  <si>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</si>
  <si>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</si>
  <si>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</si>
  <si>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</si>
  <si>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</si>
  <si>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</si>
  <si>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</si>
  <si>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</si>
  <si>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</si>
  <si>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</si>
  <si>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</si>
  <si>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</si>
  <si>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</si>
  <si>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</si>
  <si>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</si>
  <si>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</si>
  <si>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</si>
  <si>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</si>
  <si>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</si>
  <si>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</si>
  <si>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</si>
  <si>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</si>
  <si>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</si>
  <si>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</si>
  <si>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</si>
  <si>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</si>
  <si>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</si>
  <si>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</si>
  <si>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</si>
  <si>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</si>
  <si>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</si>
  <si>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</si>
  <si>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</si>
  <si>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</si>
  <si>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</si>
  <si>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</si>
  <si>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</si>
  <si>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</si>
  <si>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</si>
  <si>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</si>
  <si>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</si>
  <si>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</si>
  <si>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</si>
  <si>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</si>
  <si>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</si>
  <si>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</si>
  <si>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</si>
  <si>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</si>
  <si>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</si>
  <si>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</si>
  <si>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</si>
  <si>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</si>
  <si>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</si>
  <si>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</si>
  <si>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</si>
  <si>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</si>
  <si>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</si>
  <si>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</si>
  <si>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</si>
  <si>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</si>
  <si>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</si>
  <si>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</si>
  <si>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</si>
  <si>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</si>
  <si>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</si>
  <si>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</si>
  <si>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</si>
  <si>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</si>
  <si>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</si>
  <si>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</si>
  <si>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</si>
  <si>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</si>
  <si>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</si>
  <si>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</si>
  <si>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</si>
  <si>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</si>
  <si>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</si>
  <si>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</si>
  <si>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</si>
  <si>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</si>
  <si>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</si>
  <si>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</si>
  <si>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</si>
  <si>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</si>
  <si>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</si>
  <si>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</si>
  <si>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</si>
  <si>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</si>
  <si>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</si>
  <si>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</si>
  <si>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</si>
  <si>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</si>
  <si>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</si>
  <si>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</si>
  <si>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</si>
  <si>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</si>
  <si>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</si>
  <si>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</si>
  <si>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</si>
  <si>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</si>
  <si>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</si>
  <si>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</si>
  <si>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</si>
  <si>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</si>
  <si>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</si>
  <si>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</si>
  <si>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</si>
  <si>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</si>
  <si>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</si>
  <si>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</si>
  <si>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</si>
  <si>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</si>
  <si>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</si>
  <si>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</si>
  <si>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</si>
  <si>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</si>
  <si>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</si>
  <si>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</si>
  <si>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</si>
  <si>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</si>
  <si>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</si>
  <si>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</si>
  <si>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</si>
  <si>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</si>
  <si>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</si>
  <si>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</si>
  <si>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</si>
  <si>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</si>
  <si>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</si>
  <si>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</si>
  <si>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</si>
  <si>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</si>
  <si>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</si>
  <si>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</si>
  <si>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</si>
  <si>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</si>
  <si>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</si>
  <si>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</si>
  <si>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</si>
  <si>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</si>
  <si>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</si>
  <si>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</si>
  <si>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</si>
  <si>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</si>
  <si>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</si>
  <si>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</si>
  <si>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</si>
  <si>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</si>
  <si>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</si>
  <si>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</si>
  <si>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</si>
  <si>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</si>
  <si>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</si>
  <si>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</si>
  <si>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</si>
  <si>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</si>
  <si>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</si>
  <si>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</si>
  <si>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</si>
  <si>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</si>
  <si>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</si>
  <si>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</si>
  <si>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</si>
  <si>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</si>
  <si>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</si>
  <si>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</si>
  <si>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</si>
  <si>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</si>
  <si>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</si>
  <si>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</si>
  <si>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</si>
  <si>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</si>
  <si>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</si>
  <si>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</si>
  <si>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</si>
  <si>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</si>
  <si>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</si>
  <si>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</si>
  <si>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</si>
  <si>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</si>
  <si>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</si>
  <si>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</si>
  <si>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</si>
  <si>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</si>
  <si>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</si>
  <si>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</si>
  <si>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</si>
  <si>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</si>
  <si>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</si>
  <si>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</si>
  <si>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</si>
  <si>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</si>
  <si>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</si>
  <si>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</si>
  <si>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</si>
  <si>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</si>
  <si>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</si>
  <si>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</si>
  <si>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</si>
  <si>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</si>
  <si>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</si>
  <si>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</si>
  <si>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</si>
  <si>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</si>
  <si>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</si>
  <si>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</si>
  <si>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</si>
  <si>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</si>
  <si>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</si>
  <si>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</si>
  <si>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</si>
  <si>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</si>
  <si>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</si>
  <si>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</si>
  <si>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</si>
  <si>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</si>
  <si>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</si>
  <si>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</si>
  <si>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</si>
  <si>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</si>
  <si>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</si>
  <si>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</si>
  <si>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</si>
  <si>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</si>
  <si>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</si>
  <si>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</si>
  <si>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</si>
  <si>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</si>
  <si>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</si>
  <si>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</si>
  <si>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</si>
  <si>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</si>
  <si>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</si>
  <si>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</si>
  <si>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</si>
  <si>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</si>
  <si>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</si>
  <si>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</si>
  <si>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</si>
  <si>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</si>
  <si>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</si>
  <si>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</si>
  <si>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</si>
  <si>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</si>
  <si>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</si>
  <si>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</si>
  <si>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</si>
  <si>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</si>
  <si>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</si>
  <si>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</si>
  <si>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</si>
  <si>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</si>
  <si>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</si>
  <si>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</si>
  <si>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</si>
  <si>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</si>
  <si>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</si>
  <si>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</si>
  <si>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</si>
  <si>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</si>
  <si>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</si>
  <si>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</si>
  <si>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</si>
  <si>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</si>
  <si>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</si>
  <si>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</si>
  <si>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</si>
  <si>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</si>
  <si>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</si>
  <si>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</si>
  <si>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</si>
  <si>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</si>
  <si>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</si>
  <si>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</si>
  <si>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</si>
  <si>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</si>
  <si>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</si>
  <si>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</si>
  <si>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</si>
  <si>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</si>
  <si>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</si>
  <si>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</si>
  <si>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</si>
  <si>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</si>
  <si>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</si>
  <si>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</si>
  <si>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</si>
  <si>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</si>
  <si>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</si>
  <si>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</si>
  <si>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</si>
  <si>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</si>
  <si>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</si>
  <si>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</si>
  <si>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</si>
  <si>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</si>
  <si>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</si>
  <si>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</si>
  <si>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</si>
  <si>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</si>
  <si>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</si>
  <si>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</si>
  <si>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</si>
  <si>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</si>
  <si>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</si>
  <si>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</si>
  <si>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</si>
  <si>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</si>
  <si>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</si>
  <si>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</si>
  <si>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</si>
  <si>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</si>
  <si>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</si>
  <si>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</si>
  <si>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</si>
  <si>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</si>
  <si>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</si>
  <si>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</si>
  <si>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</si>
  <si>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</si>
  <si>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</si>
  <si>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</si>
  <si>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</si>
  <si>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</si>
  <si>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</si>
  <si>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</si>
  <si>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</si>
  <si>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</si>
  <si>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</si>
  <si>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</si>
  <si>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</si>
  <si>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</si>
  <si>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</si>
  <si>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</si>
  <si>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</si>
  <si>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</si>
  <si>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</si>
  <si>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</si>
  <si>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</si>
  <si>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</si>
  <si>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</si>
  <si>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</si>
  <si>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</si>
  <si>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</si>
  <si>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</si>
  <si>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</si>
  <si>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</si>
  <si>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</si>
  <si>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</si>
  <si>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</si>
  <si>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</si>
  <si>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</si>
  <si>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</si>
  <si>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</si>
  <si>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</si>
  <si>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</si>
  <si>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</si>
  <si>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</si>
  <si>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</si>
  <si>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</si>
  <si>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</si>
  <si>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</si>
  <si>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</si>
  <si>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</si>
  <si>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</si>
  <si>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</si>
  <si>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</si>
  <si>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</si>
  <si>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</si>
  <si>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</si>
  <si>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</si>
  <si>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</si>
  <si>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</si>
  <si>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</si>
  <si>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</si>
  <si>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</si>
  <si>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</si>
  <si>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</si>
  <si>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</si>
  <si>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</si>
  <si>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</si>
  <si>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</si>
  <si>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</si>
  <si>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</si>
  <si>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</si>
  <si>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</si>
  <si>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</si>
  <si>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</si>
  <si>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</si>
  <si>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</si>
  <si>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</si>
  <si>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</si>
  <si>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</si>
  <si>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</si>
  <si>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</si>
  <si>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</si>
  <si>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</si>
  <si>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</si>
  <si>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</si>
  <si>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</si>
  <si>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</si>
  <si>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</si>
  <si>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</si>
  <si>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</si>
  <si>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</si>
  <si>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</si>
  <si>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</si>
  <si>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</si>
  <si>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</si>
  <si>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</si>
  <si>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</si>
  <si>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</si>
  <si>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</si>
  <si>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</si>
  <si>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</si>
  <si>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</si>
  <si>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</si>
  <si>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</si>
  <si>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</si>
  <si>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</si>
  <si>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</si>
  <si>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</si>
  <si>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</si>
  <si>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</si>
  <si>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</si>
  <si>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</si>
  <si>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</si>
  <si>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</si>
  <si>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CROX Close Prices</t>
  </si>
  <si>
    <t>Lulu Close Prices</t>
  </si>
  <si>
    <t>Slope</t>
  </si>
  <si>
    <t>COV.S</t>
  </si>
  <si>
    <t>VAR.S</t>
  </si>
  <si>
    <t>Beta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</si>
  <si>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</si>
  <si>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</si>
  <si>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</si>
  <si>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</si>
  <si>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</si>
  <si>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</si>
  <si>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</si>
  <si>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</si>
  <si>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</si>
  <si>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</si>
  <si>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</si>
  <si>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</si>
  <si>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</si>
  <si>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</si>
  <si>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</si>
  <si>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</si>
  <si>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</si>
  <si>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</si>
  <si>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</si>
  <si>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</si>
  <si>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</si>
  <si>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</si>
  <si>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</si>
  <si>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</si>
  <si>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SPX Close Prices</t>
  </si>
  <si>
    <t>CORX-LULU Analysis</t>
  </si>
  <si>
    <t>Computation of Beta</t>
  </si>
  <si>
    <t>Regression Slope</t>
  </si>
  <si>
    <t>Covariance</t>
  </si>
  <si>
    <t>Variance</t>
  </si>
  <si>
    <t>BB-Rating</t>
  </si>
  <si>
    <t>1.5%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</si>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</sst>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"/>
    <numFmt numFmtId="165" formatCode="#,##0.00;\(#,##0.00\)"/>
    <numFmt numFmtId="166" formatCode="#,##0.0"/>
    <numFmt numFmtId="167" formatCode="\F\Y#,##0"/>
    <numFmt numFmtId="168" formatCode="#,##0;\(#,##0\)"/>
    <numFmt numFmtId="169" formatCode="#,##0.0;[Red]#,##0.0"/>
    <numFmt numFmtId="170" formatCode="0.0%"/>
    <numFmt numFmtId="171" formatCode="&quot;FY&quot;0&quot;A&quot;"/>
    <numFmt numFmtId="172" formatCode="0.0"/>
    <numFmt numFmtId="173" formatCode="0.000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  <font>
      <u/>
      <sz val="10"/>
      <color theme="1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14" fontId="8" fillId="0" borderId="0" xfId="0" applyNumberFormat="1" applyFont="1"/>
    <xf numFmtId="0" fontId="8" fillId="0" borderId="0" xfId="0" applyFont="1"/>
    <xf numFmtId="0" fontId="9" fillId="7" borderId="0" xfId="0" applyFont="1" applyFill="1" applyAlignment="1">
      <alignment horizontal="center" vertical="center"/>
    </xf>
    <xf numFmtId="0" fontId="13" fillId="0" borderId="0" xfId="2" applyFont="1"/>
    <xf numFmtId="0" fontId="3" fillId="0" borderId="0" xfId="0" applyFont="1"/>
    <xf numFmtId="0" fontId="14" fillId="0" borderId="0" xfId="0" applyFont="1"/>
    <xf numFmtId="0" fontId="11" fillId="0" borderId="0" xfId="0" applyFont="1"/>
    <xf numFmtId="0" fontId="3" fillId="0" borderId="2" xfId="0" applyFont="1" applyBorder="1"/>
    <xf numFmtId="0" fontId="11" fillId="0" borderId="2" xfId="0" applyFont="1" applyBorder="1"/>
    <xf numFmtId="0" fontId="3" fillId="0" borderId="5" xfId="0" applyFont="1" applyBorder="1"/>
    <xf numFmtId="9" fontId="3" fillId="0" borderId="0" xfId="1" applyFont="1"/>
    <xf numFmtId="0" fontId="3" fillId="0" borderId="10" xfId="0" applyFont="1" applyBorder="1"/>
    <xf numFmtId="0" fontId="11" fillId="0" borderId="10" xfId="0" applyFont="1" applyBorder="1"/>
    <xf numFmtId="0" fontId="15" fillId="0" borderId="18" xfId="0" applyFont="1" applyBorder="1" applyAlignment="1">
      <alignment horizontal="centerContinuous"/>
    </xf>
    <xf numFmtId="0" fontId="3" fillId="0" borderId="17" xfId="0" applyFont="1" applyBorder="1"/>
    <xf numFmtId="0" fontId="15" fillId="0" borderId="18" xfId="0" applyFont="1" applyBorder="1" applyAlignment="1">
      <alignment horizontal="center"/>
    </xf>
    <xf numFmtId="0" fontId="11" fillId="0" borderId="17" xfId="0" applyFont="1" applyBorder="1"/>
    <xf numFmtId="0" fontId="13" fillId="0" borderId="10" xfId="2" applyFont="1" applyBorder="1"/>
    <xf numFmtId="0" fontId="3" fillId="0" borderId="12" xfId="0" applyFont="1" applyBorder="1"/>
    <xf numFmtId="0" fontId="3" fillId="3" borderId="13" xfId="0" applyFont="1" applyFill="1" applyBorder="1" applyAlignment="1">
      <alignment horizontal="center"/>
    </xf>
    <xf numFmtId="16" fontId="3" fillId="3" borderId="14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 applyAlignment="1">
      <alignment horizontal="center"/>
    </xf>
    <xf numFmtId="9" fontId="3" fillId="3" borderId="14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2" borderId="0" xfId="0" applyFont="1" applyFill="1"/>
    <xf numFmtId="0" fontId="10" fillId="4" borderId="0" xfId="0" applyFont="1" applyFill="1"/>
    <xf numFmtId="0" fontId="12" fillId="4" borderId="0" xfId="0" applyFont="1" applyFill="1"/>
    <xf numFmtId="0" fontId="3" fillId="3" borderId="14" xfId="0" applyFont="1" applyFill="1" applyBorder="1" applyAlignment="1">
      <alignment horizontal="center"/>
    </xf>
    <xf numFmtId="170" fontId="3" fillId="3" borderId="14" xfId="1" applyNumberFormat="1" applyFont="1" applyFill="1" applyBorder="1" applyAlignment="1">
      <alignment horizontal="center"/>
    </xf>
    <xf numFmtId="171" fontId="10" fillId="2" borderId="0" xfId="0" applyNumberFormat="1" applyFont="1" applyFill="1"/>
    <xf numFmtId="168" fontId="3" fillId="0" borderId="0" xfId="0" applyNumberFormat="1" applyFont="1"/>
    <xf numFmtId="0" fontId="15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5" fillId="0" borderId="0" xfId="0" applyFont="1"/>
    <xf numFmtId="9" fontId="15" fillId="0" borderId="0" xfId="1" applyFont="1"/>
    <xf numFmtId="170" fontId="3" fillId="3" borderId="14" xfId="1" applyNumberFormat="1" applyFont="1" applyFill="1" applyBorder="1" applyAlignment="1">
      <alignment horizontal="right"/>
    </xf>
    <xf numFmtId="0" fontId="11" fillId="5" borderId="1" xfId="0" applyFont="1" applyFill="1" applyBorder="1"/>
    <xf numFmtId="0" fontId="11" fillId="5" borderId="2" xfId="0" applyFont="1" applyFill="1" applyBorder="1"/>
    <xf numFmtId="168" fontId="11" fillId="5" borderId="2" xfId="0" applyNumberFormat="1" applyFont="1" applyFill="1" applyBorder="1"/>
    <xf numFmtId="168" fontId="11" fillId="5" borderId="3" xfId="0" applyNumberFormat="1" applyFont="1" applyFill="1" applyBorder="1"/>
    <xf numFmtId="170" fontId="15" fillId="0" borderId="0" xfId="1" applyNumberFormat="1" applyFont="1"/>
    <xf numFmtId="170" fontId="15" fillId="0" borderId="0" xfId="0" applyNumberFormat="1" applyFont="1"/>
    <xf numFmtId="169" fontId="11" fillId="5" borderId="4" xfId="0" applyNumberFormat="1" applyFont="1" applyFill="1" applyBorder="1"/>
    <xf numFmtId="169" fontId="11" fillId="5" borderId="5" xfId="0" applyNumberFormat="1" applyFont="1" applyFill="1" applyBorder="1"/>
    <xf numFmtId="168" fontId="11" fillId="5" borderId="5" xfId="0" applyNumberFormat="1" applyFont="1" applyFill="1" applyBorder="1"/>
    <xf numFmtId="168" fontId="11" fillId="5" borderId="6" xfId="0" applyNumberFormat="1" applyFont="1" applyFill="1" applyBorder="1"/>
    <xf numFmtId="169" fontId="11" fillId="5" borderId="9" xfId="0" applyNumberFormat="1" applyFont="1" applyFill="1" applyBorder="1"/>
    <xf numFmtId="169" fontId="11" fillId="5" borderId="10" xfId="0" applyNumberFormat="1" applyFont="1" applyFill="1" applyBorder="1"/>
    <xf numFmtId="168" fontId="11" fillId="5" borderId="10" xfId="0" applyNumberFormat="1" applyFont="1" applyFill="1" applyBorder="1"/>
    <xf numFmtId="168" fontId="11" fillId="5" borderId="11" xfId="0" applyNumberFormat="1" applyFont="1" applyFill="1" applyBorder="1"/>
    <xf numFmtId="4" fontId="3" fillId="0" borderId="0" xfId="0" applyNumberFormat="1" applyFont="1"/>
    <xf numFmtId="169" fontId="3" fillId="0" borderId="0" xfId="0" applyNumberFormat="1" applyFont="1"/>
    <xf numFmtId="0" fontId="3" fillId="0" borderId="0" xfId="0" quotePrefix="1" applyFont="1"/>
    <xf numFmtId="169" fontId="3" fillId="0" borderId="10" xfId="0" applyNumberFormat="1" applyFont="1" applyBorder="1"/>
    <xf numFmtId="169" fontId="3" fillId="0" borderId="10" xfId="0" applyNumberFormat="1" applyFont="1" applyBorder="1" applyAlignment="1">
      <alignment horizontal="right"/>
    </xf>
    <xf numFmtId="169" fontId="3" fillId="0" borderId="2" xfId="0" applyNumberFormat="1" applyFont="1" applyBorder="1"/>
    <xf numFmtId="169" fontId="3" fillId="0" borderId="2" xfId="0" applyNumberFormat="1" applyFont="1" applyBorder="1" applyAlignment="1">
      <alignment horizontal="right"/>
    </xf>
    <xf numFmtId="169" fontId="3" fillId="0" borderId="0" xfId="0" applyNumberFormat="1" applyFont="1" applyAlignment="1">
      <alignment horizontal="right"/>
    </xf>
    <xf numFmtId="0" fontId="3" fillId="6" borderId="4" xfId="0" applyFont="1" applyFill="1" applyBorder="1"/>
    <xf numFmtId="2" fontId="16" fillId="6" borderId="5" xfId="0" applyNumberFormat="1" applyFont="1" applyFill="1" applyBorder="1"/>
    <xf numFmtId="170" fontId="10" fillId="6" borderId="5" xfId="0" applyNumberFormat="1" applyFont="1" applyFill="1" applyBorder="1"/>
    <xf numFmtId="170" fontId="10" fillId="6" borderId="0" xfId="0" applyNumberFormat="1" applyFont="1" applyFill="1"/>
    <xf numFmtId="172" fontId="3" fillId="0" borderId="0" xfId="0" applyNumberFormat="1" applyFont="1"/>
    <xf numFmtId="172" fontId="11" fillId="0" borderId="0" xfId="0" applyNumberFormat="1" applyFont="1"/>
    <xf numFmtId="0" fontId="3" fillId="0" borderId="0" xfId="0" applyFont="1" applyAlignment="1">
      <alignment horizontal="center"/>
    </xf>
    <xf numFmtId="0" fontId="17" fillId="0" borderId="0" xfId="0" applyFont="1"/>
    <xf numFmtId="173" fontId="3" fillId="0" borderId="0" xfId="0" applyNumberFormat="1" applyFont="1"/>
    <xf numFmtId="9" fontId="3" fillId="0" borderId="0" xfId="0" applyNumberFormat="1" applyFont="1"/>
    <xf numFmtId="0" fontId="3" fillId="0" borderId="1" xfId="0" applyFont="1" applyBorder="1"/>
    <xf numFmtId="9" fontId="3" fillId="0" borderId="3" xfId="1" applyFont="1" applyBorder="1"/>
    <xf numFmtId="10" fontId="3" fillId="0" borderId="0" xfId="0" applyNumberFormat="1" applyFont="1"/>
    <xf numFmtId="10" fontId="3" fillId="0" borderId="3" xfId="0" applyNumberFormat="1" applyFont="1" applyBorder="1"/>
    <xf numFmtId="170" fontId="3" fillId="0" borderId="3" xfId="1" applyNumberFormat="1" applyFont="1" applyBorder="1"/>
    <xf numFmtId="0" fontId="18" fillId="0" borderId="0" xfId="0" applyFont="1"/>
    <xf numFmtId="167" fontId="8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164" fontId="3" fillId="0" borderId="0" xfId="0" applyNumberFormat="1" applyFont="1" applyAlignment="1">
      <alignment horizontal="right"/>
    </xf>
    <xf numFmtId="164" fontId="11" fillId="0" borderId="0" xfId="0" applyNumberFormat="1" applyFont="1"/>
    <xf numFmtId="165" fontId="3" fillId="0" borderId="0" xfId="0" applyNumberFormat="1" applyFont="1"/>
    <xf numFmtId="9" fontId="3" fillId="0" borderId="0" xfId="1" applyFont="1" applyAlignment="1">
      <alignment horizontal="right"/>
    </xf>
    <xf numFmtId="9" fontId="11" fillId="0" borderId="0" xfId="1" applyFont="1"/>
    <xf numFmtId="9" fontId="11" fillId="0" borderId="0" xfId="1" applyFont="1" applyAlignment="1">
      <alignment horizontal="right"/>
    </xf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3" fillId="0" borderId="4" xfId="0" applyFont="1" applyBorder="1"/>
    <xf numFmtId="9" fontId="3" fillId="0" borderId="5" xfId="1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1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6" borderId="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 vertical="center" textRotation="90"/>
    </xf>
    <xf numFmtId="0" fontId="11" fillId="6" borderId="16" xfId="0" applyFont="1" applyFill="1" applyBorder="1" applyAlignment="1">
      <alignment horizontal="center" vertical="center" textRotation="90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600074</xdr:colOff>
      <xdr:row>19</xdr:row>
      <xdr:rowOff>190499</xdr:rowOff>
    </xdr:from>
    <xdr:to>
      <xdr:col>13</xdr:col>
      <xdr:colOff>329</xdr:colOff>
      <xdr:row>31</xdr:row>
      <xdr:rowOff>42862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8608E-F01D-269B-1795-AE3A2318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099" y="3809999"/>
          <a:ext cx="4277055" cy="1824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595313</xdr:colOff>
      <xdr:row>1</xdr:row>
      <xdr:rowOff>85725</xdr:rowOff>
    </xdr:from>
    <xdr:to>
      <xdr:col>14</xdr:col>
      <xdr:colOff>604838</xdr:colOff>
      <xdr:row>47</xdr:row>
      <xdr:rowOff>23812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FF6414-BA60-EBDC-F3B1-BAA18A094F0A}"/>
            </a:ext>
          </a:extLst>
        </xdr:cNvPr>
        <xdr:cNvCxnSpPr/>
      </xdr:nvCxnSpPr>
      <xdr:spPr>
        <a:xfrm flipH="1">
          <a:off x="9825038" y="247650"/>
          <a:ext cx="9525" cy="73866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4772</xdr:colOff>
      <xdr:row>0</xdr:row>
      <xdr:rowOff>157163</xdr:rowOff>
    </xdr:from>
    <xdr:to>
      <xdr:col>27</xdr:col>
      <xdr:colOff>14297</xdr:colOff>
      <xdr:row>46</xdr:row>
      <xdr:rowOff>123825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C922264-9CEB-4DB8-9F1F-6E6F762F8DC1}"/>
            </a:ext>
          </a:extLst>
        </xdr:cNvPr>
        <xdr:cNvCxnSpPr/>
      </xdr:nvCxnSpPr>
      <xdr:spPr>
        <a:xfrm flipH="1">
          <a:off x="14720897" y="157163"/>
          <a:ext cx="9525" cy="74152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0</xdr:row>
      <xdr:rowOff>144463</xdr:rowOff>
    </xdr:from>
    <xdr:to>
      <xdr:col>9</xdr:col>
      <xdr:colOff>600075</xdr:colOff>
      <xdr:row>61</xdr:row>
      <xdr:rowOff>26988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4CAE7B-30B0-4EA1-A8DC-1E22B4A36D82}"/>
            </a:ext>
          </a:extLst>
        </xdr:cNvPr>
        <xdr:cNvCxnSpPr/>
      </xdr:nvCxnSpPr>
      <xdr:spPr>
        <a:xfrm>
          <a:off x="7391400" y="144463"/>
          <a:ext cx="0" cy="975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639290D8-F7CF-4759-87EE-92EB30C9B5D0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02" dT="2025-04-16T16:22:27.95" personId="{639290D8-F7CF-4759-87EE-92EB30C9B5D0}" id="{00FCACC7-419A-4BE6-9120-71F40502A3D1}">
    <text>Acqusition of HEYDUDE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vestors.crocs.com/overview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DB2D-B359-487B-8CEA-5CA0DA6B29B3}">
  <dimension ref="A1:I28"/>
  <sheetViews>
    <sheetView topLeftCell="C1" zoomScale="200" zoomScaleNormal="200" workbookViewId="0">
      <selection activeCell="H3" sqref="H3"/>
    </sheetView>
  </sheetViews>
  <sheetFormatPr defaultRowHeight="12.75" x14ac:dyDescent="0.2"/>
  <cols>
    <col min="1" max="1" width="4.42578125" style="5" customWidth="1"/>
    <col min="2" max="2" width="9.140625" style="5"/>
    <col min="3" max="3" width="8.140625" style="5" bestFit="1" customWidth="1"/>
    <col min="4" max="4" width="29.28515625" style="5" bestFit="1" customWidth="1"/>
    <col min="5" max="16384" width="9.140625" style="5"/>
  </cols>
  <sheetData>
    <row r="1" spans="1:9" x14ac:dyDescent="0.2">
      <c r="A1" s="7" t="s">
        <v>0</v>
      </c>
    </row>
    <row r="2" spans="1:9" x14ac:dyDescent="0.2">
      <c r="A2" s="5" t="s">
        <v>42</v>
      </c>
      <c r="G2" s="5" t="s">
        <v>2</v>
      </c>
      <c r="H2" s="77">
        <v>136.34</v>
      </c>
    </row>
    <row r="3" spans="1:9" x14ac:dyDescent="0.2">
      <c r="G3" s="5" t="s">
        <v>3</v>
      </c>
      <c r="H3" s="77">
        <v>49.689647999999998</v>
      </c>
      <c r="I3" s="99" t="s">
        <v>1385</v>
      </c>
    </row>
    <row r="4" spans="1:9" x14ac:dyDescent="0.2">
      <c r="B4" s="5" t="s">
        <v>1</v>
      </c>
      <c r="G4" s="5" t="s">
        <v>4</v>
      </c>
      <c r="H4" s="77">
        <f>H3*H2</f>
        <v>6774.6866083200002</v>
      </c>
    </row>
    <row r="5" spans="1:9" x14ac:dyDescent="0.2">
      <c r="B5" s="4" t="s">
        <v>117</v>
      </c>
      <c r="G5" s="5" t="s">
        <v>5</v>
      </c>
      <c r="H5" s="77">
        <v>130.881</v>
      </c>
      <c r="I5" s="99" t="s">
        <v>1385</v>
      </c>
    </row>
    <row r="6" spans="1:9" x14ac:dyDescent="0.2">
      <c r="G6" s="5" t="s">
        <v>6</v>
      </c>
      <c r="H6" s="77">
        <f>1330.271+5.55</f>
        <v>1335.8209999999999</v>
      </c>
      <c r="I6" s="99" t="s">
        <v>1385</v>
      </c>
    </row>
    <row r="7" spans="1:9" x14ac:dyDescent="0.2">
      <c r="B7" s="87" t="s">
        <v>122</v>
      </c>
      <c r="C7" s="88" t="s">
        <v>125</v>
      </c>
      <c r="D7" s="88" t="s">
        <v>126</v>
      </c>
      <c r="E7" s="89" t="s">
        <v>127</v>
      </c>
      <c r="G7" s="5" t="s">
        <v>7</v>
      </c>
      <c r="H7" s="77">
        <f>H4+H6-H5</f>
        <v>7979.6266083199998</v>
      </c>
    </row>
    <row r="8" spans="1:9" x14ac:dyDescent="0.2">
      <c r="B8" s="90" t="s">
        <v>123</v>
      </c>
      <c r="C8" s="91">
        <v>0.79909329544712138</v>
      </c>
      <c r="D8" s="10" t="s">
        <v>306</v>
      </c>
      <c r="E8" s="92">
        <v>390</v>
      </c>
    </row>
    <row r="9" spans="1:9" x14ac:dyDescent="0.2">
      <c r="B9" s="93" t="s">
        <v>124</v>
      </c>
      <c r="C9" s="94">
        <v>0.20090670455287862</v>
      </c>
      <c r="D9" s="5" t="s">
        <v>307</v>
      </c>
      <c r="E9" s="95">
        <v>52</v>
      </c>
      <c r="G9" s="5" t="s">
        <v>308</v>
      </c>
      <c r="H9" s="5">
        <v>2002</v>
      </c>
    </row>
    <row r="10" spans="1:9" x14ac:dyDescent="0.2">
      <c r="B10" s="96"/>
      <c r="C10" s="12"/>
      <c r="D10" s="12"/>
      <c r="E10" s="97"/>
      <c r="G10" s="5" t="s">
        <v>309</v>
      </c>
    </row>
    <row r="12" spans="1:9" x14ac:dyDescent="0.2">
      <c r="A12" s="66" t="s">
        <v>132</v>
      </c>
      <c r="B12" s="6" t="s">
        <v>121</v>
      </c>
      <c r="G12" s="67" t="s">
        <v>310</v>
      </c>
    </row>
    <row r="13" spans="1:9" x14ac:dyDescent="0.2">
      <c r="B13" s="5" t="s">
        <v>305</v>
      </c>
      <c r="G13" s="5" t="s">
        <v>311</v>
      </c>
      <c r="H13" s="5" t="s">
        <v>317</v>
      </c>
    </row>
    <row r="14" spans="1:9" x14ac:dyDescent="0.2">
      <c r="B14" s="5" t="s">
        <v>324</v>
      </c>
      <c r="G14" s="5" t="s">
        <v>312</v>
      </c>
      <c r="H14" s="5" t="s">
        <v>318</v>
      </c>
    </row>
    <row r="15" spans="1:9" x14ac:dyDescent="0.2">
      <c r="B15" s="5" t="s">
        <v>328</v>
      </c>
      <c r="G15" s="5" t="s">
        <v>313</v>
      </c>
      <c r="H15" s="5" t="s">
        <v>319</v>
      </c>
    </row>
    <row r="16" spans="1:9" x14ac:dyDescent="0.2">
      <c r="B16" s="5" t="s">
        <v>329</v>
      </c>
      <c r="G16" s="5" t="s">
        <v>313</v>
      </c>
      <c r="H16" s="5" t="s">
        <v>320</v>
      </c>
    </row>
    <row r="17" spans="2:8" x14ac:dyDescent="0.2">
      <c r="B17" s="5" t="s">
        <v>325</v>
      </c>
      <c r="G17" s="5" t="s">
        <v>314</v>
      </c>
      <c r="H17" s="5" t="s">
        <v>321</v>
      </c>
    </row>
    <row r="18" spans="2:8" x14ac:dyDescent="0.2">
      <c r="B18" s="5" t="s">
        <v>326</v>
      </c>
      <c r="G18" s="5" t="s">
        <v>315</v>
      </c>
      <c r="H18" s="5" t="s">
        <v>322</v>
      </c>
    </row>
    <row r="19" spans="2:8" x14ac:dyDescent="0.2">
      <c r="B19" s="5" t="s">
        <v>327</v>
      </c>
      <c r="G19" s="5" t="s">
        <v>316</v>
      </c>
      <c r="H19" s="5" t="s">
        <v>323</v>
      </c>
    </row>
    <row r="20" spans="2:8" x14ac:dyDescent="0.2">
      <c r="B20" s="5" t="s">
        <v>331</v>
      </c>
    </row>
    <row r="21" spans="2:8" x14ac:dyDescent="0.2">
      <c r="B21" s="5" t="s">
        <v>332</v>
      </c>
    </row>
    <row r="22" spans="2:8" x14ac:dyDescent="0.2">
      <c r="B22" s="5" t="s">
        <v>336</v>
      </c>
    </row>
    <row r="23" spans="2:8" x14ac:dyDescent="0.2">
      <c r="B23" s="5" t="s">
        <v>337</v>
      </c>
    </row>
    <row r="24" spans="2:8" x14ac:dyDescent="0.2">
      <c r="B24" s="5" t="s">
        <v>338</v>
      </c>
    </row>
    <row r="25" spans="2:8" x14ac:dyDescent="0.2">
      <c r="C25" s="5" t="s">
        <v>339</v>
      </c>
    </row>
    <row r="28" spans="2:8" x14ac:dyDescent="0.2">
      <c r="B28" s="5" t="s">
        <v>340</v>
      </c>
    </row>
  </sheetData>
  <hyperlinks>
    <hyperlink ref="B5" r:id="rId1" xr:uid="{C049F28A-898C-4D1E-949A-12E4D0F173C4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F4D1-17EF-4BB4-A228-DFF8F743CBAC}">
  <dimension ref="A1:BH297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N1" sqref="N1"/>
    </sheetView>
  </sheetViews>
  <sheetFormatPr defaultRowHeight="12.75" x14ac:dyDescent="0.2"/>
  <cols>
    <col min="1" max="1" width="4.7109375" style="5" bestFit="1" customWidth="1"/>
    <col min="2" max="2" width="24" style="5" bestFit="1" customWidth="1"/>
    <col min="3" max="16384" width="9.140625" style="5"/>
  </cols>
  <sheetData>
    <row r="1" spans="1:60" x14ac:dyDescent="0.2">
      <c r="A1" s="4" t="s">
        <v>8</v>
      </c>
    </row>
    <row r="2" spans="1:60" x14ac:dyDescent="0.2">
      <c r="C2" s="78" t="s">
        <v>9</v>
      </c>
      <c r="D2" s="78" t="s">
        <v>10</v>
      </c>
      <c r="E2" s="78" t="s">
        <v>11</v>
      </c>
      <c r="F2" s="78" t="s">
        <v>12</v>
      </c>
      <c r="G2" s="78" t="s">
        <v>13</v>
      </c>
      <c r="H2" s="78" t="s">
        <v>14</v>
      </c>
      <c r="I2" s="78" t="s">
        <v>15</v>
      </c>
      <c r="J2" s="78" t="s">
        <v>16</v>
      </c>
      <c r="K2" s="78" t="s">
        <v>330</v>
      </c>
      <c r="L2" s="78" t="s">
        <v>333</v>
      </c>
      <c r="M2" s="78" t="s">
        <v>334</v>
      </c>
      <c r="N2" s="78" t="s">
        <v>335</v>
      </c>
      <c r="O2" s="99" t="s">
        <v>1385</v>
      </c>
      <c r="P2" s="99" t="s">
        <v>1386</v>
      </c>
      <c r="Q2" s="99" t="s">
        <v>1387</v>
      </c>
      <c r="R2" s="99" t="s">
        <v>1388</v>
      </c>
      <c r="S2" s="78"/>
      <c r="T2" s="78" t="s">
        <v>17</v>
      </c>
      <c r="U2" s="78" t="s">
        <v>18</v>
      </c>
      <c r="V2" s="78" t="s">
        <v>19</v>
      </c>
      <c r="W2" s="78" t="s">
        <v>20</v>
      </c>
      <c r="X2" s="78" t="s">
        <v>21</v>
      </c>
      <c r="Y2" s="78" t="s">
        <v>22</v>
      </c>
      <c r="Z2" s="78" t="s">
        <v>23</v>
      </c>
      <c r="AA2" s="98" t="s">
        <v>1384</v>
      </c>
    </row>
    <row r="3" spans="1:60" x14ac:dyDescent="0.2">
      <c r="B3" s="5" t="s">
        <v>43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>
        <v>383</v>
      </c>
      <c r="U3" s="78">
        <v>367</v>
      </c>
      <c r="V3" s="78">
        <v>351</v>
      </c>
      <c r="W3" s="78">
        <v>340</v>
      </c>
      <c r="X3" s="78">
        <v>373</v>
      </c>
      <c r="Y3" s="78">
        <v>349</v>
      </c>
      <c r="Z3" s="78">
        <v>390</v>
      </c>
    </row>
    <row r="4" spans="1:60" x14ac:dyDescent="0.2">
      <c r="B4" s="5" t="s">
        <v>44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>
        <v>0</v>
      </c>
      <c r="U4" s="78">
        <v>0</v>
      </c>
      <c r="V4" s="78">
        <v>0</v>
      </c>
      <c r="W4" s="78">
        <v>0</v>
      </c>
      <c r="X4" s="78">
        <v>0</v>
      </c>
      <c r="Y4" s="78">
        <v>14</v>
      </c>
      <c r="Z4" s="78">
        <v>52</v>
      </c>
    </row>
    <row r="5" spans="1:60" x14ac:dyDescent="0.2">
      <c r="B5" s="5" t="s">
        <v>45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>
        <f t="shared" ref="T5:Y5" si="0">+T3+T4</f>
        <v>383</v>
      </c>
      <c r="U5" s="78">
        <f t="shared" si="0"/>
        <v>367</v>
      </c>
      <c r="V5" s="78">
        <f t="shared" si="0"/>
        <v>351</v>
      </c>
      <c r="W5" s="78">
        <f t="shared" si="0"/>
        <v>340</v>
      </c>
      <c r="X5" s="78">
        <f t="shared" si="0"/>
        <v>373</v>
      </c>
      <c r="Y5" s="78">
        <f t="shared" si="0"/>
        <v>363</v>
      </c>
      <c r="Z5" s="78">
        <f>+Z3+Z4</f>
        <v>442</v>
      </c>
      <c r="AA5" s="5">
        <v>429</v>
      </c>
    </row>
    <row r="6" spans="1:60" x14ac:dyDescent="0.2"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</row>
    <row r="7" spans="1:60" x14ac:dyDescent="0.2">
      <c r="B7" s="5" t="s">
        <v>46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>
        <v>59.814999999999998</v>
      </c>
      <c r="U7" s="77">
        <v>67.051000000000002</v>
      </c>
      <c r="V7" s="77">
        <v>69.087000000000003</v>
      </c>
      <c r="W7" s="77">
        <v>102.962</v>
      </c>
      <c r="X7" s="77">
        <v>115.55800000000001</v>
      </c>
      <c r="Y7" s="77">
        <v>119.577</v>
      </c>
      <c r="Z7" s="77">
        <v>127</v>
      </c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</row>
    <row r="8" spans="1:60" x14ac:dyDescent="0.2">
      <c r="B8" s="5" t="s">
        <v>47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81" t="s">
        <v>120</v>
      </c>
      <c r="U8" s="81" t="s">
        <v>120</v>
      </c>
      <c r="V8" s="81" t="s">
        <v>120</v>
      </c>
      <c r="W8" s="81" t="s">
        <v>120</v>
      </c>
      <c r="X8" s="77">
        <v>30.518999999999998</v>
      </c>
      <c r="Y8" s="77">
        <v>32.969000000000001</v>
      </c>
      <c r="Z8" s="77">
        <v>26.95</v>
      </c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</row>
    <row r="9" spans="1:60" x14ac:dyDescent="0.2">
      <c r="B9" s="5" t="s">
        <v>48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>
        <v>17.71</v>
      </c>
      <c r="U9" s="77">
        <v>18.21</v>
      </c>
      <c r="V9" s="77">
        <v>19.91</v>
      </c>
      <c r="W9" s="77">
        <v>22.27</v>
      </c>
      <c r="X9" s="77">
        <v>22.72</v>
      </c>
      <c r="Y9" s="77">
        <v>24.92</v>
      </c>
      <c r="Z9" s="77">
        <v>25.52</v>
      </c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</row>
    <row r="10" spans="1:60" x14ac:dyDescent="0.2">
      <c r="B10" s="5" t="s">
        <v>49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81" t="s">
        <v>120</v>
      </c>
      <c r="U10" s="81" t="s">
        <v>120</v>
      </c>
      <c r="V10" s="81" t="s">
        <v>120</v>
      </c>
      <c r="W10" s="81" t="s">
        <v>120</v>
      </c>
      <c r="X10" s="77">
        <v>29.35</v>
      </c>
      <c r="Y10" s="77">
        <v>28.8</v>
      </c>
      <c r="Z10" s="77">
        <v>30.54</v>
      </c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spans="1:60" x14ac:dyDescent="0.2"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1:60" x14ac:dyDescent="0.2">
      <c r="B12" s="5" t="s">
        <v>118</v>
      </c>
      <c r="C12" s="77">
        <v>351.30900000000003</v>
      </c>
      <c r="D12" s="77">
        <v>474.55799999999999</v>
      </c>
      <c r="E12" s="77">
        <v>480.74400000000003</v>
      </c>
      <c r="F12" s="77">
        <f>+Y12-SUM(C12:E12)</f>
        <v>471.27400000000011</v>
      </c>
      <c r="G12" s="77">
        <v>382.91300000000001</v>
      </c>
      <c r="H12" s="77">
        <v>488.71499999999997</v>
      </c>
      <c r="I12" s="77">
        <v>490.81700000000001</v>
      </c>
      <c r="J12" s="77">
        <f>+Z12-SUM(G12:I12)</f>
        <v>470.97700000000009</v>
      </c>
      <c r="K12" s="77">
        <v>368.517</v>
      </c>
      <c r="L12" s="77">
        <v>457.13</v>
      </c>
      <c r="M12" s="77">
        <v>447.70499999999998</v>
      </c>
      <c r="N12" s="77">
        <f>+AA12-SUM(K12:M12)</f>
        <v>436.28300000000013</v>
      </c>
      <c r="O12" s="77">
        <v>345.92599999999999</v>
      </c>
      <c r="P12" s="77"/>
      <c r="Q12" s="77"/>
      <c r="R12" s="77"/>
      <c r="S12" s="77"/>
      <c r="T12" s="77">
        <f>216.797+204.806+98.589</f>
        <v>520.19200000000001</v>
      </c>
      <c r="U12" s="77">
        <f>275.284+241.694+123.537</f>
        <v>640.51499999999999</v>
      </c>
      <c r="V12" s="77">
        <f>390.93+249.238+223.445</f>
        <v>863.61300000000006</v>
      </c>
      <c r="W12" s="77">
        <v>1553.8910000000001</v>
      </c>
      <c r="X12" s="77">
        <v>1644.6559999999999</v>
      </c>
      <c r="Y12" s="77">
        <v>1777.885</v>
      </c>
      <c r="Z12" s="77">
        <v>1833.422</v>
      </c>
      <c r="AA12" s="77">
        <v>1709.635</v>
      </c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1:60" x14ac:dyDescent="0.2">
      <c r="B13" s="5" t="s">
        <v>119</v>
      </c>
      <c r="C13" s="77">
        <v>297.46899999999999</v>
      </c>
      <c r="D13" s="77">
        <v>358.392</v>
      </c>
      <c r="E13" s="77">
        <v>318.02499999999998</v>
      </c>
      <c r="F13" s="77">
        <f>+Y13-SUM(C13:E13)</f>
        <v>261.18299999999999</v>
      </c>
      <c r="G13" s="77">
        <v>360.90300000000002</v>
      </c>
      <c r="H13" s="77">
        <v>425.274</v>
      </c>
      <c r="I13" s="77">
        <v>367.28100000000001</v>
      </c>
      <c r="J13" s="77">
        <f>+Z13-SUM(G13:I13)</f>
        <v>291.08699999999999</v>
      </c>
      <c r="K13" s="77">
        <v>393.09100000000001</v>
      </c>
      <c r="L13" s="77">
        <v>502.46</v>
      </c>
      <c r="M13" s="77">
        <v>388.524</v>
      </c>
      <c r="N13" s="77">
        <f t="shared" ref="N13:N17" si="1">+AA13-SUM(K13:M13)</f>
        <v>332.09700000000021</v>
      </c>
      <c r="O13" s="77">
        <v>421.49</v>
      </c>
      <c r="P13" s="77"/>
      <c r="Q13" s="77"/>
      <c r="R13" s="77"/>
      <c r="S13" s="77"/>
      <c r="T13" s="77">
        <v>568.01299999999992</v>
      </c>
      <c r="U13" s="77">
        <v>590.07800000000009</v>
      </c>
      <c r="V13" s="77">
        <v>522.33799999999997</v>
      </c>
      <c r="W13" s="77">
        <f>350.16+409.278+0.087</f>
        <v>759.52500000000009</v>
      </c>
      <c r="X13" s="77">
        <v>1014.4690000000001</v>
      </c>
      <c r="Y13" s="77">
        <v>1235.069</v>
      </c>
      <c r="Z13" s="77">
        <v>1444.5450000000001</v>
      </c>
      <c r="AA13" s="77">
        <v>1616.172</v>
      </c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</row>
    <row r="14" spans="1:60" x14ac:dyDescent="0.2">
      <c r="B14" s="5" t="s">
        <v>50</v>
      </c>
      <c r="C14" s="77">
        <v>743.81600000000003</v>
      </c>
      <c r="D14" s="77">
        <v>832.95</v>
      </c>
      <c r="E14" s="77">
        <v>798.76900000000001</v>
      </c>
      <c r="F14" s="77">
        <f>+Y14-SUM(C14:E14)</f>
        <v>637.41900000000032</v>
      </c>
      <c r="G14" s="77">
        <v>648.77800000000002</v>
      </c>
      <c r="H14" s="77">
        <v>913.98900000000003</v>
      </c>
      <c r="I14" s="77">
        <v>858.09799999999996</v>
      </c>
      <c r="J14" s="77">
        <f>+Z14-SUM(G14:I14)</f>
        <v>857.10200000000032</v>
      </c>
      <c r="K14" s="77">
        <v>761.60799999999995</v>
      </c>
      <c r="L14" s="77">
        <f>+L12+L13</f>
        <v>959.58999999999992</v>
      </c>
      <c r="M14" s="77">
        <v>836.22900000000004</v>
      </c>
      <c r="N14" s="77">
        <f t="shared" si="1"/>
        <v>768.38000000000011</v>
      </c>
      <c r="O14" s="77">
        <v>767.41600000000005</v>
      </c>
      <c r="P14" s="77"/>
      <c r="Q14" s="77"/>
      <c r="R14" s="77"/>
      <c r="S14" s="77"/>
      <c r="T14" s="77">
        <v>1088.2049999999999</v>
      </c>
      <c r="U14" s="77">
        <v>1230.5930000000001</v>
      </c>
      <c r="V14" s="77">
        <v>1385.951</v>
      </c>
      <c r="W14" s="77">
        <f>+W18</f>
        <v>2313.4160000000002</v>
      </c>
      <c r="X14" s="77">
        <v>2659.125</v>
      </c>
      <c r="Y14" s="77">
        <v>3012.9540000000002</v>
      </c>
      <c r="Z14" s="77">
        <v>3277.9670000000001</v>
      </c>
      <c r="AA14" s="77">
        <v>3325.8069999999998</v>
      </c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spans="1:60" x14ac:dyDescent="0.2">
      <c r="B15" s="5" t="s">
        <v>51</v>
      </c>
      <c r="C15" s="77">
        <v>194.81700000000001</v>
      </c>
      <c r="D15" s="77">
        <v>239.417</v>
      </c>
      <c r="E15" s="77">
        <v>246.94800000000001</v>
      </c>
      <c r="F15" s="77">
        <f t="shared" ref="F15:F28" si="2">+Y15-SUM(C15:E15)</f>
        <v>268.21100000000001</v>
      </c>
      <c r="G15" s="77">
        <v>235.38800000000001</v>
      </c>
      <c r="H15" s="77">
        <v>197.51300000000001</v>
      </c>
      <c r="I15" s="77">
        <v>204.102</v>
      </c>
      <c r="J15" s="77">
        <f t="shared" ref="J15:J28" si="3">+Z15-SUM(G15:I15)</f>
        <v>187.13799999999992</v>
      </c>
      <c r="K15" s="77">
        <v>175.72499999999999</v>
      </c>
      <c r="L15" s="77">
        <v>189.78299999999999</v>
      </c>
      <c r="M15" s="77">
        <v>160.072</v>
      </c>
      <c r="N15" s="77">
        <f t="shared" si="1"/>
        <v>189.2600000000001</v>
      </c>
      <c r="O15" s="77">
        <v>154.041</v>
      </c>
      <c r="P15" s="77"/>
      <c r="Q15" s="77"/>
      <c r="R15" s="77"/>
      <c r="S15" s="77"/>
      <c r="T15" s="81" t="s">
        <v>120</v>
      </c>
      <c r="U15" s="81" t="s">
        <v>120</v>
      </c>
      <c r="V15" s="81" t="s">
        <v>120</v>
      </c>
      <c r="W15" s="81" t="s">
        <v>120</v>
      </c>
      <c r="X15" s="77">
        <v>895.86</v>
      </c>
      <c r="Y15" s="77">
        <v>949.39300000000003</v>
      </c>
      <c r="Z15" s="77">
        <v>824.14099999999996</v>
      </c>
      <c r="AA15" s="77">
        <v>714.84</v>
      </c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spans="1:60" x14ac:dyDescent="0.2">
      <c r="B16" s="5" t="s">
        <v>52</v>
      </c>
      <c r="C16" s="77">
        <f>462.002+134.753</f>
        <v>596.755</v>
      </c>
      <c r="D16" s="77">
        <f>407.342+148.825</f>
        <v>556.16699999999992</v>
      </c>
      <c r="E16" s="77">
        <f>369.177+146.501</f>
        <v>515.678</v>
      </c>
      <c r="F16" s="77">
        <f t="shared" si="2"/>
        <v>391.87400000000025</v>
      </c>
      <c r="G16" s="77">
        <f>410.563+167.863</f>
        <v>578.42599999999993</v>
      </c>
      <c r="H16" s="77">
        <f>435.281+113.829</f>
        <v>549.11</v>
      </c>
      <c r="I16" s="77">
        <f>395.564+113.018</f>
        <v>508.58199999999999</v>
      </c>
      <c r="J16" s="77">
        <f t="shared" si="3"/>
        <v>427.90000000000009</v>
      </c>
      <c r="K16" s="77">
        <f>476.804+110.693</f>
        <v>587.49699999999996</v>
      </c>
      <c r="L16" s="77">
        <f>464.679+99.76</f>
        <v>564.43899999999996</v>
      </c>
      <c r="M16" s="77">
        <f>364.356+69.402</f>
        <v>433.75799999999998</v>
      </c>
      <c r="N16" s="77">
        <f t="shared" si="1"/>
        <v>350.00500000000011</v>
      </c>
      <c r="O16" s="77">
        <f>445.822+83.402</f>
        <v>529.22400000000005</v>
      </c>
      <c r="P16" s="77"/>
      <c r="Q16" s="77"/>
      <c r="R16" s="77"/>
      <c r="S16" s="77"/>
      <c r="T16" s="77">
        <v>578.04399999999998</v>
      </c>
      <c r="U16" s="77">
        <v>656.22699999999998</v>
      </c>
      <c r="V16" s="77">
        <v>629.91899999999998</v>
      </c>
      <c r="W16" s="77">
        <v>1174.0809999999999</v>
      </c>
      <c r="X16" s="77">
        <f>1377.302+574.14</f>
        <v>1951.442</v>
      </c>
      <c r="Y16" s="77">
        <f>1493.537+566.937</f>
        <v>2060.4740000000002</v>
      </c>
      <c r="Z16" s="77">
        <f>1607.546+456.472</f>
        <v>2064.018</v>
      </c>
      <c r="AA16" s="77">
        <f>1599.374+336.325</f>
        <v>1935.6990000000001</v>
      </c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spans="2:60" x14ac:dyDescent="0.2">
      <c r="B17" s="5" t="s">
        <v>53</v>
      </c>
      <c r="C17" s="77">
        <f>281.814+60.064</f>
        <v>341.87800000000004</v>
      </c>
      <c r="D17" s="77">
        <f>425.608+90.592</f>
        <v>516.20000000000005</v>
      </c>
      <c r="E17" s="77">
        <f>429.592+100.447</f>
        <v>530.03899999999999</v>
      </c>
      <c r="F17" s="77">
        <f t="shared" si="2"/>
        <v>513.75599999999986</v>
      </c>
      <c r="G17" s="77">
        <f>238.215+67.525</f>
        <v>305.74</v>
      </c>
      <c r="H17" s="77">
        <f>478.708+83.684</f>
        <v>562.39200000000005</v>
      </c>
      <c r="I17" s="77">
        <f>462.534+91.084</f>
        <v>553.61799999999994</v>
      </c>
      <c r="J17" s="77">
        <f t="shared" si="3"/>
        <v>616.34000000000015</v>
      </c>
      <c r="K17" s="77">
        <f>284.804+65.032</f>
        <v>349.83599999999996</v>
      </c>
      <c r="L17" s="77">
        <f>494.911+90.023</f>
        <v>584.93399999999997</v>
      </c>
      <c r="M17" s="77">
        <f>471.873+90.67</f>
        <v>562.54300000000001</v>
      </c>
      <c r="N17" s="77">
        <f t="shared" si="1"/>
        <v>607.63499999999976</v>
      </c>
      <c r="O17" s="77">
        <f>321.594+70.639</f>
        <v>392.233</v>
      </c>
      <c r="P17" s="77"/>
      <c r="Q17" s="77"/>
      <c r="R17" s="77"/>
      <c r="S17" s="77"/>
      <c r="T17" s="77">
        <v>510.16099999999994</v>
      </c>
      <c r="U17" s="77">
        <f>347.362+226.004</f>
        <v>573.36599999999999</v>
      </c>
      <c r="V17" s="77">
        <f>334.016+359.016</f>
        <v>693.03200000000004</v>
      </c>
      <c r="W17" s="77">
        <v>1139.335</v>
      </c>
      <c r="X17" s="77">
        <f>1291.823+321.72</f>
        <v>1613.5430000000001</v>
      </c>
      <c r="Y17" s="77">
        <f>1519.417+382.456</f>
        <v>1901.873</v>
      </c>
      <c r="Z17" s="77">
        <f>1670.421+367.669</f>
        <v>2038.0900000000001</v>
      </c>
      <c r="AA17" s="77">
        <f>1726.433+378.515</f>
        <v>2104.9479999999999</v>
      </c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2:60" x14ac:dyDescent="0.2">
      <c r="B18" s="7" t="s">
        <v>24</v>
      </c>
      <c r="C18" s="82">
        <v>884.16600000000005</v>
      </c>
      <c r="D18" s="82">
        <v>1072.367</v>
      </c>
      <c r="E18" s="82">
        <v>1045.7170000000001</v>
      </c>
      <c r="F18" s="82">
        <f t="shared" si="2"/>
        <v>960.09700000000021</v>
      </c>
      <c r="G18" s="82">
        <v>938.63300000000004</v>
      </c>
      <c r="H18" s="82">
        <v>1111.502</v>
      </c>
      <c r="I18" s="82">
        <v>1062.2</v>
      </c>
      <c r="J18" s="82">
        <f t="shared" si="3"/>
        <v>989.77300000000014</v>
      </c>
      <c r="K18" s="82">
        <v>937.33299999999997</v>
      </c>
      <c r="L18" s="82">
        <v>1149.373</v>
      </c>
      <c r="M18" s="82">
        <v>996.30100000000004</v>
      </c>
      <c r="N18" s="82">
        <v>957.64</v>
      </c>
      <c r="O18" s="82">
        <v>921.45699999999999</v>
      </c>
      <c r="P18" s="82"/>
      <c r="Q18" s="82"/>
      <c r="R18" s="82"/>
      <c r="S18" s="82"/>
      <c r="T18" s="82">
        <v>1088.2049999999999</v>
      </c>
      <c r="U18" s="82">
        <v>1230.5930000000001</v>
      </c>
      <c r="V18" s="82">
        <v>1385.951</v>
      </c>
      <c r="W18" s="82">
        <v>2313.4160000000002</v>
      </c>
      <c r="X18" s="82">
        <v>3554.9850000000001</v>
      </c>
      <c r="Y18" s="82">
        <v>3962.3470000000002</v>
      </c>
      <c r="Z18" s="82">
        <v>4102.1080000000002</v>
      </c>
      <c r="AA18" s="82">
        <v>4040.6469999999999</v>
      </c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</row>
    <row r="19" spans="2:60" x14ac:dyDescent="0.2">
      <c r="B19" s="5" t="s">
        <v>25</v>
      </c>
      <c r="C19" s="77">
        <v>407.79599999999999</v>
      </c>
      <c r="D19" s="77">
        <v>451.06</v>
      </c>
      <c r="E19" s="77">
        <v>464.08100000000002</v>
      </c>
      <c r="F19" s="77">
        <f t="shared" si="2"/>
        <v>429.40000000000009</v>
      </c>
      <c r="G19" s="77">
        <v>416.55599999999998</v>
      </c>
      <c r="H19" s="77">
        <v>429.58600000000001</v>
      </c>
      <c r="I19" s="77">
        <v>428.86099999999999</v>
      </c>
      <c r="J19" s="77">
        <f t="shared" si="3"/>
        <v>416.84699999999975</v>
      </c>
      <c r="K19" s="77">
        <v>395.78399999999999</v>
      </c>
      <c r="L19" s="77">
        <v>440.53699999999998</v>
      </c>
      <c r="M19" s="77">
        <v>413.29300000000001</v>
      </c>
      <c r="N19" s="77">
        <v>433.97800000000001</v>
      </c>
      <c r="O19" s="77">
        <v>398.512</v>
      </c>
      <c r="P19" s="77"/>
      <c r="Q19" s="77"/>
      <c r="R19" s="77"/>
      <c r="S19" s="77"/>
      <c r="T19" s="77">
        <v>528.05100000000004</v>
      </c>
      <c r="U19" s="77">
        <v>613.53700000000003</v>
      </c>
      <c r="V19" s="77">
        <v>636.00300000000004</v>
      </c>
      <c r="W19" s="77">
        <v>893.19600000000003</v>
      </c>
      <c r="X19" s="77">
        <v>1694.703</v>
      </c>
      <c r="Y19" s="77">
        <v>1752.337</v>
      </c>
      <c r="Z19" s="77">
        <v>1691.85</v>
      </c>
      <c r="AA19" s="77">
        <v>1683.5920000000001</v>
      </c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</row>
    <row r="20" spans="2:60" x14ac:dyDescent="0.2">
      <c r="B20" s="5" t="s">
        <v>26</v>
      </c>
      <c r="C20" s="77">
        <f t="shared" ref="C20:F20" si="4">C18-C19</f>
        <v>476.37000000000006</v>
      </c>
      <c r="D20" s="77">
        <f t="shared" si="4"/>
        <v>621.30700000000002</v>
      </c>
      <c r="E20" s="77">
        <f t="shared" si="4"/>
        <v>581.63600000000008</v>
      </c>
      <c r="F20" s="77">
        <f t="shared" si="4"/>
        <v>530.69700000000012</v>
      </c>
      <c r="G20" s="77">
        <f>G18-G19</f>
        <v>522.077</v>
      </c>
      <c r="H20" s="77">
        <f t="shared" ref="H20:O20" si="5">H18-H19</f>
        <v>681.91599999999994</v>
      </c>
      <c r="I20" s="77">
        <f t="shared" si="5"/>
        <v>633.33900000000006</v>
      </c>
      <c r="J20" s="77">
        <f t="shared" si="5"/>
        <v>572.92600000000039</v>
      </c>
      <c r="K20" s="77">
        <f t="shared" si="5"/>
        <v>541.54899999999998</v>
      </c>
      <c r="L20" s="77">
        <f t="shared" si="5"/>
        <v>708.83600000000001</v>
      </c>
      <c r="M20" s="77">
        <f t="shared" si="5"/>
        <v>583.00800000000004</v>
      </c>
      <c r="N20" s="77">
        <f t="shared" si="5"/>
        <v>523.66200000000003</v>
      </c>
      <c r="O20" s="77">
        <f t="shared" si="5"/>
        <v>522.94499999999994</v>
      </c>
      <c r="P20" s="77"/>
      <c r="Q20" s="77"/>
      <c r="R20" s="77"/>
      <c r="S20" s="77"/>
      <c r="T20" s="77">
        <f t="shared" ref="T20:X20" si="6">+T18-T19</f>
        <v>560.15399999999988</v>
      </c>
      <c r="U20" s="77">
        <f t="shared" si="6"/>
        <v>617.05600000000004</v>
      </c>
      <c r="V20" s="77">
        <f t="shared" si="6"/>
        <v>749.94799999999998</v>
      </c>
      <c r="W20" s="77">
        <f t="shared" si="6"/>
        <v>1420.2200000000003</v>
      </c>
      <c r="X20" s="77">
        <f t="shared" si="6"/>
        <v>1860.2820000000002</v>
      </c>
      <c r="Y20" s="77">
        <f>+Y18-Y19</f>
        <v>2210.0100000000002</v>
      </c>
      <c r="Z20" s="77">
        <f t="shared" ref="Z20:AA20" si="7">+Z18-Z19</f>
        <v>2410.2580000000003</v>
      </c>
      <c r="AA20" s="77">
        <f t="shared" si="7"/>
        <v>2357.0549999999998</v>
      </c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</row>
    <row r="21" spans="2:60" x14ac:dyDescent="0.2">
      <c r="B21" s="5" t="s">
        <v>27</v>
      </c>
      <c r="C21" s="77">
        <v>241.44200000000001</v>
      </c>
      <c r="D21" s="77">
        <v>302.81799999999998</v>
      </c>
      <c r="E21" s="77">
        <v>307.78399999999999</v>
      </c>
      <c r="F21" s="77">
        <f t="shared" si="2"/>
        <v>321.18300000000011</v>
      </c>
      <c r="G21" s="77">
        <v>295.64800000000002</v>
      </c>
      <c r="H21" s="77">
        <v>356.178</v>
      </c>
      <c r="I21" s="77">
        <v>363.51</v>
      </c>
      <c r="J21" s="77">
        <f t="shared" si="3"/>
        <v>373.01099999999997</v>
      </c>
      <c r="K21" s="77">
        <v>318.57499999999999</v>
      </c>
      <c r="L21" s="77">
        <v>1136.3520000000001</v>
      </c>
      <c r="M21" s="77">
        <v>375.34800000000001</v>
      </c>
      <c r="N21" s="77">
        <v>377.26499999999999</v>
      </c>
      <c r="O21" s="77">
        <v>322.101</v>
      </c>
      <c r="P21" s="77"/>
      <c r="Q21" s="77"/>
      <c r="R21" s="77"/>
      <c r="S21" s="77"/>
      <c r="T21" s="77">
        <f>495.028+2.182</f>
        <v>497.21000000000004</v>
      </c>
      <c r="U21" s="77">
        <v>488.40699999999998</v>
      </c>
      <c r="V21" s="77">
        <f>514.753+21.071</f>
        <v>535.82400000000007</v>
      </c>
      <c r="W21" s="77">
        <v>737.15599999999995</v>
      </c>
      <c r="X21" s="77">
        <v>1009.526</v>
      </c>
      <c r="Y21" s="77">
        <v>1173.2270000000001</v>
      </c>
      <c r="Z21" s="77">
        <v>1388.347</v>
      </c>
      <c r="AA21" s="77">
        <v>2207.54</v>
      </c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</row>
    <row r="22" spans="2:60" x14ac:dyDescent="0.2">
      <c r="B22" s="5" t="s">
        <v>28</v>
      </c>
      <c r="C22" s="77">
        <f t="shared" ref="C22:F22" si="8">C20-C21</f>
        <v>234.92800000000005</v>
      </c>
      <c r="D22" s="77">
        <f t="shared" si="8"/>
        <v>318.48900000000003</v>
      </c>
      <c r="E22" s="77">
        <f t="shared" si="8"/>
        <v>273.85200000000009</v>
      </c>
      <c r="F22" s="77">
        <f t="shared" si="8"/>
        <v>209.51400000000001</v>
      </c>
      <c r="G22" s="77">
        <f>G20-G21</f>
        <v>226.42899999999997</v>
      </c>
      <c r="H22" s="77">
        <f t="shared" ref="H22:O22" si="9">H20-H21</f>
        <v>325.73799999999994</v>
      </c>
      <c r="I22" s="77">
        <f t="shared" si="9"/>
        <v>269.82900000000006</v>
      </c>
      <c r="J22" s="77">
        <f t="shared" si="9"/>
        <v>199.91500000000042</v>
      </c>
      <c r="K22" s="77">
        <f t="shared" si="9"/>
        <v>222.97399999999999</v>
      </c>
      <c r="L22" s="77">
        <f t="shared" si="9"/>
        <v>-427.51600000000008</v>
      </c>
      <c r="M22" s="77">
        <f t="shared" si="9"/>
        <v>207.66000000000003</v>
      </c>
      <c r="N22" s="77">
        <f t="shared" si="9"/>
        <v>146.39700000000005</v>
      </c>
      <c r="O22" s="77">
        <f t="shared" si="9"/>
        <v>200.84399999999994</v>
      </c>
      <c r="P22" s="77"/>
      <c r="Q22" s="77"/>
      <c r="R22" s="77"/>
      <c r="S22" s="77"/>
      <c r="T22" s="77">
        <f t="shared" ref="T22:X22" si="10">+T20-T21</f>
        <v>62.943999999999846</v>
      </c>
      <c r="U22" s="77">
        <f t="shared" si="10"/>
        <v>128.64900000000006</v>
      </c>
      <c r="V22" s="77">
        <f t="shared" si="10"/>
        <v>214.12399999999991</v>
      </c>
      <c r="W22" s="77">
        <f t="shared" si="10"/>
        <v>683.06400000000031</v>
      </c>
      <c r="X22" s="77">
        <f t="shared" si="10"/>
        <v>850.7560000000002</v>
      </c>
      <c r="Y22" s="77">
        <f>+Y20-Y21</f>
        <v>1036.7830000000001</v>
      </c>
      <c r="Z22" s="77">
        <f>+Z20-Z21</f>
        <v>1021.9110000000003</v>
      </c>
      <c r="AA22" s="77">
        <f>+AA20-AA21</f>
        <v>149.51499999999987</v>
      </c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</row>
    <row r="23" spans="2:60" x14ac:dyDescent="0.2">
      <c r="B23" s="5" t="s">
        <v>30</v>
      </c>
      <c r="C23" s="77">
        <v>0.40300000000000002</v>
      </c>
      <c r="D23" s="77">
        <v>-0.55100000000000005</v>
      </c>
      <c r="E23" s="77">
        <v>1.77</v>
      </c>
      <c r="F23" s="77">
        <f t="shared" si="2"/>
        <v>-0.3819999999999999</v>
      </c>
      <c r="G23" s="77">
        <v>2.2730000000000001</v>
      </c>
      <c r="H23" s="77">
        <v>1.323</v>
      </c>
      <c r="I23" s="77">
        <v>0.33200000000000002</v>
      </c>
      <c r="J23" s="77">
        <f t="shared" si="3"/>
        <v>2.8490000000000002</v>
      </c>
      <c r="K23" s="77">
        <v>-4.8730000000000002</v>
      </c>
      <c r="L23" s="77">
        <v>-0.434</v>
      </c>
      <c r="M23" s="77">
        <v>-2.9569999999999999</v>
      </c>
      <c r="N23" s="77">
        <v>-1.579</v>
      </c>
      <c r="O23" s="77">
        <v>1.625</v>
      </c>
      <c r="P23" s="77"/>
      <c r="Q23" s="77"/>
      <c r="R23" s="77"/>
      <c r="S23" s="77"/>
      <c r="T23" s="77">
        <v>-1.3180000000000001</v>
      </c>
      <c r="U23" s="77">
        <v>1.323</v>
      </c>
      <c r="V23" s="77">
        <v>1.1279999999999999</v>
      </c>
      <c r="W23" s="77">
        <v>0.14000000000000001</v>
      </c>
      <c r="X23" s="77">
        <v>-3.2280000000000002</v>
      </c>
      <c r="Y23" s="77">
        <v>1.24</v>
      </c>
      <c r="Z23" s="77">
        <v>6.7770000000000001</v>
      </c>
      <c r="AA23" s="77">
        <v>-9.843</v>
      </c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</row>
    <row r="24" spans="2:60" x14ac:dyDescent="0.2">
      <c r="B24" s="5" t="s">
        <v>31</v>
      </c>
      <c r="C24" s="77">
        <v>0.17100000000000001</v>
      </c>
      <c r="D24" s="77">
        <v>0.54800000000000004</v>
      </c>
      <c r="E24" s="77">
        <v>0.50600000000000001</v>
      </c>
      <c r="F24" s="77">
        <f t="shared" si="2"/>
        <v>1.181</v>
      </c>
      <c r="G24" s="77">
        <v>0.41599999999999998</v>
      </c>
      <c r="H24" s="77">
        <v>1.1259999999999999</v>
      </c>
      <c r="I24" s="77">
        <v>1.3660000000000001</v>
      </c>
      <c r="J24" s="77">
        <f t="shared" si="3"/>
        <v>0.57600000000000007</v>
      </c>
      <c r="K24" s="77">
        <v>0.33300000000000002</v>
      </c>
      <c r="L24" s="77">
        <v>0.371</v>
      </c>
      <c r="M24" s="77">
        <v>0.53100000000000003</v>
      </c>
      <c r="N24" s="77">
        <v>0.60899999999999999</v>
      </c>
      <c r="O24" s="77">
        <v>0.33500000000000002</v>
      </c>
      <c r="P24" s="77"/>
      <c r="Q24" s="77"/>
      <c r="R24" s="77"/>
      <c r="S24" s="77"/>
      <c r="T24" s="77">
        <v>1.2809999999999999</v>
      </c>
      <c r="U24" s="77">
        <v>0.60099999999999998</v>
      </c>
      <c r="V24" s="77">
        <v>0.215</v>
      </c>
      <c r="W24" s="77">
        <v>0.77500000000000002</v>
      </c>
      <c r="X24" s="77">
        <v>1.02</v>
      </c>
      <c r="Y24" s="77">
        <v>2.4060000000000001</v>
      </c>
      <c r="Z24" s="77">
        <v>3.484</v>
      </c>
      <c r="AA24" s="77">
        <v>1.8440000000000001</v>
      </c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</row>
    <row r="25" spans="2:60" x14ac:dyDescent="0.2">
      <c r="B25" s="5" t="s">
        <v>32</v>
      </c>
      <c r="C25" s="77">
        <v>42.637</v>
      </c>
      <c r="D25" s="77">
        <v>43.063000000000002</v>
      </c>
      <c r="E25" s="77">
        <v>39.207000000000001</v>
      </c>
      <c r="F25" s="77">
        <f t="shared" si="2"/>
        <v>36.443999999999988</v>
      </c>
      <c r="G25" s="77">
        <v>30.562999999999999</v>
      </c>
      <c r="H25" s="77">
        <v>29.161000000000001</v>
      </c>
      <c r="I25" s="77">
        <v>26.230399999999999</v>
      </c>
      <c r="J25" s="77">
        <f t="shared" si="3"/>
        <v>23.309599999999989</v>
      </c>
      <c r="K25" s="77">
        <v>22.765999999999998</v>
      </c>
      <c r="L25" s="77">
        <v>22.523</v>
      </c>
      <c r="M25" s="77">
        <v>21.710999999999999</v>
      </c>
      <c r="N25" s="77">
        <v>21.286999999999999</v>
      </c>
      <c r="O25" s="77">
        <v>20.459</v>
      </c>
      <c r="P25" s="77"/>
      <c r="Q25" s="77"/>
      <c r="R25" s="77"/>
      <c r="S25" s="77"/>
      <c r="T25" s="77">
        <v>0.95499999999999996</v>
      </c>
      <c r="U25" s="77">
        <v>8.6359999999999992</v>
      </c>
      <c r="V25" s="77">
        <v>6.742</v>
      </c>
      <c r="W25" s="77">
        <v>21.646999999999998</v>
      </c>
      <c r="X25" s="77">
        <v>136.15799999999999</v>
      </c>
      <c r="Y25" s="77">
        <v>161.351</v>
      </c>
      <c r="Z25" s="77">
        <v>109.264</v>
      </c>
      <c r="AA25" s="77">
        <v>88.287000000000006</v>
      </c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</row>
    <row r="26" spans="2:60" x14ac:dyDescent="0.2">
      <c r="B26" s="5" t="s">
        <v>29</v>
      </c>
      <c r="C26" s="77">
        <v>-0.29299999999999998</v>
      </c>
      <c r="D26" s="77">
        <v>0.71699999999999997</v>
      </c>
      <c r="E26" s="77">
        <v>2.4E-2</v>
      </c>
      <c r="F26" s="77">
        <f t="shared" si="2"/>
        <v>-0.77400000000000002</v>
      </c>
      <c r="G26" s="77">
        <v>0.02</v>
      </c>
      <c r="H26" s="77">
        <v>4.4999999999999998E-2</v>
      </c>
      <c r="I26" s="77">
        <v>0.23699999999999999</v>
      </c>
      <c r="J26" s="77">
        <f t="shared" si="3"/>
        <v>0.92900000000000005</v>
      </c>
      <c r="K26" s="77">
        <v>-0.47499999999999998</v>
      </c>
      <c r="L26" s="77">
        <v>0.627</v>
      </c>
      <c r="M26" s="77">
        <v>8.9999999999999993E-3</v>
      </c>
      <c r="N26" s="77">
        <v>-0.08</v>
      </c>
      <c r="O26" s="77">
        <v>-0.251</v>
      </c>
      <c r="P26" s="77"/>
      <c r="Q26" s="77"/>
      <c r="R26" s="77"/>
      <c r="S26" s="77"/>
      <c r="T26" s="77">
        <v>0.56899999999999995</v>
      </c>
      <c r="U26" s="77">
        <v>3.1E-2</v>
      </c>
      <c r="V26" s="77">
        <v>0.51</v>
      </c>
      <c r="W26" s="77">
        <v>1.7969999999999999</v>
      </c>
      <c r="X26" s="77">
        <v>-0.33800000000000002</v>
      </c>
      <c r="Y26" s="77">
        <v>-0.32600000000000001</v>
      </c>
      <c r="Z26" s="77">
        <v>1.2310000000000001</v>
      </c>
      <c r="AA26" s="77">
        <v>6.3E-2</v>
      </c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</row>
    <row r="27" spans="2:60" x14ac:dyDescent="0.2">
      <c r="B27" s="5" t="s">
        <v>33</v>
      </c>
      <c r="C27" s="77">
        <f t="shared" ref="C27:F27" si="11">C22-C23+C24-C25+C26</f>
        <v>191.76600000000005</v>
      </c>
      <c r="D27" s="77">
        <f t="shared" si="11"/>
        <v>277.24200000000002</v>
      </c>
      <c r="E27" s="77">
        <f t="shared" si="11"/>
        <v>233.40500000000009</v>
      </c>
      <c r="F27" s="77">
        <f t="shared" si="11"/>
        <v>173.85900000000004</v>
      </c>
      <c r="G27" s="77">
        <f>G22-G23+G24-G25+G26</f>
        <v>194.029</v>
      </c>
      <c r="H27" s="77">
        <f t="shared" ref="H27:AA27" si="12">H22-H23+H24-H25+H26</f>
        <v>296.42499999999995</v>
      </c>
      <c r="I27" s="77">
        <f t="shared" si="12"/>
        <v>244.86960000000005</v>
      </c>
      <c r="J27" s="77">
        <f t="shared" si="12"/>
        <v>175.26140000000044</v>
      </c>
      <c r="K27" s="77">
        <f>K22-K23+K24-K25+K26</f>
        <v>204.93899999999999</v>
      </c>
      <c r="L27" s="77">
        <f>L22-L23+L24-L25+L26</f>
        <v>-448.60700000000008</v>
      </c>
      <c r="M27" s="77">
        <f>M22-M23+M24-M25+M26</f>
        <v>189.446</v>
      </c>
      <c r="N27" s="77">
        <f>N22-N23+N24-N25+N26</f>
        <v>127.21800000000006</v>
      </c>
      <c r="O27" s="77">
        <f>O22-O23+O24-O25+O26</f>
        <v>178.84399999999994</v>
      </c>
      <c r="P27" s="77"/>
      <c r="Q27" s="77"/>
      <c r="R27" s="77"/>
      <c r="S27" s="77"/>
      <c r="T27" s="77">
        <f t="shared" si="12"/>
        <v>65.156999999999854</v>
      </c>
      <c r="U27" s="77">
        <f t="shared" si="12"/>
        <v>119.32200000000007</v>
      </c>
      <c r="V27" s="77">
        <f t="shared" si="12"/>
        <v>206.97899999999993</v>
      </c>
      <c r="W27" s="77">
        <f t="shared" si="12"/>
        <v>663.84900000000027</v>
      </c>
      <c r="X27" s="77">
        <f t="shared" si="12"/>
        <v>718.50800000000015</v>
      </c>
      <c r="Y27" s="77">
        <f t="shared" si="12"/>
        <v>876.27200000000005</v>
      </c>
      <c r="Z27" s="77">
        <f t="shared" si="12"/>
        <v>910.58500000000026</v>
      </c>
      <c r="AA27" s="77">
        <f t="shared" si="12"/>
        <v>72.977999999999852</v>
      </c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</row>
    <row r="28" spans="2:60" x14ac:dyDescent="0.2">
      <c r="B28" s="5" t="s">
        <v>35</v>
      </c>
      <c r="C28" s="77">
        <v>42.222999999999999</v>
      </c>
      <c r="D28" s="77">
        <v>64.83</v>
      </c>
      <c r="E28" s="77">
        <v>56.38</v>
      </c>
      <c r="F28" s="77">
        <f t="shared" si="2"/>
        <v>-79.72699999999999</v>
      </c>
      <c r="G28" s="77">
        <v>41.575000000000003</v>
      </c>
      <c r="H28" s="77">
        <v>67.518000000000001</v>
      </c>
      <c r="I28" s="77">
        <v>45.095999999999997</v>
      </c>
      <c r="J28" s="77">
        <f t="shared" si="3"/>
        <v>-193.67499999999998</v>
      </c>
      <c r="K28" s="77">
        <v>44.835999999999999</v>
      </c>
      <c r="L28" s="77">
        <v>43.674999999999997</v>
      </c>
      <c r="M28" s="77">
        <v>43.612000000000002</v>
      </c>
      <c r="N28" s="77">
        <v>22.053000000000001</v>
      </c>
      <c r="O28" s="77">
        <v>41.287999999999997</v>
      </c>
      <c r="P28" s="77"/>
      <c r="Q28" s="77"/>
      <c r="R28" s="77"/>
      <c r="S28" s="77"/>
      <c r="T28" s="77">
        <f>14.72+108.224+11.429</f>
        <v>134.37299999999999</v>
      </c>
      <c r="U28" s="77">
        <v>-0.17499999999999999</v>
      </c>
      <c r="V28" s="77">
        <v>-105.88200000000001</v>
      </c>
      <c r="W28" s="77">
        <v>-61.844999999999999</v>
      </c>
      <c r="X28" s="77">
        <v>178.34899999999999</v>
      </c>
      <c r="Y28" s="77">
        <v>83.706000000000003</v>
      </c>
      <c r="Z28" s="77">
        <v>-39.485999999999997</v>
      </c>
      <c r="AA28" s="77">
        <v>154.17599999999999</v>
      </c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</row>
    <row r="29" spans="2:60" x14ac:dyDescent="0.2">
      <c r="B29" s="5" t="s">
        <v>36</v>
      </c>
      <c r="C29" s="77">
        <f t="shared" ref="C29:F29" si="13">C27-C28</f>
        <v>149.54300000000006</v>
      </c>
      <c r="D29" s="77">
        <f t="shared" si="13"/>
        <v>212.41200000000003</v>
      </c>
      <c r="E29" s="77">
        <f t="shared" si="13"/>
        <v>177.02500000000009</v>
      </c>
      <c r="F29" s="77">
        <f t="shared" si="13"/>
        <v>253.58600000000001</v>
      </c>
      <c r="G29" s="77">
        <f>G27-G28</f>
        <v>152.45400000000001</v>
      </c>
      <c r="H29" s="77">
        <f t="shared" ref="H29:J29" si="14">H27-H28</f>
        <v>228.90699999999995</v>
      </c>
      <c r="I29" s="77">
        <f t="shared" si="14"/>
        <v>199.77360000000004</v>
      </c>
      <c r="J29" s="77">
        <f t="shared" si="14"/>
        <v>368.93640000000039</v>
      </c>
      <c r="K29" s="77">
        <f>K27-K28</f>
        <v>160.10300000000001</v>
      </c>
      <c r="L29" s="77">
        <f>L27-L28</f>
        <v>-492.2820000000001</v>
      </c>
      <c r="M29" s="77">
        <f>M27-M28</f>
        <v>145.834</v>
      </c>
      <c r="N29" s="77">
        <f>N27-N28</f>
        <v>105.16500000000006</v>
      </c>
      <c r="O29" s="77">
        <f>O27-O28</f>
        <v>137.55599999999993</v>
      </c>
      <c r="P29" s="77"/>
      <c r="Q29" s="77"/>
      <c r="R29" s="77"/>
      <c r="S29" s="77"/>
      <c r="T29" s="77">
        <f t="shared" ref="T29:Y29" si="15">+T27-T28</f>
        <v>-69.216000000000136</v>
      </c>
      <c r="U29" s="77">
        <f t="shared" si="15"/>
        <v>119.49700000000007</v>
      </c>
      <c r="V29" s="77">
        <f t="shared" si="15"/>
        <v>312.86099999999993</v>
      </c>
      <c r="W29" s="77">
        <f t="shared" si="15"/>
        <v>725.6940000000003</v>
      </c>
      <c r="X29" s="77">
        <f t="shared" si="15"/>
        <v>540.15900000000011</v>
      </c>
      <c r="Y29" s="77">
        <f t="shared" si="15"/>
        <v>792.56600000000003</v>
      </c>
      <c r="Z29" s="77">
        <f>+Z27-Z28</f>
        <v>950.07100000000025</v>
      </c>
      <c r="AA29" s="77">
        <f>+AA27-AA28</f>
        <v>-81.198000000000135</v>
      </c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</row>
    <row r="30" spans="2:60" x14ac:dyDescent="0.2"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</row>
    <row r="31" spans="2:60" x14ac:dyDescent="0.2">
      <c r="B31" s="5" t="s">
        <v>34</v>
      </c>
      <c r="C31" s="83">
        <f>C29/C32</f>
        <v>2.4183808784526826</v>
      </c>
      <c r="D31" s="83">
        <f>D29/D32</f>
        <v>3.4239566710189089</v>
      </c>
      <c r="E31" s="83">
        <f>E29/E32</f>
        <v>2.8952619269581161</v>
      </c>
      <c r="F31" s="83">
        <f>F29/F32</f>
        <v>4.1422084286180993</v>
      </c>
      <c r="G31" s="83">
        <f>G29/G32</f>
        <v>2.5172379631464237</v>
      </c>
      <c r="H31" s="83">
        <f t="shared" ref="H31:O31" si="16">+H29/H32</f>
        <v>3.7948773209549063</v>
      </c>
      <c r="I31" s="83">
        <f t="shared" si="16"/>
        <v>3.3833553500660511</v>
      </c>
      <c r="J31" s="83">
        <f t="shared" si="16"/>
        <v>6.2130378403866624</v>
      </c>
      <c r="K31" s="83">
        <f t="shared" si="16"/>
        <v>2.8533772945998934</v>
      </c>
      <c r="L31" s="83">
        <f t="shared" si="16"/>
        <v>-8.8249466683398179</v>
      </c>
      <c r="M31" s="83">
        <f t="shared" si="16"/>
        <v>2.7187039764359353</v>
      </c>
      <c r="N31" s="83">
        <f t="shared" si="16"/>
        <v>2.0477646234130398</v>
      </c>
      <c r="O31" s="83">
        <f t="shared" si="16"/>
        <v>2.7356907044270304</v>
      </c>
      <c r="P31" s="83"/>
      <c r="Q31" s="83"/>
      <c r="R31" s="83"/>
      <c r="S31" s="77"/>
      <c r="T31" s="83">
        <f t="shared" ref="T31:W31" si="17">+T29/T32</f>
        <v>-1.0116192397071093</v>
      </c>
      <c r="U31" s="83">
        <f t="shared" si="17"/>
        <v>1.6984379663715063</v>
      </c>
      <c r="V31" s="83">
        <f t="shared" si="17"/>
        <v>4.642818983171578</v>
      </c>
      <c r="W31" s="83">
        <f t="shared" si="17"/>
        <v>11.617795850409841</v>
      </c>
      <c r="X31" s="83">
        <f>+X29/X32</f>
        <v>8.8232440378961137</v>
      </c>
      <c r="Y31" s="83">
        <f>+Y29/Y32</f>
        <v>12.911184960740234</v>
      </c>
      <c r="Z31" s="83">
        <f>+Z29/Z32</f>
        <v>15.999578989912603</v>
      </c>
      <c r="AA31" s="83">
        <f>+AA29/AA32</f>
        <v>-1.4978969893742646</v>
      </c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</row>
    <row r="32" spans="2:60" x14ac:dyDescent="0.2">
      <c r="B32" s="5" t="s">
        <v>3</v>
      </c>
      <c r="C32" s="77">
        <v>61.835999999999999</v>
      </c>
      <c r="D32" s="77">
        <v>62.036999999999999</v>
      </c>
      <c r="E32" s="77">
        <v>61.143000000000001</v>
      </c>
      <c r="F32" s="77">
        <v>61.22</v>
      </c>
      <c r="G32" s="77">
        <v>60.564</v>
      </c>
      <c r="H32" s="77">
        <v>60.32</v>
      </c>
      <c r="I32" s="77">
        <v>59.045999999999999</v>
      </c>
      <c r="J32" s="77">
        <v>59.381</v>
      </c>
      <c r="K32" s="77">
        <v>56.11</v>
      </c>
      <c r="L32" s="77">
        <v>55.783000000000001</v>
      </c>
      <c r="M32" s="77">
        <v>53.640999999999998</v>
      </c>
      <c r="N32" s="77">
        <v>51.356000000000002</v>
      </c>
      <c r="O32" s="77">
        <v>50.281999999999996</v>
      </c>
      <c r="P32" s="77"/>
      <c r="Q32" s="77"/>
      <c r="R32" s="77"/>
      <c r="S32" s="77"/>
      <c r="T32" s="77">
        <v>68.421000000000006</v>
      </c>
      <c r="U32" s="77">
        <v>70.356999999999999</v>
      </c>
      <c r="V32" s="77">
        <v>67.385999999999996</v>
      </c>
      <c r="W32" s="77">
        <v>62.463999999999999</v>
      </c>
      <c r="X32" s="77">
        <v>61.22</v>
      </c>
      <c r="Y32" s="77">
        <v>61.386000000000003</v>
      </c>
      <c r="Z32" s="77">
        <v>59.381</v>
      </c>
      <c r="AA32" s="77">
        <v>54.207999999999998</v>
      </c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</row>
    <row r="33" spans="2:60" x14ac:dyDescent="0.2">
      <c r="D33" s="77"/>
      <c r="E33" s="77"/>
      <c r="F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</row>
    <row r="34" spans="2:60" x14ac:dyDescent="0.2">
      <c r="B34" s="5" t="s">
        <v>54</v>
      </c>
      <c r="D34" s="77"/>
      <c r="E34" s="77"/>
      <c r="F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84" t="s">
        <v>120</v>
      </c>
      <c r="U34" s="11">
        <f t="shared" ref="U34:AA34" si="18">+U3/T3-1</f>
        <v>-4.1775456919060039E-2</v>
      </c>
      <c r="V34" s="11">
        <f t="shared" si="18"/>
        <v>-4.3596730245231585E-2</v>
      </c>
      <c r="W34" s="11">
        <f t="shared" si="18"/>
        <v>-3.1339031339031376E-2</v>
      </c>
      <c r="X34" s="11">
        <f t="shared" si="18"/>
        <v>9.7058823529411864E-2</v>
      </c>
      <c r="Y34" s="11">
        <f t="shared" si="18"/>
        <v>-6.4343163538874037E-2</v>
      </c>
      <c r="Z34" s="11">
        <f t="shared" si="18"/>
        <v>0.11747851002865328</v>
      </c>
      <c r="AA34" s="11">
        <f t="shared" si="18"/>
        <v>-1</v>
      </c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</row>
    <row r="35" spans="2:60" x14ac:dyDescent="0.2">
      <c r="B35" s="5" t="s">
        <v>55</v>
      </c>
      <c r="D35" s="77"/>
      <c r="E35" s="77"/>
      <c r="F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84" t="s">
        <v>120</v>
      </c>
      <c r="U35" s="84" t="s">
        <v>120</v>
      </c>
      <c r="V35" s="84" t="s">
        <v>120</v>
      </c>
      <c r="W35" s="84" t="s">
        <v>120</v>
      </c>
      <c r="X35" s="84" t="s">
        <v>120</v>
      </c>
      <c r="Y35" s="11" t="e">
        <f>+Y4/X4-1</f>
        <v>#DIV/0!</v>
      </c>
      <c r="Z35" s="11">
        <f>+Z4/Y4-1</f>
        <v>2.7142857142857144</v>
      </c>
      <c r="AA35" s="11">
        <f>+AA4/Z4-1</f>
        <v>-1</v>
      </c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</row>
    <row r="36" spans="2:60" x14ac:dyDescent="0.2">
      <c r="B36" s="5" t="s">
        <v>56</v>
      </c>
      <c r="D36" s="77"/>
      <c r="E36" s="77"/>
      <c r="F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84" t="s">
        <v>120</v>
      </c>
      <c r="U36" s="11">
        <f t="shared" ref="U36:AA36" si="19">+U7/T7-1</f>
        <v>0.12097300008359113</v>
      </c>
      <c r="V36" s="11">
        <f t="shared" si="19"/>
        <v>3.0364946085815303E-2</v>
      </c>
      <c r="W36" s="11">
        <f t="shared" si="19"/>
        <v>0.49032379463574904</v>
      </c>
      <c r="X36" s="11">
        <f t="shared" si="19"/>
        <v>0.1223363959519046</v>
      </c>
      <c r="Y36" s="11">
        <f t="shared" si="19"/>
        <v>3.4779071981169585E-2</v>
      </c>
      <c r="Z36" s="11">
        <f t="shared" si="19"/>
        <v>6.2077155305786169E-2</v>
      </c>
      <c r="AA36" s="11">
        <f t="shared" si="19"/>
        <v>-1</v>
      </c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</row>
    <row r="37" spans="2:60" x14ac:dyDescent="0.2">
      <c r="B37" s="5" t="s">
        <v>57</v>
      </c>
      <c r="D37" s="77"/>
      <c r="E37" s="77"/>
      <c r="F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84" t="s">
        <v>120</v>
      </c>
      <c r="U37" s="84" t="s">
        <v>120</v>
      </c>
      <c r="V37" s="84" t="s">
        <v>120</v>
      </c>
      <c r="W37" s="84" t="s">
        <v>120</v>
      </c>
      <c r="X37" s="84" t="s">
        <v>120</v>
      </c>
      <c r="Y37" s="11">
        <f>+Y8/X8-1</f>
        <v>8.0277859693961284E-2</v>
      </c>
      <c r="Z37" s="11">
        <f>+Z8/Y8-1</f>
        <v>-0.18256544026206445</v>
      </c>
      <c r="AA37" s="11">
        <f>+AA8/Z8-1</f>
        <v>-1</v>
      </c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</row>
    <row r="38" spans="2:60" x14ac:dyDescent="0.2">
      <c r="B38" s="5" t="s">
        <v>58</v>
      </c>
      <c r="D38" s="77"/>
      <c r="E38" s="77"/>
      <c r="F38" s="77"/>
      <c r="G38" s="11">
        <f t="shared" ref="G38:N38" si="20">+G14/C14-1</f>
        <v>-0.12777084655344872</v>
      </c>
      <c r="H38" s="11">
        <f t="shared" si="20"/>
        <v>9.7291554114892875E-2</v>
      </c>
      <c r="I38" s="11">
        <f t="shared" si="20"/>
        <v>7.4275541489466912E-2</v>
      </c>
      <c r="J38" s="11">
        <f t="shared" si="20"/>
        <v>0.34464457444789054</v>
      </c>
      <c r="K38" s="11">
        <f t="shared" si="20"/>
        <v>0.17391156913458827</v>
      </c>
      <c r="L38" s="11">
        <f t="shared" si="20"/>
        <v>4.9892285355731758E-2</v>
      </c>
      <c r="M38" s="11">
        <f t="shared" si="20"/>
        <v>-2.5485434064640544E-2</v>
      </c>
      <c r="N38" s="11">
        <f t="shared" si="20"/>
        <v>-0.10351393416419541</v>
      </c>
      <c r="O38" s="11">
        <f>+O14/K14-1</f>
        <v>7.625970315437991E-3</v>
      </c>
      <c r="P38" s="77"/>
      <c r="Q38" s="77"/>
      <c r="R38" s="77"/>
      <c r="S38" s="77"/>
      <c r="T38" s="84" t="s">
        <v>120</v>
      </c>
      <c r="U38" s="11">
        <f t="shared" ref="U38:Y41" si="21">+U14/T14-1</f>
        <v>0.1308466695153947</v>
      </c>
      <c r="V38" s="11">
        <f t="shared" si="21"/>
        <v>0.12624645191383332</v>
      </c>
      <c r="W38" s="11">
        <f t="shared" si="21"/>
        <v>0.6691903249104767</v>
      </c>
      <c r="X38" s="11">
        <f t="shared" si="21"/>
        <v>0.14943659073854421</v>
      </c>
      <c r="Y38" s="11">
        <f t="shared" si="21"/>
        <v>0.13306219151036536</v>
      </c>
      <c r="Z38" s="11">
        <f t="shared" ref="Z38:AA41" si="22">+Z14/Y14-1</f>
        <v>8.7957864607292269E-2</v>
      </c>
      <c r="AA38" s="11">
        <f t="shared" si="22"/>
        <v>1.4594411719214939E-2</v>
      </c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</row>
    <row r="39" spans="2:60" x14ac:dyDescent="0.2">
      <c r="B39" s="5" t="s">
        <v>59</v>
      </c>
      <c r="D39" s="77"/>
      <c r="E39" s="77"/>
      <c r="F39" s="77"/>
      <c r="G39" s="11">
        <f t="shared" ref="G39:N39" si="23">+G15/C15-1</f>
        <v>0.20825184660476248</v>
      </c>
      <c r="H39" s="11">
        <f t="shared" si="23"/>
        <v>-0.17502516529736822</v>
      </c>
      <c r="I39" s="11">
        <f t="shared" si="23"/>
        <v>-0.17350211380533553</v>
      </c>
      <c r="J39" s="11">
        <f t="shared" si="23"/>
        <v>-0.30227321027101828</v>
      </c>
      <c r="K39" s="11">
        <f t="shared" si="23"/>
        <v>-0.25346661681988891</v>
      </c>
      <c r="L39" s="11">
        <f t="shared" si="23"/>
        <v>-3.9136664422088741E-2</v>
      </c>
      <c r="M39" s="11">
        <f t="shared" si="23"/>
        <v>-0.21572547059803426</v>
      </c>
      <c r="N39" s="11">
        <f t="shared" si="23"/>
        <v>1.1339225598222535E-2</v>
      </c>
      <c r="O39" s="11">
        <f>+O15/K15-1</f>
        <v>-0.12339735381988903</v>
      </c>
      <c r="P39" s="77"/>
      <c r="Q39" s="77"/>
      <c r="R39" s="77"/>
      <c r="S39" s="77"/>
      <c r="T39" s="84" t="s">
        <v>120</v>
      </c>
      <c r="U39" s="84" t="s">
        <v>120</v>
      </c>
      <c r="V39" s="84" t="s">
        <v>120</v>
      </c>
      <c r="W39" s="84" t="s">
        <v>120</v>
      </c>
      <c r="X39" s="84" t="s">
        <v>120</v>
      </c>
      <c r="Y39" s="11">
        <f t="shared" si="21"/>
        <v>5.9755988658942272E-2</v>
      </c>
      <c r="Z39" s="11">
        <f t="shared" si="22"/>
        <v>-0.13192850589797911</v>
      </c>
      <c r="AA39" s="11">
        <f t="shared" si="22"/>
        <v>-0.13262415047910481</v>
      </c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</row>
    <row r="40" spans="2:60" x14ac:dyDescent="0.2">
      <c r="B40" s="5" t="s">
        <v>60</v>
      </c>
      <c r="D40" s="77"/>
      <c r="E40" s="77"/>
      <c r="F40" s="77"/>
      <c r="G40" s="11">
        <f t="shared" ref="G40:N40" si="24">+G16/C16-1</f>
        <v>-3.0714447302494396E-2</v>
      </c>
      <c r="H40" s="11">
        <f t="shared" si="24"/>
        <v>-1.268863488844163E-2</v>
      </c>
      <c r="I40" s="11">
        <f t="shared" si="24"/>
        <v>-1.3760524978765787E-2</v>
      </c>
      <c r="J40" s="11">
        <f t="shared" si="24"/>
        <v>9.1932610992308206E-2</v>
      </c>
      <c r="K40" s="11">
        <f t="shared" si="24"/>
        <v>1.5682213455135097E-2</v>
      </c>
      <c r="L40" s="11">
        <f t="shared" si="24"/>
        <v>2.7916082387863916E-2</v>
      </c>
      <c r="M40" s="11">
        <f t="shared" si="24"/>
        <v>-0.14712278452638905</v>
      </c>
      <c r="N40" s="11">
        <f t="shared" si="24"/>
        <v>-0.18204019630754842</v>
      </c>
      <c r="O40" s="11">
        <f>+O16/K16-1</f>
        <v>-9.9188591601318654E-2</v>
      </c>
      <c r="P40" s="77"/>
      <c r="Q40" s="77"/>
      <c r="R40" s="77"/>
      <c r="S40" s="77"/>
      <c r="T40" s="84" t="s">
        <v>120</v>
      </c>
      <c r="U40" s="11">
        <f t="shared" si="21"/>
        <v>0.13525440969891567</v>
      </c>
      <c r="V40" s="11">
        <f t="shared" si="21"/>
        <v>-4.008978600392854E-2</v>
      </c>
      <c r="W40" s="11">
        <f t="shared" si="21"/>
        <v>0.86386027409873312</v>
      </c>
      <c r="X40" s="11">
        <f t="shared" si="21"/>
        <v>0.66210167782291007</v>
      </c>
      <c r="Y40" s="11">
        <f t="shared" si="21"/>
        <v>5.5872529134865401E-2</v>
      </c>
      <c r="Z40" s="11">
        <f t="shared" si="22"/>
        <v>1.7199925842306119E-3</v>
      </c>
      <c r="AA40" s="11">
        <f t="shared" si="22"/>
        <v>-6.2169515963523603E-2</v>
      </c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</row>
    <row r="41" spans="2:60" x14ac:dyDescent="0.2">
      <c r="B41" s="5" t="s">
        <v>61</v>
      </c>
      <c r="D41" s="77"/>
      <c r="E41" s="77"/>
      <c r="F41" s="77"/>
      <c r="G41" s="11">
        <f t="shared" ref="G41:N41" si="25">+G17/C17-1</f>
        <v>-0.10570437407496247</v>
      </c>
      <c r="H41" s="11">
        <f t="shared" si="25"/>
        <v>8.9484695854320062E-2</v>
      </c>
      <c r="I41" s="11">
        <f t="shared" si="25"/>
        <v>4.448540579089455E-2</v>
      </c>
      <c r="J41" s="11">
        <f t="shared" si="25"/>
        <v>0.19967455367917908</v>
      </c>
      <c r="K41" s="11">
        <f t="shared" si="25"/>
        <v>0.14422712108327329</v>
      </c>
      <c r="L41" s="11">
        <f t="shared" si="25"/>
        <v>4.0082362480262645E-2</v>
      </c>
      <c r="M41" s="11">
        <f t="shared" si="25"/>
        <v>1.6121224382155352E-2</v>
      </c>
      <c r="N41" s="11">
        <f t="shared" si="25"/>
        <v>-1.4123697958919434E-2</v>
      </c>
      <c r="O41" s="11">
        <f>+O17/K17-1</f>
        <v>0.12119107238820481</v>
      </c>
      <c r="P41" s="77"/>
      <c r="Q41" s="77"/>
      <c r="R41" s="77"/>
      <c r="S41" s="77"/>
      <c r="T41" s="84" t="s">
        <v>120</v>
      </c>
      <c r="U41" s="11">
        <f t="shared" si="21"/>
        <v>0.12389226146255794</v>
      </c>
      <c r="V41" s="11">
        <f t="shared" si="21"/>
        <v>0.20870787594660323</v>
      </c>
      <c r="W41" s="11">
        <f t="shared" si="21"/>
        <v>0.64398613628230716</v>
      </c>
      <c r="X41" s="11">
        <f t="shared" si="21"/>
        <v>0.41621472174557961</v>
      </c>
      <c r="Y41" s="11">
        <f t="shared" si="21"/>
        <v>0.1786937193492828</v>
      </c>
      <c r="Z41" s="11">
        <f t="shared" si="22"/>
        <v>7.1622553135777256E-2</v>
      </c>
      <c r="AA41" s="11">
        <f t="shared" si="22"/>
        <v>3.2804243188475413E-2</v>
      </c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</row>
    <row r="42" spans="2:60" x14ac:dyDescent="0.2">
      <c r="B42" s="7" t="s">
        <v>37</v>
      </c>
      <c r="C42" s="85"/>
      <c r="D42" s="85"/>
      <c r="E42" s="85"/>
      <c r="F42" s="85"/>
      <c r="G42" s="85">
        <f t="shared" ref="G42:N42" si="26">G18/C18-1</f>
        <v>6.1602685468565843E-2</v>
      </c>
      <c r="H42" s="85">
        <f t="shared" si="26"/>
        <v>3.6494036090256365E-2</v>
      </c>
      <c r="I42" s="85">
        <f t="shared" si="26"/>
        <v>1.5762390780679647E-2</v>
      </c>
      <c r="J42" s="85">
        <f t="shared" si="26"/>
        <v>3.0909376865045912E-2</v>
      </c>
      <c r="K42" s="85">
        <f t="shared" si="26"/>
        <v>-1.3849928566330716E-3</v>
      </c>
      <c r="L42" s="85">
        <f t="shared" si="26"/>
        <v>3.4071913500830497E-2</v>
      </c>
      <c r="M42" s="85">
        <f t="shared" si="26"/>
        <v>-6.2040105441536486E-2</v>
      </c>
      <c r="N42" s="85">
        <f t="shared" si="26"/>
        <v>-3.2465019757055513E-2</v>
      </c>
      <c r="O42" s="85">
        <f>O18/K18-1</f>
        <v>-1.6937417118569331E-2</v>
      </c>
      <c r="P42" s="85"/>
      <c r="Q42" s="85"/>
      <c r="R42" s="85"/>
      <c r="S42" s="82"/>
      <c r="T42" s="86" t="s">
        <v>120</v>
      </c>
      <c r="U42" s="85">
        <f t="shared" ref="U42:Y42" si="27">+U18/T18-1</f>
        <v>0.1308466695153947</v>
      </c>
      <c r="V42" s="85">
        <f t="shared" si="27"/>
        <v>0.12624645191383332</v>
      </c>
      <c r="W42" s="85">
        <f t="shared" si="27"/>
        <v>0.6691903249104767</v>
      </c>
      <c r="X42" s="85">
        <f t="shared" si="27"/>
        <v>0.53668211856406289</v>
      </c>
      <c r="Y42" s="85">
        <f t="shared" si="27"/>
        <v>0.11458895044564188</v>
      </c>
      <c r="Z42" s="85">
        <f>+Z18/Y18-1</f>
        <v>3.5272276759203525E-2</v>
      </c>
      <c r="AA42" s="85">
        <f>+AA18/Z18-1</f>
        <v>-1.4982784461062493E-2</v>
      </c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</row>
    <row r="43" spans="2:60" x14ac:dyDescent="0.2">
      <c r="B43" s="5" t="s">
        <v>39</v>
      </c>
      <c r="C43" s="11">
        <f t="shared" ref="C43:N43" si="28">C20/C18</f>
        <v>0.53877891708118164</v>
      </c>
      <c r="D43" s="11">
        <f t="shared" si="28"/>
        <v>0.5793790745146018</v>
      </c>
      <c r="E43" s="11">
        <f t="shared" si="28"/>
        <v>0.55620784590859673</v>
      </c>
      <c r="F43" s="11">
        <f t="shared" si="28"/>
        <v>0.55275352386269305</v>
      </c>
      <c r="G43" s="11">
        <f t="shared" si="28"/>
        <v>0.55620993508645011</v>
      </c>
      <c r="H43" s="11">
        <f t="shared" si="28"/>
        <v>0.61350856768588813</v>
      </c>
      <c r="I43" s="11">
        <f t="shared" si="28"/>
        <v>0.59625211824515156</v>
      </c>
      <c r="J43" s="11">
        <f t="shared" si="28"/>
        <v>0.57884585657519483</v>
      </c>
      <c r="K43" s="11">
        <f t="shared" si="28"/>
        <v>0.57775518412346516</v>
      </c>
      <c r="L43" s="11">
        <f t="shared" si="28"/>
        <v>0.61671537438238067</v>
      </c>
      <c r="M43" s="11">
        <f t="shared" si="28"/>
        <v>0.58517255327456263</v>
      </c>
      <c r="N43" s="11">
        <f t="shared" si="28"/>
        <v>0.54682552942650686</v>
      </c>
      <c r="O43" s="11">
        <f>O20/O18</f>
        <v>0.56751969977980521</v>
      </c>
      <c r="P43" s="11"/>
      <c r="Q43" s="11"/>
      <c r="R43" s="11"/>
      <c r="S43" s="77"/>
      <c r="T43" s="11">
        <f t="shared" ref="T43" si="29">T20/T18</f>
        <v>0.5147504376473182</v>
      </c>
      <c r="U43" s="11">
        <f t="shared" ref="U43:Z43" si="30">U20/U18</f>
        <v>0.50142979847926972</v>
      </c>
      <c r="V43" s="11">
        <f t="shared" si="30"/>
        <v>0.54110715313889157</v>
      </c>
      <c r="W43" s="11">
        <f t="shared" si="30"/>
        <v>0.61390601603862005</v>
      </c>
      <c r="X43" s="11">
        <f t="shared" si="30"/>
        <v>0.52328828391680982</v>
      </c>
      <c r="Y43" s="11">
        <f t="shared" si="30"/>
        <v>0.55775276622668335</v>
      </c>
      <c r="Z43" s="11">
        <f t="shared" si="30"/>
        <v>0.58756571011782244</v>
      </c>
      <c r="AA43" s="11">
        <f t="shared" ref="AA43" si="31">AA20/AA18</f>
        <v>0.58333603504587261</v>
      </c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</row>
    <row r="44" spans="2:60" x14ac:dyDescent="0.2">
      <c r="B44" s="5" t="s">
        <v>38</v>
      </c>
      <c r="C44" s="11">
        <f t="shared" ref="C44:N44" si="32">C22/C18</f>
        <v>0.26570576113535244</v>
      </c>
      <c r="D44" s="11">
        <f t="shared" si="32"/>
        <v>0.29699627086622399</v>
      </c>
      <c r="E44" s="11">
        <f t="shared" si="32"/>
        <v>0.26187964812659648</v>
      </c>
      <c r="F44" s="11">
        <f t="shared" si="32"/>
        <v>0.21822170051567702</v>
      </c>
      <c r="G44" s="11">
        <f t="shared" si="32"/>
        <v>0.24123272887273298</v>
      </c>
      <c r="H44" s="11">
        <f t="shared" si="32"/>
        <v>0.29306110110463135</v>
      </c>
      <c r="I44" s="11">
        <f t="shared" si="32"/>
        <v>0.25402843155714561</v>
      </c>
      <c r="J44" s="11">
        <f t="shared" si="32"/>
        <v>0.20198065617065772</v>
      </c>
      <c r="K44" s="11">
        <f t="shared" si="32"/>
        <v>0.23788130792365147</v>
      </c>
      <c r="L44" s="11">
        <f t="shared" si="32"/>
        <v>-0.37195584027117401</v>
      </c>
      <c r="M44" s="11">
        <f t="shared" si="32"/>
        <v>0.20843098621802048</v>
      </c>
      <c r="N44" s="11">
        <f t="shared" si="32"/>
        <v>0.15287268702226312</v>
      </c>
      <c r="O44" s="11">
        <f>O22/O18</f>
        <v>0.21796350779255022</v>
      </c>
      <c r="P44" s="11"/>
      <c r="Q44" s="11"/>
      <c r="R44" s="11"/>
      <c r="S44" s="77"/>
      <c r="T44" s="11">
        <f t="shared" ref="T44" si="33">T22/T18</f>
        <v>5.7842042629835236E-2</v>
      </c>
      <c r="U44" s="11">
        <f t="shared" ref="U44:Z44" si="34">U22/U18</f>
        <v>0.10454228164795351</v>
      </c>
      <c r="V44" s="11">
        <f t="shared" si="34"/>
        <v>0.15449608247333413</v>
      </c>
      <c r="W44" s="11">
        <f t="shared" si="34"/>
        <v>0.29526207132655791</v>
      </c>
      <c r="X44" s="11">
        <f t="shared" si="34"/>
        <v>0.23931352734259081</v>
      </c>
      <c r="Y44" s="11">
        <f t="shared" si="34"/>
        <v>0.26165880979126765</v>
      </c>
      <c r="Z44" s="11">
        <f t="shared" si="34"/>
        <v>0.24911850199945984</v>
      </c>
      <c r="AA44" s="11">
        <f t="shared" ref="AA44" si="35">AA22/AA18</f>
        <v>3.7002737432891286E-2</v>
      </c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</row>
    <row r="45" spans="2:60" x14ac:dyDescent="0.2">
      <c r="B45" s="5" t="s">
        <v>40</v>
      </c>
      <c r="C45" s="11">
        <f t="shared" ref="C45:N45" si="36">C29/C18</f>
        <v>0.16913452903640272</v>
      </c>
      <c r="D45" s="11">
        <f t="shared" si="36"/>
        <v>0.19807771033610699</v>
      </c>
      <c r="E45" s="11">
        <f t="shared" si="36"/>
        <v>0.16928576278285623</v>
      </c>
      <c r="F45" s="11">
        <f t="shared" si="36"/>
        <v>0.26412539566314647</v>
      </c>
      <c r="G45" s="11">
        <f t="shared" si="36"/>
        <v>0.16242130843471303</v>
      </c>
      <c r="H45" s="11">
        <f t="shared" si="36"/>
        <v>0.20594384895393797</v>
      </c>
      <c r="I45" s="11">
        <f t="shared" si="36"/>
        <v>0.18807531538316705</v>
      </c>
      <c r="J45" s="11">
        <f t="shared" si="36"/>
        <v>0.37274849889823258</v>
      </c>
      <c r="K45" s="11">
        <f t="shared" si="36"/>
        <v>0.17080695974642951</v>
      </c>
      <c r="L45" s="11">
        <f t="shared" si="36"/>
        <v>-0.42830482358642502</v>
      </c>
      <c r="M45" s="11">
        <f t="shared" si="36"/>
        <v>0.14637544276277953</v>
      </c>
      <c r="N45" s="11">
        <f t="shared" si="36"/>
        <v>0.10981684140177944</v>
      </c>
      <c r="O45" s="11">
        <f>O29/O18</f>
        <v>0.14928097567222337</v>
      </c>
      <c r="P45" s="11"/>
      <c r="Q45" s="11"/>
      <c r="R45" s="11"/>
      <c r="S45" s="77"/>
      <c r="T45" s="11">
        <f t="shared" ref="T45" si="37">T29/T18</f>
        <v>-6.360566253601127E-2</v>
      </c>
      <c r="U45" s="11">
        <f t="shared" ref="U45:Z45" si="38">U29/U18</f>
        <v>9.7105216753223908E-2</v>
      </c>
      <c r="V45" s="11">
        <f t="shared" si="38"/>
        <v>0.22573741784521958</v>
      </c>
      <c r="W45" s="11">
        <f t="shared" si="38"/>
        <v>0.31368936672003661</v>
      </c>
      <c r="X45" s="11">
        <f t="shared" si="38"/>
        <v>0.15194410102996217</v>
      </c>
      <c r="Y45" s="11">
        <f t="shared" si="38"/>
        <v>0.20002437949023646</v>
      </c>
      <c r="Z45" s="11">
        <f t="shared" si="38"/>
        <v>0.2316055549975769</v>
      </c>
      <c r="AA45" s="11">
        <f t="shared" ref="AA45" si="39">AA29/AA18</f>
        <v>-2.0095296619576056E-2</v>
      </c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</row>
    <row r="46" spans="2:60" x14ac:dyDescent="0.2">
      <c r="B46" s="5" t="s">
        <v>41</v>
      </c>
      <c r="C46" s="11">
        <f t="shared" ref="C46:N46" si="40">C28/C27</f>
        <v>0.22017980246759064</v>
      </c>
      <c r="D46" s="11">
        <f t="shared" si="40"/>
        <v>0.23383902871859241</v>
      </c>
      <c r="E46" s="11">
        <f t="shared" si="40"/>
        <v>0.24155437972622687</v>
      </c>
      <c r="F46" s="11">
        <f t="shared" si="40"/>
        <v>-0.45857275148252302</v>
      </c>
      <c r="G46" s="11">
        <f t="shared" si="40"/>
        <v>0.21427209334687083</v>
      </c>
      <c r="H46" s="11">
        <f t="shared" si="40"/>
        <v>0.22777431053386188</v>
      </c>
      <c r="I46" s="11">
        <f t="shared" si="40"/>
        <v>0.18416332611316386</v>
      </c>
      <c r="J46" s="11">
        <f t="shared" si="40"/>
        <v>-1.1050636363740076</v>
      </c>
      <c r="K46" s="11">
        <f t="shared" si="40"/>
        <v>0.21877729470720556</v>
      </c>
      <c r="L46" s="11">
        <f t="shared" si="40"/>
        <v>-9.735692933904283E-2</v>
      </c>
      <c r="M46" s="11">
        <f t="shared" si="40"/>
        <v>0.23020808040285887</v>
      </c>
      <c r="N46" s="11">
        <f t="shared" si="40"/>
        <v>0.17334811111635137</v>
      </c>
      <c r="O46" s="11">
        <f>O28/O27</f>
        <v>0.23086041466305837</v>
      </c>
      <c r="P46" s="11"/>
      <c r="Q46" s="11"/>
      <c r="R46" s="11"/>
      <c r="S46" s="77"/>
      <c r="T46" s="11">
        <f t="shared" ref="T46" si="41">T28/T27</f>
        <v>2.0622956858050601</v>
      </c>
      <c r="U46" s="11">
        <f t="shared" ref="U46:Z46" si="42">U28/U27</f>
        <v>-1.466619734835151E-3</v>
      </c>
      <c r="V46" s="11">
        <f t="shared" si="42"/>
        <v>-0.51155914368124322</v>
      </c>
      <c r="W46" s="11">
        <f t="shared" si="42"/>
        <v>-9.3161246006245355E-2</v>
      </c>
      <c r="X46" s="11">
        <f t="shared" si="42"/>
        <v>0.24822131416769186</v>
      </c>
      <c r="Y46" s="11">
        <f t="shared" si="42"/>
        <v>9.5525133748425139E-2</v>
      </c>
      <c r="Z46" s="11">
        <f t="shared" si="42"/>
        <v>-4.3363332363260967E-2</v>
      </c>
      <c r="AA46" s="11">
        <f t="shared" ref="AA46" si="43">AA28/AA27</f>
        <v>2.1126366850283689</v>
      </c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</row>
    <row r="47" spans="2:60" x14ac:dyDescent="0.2"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</row>
    <row r="48" spans="2:60" x14ac:dyDescent="0.2">
      <c r="B48" s="5" t="s">
        <v>62</v>
      </c>
      <c r="C48" s="77"/>
      <c r="D48" s="77"/>
      <c r="E48" s="77"/>
      <c r="F48" s="77"/>
      <c r="G48" s="77"/>
      <c r="H48" s="77"/>
      <c r="I48" s="77"/>
      <c r="J48" s="77">
        <v>180.48500000000001</v>
      </c>
      <c r="K48" s="77"/>
      <c r="L48" s="77">
        <v>200.61099999999999</v>
      </c>
      <c r="M48" s="77"/>
      <c r="N48" s="77"/>
      <c r="O48" s="77"/>
      <c r="P48" s="77"/>
      <c r="Q48" s="77"/>
      <c r="R48" s="77"/>
      <c r="S48" s="77"/>
      <c r="T48" s="77">
        <v>123.367</v>
      </c>
      <c r="U48" s="77">
        <v>108.253</v>
      </c>
      <c r="V48" s="77">
        <v>135.80199999999999</v>
      </c>
      <c r="W48" s="77">
        <v>213.197</v>
      </c>
      <c r="X48" s="77">
        <v>191.62899999999999</v>
      </c>
      <c r="Y48" s="77">
        <v>149.28800000000001</v>
      </c>
      <c r="Z48" s="77">
        <v>180.48500000000001</v>
      </c>
      <c r="AA48" s="77">
        <v>130.35400000000001</v>
      </c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</row>
    <row r="49" spans="2:60" x14ac:dyDescent="0.2">
      <c r="B49" s="5" t="s">
        <v>63</v>
      </c>
      <c r="C49" s="77"/>
      <c r="D49" s="77"/>
      <c r="E49" s="77"/>
      <c r="F49" s="77"/>
      <c r="G49" s="77"/>
      <c r="H49" s="77"/>
      <c r="I49" s="77"/>
      <c r="J49" s="77">
        <v>0</v>
      </c>
      <c r="K49" s="77"/>
      <c r="L49" s="77">
        <v>0</v>
      </c>
      <c r="M49" s="77"/>
      <c r="N49" s="77"/>
      <c r="O49" s="77"/>
      <c r="P49" s="77"/>
      <c r="Q49" s="77"/>
      <c r="R49" s="77"/>
      <c r="S49" s="77"/>
      <c r="T49" s="77">
        <v>97.626999999999995</v>
      </c>
      <c r="U49" s="77">
        <v>1.5</v>
      </c>
      <c r="V49" s="77">
        <v>1.542</v>
      </c>
      <c r="W49" s="77">
        <v>6.5000000000000002E-2</v>
      </c>
      <c r="X49" s="77">
        <v>2E-3</v>
      </c>
      <c r="Y49" s="77">
        <v>2E-3</v>
      </c>
      <c r="Z49" s="77">
        <v>0</v>
      </c>
      <c r="AA49" s="77">
        <v>0</v>
      </c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</row>
    <row r="50" spans="2:60" x14ac:dyDescent="0.2">
      <c r="B50" s="5" t="s">
        <v>64</v>
      </c>
      <c r="C50" s="77"/>
      <c r="D50" s="77"/>
      <c r="E50" s="77"/>
      <c r="F50" s="77"/>
      <c r="G50" s="77"/>
      <c r="H50" s="77"/>
      <c r="I50" s="77"/>
      <c r="J50" s="77">
        <v>257.65699999999998</v>
      </c>
      <c r="K50" s="77"/>
      <c r="L50" s="77">
        <v>417.42599999999999</v>
      </c>
      <c r="M50" s="77"/>
      <c r="N50" s="77"/>
      <c r="O50" s="77"/>
      <c r="P50" s="77"/>
      <c r="Q50" s="77"/>
      <c r="R50" s="77"/>
      <c r="S50" s="77"/>
      <c r="T50" s="77">
        <v>124.491</v>
      </c>
      <c r="U50" s="77">
        <v>108.199</v>
      </c>
      <c r="V50" s="77">
        <v>149.84700000000001</v>
      </c>
      <c r="W50" s="77">
        <v>182.62899999999999</v>
      </c>
      <c r="X50" s="77">
        <v>295.59399999999999</v>
      </c>
      <c r="Y50" s="77">
        <v>305.74700000000001</v>
      </c>
      <c r="Z50" s="77">
        <v>257.65699999999998</v>
      </c>
      <c r="AA50" s="77">
        <v>278.19099999999997</v>
      </c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</row>
    <row r="51" spans="2:60" x14ac:dyDescent="0.2">
      <c r="B51" s="5" t="s">
        <v>65</v>
      </c>
      <c r="C51" s="77"/>
      <c r="D51" s="77"/>
      <c r="E51" s="77"/>
      <c r="F51" s="77"/>
      <c r="G51" s="77"/>
      <c r="H51" s="77"/>
      <c r="I51" s="77"/>
      <c r="J51" s="77">
        <v>356.25400000000002</v>
      </c>
      <c r="K51" s="77"/>
      <c r="L51" s="77">
        <v>405.13600000000002</v>
      </c>
      <c r="M51" s="77"/>
      <c r="N51" s="77"/>
      <c r="O51" s="77"/>
      <c r="P51" s="77"/>
      <c r="Q51" s="77"/>
      <c r="R51" s="77"/>
      <c r="S51" s="77"/>
      <c r="T51" s="77">
        <v>3.0409999999999999</v>
      </c>
      <c r="U51" s="77">
        <v>172.02799999999999</v>
      </c>
      <c r="V51" s="77">
        <v>175.12100000000001</v>
      </c>
      <c r="W51" s="77">
        <v>213.52</v>
      </c>
      <c r="X51" s="77">
        <v>471.55099999999999</v>
      </c>
      <c r="Y51" s="77">
        <v>385.05399999999997</v>
      </c>
      <c r="Z51" s="77">
        <v>356.25400000000002</v>
      </c>
      <c r="AA51" s="77">
        <v>368.68700000000001</v>
      </c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</row>
    <row r="52" spans="2:60" x14ac:dyDescent="0.2">
      <c r="B52" s="5" t="s">
        <v>66</v>
      </c>
      <c r="C52" s="77"/>
      <c r="D52" s="77"/>
      <c r="E52" s="77"/>
      <c r="F52" s="77"/>
      <c r="G52" s="77"/>
      <c r="H52" s="77"/>
      <c r="I52" s="77"/>
      <c r="J52" s="77">
        <v>4.0460000000000003</v>
      </c>
      <c r="K52" s="77"/>
      <c r="L52" s="77">
        <v>6.5</v>
      </c>
      <c r="M52" s="77"/>
      <c r="N52" s="77"/>
      <c r="O52" s="77"/>
      <c r="P52" s="77"/>
      <c r="Q52" s="77"/>
      <c r="R52" s="77"/>
      <c r="S52" s="77"/>
      <c r="T52" s="77">
        <v>7.7030000000000003</v>
      </c>
      <c r="U52" s="77">
        <v>1.341</v>
      </c>
      <c r="V52" s="77">
        <v>1.857</v>
      </c>
      <c r="W52" s="77">
        <v>22.300999999999998</v>
      </c>
      <c r="X52" s="77">
        <v>14.752000000000001</v>
      </c>
      <c r="Y52" s="77">
        <v>4.4130000000000003</v>
      </c>
      <c r="Z52" s="77">
        <v>4.0460000000000003</v>
      </c>
      <c r="AA52" s="77">
        <v>32.781999999999996</v>
      </c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</row>
    <row r="53" spans="2:60" x14ac:dyDescent="0.2">
      <c r="B53" s="5" t="s">
        <v>67</v>
      </c>
      <c r="C53" s="77"/>
      <c r="D53" s="77"/>
      <c r="E53" s="77"/>
      <c r="F53" s="77"/>
      <c r="G53" s="77"/>
      <c r="H53" s="77"/>
      <c r="I53" s="77"/>
      <c r="J53" s="77">
        <v>22.204000000000001</v>
      </c>
      <c r="K53" s="77"/>
      <c r="L53" s="77">
        <v>22.192</v>
      </c>
      <c r="M53" s="77"/>
      <c r="N53" s="77"/>
      <c r="O53" s="77"/>
      <c r="P53" s="77"/>
      <c r="Q53" s="77"/>
      <c r="R53" s="77"/>
      <c r="S53" s="77"/>
      <c r="T53" s="77">
        <v>1.946</v>
      </c>
      <c r="U53" s="77">
        <v>8.7110000000000003</v>
      </c>
      <c r="V53" s="77">
        <v>10.816000000000001</v>
      </c>
      <c r="W53" s="77">
        <v>12.252000000000001</v>
      </c>
      <c r="X53" s="77">
        <v>18.841999999999999</v>
      </c>
      <c r="Y53" s="77">
        <v>21.071000000000002</v>
      </c>
      <c r="Z53" s="77">
        <v>22.204000000000001</v>
      </c>
      <c r="AA53" s="77">
        <v>22.082000000000001</v>
      </c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</row>
    <row r="54" spans="2:60" x14ac:dyDescent="0.2">
      <c r="B54" s="5" t="s">
        <v>68</v>
      </c>
      <c r="C54" s="77"/>
      <c r="D54" s="77"/>
      <c r="E54" s="77"/>
      <c r="F54" s="77"/>
      <c r="G54" s="77"/>
      <c r="H54" s="77"/>
      <c r="I54" s="77"/>
      <c r="J54" s="77">
        <v>51.622999999999998</v>
      </c>
      <c r="K54" s="77"/>
      <c r="L54" s="77">
        <v>49.942</v>
      </c>
      <c r="M54" s="77"/>
      <c r="N54" s="77"/>
      <c r="O54" s="77"/>
      <c r="P54" s="77"/>
      <c r="Q54" s="77"/>
      <c r="R54" s="77"/>
      <c r="S54" s="77"/>
      <c r="T54" s="77">
        <v>22.123000000000001</v>
      </c>
      <c r="U54" s="77">
        <v>25.35</v>
      </c>
      <c r="V54" s="77">
        <v>17.856000000000002</v>
      </c>
      <c r="W54" s="77">
        <v>22.605</v>
      </c>
      <c r="X54" s="77">
        <v>33.604999999999997</v>
      </c>
      <c r="Y54" s="77">
        <v>45.128999999999998</v>
      </c>
      <c r="Z54" s="77">
        <v>51.622999999999998</v>
      </c>
      <c r="AA54" s="77">
        <v>53.786999999999999</v>
      </c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</row>
    <row r="55" spans="2:60" x14ac:dyDescent="0.2">
      <c r="B55" s="5" t="s">
        <v>69</v>
      </c>
      <c r="C55" s="77">
        <f t="shared" ref="C55:M55" si="44">+SUM(C48:C54)</f>
        <v>0</v>
      </c>
      <c r="D55" s="77">
        <f t="shared" si="44"/>
        <v>0</v>
      </c>
      <c r="E55" s="77">
        <f t="shared" si="44"/>
        <v>0</v>
      </c>
      <c r="F55" s="77">
        <f t="shared" si="44"/>
        <v>0</v>
      </c>
      <c r="G55" s="77">
        <f t="shared" si="44"/>
        <v>0</v>
      </c>
      <c r="H55" s="77">
        <f t="shared" si="44"/>
        <v>0</v>
      </c>
      <c r="I55" s="77">
        <f t="shared" si="44"/>
        <v>0</v>
      </c>
      <c r="J55" s="77">
        <f t="shared" ref="J55" si="45">+SUM(J48:J54)</f>
        <v>872.26900000000001</v>
      </c>
      <c r="K55" s="77">
        <f t="shared" si="44"/>
        <v>0</v>
      </c>
      <c r="L55" s="77">
        <f t="shared" si="44"/>
        <v>1101.807</v>
      </c>
      <c r="M55" s="77">
        <f t="shared" si="44"/>
        <v>0</v>
      </c>
      <c r="N55" s="77"/>
      <c r="O55" s="77"/>
      <c r="P55" s="77"/>
      <c r="Q55" s="77"/>
      <c r="R55" s="77"/>
      <c r="S55" s="77"/>
      <c r="T55" s="77">
        <f t="shared" ref="T55:V55" si="46">+SUM(T48:T54)</f>
        <v>380.298</v>
      </c>
      <c r="U55" s="77">
        <f t="shared" si="46"/>
        <v>425.38200000000006</v>
      </c>
      <c r="V55" s="77">
        <f t="shared" si="46"/>
        <v>492.84100000000001</v>
      </c>
      <c r="W55" s="77">
        <f t="shared" ref="W55:Y55" si="47">+SUM(W48:W54)</f>
        <v>666.56899999999996</v>
      </c>
      <c r="X55" s="77">
        <f t="shared" si="47"/>
        <v>1025.9749999999999</v>
      </c>
      <c r="Y55" s="77">
        <f t="shared" si="47"/>
        <v>910.70400000000006</v>
      </c>
      <c r="Z55" s="77">
        <f>+SUM(Z48:Z54)</f>
        <v>872.26900000000001</v>
      </c>
      <c r="AA55" s="77">
        <f>+SUM(AA48:AA54)</f>
        <v>885.88300000000004</v>
      </c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</row>
    <row r="56" spans="2:60" x14ac:dyDescent="0.2">
      <c r="B56" s="5" t="s">
        <v>72</v>
      </c>
      <c r="C56" s="77"/>
      <c r="D56" s="77"/>
      <c r="E56" s="77"/>
      <c r="F56" s="77"/>
      <c r="G56" s="77"/>
      <c r="H56" s="77"/>
      <c r="I56" s="77"/>
      <c r="J56" s="77">
        <v>244.33500000000001</v>
      </c>
      <c r="K56" s="77"/>
      <c r="L56" s="77">
        <v>249.14500000000001</v>
      </c>
      <c r="M56" s="77"/>
      <c r="N56" s="77"/>
      <c r="O56" s="77"/>
      <c r="P56" s="77"/>
      <c r="Q56" s="77"/>
      <c r="R56" s="77"/>
      <c r="S56" s="77"/>
      <c r="T56" s="77">
        <v>22.210999999999999</v>
      </c>
      <c r="U56" s="77">
        <v>47.405000000000001</v>
      </c>
      <c r="V56" s="77">
        <v>57.466999999999999</v>
      </c>
      <c r="W56" s="77">
        <v>108.398</v>
      </c>
      <c r="X56" s="77">
        <v>181.529</v>
      </c>
      <c r="Y56" s="77">
        <v>238.315</v>
      </c>
      <c r="Z56" s="77">
        <v>244.33500000000001</v>
      </c>
      <c r="AA56" s="77">
        <v>238.191</v>
      </c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</row>
    <row r="57" spans="2:60" x14ac:dyDescent="0.2">
      <c r="B57" s="5" t="s">
        <v>73</v>
      </c>
      <c r="C57" s="77"/>
      <c r="D57" s="77"/>
      <c r="E57" s="77"/>
      <c r="F57" s="77"/>
      <c r="G57" s="77"/>
      <c r="H57" s="77"/>
      <c r="I57" s="77"/>
      <c r="J57" s="77">
        <v>1777.08</v>
      </c>
      <c r="K57" s="77"/>
      <c r="L57" s="77">
        <v>1335.462</v>
      </c>
      <c r="M57" s="77"/>
      <c r="N57" s="77"/>
      <c r="O57" s="77"/>
      <c r="P57" s="77"/>
      <c r="Q57" s="77"/>
      <c r="R57" s="77"/>
      <c r="S57" s="77"/>
      <c r="T57" s="77">
        <v>45.69</v>
      </c>
      <c r="U57" s="77">
        <v>47.094999999999999</v>
      </c>
      <c r="V57" s="77">
        <v>37.636000000000003</v>
      </c>
      <c r="W57" s="77">
        <v>28.802</v>
      </c>
      <c r="X57" s="77">
        <v>1800.1669999999999</v>
      </c>
      <c r="Y57" s="77">
        <v>1792.5619999999999</v>
      </c>
      <c r="Z57" s="77">
        <v>1777.08</v>
      </c>
      <c r="AA57" s="77">
        <v>1324.68</v>
      </c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</row>
    <row r="58" spans="2:60" x14ac:dyDescent="0.2">
      <c r="B58" s="5" t="s">
        <v>74</v>
      </c>
      <c r="C58" s="77"/>
      <c r="D58" s="77"/>
      <c r="E58" s="77"/>
      <c r="F58" s="77"/>
      <c r="G58" s="77"/>
      <c r="H58" s="77"/>
      <c r="I58" s="77"/>
      <c r="J58" s="77">
        <v>711.49099999999999</v>
      </c>
      <c r="K58" s="77"/>
      <c r="L58" s="77">
        <v>404.69499999999999</v>
      </c>
      <c r="M58" s="77"/>
      <c r="N58" s="77"/>
      <c r="O58" s="77"/>
      <c r="P58" s="77"/>
      <c r="Q58" s="77"/>
      <c r="R58" s="77"/>
      <c r="S58" s="77"/>
      <c r="T58" s="77">
        <v>1.6140000000000001</v>
      </c>
      <c r="U58" s="77">
        <v>1.5780000000000001</v>
      </c>
      <c r="V58" s="77">
        <v>1.7190000000000001</v>
      </c>
      <c r="W58" s="77">
        <v>1.6</v>
      </c>
      <c r="X58" s="77">
        <v>714.81399999999996</v>
      </c>
      <c r="Y58" s="77">
        <v>711.58799999999997</v>
      </c>
      <c r="Z58" s="77">
        <v>711.49099999999999</v>
      </c>
      <c r="AA58" s="77">
        <v>404.68900000000002</v>
      </c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</row>
    <row r="59" spans="2:60" x14ac:dyDescent="0.2">
      <c r="B59" s="5" t="s">
        <v>75</v>
      </c>
      <c r="C59" s="77"/>
      <c r="D59" s="77"/>
      <c r="E59" s="77"/>
      <c r="F59" s="77"/>
      <c r="G59" s="77"/>
      <c r="H59" s="77"/>
      <c r="I59" s="77"/>
      <c r="J59" s="77">
        <v>872.35</v>
      </c>
      <c r="K59" s="77"/>
      <c r="L59" s="77">
        <v>971.97400000000005</v>
      </c>
      <c r="M59" s="77"/>
      <c r="N59" s="77"/>
      <c r="O59" s="77"/>
      <c r="P59" s="77"/>
      <c r="Q59" s="77"/>
      <c r="R59" s="77"/>
      <c r="S59" s="77"/>
      <c r="T59" s="77">
        <v>8.6630000000000003</v>
      </c>
      <c r="U59" s="77">
        <v>24.747</v>
      </c>
      <c r="V59" s="77">
        <v>350.78399999999999</v>
      </c>
      <c r="W59" s="77">
        <v>567.20100000000002</v>
      </c>
      <c r="X59" s="77">
        <v>528.27800000000002</v>
      </c>
      <c r="Y59" s="77">
        <v>667.97199999999998</v>
      </c>
      <c r="Z59" s="77">
        <v>872.35</v>
      </c>
      <c r="AA59" s="77">
        <v>935.05399999999997</v>
      </c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</row>
    <row r="60" spans="2:60" x14ac:dyDescent="0.2">
      <c r="B60" s="5" t="s">
        <v>63</v>
      </c>
      <c r="C60" s="77"/>
      <c r="D60" s="77"/>
      <c r="E60" s="77"/>
      <c r="F60" s="77"/>
      <c r="G60" s="77"/>
      <c r="H60" s="77"/>
      <c r="I60" s="77"/>
      <c r="J60" s="77">
        <v>3.1930000000000001</v>
      </c>
      <c r="K60" s="77"/>
      <c r="L60" s="77">
        <v>3.57</v>
      </c>
      <c r="M60" s="77"/>
      <c r="N60" s="77"/>
      <c r="O60" s="77"/>
      <c r="P60" s="77"/>
      <c r="Q60" s="77"/>
      <c r="R60" s="77"/>
      <c r="S60" s="77"/>
      <c r="T60" s="77">
        <v>2.2170000000000001</v>
      </c>
      <c r="U60" s="77">
        <v>2.2919999999999998</v>
      </c>
      <c r="V60" s="77">
        <v>1.929</v>
      </c>
      <c r="W60" s="77">
        <v>3.6629999999999998</v>
      </c>
      <c r="X60" s="77">
        <v>3.254</v>
      </c>
      <c r="Y60" s="77">
        <v>3.8069999999999999</v>
      </c>
      <c r="Z60" s="77">
        <v>3.1930000000000001</v>
      </c>
      <c r="AA60" s="77">
        <v>3.5569999999999999</v>
      </c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</row>
    <row r="61" spans="2:60" x14ac:dyDescent="0.2">
      <c r="B61" s="5" t="s">
        <v>76</v>
      </c>
      <c r="C61" s="77"/>
      <c r="D61" s="77"/>
      <c r="E61" s="77"/>
      <c r="F61" s="77"/>
      <c r="G61" s="77"/>
      <c r="H61" s="77"/>
      <c r="I61" s="77"/>
      <c r="J61" s="77">
        <v>307.22800000000001</v>
      </c>
      <c r="K61" s="77"/>
      <c r="L61" s="77">
        <v>349.26799999999997</v>
      </c>
      <c r="M61" s="77"/>
      <c r="N61" s="77"/>
      <c r="O61" s="77"/>
      <c r="P61" s="77"/>
      <c r="Q61" s="77"/>
      <c r="R61" s="77"/>
      <c r="S61" s="77"/>
      <c r="T61" s="77">
        <v>0</v>
      </c>
      <c r="U61" s="77">
        <v>182.22800000000001</v>
      </c>
      <c r="V61" s="77">
        <v>167.42099999999999</v>
      </c>
      <c r="W61" s="77">
        <v>160.768</v>
      </c>
      <c r="X61" s="77">
        <v>239.905</v>
      </c>
      <c r="Y61" s="77">
        <v>287.44</v>
      </c>
      <c r="Z61" s="77">
        <v>307.22800000000001</v>
      </c>
      <c r="AA61" s="77">
        <v>338.66899999999998</v>
      </c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</row>
    <row r="62" spans="2:60" x14ac:dyDescent="0.2">
      <c r="B62" s="5" t="s">
        <v>77</v>
      </c>
      <c r="C62" s="77"/>
      <c r="D62" s="77"/>
      <c r="E62" s="77"/>
      <c r="F62" s="77"/>
      <c r="G62" s="77"/>
      <c r="H62" s="77"/>
      <c r="I62" s="77"/>
      <c r="J62" s="77">
        <v>24.207000000000001</v>
      </c>
      <c r="K62" s="77"/>
      <c r="L62" s="77">
        <v>34.645000000000003</v>
      </c>
      <c r="M62" s="77"/>
      <c r="N62" s="77"/>
      <c r="O62" s="77"/>
      <c r="P62" s="77"/>
      <c r="Q62" s="77"/>
      <c r="R62" s="77"/>
      <c r="S62" s="77"/>
      <c r="T62" s="77">
        <v>8.2080000000000002</v>
      </c>
      <c r="U62" s="77">
        <v>8.0749999999999993</v>
      </c>
      <c r="V62" s="77">
        <v>8.9260000000000002</v>
      </c>
      <c r="W62" s="77">
        <v>8.0670000000000002</v>
      </c>
      <c r="X62" s="77">
        <v>7.875</v>
      </c>
      <c r="Y62" s="77">
        <v>31.446000000000002</v>
      </c>
      <c r="Z62" s="77">
        <v>24.207000000000001</v>
      </c>
      <c r="AA62" s="77">
        <v>44.027000000000001</v>
      </c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</row>
    <row r="63" spans="2:60" x14ac:dyDescent="0.2">
      <c r="B63" s="5" t="s">
        <v>71</v>
      </c>
      <c r="C63" s="77"/>
      <c r="D63" s="77"/>
      <c r="E63" s="77"/>
      <c r="F63" s="77">
        <f t="shared" ref="F63:M63" si="48">+SUM(F56:F62)</f>
        <v>0</v>
      </c>
      <c r="G63" s="77">
        <f t="shared" si="48"/>
        <v>0</v>
      </c>
      <c r="H63" s="77">
        <f t="shared" si="48"/>
        <v>0</v>
      </c>
      <c r="I63" s="77">
        <f t="shared" si="48"/>
        <v>0</v>
      </c>
      <c r="J63" s="77">
        <f t="shared" ref="J63" si="49">+SUM(J56:J62)</f>
        <v>3939.884</v>
      </c>
      <c r="K63" s="77">
        <f t="shared" si="48"/>
        <v>0</v>
      </c>
      <c r="L63" s="77">
        <f t="shared" si="48"/>
        <v>3348.759</v>
      </c>
      <c r="M63" s="77">
        <f t="shared" si="48"/>
        <v>0</v>
      </c>
      <c r="N63" s="77"/>
      <c r="O63" s="77"/>
      <c r="P63" s="77"/>
      <c r="Q63" s="77"/>
      <c r="R63" s="77"/>
      <c r="S63" s="77"/>
      <c r="T63" s="77">
        <f t="shared" ref="T63:V63" si="50">+SUM(T56:T62)</f>
        <v>88.602999999999994</v>
      </c>
      <c r="U63" s="77">
        <f t="shared" si="50"/>
        <v>313.42</v>
      </c>
      <c r="V63" s="77">
        <f t="shared" si="50"/>
        <v>625.88199999999995</v>
      </c>
      <c r="W63" s="77">
        <f t="shared" ref="W63:X63" si="51">+SUM(W56:W62)</f>
        <v>878.49900000000002</v>
      </c>
      <c r="X63" s="77">
        <f t="shared" si="51"/>
        <v>3475.8219999999997</v>
      </c>
      <c r="Y63" s="77">
        <f>+SUM(Y56:Y62)</f>
        <v>3733.1299999999997</v>
      </c>
      <c r="Z63" s="77">
        <f>+SUM(Z56:Z62)</f>
        <v>3939.884</v>
      </c>
      <c r="AA63" s="77">
        <f>+SUM(AA56:AA62)</f>
        <v>3288.8669999999997</v>
      </c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</row>
    <row r="64" spans="2:60" x14ac:dyDescent="0.2">
      <c r="B64" s="7" t="s">
        <v>70</v>
      </c>
      <c r="C64" s="82">
        <f t="shared" ref="C64:M64" si="52">+C63+C55</f>
        <v>0</v>
      </c>
      <c r="D64" s="82">
        <f t="shared" si="52"/>
        <v>0</v>
      </c>
      <c r="E64" s="82">
        <f t="shared" si="52"/>
        <v>0</v>
      </c>
      <c r="F64" s="82">
        <f t="shared" si="52"/>
        <v>0</v>
      </c>
      <c r="G64" s="82">
        <f t="shared" si="52"/>
        <v>0</v>
      </c>
      <c r="H64" s="82">
        <f t="shared" si="52"/>
        <v>0</v>
      </c>
      <c r="I64" s="82">
        <f t="shared" si="52"/>
        <v>0</v>
      </c>
      <c r="J64" s="82">
        <f t="shared" ref="J64" si="53">+J63+J55</f>
        <v>4812.1530000000002</v>
      </c>
      <c r="K64" s="82">
        <f t="shared" si="52"/>
        <v>0</v>
      </c>
      <c r="L64" s="82">
        <f t="shared" si="52"/>
        <v>4450.5659999999998</v>
      </c>
      <c r="M64" s="82">
        <f t="shared" si="52"/>
        <v>0</v>
      </c>
      <c r="N64" s="77"/>
      <c r="O64" s="77"/>
      <c r="P64" s="77"/>
      <c r="Q64" s="77"/>
      <c r="R64" s="77"/>
      <c r="S64" s="77"/>
      <c r="T64" s="82">
        <f t="shared" ref="T64:V64" si="54">+T63+T55</f>
        <v>468.90100000000001</v>
      </c>
      <c r="U64" s="82">
        <f t="shared" si="54"/>
        <v>738.80200000000013</v>
      </c>
      <c r="V64" s="82">
        <f t="shared" si="54"/>
        <v>1118.723</v>
      </c>
      <c r="W64" s="82">
        <f t="shared" ref="W64:Y64" si="55">+W63+W55</f>
        <v>1545.068</v>
      </c>
      <c r="X64" s="82">
        <f t="shared" si="55"/>
        <v>4501.7969999999996</v>
      </c>
      <c r="Y64" s="82">
        <f t="shared" si="55"/>
        <v>4643.8339999999998</v>
      </c>
      <c r="Z64" s="82">
        <f>+Z63+Z55</f>
        <v>4812.1530000000002</v>
      </c>
      <c r="AA64" s="82">
        <f>+AA63+AA55</f>
        <v>4174.75</v>
      </c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</row>
    <row r="65" spans="2:60" x14ac:dyDescent="0.2"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</row>
    <row r="66" spans="2:60" x14ac:dyDescent="0.2">
      <c r="B66" s="5" t="s">
        <v>79</v>
      </c>
      <c r="C66" s="77"/>
      <c r="D66" s="77"/>
      <c r="E66" s="77"/>
      <c r="F66" s="77"/>
      <c r="G66" s="77"/>
      <c r="H66" s="77"/>
      <c r="I66" s="77"/>
      <c r="J66" s="77">
        <v>264.90100000000001</v>
      </c>
      <c r="K66" s="77"/>
      <c r="L66" s="77">
        <v>263.339</v>
      </c>
      <c r="M66" s="77"/>
      <c r="N66" s="77"/>
      <c r="O66" s="77"/>
      <c r="P66" s="77"/>
      <c r="Q66" s="77"/>
      <c r="R66" s="77"/>
      <c r="S66" s="77"/>
      <c r="T66" s="77">
        <v>77.230999999999995</v>
      </c>
      <c r="U66" s="77">
        <v>95.754000000000005</v>
      </c>
      <c r="V66" s="77">
        <v>112.77800000000001</v>
      </c>
      <c r="W66" s="77">
        <v>162.14500000000001</v>
      </c>
      <c r="X66" s="77">
        <v>230.821</v>
      </c>
      <c r="Y66" s="77">
        <v>260.97800000000001</v>
      </c>
      <c r="Z66" s="77">
        <v>264.90100000000001</v>
      </c>
      <c r="AA66" s="77">
        <v>266.08999999999997</v>
      </c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</row>
    <row r="67" spans="2:60" x14ac:dyDescent="0.2">
      <c r="B67" s="5" t="s">
        <v>80</v>
      </c>
      <c r="C67" s="77"/>
      <c r="D67" s="77"/>
      <c r="E67" s="77"/>
      <c r="F67" s="77"/>
      <c r="G67" s="77"/>
      <c r="H67" s="77"/>
      <c r="I67" s="77"/>
      <c r="J67" s="77">
        <v>298.06799999999998</v>
      </c>
      <c r="K67" s="77"/>
      <c r="L67" s="77">
        <v>272.57100000000003</v>
      </c>
      <c r="M67" s="77"/>
      <c r="N67" s="77"/>
      <c r="O67" s="77"/>
      <c r="P67" s="77"/>
      <c r="Q67" s="77"/>
      <c r="R67" s="77"/>
      <c r="S67" s="77"/>
      <c r="T67" s="77">
        <v>102.17100000000001</v>
      </c>
      <c r="U67" s="77">
        <v>108.67700000000001</v>
      </c>
      <c r="V67" s="77">
        <v>126.70399999999999</v>
      </c>
      <c r="W67" s="77">
        <v>166.887</v>
      </c>
      <c r="X67" s="77">
        <v>239.42400000000001</v>
      </c>
      <c r="Y67" s="77">
        <v>285.77100000000002</v>
      </c>
      <c r="Z67" s="77">
        <v>298.06799999999998</v>
      </c>
      <c r="AA67" s="77">
        <v>300.959</v>
      </c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</row>
    <row r="68" spans="2:60" x14ac:dyDescent="0.2">
      <c r="B68" s="5" t="s">
        <v>81</v>
      </c>
      <c r="C68" s="77"/>
      <c r="D68" s="77"/>
      <c r="E68" s="77"/>
      <c r="F68" s="77"/>
      <c r="G68" s="77"/>
      <c r="H68" s="77"/>
      <c r="I68" s="77"/>
      <c r="J68" s="77">
        <v>108.688</v>
      </c>
      <c r="K68" s="77"/>
      <c r="L68" s="77">
        <v>96.021000000000001</v>
      </c>
      <c r="M68" s="77"/>
      <c r="N68" s="77"/>
      <c r="O68" s="77"/>
      <c r="P68" s="77"/>
      <c r="Q68" s="77"/>
      <c r="R68" s="77"/>
      <c r="S68" s="77"/>
      <c r="T68" s="77">
        <v>5.0890000000000004</v>
      </c>
      <c r="U68" s="77">
        <v>4.2069999999999999</v>
      </c>
      <c r="V68" s="77">
        <v>5.0380000000000003</v>
      </c>
      <c r="W68" s="77">
        <v>16.279</v>
      </c>
      <c r="X68" s="77">
        <v>89.210999999999999</v>
      </c>
      <c r="Y68" s="77">
        <v>65.951999999999998</v>
      </c>
      <c r="Z68" s="77">
        <v>108.688</v>
      </c>
      <c r="AA68" s="77">
        <v>47.308</v>
      </c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</row>
    <row r="69" spans="2:60" x14ac:dyDescent="0.2">
      <c r="B69" s="5" t="s">
        <v>82</v>
      </c>
      <c r="C69" s="77"/>
      <c r="D69" s="77"/>
      <c r="E69" s="77"/>
      <c r="F69" s="77"/>
      <c r="G69" s="77"/>
      <c r="H69" s="77"/>
      <c r="I69" s="77"/>
      <c r="J69" s="77">
        <v>0</v>
      </c>
      <c r="K69" s="77"/>
      <c r="L69" s="77">
        <v>0</v>
      </c>
      <c r="M69" s="77"/>
      <c r="N69" s="77"/>
      <c r="O69" s="77"/>
      <c r="P69" s="77"/>
      <c r="Q69" s="77"/>
      <c r="R69" s="77"/>
      <c r="S69" s="77"/>
      <c r="T69" s="77">
        <v>0</v>
      </c>
      <c r="U69" s="77">
        <v>0</v>
      </c>
      <c r="V69" s="77">
        <v>0</v>
      </c>
      <c r="W69" s="77">
        <v>0</v>
      </c>
      <c r="X69" s="77">
        <v>24.361999999999998</v>
      </c>
      <c r="Y69" s="77">
        <v>23.327999999999999</v>
      </c>
      <c r="Z69" s="77">
        <v>0</v>
      </c>
      <c r="AA69" s="77">
        <v>0</v>
      </c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</row>
    <row r="70" spans="2:60" x14ac:dyDescent="0.2">
      <c r="B70" s="5" t="s">
        <v>83</v>
      </c>
      <c r="C70" s="77"/>
      <c r="D70" s="77"/>
      <c r="E70" s="77"/>
      <c r="F70" s="77"/>
      <c r="G70" s="77"/>
      <c r="H70" s="77"/>
      <c r="I70" s="77"/>
      <c r="J70" s="77">
        <v>68.551000000000002</v>
      </c>
      <c r="K70" s="77"/>
      <c r="L70" s="77">
        <v>82.918000000000006</v>
      </c>
      <c r="M70" s="77"/>
      <c r="N70" s="77"/>
      <c r="O70" s="77"/>
      <c r="P70" s="77"/>
      <c r="Q70" s="77"/>
      <c r="R70" s="77"/>
      <c r="S70" s="77"/>
      <c r="T70" s="77">
        <v>0</v>
      </c>
      <c r="U70" s="77">
        <v>48.585000000000001</v>
      </c>
      <c r="V70" s="77">
        <v>47.064</v>
      </c>
      <c r="W70" s="77">
        <v>42.932000000000002</v>
      </c>
      <c r="X70" s="77">
        <v>57.456000000000003</v>
      </c>
      <c r="Y70" s="77">
        <v>62.267000000000003</v>
      </c>
      <c r="Z70" s="77">
        <v>68.551000000000002</v>
      </c>
      <c r="AA70" s="77">
        <v>85.772000000000006</v>
      </c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</row>
    <row r="71" spans="2:60" x14ac:dyDescent="0.2">
      <c r="B71" s="5" t="s">
        <v>78</v>
      </c>
      <c r="C71" s="77">
        <f t="shared" ref="C71:M71" si="56">+SUM(C66:C70)</f>
        <v>0</v>
      </c>
      <c r="D71" s="77">
        <f t="shared" si="56"/>
        <v>0</v>
      </c>
      <c r="E71" s="77">
        <f t="shared" si="56"/>
        <v>0</v>
      </c>
      <c r="F71" s="77">
        <f t="shared" si="56"/>
        <v>0</v>
      </c>
      <c r="G71" s="77">
        <f t="shared" si="56"/>
        <v>0</v>
      </c>
      <c r="H71" s="77">
        <f t="shared" si="56"/>
        <v>0</v>
      </c>
      <c r="I71" s="77">
        <f t="shared" si="56"/>
        <v>0</v>
      </c>
      <c r="J71" s="77">
        <f t="shared" ref="J71" si="57">+SUM(J66:J70)</f>
        <v>740.20800000000008</v>
      </c>
      <c r="K71" s="77">
        <f t="shared" si="56"/>
        <v>0</v>
      </c>
      <c r="L71" s="77">
        <f t="shared" si="56"/>
        <v>714.84900000000005</v>
      </c>
      <c r="M71" s="77">
        <f t="shared" si="56"/>
        <v>0</v>
      </c>
      <c r="N71" s="77"/>
      <c r="O71" s="77"/>
      <c r="P71" s="77"/>
      <c r="Q71" s="77"/>
      <c r="R71" s="77"/>
      <c r="S71" s="77"/>
      <c r="T71" s="77">
        <f t="shared" ref="T71:W71" si="58">+SUM(T66:T70)</f>
        <v>184.49099999999999</v>
      </c>
      <c r="U71" s="77">
        <f t="shared" si="58"/>
        <v>257.22300000000001</v>
      </c>
      <c r="V71" s="77">
        <f t="shared" si="58"/>
        <v>291.584</v>
      </c>
      <c r="W71" s="77">
        <f t="shared" si="58"/>
        <v>388.24300000000005</v>
      </c>
      <c r="X71" s="77">
        <f t="shared" ref="X71:Y71" si="59">+SUM(X66:X70)</f>
        <v>641.274</v>
      </c>
      <c r="Y71" s="77">
        <f t="shared" si="59"/>
        <v>698.29600000000005</v>
      </c>
      <c r="Z71" s="77">
        <f>+SUM(Z66:Z70)</f>
        <v>740.20800000000008</v>
      </c>
      <c r="AA71" s="77">
        <f>+SUM(AA66:AA70)</f>
        <v>700.12900000000002</v>
      </c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</row>
    <row r="72" spans="2:60" x14ac:dyDescent="0.2">
      <c r="B72" s="5" t="s">
        <v>94</v>
      </c>
      <c r="C72" s="77"/>
      <c r="D72" s="77"/>
      <c r="E72" s="77"/>
      <c r="F72" s="77"/>
      <c r="G72" s="77"/>
      <c r="H72" s="77"/>
      <c r="I72" s="77"/>
      <c r="J72" s="77">
        <v>4.0860000000000003</v>
      </c>
      <c r="K72" s="77"/>
      <c r="L72" s="77">
        <v>1.139</v>
      </c>
      <c r="M72" s="77"/>
      <c r="N72" s="77"/>
      <c r="O72" s="77"/>
      <c r="P72" s="77"/>
      <c r="Q72" s="77"/>
      <c r="R72" s="77"/>
      <c r="S72" s="77"/>
      <c r="T72" s="77">
        <v>4.6559999999999997</v>
      </c>
      <c r="U72" s="77">
        <v>4.5519999999999996</v>
      </c>
      <c r="V72" s="77">
        <v>205.97399999999999</v>
      </c>
      <c r="W72" s="77">
        <v>0.17599999999999999</v>
      </c>
      <c r="X72" s="77">
        <v>302.02999999999997</v>
      </c>
      <c r="Y72" s="77">
        <v>12.912000000000001</v>
      </c>
      <c r="Z72" s="77">
        <v>4.0860000000000003</v>
      </c>
      <c r="AA72" s="77">
        <v>0.88200000000000001</v>
      </c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</row>
    <row r="73" spans="2:60" x14ac:dyDescent="0.2">
      <c r="B73" s="5" t="s">
        <v>81</v>
      </c>
      <c r="C73" s="77"/>
      <c r="D73" s="77"/>
      <c r="E73" s="77"/>
      <c r="F73" s="77"/>
      <c r="G73" s="77"/>
      <c r="H73" s="77"/>
      <c r="I73" s="77"/>
      <c r="J73" s="77">
        <v>595.43399999999997</v>
      </c>
      <c r="K73" s="77"/>
      <c r="L73" s="77">
        <v>618.08199999999999</v>
      </c>
      <c r="M73" s="77"/>
      <c r="N73" s="77"/>
      <c r="O73" s="77"/>
      <c r="P73" s="77"/>
      <c r="Q73" s="77"/>
      <c r="R73" s="77"/>
      <c r="S73" s="77"/>
      <c r="T73" s="77">
        <v>0</v>
      </c>
      <c r="U73" s="77">
        <v>0</v>
      </c>
      <c r="V73" s="77">
        <v>0</v>
      </c>
      <c r="W73" s="77">
        <v>219.56800000000001</v>
      </c>
      <c r="X73" s="77">
        <v>224.83699999999999</v>
      </c>
      <c r="Y73" s="77">
        <v>565.17100000000005</v>
      </c>
      <c r="Z73" s="77">
        <v>595.43399999999997</v>
      </c>
      <c r="AA73" s="77">
        <v>649.05700000000002</v>
      </c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</row>
    <row r="74" spans="2:60" x14ac:dyDescent="0.2">
      <c r="B74" s="5" t="s">
        <v>6</v>
      </c>
      <c r="C74" s="77"/>
      <c r="D74" s="77"/>
      <c r="E74" s="77"/>
      <c r="F74" s="77"/>
      <c r="G74" s="77"/>
      <c r="H74" s="77"/>
      <c r="I74" s="77"/>
      <c r="J74" s="77">
        <v>1349.3389999999999</v>
      </c>
      <c r="K74" s="77"/>
      <c r="L74" s="77">
        <v>1379.1120000000001</v>
      </c>
      <c r="M74" s="77"/>
      <c r="N74" s="77"/>
      <c r="O74" s="77"/>
      <c r="P74" s="77"/>
      <c r="Q74" s="77"/>
      <c r="R74" s="77"/>
      <c r="S74" s="77"/>
      <c r="T74" s="77">
        <v>120</v>
      </c>
      <c r="U74" s="77">
        <v>205</v>
      </c>
      <c r="V74" s="77">
        <v>180</v>
      </c>
      <c r="W74" s="77">
        <v>771.39</v>
      </c>
      <c r="X74" s="77">
        <v>2298.027</v>
      </c>
      <c r="Y74" s="77">
        <v>1640.9960000000001</v>
      </c>
      <c r="Z74" s="77">
        <v>1349.3389999999999</v>
      </c>
      <c r="AA74" s="77">
        <v>1230.885</v>
      </c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</row>
    <row r="75" spans="2:60" x14ac:dyDescent="0.2">
      <c r="B75" s="5" t="s">
        <v>83</v>
      </c>
      <c r="C75" s="77"/>
      <c r="D75" s="77"/>
      <c r="E75" s="77"/>
      <c r="F75" s="77"/>
      <c r="G75" s="77"/>
      <c r="H75" s="77"/>
      <c r="I75" s="77"/>
      <c r="J75" s="77">
        <v>283.40600000000001</v>
      </c>
      <c r="K75" s="77"/>
      <c r="L75" s="77">
        <v>311.54899999999998</v>
      </c>
      <c r="M75" s="77"/>
      <c r="N75" s="77"/>
      <c r="O75" s="77"/>
      <c r="P75" s="77"/>
      <c r="Q75" s="77"/>
      <c r="R75" s="77"/>
      <c r="S75" s="77"/>
      <c r="T75" s="77">
        <v>0</v>
      </c>
      <c r="U75" s="77">
        <v>140.148</v>
      </c>
      <c r="V75" s="77">
        <v>146.40100000000001</v>
      </c>
      <c r="W75" s="77">
        <v>149.23699999999999</v>
      </c>
      <c r="X75" s="77">
        <v>215.119</v>
      </c>
      <c r="Y75" s="77">
        <v>269.76900000000001</v>
      </c>
      <c r="Z75" s="77">
        <v>283.40600000000001</v>
      </c>
      <c r="AA75" s="77">
        <v>297.19200000000001</v>
      </c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</row>
    <row r="76" spans="2:60" x14ac:dyDescent="0.2">
      <c r="B76" s="5" t="s">
        <v>77</v>
      </c>
      <c r="C76" s="77"/>
      <c r="D76" s="77"/>
      <c r="E76" s="77"/>
      <c r="F76" s="77"/>
      <c r="G76" s="77"/>
      <c r="H76" s="77"/>
      <c r="I76" s="77"/>
      <c r="J76" s="77">
        <v>3.948</v>
      </c>
      <c r="K76" s="77"/>
      <c r="L76" s="77">
        <v>4.6980000000000004</v>
      </c>
      <c r="M76" s="77"/>
      <c r="N76" s="77"/>
      <c r="O76" s="77"/>
      <c r="P76" s="77"/>
      <c r="Q76" s="77"/>
      <c r="R76" s="77"/>
      <c r="S76" s="77"/>
      <c r="T76" s="77">
        <v>9.4459999999999997</v>
      </c>
      <c r="U76" s="77">
        <v>4.0000000000000001E-3</v>
      </c>
      <c r="V76" s="77">
        <v>4.1310000000000002</v>
      </c>
      <c r="W76" s="77">
        <v>2.3719999999999999</v>
      </c>
      <c r="X76" s="77">
        <v>2.5790000000000002</v>
      </c>
      <c r="Y76" s="77">
        <v>2.7669999999999999</v>
      </c>
      <c r="Z76" s="77">
        <v>3.948</v>
      </c>
      <c r="AA76" s="77">
        <v>3.3220000000000001</v>
      </c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</row>
    <row r="77" spans="2:60" x14ac:dyDescent="0.2">
      <c r="B77" s="5" t="s">
        <v>87</v>
      </c>
      <c r="C77" s="77"/>
      <c r="D77" s="77"/>
      <c r="E77" s="77">
        <f t="shared" ref="E77:M77" si="60">+SUM(E72:E76)</f>
        <v>0</v>
      </c>
      <c r="F77" s="77">
        <f t="shared" si="60"/>
        <v>0</v>
      </c>
      <c r="G77" s="77">
        <f t="shared" si="60"/>
        <v>0</v>
      </c>
      <c r="H77" s="77">
        <f t="shared" si="60"/>
        <v>0</v>
      </c>
      <c r="I77" s="77">
        <f t="shared" si="60"/>
        <v>0</v>
      </c>
      <c r="J77" s="77">
        <f t="shared" si="60"/>
        <v>2236.2129999999997</v>
      </c>
      <c r="K77" s="77">
        <f t="shared" si="60"/>
        <v>0</v>
      </c>
      <c r="L77" s="77">
        <f t="shared" si="60"/>
        <v>2314.58</v>
      </c>
      <c r="M77" s="77">
        <f t="shared" si="60"/>
        <v>0</v>
      </c>
      <c r="N77" s="77"/>
      <c r="O77" s="77"/>
      <c r="P77" s="77"/>
      <c r="Q77" s="77"/>
      <c r="R77" s="77"/>
      <c r="S77" s="77"/>
      <c r="T77" s="77">
        <f t="shared" ref="T77:V77" si="61">+SUM(T72:T76)</f>
        <v>134.102</v>
      </c>
      <c r="U77" s="77">
        <f t="shared" si="61"/>
        <v>349.70400000000001</v>
      </c>
      <c r="V77" s="77">
        <f t="shared" si="61"/>
        <v>536.50599999999997</v>
      </c>
      <c r="W77" s="77">
        <f t="shared" ref="W77:Y77" si="62">+SUM(W72:W76)</f>
        <v>1142.7430000000002</v>
      </c>
      <c r="X77" s="77">
        <f t="shared" si="62"/>
        <v>3042.5920000000006</v>
      </c>
      <c r="Y77" s="77">
        <f t="shared" si="62"/>
        <v>2491.6149999999998</v>
      </c>
      <c r="Z77" s="77">
        <f>+SUM(Z72:Z76)</f>
        <v>2236.2129999999997</v>
      </c>
      <c r="AA77" s="77">
        <f>+SUM(AA72:AA76)</f>
        <v>2181.3380000000002</v>
      </c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</row>
    <row r="78" spans="2:60" x14ac:dyDescent="0.2">
      <c r="B78" s="7" t="s">
        <v>84</v>
      </c>
      <c r="C78" s="82">
        <f t="shared" ref="C78:M78" si="63">+C77+C71</f>
        <v>0</v>
      </c>
      <c r="D78" s="82">
        <f t="shared" si="63"/>
        <v>0</v>
      </c>
      <c r="E78" s="82">
        <f t="shared" si="63"/>
        <v>0</v>
      </c>
      <c r="F78" s="82">
        <f t="shared" si="63"/>
        <v>0</v>
      </c>
      <c r="G78" s="82">
        <f t="shared" si="63"/>
        <v>0</v>
      </c>
      <c r="H78" s="82">
        <f t="shared" si="63"/>
        <v>0</v>
      </c>
      <c r="I78" s="82">
        <f t="shared" si="63"/>
        <v>0</v>
      </c>
      <c r="J78" s="82">
        <f t="shared" si="63"/>
        <v>2976.4209999999998</v>
      </c>
      <c r="K78" s="82">
        <f t="shared" si="63"/>
        <v>0</v>
      </c>
      <c r="L78" s="82">
        <f t="shared" si="63"/>
        <v>3029.4290000000001</v>
      </c>
      <c r="M78" s="82">
        <f t="shared" si="63"/>
        <v>0</v>
      </c>
      <c r="N78" s="77"/>
      <c r="O78" s="77"/>
      <c r="P78" s="77"/>
      <c r="Q78" s="77"/>
      <c r="R78" s="77"/>
      <c r="S78" s="77"/>
      <c r="T78" s="82">
        <f t="shared" ref="T78:V78" si="64">+T77+T71</f>
        <v>318.59299999999996</v>
      </c>
      <c r="U78" s="82">
        <f t="shared" si="64"/>
        <v>606.92700000000002</v>
      </c>
      <c r="V78" s="82">
        <f t="shared" si="64"/>
        <v>828.08999999999992</v>
      </c>
      <c r="W78" s="82">
        <f t="shared" ref="W78:Y78" si="65">+W77+W71</f>
        <v>1530.9860000000003</v>
      </c>
      <c r="X78" s="82">
        <f t="shared" si="65"/>
        <v>3683.8660000000004</v>
      </c>
      <c r="Y78" s="82">
        <f t="shared" si="65"/>
        <v>3189.9110000000001</v>
      </c>
      <c r="Z78" s="82">
        <f>+Z77+Z71</f>
        <v>2976.4209999999998</v>
      </c>
      <c r="AA78" s="82">
        <f>+AA77+AA71</f>
        <v>2881.4670000000001</v>
      </c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</row>
    <row r="79" spans="2:60" x14ac:dyDescent="0.2">
      <c r="B79" s="5" t="s">
        <v>85</v>
      </c>
      <c r="C79" s="77"/>
      <c r="D79" s="77"/>
      <c r="E79" s="77"/>
      <c r="F79" s="77"/>
      <c r="G79" s="77"/>
      <c r="H79" s="77"/>
      <c r="I79" s="77"/>
      <c r="J79" s="77">
        <v>1835.732</v>
      </c>
      <c r="K79" s="77"/>
      <c r="L79" s="77">
        <v>1421.1369999999999</v>
      </c>
      <c r="M79" s="77"/>
      <c r="N79" s="77"/>
      <c r="O79" s="77"/>
      <c r="P79" s="77"/>
      <c r="Q79" s="77"/>
      <c r="R79" s="77"/>
      <c r="S79" s="77"/>
      <c r="T79" s="77">
        <v>150.30799999999999</v>
      </c>
      <c r="U79" s="77">
        <v>131.905</v>
      </c>
      <c r="V79" s="77">
        <v>290.63299999999998</v>
      </c>
      <c r="W79" s="77">
        <v>14.082000000000001</v>
      </c>
      <c r="X79" s="77">
        <v>817.93100000000004</v>
      </c>
      <c r="Y79" s="77">
        <v>1453.923</v>
      </c>
      <c r="Z79" s="77">
        <v>1835.732</v>
      </c>
      <c r="AA79" s="77">
        <v>1293.2829999999999</v>
      </c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</row>
    <row r="80" spans="2:60" x14ac:dyDescent="0.2">
      <c r="B80" s="7" t="s">
        <v>86</v>
      </c>
      <c r="C80" s="82">
        <f t="shared" ref="C80:M80" si="66">+C78+C79</f>
        <v>0</v>
      </c>
      <c r="D80" s="82">
        <f t="shared" si="66"/>
        <v>0</v>
      </c>
      <c r="E80" s="82">
        <f t="shared" si="66"/>
        <v>0</v>
      </c>
      <c r="F80" s="82">
        <f t="shared" si="66"/>
        <v>0</v>
      </c>
      <c r="G80" s="82">
        <f t="shared" si="66"/>
        <v>0</v>
      </c>
      <c r="H80" s="82">
        <f t="shared" si="66"/>
        <v>0</v>
      </c>
      <c r="I80" s="82">
        <f t="shared" si="66"/>
        <v>0</v>
      </c>
      <c r="J80" s="82">
        <f t="shared" si="66"/>
        <v>4812.1530000000002</v>
      </c>
      <c r="K80" s="82">
        <f t="shared" si="66"/>
        <v>0</v>
      </c>
      <c r="L80" s="82">
        <f t="shared" si="66"/>
        <v>4450.5659999999998</v>
      </c>
      <c r="M80" s="82">
        <f t="shared" si="66"/>
        <v>0</v>
      </c>
      <c r="N80" s="77"/>
      <c r="O80" s="77"/>
      <c r="P80" s="77"/>
      <c r="Q80" s="77"/>
      <c r="R80" s="77"/>
      <c r="S80" s="77"/>
      <c r="T80" s="82">
        <f t="shared" ref="T80:V80" si="67">+T78+T79</f>
        <v>468.90099999999995</v>
      </c>
      <c r="U80" s="82">
        <f t="shared" si="67"/>
        <v>738.83199999999999</v>
      </c>
      <c r="V80" s="82">
        <f t="shared" si="67"/>
        <v>1118.723</v>
      </c>
      <c r="W80" s="82">
        <f t="shared" ref="W80:Y80" si="68">+W78+W79</f>
        <v>1545.0680000000004</v>
      </c>
      <c r="X80" s="82">
        <f t="shared" si="68"/>
        <v>4501.7970000000005</v>
      </c>
      <c r="Y80" s="82">
        <f t="shared" si="68"/>
        <v>4643.8339999999998</v>
      </c>
      <c r="Z80" s="82">
        <f>+Z78+Z79</f>
        <v>4812.1530000000002</v>
      </c>
      <c r="AA80" s="82">
        <f>+AA78+AA79</f>
        <v>4174.75</v>
      </c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</row>
    <row r="81" spans="2:60" x14ac:dyDescent="0.2"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</row>
    <row r="82" spans="2:60" x14ac:dyDescent="0.2">
      <c r="B82" s="5" t="s">
        <v>36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>
        <v>50.436999999999998</v>
      </c>
      <c r="U82" s="77">
        <f t="shared" ref="U82:V82" si="69">+U29</f>
        <v>119.49700000000007</v>
      </c>
      <c r="V82" s="77">
        <f t="shared" si="69"/>
        <v>312.86099999999993</v>
      </c>
      <c r="W82" s="77">
        <f t="shared" ref="W82:Y82" si="70">+W29</f>
        <v>725.6940000000003</v>
      </c>
      <c r="X82" s="77">
        <f t="shared" si="70"/>
        <v>540.15900000000011</v>
      </c>
      <c r="Y82" s="77">
        <f t="shared" si="70"/>
        <v>792.56600000000003</v>
      </c>
      <c r="Z82" s="77">
        <f>+Z29</f>
        <v>950.07100000000025</v>
      </c>
      <c r="AA82" s="77">
        <v>-81.197999999999993</v>
      </c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</row>
    <row r="83" spans="2:60" x14ac:dyDescent="0.2">
      <c r="B83" s="5" t="s">
        <v>88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>
        <v>29.25</v>
      </c>
      <c r="U83" s="77">
        <v>24.213000000000001</v>
      </c>
      <c r="V83" s="77">
        <v>27.619</v>
      </c>
      <c r="W83" s="77">
        <v>31.975999999999999</v>
      </c>
      <c r="X83" s="77">
        <v>39.228999999999999</v>
      </c>
      <c r="Y83" s="77">
        <v>54.304000000000002</v>
      </c>
      <c r="Z83" s="77">
        <v>69.84</v>
      </c>
      <c r="AA83" s="77">
        <v>79.281999999999996</v>
      </c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</row>
    <row r="84" spans="2:60" x14ac:dyDescent="0.2">
      <c r="B84" s="5" t="s">
        <v>89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>
        <v>0</v>
      </c>
      <c r="U84" s="77">
        <v>0</v>
      </c>
      <c r="V84" s="77">
        <v>0</v>
      </c>
      <c r="W84" s="77">
        <v>0.31</v>
      </c>
      <c r="X84" s="77">
        <v>9.0630000000000006</v>
      </c>
      <c r="Y84" s="77">
        <v>0.41899999999999998</v>
      </c>
      <c r="Z84" s="77">
        <v>0.95799999999999996</v>
      </c>
      <c r="AA84" s="77">
        <v>0</v>
      </c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</row>
    <row r="85" spans="2:60" x14ac:dyDescent="0.2">
      <c r="B85" s="5" t="s">
        <v>83</v>
      </c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>
        <v>0</v>
      </c>
      <c r="U85" s="77">
        <v>60.142000000000003</v>
      </c>
      <c r="V85" s="77">
        <v>61.582999999999998</v>
      </c>
      <c r="W85" s="77">
        <v>58.283000000000001</v>
      </c>
      <c r="X85" s="77">
        <v>66.012</v>
      </c>
      <c r="Y85" s="77">
        <v>79.543000000000006</v>
      </c>
      <c r="Z85" s="77">
        <v>85.13</v>
      </c>
      <c r="AA85" s="77">
        <v>104.313</v>
      </c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</row>
    <row r="86" spans="2:60" x14ac:dyDescent="0.2">
      <c r="B86" s="5" t="s">
        <v>90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>
        <v>8.4000000000000005E-2</v>
      </c>
      <c r="U86" s="77">
        <v>0.109</v>
      </c>
      <c r="V86" s="77">
        <v>8.9939999999999998</v>
      </c>
      <c r="W86" s="77">
        <v>1.264</v>
      </c>
      <c r="X86" s="77">
        <v>2.77</v>
      </c>
      <c r="Y86" s="77">
        <v>2.0779999999999998</v>
      </c>
      <c r="Z86" s="77">
        <v>0.81200000000000006</v>
      </c>
      <c r="AA86" s="77">
        <v>0.871</v>
      </c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</row>
    <row r="87" spans="2:60" x14ac:dyDescent="0.2">
      <c r="B87" s="5" t="s">
        <v>91</v>
      </c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>
        <v>0.71099999999999997</v>
      </c>
      <c r="U87" s="77">
        <v>1.5660000000000001</v>
      </c>
      <c r="V87" s="77">
        <v>5.7789999999999999</v>
      </c>
      <c r="W87" s="77">
        <v>-2.629</v>
      </c>
      <c r="X87" s="77">
        <v>1.101</v>
      </c>
      <c r="Y87" s="77">
        <v>3.5680000000000001</v>
      </c>
      <c r="Z87" s="77">
        <v>1.3520000000000001</v>
      </c>
      <c r="AA87" s="77">
        <v>-0.19</v>
      </c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</row>
    <row r="88" spans="2:60" x14ac:dyDescent="0.2">
      <c r="B88" s="5" t="s">
        <v>92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>
        <v>13.105</v>
      </c>
      <c r="U88" s="77">
        <v>14.412000000000001</v>
      </c>
      <c r="V88" s="77">
        <v>16.361000000000001</v>
      </c>
      <c r="W88" s="77">
        <v>38.122</v>
      </c>
      <c r="X88" s="77">
        <v>31.303000000000001</v>
      </c>
      <c r="Y88" s="77">
        <v>29.071999999999999</v>
      </c>
      <c r="Z88" s="77">
        <v>33.052999999999997</v>
      </c>
      <c r="AA88" s="77">
        <v>36.701000000000001</v>
      </c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</row>
    <row r="89" spans="2:60" x14ac:dyDescent="0.2">
      <c r="B89" s="5" t="s">
        <v>93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>
        <v>2.1819999999999999</v>
      </c>
      <c r="U89" s="77">
        <v>0</v>
      </c>
      <c r="V89" s="77">
        <v>21.071000000000002</v>
      </c>
      <c r="W89" s="77">
        <v>0</v>
      </c>
      <c r="X89" s="77">
        <v>0</v>
      </c>
      <c r="Y89" s="77">
        <v>9.2870000000000008</v>
      </c>
      <c r="Z89" s="77">
        <v>24.081</v>
      </c>
      <c r="AA89" s="77">
        <v>738.11500000000001</v>
      </c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</row>
    <row r="90" spans="2:60" x14ac:dyDescent="0.2">
      <c r="B90" s="5" t="s">
        <v>94</v>
      </c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>
        <v>0.95899999999999996</v>
      </c>
      <c r="U90" s="77">
        <v>-16.259</v>
      </c>
      <c r="V90" s="77">
        <v>-325.06099999999998</v>
      </c>
      <c r="W90" s="77">
        <v>-241.28299999999999</v>
      </c>
      <c r="X90" s="77">
        <v>-4.76</v>
      </c>
      <c r="Y90" s="77">
        <v>-410.31900000000002</v>
      </c>
      <c r="Z90" s="77">
        <v>-254.45400000000001</v>
      </c>
      <c r="AA90" s="77">
        <v>47.093000000000004</v>
      </c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</row>
    <row r="91" spans="2:60" x14ac:dyDescent="0.2">
      <c r="B91" s="5" t="s">
        <v>77</v>
      </c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>
        <f>1.91-1.455+5.019</f>
        <v>5.4740000000000002</v>
      </c>
      <c r="U91" s="77">
        <f>-1.072-1.14-0.213</f>
        <v>-2.4249999999999998</v>
      </c>
      <c r="V91" s="77">
        <f>4.841+0.126+0.34</f>
        <v>5.3070000000000004</v>
      </c>
      <c r="W91" s="77">
        <v>-4.5999999999999999E-2</v>
      </c>
      <c r="X91" s="77">
        <v>9.9469999999999992</v>
      </c>
      <c r="Y91" s="77">
        <v>3.4009999999999998</v>
      </c>
      <c r="Z91" s="77">
        <v>13.212999999999999</v>
      </c>
      <c r="AA91" s="77">
        <v>5.931</v>
      </c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</row>
    <row r="92" spans="2:60" x14ac:dyDescent="0.2">
      <c r="B92" s="5" t="s">
        <v>95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>
        <v>-24.623000000000001</v>
      </c>
      <c r="U92" s="77">
        <v>-15.015000000000001</v>
      </c>
      <c r="V92" s="77">
        <v>-47.045000000000002</v>
      </c>
      <c r="W92" s="77">
        <v>-35.063000000000002</v>
      </c>
      <c r="X92" s="77">
        <v>-56.765999999999998</v>
      </c>
      <c r="Y92" s="77">
        <v>-13.317</v>
      </c>
      <c r="Z92" s="77">
        <v>42.587000000000003</v>
      </c>
      <c r="AA92" s="77">
        <v>-6.1689999999999996</v>
      </c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</row>
    <row r="93" spans="2:60" x14ac:dyDescent="0.2">
      <c r="B93" s="5" t="s">
        <v>96</v>
      </c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>
        <v>-1.9870000000000001</v>
      </c>
      <c r="U93" s="77">
        <v>-48.155999999999999</v>
      </c>
      <c r="V93" s="77">
        <v>-13.462</v>
      </c>
      <c r="W93" s="77">
        <v>-43.063000000000002</v>
      </c>
      <c r="X93" s="77">
        <v>-91.614000000000004</v>
      </c>
      <c r="Y93" s="77">
        <v>86.35</v>
      </c>
      <c r="Z93" s="77">
        <v>22.055</v>
      </c>
      <c r="AA93" s="77">
        <v>-13.842000000000001</v>
      </c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</row>
    <row r="94" spans="2:60" x14ac:dyDescent="0.2">
      <c r="B94" s="5" t="s">
        <v>97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>
        <v>9.7029999999999994</v>
      </c>
      <c r="U94" s="77">
        <v>-4.0119999999999996</v>
      </c>
      <c r="V94" s="77">
        <v>5.0069999999999997</v>
      </c>
      <c r="W94" s="77">
        <v>-6.2119999999999997</v>
      </c>
      <c r="X94" s="77">
        <v>-14.435</v>
      </c>
      <c r="Y94" s="77">
        <v>-31.838999999999999</v>
      </c>
      <c r="Z94" s="77">
        <v>-13.891999999999999</v>
      </c>
      <c r="AA94" s="77">
        <v>-22.317</v>
      </c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</row>
    <row r="95" spans="2:60" x14ac:dyDescent="0.2">
      <c r="B95" s="5" t="s">
        <v>98</v>
      </c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>
        <v>12.952999999999999</v>
      </c>
      <c r="U95" s="77">
        <v>6.032</v>
      </c>
      <c r="V95" s="77">
        <v>23.228999999999999</v>
      </c>
      <c r="W95" s="77">
        <v>34.868000000000002</v>
      </c>
      <c r="X95" s="77">
        <v>41.701000000000001</v>
      </c>
      <c r="Y95" s="77">
        <v>37.197000000000003</v>
      </c>
      <c r="Z95" s="77">
        <v>3.9510000000000001</v>
      </c>
      <c r="AA95" s="77">
        <v>0.70899999999999996</v>
      </c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</row>
    <row r="96" spans="2:60" x14ac:dyDescent="0.2">
      <c r="B96" s="5" t="s">
        <v>99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>
        <v>18.065000000000001</v>
      </c>
      <c r="U96" s="77">
        <v>13.265000000000001</v>
      </c>
      <c r="V96" s="77">
        <v>22.358000000000001</v>
      </c>
      <c r="W96" s="77">
        <v>38.448</v>
      </c>
      <c r="X96" s="77">
        <v>38.628999999999998</v>
      </c>
      <c r="Y96" s="77">
        <v>46.695</v>
      </c>
      <c r="Z96" s="77">
        <v>9.9710000000000001</v>
      </c>
      <c r="AA96" s="77">
        <v>0.52400000000000002</v>
      </c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</row>
    <row r="97" spans="2:60" x14ac:dyDescent="0.2">
      <c r="B97" s="5" t="s">
        <v>100</v>
      </c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>
        <v>0</v>
      </c>
      <c r="U97" s="77">
        <v>-64.313000000000002</v>
      </c>
      <c r="V97" s="77">
        <v>-61.177999999999997</v>
      </c>
      <c r="W97" s="77">
        <v>-52.752000000000002</v>
      </c>
      <c r="X97" s="77">
        <v>-63.354999999999997</v>
      </c>
      <c r="Y97" s="77">
        <v>-75.106999999999999</v>
      </c>
      <c r="Z97" s="77">
        <v>-88.772000000000006</v>
      </c>
      <c r="AA97" s="77">
        <v>-105.29300000000001</v>
      </c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</row>
    <row r="98" spans="2:60" x14ac:dyDescent="0.2">
      <c r="B98" s="5" t="s">
        <v>101</v>
      </c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>
        <v>-2.1509999999999998</v>
      </c>
      <c r="U98" s="77">
        <v>0.90200000000000002</v>
      </c>
      <c r="V98" s="77">
        <v>203.47900000000001</v>
      </c>
      <c r="W98" s="77">
        <v>19.248000000000001</v>
      </c>
      <c r="X98" s="77">
        <v>54.158000000000001</v>
      </c>
      <c r="Y98" s="77">
        <v>316.54599999999999</v>
      </c>
      <c r="Z98" s="77">
        <v>92.53</v>
      </c>
      <c r="AA98" s="77">
        <v>-74.099000000000004</v>
      </c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</row>
    <row r="99" spans="2:60" x14ac:dyDescent="0.2">
      <c r="B99" s="5" t="s">
        <v>102</v>
      </c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>
        <f t="shared" ref="T99:Y99" si="71">+SUM(T92:T98)</f>
        <v>11.96</v>
      </c>
      <c r="U99" s="77">
        <f t="shared" si="71"/>
        <v>-111.297</v>
      </c>
      <c r="V99" s="77">
        <f t="shared" si="71"/>
        <v>132.38800000000001</v>
      </c>
      <c r="W99" s="77">
        <f t="shared" si="71"/>
        <v>-44.52600000000001</v>
      </c>
      <c r="X99" s="77">
        <f t="shared" si="71"/>
        <v>-91.682000000000002</v>
      </c>
      <c r="Y99" s="77">
        <f t="shared" si="71"/>
        <v>366.52499999999998</v>
      </c>
      <c r="Z99" s="77">
        <f>+SUM(Z92:Z98)</f>
        <v>68.429999999999993</v>
      </c>
      <c r="AA99" s="77">
        <f>+SUM(AA92:AA98)</f>
        <v>-220.48700000000002</v>
      </c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</row>
    <row r="100" spans="2:60" x14ac:dyDescent="0.2">
      <c r="B100" s="7" t="s">
        <v>103</v>
      </c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82">
        <f t="shared" ref="T100:Y100" si="72">+T82+SUM(T83:T91)+T99</f>
        <v>114.16200000000001</v>
      </c>
      <c r="U100" s="82">
        <f t="shared" si="72"/>
        <v>89.958000000000084</v>
      </c>
      <c r="V100" s="82">
        <f t="shared" si="72"/>
        <v>266.90199999999993</v>
      </c>
      <c r="W100" s="82">
        <f t="shared" si="72"/>
        <v>567.16500000000019</v>
      </c>
      <c r="X100" s="82">
        <f t="shared" si="72"/>
        <v>603.14200000000005</v>
      </c>
      <c r="Y100" s="82">
        <f t="shared" si="72"/>
        <v>930.44400000000007</v>
      </c>
      <c r="Z100" s="82">
        <f>+Z82+SUM(Z83:Z91)+Z99</f>
        <v>992.48600000000022</v>
      </c>
      <c r="AA100" s="82">
        <f>+AA82+SUM(AA83:AA91)+AA99</f>
        <v>710.43100000000004</v>
      </c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</row>
    <row r="101" spans="2:60" x14ac:dyDescent="0.2">
      <c r="B101" s="5" t="s">
        <v>104</v>
      </c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>
        <f>-11.979+1.856</f>
        <v>-10.122999999999999</v>
      </c>
      <c r="U101" s="77">
        <f>0.616-36.576</f>
        <v>-35.96</v>
      </c>
      <c r="V101" s="77">
        <f>-42.033+0.436</f>
        <v>-41.597000000000001</v>
      </c>
      <c r="W101" s="77">
        <v>-55.915999999999997</v>
      </c>
      <c r="X101" s="77">
        <v>-104.19</v>
      </c>
      <c r="Y101" s="77">
        <v>-115.625</v>
      </c>
      <c r="Z101" s="77">
        <v>-69.346999999999994</v>
      </c>
      <c r="AA101" s="77">
        <v>-51.231000000000002</v>
      </c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</row>
    <row r="102" spans="2:60" x14ac:dyDescent="0.2">
      <c r="B102" s="5" t="s">
        <v>105</v>
      </c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>
        <v>0</v>
      </c>
      <c r="U102" s="77">
        <v>0</v>
      </c>
      <c r="V102" s="77">
        <v>0</v>
      </c>
      <c r="W102" s="77">
        <v>0</v>
      </c>
      <c r="X102" s="77">
        <v>-2046.8810000000001</v>
      </c>
      <c r="Y102" s="77">
        <v>0</v>
      </c>
      <c r="Z102" s="77">
        <v>0</v>
      </c>
      <c r="AA102" s="77">
        <v>0</v>
      </c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</row>
    <row r="103" spans="2:60" x14ac:dyDescent="0.2">
      <c r="B103" s="5" t="s">
        <v>77</v>
      </c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>
        <v>1.2999999999999999E-2</v>
      </c>
      <c r="U103" s="77">
        <v>-0.27600000000000002</v>
      </c>
      <c r="V103" s="77">
        <v>-0.192</v>
      </c>
      <c r="W103" s="77">
        <v>-8.9999999999999993E-3</v>
      </c>
      <c r="X103" s="77">
        <v>-0.02</v>
      </c>
      <c r="Y103" s="77">
        <v>-4.5999999999999999E-2</v>
      </c>
      <c r="Z103" s="77">
        <v>0</v>
      </c>
      <c r="AA103" s="77">
        <v>0</v>
      </c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</row>
    <row r="104" spans="2:60" x14ac:dyDescent="0.2">
      <c r="B104" s="7" t="s">
        <v>106</v>
      </c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82">
        <f t="shared" ref="T104:Y104" si="73">+SUM(T101:T103)</f>
        <v>-10.11</v>
      </c>
      <c r="U104" s="82">
        <f t="shared" si="73"/>
        <v>-36.236000000000004</v>
      </c>
      <c r="V104" s="82">
        <f t="shared" si="73"/>
        <v>-41.789000000000001</v>
      </c>
      <c r="W104" s="82">
        <f t="shared" si="73"/>
        <v>-55.924999999999997</v>
      </c>
      <c r="X104" s="82">
        <f t="shared" si="73"/>
        <v>-2151.0909999999999</v>
      </c>
      <c r="Y104" s="82">
        <f t="shared" si="73"/>
        <v>-115.67100000000001</v>
      </c>
      <c r="Z104" s="82">
        <f>+SUM(Z101:Z103)</f>
        <v>-69.346999999999994</v>
      </c>
      <c r="AA104" s="82">
        <f>+SUM(AA101:AA103)</f>
        <v>-51.231000000000002</v>
      </c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</row>
    <row r="105" spans="2:60" x14ac:dyDescent="0.2">
      <c r="B105" s="5" t="s">
        <v>111</v>
      </c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>
        <v>120</v>
      </c>
      <c r="U105" s="77">
        <v>315</v>
      </c>
      <c r="V105" s="77">
        <v>210</v>
      </c>
      <c r="W105" s="77">
        <f>700+390</f>
        <v>1090</v>
      </c>
      <c r="X105" s="77">
        <v>2169.8980000000001</v>
      </c>
      <c r="Y105" s="77">
        <v>257.90499999999997</v>
      </c>
      <c r="Z105" s="77">
        <v>102.15600000000001</v>
      </c>
      <c r="AA105" s="77">
        <v>819</v>
      </c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</row>
    <row r="106" spans="2:60" x14ac:dyDescent="0.2">
      <c r="B106" s="5" t="s">
        <v>112</v>
      </c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>
        <v>-0.66200000000000003</v>
      </c>
      <c r="U106" s="77">
        <v>-230</v>
      </c>
      <c r="V106" s="77">
        <v>-235</v>
      </c>
      <c r="W106" s="77">
        <v>-485</v>
      </c>
      <c r="X106" s="77">
        <v>-575.28499999999997</v>
      </c>
      <c r="Y106" s="77">
        <v>-923.70299999999997</v>
      </c>
      <c r="Z106" s="77">
        <v>-425.40499999999997</v>
      </c>
      <c r="AA106" s="77">
        <v>-947</v>
      </c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</row>
    <row r="107" spans="2:60" x14ac:dyDescent="0.2">
      <c r="B107" s="5" t="s">
        <v>113</v>
      </c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>
        <v>0</v>
      </c>
      <c r="U107" s="77">
        <v>0</v>
      </c>
      <c r="V107" s="77">
        <v>0</v>
      </c>
      <c r="W107" s="77">
        <v>-14.755000000000001</v>
      </c>
      <c r="X107" s="77">
        <v>-53.595999999999997</v>
      </c>
      <c r="Y107" s="77">
        <v>-1.736</v>
      </c>
      <c r="Z107" s="77">
        <v>-2.2770000000000001</v>
      </c>
      <c r="AA107" s="77">
        <v>0</v>
      </c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</row>
    <row r="108" spans="2:60" x14ac:dyDescent="0.2">
      <c r="B108" s="5" t="s">
        <v>114</v>
      </c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>
        <f>-183.724-21.015-63.131</f>
        <v>-267.87</v>
      </c>
      <c r="U108" s="77">
        <f>-2.985-147.19</f>
        <v>-150.17500000000001</v>
      </c>
      <c r="V108" s="77">
        <v>-170.83199999999999</v>
      </c>
      <c r="W108" s="77">
        <v>-1000</v>
      </c>
      <c r="X108" s="77">
        <v>0</v>
      </c>
      <c r="Y108" s="77">
        <v>-175.01900000000001</v>
      </c>
      <c r="Z108" s="77">
        <v>-552.45100000000002</v>
      </c>
      <c r="AA108" s="77">
        <v>-582.32000000000005</v>
      </c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</row>
    <row r="109" spans="2:60" x14ac:dyDescent="0.2">
      <c r="B109" s="5" t="s">
        <v>115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>
        <v>0</v>
      </c>
      <c r="U109" s="77">
        <v>0</v>
      </c>
      <c r="V109" s="77">
        <v>0</v>
      </c>
      <c r="W109" s="77">
        <v>-20.119</v>
      </c>
      <c r="X109" s="77">
        <v>-11.477</v>
      </c>
      <c r="Y109" s="77">
        <v>-17.085999999999999</v>
      </c>
      <c r="Z109" s="77">
        <v>-8.2390000000000008</v>
      </c>
      <c r="AA109" s="77">
        <v>-4.2450000000000001</v>
      </c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</row>
    <row r="110" spans="2:60" x14ac:dyDescent="0.2">
      <c r="B110" s="5" t="s">
        <v>77</v>
      </c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>
        <v>-0.27</v>
      </c>
      <c r="U110" s="77">
        <v>-3.4630000000000001</v>
      </c>
      <c r="V110" s="77">
        <v>-2.206</v>
      </c>
      <c r="W110" s="77">
        <v>0.23599999999999999</v>
      </c>
      <c r="X110" s="77">
        <v>0.11899999999999999</v>
      </c>
      <c r="Y110" s="77">
        <v>0</v>
      </c>
      <c r="Z110" s="77">
        <v>0.16800000000000001</v>
      </c>
      <c r="AA110" s="77">
        <v>0</v>
      </c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</row>
    <row r="111" spans="2:60" x14ac:dyDescent="0.2">
      <c r="B111" s="7" t="s">
        <v>116</v>
      </c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82">
        <f t="shared" ref="T111:Y111" si="74">+SUM(T105:T110)</f>
        <v>-148.80200000000002</v>
      </c>
      <c r="U111" s="82">
        <f t="shared" si="74"/>
        <v>-68.638000000000005</v>
      </c>
      <c r="V111" s="82">
        <f t="shared" si="74"/>
        <v>-198.03799999999998</v>
      </c>
      <c r="W111" s="82">
        <f t="shared" si="74"/>
        <v>-429.63800000000003</v>
      </c>
      <c r="X111" s="82">
        <f t="shared" si="74"/>
        <v>1529.6590000000001</v>
      </c>
      <c r="Y111" s="82">
        <f t="shared" si="74"/>
        <v>-859.63900000000001</v>
      </c>
      <c r="Z111" s="82">
        <f>+SUM(Z105:Z110)</f>
        <v>-886.048</v>
      </c>
      <c r="AA111" s="82">
        <f>+SUM(AA105:AA110)</f>
        <v>-714.56500000000005</v>
      </c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</row>
    <row r="112" spans="2:60" x14ac:dyDescent="0.2">
      <c r="B112" s="5" t="s">
        <v>110</v>
      </c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>
        <v>-4.7750000000000004</v>
      </c>
      <c r="U112" s="77">
        <v>-0.56899999999999995</v>
      </c>
      <c r="V112" s="77">
        <v>0.126</v>
      </c>
      <c r="W112" s="77">
        <v>-3.95</v>
      </c>
      <c r="X112" s="77">
        <v>-3.75</v>
      </c>
      <c r="Y112" s="77">
        <v>3.0779999999999998</v>
      </c>
      <c r="Z112" s="77">
        <v>-6.51</v>
      </c>
      <c r="AA112" s="77">
        <v>5.5979999999999999</v>
      </c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</row>
    <row r="113" spans="2:60" x14ac:dyDescent="0.2">
      <c r="B113" s="5" t="s">
        <v>109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>
        <f t="shared" ref="T113:W113" si="75">+T111+T112+T104+T100</f>
        <v>-49.525000000000006</v>
      </c>
      <c r="U113" s="77">
        <f t="shared" si="75"/>
        <v>-15.484999999999928</v>
      </c>
      <c r="V113" s="77">
        <f t="shared" si="75"/>
        <v>27.200999999999965</v>
      </c>
      <c r="W113" s="77">
        <f t="shared" si="75"/>
        <v>77.652000000000157</v>
      </c>
      <c r="X113" s="77">
        <f t="shared" ref="X113:Y113" si="76">+X111+X112+X104+X100</f>
        <v>-22.039999999999736</v>
      </c>
      <c r="Y113" s="77">
        <f t="shared" si="76"/>
        <v>-41.788000000000011</v>
      </c>
      <c r="Z113" s="77">
        <f>+Z111+Z112+Z104+Z100</f>
        <v>30.581000000000245</v>
      </c>
      <c r="AA113" s="77">
        <f>+AA111+AA112+AA104+AA100</f>
        <v>-49.767000000000053</v>
      </c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</row>
    <row r="114" spans="2:60" x14ac:dyDescent="0.2">
      <c r="B114" s="5" t="s">
        <v>108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>
        <f t="shared" ref="T114:Y114" si="77">+T115-T113</f>
        <v>177.08199999999957</v>
      </c>
      <c r="U114" s="77">
        <f t="shared" si="77"/>
        <v>127.55699999999956</v>
      </c>
      <c r="V114" s="77">
        <f t="shared" si="77"/>
        <v>112.07199999999963</v>
      </c>
      <c r="W114" s="77">
        <f t="shared" si="77"/>
        <v>139.2729999999996</v>
      </c>
      <c r="X114" s="77">
        <f t="shared" si="77"/>
        <v>216.92499999999976</v>
      </c>
      <c r="Y114" s="77">
        <f t="shared" si="77"/>
        <v>194.88500000000002</v>
      </c>
      <c r="Z114" s="77">
        <v>153.09700000000001</v>
      </c>
      <c r="AA114" s="77">
        <f>+Z115</f>
        <v>183.67800000000025</v>
      </c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</row>
    <row r="115" spans="2:60" x14ac:dyDescent="0.2">
      <c r="B115" s="5" t="s">
        <v>107</v>
      </c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>
        <f t="shared" ref="T115:Y115" si="78">+U114</f>
        <v>127.55699999999956</v>
      </c>
      <c r="U115" s="77">
        <f t="shared" si="78"/>
        <v>112.07199999999963</v>
      </c>
      <c r="V115" s="77">
        <f t="shared" si="78"/>
        <v>139.2729999999996</v>
      </c>
      <c r="W115" s="77">
        <f t="shared" si="78"/>
        <v>216.92499999999976</v>
      </c>
      <c r="X115" s="77">
        <f t="shared" si="78"/>
        <v>194.88500000000002</v>
      </c>
      <c r="Y115" s="77">
        <f t="shared" si="78"/>
        <v>153.09700000000001</v>
      </c>
      <c r="Z115" s="77">
        <f>+Z113+Z114</f>
        <v>183.67800000000025</v>
      </c>
      <c r="AA115" s="77">
        <f>+AA113+AA114</f>
        <v>133.9110000000002</v>
      </c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</row>
    <row r="116" spans="2:60" x14ac:dyDescent="0.2"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</row>
    <row r="117" spans="2:60" x14ac:dyDescent="0.2"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</row>
    <row r="118" spans="2:60" x14ac:dyDescent="0.2"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</row>
    <row r="119" spans="2:60" x14ac:dyDescent="0.2"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</row>
    <row r="120" spans="2:60" x14ac:dyDescent="0.2"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</row>
    <row r="121" spans="2:60" x14ac:dyDescent="0.2"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</row>
    <row r="122" spans="2:60" x14ac:dyDescent="0.2"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</row>
    <row r="123" spans="2:60" x14ac:dyDescent="0.2"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</row>
    <row r="124" spans="2:60" x14ac:dyDescent="0.2"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</row>
    <row r="125" spans="2:60" x14ac:dyDescent="0.2"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</row>
    <row r="126" spans="2:60" x14ac:dyDescent="0.2"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</row>
    <row r="127" spans="2:60" x14ac:dyDescent="0.2"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</row>
    <row r="128" spans="2:60" x14ac:dyDescent="0.2"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</row>
    <row r="129" spans="3:60" x14ac:dyDescent="0.2"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</row>
    <row r="130" spans="3:60" x14ac:dyDescent="0.2"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</row>
    <row r="131" spans="3:60" x14ac:dyDescent="0.2"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</row>
    <row r="132" spans="3:60" x14ac:dyDescent="0.2"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</row>
    <row r="133" spans="3:60" x14ac:dyDescent="0.2"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</row>
    <row r="134" spans="3:60" x14ac:dyDescent="0.2"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</row>
    <row r="135" spans="3:60" x14ac:dyDescent="0.2"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</row>
    <row r="136" spans="3:60" x14ac:dyDescent="0.2"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</row>
    <row r="137" spans="3:60" x14ac:dyDescent="0.2"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</row>
    <row r="138" spans="3:60" x14ac:dyDescent="0.2"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</row>
    <row r="139" spans="3:60" x14ac:dyDescent="0.2"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</row>
    <row r="140" spans="3:60" x14ac:dyDescent="0.2"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</row>
    <row r="141" spans="3:60" x14ac:dyDescent="0.2"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</row>
    <row r="142" spans="3:60" x14ac:dyDescent="0.2"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</row>
    <row r="143" spans="3:60" x14ac:dyDescent="0.2"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</row>
    <row r="144" spans="3:60" x14ac:dyDescent="0.2"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</row>
    <row r="145" spans="3:60" x14ac:dyDescent="0.2"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</row>
    <row r="146" spans="3:60" x14ac:dyDescent="0.2"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</row>
    <row r="147" spans="3:60" x14ac:dyDescent="0.2"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</row>
    <row r="148" spans="3:60" x14ac:dyDescent="0.2"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</row>
    <row r="149" spans="3:60" x14ac:dyDescent="0.2"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</row>
    <row r="150" spans="3:60" x14ac:dyDescent="0.2"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</row>
    <row r="151" spans="3:60" x14ac:dyDescent="0.2"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</row>
    <row r="152" spans="3:60" x14ac:dyDescent="0.2"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</row>
    <row r="153" spans="3:60" x14ac:dyDescent="0.2"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</row>
    <row r="154" spans="3:60" x14ac:dyDescent="0.2"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</row>
    <row r="155" spans="3:60" x14ac:dyDescent="0.2"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</row>
    <row r="156" spans="3:60" x14ac:dyDescent="0.2"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</row>
    <row r="157" spans="3:60" x14ac:dyDescent="0.2"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</row>
    <row r="158" spans="3:60" x14ac:dyDescent="0.2"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</row>
    <row r="159" spans="3:60" x14ac:dyDescent="0.2"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</row>
    <row r="160" spans="3:60" x14ac:dyDescent="0.2"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</row>
    <row r="161" spans="3:60" x14ac:dyDescent="0.2"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</row>
    <row r="162" spans="3:60" x14ac:dyDescent="0.2"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</row>
    <row r="163" spans="3:60" x14ac:dyDescent="0.2"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</row>
    <row r="164" spans="3:60" x14ac:dyDescent="0.2"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</row>
    <row r="165" spans="3:60" x14ac:dyDescent="0.2"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</row>
    <row r="166" spans="3:60" x14ac:dyDescent="0.2"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</row>
    <row r="167" spans="3:60" x14ac:dyDescent="0.2"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</row>
    <row r="168" spans="3:60" x14ac:dyDescent="0.2"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</row>
    <row r="169" spans="3:60" x14ac:dyDescent="0.2"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</row>
    <row r="170" spans="3:60" x14ac:dyDescent="0.2"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</row>
    <row r="171" spans="3:60" x14ac:dyDescent="0.2"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</row>
    <row r="172" spans="3:60" x14ac:dyDescent="0.2"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</row>
    <row r="173" spans="3:60" x14ac:dyDescent="0.2"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</row>
    <row r="174" spans="3:60" x14ac:dyDescent="0.2"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</row>
    <row r="175" spans="3:60" x14ac:dyDescent="0.2"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</row>
    <row r="176" spans="3:60" x14ac:dyDescent="0.2"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</row>
    <row r="177" spans="3:60" x14ac:dyDescent="0.2"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</row>
    <row r="178" spans="3:60" x14ac:dyDescent="0.2"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</row>
    <row r="179" spans="3:60" x14ac:dyDescent="0.2"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</row>
    <row r="180" spans="3:60" x14ac:dyDescent="0.2"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</row>
    <row r="181" spans="3:60" x14ac:dyDescent="0.2"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</row>
    <row r="182" spans="3:60" x14ac:dyDescent="0.2"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</row>
    <row r="183" spans="3:60" x14ac:dyDescent="0.2"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</row>
    <row r="184" spans="3:60" x14ac:dyDescent="0.2"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</row>
    <row r="185" spans="3:60" x14ac:dyDescent="0.2"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</row>
    <row r="186" spans="3:60" x14ac:dyDescent="0.2"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</row>
    <row r="187" spans="3:60" x14ac:dyDescent="0.2"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</row>
    <row r="188" spans="3:60" x14ac:dyDescent="0.2"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</row>
    <row r="189" spans="3:60" x14ac:dyDescent="0.2"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</row>
    <row r="190" spans="3:60" x14ac:dyDescent="0.2"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</row>
    <row r="191" spans="3:60" x14ac:dyDescent="0.2"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</row>
    <row r="192" spans="3:60" x14ac:dyDescent="0.2"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</row>
    <row r="193" spans="3:60" x14ac:dyDescent="0.2"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</row>
    <row r="194" spans="3:60" x14ac:dyDescent="0.2"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</row>
    <row r="195" spans="3:60" x14ac:dyDescent="0.2"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</row>
    <row r="196" spans="3:60" x14ac:dyDescent="0.2"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</row>
    <row r="197" spans="3:60" x14ac:dyDescent="0.2"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</row>
    <row r="198" spans="3:60" x14ac:dyDescent="0.2"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</row>
    <row r="199" spans="3:60" x14ac:dyDescent="0.2"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</row>
    <row r="200" spans="3:60" x14ac:dyDescent="0.2"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</row>
    <row r="201" spans="3:60" x14ac:dyDescent="0.2"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</row>
    <row r="202" spans="3:60" x14ac:dyDescent="0.2"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</row>
    <row r="203" spans="3:60" x14ac:dyDescent="0.2"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</row>
    <row r="204" spans="3:60" x14ac:dyDescent="0.2"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</row>
    <row r="205" spans="3:60" x14ac:dyDescent="0.2"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</row>
    <row r="206" spans="3:60" x14ac:dyDescent="0.2"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</row>
    <row r="207" spans="3:60" x14ac:dyDescent="0.2"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</row>
    <row r="208" spans="3:60" x14ac:dyDescent="0.2"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</row>
    <row r="209" spans="3:60" x14ac:dyDescent="0.2"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</row>
    <row r="210" spans="3:60" x14ac:dyDescent="0.2"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</row>
    <row r="211" spans="3:60" x14ac:dyDescent="0.2"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</row>
    <row r="212" spans="3:60" x14ac:dyDescent="0.2"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</row>
    <row r="213" spans="3:60" x14ac:dyDescent="0.2"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</row>
    <row r="214" spans="3:60" x14ac:dyDescent="0.2"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</row>
    <row r="215" spans="3:60" x14ac:dyDescent="0.2"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</row>
    <row r="216" spans="3:60" x14ac:dyDescent="0.2"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</row>
    <row r="217" spans="3:60" x14ac:dyDescent="0.2"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</row>
    <row r="218" spans="3:60" x14ac:dyDescent="0.2"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</row>
    <row r="219" spans="3:60" x14ac:dyDescent="0.2"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</row>
    <row r="220" spans="3:60" x14ac:dyDescent="0.2"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</row>
    <row r="221" spans="3:60" x14ac:dyDescent="0.2"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</row>
    <row r="222" spans="3:60" x14ac:dyDescent="0.2"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</row>
    <row r="223" spans="3:60" x14ac:dyDescent="0.2"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</row>
    <row r="224" spans="3:60" x14ac:dyDescent="0.2"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</row>
    <row r="225" spans="3:60" x14ac:dyDescent="0.2"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</row>
    <row r="226" spans="3:60" x14ac:dyDescent="0.2"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</row>
    <row r="227" spans="3:60" x14ac:dyDescent="0.2"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</row>
    <row r="228" spans="3:60" x14ac:dyDescent="0.2"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</row>
    <row r="229" spans="3:60" x14ac:dyDescent="0.2"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</row>
    <row r="230" spans="3:60" x14ac:dyDescent="0.2"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</row>
    <row r="231" spans="3:60" x14ac:dyDescent="0.2"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</row>
    <row r="232" spans="3:60" x14ac:dyDescent="0.2"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</row>
    <row r="233" spans="3:60" x14ac:dyDescent="0.2"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</row>
    <row r="234" spans="3:60" x14ac:dyDescent="0.2"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</row>
    <row r="235" spans="3:60" x14ac:dyDescent="0.2"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</row>
    <row r="236" spans="3:60" x14ac:dyDescent="0.2"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</row>
    <row r="237" spans="3:60" x14ac:dyDescent="0.2"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</row>
    <row r="238" spans="3:60" x14ac:dyDescent="0.2"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</row>
    <row r="239" spans="3:60" x14ac:dyDescent="0.2"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</row>
    <row r="240" spans="3:60" x14ac:dyDescent="0.2"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</row>
    <row r="241" spans="3:60" x14ac:dyDescent="0.2"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</row>
    <row r="242" spans="3:60" x14ac:dyDescent="0.2"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</row>
    <row r="243" spans="3:60" x14ac:dyDescent="0.2"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</row>
    <row r="244" spans="3:60" x14ac:dyDescent="0.2"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</row>
    <row r="245" spans="3:60" x14ac:dyDescent="0.2"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</row>
    <row r="246" spans="3:60" x14ac:dyDescent="0.2"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</row>
    <row r="247" spans="3:60" x14ac:dyDescent="0.2"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</row>
    <row r="248" spans="3:60" x14ac:dyDescent="0.2"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</row>
    <row r="249" spans="3:60" x14ac:dyDescent="0.2"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</row>
    <row r="250" spans="3:60" x14ac:dyDescent="0.2"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</row>
    <row r="251" spans="3:60" x14ac:dyDescent="0.2"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</row>
    <row r="252" spans="3:60" x14ac:dyDescent="0.2"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</row>
    <row r="253" spans="3:60" x14ac:dyDescent="0.2"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</row>
    <row r="254" spans="3:60" x14ac:dyDescent="0.2"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</row>
    <row r="255" spans="3:60" x14ac:dyDescent="0.2"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</row>
    <row r="256" spans="3:60" x14ac:dyDescent="0.2"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</row>
    <row r="257" spans="3:60" x14ac:dyDescent="0.2"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</row>
    <row r="258" spans="3:60" x14ac:dyDescent="0.2"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</row>
    <row r="259" spans="3:60" x14ac:dyDescent="0.2"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</row>
    <row r="260" spans="3:60" x14ac:dyDescent="0.2"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</row>
    <row r="261" spans="3:60" x14ac:dyDescent="0.2"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</row>
    <row r="262" spans="3:60" x14ac:dyDescent="0.2"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</row>
    <row r="263" spans="3:60" x14ac:dyDescent="0.2"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</row>
    <row r="264" spans="3:60" x14ac:dyDescent="0.2"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</row>
    <row r="265" spans="3:60" x14ac:dyDescent="0.2"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</row>
    <row r="266" spans="3:60" x14ac:dyDescent="0.2"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</row>
    <row r="267" spans="3:60" x14ac:dyDescent="0.2"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</row>
    <row r="268" spans="3:60" x14ac:dyDescent="0.2"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</row>
    <row r="269" spans="3:60" x14ac:dyDescent="0.2"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</row>
    <row r="270" spans="3:60" x14ac:dyDescent="0.2"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</row>
    <row r="271" spans="3:60" x14ac:dyDescent="0.2"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</row>
    <row r="272" spans="3:60" x14ac:dyDescent="0.2"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</row>
    <row r="273" spans="3:60" x14ac:dyDescent="0.2"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</row>
    <row r="274" spans="3:60" x14ac:dyDescent="0.2"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</row>
    <row r="275" spans="3:60" x14ac:dyDescent="0.2"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</row>
    <row r="276" spans="3:60" x14ac:dyDescent="0.2"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</row>
    <row r="277" spans="3:60" x14ac:dyDescent="0.2"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</row>
    <row r="278" spans="3:60" x14ac:dyDescent="0.2"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</row>
    <row r="279" spans="3:60" x14ac:dyDescent="0.2"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</row>
    <row r="280" spans="3:60" x14ac:dyDescent="0.2"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</row>
    <row r="281" spans="3:60" x14ac:dyDescent="0.2"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</row>
    <row r="282" spans="3:60" x14ac:dyDescent="0.2"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</row>
    <row r="283" spans="3:60" x14ac:dyDescent="0.2"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</row>
    <row r="284" spans="3:60" x14ac:dyDescent="0.2"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</row>
    <row r="285" spans="3:60" x14ac:dyDescent="0.2"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</row>
    <row r="286" spans="3:60" x14ac:dyDescent="0.2"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</row>
    <row r="287" spans="3:60" x14ac:dyDescent="0.2"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</row>
    <row r="288" spans="3:60" x14ac:dyDescent="0.2"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</row>
    <row r="289" spans="3:60" x14ac:dyDescent="0.2"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</row>
    <row r="290" spans="3:60" x14ac:dyDescent="0.2"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</row>
    <row r="291" spans="3:60" x14ac:dyDescent="0.2"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</row>
    <row r="292" spans="3:60" x14ac:dyDescent="0.2"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</row>
    <row r="293" spans="3:60" x14ac:dyDescent="0.2"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</row>
    <row r="294" spans="3:60" x14ac:dyDescent="0.2"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</row>
    <row r="295" spans="3:60" x14ac:dyDescent="0.2"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</row>
    <row r="296" spans="3:60" x14ac:dyDescent="0.2"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</row>
    <row r="297" spans="3:60" x14ac:dyDescent="0.2"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</row>
  </sheetData>
  <hyperlinks>
    <hyperlink ref="A1" location="Main!A1" display="Main" xr:uid="{4713003D-8DEF-4BEB-954D-6C28BB4DBC81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8CE3-456B-4606-A793-366B0530559A}">
  <dimension ref="A1:L60"/>
  <sheetViews>
    <sheetView zoomScale="200" zoomScaleNormal="20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J7" sqref="J7"/>
    </sheetView>
  </sheetViews>
  <sheetFormatPr defaultRowHeight="12.75" x14ac:dyDescent="0.2"/>
  <cols>
    <col min="1" max="1" width="5.42578125" style="5" bestFit="1" customWidth="1"/>
    <col min="2" max="2" width="32.42578125" style="5" bestFit="1" customWidth="1"/>
    <col min="3" max="16384" width="9.140625" style="5"/>
  </cols>
  <sheetData>
    <row r="1" spans="1:12" x14ac:dyDescent="0.2">
      <c r="A1" s="4" t="s">
        <v>8</v>
      </c>
    </row>
    <row r="2" spans="1:12" x14ac:dyDescent="0.2">
      <c r="B2" s="75" t="s">
        <v>128</v>
      </c>
      <c r="C2" s="76">
        <v>18</v>
      </c>
      <c r="D2" s="76">
        <f>+C2+1</f>
        <v>19</v>
      </c>
      <c r="E2" s="76">
        <f t="shared" ref="E2:J2" si="0">+D2+1</f>
        <v>20</v>
      </c>
      <c r="F2" s="76">
        <f t="shared" si="0"/>
        <v>21</v>
      </c>
      <c r="G2" s="76">
        <f t="shared" si="0"/>
        <v>22</v>
      </c>
      <c r="H2" s="76">
        <f t="shared" si="0"/>
        <v>23</v>
      </c>
      <c r="I2" s="76">
        <f t="shared" si="0"/>
        <v>24</v>
      </c>
      <c r="J2" s="76">
        <f t="shared" si="0"/>
        <v>25</v>
      </c>
      <c r="K2" s="2"/>
    </row>
    <row r="3" spans="1:12" x14ac:dyDescent="0.2">
      <c r="B3" s="5" t="s">
        <v>2</v>
      </c>
      <c r="C3" s="77">
        <v>27.6</v>
      </c>
      <c r="D3" s="77">
        <v>41.89</v>
      </c>
      <c r="E3" s="77">
        <v>62.66</v>
      </c>
      <c r="F3" s="77">
        <v>128.22</v>
      </c>
      <c r="G3" s="77">
        <v>106.81</v>
      </c>
      <c r="H3" s="77">
        <v>93.77</v>
      </c>
      <c r="I3" s="77">
        <v>110.3</v>
      </c>
      <c r="J3" s="32">
        <v>99.2</v>
      </c>
      <c r="K3" s="32"/>
    </row>
    <row r="4" spans="1:12" x14ac:dyDescent="0.2">
      <c r="B4" s="5" t="s">
        <v>129</v>
      </c>
      <c r="C4" s="77">
        <f>+Model!T32</f>
        <v>68.421000000000006</v>
      </c>
      <c r="D4" s="77">
        <f>+Model!U32</f>
        <v>70.356999999999999</v>
      </c>
      <c r="E4" s="77">
        <f>+Model!V32</f>
        <v>67.385999999999996</v>
      </c>
      <c r="F4" s="77">
        <f>+Model!W32</f>
        <v>62.463999999999999</v>
      </c>
      <c r="G4" s="77">
        <f>+Model!X32</f>
        <v>61.22</v>
      </c>
      <c r="H4" s="77">
        <f>+Model!Y32</f>
        <v>61.386000000000003</v>
      </c>
      <c r="I4" s="77">
        <f>+Model!Z32</f>
        <v>59.381</v>
      </c>
      <c r="J4" s="77">
        <f>+Model!AA32</f>
        <v>54.207999999999998</v>
      </c>
      <c r="K4" s="32"/>
    </row>
    <row r="5" spans="1:12" x14ac:dyDescent="0.2">
      <c r="B5" s="5" t="s">
        <v>130</v>
      </c>
      <c r="C5" s="32">
        <f t="shared" ref="C5:H5" si="1">+C3*C4</f>
        <v>1888.4196000000002</v>
      </c>
      <c r="D5" s="32">
        <f t="shared" si="1"/>
        <v>2947.2547300000001</v>
      </c>
      <c r="E5" s="32">
        <f t="shared" si="1"/>
        <v>4222.4067599999998</v>
      </c>
      <c r="F5" s="32">
        <f t="shared" si="1"/>
        <v>8009.1340799999998</v>
      </c>
      <c r="G5" s="32">
        <f t="shared" si="1"/>
        <v>6538.9081999999999</v>
      </c>
      <c r="H5" s="32">
        <f t="shared" si="1"/>
        <v>5756.1652199999999</v>
      </c>
      <c r="I5" s="32">
        <f>+I3*I4</f>
        <v>6549.7242999999999</v>
      </c>
      <c r="J5" s="32">
        <f>+J3*J4</f>
        <v>5377.4336000000003</v>
      </c>
      <c r="K5" s="32"/>
    </row>
    <row r="6" spans="1:12" x14ac:dyDescent="0.2">
      <c r="B6" s="5" t="s">
        <v>131</v>
      </c>
      <c r="C6" s="32">
        <f>+Model!T69+Model!T74-Model!T48-Model!T49</f>
        <v>-100.994</v>
      </c>
      <c r="D6" s="32">
        <f>+Model!U69+Model!U74-Model!U48-Model!U49</f>
        <v>95.247</v>
      </c>
      <c r="E6" s="32">
        <f>+Model!V69+Model!V74-Model!V48-Model!V49</f>
        <v>42.656000000000006</v>
      </c>
      <c r="F6" s="32">
        <f>+Model!W69+Model!W74-Model!W48-Model!W49</f>
        <v>558.12799999999993</v>
      </c>
      <c r="G6" s="32">
        <f>+Model!X69+Model!X74-Model!X48-Model!X49</f>
        <v>2130.7580000000003</v>
      </c>
      <c r="H6" s="32">
        <f>+Model!Y69+Model!Y74-Model!Y48-Model!Y49</f>
        <v>1515.0340000000001</v>
      </c>
      <c r="I6" s="32">
        <f>+Model!Z69+Model!Z74-Model!Z48-Model!Z49</f>
        <v>1168.8539999999998</v>
      </c>
      <c r="J6" s="32">
        <f>+Model!AA69+Model!AA74-Model!AA48-Model!AA49</f>
        <v>1100.5309999999999</v>
      </c>
      <c r="K6" s="32"/>
    </row>
    <row r="7" spans="1:12" x14ac:dyDescent="0.2">
      <c r="B7" s="5" t="s">
        <v>7</v>
      </c>
      <c r="C7" s="32">
        <f t="shared" ref="C7:H7" si="2">+C5+C6</f>
        <v>1787.4256000000003</v>
      </c>
      <c r="D7" s="32">
        <f t="shared" si="2"/>
        <v>3042.50173</v>
      </c>
      <c r="E7" s="32">
        <f t="shared" si="2"/>
        <v>4265.0627599999998</v>
      </c>
      <c r="F7" s="32">
        <f t="shared" si="2"/>
        <v>8567.2620800000004</v>
      </c>
      <c r="G7" s="32">
        <f t="shared" si="2"/>
        <v>8669.6661999999997</v>
      </c>
      <c r="H7" s="32">
        <f t="shared" si="2"/>
        <v>7271.1992200000004</v>
      </c>
      <c r="I7" s="32">
        <f>+I5+I6</f>
        <v>7718.5782999999992</v>
      </c>
      <c r="J7" s="32">
        <f>+J5+J6</f>
        <v>6477.9646000000002</v>
      </c>
      <c r="K7" s="32"/>
    </row>
    <row r="8" spans="1:12" x14ac:dyDescent="0.2">
      <c r="C8" s="32"/>
      <c r="D8" s="32"/>
      <c r="E8" s="32"/>
      <c r="F8" s="32"/>
      <c r="G8" s="32"/>
      <c r="H8" s="32"/>
      <c r="I8" s="32"/>
      <c r="J8" s="32"/>
      <c r="K8" s="32"/>
    </row>
    <row r="9" spans="1:12" x14ac:dyDescent="0.2">
      <c r="A9" s="66" t="s">
        <v>132</v>
      </c>
      <c r="B9" s="67" t="s">
        <v>133</v>
      </c>
      <c r="C9" s="32"/>
      <c r="D9" s="32"/>
      <c r="E9" s="32"/>
      <c r="F9" s="32"/>
      <c r="G9" s="32"/>
      <c r="H9" s="32"/>
      <c r="I9" s="32"/>
      <c r="J9" s="32"/>
      <c r="K9" s="32"/>
    </row>
    <row r="10" spans="1:12" x14ac:dyDescent="0.2">
      <c r="B10" s="5" t="s">
        <v>134</v>
      </c>
      <c r="L10" s="54" t="s">
        <v>135</v>
      </c>
    </row>
    <row r="11" spans="1:12" x14ac:dyDescent="0.2">
      <c r="B11" s="5" t="s">
        <v>136</v>
      </c>
      <c r="L11" s="54" t="s">
        <v>137</v>
      </c>
    </row>
    <row r="12" spans="1:12" x14ac:dyDescent="0.2">
      <c r="B12" s="5" t="s">
        <v>138</v>
      </c>
      <c r="L12" s="54"/>
    </row>
    <row r="13" spans="1:12" x14ac:dyDescent="0.2">
      <c r="B13" s="5" t="s">
        <v>139</v>
      </c>
      <c r="L13" s="54" t="s">
        <v>140</v>
      </c>
    </row>
    <row r="14" spans="1:12" x14ac:dyDescent="0.2">
      <c r="B14" s="5" t="s">
        <v>141</v>
      </c>
      <c r="L14" s="5" t="s">
        <v>142</v>
      </c>
    </row>
    <row r="15" spans="1:12" x14ac:dyDescent="0.2">
      <c r="B15" s="5" t="s">
        <v>143</v>
      </c>
      <c r="L15" s="54" t="s">
        <v>144</v>
      </c>
    </row>
    <row r="16" spans="1:12" x14ac:dyDescent="0.2">
      <c r="B16" s="5" t="s">
        <v>145</v>
      </c>
      <c r="L16" s="54" t="s">
        <v>146</v>
      </c>
    </row>
    <row r="17" spans="1:12" x14ac:dyDescent="0.2">
      <c r="B17" s="5" t="s">
        <v>147</v>
      </c>
      <c r="L17" s="54" t="s">
        <v>148</v>
      </c>
    </row>
    <row r="18" spans="1:12" x14ac:dyDescent="0.2">
      <c r="B18" s="5" t="s">
        <v>149</v>
      </c>
      <c r="L18" s="54" t="s">
        <v>150</v>
      </c>
    </row>
    <row r="20" spans="1:12" x14ac:dyDescent="0.2">
      <c r="A20" s="66" t="s">
        <v>132</v>
      </c>
      <c r="B20" s="67" t="s">
        <v>151</v>
      </c>
    </row>
    <row r="21" spans="1:12" x14ac:dyDescent="0.2">
      <c r="B21" s="5" t="s">
        <v>152</v>
      </c>
      <c r="L21" s="54" t="s">
        <v>153</v>
      </c>
    </row>
    <row r="22" spans="1:12" x14ac:dyDescent="0.2">
      <c r="B22" s="5" t="s">
        <v>154</v>
      </c>
      <c r="L22" s="54" t="s">
        <v>155</v>
      </c>
    </row>
    <row r="23" spans="1:12" x14ac:dyDescent="0.2">
      <c r="B23" s="5" t="s">
        <v>156</v>
      </c>
      <c r="L23" s="54" t="s">
        <v>157</v>
      </c>
    </row>
    <row r="24" spans="1:12" x14ac:dyDescent="0.2">
      <c r="B24" s="5" t="s">
        <v>158</v>
      </c>
      <c r="L24" s="54" t="s">
        <v>159</v>
      </c>
    </row>
    <row r="25" spans="1:12" x14ac:dyDescent="0.2">
      <c r="B25" s="5" t="s">
        <v>160</v>
      </c>
      <c r="L25" s="54" t="s">
        <v>161</v>
      </c>
    </row>
    <row r="26" spans="1:12" x14ac:dyDescent="0.2">
      <c r="B26" s="5" t="s">
        <v>162</v>
      </c>
      <c r="L26" s="54" t="s">
        <v>163</v>
      </c>
    </row>
    <row r="28" spans="1:12" x14ac:dyDescent="0.2">
      <c r="B28" s="5" t="s">
        <v>164</v>
      </c>
      <c r="L28" s="54" t="s">
        <v>165</v>
      </c>
    </row>
    <row r="29" spans="1:12" x14ac:dyDescent="0.2">
      <c r="B29" s="5" t="s">
        <v>166</v>
      </c>
      <c r="L29" s="54" t="s">
        <v>167</v>
      </c>
    </row>
    <row r="30" spans="1:12" x14ac:dyDescent="0.2">
      <c r="B30" s="5" t="s">
        <v>168</v>
      </c>
      <c r="L30" s="54" t="s">
        <v>169</v>
      </c>
    </row>
    <row r="31" spans="1:12" x14ac:dyDescent="0.2">
      <c r="B31" s="5" t="s">
        <v>170</v>
      </c>
      <c r="L31" s="54" t="s">
        <v>171</v>
      </c>
    </row>
    <row r="33" spans="1:12" x14ac:dyDescent="0.2">
      <c r="A33" s="66" t="s">
        <v>132</v>
      </c>
      <c r="B33" s="67" t="s">
        <v>172</v>
      </c>
    </row>
    <row r="34" spans="1:12" x14ac:dyDescent="0.2">
      <c r="B34" s="5" t="s">
        <v>173</v>
      </c>
      <c r="L34" s="54" t="s">
        <v>174</v>
      </c>
    </row>
    <row r="35" spans="1:12" x14ac:dyDescent="0.2">
      <c r="B35" s="5" t="s">
        <v>175</v>
      </c>
      <c r="L35" s="54" t="s">
        <v>176</v>
      </c>
    </row>
    <row r="36" spans="1:12" x14ac:dyDescent="0.2">
      <c r="B36" s="5" t="s">
        <v>177</v>
      </c>
      <c r="L36" s="54" t="s">
        <v>178</v>
      </c>
    </row>
    <row r="37" spans="1:12" x14ac:dyDescent="0.2">
      <c r="B37" s="5" t="s">
        <v>179</v>
      </c>
      <c r="C37" s="11"/>
      <c r="D37" s="11"/>
      <c r="E37" s="11"/>
      <c r="F37" s="11"/>
      <c r="G37" s="11"/>
      <c r="I37" s="69"/>
      <c r="J37" s="69"/>
      <c r="L37" s="54" t="s">
        <v>180</v>
      </c>
    </row>
    <row r="38" spans="1:12" x14ac:dyDescent="0.2">
      <c r="B38" s="5" t="s">
        <v>181</v>
      </c>
      <c r="C38" s="78"/>
      <c r="D38" s="79"/>
      <c r="E38" s="78"/>
      <c r="F38" s="78"/>
      <c r="G38" s="78"/>
      <c r="I38" s="69"/>
      <c r="J38" s="69"/>
      <c r="L38" s="54" t="s">
        <v>182</v>
      </c>
    </row>
    <row r="40" spans="1:12" x14ac:dyDescent="0.2">
      <c r="A40" s="66" t="s">
        <v>132</v>
      </c>
      <c r="B40" s="67" t="s">
        <v>183</v>
      </c>
    </row>
    <row r="41" spans="1:12" x14ac:dyDescent="0.2">
      <c r="B41" s="5" t="s">
        <v>184</v>
      </c>
      <c r="C41" s="80"/>
      <c r="D41" s="80"/>
      <c r="E41" s="80"/>
      <c r="F41" s="80"/>
      <c r="G41" s="80"/>
      <c r="I41" s="80"/>
      <c r="J41" s="80"/>
      <c r="L41" s="54" t="s">
        <v>185</v>
      </c>
    </row>
    <row r="42" spans="1:12" x14ac:dyDescent="0.2">
      <c r="B42" s="5" t="s">
        <v>186</v>
      </c>
      <c r="C42" s="80"/>
      <c r="D42" s="80"/>
      <c r="E42" s="80"/>
      <c r="F42" s="80"/>
      <c r="G42" s="80"/>
      <c r="I42" s="80"/>
      <c r="J42" s="80"/>
      <c r="L42" s="54" t="s">
        <v>187</v>
      </c>
    </row>
    <row r="43" spans="1:12" x14ac:dyDescent="0.2">
      <c r="B43" s="5" t="s">
        <v>188</v>
      </c>
      <c r="L43" s="54" t="s">
        <v>189</v>
      </c>
    </row>
    <row r="44" spans="1:12" x14ac:dyDescent="0.2">
      <c r="B44" s="5" t="s">
        <v>190</v>
      </c>
      <c r="L44" s="54" t="s">
        <v>191</v>
      </c>
    </row>
    <row r="45" spans="1:12" x14ac:dyDescent="0.2">
      <c r="B45" s="5" t="s">
        <v>192</v>
      </c>
      <c r="L45" s="54" t="s">
        <v>193</v>
      </c>
    </row>
    <row r="46" spans="1:12" x14ac:dyDescent="0.2">
      <c r="B46" s="5" t="s">
        <v>194</v>
      </c>
      <c r="L46" s="54" t="s">
        <v>195</v>
      </c>
    </row>
    <row r="48" spans="1:12" x14ac:dyDescent="0.2">
      <c r="A48" s="66" t="s">
        <v>132</v>
      </c>
      <c r="B48" s="67" t="s">
        <v>196</v>
      </c>
    </row>
    <row r="49" spans="2:12" x14ac:dyDescent="0.2">
      <c r="B49" s="67" t="s">
        <v>197</v>
      </c>
      <c r="C49" s="53"/>
      <c r="D49" s="53"/>
      <c r="E49" s="53"/>
      <c r="F49" s="53"/>
      <c r="G49" s="53"/>
    </row>
    <row r="50" spans="2:12" x14ac:dyDescent="0.2">
      <c r="B50" s="5" t="s">
        <v>198</v>
      </c>
      <c r="C50" s="80"/>
      <c r="D50" s="80"/>
      <c r="E50" s="80"/>
      <c r="F50" s="80"/>
      <c r="G50" s="80"/>
      <c r="I50" s="80"/>
      <c r="J50" s="80"/>
      <c r="L50" s="54" t="s">
        <v>199</v>
      </c>
    </row>
    <row r="51" spans="2:12" x14ac:dyDescent="0.2">
      <c r="B51" s="5" t="s">
        <v>200</v>
      </c>
      <c r="C51" s="80"/>
      <c r="D51" s="80"/>
      <c r="E51" s="80"/>
      <c r="F51" s="80"/>
      <c r="G51" s="80"/>
      <c r="I51" s="80"/>
      <c r="J51" s="80"/>
      <c r="L51" s="54" t="s">
        <v>201</v>
      </c>
    </row>
    <row r="52" spans="2:12" x14ac:dyDescent="0.2">
      <c r="B52" s="5" t="s">
        <v>202</v>
      </c>
      <c r="C52" s="80"/>
      <c r="D52" s="80"/>
      <c r="E52" s="80"/>
      <c r="F52" s="80"/>
      <c r="G52" s="80"/>
      <c r="I52" s="80"/>
      <c r="J52" s="80"/>
      <c r="L52" s="54" t="s">
        <v>203</v>
      </c>
    </row>
    <row r="53" spans="2:12" x14ac:dyDescent="0.2">
      <c r="B53" s="5" t="s">
        <v>204</v>
      </c>
      <c r="C53" s="80"/>
      <c r="D53" s="80"/>
      <c r="E53" s="80"/>
      <c r="F53" s="80"/>
      <c r="G53" s="80"/>
      <c r="I53" s="80"/>
      <c r="J53" s="80"/>
      <c r="L53" s="54" t="s">
        <v>205</v>
      </c>
    </row>
    <row r="54" spans="2:12" x14ac:dyDescent="0.2">
      <c r="B54" s="5" t="s">
        <v>206</v>
      </c>
      <c r="C54" s="80"/>
      <c r="D54" s="80"/>
      <c r="E54" s="80"/>
      <c r="F54" s="80"/>
      <c r="G54" s="80"/>
      <c r="I54" s="80"/>
      <c r="J54" s="80"/>
      <c r="L54" s="54" t="s">
        <v>207</v>
      </c>
    </row>
    <row r="55" spans="2:12" x14ac:dyDescent="0.2">
      <c r="B55" s="5" t="s">
        <v>208</v>
      </c>
      <c r="C55" s="80"/>
      <c r="D55" s="80"/>
      <c r="E55" s="80"/>
      <c r="F55" s="80"/>
      <c r="G55" s="80"/>
      <c r="I55" s="80"/>
      <c r="J55" s="80"/>
      <c r="L55" s="54" t="s">
        <v>209</v>
      </c>
    </row>
    <row r="56" spans="2:12" x14ac:dyDescent="0.2">
      <c r="B56" s="67" t="s">
        <v>210</v>
      </c>
      <c r="I56" s="80"/>
      <c r="J56" s="80"/>
    </row>
    <row r="57" spans="2:12" x14ac:dyDescent="0.2">
      <c r="B57" s="5" t="s">
        <v>211</v>
      </c>
      <c r="C57" s="80"/>
      <c r="D57" s="80"/>
      <c r="E57" s="80"/>
      <c r="F57" s="80"/>
      <c r="G57" s="80"/>
      <c r="I57" s="80"/>
      <c r="J57" s="80"/>
      <c r="L57" s="54" t="s">
        <v>212</v>
      </c>
    </row>
    <row r="58" spans="2:12" x14ac:dyDescent="0.2">
      <c r="B58" s="5" t="s">
        <v>213</v>
      </c>
      <c r="C58" s="80"/>
      <c r="D58" s="80"/>
      <c r="E58" s="80"/>
      <c r="F58" s="80"/>
      <c r="G58" s="80"/>
      <c r="I58" s="80"/>
      <c r="J58" s="80"/>
      <c r="L58" s="54" t="s">
        <v>214</v>
      </c>
    </row>
    <row r="59" spans="2:12" x14ac:dyDescent="0.2">
      <c r="B59" s="5" t="s">
        <v>215</v>
      </c>
      <c r="C59" s="80"/>
      <c r="D59" s="80"/>
      <c r="E59" s="80"/>
      <c r="F59" s="80"/>
      <c r="G59" s="80"/>
      <c r="I59" s="80"/>
      <c r="J59" s="80"/>
      <c r="L59" s="54" t="s">
        <v>216</v>
      </c>
    </row>
    <row r="60" spans="2:12" x14ac:dyDescent="0.2">
      <c r="B60" s="5" t="s">
        <v>217</v>
      </c>
      <c r="C60" s="80"/>
      <c r="D60" s="80"/>
      <c r="E60" s="80"/>
      <c r="F60" s="80"/>
      <c r="G60" s="80"/>
      <c r="I60" s="80"/>
      <c r="J60" s="80"/>
      <c r="L60" s="54" t="s">
        <v>218</v>
      </c>
    </row>
  </sheetData>
  <hyperlinks>
    <hyperlink ref="A1" location="Main!A1" display="Main" xr:uid="{AD063A50-6E58-4986-BCAA-4FCD23F4C69A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BDD0-C191-4CAB-A346-D01EA05032B2}">
  <dimension ref="A1:H41"/>
  <sheetViews>
    <sheetView showGridLines="0" workbookViewId="0">
      <selection activeCell="A2" sqref="A2"/>
    </sheetView>
  </sheetViews>
  <sheetFormatPr defaultRowHeight="12.75" x14ac:dyDescent="0.2"/>
  <cols>
    <col min="1" max="16384" width="9.140625" style="5"/>
  </cols>
  <sheetData>
    <row r="1" spans="1:8" x14ac:dyDescent="0.2">
      <c r="A1" s="4" t="s">
        <v>8</v>
      </c>
    </row>
    <row r="3" spans="1:8" x14ac:dyDescent="0.2">
      <c r="B3" s="26" t="s">
        <v>219</v>
      </c>
      <c r="C3" s="26"/>
      <c r="D3" s="26"/>
      <c r="E3" s="26"/>
      <c r="F3" s="26"/>
    </row>
    <row r="4" spans="1:8" x14ac:dyDescent="0.2">
      <c r="A4" s="66" t="s">
        <v>132</v>
      </c>
      <c r="B4" s="67" t="s">
        <v>220</v>
      </c>
    </row>
    <row r="5" spans="1:8" x14ac:dyDescent="0.2">
      <c r="B5" s="67" t="s">
        <v>221</v>
      </c>
    </row>
    <row r="6" spans="1:8" x14ac:dyDescent="0.2">
      <c r="B6" s="5" t="s">
        <v>222</v>
      </c>
      <c r="F6" s="11">
        <f>+(1+4.283%)/(1+1.855%)-1</f>
        <v>2.3837808649550762E-2</v>
      </c>
      <c r="H6" s="54" t="s">
        <v>223</v>
      </c>
    </row>
    <row r="7" spans="1:8" x14ac:dyDescent="0.2">
      <c r="B7" s="5" t="s">
        <v>224</v>
      </c>
      <c r="F7" s="11">
        <v>4.283E-2</v>
      </c>
      <c r="H7" s="54" t="s">
        <v>225</v>
      </c>
    </row>
    <row r="8" spans="1:8" x14ac:dyDescent="0.2">
      <c r="B8" s="5" t="s">
        <v>221</v>
      </c>
      <c r="F8" s="11">
        <f>F6+F7</f>
        <v>6.6667808649550769E-2</v>
      </c>
      <c r="H8" s="54" t="s">
        <v>226</v>
      </c>
    </row>
    <row r="10" spans="1:8" x14ac:dyDescent="0.2">
      <c r="A10" s="66" t="s">
        <v>132</v>
      </c>
      <c r="B10" s="67" t="s">
        <v>227</v>
      </c>
    </row>
    <row r="11" spans="1:8" x14ac:dyDescent="0.2">
      <c r="B11" s="5" t="s">
        <v>228</v>
      </c>
      <c r="F11" s="68">
        <f>+Data!J3</f>
        <v>1.6337339776384581</v>
      </c>
      <c r="H11" s="54" t="s">
        <v>229</v>
      </c>
    </row>
    <row r="12" spans="1:8" x14ac:dyDescent="0.2">
      <c r="B12" s="5" t="s">
        <v>230</v>
      </c>
      <c r="H12" s="54" t="s">
        <v>231</v>
      </c>
    </row>
    <row r="13" spans="1:8" x14ac:dyDescent="0.2">
      <c r="B13" s="5" t="s">
        <v>232</v>
      </c>
      <c r="H13" s="54" t="s">
        <v>233</v>
      </c>
    </row>
    <row r="14" spans="1:8" x14ac:dyDescent="0.2">
      <c r="B14" s="5" t="s">
        <v>234</v>
      </c>
      <c r="H14" s="54" t="s">
        <v>235</v>
      </c>
    </row>
    <row r="15" spans="1:8" x14ac:dyDescent="0.2">
      <c r="B15" s="5" t="s">
        <v>236</v>
      </c>
      <c r="F15" s="68">
        <f>+Data!J7</f>
        <v>1.6337339776384596</v>
      </c>
      <c r="H15" s="54" t="s">
        <v>237</v>
      </c>
    </row>
    <row r="17" spans="1:8" x14ac:dyDescent="0.2">
      <c r="A17" s="66" t="s">
        <v>132</v>
      </c>
      <c r="B17" s="67" t="s">
        <v>238</v>
      </c>
    </row>
    <row r="18" spans="1:8" x14ac:dyDescent="0.2">
      <c r="B18" s="5" t="s">
        <v>239</v>
      </c>
      <c r="F18" s="69">
        <v>0.11</v>
      </c>
      <c r="H18" s="54" t="s">
        <v>240</v>
      </c>
    </row>
    <row r="19" spans="1:8" x14ac:dyDescent="0.2">
      <c r="B19" s="5" t="s">
        <v>221</v>
      </c>
      <c r="F19" s="69">
        <f>+F8</f>
        <v>6.6667808649550769E-2</v>
      </c>
    </row>
    <row r="20" spans="1:8" x14ac:dyDescent="0.2">
      <c r="B20" s="5" t="s">
        <v>238</v>
      </c>
      <c r="F20" s="11">
        <f>F18-F19</f>
        <v>4.3332191350449231E-2</v>
      </c>
    </row>
    <row r="22" spans="1:8" x14ac:dyDescent="0.2">
      <c r="A22" s="66" t="s">
        <v>132</v>
      </c>
      <c r="B22" s="70" t="s">
        <v>220</v>
      </c>
      <c r="C22" s="8"/>
      <c r="D22" s="8"/>
      <c r="E22" s="8"/>
      <c r="F22" s="71">
        <f>F8+F15*F20</f>
        <v>0.13746108198431106</v>
      </c>
      <c r="H22" s="54" t="s">
        <v>241</v>
      </c>
    </row>
    <row r="25" spans="1:8" x14ac:dyDescent="0.2">
      <c r="A25" s="66" t="s">
        <v>132</v>
      </c>
      <c r="B25" s="67" t="s">
        <v>242</v>
      </c>
    </row>
    <row r="26" spans="1:8" x14ac:dyDescent="0.2">
      <c r="B26" s="5" t="s">
        <v>243</v>
      </c>
      <c r="F26" s="72">
        <v>4.2500000000000003E-2</v>
      </c>
      <c r="H26" s="54" t="s">
        <v>244</v>
      </c>
    </row>
    <row r="27" spans="1:8" x14ac:dyDescent="0.2">
      <c r="B27" s="5" t="s">
        <v>245</v>
      </c>
    </row>
    <row r="28" spans="1:8" x14ac:dyDescent="0.2">
      <c r="B28" s="5" t="s">
        <v>221</v>
      </c>
      <c r="F28" s="69"/>
    </row>
    <row r="29" spans="1:8" x14ac:dyDescent="0.2">
      <c r="B29" s="5" t="s">
        <v>246</v>
      </c>
      <c r="H29" s="5" t="s">
        <v>1382</v>
      </c>
    </row>
    <row r="30" spans="1:8" x14ac:dyDescent="0.2">
      <c r="B30" s="5" t="s">
        <v>247</v>
      </c>
      <c r="F30" s="5">
        <v>0</v>
      </c>
    </row>
    <row r="32" spans="1:8" x14ac:dyDescent="0.2">
      <c r="A32" s="66" t="s">
        <v>132</v>
      </c>
      <c r="B32" s="70" t="s">
        <v>242</v>
      </c>
      <c r="C32" s="8"/>
      <c r="D32" s="8"/>
      <c r="E32" s="8"/>
      <c r="F32" s="73">
        <f>+F26</f>
        <v>4.2500000000000003E-2</v>
      </c>
    </row>
    <row r="34" spans="1:8" x14ac:dyDescent="0.2">
      <c r="A34" s="66" t="s">
        <v>132</v>
      </c>
      <c r="B34" s="67" t="s">
        <v>248</v>
      </c>
    </row>
    <row r="35" spans="1:8" x14ac:dyDescent="0.2">
      <c r="B35" s="5" t="s">
        <v>249</v>
      </c>
      <c r="F35" s="5">
        <f>+Main!H6</f>
        <v>1335.8209999999999</v>
      </c>
    </row>
    <row r="36" spans="1:8" x14ac:dyDescent="0.2">
      <c r="B36" s="5" t="s">
        <v>250</v>
      </c>
      <c r="F36" s="5">
        <f>+Main!H4</f>
        <v>6774.6866083200002</v>
      </c>
    </row>
    <row r="37" spans="1:8" x14ac:dyDescent="0.2">
      <c r="B37" s="5" t="s">
        <v>251</v>
      </c>
      <c r="F37" s="5">
        <f>F35+F36</f>
        <v>8110.5076083200001</v>
      </c>
    </row>
    <row r="39" spans="1:8" x14ac:dyDescent="0.2">
      <c r="B39" s="5" t="s">
        <v>252</v>
      </c>
      <c r="F39" s="69">
        <v>0.21</v>
      </c>
    </row>
    <row r="41" spans="1:8" x14ac:dyDescent="0.2">
      <c r="A41" s="66" t="s">
        <v>132</v>
      </c>
      <c r="B41" s="70" t="s">
        <v>253</v>
      </c>
      <c r="C41" s="8"/>
      <c r="D41" s="8"/>
      <c r="E41" s="8"/>
      <c r="F41" s="74">
        <f>+((F35/F37)*F32*(1-F39))+(F36/F37)*F22</f>
        <v>0.12035078302102463</v>
      </c>
      <c r="H41" s="54" t="s">
        <v>254</v>
      </c>
    </row>
  </sheetData>
  <hyperlinks>
    <hyperlink ref="A1" location="Main!A1" display="Main" xr:uid="{8D2CC52A-5640-4A3E-A67A-04E16C70918C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271F-5151-4CBA-A165-5102BFC4890A}">
  <dimension ref="A1:AA76"/>
  <sheetViews>
    <sheetView showGridLines="0" tabSelected="1" workbookViewId="0">
      <selection activeCell="J4" sqref="J4"/>
    </sheetView>
  </sheetViews>
  <sheetFormatPr defaultRowHeight="12.75" x14ac:dyDescent="0.2"/>
  <cols>
    <col min="1" max="1" width="5.42578125" style="5" bestFit="1" customWidth="1"/>
    <col min="2" max="16384" width="9.140625" style="5"/>
  </cols>
  <sheetData>
    <row r="1" spans="1:27" x14ac:dyDescent="0.2">
      <c r="A1" s="18" t="s">
        <v>8</v>
      </c>
      <c r="B1" s="13" t="s">
        <v>304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x14ac:dyDescent="0.2">
      <c r="E2" s="19"/>
    </row>
    <row r="3" spans="1:27" x14ac:dyDescent="0.2">
      <c r="B3" s="5" t="s">
        <v>256</v>
      </c>
      <c r="E3" s="20" t="s">
        <v>303</v>
      </c>
      <c r="G3" s="5" t="s">
        <v>257</v>
      </c>
      <c r="J3" s="20">
        <f>+Main!H2</f>
        <v>136.34</v>
      </c>
      <c r="L3" s="5" t="s">
        <v>257</v>
      </c>
      <c r="O3" s="20">
        <f>+J3</f>
        <v>136.34</v>
      </c>
    </row>
    <row r="4" spans="1:27" x14ac:dyDescent="0.2">
      <c r="B4" s="5" t="s">
        <v>258</v>
      </c>
      <c r="E4" s="21">
        <f ca="1">+TODAY()</f>
        <v>46226</v>
      </c>
      <c r="G4" s="5" t="s">
        <v>259</v>
      </c>
      <c r="J4" s="22">
        <f ca="1">V62</f>
        <v>149.81272597413047</v>
      </c>
      <c r="L4" s="5" t="s">
        <v>260</v>
      </c>
      <c r="O4" s="23">
        <f>+J15+O15+T15</f>
        <v>0</v>
      </c>
    </row>
    <row r="5" spans="1:27" x14ac:dyDescent="0.2">
      <c r="B5" s="5" t="s">
        <v>261</v>
      </c>
      <c r="E5" s="21">
        <v>46022</v>
      </c>
      <c r="G5" s="5" t="s">
        <v>262</v>
      </c>
      <c r="J5" s="24">
        <f ca="1">J4/J3-1</f>
        <v>9.8817118777544843E-2</v>
      </c>
      <c r="L5" s="5" t="s">
        <v>262</v>
      </c>
      <c r="O5" s="24">
        <f>O4/O3-1</f>
        <v>-1</v>
      </c>
    </row>
    <row r="7" spans="1:27" x14ac:dyDescent="0.2">
      <c r="A7" s="25" t="s">
        <v>132</v>
      </c>
      <c r="B7" s="26" t="s">
        <v>263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spans="1:27" x14ac:dyDescent="0.2">
      <c r="A8" s="25"/>
    </row>
    <row r="9" spans="1:27" x14ac:dyDescent="0.2">
      <c r="A9" s="25"/>
      <c r="B9" s="27" t="s">
        <v>264</v>
      </c>
      <c r="C9" s="28"/>
      <c r="D9" s="28"/>
      <c r="E9" s="28"/>
      <c r="G9" s="27" t="s">
        <v>265</v>
      </c>
      <c r="H9" s="27"/>
      <c r="I9" s="28"/>
      <c r="J9" s="28"/>
      <c r="L9" s="27" t="s">
        <v>266</v>
      </c>
      <c r="M9" s="28"/>
      <c r="N9" s="28"/>
      <c r="O9" s="28"/>
      <c r="Q9" s="27" t="s">
        <v>267</v>
      </c>
      <c r="R9" s="28"/>
      <c r="S9" s="28"/>
      <c r="T9" s="28"/>
    </row>
    <row r="10" spans="1:27" x14ac:dyDescent="0.2">
      <c r="A10" s="25"/>
      <c r="B10" s="6" t="s">
        <v>268</v>
      </c>
      <c r="G10" s="6" t="s">
        <v>268</v>
      </c>
      <c r="H10" s="6"/>
      <c r="I10" s="6" t="s">
        <v>269</v>
      </c>
      <c r="J10" s="6" t="s">
        <v>270</v>
      </c>
      <c r="L10" s="6" t="s">
        <v>268</v>
      </c>
      <c r="N10" s="6" t="s">
        <v>269</v>
      </c>
      <c r="O10" s="6" t="s">
        <v>270</v>
      </c>
      <c r="Q10" s="6" t="s">
        <v>268</v>
      </c>
      <c r="S10" s="6" t="s">
        <v>269</v>
      </c>
      <c r="T10" s="6" t="s">
        <v>270</v>
      </c>
    </row>
    <row r="11" spans="1:27" x14ac:dyDescent="0.2">
      <c r="B11" s="5" t="s">
        <v>24</v>
      </c>
      <c r="E11" s="29">
        <v>2</v>
      </c>
      <c r="G11" s="5" t="s">
        <v>271</v>
      </c>
      <c r="K11" s="7"/>
      <c r="L11" s="5" t="s">
        <v>271</v>
      </c>
      <c r="Q11" s="5" t="s">
        <v>271</v>
      </c>
    </row>
    <row r="12" spans="1:27" x14ac:dyDescent="0.2">
      <c r="B12" s="5" t="s">
        <v>272</v>
      </c>
      <c r="E12" s="29">
        <v>2</v>
      </c>
      <c r="G12" s="5" t="s">
        <v>272</v>
      </c>
      <c r="L12" s="5" t="s">
        <v>272</v>
      </c>
      <c r="Q12" s="5" t="s">
        <v>272</v>
      </c>
    </row>
    <row r="13" spans="1:27" x14ac:dyDescent="0.2">
      <c r="B13" s="5" t="s">
        <v>253</v>
      </c>
      <c r="E13" s="29">
        <v>2</v>
      </c>
      <c r="G13" s="5" t="s">
        <v>273</v>
      </c>
      <c r="J13" s="30"/>
      <c r="O13" s="30"/>
      <c r="T13" s="30"/>
    </row>
    <row r="14" spans="1:27" x14ac:dyDescent="0.2">
      <c r="B14" s="5" t="s">
        <v>274</v>
      </c>
      <c r="E14" s="29">
        <v>2</v>
      </c>
      <c r="G14" s="5" t="s">
        <v>275</v>
      </c>
      <c r="J14" s="30"/>
      <c r="L14" s="5" t="s">
        <v>275</v>
      </c>
      <c r="O14" s="30"/>
      <c r="Q14" s="5" t="s">
        <v>275</v>
      </c>
      <c r="T14" s="30"/>
    </row>
    <row r="15" spans="1:27" x14ac:dyDescent="0.2">
      <c r="B15" s="5" t="s">
        <v>276</v>
      </c>
      <c r="E15" s="29">
        <v>2</v>
      </c>
      <c r="G15" s="5" t="s">
        <v>277</v>
      </c>
      <c r="J15" s="30"/>
      <c r="L15" s="5" t="s">
        <v>277</v>
      </c>
      <c r="O15" s="30"/>
      <c r="Q15" s="5" t="s">
        <v>277</v>
      </c>
      <c r="T15" s="30"/>
    </row>
    <row r="17" spans="1:22" x14ac:dyDescent="0.2">
      <c r="B17" s="6" t="s">
        <v>278</v>
      </c>
    </row>
    <row r="18" spans="1:22" x14ac:dyDescent="0.2">
      <c r="B18" s="5" t="s">
        <v>253</v>
      </c>
      <c r="E18" s="30">
        <f>CHOOSE(E13,J18,O18,T18)</f>
        <v>0.105</v>
      </c>
      <c r="G18" s="5" t="s">
        <v>253</v>
      </c>
      <c r="J18" s="30">
        <v>0.12</v>
      </c>
      <c r="L18" s="5" t="s">
        <v>253</v>
      </c>
      <c r="O18" s="30">
        <v>0.105</v>
      </c>
      <c r="Q18" s="5" t="s">
        <v>253</v>
      </c>
      <c r="T18" s="30">
        <v>0.09</v>
      </c>
    </row>
    <row r="19" spans="1:22" x14ac:dyDescent="0.2">
      <c r="B19" s="5" t="s">
        <v>274</v>
      </c>
      <c r="E19" s="30">
        <f>CHOOSE(E14,J19,O19,T19)</f>
        <v>2.5000000000000001E-2</v>
      </c>
      <c r="G19" s="5" t="s">
        <v>274</v>
      </c>
      <c r="J19" s="30" t="s">
        <v>1383</v>
      </c>
      <c r="L19" s="5" t="s">
        <v>274</v>
      </c>
      <c r="O19" s="30">
        <v>2.5000000000000001E-2</v>
      </c>
      <c r="Q19" s="5" t="s">
        <v>274</v>
      </c>
      <c r="T19" s="30">
        <v>0.03</v>
      </c>
    </row>
    <row r="20" spans="1:22" x14ac:dyDescent="0.2">
      <c r="B20" s="5" t="s">
        <v>279</v>
      </c>
      <c r="E20" s="30">
        <f>CHOOSE(E15,J20,O20,T20)</f>
        <v>0.12</v>
      </c>
      <c r="G20" s="5" t="s">
        <v>279</v>
      </c>
      <c r="J20" s="30">
        <v>0.11</v>
      </c>
      <c r="L20" s="5" t="s">
        <v>279</v>
      </c>
      <c r="O20" s="30">
        <v>0.12</v>
      </c>
      <c r="Q20" s="5" t="s">
        <v>279</v>
      </c>
      <c r="T20" s="30">
        <v>0.13</v>
      </c>
    </row>
    <row r="24" spans="1:22" x14ac:dyDescent="0.2">
      <c r="A24" s="25" t="s">
        <v>132</v>
      </c>
      <c r="B24" s="26" t="s">
        <v>280</v>
      </c>
      <c r="C24" s="26"/>
      <c r="D24" s="26"/>
      <c r="E24" s="26"/>
      <c r="F24" s="26"/>
      <c r="G24" s="31">
        <v>19</v>
      </c>
      <c r="H24" s="31">
        <f>G24+1</f>
        <v>20</v>
      </c>
      <c r="I24" s="31">
        <f t="shared" ref="I24:V24" si="0">H24+1</f>
        <v>21</v>
      </c>
      <c r="J24" s="31">
        <f t="shared" si="0"/>
        <v>22</v>
      </c>
      <c r="K24" s="31">
        <f t="shared" si="0"/>
        <v>23</v>
      </c>
      <c r="L24" s="31">
        <f t="shared" si="0"/>
        <v>24</v>
      </c>
      <c r="M24" s="31">
        <f t="shared" si="0"/>
        <v>25</v>
      </c>
      <c r="N24" s="31">
        <f t="shared" si="0"/>
        <v>26</v>
      </c>
      <c r="O24" s="31">
        <f t="shared" si="0"/>
        <v>27</v>
      </c>
      <c r="P24" s="31">
        <f t="shared" si="0"/>
        <v>28</v>
      </c>
      <c r="Q24" s="31">
        <f t="shared" si="0"/>
        <v>29</v>
      </c>
      <c r="R24" s="31">
        <f t="shared" si="0"/>
        <v>30</v>
      </c>
      <c r="S24" s="31">
        <f t="shared" si="0"/>
        <v>31</v>
      </c>
      <c r="T24" s="31">
        <f t="shared" si="0"/>
        <v>32</v>
      </c>
      <c r="U24" s="31">
        <f t="shared" si="0"/>
        <v>33</v>
      </c>
      <c r="V24" s="31">
        <f t="shared" si="0"/>
        <v>34</v>
      </c>
    </row>
    <row r="25" spans="1:22" x14ac:dyDescent="0.2">
      <c r="B25" s="5" t="s">
        <v>271</v>
      </c>
      <c r="G25" s="32">
        <f>+Model!U18</f>
        <v>1230.5930000000001</v>
      </c>
      <c r="H25" s="32">
        <f>+Model!V18</f>
        <v>1385.951</v>
      </c>
      <c r="I25" s="32">
        <f>+Model!W18</f>
        <v>2313.4160000000002</v>
      </c>
      <c r="J25" s="32">
        <f>+Model!X18</f>
        <v>3554.9850000000001</v>
      </c>
      <c r="K25" s="32">
        <f>+Model!Y18</f>
        <v>3962.3470000000002</v>
      </c>
      <c r="L25" s="32">
        <f>+Model!Z18</f>
        <v>4102.1080000000002</v>
      </c>
      <c r="M25" s="32">
        <f ca="1">L25*(1+M26)</f>
        <v>4143.1290800000006</v>
      </c>
      <c r="N25" s="32">
        <f t="shared" ref="N25:V25" ca="1" si="1">M25*(1+N26)</f>
        <v>4254.9935651599999</v>
      </c>
      <c r="O25" s="32">
        <f t="shared" ca="1" si="1"/>
        <v>4365.2829983689471</v>
      </c>
      <c r="P25" s="32">
        <f t="shared" ca="1" si="1"/>
        <v>4473.9052082739618</v>
      </c>
      <c r="Q25" s="32">
        <f t="shared" ca="1" si="1"/>
        <v>4580.7772832293431</v>
      </c>
      <c r="R25" s="32">
        <f t="shared" ca="1" si="1"/>
        <v>4685.8253037755412</v>
      </c>
      <c r="S25" s="32">
        <f t="shared" ca="1" si="1"/>
        <v>4788.9840422729303</v>
      </c>
      <c r="T25" s="32">
        <f t="shared" ca="1" si="1"/>
        <v>4890.1966354960423</v>
      </c>
      <c r="U25" s="32">
        <f t="shared" ca="1" si="1"/>
        <v>4989.4142355843478</v>
      </c>
      <c r="V25" s="32">
        <f t="shared" ca="1" si="1"/>
        <v>5086.59564432352</v>
      </c>
    </row>
    <row r="26" spans="1:22" x14ac:dyDescent="0.2">
      <c r="B26" s="33" t="s">
        <v>281</v>
      </c>
      <c r="C26" s="34"/>
      <c r="G26" s="35"/>
      <c r="H26" s="36">
        <f t="shared" ref="H26:L26" si="2">H25/G25-1</f>
        <v>0.12624645191383332</v>
      </c>
      <c r="I26" s="36">
        <f t="shared" si="2"/>
        <v>0.6691903249104767</v>
      </c>
      <c r="J26" s="36">
        <f t="shared" si="2"/>
        <v>0.53668211856406289</v>
      </c>
      <c r="K26" s="36">
        <f t="shared" si="2"/>
        <v>0.11458895044564188</v>
      </c>
      <c r="L26" s="36">
        <f t="shared" si="2"/>
        <v>3.5272276759203525E-2</v>
      </c>
      <c r="M26" s="36" cm="1">
        <f t="array" aca="1" ref="M26" ca="1">OFFSET(M26,$E$11,,)</f>
        <v>0.01</v>
      </c>
      <c r="N26" s="36" cm="1">
        <f t="array" aca="1" ref="N26" ca="1">OFFSET(N26,$E$11,,)</f>
        <v>2.7E-2</v>
      </c>
      <c r="O26" s="36" cm="1">
        <f t="array" aca="1" ref="O26" ca="1">OFFSET(O26,$E$11,,)</f>
        <v>2.5919999999999999E-2</v>
      </c>
      <c r="P26" s="36" cm="1">
        <f t="array" aca="1" ref="P26" ca="1">OFFSET(P26,$E$11,,)</f>
        <v>2.4883199999999998E-2</v>
      </c>
      <c r="Q26" s="36" cm="1">
        <f t="array" aca="1" ref="Q26" ca="1">OFFSET(Q26,$E$11,,)</f>
        <v>2.3887871999999997E-2</v>
      </c>
      <c r="R26" s="36" cm="1">
        <f t="array" aca="1" ref="R26" ca="1">OFFSET(R26,$E$11,,)</f>
        <v>2.2932357119999996E-2</v>
      </c>
      <c r="S26" s="36" cm="1">
        <f t="array" aca="1" ref="S26" ca="1">OFFSET(S26,$E$11,,)</f>
        <v>2.2015062835199994E-2</v>
      </c>
      <c r="T26" s="36" cm="1">
        <f t="array" aca="1" ref="T26" ca="1">OFFSET(T26,$E$11,,)</f>
        <v>2.1134460321791993E-2</v>
      </c>
      <c r="U26" s="36" cm="1">
        <f t="array" aca="1" ref="U26" ca="1">OFFSET(U26,$E$11,,)</f>
        <v>2.0289081908920311E-2</v>
      </c>
      <c r="V26" s="36" cm="1">
        <f t="array" aca="1" ref="V26" ca="1">OFFSET(V26,$E$11,,)</f>
        <v>1.9477518632563497E-2</v>
      </c>
    </row>
    <row r="27" spans="1:22" x14ac:dyDescent="0.2">
      <c r="B27" s="33" t="s">
        <v>265</v>
      </c>
      <c r="C27" s="34"/>
      <c r="I27" s="11"/>
      <c r="J27" s="11"/>
      <c r="K27" s="11"/>
      <c r="L27" s="11"/>
      <c r="M27" s="37">
        <f>+M28-2%</f>
        <v>-0.01</v>
      </c>
      <c r="N27" s="37">
        <f t="shared" ref="N27:V27" si="3">+N28-2%</f>
        <v>6.9999999999999993E-3</v>
      </c>
      <c r="O27" s="37">
        <f t="shared" si="3"/>
        <v>5.9199999999999982E-3</v>
      </c>
      <c r="P27" s="37">
        <f t="shared" si="3"/>
        <v>4.8831999999999973E-3</v>
      </c>
      <c r="Q27" s="37">
        <f t="shared" si="3"/>
        <v>3.8878719999999971E-3</v>
      </c>
      <c r="R27" s="37">
        <f t="shared" si="3"/>
        <v>2.9323571199999961E-3</v>
      </c>
      <c r="S27" s="37">
        <f t="shared" si="3"/>
        <v>2.015062835199994E-3</v>
      </c>
      <c r="T27" s="37">
        <f t="shared" si="3"/>
        <v>1.1344603217919927E-3</v>
      </c>
      <c r="U27" s="37">
        <f t="shared" si="3"/>
        <v>2.890819089203106E-4</v>
      </c>
      <c r="V27" s="37">
        <f t="shared" si="3"/>
        <v>-5.2248136743650309E-4</v>
      </c>
    </row>
    <row r="28" spans="1:22" x14ac:dyDescent="0.2">
      <c r="B28" s="33" t="s">
        <v>282</v>
      </c>
      <c r="C28" s="34"/>
      <c r="I28" s="11"/>
      <c r="J28" s="11"/>
      <c r="K28" s="11"/>
      <c r="L28" s="11"/>
      <c r="M28" s="37">
        <v>0.01</v>
      </c>
      <c r="N28" s="37">
        <v>2.7E-2</v>
      </c>
      <c r="O28" s="37">
        <f>+N28*(1-4%)</f>
        <v>2.5919999999999999E-2</v>
      </c>
      <c r="P28" s="37">
        <f t="shared" ref="P28:V28" si="4">+O28*(1-4%)</f>
        <v>2.4883199999999998E-2</v>
      </c>
      <c r="Q28" s="37">
        <f t="shared" si="4"/>
        <v>2.3887871999999997E-2</v>
      </c>
      <c r="R28" s="37">
        <f t="shared" si="4"/>
        <v>2.2932357119999996E-2</v>
      </c>
      <c r="S28" s="37">
        <f t="shared" si="4"/>
        <v>2.2015062835199994E-2</v>
      </c>
      <c r="T28" s="37">
        <f t="shared" si="4"/>
        <v>2.1134460321791993E-2</v>
      </c>
      <c r="U28" s="37">
        <f t="shared" si="4"/>
        <v>2.0289081908920311E-2</v>
      </c>
      <c r="V28" s="37">
        <f t="shared" si="4"/>
        <v>1.9477518632563497E-2</v>
      </c>
    </row>
    <row r="29" spans="1:22" x14ac:dyDescent="0.2">
      <c r="B29" s="33" t="s">
        <v>283</v>
      </c>
      <c r="C29" s="34"/>
      <c r="I29" s="11"/>
      <c r="J29" s="11"/>
      <c r="K29" s="11"/>
      <c r="L29" s="11"/>
      <c r="M29" s="37">
        <f>+M28+1%</f>
        <v>0.02</v>
      </c>
      <c r="N29" s="37">
        <f t="shared" ref="N29:V29" si="5">+N28+1%</f>
        <v>3.6999999999999998E-2</v>
      </c>
      <c r="O29" s="37">
        <f t="shared" si="5"/>
        <v>3.5920000000000001E-2</v>
      </c>
      <c r="P29" s="37">
        <f t="shared" si="5"/>
        <v>3.4883199999999996E-2</v>
      </c>
      <c r="Q29" s="37">
        <f t="shared" si="5"/>
        <v>3.3887871999999999E-2</v>
      </c>
      <c r="R29" s="37">
        <f t="shared" si="5"/>
        <v>3.2932357119999998E-2</v>
      </c>
      <c r="S29" s="37">
        <f t="shared" si="5"/>
        <v>3.2015062835199996E-2</v>
      </c>
      <c r="T29" s="37">
        <f t="shared" si="5"/>
        <v>3.1134460321791992E-2</v>
      </c>
      <c r="U29" s="37">
        <f t="shared" si="5"/>
        <v>3.0289081908920309E-2</v>
      </c>
      <c r="V29" s="37">
        <f t="shared" si="5"/>
        <v>2.9477518632563496E-2</v>
      </c>
    </row>
    <row r="31" spans="1:22" x14ac:dyDescent="0.2">
      <c r="B31" s="5" t="s">
        <v>272</v>
      </c>
      <c r="G31" s="32">
        <f>+Model!U22</f>
        <v>128.64900000000006</v>
      </c>
      <c r="H31" s="32">
        <f>+Model!V22</f>
        <v>214.12399999999991</v>
      </c>
      <c r="I31" s="32">
        <f>+Model!W22</f>
        <v>683.06400000000031</v>
      </c>
      <c r="J31" s="32">
        <f>+Model!X22</f>
        <v>850.7560000000002</v>
      </c>
      <c r="K31" s="32">
        <f>+Model!Y22</f>
        <v>1036.7830000000001</v>
      </c>
      <c r="L31" s="32">
        <f>+Model!Z22</f>
        <v>1021.9110000000003</v>
      </c>
      <c r="M31" s="32">
        <f ca="1">M32*M25</f>
        <v>952.91968840000015</v>
      </c>
      <c r="N31" s="32">
        <f t="shared" ref="N31:V31" ca="1" si="6">N32*N25</f>
        <v>988.43500518666804</v>
      </c>
      <c r="O31" s="32">
        <f t="shared" ca="1" si="6"/>
        <v>1024.1957929263174</v>
      </c>
      <c r="P31" s="32">
        <f t="shared" ca="1" si="6"/>
        <v>1060.1778722976703</v>
      </c>
      <c r="Q31" s="32">
        <f t="shared" ca="1" si="6"/>
        <v>1096.358298264433</v>
      </c>
      <c r="R31" s="32">
        <f t="shared" ca="1" si="6"/>
        <v>1132.7153820746253</v>
      </c>
      <c r="S31" s="32">
        <f t="shared" ca="1" si="6"/>
        <v>1169.2287042092498</v>
      </c>
      <c r="T31" s="32">
        <f t="shared" ca="1" si="6"/>
        <v>1205.879119084115</v>
      </c>
      <c r="U31" s="32">
        <f t="shared" ca="1" si="6"/>
        <v>1242.648752296504</v>
      </c>
      <c r="V31" s="32">
        <f t="shared" ca="1" si="6"/>
        <v>1279.5209911883219</v>
      </c>
    </row>
    <row r="32" spans="1:22" x14ac:dyDescent="0.2">
      <c r="B32" s="33" t="s">
        <v>284</v>
      </c>
      <c r="G32" s="36">
        <f>G31/G25</f>
        <v>0.10454228164795351</v>
      </c>
      <c r="H32" s="36">
        <f t="shared" ref="H32:L32" si="7">H31/H25</f>
        <v>0.15449608247333413</v>
      </c>
      <c r="I32" s="36">
        <f t="shared" si="7"/>
        <v>0.29526207132655791</v>
      </c>
      <c r="J32" s="36">
        <f t="shared" si="7"/>
        <v>0.23931352734259081</v>
      </c>
      <c r="K32" s="36">
        <f t="shared" si="7"/>
        <v>0.26165880979126765</v>
      </c>
      <c r="L32" s="36">
        <f t="shared" si="7"/>
        <v>0.24911850199945984</v>
      </c>
      <c r="M32" s="36" cm="1">
        <f t="array" aca="1" ref="M32" ca="1">OFFSET(M32,$E$12,,)</f>
        <v>0.23</v>
      </c>
      <c r="N32" s="36" cm="1">
        <f t="array" aca="1" ref="N32" ca="1">OFFSET(N32,$E$12,,)</f>
        <v>0.23230000000000001</v>
      </c>
      <c r="O32" s="36" cm="1">
        <f t="array" aca="1" ref="O32" ca="1">OFFSET(O32,$E$12,,)</f>
        <v>0.234623</v>
      </c>
      <c r="P32" s="36" cm="1">
        <f t="array" aca="1" ref="P32" ca="1">OFFSET(P32,$E$12,,)</f>
        <v>0.23696923</v>
      </c>
      <c r="Q32" s="36" cm="1">
        <f t="array" aca="1" ref="Q32" ca="1">OFFSET(Q32,$E$12,,)</f>
        <v>0.23933892230000001</v>
      </c>
      <c r="R32" s="36" cm="1">
        <f t="array" aca="1" ref="R32" ca="1">OFFSET(R32,$E$12,,)</f>
        <v>0.24173231152300001</v>
      </c>
      <c r="S32" s="36" cm="1">
        <f t="array" aca="1" ref="S32" ca="1">OFFSET(S32,$E$12,,)</f>
        <v>0.24414963463823</v>
      </c>
      <c r="T32" s="36" cm="1">
        <f t="array" aca="1" ref="T32" ca="1">OFFSET(T32,$E$12,,)</f>
        <v>0.2465911309846123</v>
      </c>
      <c r="U32" s="36" cm="1">
        <f t="array" aca="1" ref="U32" ca="1">OFFSET(U32,$E$12,,)</f>
        <v>0.24905704229445844</v>
      </c>
      <c r="V32" s="36" cm="1">
        <f t="array" aca="1" ref="V32" ca="1">OFFSET(V32,$E$12,,)</f>
        <v>0.251547612717403</v>
      </c>
    </row>
    <row r="33" spans="2:22" x14ac:dyDescent="0.2">
      <c r="B33" s="33" t="s">
        <v>265</v>
      </c>
      <c r="M33" s="37">
        <f>+M34-2%</f>
        <v>0.21000000000000002</v>
      </c>
      <c r="N33" s="37">
        <f t="shared" ref="N33:V33" si="8">+N34-2%</f>
        <v>0.21230000000000002</v>
      </c>
      <c r="O33" s="37">
        <f t="shared" si="8"/>
        <v>0.21462300000000001</v>
      </c>
      <c r="P33" s="37">
        <f t="shared" si="8"/>
        <v>0.21696923000000001</v>
      </c>
      <c r="Q33" s="37">
        <f t="shared" si="8"/>
        <v>0.21933892230000002</v>
      </c>
      <c r="R33" s="37">
        <f t="shared" si="8"/>
        <v>0.22173231152300002</v>
      </c>
      <c r="S33" s="37">
        <f t="shared" si="8"/>
        <v>0.22414963463823001</v>
      </c>
      <c r="T33" s="37">
        <f t="shared" si="8"/>
        <v>0.22659113098461231</v>
      </c>
      <c r="U33" s="37">
        <f t="shared" si="8"/>
        <v>0.22905704229445845</v>
      </c>
      <c r="V33" s="37">
        <f t="shared" si="8"/>
        <v>0.23154761271740301</v>
      </c>
    </row>
    <row r="34" spans="2:22" x14ac:dyDescent="0.2">
      <c r="B34" s="33" t="s">
        <v>282</v>
      </c>
      <c r="M34" s="37">
        <v>0.23</v>
      </c>
      <c r="N34" s="37">
        <f>+M34*(1+1%)</f>
        <v>0.23230000000000001</v>
      </c>
      <c r="O34" s="37">
        <f t="shared" ref="O34:V34" si="9">+N34*(1+1%)</f>
        <v>0.234623</v>
      </c>
      <c r="P34" s="37">
        <f t="shared" si="9"/>
        <v>0.23696923</v>
      </c>
      <c r="Q34" s="37">
        <f t="shared" si="9"/>
        <v>0.23933892230000001</v>
      </c>
      <c r="R34" s="37">
        <f t="shared" si="9"/>
        <v>0.24173231152300001</v>
      </c>
      <c r="S34" s="37">
        <f t="shared" si="9"/>
        <v>0.24414963463823</v>
      </c>
      <c r="T34" s="37">
        <f t="shared" si="9"/>
        <v>0.2465911309846123</v>
      </c>
      <c r="U34" s="37">
        <f t="shared" si="9"/>
        <v>0.24905704229445844</v>
      </c>
      <c r="V34" s="37">
        <f t="shared" si="9"/>
        <v>0.251547612717403</v>
      </c>
    </row>
    <row r="35" spans="2:22" x14ac:dyDescent="0.2">
      <c r="B35" s="33" t="s">
        <v>283</v>
      </c>
      <c r="M35" s="37">
        <f>+M34+1%</f>
        <v>0.24000000000000002</v>
      </c>
      <c r="N35" s="37">
        <f t="shared" ref="N35:V35" si="10">+N34+1%</f>
        <v>0.24230000000000002</v>
      </c>
      <c r="O35" s="37">
        <f t="shared" si="10"/>
        <v>0.24462300000000001</v>
      </c>
      <c r="P35" s="37">
        <f t="shared" si="10"/>
        <v>0.24696923000000001</v>
      </c>
      <c r="Q35" s="37">
        <f t="shared" si="10"/>
        <v>0.24933892230000002</v>
      </c>
      <c r="R35" s="37">
        <f t="shared" si="10"/>
        <v>0.25173231152300002</v>
      </c>
      <c r="S35" s="37">
        <f t="shared" si="10"/>
        <v>0.25414963463822998</v>
      </c>
      <c r="T35" s="37">
        <f t="shared" si="10"/>
        <v>0.25659113098461228</v>
      </c>
      <c r="U35" s="37">
        <f t="shared" si="10"/>
        <v>0.25905704229445842</v>
      </c>
      <c r="V35" s="37">
        <f t="shared" si="10"/>
        <v>0.26154761271740301</v>
      </c>
    </row>
    <row r="37" spans="2:22" x14ac:dyDescent="0.2">
      <c r="B37" s="5" t="s">
        <v>285</v>
      </c>
      <c r="G37" s="32">
        <f>+Model!U28</f>
        <v>-0.17499999999999999</v>
      </c>
      <c r="H37" s="32">
        <f>+Model!V28</f>
        <v>-105.88200000000001</v>
      </c>
      <c r="I37" s="32">
        <f>+Model!W28</f>
        <v>-61.844999999999999</v>
      </c>
      <c r="J37" s="32">
        <f>+Model!X28</f>
        <v>178.34899999999999</v>
      </c>
      <c r="K37" s="32">
        <f>+Model!Y28</f>
        <v>83.706000000000003</v>
      </c>
      <c r="L37" s="32">
        <f>+Model!Z28</f>
        <v>-39.485999999999997</v>
      </c>
      <c r="M37" s="32">
        <f ca="1">M38*M31</f>
        <v>200.11313456400003</v>
      </c>
      <c r="N37" s="32">
        <f t="shared" ref="N37:V37" ca="1" si="11">N38*N31</f>
        <v>207.57135108920028</v>
      </c>
      <c r="O37" s="32">
        <f t="shared" ca="1" si="11"/>
        <v>215.08111651452666</v>
      </c>
      <c r="P37" s="32">
        <f t="shared" ca="1" si="11"/>
        <v>222.63735318251076</v>
      </c>
      <c r="Q37" s="32">
        <f t="shared" ca="1" si="11"/>
        <v>230.23524263553091</v>
      </c>
      <c r="R37" s="32">
        <f t="shared" ca="1" si="11"/>
        <v>237.8702302356713</v>
      </c>
      <c r="S37" s="32">
        <f t="shared" ca="1" si="11"/>
        <v>245.53802788394245</v>
      </c>
      <c r="T37" s="32">
        <f t="shared" ca="1" si="11"/>
        <v>253.23461500766413</v>
      </c>
      <c r="U37" s="32">
        <f t="shared" ca="1" si="11"/>
        <v>260.9562379822658</v>
      </c>
      <c r="V37" s="32">
        <f t="shared" ca="1" si="11"/>
        <v>268.69940814954759</v>
      </c>
    </row>
    <row r="38" spans="2:22" x14ac:dyDescent="0.2">
      <c r="B38" s="34" t="s">
        <v>286</v>
      </c>
      <c r="G38" s="36">
        <f t="shared" ref="G38:L38" si="12">G37/G31</f>
        <v>-1.3602904025682276E-3</v>
      </c>
      <c r="H38" s="36">
        <f t="shared" si="12"/>
        <v>-0.49448917449702062</v>
      </c>
      <c r="I38" s="36">
        <f t="shared" si="12"/>
        <v>-9.0540564280945812E-2</v>
      </c>
      <c r="J38" s="36">
        <f t="shared" si="12"/>
        <v>0.20963590030514032</v>
      </c>
      <c r="K38" s="36">
        <f t="shared" si="12"/>
        <v>8.0736277504550119E-2</v>
      </c>
      <c r="L38" s="36">
        <f t="shared" si="12"/>
        <v>-3.8639372704668003E-2</v>
      </c>
      <c r="M38" s="36">
        <v>0.21</v>
      </c>
      <c r="N38" s="36">
        <v>0.21</v>
      </c>
      <c r="O38" s="36">
        <v>0.21</v>
      </c>
      <c r="P38" s="36">
        <v>0.21</v>
      </c>
      <c r="Q38" s="36">
        <v>0.21</v>
      </c>
      <c r="R38" s="36">
        <v>0.21</v>
      </c>
      <c r="S38" s="36">
        <v>0.21</v>
      </c>
      <c r="T38" s="36">
        <v>0.21</v>
      </c>
      <c r="U38" s="36">
        <v>0.21</v>
      </c>
      <c r="V38" s="36">
        <v>0.21</v>
      </c>
    </row>
    <row r="39" spans="2:22" x14ac:dyDescent="0.2">
      <c r="B39" s="34"/>
    </row>
    <row r="40" spans="2:22" x14ac:dyDescent="0.2">
      <c r="B40" s="38" t="s">
        <v>287</v>
      </c>
      <c r="C40" s="39"/>
      <c r="D40" s="39"/>
      <c r="E40" s="39"/>
      <c r="F40" s="39"/>
      <c r="G40" s="40">
        <f t="shared" ref="G40:V40" si="13">G31-G37</f>
        <v>128.82400000000007</v>
      </c>
      <c r="H40" s="40">
        <f t="shared" si="13"/>
        <v>320.00599999999991</v>
      </c>
      <c r="I40" s="40">
        <f t="shared" si="13"/>
        <v>744.90900000000033</v>
      </c>
      <c r="J40" s="40">
        <f t="shared" si="13"/>
        <v>672.40700000000015</v>
      </c>
      <c r="K40" s="40">
        <f t="shared" si="13"/>
        <v>953.07700000000011</v>
      </c>
      <c r="L40" s="40">
        <f t="shared" si="13"/>
        <v>1061.3970000000004</v>
      </c>
      <c r="M40" s="40">
        <f t="shared" ca="1" si="13"/>
        <v>752.80655383600015</v>
      </c>
      <c r="N40" s="40">
        <f t="shared" ca="1" si="13"/>
        <v>780.86365409746782</v>
      </c>
      <c r="O40" s="40">
        <f t="shared" ca="1" si="13"/>
        <v>809.1146764117907</v>
      </c>
      <c r="P40" s="40">
        <f t="shared" ca="1" si="13"/>
        <v>837.54051911515955</v>
      </c>
      <c r="Q40" s="40">
        <f t="shared" ca="1" si="13"/>
        <v>866.12305562890208</v>
      </c>
      <c r="R40" s="40">
        <f t="shared" ca="1" si="13"/>
        <v>894.84515183895394</v>
      </c>
      <c r="S40" s="40">
        <f t="shared" ca="1" si="13"/>
        <v>923.69067632530732</v>
      </c>
      <c r="T40" s="40">
        <f t="shared" ca="1" si="13"/>
        <v>952.64450407645086</v>
      </c>
      <c r="U40" s="40">
        <f t="shared" ca="1" si="13"/>
        <v>981.69251431423822</v>
      </c>
      <c r="V40" s="41">
        <f t="shared" ca="1" si="13"/>
        <v>1010.8215830387743</v>
      </c>
    </row>
    <row r="42" spans="2:22" x14ac:dyDescent="0.2">
      <c r="B42" s="5" t="s">
        <v>288</v>
      </c>
      <c r="G42" s="32">
        <f>+Model!U83+Model!U88</f>
        <v>38.625</v>
      </c>
      <c r="H42" s="32">
        <f>+Model!V83+Model!V88</f>
        <v>43.980000000000004</v>
      </c>
      <c r="I42" s="32">
        <f>+Model!W83+Model!W88</f>
        <v>70.097999999999999</v>
      </c>
      <c r="J42" s="32">
        <f>+Model!X83+Model!X88</f>
        <v>70.531999999999996</v>
      </c>
      <c r="K42" s="32">
        <f>+Model!Y83+Model!Y88</f>
        <v>83.376000000000005</v>
      </c>
      <c r="L42" s="32">
        <f>+Model!Z83+Model!Z88</f>
        <v>102.893</v>
      </c>
      <c r="M42" s="32">
        <f ca="1">M43*M25</f>
        <v>107.72135608000001</v>
      </c>
      <c r="N42" s="32">
        <f t="shared" ref="N42:V42" ca="1" si="14">N43*N25</f>
        <v>110.62983269415999</v>
      </c>
      <c r="O42" s="32">
        <f t="shared" ca="1" si="14"/>
        <v>113.49735795759263</v>
      </c>
      <c r="P42" s="32">
        <f t="shared" ca="1" si="14"/>
        <v>116.32153541512299</v>
      </c>
      <c r="Q42" s="32">
        <f t="shared" ca="1" si="14"/>
        <v>119.10020936396292</v>
      </c>
      <c r="R42" s="32">
        <f t="shared" ca="1" si="14"/>
        <v>121.83145789816406</v>
      </c>
      <c r="S42" s="32">
        <f t="shared" ca="1" si="14"/>
        <v>124.51358509909618</v>
      </c>
      <c r="T42" s="32">
        <f t="shared" ca="1" si="14"/>
        <v>127.14511252289709</v>
      </c>
      <c r="U42" s="32">
        <f t="shared" ca="1" si="14"/>
        <v>129.72477012519303</v>
      </c>
      <c r="V42" s="32">
        <f t="shared" ca="1" si="14"/>
        <v>132.25148675241152</v>
      </c>
    </row>
    <row r="43" spans="2:22" x14ac:dyDescent="0.2">
      <c r="B43" s="33" t="s">
        <v>284</v>
      </c>
      <c r="C43" s="35"/>
      <c r="D43" s="35"/>
      <c r="E43" s="35"/>
      <c r="F43" s="35"/>
      <c r="G43" s="42">
        <f t="shared" ref="G43:L43" si="15">G42/G25</f>
        <v>3.1387306769988126E-2</v>
      </c>
      <c r="H43" s="42">
        <f t="shared" si="15"/>
        <v>3.1732723595567232E-2</v>
      </c>
      <c r="I43" s="42">
        <f t="shared" si="15"/>
        <v>3.0300646316961583E-2</v>
      </c>
      <c r="J43" s="42">
        <f t="shared" si="15"/>
        <v>1.9840308749544653E-2</v>
      </c>
      <c r="K43" s="42">
        <f t="shared" si="15"/>
        <v>2.1042074305960584E-2</v>
      </c>
      <c r="L43" s="42">
        <f t="shared" si="15"/>
        <v>2.5082957347783139E-2</v>
      </c>
      <c r="M43" s="43">
        <v>2.5999999999999999E-2</v>
      </c>
      <c r="N43" s="43">
        <v>2.5999999999999999E-2</v>
      </c>
      <c r="O43" s="43">
        <v>2.5999999999999999E-2</v>
      </c>
      <c r="P43" s="43">
        <v>2.5999999999999999E-2</v>
      </c>
      <c r="Q43" s="43">
        <v>2.5999999999999999E-2</v>
      </c>
      <c r="R43" s="43">
        <v>2.5999999999999999E-2</v>
      </c>
      <c r="S43" s="43">
        <v>2.5999999999999999E-2</v>
      </c>
      <c r="T43" s="43">
        <v>2.5999999999999999E-2</v>
      </c>
      <c r="U43" s="43">
        <v>2.5999999999999999E-2</v>
      </c>
      <c r="V43" s="43">
        <v>2.5999999999999999E-2</v>
      </c>
    </row>
    <row r="45" spans="2:22" x14ac:dyDescent="0.2">
      <c r="B45" s="5" t="s">
        <v>104</v>
      </c>
      <c r="G45" s="32">
        <f>+Model!U101</f>
        <v>-35.96</v>
      </c>
      <c r="H45" s="32">
        <f>+Model!V101</f>
        <v>-41.597000000000001</v>
      </c>
      <c r="I45" s="32">
        <f>+Model!W101</f>
        <v>-55.915999999999997</v>
      </c>
      <c r="J45" s="32">
        <f>+Model!X101</f>
        <v>-104.19</v>
      </c>
      <c r="K45" s="32">
        <f>+Model!Y101</f>
        <v>-115.625</v>
      </c>
      <c r="L45" s="32">
        <f>+Model!Z101</f>
        <v>-69.346999999999994</v>
      </c>
      <c r="M45" s="32">
        <f ca="1">M46*M25</f>
        <v>-116.00761424000002</v>
      </c>
      <c r="N45" s="32">
        <f t="shared" ref="N45:V45" ca="1" si="16">N46*N25</f>
        <v>-119.13981982448</v>
      </c>
      <c r="O45" s="32">
        <f t="shared" ca="1" si="16"/>
        <v>-122.22792395433052</v>
      </c>
      <c r="P45" s="32">
        <f t="shared" ca="1" si="16"/>
        <v>-125.26934583167093</v>
      </c>
      <c r="Q45" s="32">
        <f t="shared" ca="1" si="16"/>
        <v>-128.26176393042161</v>
      </c>
      <c r="R45" s="32">
        <f t="shared" ca="1" si="16"/>
        <v>-131.20310850571516</v>
      </c>
      <c r="S45" s="32">
        <f t="shared" ca="1" si="16"/>
        <v>-134.09155318364205</v>
      </c>
      <c r="T45" s="32">
        <f t="shared" ca="1" si="16"/>
        <v>-136.92550579388919</v>
      </c>
      <c r="U45" s="32">
        <f t="shared" ca="1" si="16"/>
        <v>-139.70359859636173</v>
      </c>
      <c r="V45" s="32">
        <f t="shared" ca="1" si="16"/>
        <v>-142.42467804105857</v>
      </c>
    </row>
    <row r="46" spans="2:22" x14ac:dyDescent="0.2">
      <c r="B46" s="33" t="s">
        <v>284</v>
      </c>
      <c r="G46" s="42">
        <f t="shared" ref="G46:L46" si="17">G45/G25</f>
        <v>-2.922168417990351E-2</v>
      </c>
      <c r="H46" s="42">
        <f t="shared" si="17"/>
        <v>-3.0013326589468172E-2</v>
      </c>
      <c r="I46" s="42">
        <f t="shared" si="17"/>
        <v>-2.4170317833022679E-2</v>
      </c>
      <c r="J46" s="42">
        <f t="shared" si="17"/>
        <v>-2.9308140540677385E-2</v>
      </c>
      <c r="K46" s="42">
        <f t="shared" si="17"/>
        <v>-2.9180937459541024E-2</v>
      </c>
      <c r="L46" s="42">
        <f t="shared" si="17"/>
        <v>-1.6905210686798101E-2</v>
      </c>
      <c r="M46" s="43">
        <v>-2.8000000000000001E-2</v>
      </c>
      <c r="N46" s="43">
        <v>-2.8000000000000001E-2</v>
      </c>
      <c r="O46" s="43">
        <v>-2.8000000000000001E-2</v>
      </c>
      <c r="P46" s="43">
        <v>-2.8000000000000001E-2</v>
      </c>
      <c r="Q46" s="43">
        <v>-2.8000000000000001E-2</v>
      </c>
      <c r="R46" s="43">
        <v>-2.8000000000000001E-2</v>
      </c>
      <c r="S46" s="43">
        <v>-2.8000000000000001E-2</v>
      </c>
      <c r="T46" s="43">
        <v>-2.8000000000000001E-2</v>
      </c>
      <c r="U46" s="43">
        <v>-2.8000000000000001E-2</v>
      </c>
      <c r="V46" s="43">
        <v>-2.8000000000000001E-2</v>
      </c>
    </row>
    <row r="48" spans="2:22" x14ac:dyDescent="0.2">
      <c r="B48" s="5" t="s">
        <v>102</v>
      </c>
      <c r="G48" s="32">
        <f>+Model!U99</f>
        <v>-111.297</v>
      </c>
      <c r="H48" s="32">
        <f>+Model!V99</f>
        <v>132.38800000000001</v>
      </c>
      <c r="I48" s="32">
        <f>+Model!W99</f>
        <v>-44.52600000000001</v>
      </c>
      <c r="J48" s="32">
        <f>+Model!X99</f>
        <v>-91.682000000000002</v>
      </c>
      <c r="K48" s="32">
        <f>+Model!Y99</f>
        <v>366.52499999999998</v>
      </c>
      <c r="L48" s="32">
        <f>+Model!Z99</f>
        <v>68.429999999999993</v>
      </c>
      <c r="M48" s="32">
        <f ca="1">M49*M25</f>
        <v>-49.717548960000009</v>
      </c>
      <c r="N48" s="32">
        <f t="shared" ref="N48:V48" ca="1" si="18">N49*N25</f>
        <v>-51.059922781920001</v>
      </c>
      <c r="O48" s="32">
        <f t="shared" ca="1" si="18"/>
        <v>-52.383395980427366</v>
      </c>
      <c r="P48" s="32">
        <f t="shared" ca="1" si="18"/>
        <v>-53.686862499287543</v>
      </c>
      <c r="Q48" s="32">
        <f t="shared" ca="1" si="18"/>
        <v>-54.969327398752121</v>
      </c>
      <c r="R48" s="32">
        <f t="shared" ca="1" si="18"/>
        <v>-56.229903645306493</v>
      </c>
      <c r="S48" s="32">
        <f t="shared" ca="1" si="18"/>
        <v>-57.467808507275166</v>
      </c>
      <c r="T48" s="32">
        <f t="shared" ca="1" si="18"/>
        <v>-58.682359625952508</v>
      </c>
      <c r="U48" s="32">
        <f t="shared" ca="1" si="18"/>
        <v>-59.872970827012175</v>
      </c>
      <c r="V48" s="32">
        <f t="shared" ca="1" si="18"/>
        <v>-61.039147731882238</v>
      </c>
    </row>
    <row r="49" spans="2:24" x14ac:dyDescent="0.2">
      <c r="B49" s="33" t="s">
        <v>284</v>
      </c>
      <c r="G49" s="42">
        <f t="shared" ref="G49:L49" si="19">G48/G25</f>
        <v>-9.0441762629886555E-2</v>
      </c>
      <c r="H49" s="42">
        <f t="shared" si="19"/>
        <v>9.5521414537743404E-2</v>
      </c>
      <c r="I49" s="42">
        <f t="shared" si="19"/>
        <v>-1.924686264813592E-2</v>
      </c>
      <c r="J49" s="42">
        <f t="shared" si="19"/>
        <v>-2.5789700941072888E-2</v>
      </c>
      <c r="K49" s="42">
        <f t="shared" si="19"/>
        <v>9.2501994398774254E-2</v>
      </c>
      <c r="L49" s="42">
        <f t="shared" si="19"/>
        <v>1.66816670843381E-2</v>
      </c>
      <c r="M49" s="43">
        <v>-1.2E-2</v>
      </c>
      <c r="N49" s="43">
        <v>-1.2E-2</v>
      </c>
      <c r="O49" s="43">
        <v>-1.2E-2</v>
      </c>
      <c r="P49" s="43">
        <v>-1.2E-2</v>
      </c>
      <c r="Q49" s="43">
        <v>-1.2E-2</v>
      </c>
      <c r="R49" s="43">
        <v>-1.2E-2</v>
      </c>
      <c r="S49" s="43">
        <v>-1.2E-2</v>
      </c>
      <c r="T49" s="43">
        <v>-1.2E-2</v>
      </c>
      <c r="U49" s="43">
        <v>-1.2E-2</v>
      </c>
      <c r="V49" s="43">
        <v>-1.2E-2</v>
      </c>
    </row>
    <row r="51" spans="2:24" x14ac:dyDescent="0.2">
      <c r="B51" s="44" t="s">
        <v>289</v>
      </c>
      <c r="C51" s="45"/>
      <c r="D51" s="45"/>
      <c r="E51" s="45"/>
      <c r="F51" s="45"/>
      <c r="G51" s="46">
        <f>G40+G42+G45+G48</f>
        <v>20.192000000000064</v>
      </c>
      <c r="H51" s="46">
        <f t="shared" ref="H51:U51" si="20">H40+H42+H45+H48</f>
        <v>454.77699999999993</v>
      </c>
      <c r="I51" s="46">
        <f t="shared" si="20"/>
        <v>714.56500000000028</v>
      </c>
      <c r="J51" s="46">
        <f t="shared" si="20"/>
        <v>547.06700000000023</v>
      </c>
      <c r="K51" s="46">
        <f t="shared" si="20"/>
        <v>1287.3530000000001</v>
      </c>
      <c r="L51" s="46">
        <f t="shared" si="20"/>
        <v>1163.3730000000005</v>
      </c>
      <c r="M51" s="46">
        <f ca="1">M40+M42+M45+M48</f>
        <v>694.802746716</v>
      </c>
      <c r="N51" s="46">
        <f t="shared" ca="1" si="20"/>
        <v>721.29374418522775</v>
      </c>
      <c r="O51" s="46">
        <f t="shared" ca="1" si="20"/>
        <v>748.00071443462537</v>
      </c>
      <c r="P51" s="46">
        <f t="shared" ca="1" si="20"/>
        <v>774.90584619932406</v>
      </c>
      <c r="Q51" s="46">
        <f t="shared" ca="1" si="20"/>
        <v>801.99217366369123</v>
      </c>
      <c r="R51" s="46">
        <f t="shared" ca="1" si="20"/>
        <v>829.24359758609637</v>
      </c>
      <c r="S51" s="46">
        <f t="shared" ca="1" si="20"/>
        <v>856.64489973348623</v>
      </c>
      <c r="T51" s="46">
        <f t="shared" ca="1" si="20"/>
        <v>884.18175117950625</v>
      </c>
      <c r="U51" s="46">
        <f t="shared" ca="1" si="20"/>
        <v>911.8407150160574</v>
      </c>
      <c r="V51" s="47">
        <f ca="1">V40+V42+V45+V48</f>
        <v>939.60924401824502</v>
      </c>
    </row>
    <row r="52" spans="2:24" x14ac:dyDescent="0.2">
      <c r="B52" s="48" t="s">
        <v>290</v>
      </c>
      <c r="C52" s="49"/>
      <c r="D52" s="49"/>
      <c r="E52" s="49"/>
      <c r="F52" s="49"/>
      <c r="G52" s="50"/>
      <c r="H52" s="50"/>
      <c r="I52" s="50"/>
      <c r="J52" s="50"/>
      <c r="K52" s="50"/>
      <c r="L52" s="50"/>
      <c r="M52" s="50">
        <f ca="1">(M51/(1+$E$18)^M53)*M53</f>
        <v>370.34250261480412</v>
      </c>
      <c r="N52" s="50">
        <f ca="1">N51/(1+$E$18)^N53</f>
        <v>617.01877721719779</v>
      </c>
      <c r="O52" s="50">
        <f t="shared" ref="O52:U52" ca="1" si="21">O51/(1+$E$18)^O53</f>
        <v>579.06317847901244</v>
      </c>
      <c r="P52" s="50">
        <f t="shared" ca="1" si="21"/>
        <v>542.88844307441423</v>
      </c>
      <c r="Q52" s="50">
        <f t="shared" ca="1" si="21"/>
        <v>508.47489034615177</v>
      </c>
      <c r="R52" s="50">
        <f t="shared" ca="1" si="21"/>
        <v>475.79429488524357</v>
      </c>
      <c r="S52" s="50">
        <f t="shared" ca="1" si="21"/>
        <v>444.81114339170171</v>
      </c>
      <c r="T52" s="50">
        <f t="shared" ca="1" si="21"/>
        <v>415.4837992670524</v>
      </c>
      <c r="U52" s="50">
        <f t="shared" ca="1" si="21"/>
        <v>387.76557367946828</v>
      </c>
      <c r="V52" s="51">
        <f ca="1">V51/(1+$E$18)^V53</f>
        <v>361.6057034686803</v>
      </c>
    </row>
    <row r="53" spans="2:24" x14ac:dyDescent="0.2">
      <c r="B53" s="5" t="s">
        <v>291</v>
      </c>
      <c r="M53" s="52">
        <f ca="1">YEARFRAC(E4,E5)</f>
        <v>0.56388888888888888</v>
      </c>
      <c r="N53" s="52">
        <f ca="1">M53+1</f>
        <v>1.5638888888888889</v>
      </c>
      <c r="O53" s="52">
        <f ca="1">N53+1</f>
        <v>2.5638888888888891</v>
      </c>
      <c r="P53" s="52">
        <f t="shared" ref="P53:V53" ca="1" si="22">O53+1</f>
        <v>3.5638888888888891</v>
      </c>
      <c r="Q53" s="52">
        <f t="shared" ca="1" si="22"/>
        <v>4.5638888888888891</v>
      </c>
      <c r="R53" s="52">
        <f t="shared" ca="1" si="22"/>
        <v>5.5638888888888891</v>
      </c>
      <c r="S53" s="52">
        <f t="shared" ca="1" si="22"/>
        <v>6.5638888888888891</v>
      </c>
      <c r="T53" s="52">
        <f t="shared" ca="1" si="22"/>
        <v>7.5638888888888891</v>
      </c>
      <c r="U53" s="52">
        <f t="shared" ca="1" si="22"/>
        <v>8.56388888888889</v>
      </c>
      <c r="V53" s="52">
        <f t="shared" ca="1" si="22"/>
        <v>9.56388888888889</v>
      </c>
    </row>
    <row r="54" spans="2:24" x14ac:dyDescent="0.2">
      <c r="B54" s="5" t="s">
        <v>292</v>
      </c>
      <c r="N54" s="53"/>
      <c r="O54" s="53"/>
      <c r="P54" s="53"/>
      <c r="Q54" s="53"/>
      <c r="V54" s="32">
        <f ca="1">SUM(M52:V52)</f>
        <v>4703.2483064237267</v>
      </c>
    </row>
    <row r="55" spans="2:24" x14ac:dyDescent="0.2">
      <c r="B55" s="5" t="s">
        <v>293</v>
      </c>
      <c r="N55" s="53"/>
      <c r="O55" s="53"/>
      <c r="P55" s="53"/>
      <c r="Q55" s="53"/>
      <c r="V55" s="32">
        <f ca="1">+(V40*(1+E19))*(1-(E19/E20))/(E18-E19)</f>
        <v>10252.994963375068</v>
      </c>
      <c r="X55" s="54" t="s">
        <v>294</v>
      </c>
    </row>
    <row r="56" spans="2:24" x14ac:dyDescent="0.2">
      <c r="B56" s="12" t="s">
        <v>295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55"/>
      <c r="O56" s="55"/>
      <c r="P56" s="55"/>
      <c r="Q56" s="55"/>
      <c r="R56" s="55"/>
      <c r="S56" s="55"/>
      <c r="T56" s="55"/>
      <c r="U56" s="55"/>
      <c r="V56" s="56">
        <f ca="1">V55/(1+E18)^V53</f>
        <v>3945.8333131512754</v>
      </c>
    </row>
    <row r="57" spans="2:24" x14ac:dyDescent="0.2">
      <c r="B57" s="8" t="s">
        <v>296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57"/>
      <c r="O57" s="57"/>
      <c r="P57" s="57"/>
      <c r="Q57" s="57"/>
      <c r="R57" s="57"/>
      <c r="S57" s="57"/>
      <c r="T57" s="57"/>
      <c r="U57" s="57"/>
      <c r="V57" s="58">
        <f ca="1">V54+V56</f>
        <v>8649.0816195750012</v>
      </c>
    </row>
    <row r="58" spans="2:24" x14ac:dyDescent="0.2">
      <c r="B58" s="5" t="s">
        <v>297</v>
      </c>
      <c r="N58" s="53"/>
      <c r="O58" s="53"/>
      <c r="P58" s="53"/>
      <c r="Q58" s="53"/>
      <c r="V58" s="59">
        <f>+Main!H5</f>
        <v>130.881</v>
      </c>
    </row>
    <row r="59" spans="2:24" x14ac:dyDescent="0.2">
      <c r="B59" s="12" t="s">
        <v>298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55"/>
      <c r="O59" s="55"/>
      <c r="P59" s="55"/>
      <c r="Q59" s="55"/>
      <c r="R59" s="55"/>
      <c r="S59" s="55"/>
      <c r="T59" s="55"/>
      <c r="U59" s="55"/>
      <c r="V59" s="56">
        <f>+Main!H6</f>
        <v>1335.8209999999999</v>
      </c>
    </row>
    <row r="60" spans="2:24" x14ac:dyDescent="0.2">
      <c r="B60" s="5" t="s">
        <v>299</v>
      </c>
      <c r="N60" s="53"/>
      <c r="O60" s="53"/>
      <c r="P60" s="53"/>
      <c r="Q60" s="53"/>
      <c r="V60" s="59">
        <f ca="1">V57+V58-V59</f>
        <v>7444.1416195750007</v>
      </c>
    </row>
    <row r="61" spans="2:24" x14ac:dyDescent="0.2">
      <c r="B61" s="12" t="s">
        <v>300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55"/>
      <c r="O61" s="55"/>
      <c r="P61" s="55"/>
      <c r="Q61" s="55"/>
      <c r="R61" s="55"/>
      <c r="S61" s="55"/>
      <c r="T61" s="55"/>
      <c r="U61" s="55"/>
      <c r="V61" s="56">
        <f>+Main!H3</f>
        <v>49.689647999999998</v>
      </c>
    </row>
    <row r="62" spans="2:24" x14ac:dyDescent="0.2">
      <c r="B62" s="5" t="s">
        <v>257</v>
      </c>
      <c r="V62" s="59">
        <f ca="1">V60/V61</f>
        <v>149.81272597413047</v>
      </c>
    </row>
    <row r="66" spans="1:22" x14ac:dyDescent="0.2">
      <c r="A66" s="25" t="s">
        <v>132</v>
      </c>
      <c r="B66" s="26" t="s">
        <v>301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8" spans="1:22" x14ac:dyDescent="0.2">
      <c r="B68" s="60"/>
      <c r="C68" s="100" t="s">
        <v>274</v>
      </c>
      <c r="D68" s="100"/>
      <c r="E68" s="100"/>
      <c r="F68" s="100"/>
      <c r="G68" s="100"/>
      <c r="H68" s="100"/>
      <c r="I68" s="100"/>
      <c r="J68" s="101"/>
      <c r="M68" s="60"/>
      <c r="N68" s="102" t="s">
        <v>302</v>
      </c>
      <c r="O68" s="102"/>
      <c r="P68" s="102"/>
      <c r="Q68" s="102"/>
      <c r="R68" s="102"/>
      <c r="S68" s="102"/>
      <c r="T68" s="102"/>
      <c r="U68" s="103"/>
    </row>
    <row r="69" spans="1:22" x14ac:dyDescent="0.2">
      <c r="B69" s="104" t="s">
        <v>253</v>
      </c>
      <c r="C69" s="61">
        <f ca="1">+J4</f>
        <v>149.81272597413047</v>
      </c>
      <c r="D69" s="62">
        <v>0.01</v>
      </c>
      <c r="E69" s="62">
        <v>1.4999999999999999E-2</v>
      </c>
      <c r="F69" s="62">
        <v>0.02</v>
      </c>
      <c r="G69" s="62">
        <v>2.5000000000000001E-2</v>
      </c>
      <c r="H69" s="62">
        <v>0.03</v>
      </c>
      <c r="I69" s="62">
        <v>3.5000000000000003E-2</v>
      </c>
      <c r="J69" s="62">
        <v>0.04</v>
      </c>
      <c r="M69" s="104" t="s">
        <v>253</v>
      </c>
      <c r="N69" s="61">
        <f ca="1">+J4</f>
        <v>149.81272597413047</v>
      </c>
      <c r="O69" s="62">
        <v>7.0000000000000007E-2</v>
      </c>
      <c r="P69" s="62">
        <v>0.08</v>
      </c>
      <c r="Q69" s="62">
        <v>0.09</v>
      </c>
      <c r="R69" s="62">
        <v>0.1</v>
      </c>
      <c r="S69" s="62">
        <v>0.11</v>
      </c>
      <c r="T69" s="62">
        <v>0.12</v>
      </c>
      <c r="U69" s="62">
        <v>0.13</v>
      </c>
    </row>
    <row r="70" spans="1:22" x14ac:dyDescent="0.2">
      <c r="B70" s="104"/>
      <c r="C70" s="63">
        <v>0.05</v>
      </c>
      <c r="D70" s="64">
        <f t="dataTable" ref="D70:J76" dt2D="1" dtr="1" r1="E19" r2="E18" ca="1"/>
        <v>392.93647361299662</v>
      </c>
      <c r="E70" s="64">
        <v>421.37447195342565</v>
      </c>
      <c r="F70" s="64">
        <v>459.11461928371483</v>
      </c>
      <c r="G70" s="65">
        <v>511.73820499777975</v>
      </c>
      <c r="H70" s="64">
        <v>590.40780788345285</v>
      </c>
      <c r="I70" s="64">
        <v>721.16944511234169</v>
      </c>
      <c r="J70" s="64">
        <v>982.16116819926992</v>
      </c>
      <c r="M70" s="104"/>
      <c r="N70" s="63">
        <v>0.05</v>
      </c>
      <c r="O70" s="64">
        <f t="dataTable" ref="O70:U76" dt2D="1" dtr="1" r1="E20" r2="E18" ca="1"/>
        <v>433.9038971234412</v>
      </c>
      <c r="P70" s="64">
        <v>457.25418948574281</v>
      </c>
      <c r="Q70" s="64">
        <v>475.41552798975511</v>
      </c>
      <c r="R70" s="65">
        <v>489.94459879296494</v>
      </c>
      <c r="S70" s="64">
        <v>501.83202035922761</v>
      </c>
      <c r="T70" s="64">
        <v>511.73820499777975</v>
      </c>
      <c r="U70" s="64">
        <v>520.12036123040093</v>
      </c>
    </row>
    <row r="71" spans="1:22" x14ac:dyDescent="0.2">
      <c r="B71" s="104"/>
      <c r="C71" s="63">
        <v>0.06</v>
      </c>
      <c r="D71" s="64">
        <v>307.63927864815759</v>
      </c>
      <c r="E71" s="64">
        <v>321.8477750623324</v>
      </c>
      <c r="F71" s="64">
        <v>339.48702459701411</v>
      </c>
      <c r="G71" s="65">
        <v>362.02735001813426</v>
      </c>
      <c r="H71" s="64">
        <v>391.919289268912</v>
      </c>
      <c r="I71" s="64">
        <v>433.57381064714195</v>
      </c>
      <c r="J71" s="64">
        <v>495.81285074841338</v>
      </c>
      <c r="M71" s="104"/>
      <c r="N71" s="63">
        <v>0.06</v>
      </c>
      <c r="O71" s="64">
        <v>311.24969384967682</v>
      </c>
      <c r="P71" s="64">
        <v>326.48299070021403</v>
      </c>
      <c r="Q71" s="64">
        <v>338.33111047285411</v>
      </c>
      <c r="R71" s="65">
        <v>347.80960629096609</v>
      </c>
      <c r="S71" s="64">
        <v>355.56473923305782</v>
      </c>
      <c r="T71" s="64">
        <v>362.02735001813426</v>
      </c>
      <c r="U71" s="64">
        <v>367.49571299012194</v>
      </c>
    </row>
    <row r="72" spans="1:22" x14ac:dyDescent="0.2">
      <c r="B72" s="104"/>
      <c r="C72" s="63">
        <v>7.0000000000000007E-2</v>
      </c>
      <c r="D72" s="65">
        <v>250.86799113361616</v>
      </c>
      <c r="E72" s="65">
        <v>258.50649944245151</v>
      </c>
      <c r="F72" s="65">
        <v>267.58395209819787</v>
      </c>
      <c r="G72" s="65">
        <v>278.57999721649202</v>
      </c>
      <c r="H72" s="65">
        <v>292.2141069707896</v>
      </c>
      <c r="I72" s="65">
        <v>309.61688049080612</v>
      </c>
      <c r="J72" s="65">
        <v>332.6726496594012</v>
      </c>
      <c r="M72" s="104"/>
      <c r="N72" s="63">
        <v>7.0000000000000007E-2</v>
      </c>
      <c r="O72" s="65">
        <v>242.47831161030516</v>
      </c>
      <c r="P72" s="65">
        <v>253.30881729216125</v>
      </c>
      <c r="Q72" s="65">
        <v>261.73254393360486</v>
      </c>
      <c r="R72" s="65">
        <v>268.47152524675977</v>
      </c>
      <c r="S72" s="65">
        <v>273.98523723025011</v>
      </c>
      <c r="T72" s="65">
        <v>278.57999721649202</v>
      </c>
      <c r="U72" s="65">
        <v>282.46787105100452</v>
      </c>
    </row>
    <row r="73" spans="1:22" x14ac:dyDescent="0.2">
      <c r="B73" s="104"/>
      <c r="C73" s="63">
        <v>0.09</v>
      </c>
      <c r="D73" s="64">
        <v>180.09581068551762</v>
      </c>
      <c r="E73" s="64">
        <v>182.49361750647282</v>
      </c>
      <c r="F73" s="64">
        <v>185.18086058820774</v>
      </c>
      <c r="G73" s="65">
        <v>188.22433291397925</v>
      </c>
      <c r="H73" s="64">
        <v>191.71309179479661</v>
      </c>
      <c r="I73" s="64">
        <v>195.76857901839941</v>
      </c>
      <c r="J73" s="64">
        <v>200.56081308762342</v>
      </c>
      <c r="M73" s="104"/>
      <c r="N73" s="63">
        <v>0.09</v>
      </c>
      <c r="O73" s="64">
        <v>167.28769443132268</v>
      </c>
      <c r="P73" s="64">
        <v>173.5686859761197</v>
      </c>
      <c r="Q73" s="64">
        <v>178.45390162207286</v>
      </c>
      <c r="R73" s="65">
        <v>182.3620741388354</v>
      </c>
      <c r="S73" s="64">
        <v>185.55966983436841</v>
      </c>
      <c r="T73" s="64">
        <v>188.22433291397925</v>
      </c>
      <c r="U73" s="64">
        <v>190.47904782749612</v>
      </c>
    </row>
    <row r="74" spans="1:22" x14ac:dyDescent="0.2">
      <c r="B74" s="104"/>
      <c r="C74" s="63">
        <v>0.1</v>
      </c>
      <c r="D74" s="64">
        <v>156.5829683699568</v>
      </c>
      <c r="E74" s="64">
        <v>157.90330771571476</v>
      </c>
      <c r="F74" s="64">
        <v>159.34610686588533</v>
      </c>
      <c r="G74" s="65">
        <v>160.93585778135107</v>
      </c>
      <c r="H74" s="64">
        <v>162.70405012610379</v>
      </c>
      <c r="I74" s="64">
        <v>164.69186269151734</v>
      </c>
      <c r="J74" s="64">
        <v>166.95420053275703</v>
      </c>
      <c r="M74" s="104"/>
      <c r="N74" s="63">
        <v>0.1</v>
      </c>
      <c r="O74" s="64">
        <v>144.30836096142889</v>
      </c>
      <c r="P74" s="64">
        <v>149.29661000740555</v>
      </c>
      <c r="Q74" s="64">
        <v>153.17635926538739</v>
      </c>
      <c r="R74" s="65">
        <v>156.28015867177285</v>
      </c>
      <c r="S74" s="64">
        <v>158.81963091336095</v>
      </c>
      <c r="T74" s="64">
        <v>160.93585778135107</v>
      </c>
      <c r="U74" s="64">
        <v>162.72651128503497</v>
      </c>
    </row>
    <row r="75" spans="1:22" x14ac:dyDescent="0.2">
      <c r="B75" s="104"/>
      <c r="C75" s="63">
        <v>0.11</v>
      </c>
      <c r="D75" s="64">
        <v>137.81539999833475</v>
      </c>
      <c r="E75" s="64">
        <v>138.49284965390351</v>
      </c>
      <c r="F75" s="64">
        <v>139.21085859305811</v>
      </c>
      <c r="G75" s="65">
        <v>139.9765843364313</v>
      </c>
      <c r="H75" s="64">
        <v>140.79897378481417</v>
      </c>
      <c r="I75" s="64">
        <v>141.68935967920851</v>
      </c>
      <c r="J75" s="64">
        <v>142.66231268661684</v>
      </c>
      <c r="M75" s="104"/>
      <c r="N75" s="63">
        <v>0.11</v>
      </c>
      <c r="O75" s="64">
        <v>126.52168913144497</v>
      </c>
      <c r="P75" s="64">
        <v>130.55815769294088</v>
      </c>
      <c r="Q75" s="64">
        <v>133.69763324077104</v>
      </c>
      <c r="R75" s="65">
        <v>136.20921367903514</v>
      </c>
      <c r="S75" s="64">
        <v>138.26414312852395</v>
      </c>
      <c r="T75" s="64">
        <v>139.9765843364313</v>
      </c>
      <c r="U75" s="64">
        <v>141.42557305081445</v>
      </c>
    </row>
    <row r="76" spans="1:22" x14ac:dyDescent="0.2">
      <c r="B76" s="105"/>
      <c r="C76" s="63">
        <v>0.12</v>
      </c>
      <c r="D76" s="64">
        <v>122.49645561593972</v>
      </c>
      <c r="E76" s="64">
        <v>122.78319123420344</v>
      </c>
      <c r="F76" s="64">
        <v>123.06992685246716</v>
      </c>
      <c r="G76" s="65">
        <v>123.35666247073084</v>
      </c>
      <c r="H76" s="64">
        <v>123.64339808899457</v>
      </c>
      <c r="I76" s="64">
        <v>123.93013370725828</v>
      </c>
      <c r="J76" s="64">
        <v>124.21686932552198</v>
      </c>
      <c r="M76" s="105"/>
      <c r="N76" s="63">
        <v>0.12</v>
      </c>
      <c r="O76" s="64">
        <v>112.30763958650907</v>
      </c>
      <c r="P76" s="64">
        <v>115.6223464517756</v>
      </c>
      <c r="Q76" s="64">
        <v>118.20045179142734</v>
      </c>
      <c r="R76" s="65">
        <v>120.26293606314876</v>
      </c>
      <c r="S76" s="64">
        <v>121.95042319455715</v>
      </c>
      <c r="T76" s="64">
        <v>123.35666247073084</v>
      </c>
      <c r="U76" s="64">
        <v>124.54655724287781</v>
      </c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B63E9430-7EE4-4014-A15D-2AEAD7BDEC58}">
      <formula1>"1,2,3"</formula1>
    </dataValidation>
  </dataValidations>
  <hyperlinks>
    <hyperlink ref="A1" location="Main!A1" display="Main" xr:uid="{217437F4-8A61-4582-B446-211F30A4BF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BC46-018A-47F0-B984-75A3CC3DFB0E}">
  <dimension ref="A1:V1006"/>
  <sheetViews>
    <sheetView zoomScale="200" zoomScaleNormal="200" workbookViewId="0">
      <selection activeCell="D32" sqref="D32"/>
    </sheetView>
  </sheetViews>
  <sheetFormatPr defaultRowHeight="12.75" x14ac:dyDescent="0.2"/>
  <cols>
    <col min="1" max="1" width="5.42578125" style="5" bestFit="1" customWidth="1"/>
    <col min="2" max="11" width="9.140625" style="5"/>
    <col min="12" max="12" width="30.7109375" style="5" bestFit="1" customWidth="1"/>
    <col min="13" max="15" width="9.140625" style="5"/>
    <col min="16" max="16" width="30.7109375" style="5" bestFit="1" customWidth="1"/>
    <col min="17" max="19" width="9.140625" style="5"/>
    <col min="20" max="20" width="30.7109375" style="5" bestFit="1" customWidth="1"/>
    <col min="21" max="16384" width="9.140625" style="5"/>
  </cols>
  <sheetData>
    <row r="1" spans="1:22" x14ac:dyDescent="0.2">
      <c r="A1" s="4" t="s">
        <v>8</v>
      </c>
    </row>
    <row r="2" spans="1:22" x14ac:dyDescent="0.2">
      <c r="B2" s="6" t="s">
        <v>1378</v>
      </c>
      <c r="L2" s="7" t="s">
        <v>1346</v>
      </c>
      <c r="P2" s="7" t="s">
        <v>1347</v>
      </c>
      <c r="T2" s="7" t="s">
        <v>1376</v>
      </c>
    </row>
    <row r="3" spans="1:22" x14ac:dyDescent="0.2">
      <c r="B3" s="8" t="s">
        <v>1379</v>
      </c>
      <c r="C3" s="8"/>
      <c r="D3" s="8"/>
      <c r="E3" s="8"/>
      <c r="F3" s="8"/>
      <c r="G3" s="8"/>
      <c r="H3" s="8"/>
      <c r="I3" s="8"/>
      <c r="J3" s="9">
        <f>+SLOPE(N5:N1006,V5:V1006)</f>
        <v>1.6337339776384581</v>
      </c>
      <c r="L3" s="3" t="s">
        <v>342</v>
      </c>
      <c r="M3" s="3" t="s">
        <v>341</v>
      </c>
      <c r="N3" s="3" t="s">
        <v>255</v>
      </c>
      <c r="P3" s="3" t="s">
        <v>342</v>
      </c>
      <c r="Q3" s="3" t="s">
        <v>341</v>
      </c>
      <c r="R3" s="3" t="s">
        <v>255</v>
      </c>
      <c r="T3" s="3" t="s">
        <v>342</v>
      </c>
      <c r="U3" s="3" t="s">
        <v>341</v>
      </c>
      <c r="V3" s="3" t="s">
        <v>255</v>
      </c>
    </row>
    <row r="4" spans="1:22" x14ac:dyDescent="0.2">
      <c r="L4" s="1" t="s">
        <v>1345</v>
      </c>
      <c r="M4" s="2">
        <v>143.81</v>
      </c>
      <c r="P4" s="2" t="s">
        <v>1345</v>
      </c>
      <c r="Q4" s="2">
        <v>408.32</v>
      </c>
      <c r="T4" s="2" t="s">
        <v>1345</v>
      </c>
      <c r="U4" s="2">
        <v>4496.18994140625</v>
      </c>
    </row>
    <row r="5" spans="1:22" x14ac:dyDescent="0.2">
      <c r="B5" s="10" t="s">
        <v>1380</v>
      </c>
      <c r="C5" s="10"/>
      <c r="D5" s="10"/>
      <c r="E5" s="10"/>
      <c r="F5" s="10"/>
      <c r="G5" s="10"/>
      <c r="H5" s="10"/>
      <c r="I5" s="10"/>
      <c r="J5" s="10">
        <f>+_xlfn.COVARIANCE.P(N5:N1006,V5:V1006)</f>
        <v>2.0875766685425455E-4</v>
      </c>
      <c r="L5" s="2" t="s">
        <v>1344</v>
      </c>
      <c r="M5" s="2">
        <v>143.1</v>
      </c>
      <c r="N5" s="11">
        <f>+M5/M4-1</f>
        <v>-4.937069744802236E-3</v>
      </c>
      <c r="P5" s="2" t="s">
        <v>1344</v>
      </c>
      <c r="Q5" s="2">
        <v>404.44</v>
      </c>
      <c r="R5" s="11">
        <f>+Q5/Q4-1</f>
        <v>-9.502351097178674E-3</v>
      </c>
      <c r="T5" s="2" t="s">
        <v>1344</v>
      </c>
      <c r="U5" s="2">
        <v>4470</v>
      </c>
      <c r="V5" s="11">
        <f>+U5/U4-1</f>
        <v>-5.8249188196125568E-3</v>
      </c>
    </row>
    <row r="6" spans="1:22" x14ac:dyDescent="0.2">
      <c r="B6" s="5" t="s">
        <v>1381</v>
      </c>
      <c r="J6" s="5">
        <f>+_xlfn.VAR.P(V5:V1006)</f>
        <v>1.2777947310370011E-4</v>
      </c>
      <c r="L6" s="2" t="s">
        <v>1343</v>
      </c>
      <c r="M6" s="2">
        <v>146.09</v>
      </c>
      <c r="N6" s="11">
        <f t="shared" ref="N6:N69" si="0">+M6/M5-1</f>
        <v>2.0894479385045406E-2</v>
      </c>
      <c r="P6" s="2" t="s">
        <v>1343</v>
      </c>
      <c r="Q6" s="2">
        <v>405.97</v>
      </c>
      <c r="R6" s="11">
        <f t="shared" ref="R6:R69" si="1">+Q6/Q5-1</f>
        <v>3.7830086044903233E-3</v>
      </c>
      <c r="T6" s="2" t="s">
        <v>1343</v>
      </c>
      <c r="U6" s="2">
        <v>4509.3701171875</v>
      </c>
      <c r="V6" s="11">
        <f t="shared" ref="V6:V69" si="2">+U6/U5-1</f>
        <v>8.8076324804251538E-3</v>
      </c>
    </row>
    <row r="7" spans="1:22" x14ac:dyDescent="0.2">
      <c r="B7" s="12" t="s">
        <v>1351</v>
      </c>
      <c r="C7" s="12"/>
      <c r="D7" s="12"/>
      <c r="E7" s="12"/>
      <c r="F7" s="12"/>
      <c r="G7" s="12"/>
      <c r="H7" s="12"/>
      <c r="I7" s="12"/>
      <c r="J7" s="13">
        <f>+J5/J6</f>
        <v>1.6337339776384596</v>
      </c>
      <c r="L7" s="2" t="s">
        <v>1342</v>
      </c>
      <c r="M7" s="2">
        <v>146.4</v>
      </c>
      <c r="N7" s="11">
        <f t="shared" si="0"/>
        <v>2.1219796016154202E-3</v>
      </c>
      <c r="P7" s="2" t="s">
        <v>1342</v>
      </c>
      <c r="Q7" s="2">
        <v>414.52</v>
      </c>
      <c r="R7" s="11">
        <f t="shared" si="1"/>
        <v>2.1060669507598995E-2</v>
      </c>
      <c r="T7" s="2" t="s">
        <v>1342</v>
      </c>
      <c r="U7" s="2">
        <v>4528.7900390625</v>
      </c>
      <c r="V7" s="11">
        <f t="shared" si="2"/>
        <v>4.3065708447795892E-3</v>
      </c>
    </row>
    <row r="8" spans="1:22" ht="13.5" thickBot="1" x14ac:dyDescent="0.25">
      <c r="L8" s="2" t="s">
        <v>1341</v>
      </c>
      <c r="M8" s="2">
        <v>142.82</v>
      </c>
      <c r="N8" s="11">
        <f t="shared" si="0"/>
        <v>-2.4453551912568372E-2</v>
      </c>
      <c r="P8" s="2" t="s">
        <v>1341</v>
      </c>
      <c r="Q8" s="2">
        <v>400.17</v>
      </c>
      <c r="R8" s="11">
        <f t="shared" si="1"/>
        <v>-3.4618353758564036E-2</v>
      </c>
      <c r="T8" s="2" t="s">
        <v>1341</v>
      </c>
      <c r="U8" s="2">
        <v>4522.68017578125</v>
      </c>
      <c r="V8" s="11">
        <f t="shared" si="2"/>
        <v>-1.3491160395050494E-3</v>
      </c>
    </row>
    <row r="9" spans="1:22" x14ac:dyDescent="0.2">
      <c r="B9" s="14" t="s">
        <v>1352</v>
      </c>
      <c r="C9" s="14"/>
      <c r="L9" s="2" t="s">
        <v>1340</v>
      </c>
      <c r="M9" s="2">
        <v>143.36000000000001</v>
      </c>
      <c r="N9" s="11">
        <f t="shared" si="0"/>
        <v>3.7809830555946E-3</v>
      </c>
      <c r="P9" s="2" t="s">
        <v>1340</v>
      </c>
      <c r="Q9" s="2">
        <v>395.53</v>
      </c>
      <c r="R9" s="11">
        <f t="shared" si="1"/>
        <v>-1.1595072094360059E-2</v>
      </c>
      <c r="T9" s="2" t="s">
        <v>1340</v>
      </c>
      <c r="U9" s="2">
        <v>4524.08984375</v>
      </c>
      <c r="V9" s="11">
        <f t="shared" si="2"/>
        <v>3.1168862576191891E-4</v>
      </c>
    </row>
    <row r="10" spans="1:22" x14ac:dyDescent="0.2">
      <c r="B10" s="5" t="s">
        <v>1353</v>
      </c>
      <c r="C10" s="5">
        <v>0.50794565789369861</v>
      </c>
      <c r="L10" s="2" t="s">
        <v>1339</v>
      </c>
      <c r="M10" s="2">
        <v>138.57</v>
      </c>
      <c r="N10" s="11">
        <f t="shared" si="0"/>
        <v>-3.3412388392857317E-2</v>
      </c>
      <c r="P10" s="2" t="s">
        <v>1339</v>
      </c>
      <c r="Q10" s="2">
        <v>388.37</v>
      </c>
      <c r="R10" s="11">
        <f t="shared" si="1"/>
        <v>-1.8102293125679347E-2</v>
      </c>
      <c r="T10" s="2" t="s">
        <v>1339</v>
      </c>
      <c r="U10" s="2">
        <v>4536.9501953125</v>
      </c>
      <c r="V10" s="11">
        <f t="shared" si="2"/>
        <v>2.8426384105229019E-3</v>
      </c>
    </row>
    <row r="11" spans="1:22" x14ac:dyDescent="0.2">
      <c r="B11" s="5" t="s">
        <v>1354</v>
      </c>
      <c r="C11" s="5">
        <v>0.25800879137306226</v>
      </c>
      <c r="L11" s="2" t="s">
        <v>1338</v>
      </c>
      <c r="M11" s="2">
        <v>139.69</v>
      </c>
      <c r="N11" s="11">
        <f t="shared" si="0"/>
        <v>8.0825575521397131E-3</v>
      </c>
      <c r="P11" s="2" t="s">
        <v>1338</v>
      </c>
      <c r="Q11" s="2">
        <v>388.33</v>
      </c>
      <c r="R11" s="11">
        <f t="shared" si="1"/>
        <v>-1.0299456703666277E-4</v>
      </c>
      <c r="T11" s="2" t="s">
        <v>1338</v>
      </c>
      <c r="U11" s="2">
        <v>4535.43017578125</v>
      </c>
      <c r="V11" s="11">
        <f t="shared" si="2"/>
        <v>-3.3503112571531268E-4</v>
      </c>
    </row>
    <row r="12" spans="1:22" x14ac:dyDescent="0.2">
      <c r="B12" s="5" t="s">
        <v>1355</v>
      </c>
      <c r="C12" s="5">
        <v>0.25726680016443532</v>
      </c>
      <c r="L12" s="2" t="s">
        <v>1337</v>
      </c>
      <c r="M12" s="2">
        <v>136.28</v>
      </c>
      <c r="N12" s="11">
        <f t="shared" si="0"/>
        <v>-2.4411196220201825E-2</v>
      </c>
      <c r="P12" s="2" t="s">
        <v>1337</v>
      </c>
      <c r="Q12" s="2">
        <v>386.46</v>
      </c>
      <c r="R12" s="11">
        <f t="shared" si="1"/>
        <v>-4.8154919784719752E-3</v>
      </c>
      <c r="T12" s="2" t="s">
        <v>1337</v>
      </c>
      <c r="U12" s="2">
        <v>4520.02978515625</v>
      </c>
      <c r="V12" s="11">
        <f t="shared" si="2"/>
        <v>-3.395574405981705E-3</v>
      </c>
    </row>
    <row r="13" spans="1:22" x14ac:dyDescent="0.2">
      <c r="B13" s="5" t="s">
        <v>1356</v>
      </c>
      <c r="C13" s="5">
        <v>3.1349302051164346E-2</v>
      </c>
      <c r="L13" s="2" t="s">
        <v>1336</v>
      </c>
      <c r="M13" s="2">
        <v>138.96</v>
      </c>
      <c r="N13" s="11">
        <f t="shared" si="0"/>
        <v>1.9665394775462364E-2</v>
      </c>
      <c r="P13" s="2" t="s">
        <v>1336</v>
      </c>
      <c r="Q13" s="2">
        <v>380.85</v>
      </c>
      <c r="R13" s="11">
        <f t="shared" si="1"/>
        <v>-1.4516379444185601E-2</v>
      </c>
      <c r="T13" s="2" t="s">
        <v>1336</v>
      </c>
      <c r="U13" s="2">
        <v>4514.06982421875</v>
      </c>
      <c r="V13" s="11">
        <f t="shared" si="2"/>
        <v>-1.318566739775151E-3</v>
      </c>
    </row>
    <row r="14" spans="1:22" ht="13.5" thickBot="1" x14ac:dyDescent="0.25">
      <c r="B14" s="15" t="s">
        <v>1357</v>
      </c>
      <c r="C14" s="15">
        <v>1002</v>
      </c>
      <c r="L14" s="2" t="s">
        <v>1335</v>
      </c>
      <c r="M14" s="2">
        <v>141.53</v>
      </c>
      <c r="N14" s="11">
        <f t="shared" si="0"/>
        <v>1.8494530800230224E-2</v>
      </c>
      <c r="P14" s="2" t="s">
        <v>1335</v>
      </c>
      <c r="Q14" s="2">
        <v>420.71</v>
      </c>
      <c r="R14" s="11">
        <f t="shared" si="1"/>
        <v>0.10466062754365213</v>
      </c>
      <c r="T14" s="2" t="s">
        <v>1335</v>
      </c>
      <c r="U14" s="2">
        <v>4493.27978515625</v>
      </c>
      <c r="V14" s="11">
        <f t="shared" si="2"/>
        <v>-4.6056086573933452E-3</v>
      </c>
    </row>
    <row r="15" spans="1:22" x14ac:dyDescent="0.2">
      <c r="L15" s="2" t="s">
        <v>1334</v>
      </c>
      <c r="M15" s="2">
        <v>144.11000000000001</v>
      </c>
      <c r="N15" s="11">
        <f t="shared" si="0"/>
        <v>1.8229350667703148E-2</v>
      </c>
      <c r="P15" s="2" t="s">
        <v>1334</v>
      </c>
      <c r="Q15" s="2">
        <v>425.58</v>
      </c>
      <c r="R15" s="11">
        <f t="shared" si="1"/>
        <v>1.1575669701219482E-2</v>
      </c>
      <c r="T15" s="2" t="s">
        <v>1334</v>
      </c>
      <c r="U15" s="2">
        <v>4458.580078125</v>
      </c>
      <c r="V15" s="11">
        <f t="shared" si="2"/>
        <v>-7.7225787599254359E-3</v>
      </c>
    </row>
    <row r="16" spans="1:22" ht="13.5" thickBot="1" x14ac:dyDescent="0.25">
      <c r="B16" s="5" t="s">
        <v>1358</v>
      </c>
      <c r="L16" s="2" t="s">
        <v>1333</v>
      </c>
      <c r="M16" s="2">
        <v>137.72</v>
      </c>
      <c r="N16" s="11">
        <f t="shared" si="0"/>
        <v>-4.434112830476733E-2</v>
      </c>
      <c r="P16" s="2" t="s">
        <v>1333</v>
      </c>
      <c r="Q16" s="2">
        <v>425.12</v>
      </c>
      <c r="R16" s="11">
        <f t="shared" si="1"/>
        <v>-1.0808778608016878E-3</v>
      </c>
      <c r="T16" s="2" t="s">
        <v>1333</v>
      </c>
      <c r="U16" s="2">
        <v>4468.72998046875</v>
      </c>
      <c r="V16" s="11">
        <f t="shared" si="2"/>
        <v>2.2764876184568905E-3</v>
      </c>
    </row>
    <row r="17" spans="2:22" x14ac:dyDescent="0.2">
      <c r="B17" s="16"/>
      <c r="C17" s="16" t="s">
        <v>1363</v>
      </c>
      <c r="D17" s="16" t="s">
        <v>1364</v>
      </c>
      <c r="E17" s="16" t="s">
        <v>1365</v>
      </c>
      <c r="F17" s="16" t="s">
        <v>1366</v>
      </c>
      <c r="G17" s="16" t="s">
        <v>1367</v>
      </c>
      <c r="L17" s="2" t="s">
        <v>1332</v>
      </c>
      <c r="M17" s="2">
        <v>149.38</v>
      </c>
      <c r="N17" s="11">
        <f t="shared" si="0"/>
        <v>8.4664536741213992E-2</v>
      </c>
      <c r="P17" s="2" t="s">
        <v>1332</v>
      </c>
      <c r="Q17" s="2">
        <v>420.5</v>
      </c>
      <c r="R17" s="11">
        <f t="shared" si="1"/>
        <v>-1.0867519759126809E-2</v>
      </c>
      <c r="T17" s="2" t="s">
        <v>1332</v>
      </c>
      <c r="U17" s="2">
        <v>4443.0498046875</v>
      </c>
      <c r="V17" s="11">
        <f t="shared" si="2"/>
        <v>-5.7466385065755299E-3</v>
      </c>
    </row>
    <row r="18" spans="2:22" x14ac:dyDescent="0.2">
      <c r="B18" s="5" t="s">
        <v>1359</v>
      </c>
      <c r="C18" s="5">
        <v>1</v>
      </c>
      <c r="D18" s="5">
        <v>0.34173660241919046</v>
      </c>
      <c r="E18" s="5">
        <v>0.34173660241919046</v>
      </c>
      <c r="F18" s="5">
        <v>347.72486300816166</v>
      </c>
      <c r="G18" s="5">
        <v>7.8371179926142873E-67</v>
      </c>
      <c r="L18" s="2" t="s">
        <v>1331</v>
      </c>
      <c r="M18" s="2">
        <v>153.68</v>
      </c>
      <c r="N18" s="11">
        <f t="shared" si="0"/>
        <v>2.8785647342348453E-2</v>
      </c>
      <c r="P18" s="2" t="s">
        <v>1331</v>
      </c>
      <c r="Q18" s="2">
        <v>418.95</v>
      </c>
      <c r="R18" s="11">
        <f t="shared" si="1"/>
        <v>-3.6860879904875299E-3</v>
      </c>
      <c r="T18" s="2" t="s">
        <v>1331</v>
      </c>
      <c r="U18" s="2">
        <v>4480.7001953125</v>
      </c>
      <c r="V18" s="11">
        <f t="shared" si="2"/>
        <v>8.4739969795697423E-3</v>
      </c>
    </row>
    <row r="19" spans="2:22" x14ac:dyDescent="0.2">
      <c r="B19" s="5" t="s">
        <v>1360</v>
      </c>
      <c r="C19" s="5">
        <v>1000</v>
      </c>
      <c r="D19" s="5">
        <v>0.98277873909513713</v>
      </c>
      <c r="E19" s="5">
        <v>9.8277873909513721E-4</v>
      </c>
      <c r="L19" s="2" t="s">
        <v>1330</v>
      </c>
      <c r="M19" s="2">
        <v>157.82</v>
      </c>
      <c r="N19" s="11">
        <f t="shared" si="0"/>
        <v>2.693909422175933E-2</v>
      </c>
      <c r="P19" s="2" t="s">
        <v>1330</v>
      </c>
      <c r="Q19" s="2">
        <v>426.44</v>
      </c>
      <c r="R19" s="11">
        <f t="shared" si="1"/>
        <v>1.7878028404344271E-2</v>
      </c>
      <c r="T19" s="2" t="s">
        <v>1330</v>
      </c>
      <c r="U19" s="2">
        <v>4473.75</v>
      </c>
      <c r="V19" s="11">
        <f t="shared" si="2"/>
        <v>-1.5511404489350067E-3</v>
      </c>
    </row>
    <row r="20" spans="2:22" ht="13.5" thickBot="1" x14ac:dyDescent="0.25">
      <c r="B20" s="15" t="s">
        <v>1361</v>
      </c>
      <c r="C20" s="15">
        <v>1001</v>
      </c>
      <c r="D20" s="15">
        <v>1.3245153415143276</v>
      </c>
      <c r="E20" s="15"/>
      <c r="F20" s="15"/>
      <c r="G20" s="15"/>
      <c r="L20" s="2" t="s">
        <v>1329</v>
      </c>
      <c r="M20" s="2">
        <v>155.18</v>
      </c>
      <c r="N20" s="11">
        <f t="shared" si="0"/>
        <v>-1.6727917881130261E-2</v>
      </c>
      <c r="P20" s="2" t="s">
        <v>1329</v>
      </c>
      <c r="Q20" s="2">
        <v>426.55</v>
      </c>
      <c r="R20" s="11">
        <f t="shared" si="1"/>
        <v>2.5794953569091561E-4</v>
      </c>
      <c r="T20" s="2" t="s">
        <v>1329</v>
      </c>
      <c r="U20" s="2">
        <v>4432.990234375</v>
      </c>
      <c r="V20" s="11">
        <f t="shared" si="2"/>
        <v>-9.1108724504050942E-3</v>
      </c>
    </row>
    <row r="21" spans="2:22" ht="13.5" thickBot="1" x14ac:dyDescent="0.25">
      <c r="L21" s="2" t="s">
        <v>1328</v>
      </c>
      <c r="M21" s="2">
        <v>151.72</v>
      </c>
      <c r="N21" s="11">
        <f t="shared" si="0"/>
        <v>-2.2296687717489383E-2</v>
      </c>
      <c r="P21" s="2" t="s">
        <v>1328</v>
      </c>
      <c r="Q21" s="2">
        <v>419.53</v>
      </c>
      <c r="R21" s="11">
        <f t="shared" si="1"/>
        <v>-1.64576251318721E-2</v>
      </c>
      <c r="T21" s="2" t="s">
        <v>1328</v>
      </c>
      <c r="U21" s="2">
        <v>4357.72998046875</v>
      </c>
      <c r="V21" s="11">
        <f t="shared" si="2"/>
        <v>-1.6977311008414819E-2</v>
      </c>
    </row>
    <row r="22" spans="2:22" x14ac:dyDescent="0.2">
      <c r="B22" s="16"/>
      <c r="C22" s="16" t="s">
        <v>1368</v>
      </c>
      <c r="D22" s="16" t="s">
        <v>1356</v>
      </c>
      <c r="E22" s="16" t="s">
        <v>1369</v>
      </c>
      <c r="F22" s="16" t="s">
        <v>1370</v>
      </c>
      <c r="G22" s="16" t="s">
        <v>1371</v>
      </c>
      <c r="H22" s="16" t="s">
        <v>1372</v>
      </c>
      <c r="I22" s="16" t="s">
        <v>1373</v>
      </c>
      <c r="J22" s="16" t="s">
        <v>1374</v>
      </c>
      <c r="L22" s="2" t="s">
        <v>1327</v>
      </c>
      <c r="M22" s="2">
        <v>152.47</v>
      </c>
      <c r="N22" s="11">
        <f t="shared" si="0"/>
        <v>4.9433166359083014E-3</v>
      </c>
      <c r="P22" s="2" t="s">
        <v>1327</v>
      </c>
      <c r="Q22" s="2">
        <v>424.19</v>
      </c>
      <c r="R22" s="11">
        <f t="shared" si="1"/>
        <v>1.1107668104783919E-2</v>
      </c>
      <c r="T22" s="2" t="s">
        <v>1327</v>
      </c>
      <c r="U22" s="2">
        <v>4354.18994140625</v>
      </c>
      <c r="V22" s="11">
        <f t="shared" si="2"/>
        <v>-8.1235851655936386E-4</v>
      </c>
    </row>
    <row r="23" spans="2:22" x14ac:dyDescent="0.2">
      <c r="B23" s="5" t="s">
        <v>1362</v>
      </c>
      <c r="C23" s="5">
        <v>-5.3410230960562158E-4</v>
      </c>
      <c r="D23" s="5">
        <v>9.9106714646423439E-4</v>
      </c>
      <c r="E23" s="5">
        <v>-0.53891637061232789</v>
      </c>
      <c r="F23" s="5">
        <v>0.59006451079690347</v>
      </c>
      <c r="G23" s="5">
        <v>-2.4789121028355047E-3</v>
      </c>
      <c r="H23" s="5">
        <v>1.4107074836242615E-3</v>
      </c>
      <c r="I23" s="5">
        <v>-2.4789121028355047E-3</v>
      </c>
      <c r="J23" s="5">
        <v>1.4107074836242615E-3</v>
      </c>
      <c r="L23" s="2" t="s">
        <v>1326</v>
      </c>
      <c r="M23" s="2">
        <v>155.72999999999999</v>
      </c>
      <c r="N23" s="11">
        <f t="shared" si="0"/>
        <v>2.1381255328917215E-2</v>
      </c>
      <c r="P23" s="2" t="s">
        <v>1326</v>
      </c>
      <c r="Q23" s="2">
        <v>431.18</v>
      </c>
      <c r="R23" s="11">
        <f t="shared" si="1"/>
        <v>1.6478464838869389E-2</v>
      </c>
      <c r="T23" s="2" t="s">
        <v>1326</v>
      </c>
      <c r="U23" s="2">
        <v>4395.64013671875</v>
      </c>
      <c r="V23" s="11">
        <f t="shared" si="2"/>
        <v>9.5196111952602358E-3</v>
      </c>
    </row>
    <row r="24" spans="2:22" ht="13.5" thickBot="1" x14ac:dyDescent="0.25">
      <c r="B24" s="15" t="s">
        <v>1375</v>
      </c>
      <c r="C24" s="17">
        <v>1.6337339776384596</v>
      </c>
      <c r="D24" s="15">
        <v>8.7611974693939582E-2</v>
      </c>
      <c r="E24" s="15">
        <v>18.647382202554905</v>
      </c>
      <c r="F24" s="15">
        <v>7.8371179926151821E-67</v>
      </c>
      <c r="G24" s="15">
        <v>1.4618095757481671</v>
      </c>
      <c r="H24" s="15">
        <v>1.8056583795287522</v>
      </c>
      <c r="I24" s="15">
        <v>1.4618095757481671</v>
      </c>
      <c r="J24" s="15">
        <v>1.8056583795287522</v>
      </c>
      <c r="L24" s="2" t="s">
        <v>1325</v>
      </c>
      <c r="M24" s="2">
        <v>163</v>
      </c>
      <c r="N24" s="11">
        <f t="shared" si="0"/>
        <v>4.6683362229499759E-2</v>
      </c>
      <c r="P24" s="2" t="s">
        <v>1325</v>
      </c>
      <c r="Q24" s="2">
        <v>431.91</v>
      </c>
      <c r="R24" s="11">
        <f t="shared" si="1"/>
        <v>1.6930284336007517E-3</v>
      </c>
      <c r="T24" s="2" t="s">
        <v>1325</v>
      </c>
      <c r="U24" s="2">
        <v>4448.97998046875</v>
      </c>
      <c r="V24" s="11">
        <f t="shared" si="2"/>
        <v>1.2134715784494876E-2</v>
      </c>
    </row>
    <row r="25" spans="2:22" x14ac:dyDescent="0.2">
      <c r="L25" s="2" t="s">
        <v>1324</v>
      </c>
      <c r="M25" s="2">
        <v>156.30000000000001</v>
      </c>
      <c r="N25" s="11">
        <f t="shared" si="0"/>
        <v>-4.1104294478527592E-2</v>
      </c>
      <c r="P25" s="2" t="s">
        <v>1324</v>
      </c>
      <c r="Q25" s="2">
        <v>432.61</v>
      </c>
      <c r="R25" s="11">
        <f t="shared" si="1"/>
        <v>1.6207080178740618E-3</v>
      </c>
      <c r="T25" s="2" t="s">
        <v>1324</v>
      </c>
      <c r="U25" s="2">
        <v>4455.47998046875</v>
      </c>
      <c r="V25" s="11">
        <f t="shared" si="2"/>
        <v>1.461009046688222E-3</v>
      </c>
    </row>
    <row r="26" spans="2:22" x14ac:dyDescent="0.2">
      <c r="B26" s="7" t="s">
        <v>1377</v>
      </c>
      <c r="L26" s="2" t="s">
        <v>1323</v>
      </c>
      <c r="M26" s="2">
        <v>153.59</v>
      </c>
      <c r="N26" s="11">
        <f t="shared" si="0"/>
        <v>-1.7338451695457557E-2</v>
      </c>
      <c r="P26" s="2" t="s">
        <v>1323</v>
      </c>
      <c r="Q26" s="2">
        <v>430.72</v>
      </c>
      <c r="R26" s="11">
        <f t="shared" si="1"/>
        <v>-4.3688310487505211E-3</v>
      </c>
      <c r="T26" s="2" t="s">
        <v>1323</v>
      </c>
      <c r="U26" s="2">
        <v>4443.10986328125</v>
      </c>
      <c r="V26" s="11">
        <f t="shared" si="2"/>
        <v>-2.7763826213396126E-3</v>
      </c>
    </row>
    <row r="27" spans="2:22" x14ac:dyDescent="0.2">
      <c r="L27" s="2" t="s">
        <v>1322</v>
      </c>
      <c r="M27" s="2">
        <v>150.63</v>
      </c>
      <c r="N27" s="11">
        <f t="shared" si="0"/>
        <v>-1.9272088026564327E-2</v>
      </c>
      <c r="P27" s="2" t="s">
        <v>1322</v>
      </c>
      <c r="Q27" s="2">
        <v>414.54</v>
      </c>
      <c r="R27" s="11">
        <f t="shared" si="1"/>
        <v>-3.7565007429420483E-2</v>
      </c>
      <c r="T27" s="2" t="s">
        <v>1322</v>
      </c>
      <c r="U27" s="2">
        <v>4352.6298828125</v>
      </c>
      <c r="V27" s="11">
        <f t="shared" si="2"/>
        <v>-2.0364110556098214E-2</v>
      </c>
    </row>
    <row r="28" spans="2:22" x14ac:dyDescent="0.2">
      <c r="B28" s="5" t="s">
        <v>1348</v>
      </c>
      <c r="D28" s="5">
        <f>+SLOPE(N5:N1006,R5:R1006)</f>
        <v>0.6281804306137484</v>
      </c>
      <c r="L28" s="2" t="s">
        <v>1321</v>
      </c>
      <c r="M28" s="2">
        <v>149.81</v>
      </c>
      <c r="N28" s="11">
        <f t="shared" si="0"/>
        <v>-5.4438026953461671E-3</v>
      </c>
      <c r="P28" s="2" t="s">
        <v>1321</v>
      </c>
      <c r="Q28" s="2">
        <v>410.22</v>
      </c>
      <c r="R28" s="11">
        <f t="shared" si="1"/>
        <v>-1.0421189752496729E-2</v>
      </c>
      <c r="T28" s="2" t="s">
        <v>1321</v>
      </c>
      <c r="U28" s="2">
        <v>4359.4599609375</v>
      </c>
      <c r="V28" s="11">
        <f t="shared" si="2"/>
        <v>1.5691842194003325E-3</v>
      </c>
    </row>
    <row r="29" spans="2:22" x14ac:dyDescent="0.2">
      <c r="L29" s="2" t="s">
        <v>1320</v>
      </c>
      <c r="M29" s="2">
        <v>143.47999999999999</v>
      </c>
      <c r="N29" s="11">
        <f t="shared" si="0"/>
        <v>-4.2253521126760618E-2</v>
      </c>
      <c r="P29" s="2" t="s">
        <v>1320</v>
      </c>
      <c r="Q29" s="2">
        <v>404.7</v>
      </c>
      <c r="R29" s="11">
        <f t="shared" si="1"/>
        <v>-1.345619423723865E-2</v>
      </c>
      <c r="T29" s="2" t="s">
        <v>1320</v>
      </c>
      <c r="U29" s="2">
        <v>4307.5400390625</v>
      </c>
      <c r="V29" s="11">
        <f t="shared" si="2"/>
        <v>-1.1909714125195148E-2</v>
      </c>
    </row>
    <row r="30" spans="2:22" x14ac:dyDescent="0.2">
      <c r="B30" s="5" t="s">
        <v>1349</v>
      </c>
      <c r="D30" s="5">
        <f>+_xlfn.COVARIANCE.S(R5:R1006,N5:N1006)</f>
        <v>4.4223662016653053E-4</v>
      </c>
      <c r="L30" s="2" t="s">
        <v>1319</v>
      </c>
      <c r="M30" s="2">
        <v>141.13</v>
      </c>
      <c r="N30" s="11">
        <f t="shared" si="0"/>
        <v>-1.6378589350432127E-2</v>
      </c>
      <c r="P30" s="2" t="s">
        <v>1319</v>
      </c>
      <c r="Q30" s="2">
        <v>401.37</v>
      </c>
      <c r="R30" s="11">
        <f t="shared" si="1"/>
        <v>-8.2283172720533093E-3</v>
      </c>
      <c r="T30" s="2" t="s">
        <v>1319</v>
      </c>
      <c r="U30" s="2">
        <v>4357.0400390625</v>
      </c>
      <c r="V30" s="11">
        <f t="shared" si="2"/>
        <v>1.149147763018199E-2</v>
      </c>
    </row>
    <row r="31" spans="2:22" x14ac:dyDescent="0.2">
      <c r="B31" s="5" t="s">
        <v>1350</v>
      </c>
      <c r="D31" s="5">
        <f>+_xlfn.VAR.S(N5:N1006)</f>
        <v>1.3231921493649635E-3</v>
      </c>
      <c r="L31" s="2" t="s">
        <v>1318</v>
      </c>
      <c r="M31" s="2">
        <v>136.07</v>
      </c>
      <c r="N31" s="11">
        <f t="shared" si="0"/>
        <v>-3.5853468433359348E-2</v>
      </c>
      <c r="P31" s="2" t="s">
        <v>1318</v>
      </c>
      <c r="Q31" s="2">
        <v>392.57</v>
      </c>
      <c r="R31" s="11">
        <f t="shared" si="1"/>
        <v>-2.192490719286444E-2</v>
      </c>
      <c r="T31" s="2" t="s">
        <v>1318</v>
      </c>
      <c r="U31" s="2">
        <v>4300.4599609375</v>
      </c>
      <c r="V31" s="11">
        <f t="shared" si="2"/>
        <v>-1.2985898136748442E-2</v>
      </c>
    </row>
    <row r="32" spans="2:22" x14ac:dyDescent="0.2">
      <c r="B32" s="5" t="s">
        <v>1351</v>
      </c>
      <c r="D32" s="5">
        <f>+D30/D31</f>
        <v>0.33421950121059296</v>
      </c>
      <c r="L32" s="2" t="s">
        <v>1317</v>
      </c>
      <c r="M32" s="2">
        <v>136.91999999999999</v>
      </c>
      <c r="N32" s="11">
        <f t="shared" si="0"/>
        <v>6.2467847431468826E-3</v>
      </c>
      <c r="P32" s="2" t="s">
        <v>1317</v>
      </c>
      <c r="Q32" s="2">
        <v>397.12</v>
      </c>
      <c r="R32" s="11">
        <f t="shared" si="1"/>
        <v>1.1590289629874961E-2</v>
      </c>
      <c r="T32" s="2" t="s">
        <v>1317</v>
      </c>
      <c r="U32" s="2">
        <v>4345.72021484375</v>
      </c>
      <c r="V32" s="11">
        <f t="shared" si="2"/>
        <v>1.0524514660609219E-2</v>
      </c>
    </row>
    <row r="33" spans="2:22" ht="13.5" thickBot="1" x14ac:dyDescent="0.25">
      <c r="L33" s="2" t="s">
        <v>1316</v>
      </c>
      <c r="M33" s="2">
        <v>138.31</v>
      </c>
      <c r="N33" s="11">
        <f t="shared" si="0"/>
        <v>1.015191352614675E-2</v>
      </c>
      <c r="P33" s="2" t="s">
        <v>1316</v>
      </c>
      <c r="Q33" s="2">
        <v>398.13</v>
      </c>
      <c r="R33" s="11">
        <f t="shared" si="1"/>
        <v>2.5433118452860004E-3</v>
      </c>
      <c r="T33" s="2" t="s">
        <v>1316</v>
      </c>
      <c r="U33" s="2">
        <v>4363.5498046875</v>
      </c>
      <c r="V33" s="11">
        <f t="shared" si="2"/>
        <v>4.1027928541854664E-3</v>
      </c>
    </row>
    <row r="34" spans="2:22" x14ac:dyDescent="0.2">
      <c r="B34" s="14" t="s">
        <v>1352</v>
      </c>
      <c r="C34" s="14"/>
      <c r="L34" s="2" t="s">
        <v>1315</v>
      </c>
      <c r="M34" s="2">
        <v>139.54</v>
      </c>
      <c r="N34" s="11">
        <f t="shared" si="0"/>
        <v>8.8930663003397026E-3</v>
      </c>
      <c r="P34" s="2" t="s">
        <v>1315</v>
      </c>
      <c r="Q34" s="2">
        <v>399.72</v>
      </c>
      <c r="R34" s="11">
        <f t="shared" si="1"/>
        <v>3.993670409162986E-3</v>
      </c>
      <c r="T34" s="2" t="s">
        <v>1315</v>
      </c>
      <c r="U34" s="2">
        <v>4399.759765625</v>
      </c>
      <c r="V34" s="11">
        <f t="shared" si="2"/>
        <v>8.2982806564053657E-3</v>
      </c>
    </row>
    <row r="35" spans="2:22" x14ac:dyDescent="0.2">
      <c r="B35" s="5" t="s">
        <v>1353</v>
      </c>
      <c r="C35" s="5">
        <v>0.45820317566553603</v>
      </c>
      <c r="L35" s="2" t="s">
        <v>1314</v>
      </c>
      <c r="M35" s="2">
        <v>130.4</v>
      </c>
      <c r="N35" s="11">
        <f t="shared" si="0"/>
        <v>-6.5500931632506698E-2</v>
      </c>
      <c r="P35" s="2" t="s">
        <v>1314</v>
      </c>
      <c r="Q35" s="2">
        <v>397.22</v>
      </c>
      <c r="R35" s="11">
        <f t="shared" si="1"/>
        <v>-6.2543780646452385E-3</v>
      </c>
      <c r="T35" s="2" t="s">
        <v>1314</v>
      </c>
      <c r="U35" s="2">
        <v>4391.33984375</v>
      </c>
      <c r="V35" s="11">
        <f t="shared" si="2"/>
        <v>-1.9137230947889883E-3</v>
      </c>
    </row>
    <row r="36" spans="2:22" x14ac:dyDescent="0.2">
      <c r="B36" s="5" t="s">
        <v>1354</v>
      </c>
      <c r="C36" s="5">
        <v>0.20995015018998206</v>
      </c>
      <c r="L36" s="2" t="s">
        <v>1313</v>
      </c>
      <c r="M36" s="2">
        <v>125.62</v>
      </c>
      <c r="N36" s="11">
        <f t="shared" si="0"/>
        <v>-3.6656441717791366E-2</v>
      </c>
      <c r="P36" s="2" t="s">
        <v>1313</v>
      </c>
      <c r="Q36" s="2">
        <v>386.04</v>
      </c>
      <c r="R36" s="11">
        <f t="shared" si="1"/>
        <v>-2.8145612003423803E-2</v>
      </c>
      <c r="T36" s="2" t="s">
        <v>1313</v>
      </c>
      <c r="U36" s="2">
        <v>4361.18994140625</v>
      </c>
      <c r="V36" s="11">
        <f t="shared" si="2"/>
        <v>-6.8657638480568162E-3</v>
      </c>
    </row>
    <row r="37" spans="2:22" x14ac:dyDescent="0.2">
      <c r="B37" s="5" t="s">
        <v>1355</v>
      </c>
      <c r="C37" s="5">
        <v>0.20916010034017204</v>
      </c>
      <c r="L37" s="2" t="s">
        <v>1312</v>
      </c>
      <c r="M37" s="2">
        <v>130.09</v>
      </c>
      <c r="N37" s="11">
        <f t="shared" si="0"/>
        <v>3.5583505811176641E-2</v>
      </c>
      <c r="P37" s="2" t="s">
        <v>1312</v>
      </c>
      <c r="Q37" s="2">
        <v>384.57</v>
      </c>
      <c r="R37" s="11">
        <f t="shared" si="1"/>
        <v>-3.8078955548648263E-3</v>
      </c>
      <c r="T37" s="2" t="s">
        <v>1312</v>
      </c>
      <c r="U37" s="2">
        <v>4350.64990234375</v>
      </c>
      <c r="V37" s="11">
        <f t="shared" si="2"/>
        <v>-2.4167805585421087E-3</v>
      </c>
    </row>
    <row r="38" spans="2:22" x14ac:dyDescent="0.2">
      <c r="B38" s="5" t="s">
        <v>1356</v>
      </c>
      <c r="C38" s="5">
        <v>2.3595513644587285E-2</v>
      </c>
      <c r="L38" s="2" t="s">
        <v>1311</v>
      </c>
      <c r="M38" s="2">
        <v>132.47</v>
      </c>
      <c r="N38" s="11">
        <f t="shared" si="0"/>
        <v>1.8295026520101398E-2</v>
      </c>
      <c r="P38" s="2" t="s">
        <v>1311</v>
      </c>
      <c r="Q38" s="2">
        <v>400.71</v>
      </c>
      <c r="R38" s="11">
        <f t="shared" si="1"/>
        <v>4.1968952336375764E-2</v>
      </c>
      <c r="T38" s="2" t="s">
        <v>1311</v>
      </c>
      <c r="U38" s="2">
        <v>4363.7998046875</v>
      </c>
      <c r="V38" s="11">
        <f t="shared" si="2"/>
        <v>3.02251448379387E-3</v>
      </c>
    </row>
    <row r="39" spans="2:22" ht="13.5" thickBot="1" x14ac:dyDescent="0.25">
      <c r="B39" s="15" t="s">
        <v>1357</v>
      </c>
      <c r="C39" s="15">
        <v>1002</v>
      </c>
      <c r="L39" s="2" t="s">
        <v>1310</v>
      </c>
      <c r="M39" s="2">
        <v>136.62</v>
      </c>
      <c r="N39" s="11">
        <f t="shared" si="0"/>
        <v>3.1327847814599519E-2</v>
      </c>
      <c r="P39" s="2" t="s">
        <v>1310</v>
      </c>
      <c r="Q39" s="2">
        <v>406.99</v>
      </c>
      <c r="R39" s="11">
        <f t="shared" si="1"/>
        <v>1.5672181877168123E-2</v>
      </c>
      <c r="T39" s="2" t="s">
        <v>1310</v>
      </c>
      <c r="U39" s="2">
        <v>4438.259765625</v>
      </c>
      <c r="V39" s="11">
        <f t="shared" si="2"/>
        <v>1.7063101945583359E-2</v>
      </c>
    </row>
    <row r="40" spans="2:22" x14ac:dyDescent="0.2">
      <c r="L40" s="2" t="s">
        <v>1309</v>
      </c>
      <c r="M40" s="2">
        <v>137.19</v>
      </c>
      <c r="N40" s="11">
        <f t="shared" si="0"/>
        <v>4.1721563460692668E-3</v>
      </c>
      <c r="P40" s="2" t="s">
        <v>1309</v>
      </c>
      <c r="Q40" s="2">
        <v>403.51</v>
      </c>
      <c r="R40" s="11">
        <f t="shared" si="1"/>
        <v>-8.5505786382957805E-3</v>
      </c>
      <c r="T40" s="2" t="s">
        <v>1309</v>
      </c>
      <c r="U40" s="2">
        <v>4471.3701171875</v>
      </c>
      <c r="V40" s="11">
        <f t="shared" si="2"/>
        <v>7.4602103777126061E-3</v>
      </c>
    </row>
    <row r="41" spans="2:22" ht="13.5" thickBot="1" x14ac:dyDescent="0.25">
      <c r="B41" s="5" t="s">
        <v>1358</v>
      </c>
      <c r="L41" s="2" t="s">
        <v>1308</v>
      </c>
      <c r="M41" s="2">
        <v>143.15</v>
      </c>
      <c r="N41" s="11">
        <f t="shared" si="0"/>
        <v>4.3443399664698568E-2</v>
      </c>
      <c r="P41" s="2" t="s">
        <v>1308</v>
      </c>
      <c r="Q41" s="2">
        <v>417.38</v>
      </c>
      <c r="R41" s="11">
        <f t="shared" si="1"/>
        <v>3.4373373646254146E-2</v>
      </c>
      <c r="T41" s="2" t="s">
        <v>1308</v>
      </c>
      <c r="U41" s="2">
        <v>4486.4599609375</v>
      </c>
      <c r="V41" s="11">
        <f t="shared" si="2"/>
        <v>3.37476955709759E-3</v>
      </c>
    </row>
    <row r="42" spans="2:22" x14ac:dyDescent="0.2">
      <c r="B42" s="16"/>
      <c r="C42" s="16" t="s">
        <v>1363</v>
      </c>
      <c r="D42" s="16" t="s">
        <v>1364</v>
      </c>
      <c r="E42" s="16" t="s">
        <v>1365</v>
      </c>
      <c r="F42" s="16" t="s">
        <v>1366</v>
      </c>
      <c r="G42" s="16" t="s">
        <v>1367</v>
      </c>
      <c r="L42" s="2" t="s">
        <v>1307</v>
      </c>
      <c r="M42" s="2">
        <v>142.4</v>
      </c>
      <c r="N42" s="11">
        <f t="shared" si="0"/>
        <v>-5.239259517988093E-3</v>
      </c>
      <c r="P42" s="2" t="s">
        <v>1307</v>
      </c>
      <c r="Q42" s="2">
        <v>416.64</v>
      </c>
      <c r="R42" s="11">
        <f t="shared" si="1"/>
        <v>-1.7729646844601987E-3</v>
      </c>
      <c r="T42" s="2" t="s">
        <v>1307</v>
      </c>
      <c r="U42" s="2">
        <v>4519.6298828125</v>
      </c>
      <c r="V42" s="11">
        <f t="shared" si="2"/>
        <v>7.3933395514063083E-3</v>
      </c>
    </row>
    <row r="43" spans="2:22" x14ac:dyDescent="0.2">
      <c r="B43" s="5" t="s">
        <v>1359</v>
      </c>
      <c r="C43" s="5">
        <v>1</v>
      </c>
      <c r="D43" s="5">
        <v>0.14795190671172509</v>
      </c>
      <c r="E43" s="5">
        <v>0.14795190671172509</v>
      </c>
      <c r="F43" s="5">
        <v>265.74291513436583</v>
      </c>
      <c r="G43" s="5">
        <v>3.6847227698176893E-53</v>
      </c>
      <c r="L43" s="2" t="s">
        <v>1306</v>
      </c>
      <c r="M43" s="2">
        <v>135.93</v>
      </c>
      <c r="N43" s="11">
        <f t="shared" si="0"/>
        <v>-4.5435393258426937E-2</v>
      </c>
      <c r="P43" s="2" t="s">
        <v>1306</v>
      </c>
      <c r="Q43" s="2">
        <v>414.4</v>
      </c>
      <c r="R43" s="11">
        <f t="shared" si="1"/>
        <v>-5.3763440860215006E-3</v>
      </c>
      <c r="T43" s="2" t="s">
        <v>1306</v>
      </c>
      <c r="U43" s="2">
        <v>4536.18994140625</v>
      </c>
      <c r="V43" s="11">
        <f t="shared" si="2"/>
        <v>3.6640298040166996E-3</v>
      </c>
    </row>
    <row r="44" spans="2:22" x14ac:dyDescent="0.2">
      <c r="B44" s="5" t="s">
        <v>1360</v>
      </c>
      <c r="C44" s="5">
        <v>1000</v>
      </c>
      <c r="D44" s="5">
        <v>0.5567482641519047</v>
      </c>
      <c r="E44" s="5">
        <v>5.567482641519047E-4</v>
      </c>
      <c r="L44" s="2" t="s">
        <v>1305</v>
      </c>
      <c r="M44" s="2">
        <v>148.6</v>
      </c>
      <c r="N44" s="11">
        <f t="shared" si="0"/>
        <v>9.3209740307511169E-2</v>
      </c>
      <c r="P44" s="2" t="s">
        <v>1305</v>
      </c>
      <c r="Q44" s="2">
        <v>424.04</v>
      </c>
      <c r="R44" s="11">
        <f t="shared" si="1"/>
        <v>2.3262548262548366E-2</v>
      </c>
      <c r="T44" s="2" t="s">
        <v>1305</v>
      </c>
      <c r="U44" s="2">
        <v>4549.77978515625</v>
      </c>
      <c r="V44" s="11">
        <f t="shared" si="2"/>
        <v>2.9958718496225778E-3</v>
      </c>
    </row>
    <row r="45" spans="2:22" ht="13.5" thickBot="1" x14ac:dyDescent="0.25">
      <c r="B45" s="15" t="s">
        <v>1361</v>
      </c>
      <c r="C45" s="15">
        <v>1001</v>
      </c>
      <c r="D45" s="15">
        <v>0.70470017086362979</v>
      </c>
      <c r="E45" s="15"/>
      <c r="F45" s="15"/>
      <c r="G45" s="15"/>
      <c r="L45" s="2" t="s">
        <v>1304</v>
      </c>
      <c r="M45" s="2">
        <v>149.76</v>
      </c>
      <c r="N45" s="11">
        <f t="shared" si="0"/>
        <v>7.8061911170927978E-3</v>
      </c>
      <c r="P45" s="2" t="s">
        <v>1304</v>
      </c>
      <c r="Q45" s="2">
        <v>421.73</v>
      </c>
      <c r="R45" s="11">
        <f t="shared" si="1"/>
        <v>-5.4475992830864683E-3</v>
      </c>
      <c r="T45" s="2" t="s">
        <v>1304</v>
      </c>
      <c r="U45" s="2">
        <v>4544.89990234375</v>
      </c>
      <c r="V45" s="11">
        <f t="shared" si="2"/>
        <v>-1.0725536274130976E-3</v>
      </c>
    </row>
    <row r="46" spans="2:22" ht="13.5" thickBot="1" x14ac:dyDescent="0.25">
      <c r="L46" s="2" t="s">
        <v>1303</v>
      </c>
      <c r="M46" s="2">
        <v>155.63999999999999</v>
      </c>
      <c r="N46" s="11">
        <f t="shared" si="0"/>
        <v>3.9262820512820484E-2</v>
      </c>
      <c r="P46" s="2" t="s">
        <v>1303</v>
      </c>
      <c r="Q46" s="2">
        <v>427.94</v>
      </c>
      <c r="R46" s="11">
        <f t="shared" si="1"/>
        <v>1.4725061058022959E-2</v>
      </c>
      <c r="T46" s="2" t="s">
        <v>1303</v>
      </c>
      <c r="U46" s="2">
        <v>4566.47998046875</v>
      </c>
      <c r="V46" s="11">
        <f t="shared" si="2"/>
        <v>4.7481965694935457E-3</v>
      </c>
    </row>
    <row r="47" spans="2:22" x14ac:dyDescent="0.2">
      <c r="B47" s="16"/>
      <c r="C47" s="16" t="s">
        <v>1368</v>
      </c>
      <c r="D47" s="16" t="s">
        <v>1356</v>
      </c>
      <c r="E47" s="16" t="s">
        <v>1369</v>
      </c>
      <c r="F47" s="16" t="s">
        <v>1370</v>
      </c>
      <c r="G47" s="16" t="s">
        <v>1371</v>
      </c>
      <c r="H47" s="16" t="s">
        <v>1372</v>
      </c>
      <c r="I47" s="16" t="s">
        <v>1373</v>
      </c>
      <c r="J47" s="16" t="s">
        <v>1374</v>
      </c>
      <c r="L47" s="2" t="s">
        <v>1302</v>
      </c>
      <c r="M47" s="2">
        <v>154.24</v>
      </c>
      <c r="N47" s="11">
        <f t="shared" si="0"/>
        <v>-8.9951169365199979E-3</v>
      </c>
      <c r="P47" s="2" t="s">
        <v>1302</v>
      </c>
      <c r="Q47" s="2">
        <v>432.73</v>
      </c>
      <c r="R47" s="11">
        <f t="shared" si="1"/>
        <v>1.1193157919334507E-2</v>
      </c>
      <c r="T47" s="2" t="s">
        <v>1302</v>
      </c>
      <c r="U47" s="2">
        <v>4574.7900390625</v>
      </c>
      <c r="V47" s="11">
        <f t="shared" si="2"/>
        <v>1.8197952535197182E-3</v>
      </c>
    </row>
    <row r="48" spans="2:22" x14ac:dyDescent="0.2">
      <c r="B48" s="5" t="s">
        <v>1362</v>
      </c>
      <c r="C48" s="5">
        <v>-3.7407983125570769E-4</v>
      </c>
      <c r="D48" s="5">
        <v>7.4541809743232563E-4</v>
      </c>
      <c r="E48" s="5">
        <v>-0.50183894453899991</v>
      </c>
      <c r="F48" s="5">
        <v>0.6158912849241962</v>
      </c>
      <c r="G48" s="5">
        <v>-1.8368428954024321E-3</v>
      </c>
      <c r="H48" s="5">
        <v>1.0886832328910166E-3</v>
      </c>
      <c r="I48" s="5">
        <v>-1.8368428954024321E-3</v>
      </c>
      <c r="J48" s="5">
        <v>1.0886832328910166E-3</v>
      </c>
      <c r="L48" s="2" t="s">
        <v>1301</v>
      </c>
      <c r="M48" s="2">
        <v>151.88</v>
      </c>
      <c r="N48" s="11">
        <f t="shared" si="0"/>
        <v>-1.5300829875518729E-2</v>
      </c>
      <c r="P48" s="2" t="s">
        <v>1301</v>
      </c>
      <c r="Q48" s="2">
        <v>433.7</v>
      </c>
      <c r="R48" s="11">
        <f t="shared" si="1"/>
        <v>2.2415825110344567E-3</v>
      </c>
      <c r="T48" s="2" t="s">
        <v>1301</v>
      </c>
      <c r="U48" s="2">
        <v>4551.68017578125</v>
      </c>
      <c r="V48" s="11">
        <f t="shared" si="2"/>
        <v>-5.0515680684628528E-3</v>
      </c>
    </row>
    <row r="49" spans="2:22" ht="13.5" thickBot="1" x14ac:dyDescent="0.25">
      <c r="B49" s="15" t="s">
        <v>1375</v>
      </c>
      <c r="C49" s="15">
        <v>0.33421950121059285</v>
      </c>
      <c r="D49" s="15">
        <v>2.0502222356177418E-2</v>
      </c>
      <c r="E49" s="15">
        <v>16.301623082821113</v>
      </c>
      <c r="F49" s="15">
        <v>3.6847227698171125E-53</v>
      </c>
      <c r="G49" s="15">
        <v>0.29398718903727289</v>
      </c>
      <c r="H49" s="15">
        <v>0.37445181338391281</v>
      </c>
      <c r="I49" s="15">
        <v>0.29398718903727289</v>
      </c>
      <c r="J49" s="15">
        <v>0.37445181338391281</v>
      </c>
      <c r="L49" s="2" t="s">
        <v>1300</v>
      </c>
      <c r="M49" s="2">
        <v>156.53</v>
      </c>
      <c r="N49" s="11">
        <f t="shared" si="0"/>
        <v>3.0616276007374266E-2</v>
      </c>
      <c r="P49" s="2" t="s">
        <v>1300</v>
      </c>
      <c r="Q49" s="2">
        <v>443.46</v>
      </c>
      <c r="R49" s="11">
        <f t="shared" si="1"/>
        <v>2.2504035047267612E-2</v>
      </c>
      <c r="T49" s="2" t="s">
        <v>1300</v>
      </c>
      <c r="U49" s="2">
        <v>4596.419921875</v>
      </c>
      <c r="V49" s="11">
        <f t="shared" si="2"/>
        <v>9.8292815764611241E-3</v>
      </c>
    </row>
    <row r="50" spans="2:22" x14ac:dyDescent="0.2">
      <c r="L50" s="2" t="s">
        <v>1299</v>
      </c>
      <c r="M50" s="2">
        <v>161.44999999999999</v>
      </c>
      <c r="N50" s="11">
        <f t="shared" si="0"/>
        <v>3.1431674439404533E-2</v>
      </c>
      <c r="P50" s="2" t="s">
        <v>1299</v>
      </c>
      <c r="Q50" s="2">
        <v>466.01</v>
      </c>
      <c r="R50" s="11">
        <f t="shared" si="1"/>
        <v>5.085013304469399E-2</v>
      </c>
      <c r="T50" s="2" t="s">
        <v>1299</v>
      </c>
      <c r="U50" s="2">
        <v>4605.3798828125</v>
      </c>
      <c r="V50" s="11">
        <f t="shared" si="2"/>
        <v>1.9493347191492649E-3</v>
      </c>
    </row>
    <row r="51" spans="2:22" x14ac:dyDescent="0.2">
      <c r="L51" s="2" t="s">
        <v>1298</v>
      </c>
      <c r="M51" s="2">
        <v>167.73</v>
      </c>
      <c r="N51" s="11">
        <f t="shared" si="0"/>
        <v>3.8897491483431468E-2</v>
      </c>
      <c r="P51" s="2" t="s">
        <v>1298</v>
      </c>
      <c r="Q51" s="2">
        <v>458.88</v>
      </c>
      <c r="R51" s="11">
        <f t="shared" si="1"/>
        <v>-1.5300100856204812E-2</v>
      </c>
      <c r="T51" s="2" t="s">
        <v>1298</v>
      </c>
      <c r="U51" s="2">
        <v>4613.669921875</v>
      </c>
      <c r="V51" s="11">
        <f t="shared" si="2"/>
        <v>1.8000771431341267E-3</v>
      </c>
    </row>
    <row r="52" spans="2:22" x14ac:dyDescent="0.2">
      <c r="L52" s="2" t="s">
        <v>1297</v>
      </c>
      <c r="M52" s="2">
        <v>167.4</v>
      </c>
      <c r="N52" s="11">
        <f t="shared" si="0"/>
        <v>-1.9674476837774346E-3</v>
      </c>
      <c r="P52" s="2" t="s">
        <v>1297</v>
      </c>
      <c r="Q52" s="2">
        <v>464.64</v>
      </c>
      <c r="R52" s="11">
        <f t="shared" si="1"/>
        <v>1.2552301255230214E-2</v>
      </c>
      <c r="T52" s="2" t="s">
        <v>1297</v>
      </c>
      <c r="U52" s="2">
        <v>4630.64990234375</v>
      </c>
      <c r="V52" s="11">
        <f t="shared" si="2"/>
        <v>3.6803630854131963E-3</v>
      </c>
    </row>
    <row r="53" spans="2:22" x14ac:dyDescent="0.2">
      <c r="L53" s="2" t="s">
        <v>1296</v>
      </c>
      <c r="M53" s="2">
        <v>173.3</v>
      </c>
      <c r="N53" s="11">
        <f t="shared" si="0"/>
        <v>3.5244922341696627E-2</v>
      </c>
      <c r="P53" s="2" t="s">
        <v>1296</v>
      </c>
      <c r="Q53" s="2">
        <v>467.48</v>
      </c>
      <c r="R53" s="11">
        <f t="shared" si="1"/>
        <v>6.1122589531681371E-3</v>
      </c>
      <c r="T53" s="2" t="s">
        <v>1296</v>
      </c>
      <c r="U53" s="2">
        <v>4660.56982421875</v>
      </c>
      <c r="V53" s="11">
        <f t="shared" si="2"/>
        <v>6.461279195357994E-3</v>
      </c>
    </row>
    <row r="54" spans="2:22" x14ac:dyDescent="0.2">
      <c r="L54" s="2" t="s">
        <v>1295</v>
      </c>
      <c r="M54" s="2">
        <v>177.42</v>
      </c>
      <c r="N54" s="11">
        <f t="shared" si="0"/>
        <v>2.3773802654356357E-2</v>
      </c>
      <c r="P54" s="2" t="s">
        <v>1295</v>
      </c>
      <c r="Q54" s="2">
        <v>473.94</v>
      </c>
      <c r="R54" s="11">
        <f t="shared" si="1"/>
        <v>1.3818772995636053E-2</v>
      </c>
      <c r="T54" s="2" t="s">
        <v>1295</v>
      </c>
      <c r="U54" s="2">
        <v>4680.06005859375</v>
      </c>
      <c r="V54" s="11">
        <f t="shared" si="2"/>
        <v>4.1819423611504369E-3</v>
      </c>
    </row>
    <row r="55" spans="2:22" x14ac:dyDescent="0.2">
      <c r="L55" s="2" t="s">
        <v>1294</v>
      </c>
      <c r="M55" s="2">
        <v>180.17</v>
      </c>
      <c r="N55" s="11">
        <f t="shared" si="0"/>
        <v>1.5499943636568592E-2</v>
      </c>
      <c r="P55" s="2" t="s">
        <v>1294</v>
      </c>
      <c r="Q55" s="2">
        <v>467.91</v>
      </c>
      <c r="R55" s="11">
        <f t="shared" si="1"/>
        <v>-1.272312951006449E-2</v>
      </c>
      <c r="T55" s="2" t="s">
        <v>1294</v>
      </c>
      <c r="U55" s="2">
        <v>4697.52978515625</v>
      </c>
      <c r="V55" s="11">
        <f t="shared" si="2"/>
        <v>3.7327996529492591E-3</v>
      </c>
    </row>
    <row r="56" spans="2:22" x14ac:dyDescent="0.2">
      <c r="L56" s="2" t="s">
        <v>1293</v>
      </c>
      <c r="M56" s="2">
        <v>176.54</v>
      </c>
      <c r="N56" s="11">
        <f t="shared" si="0"/>
        <v>-2.0147638341566299E-2</v>
      </c>
      <c r="P56" s="2" t="s">
        <v>1293</v>
      </c>
      <c r="Q56" s="2">
        <v>466.14</v>
      </c>
      <c r="R56" s="11">
        <f t="shared" si="1"/>
        <v>-3.7827787395012802E-3</v>
      </c>
      <c r="T56" s="2" t="s">
        <v>1293</v>
      </c>
      <c r="U56" s="2">
        <v>4701.7001953125</v>
      </c>
      <c r="V56" s="11">
        <f t="shared" si="2"/>
        <v>8.8778791130361689E-4</v>
      </c>
    </row>
    <row r="57" spans="2:22" x14ac:dyDescent="0.2">
      <c r="L57" s="2" t="s">
        <v>1292</v>
      </c>
      <c r="M57" s="2">
        <v>178.5</v>
      </c>
      <c r="N57" s="11">
        <f t="shared" si="0"/>
        <v>1.1102299762093537E-2</v>
      </c>
      <c r="P57" s="2" t="s">
        <v>1292</v>
      </c>
      <c r="Q57" s="2">
        <v>470.24</v>
      </c>
      <c r="R57" s="11">
        <f t="shared" si="1"/>
        <v>8.7956407946110371E-3</v>
      </c>
      <c r="T57" s="2" t="s">
        <v>1292</v>
      </c>
      <c r="U57" s="2">
        <v>4685.25</v>
      </c>
      <c r="V57" s="11">
        <f t="shared" si="2"/>
        <v>-3.4987758957707449E-3</v>
      </c>
    </row>
    <row r="58" spans="2:22" x14ac:dyDescent="0.2">
      <c r="L58" s="2" t="s">
        <v>1291</v>
      </c>
      <c r="M58" s="2">
        <v>174.18</v>
      </c>
      <c r="N58" s="11">
        <f t="shared" si="0"/>
        <v>-2.420168067226891E-2</v>
      </c>
      <c r="P58" s="2" t="s">
        <v>1291</v>
      </c>
      <c r="Q58" s="2">
        <v>457.36</v>
      </c>
      <c r="R58" s="11">
        <f t="shared" si="1"/>
        <v>-2.7390268798911155E-2</v>
      </c>
      <c r="T58" s="2" t="s">
        <v>1291</v>
      </c>
      <c r="U58" s="2">
        <v>4646.7099609375</v>
      </c>
      <c r="V58" s="11">
        <f t="shared" si="2"/>
        <v>-8.2258233952297033E-3</v>
      </c>
    </row>
    <row r="59" spans="2:22" x14ac:dyDescent="0.2">
      <c r="L59" s="2" t="s">
        <v>1290</v>
      </c>
      <c r="M59" s="2">
        <v>176.19</v>
      </c>
      <c r="N59" s="11">
        <f t="shared" si="0"/>
        <v>1.1539786427833265E-2</v>
      </c>
      <c r="P59" s="2" t="s">
        <v>1290</v>
      </c>
      <c r="Q59" s="2">
        <v>453</v>
      </c>
      <c r="R59" s="11">
        <f t="shared" si="1"/>
        <v>-9.5329718383767581E-3</v>
      </c>
      <c r="T59" s="2" t="s">
        <v>1290</v>
      </c>
      <c r="U59" s="2">
        <v>4649.27001953125</v>
      </c>
      <c r="V59" s="11">
        <f t="shared" si="2"/>
        <v>5.509400447352153E-4</v>
      </c>
    </row>
    <row r="60" spans="2:22" x14ac:dyDescent="0.2">
      <c r="L60" s="2" t="s">
        <v>1289</v>
      </c>
      <c r="M60" s="2">
        <v>180.57</v>
      </c>
      <c r="N60" s="11">
        <f t="shared" si="0"/>
        <v>2.4859526647369234E-2</v>
      </c>
      <c r="P60" s="2" t="s">
        <v>1289</v>
      </c>
      <c r="Q60" s="2">
        <v>452.59</v>
      </c>
      <c r="R60" s="11">
        <f t="shared" si="1"/>
        <v>-9.050772626931769E-4</v>
      </c>
      <c r="T60" s="2" t="s">
        <v>1289</v>
      </c>
      <c r="U60" s="2">
        <v>4682.85009765625</v>
      </c>
      <c r="V60" s="11">
        <f t="shared" si="2"/>
        <v>7.2226560264154749E-3</v>
      </c>
    </row>
    <row r="61" spans="2:22" x14ac:dyDescent="0.2">
      <c r="L61" s="2" t="s">
        <v>1288</v>
      </c>
      <c r="M61" s="2">
        <v>177.5</v>
      </c>
      <c r="N61" s="11">
        <f t="shared" si="0"/>
        <v>-1.7001716785734033E-2</v>
      </c>
      <c r="P61" s="2" t="s">
        <v>1288</v>
      </c>
      <c r="Q61" s="2">
        <v>461.96</v>
      </c>
      <c r="R61" s="11">
        <f t="shared" si="1"/>
        <v>2.0703064583839748E-2</v>
      </c>
      <c r="T61" s="2" t="s">
        <v>1288</v>
      </c>
      <c r="U61" s="2">
        <v>4682.7998046875</v>
      </c>
      <c r="V61" s="11">
        <f t="shared" si="2"/>
        <v>-1.0739820344718431E-5</v>
      </c>
    </row>
    <row r="62" spans="2:22" x14ac:dyDescent="0.2">
      <c r="L62" s="2" t="s">
        <v>1287</v>
      </c>
      <c r="M62" s="2">
        <v>180.45</v>
      </c>
      <c r="N62" s="11">
        <f t="shared" si="0"/>
        <v>1.6619718309859088E-2</v>
      </c>
      <c r="P62" s="2" t="s">
        <v>1287</v>
      </c>
      <c r="Q62" s="2">
        <v>477.91</v>
      </c>
      <c r="R62" s="11">
        <f t="shared" si="1"/>
        <v>3.4526798857043905E-2</v>
      </c>
      <c r="T62" s="2" t="s">
        <v>1287</v>
      </c>
      <c r="U62" s="2">
        <v>4700.89990234375</v>
      </c>
      <c r="V62" s="11">
        <f t="shared" si="2"/>
        <v>3.865229864862485E-3</v>
      </c>
    </row>
    <row r="63" spans="2:22" x14ac:dyDescent="0.2">
      <c r="L63" s="2" t="s">
        <v>1286</v>
      </c>
      <c r="M63" s="2">
        <v>176.16</v>
      </c>
      <c r="N63" s="11">
        <f t="shared" si="0"/>
        <v>-2.3773898586866071E-2</v>
      </c>
      <c r="P63" s="2" t="s">
        <v>1286</v>
      </c>
      <c r="Q63" s="2">
        <v>465.84</v>
      </c>
      <c r="R63" s="11">
        <f t="shared" si="1"/>
        <v>-2.5255801301500402E-2</v>
      </c>
      <c r="T63" s="2" t="s">
        <v>1286</v>
      </c>
      <c r="U63" s="2">
        <v>4688.669921875</v>
      </c>
      <c r="V63" s="11">
        <f t="shared" si="2"/>
        <v>-2.601625374463401E-3</v>
      </c>
    </row>
    <row r="64" spans="2:22" x14ac:dyDescent="0.2">
      <c r="L64" s="2" t="s">
        <v>1285</v>
      </c>
      <c r="M64" s="2">
        <v>176.98</v>
      </c>
      <c r="N64" s="11">
        <f t="shared" si="0"/>
        <v>4.6548592188919713E-3</v>
      </c>
      <c r="P64" s="2" t="s">
        <v>1285</v>
      </c>
      <c r="Q64" s="2">
        <v>473.24</v>
      </c>
      <c r="R64" s="11">
        <f t="shared" si="1"/>
        <v>1.5885282500429421E-2</v>
      </c>
      <c r="T64" s="2" t="s">
        <v>1285</v>
      </c>
      <c r="U64" s="2">
        <v>4704.5400390625</v>
      </c>
      <c r="V64" s="11">
        <f t="shared" si="2"/>
        <v>3.3847802152713324E-3</v>
      </c>
    </row>
    <row r="65" spans="12:22" x14ac:dyDescent="0.2">
      <c r="L65" s="2" t="s">
        <v>1284</v>
      </c>
      <c r="M65" s="2">
        <v>175.5</v>
      </c>
      <c r="N65" s="11">
        <f t="shared" si="0"/>
        <v>-8.3625268391908092E-3</v>
      </c>
      <c r="P65" s="2" t="s">
        <v>1284</v>
      </c>
      <c r="Q65" s="2">
        <v>473</v>
      </c>
      <c r="R65" s="11">
        <f t="shared" si="1"/>
        <v>-5.0714225340209307E-4</v>
      </c>
      <c r="T65" s="2" t="s">
        <v>1284</v>
      </c>
      <c r="U65" s="2">
        <v>4697.9599609375</v>
      </c>
      <c r="V65" s="11">
        <f t="shared" si="2"/>
        <v>-1.398665559303236E-3</v>
      </c>
    </row>
    <row r="66" spans="12:22" x14ac:dyDescent="0.2">
      <c r="L66" s="2" t="s">
        <v>1283</v>
      </c>
      <c r="M66" s="2">
        <v>175.54</v>
      </c>
      <c r="N66" s="11">
        <f t="shared" si="0"/>
        <v>2.2792022792028632E-4</v>
      </c>
      <c r="P66" s="2" t="s">
        <v>1283</v>
      </c>
      <c r="Q66" s="2">
        <v>460.93</v>
      </c>
      <c r="R66" s="11">
        <f t="shared" si="1"/>
        <v>-2.5517970401691348E-2</v>
      </c>
      <c r="T66" s="2" t="s">
        <v>1283</v>
      </c>
      <c r="U66" s="2">
        <v>4682.93994140625</v>
      </c>
      <c r="V66" s="11">
        <f t="shared" si="2"/>
        <v>-3.1971365563219223E-3</v>
      </c>
    </row>
    <row r="67" spans="12:22" x14ac:dyDescent="0.2">
      <c r="L67" s="2" t="s">
        <v>1282</v>
      </c>
      <c r="M67" s="2">
        <v>170.74</v>
      </c>
      <c r="N67" s="11">
        <f t="shared" si="0"/>
        <v>-2.734419505525798E-2</v>
      </c>
      <c r="P67" s="2" t="s">
        <v>1282</v>
      </c>
      <c r="Q67" s="2">
        <v>458.76</v>
      </c>
      <c r="R67" s="11">
        <f t="shared" si="1"/>
        <v>-4.7078732128522649E-3</v>
      </c>
      <c r="T67" s="2" t="s">
        <v>1282</v>
      </c>
      <c r="U67" s="2">
        <v>4690.7001953125</v>
      </c>
      <c r="V67" s="11">
        <f t="shared" si="2"/>
        <v>1.657132912945114E-3</v>
      </c>
    </row>
    <row r="68" spans="12:22" x14ac:dyDescent="0.2">
      <c r="L68" s="2" t="s">
        <v>1281</v>
      </c>
      <c r="M68" s="2">
        <v>171.65</v>
      </c>
      <c r="N68" s="11">
        <f t="shared" si="0"/>
        <v>5.3297411268595773E-3</v>
      </c>
      <c r="P68" s="2" t="s">
        <v>1281</v>
      </c>
      <c r="Q68" s="2">
        <v>457.86</v>
      </c>
      <c r="R68" s="11">
        <f t="shared" si="1"/>
        <v>-1.9618100967825347E-3</v>
      </c>
      <c r="T68" s="2" t="s">
        <v>1281</v>
      </c>
      <c r="U68" s="2">
        <v>4701.4599609375</v>
      </c>
      <c r="V68" s="11">
        <f t="shared" si="2"/>
        <v>2.2938506357221833E-3</v>
      </c>
    </row>
    <row r="69" spans="12:22" x14ac:dyDescent="0.2">
      <c r="L69" s="2" t="s">
        <v>1280</v>
      </c>
      <c r="M69" s="2">
        <v>168.04</v>
      </c>
      <c r="N69" s="11">
        <f t="shared" si="0"/>
        <v>-2.1031168074570394E-2</v>
      </c>
      <c r="P69" s="2" t="s">
        <v>1280</v>
      </c>
      <c r="Q69" s="2">
        <v>456.58</v>
      </c>
      <c r="R69" s="11">
        <f t="shared" si="1"/>
        <v>-2.79561437994158E-3</v>
      </c>
      <c r="T69" s="2" t="s">
        <v>1280</v>
      </c>
      <c r="U69" s="2">
        <v>4594.6201171875</v>
      </c>
      <c r="V69" s="11">
        <f t="shared" si="2"/>
        <v>-2.2724822637582465E-2</v>
      </c>
    </row>
    <row r="70" spans="12:22" x14ac:dyDescent="0.2">
      <c r="L70" s="2" t="s">
        <v>1279</v>
      </c>
      <c r="M70" s="2">
        <v>168.6</v>
      </c>
      <c r="N70" s="11">
        <f t="shared" ref="N70:N133" si="3">+M70/M69-1</f>
        <v>3.3325398714592058E-3</v>
      </c>
      <c r="P70" s="2" t="s">
        <v>1279</v>
      </c>
      <c r="Q70" s="2">
        <v>463.26</v>
      </c>
      <c r="R70" s="11">
        <f t="shared" ref="R70:R133" si="4">+Q70/Q69-1</f>
        <v>1.4630513820141022E-2</v>
      </c>
      <c r="T70" s="2" t="s">
        <v>1279</v>
      </c>
      <c r="U70" s="2">
        <v>4655.27001953125</v>
      </c>
      <c r="V70" s="11">
        <f t="shared" ref="V70:V133" si="5">+U70/U69-1</f>
        <v>1.3200199537034996E-2</v>
      </c>
    </row>
    <row r="71" spans="12:22" x14ac:dyDescent="0.2">
      <c r="L71" s="2" t="s">
        <v>1278</v>
      </c>
      <c r="M71" s="2">
        <v>164.02</v>
      </c>
      <c r="N71" s="11">
        <f t="shared" si="3"/>
        <v>-2.7164887307235985E-2</v>
      </c>
      <c r="P71" s="2" t="s">
        <v>1278</v>
      </c>
      <c r="Q71" s="2">
        <v>454.41</v>
      </c>
      <c r="R71" s="11">
        <f t="shared" si="4"/>
        <v>-1.9103743038466403E-2</v>
      </c>
      <c r="T71" s="2" t="s">
        <v>1278</v>
      </c>
      <c r="U71" s="2">
        <v>4567</v>
      </c>
      <c r="V71" s="11">
        <f t="shared" si="5"/>
        <v>-1.896131033450521E-2</v>
      </c>
    </row>
    <row r="72" spans="12:22" x14ac:dyDescent="0.2">
      <c r="L72" s="2" t="s">
        <v>1277</v>
      </c>
      <c r="M72" s="2">
        <v>162.74</v>
      </c>
      <c r="N72" s="11">
        <f t="shared" si="3"/>
        <v>-7.8039263504450229E-3</v>
      </c>
      <c r="P72" s="2" t="s">
        <v>1277</v>
      </c>
      <c r="Q72" s="2">
        <v>448.43</v>
      </c>
      <c r="R72" s="11">
        <f t="shared" si="4"/>
        <v>-1.3159921656653695E-2</v>
      </c>
      <c r="T72" s="2" t="s">
        <v>1277</v>
      </c>
      <c r="U72" s="2">
        <v>4513.0400390625</v>
      </c>
      <c r="V72" s="11">
        <f t="shared" si="5"/>
        <v>-1.1815187417889228E-2</v>
      </c>
    </row>
    <row r="73" spans="12:22" x14ac:dyDescent="0.2">
      <c r="L73" s="2" t="s">
        <v>1276</v>
      </c>
      <c r="M73" s="2">
        <v>166.15</v>
      </c>
      <c r="N73" s="11">
        <f t="shared" si="3"/>
        <v>2.0953668428167704E-2</v>
      </c>
      <c r="P73" s="2" t="s">
        <v>1276</v>
      </c>
      <c r="Q73" s="2">
        <v>450.68</v>
      </c>
      <c r="R73" s="11">
        <f t="shared" si="4"/>
        <v>5.0175055192560603E-3</v>
      </c>
      <c r="T73" s="2" t="s">
        <v>1276</v>
      </c>
      <c r="U73" s="2">
        <v>4577.10009765625</v>
      </c>
      <c r="V73" s="11">
        <f t="shared" si="5"/>
        <v>1.419443613158311E-2</v>
      </c>
    </row>
    <row r="74" spans="12:22" x14ac:dyDescent="0.2">
      <c r="L74" s="2" t="s">
        <v>1275</v>
      </c>
      <c r="M74" s="2">
        <v>162.38</v>
      </c>
      <c r="N74" s="11">
        <f t="shared" si="3"/>
        <v>-2.2690340054168034E-2</v>
      </c>
      <c r="P74" s="2" t="s">
        <v>1275</v>
      </c>
      <c r="Q74" s="2">
        <v>435.72</v>
      </c>
      <c r="R74" s="11">
        <f t="shared" si="4"/>
        <v>-3.319428419277537E-2</v>
      </c>
      <c r="T74" s="2" t="s">
        <v>1275</v>
      </c>
      <c r="U74" s="2">
        <v>4538.43017578125</v>
      </c>
      <c r="V74" s="11">
        <f t="shared" si="5"/>
        <v>-8.4485637302975647E-3</v>
      </c>
    </row>
    <row r="75" spans="12:22" x14ac:dyDescent="0.2">
      <c r="L75" s="2" t="s">
        <v>1274</v>
      </c>
      <c r="M75" s="2">
        <v>158.9</v>
      </c>
      <c r="N75" s="11">
        <f t="shared" si="3"/>
        <v>-2.1431210740238904E-2</v>
      </c>
      <c r="P75" s="2" t="s">
        <v>1274</v>
      </c>
      <c r="Q75" s="2">
        <v>423.54</v>
      </c>
      <c r="R75" s="11">
        <f t="shared" si="4"/>
        <v>-2.7953731754337685E-2</v>
      </c>
      <c r="T75" s="2" t="s">
        <v>1274</v>
      </c>
      <c r="U75" s="2">
        <v>4591.669921875</v>
      </c>
      <c r="V75" s="11">
        <f t="shared" si="5"/>
        <v>1.1730872577451423E-2</v>
      </c>
    </row>
    <row r="76" spans="12:22" x14ac:dyDescent="0.2">
      <c r="L76" s="2" t="s">
        <v>1273</v>
      </c>
      <c r="M76" s="2">
        <v>166.94</v>
      </c>
      <c r="N76" s="11">
        <f t="shared" si="3"/>
        <v>5.0597860289490093E-2</v>
      </c>
      <c r="P76" s="2" t="s">
        <v>1273</v>
      </c>
      <c r="Q76" s="2">
        <v>434.95</v>
      </c>
      <c r="R76" s="11">
        <f t="shared" si="4"/>
        <v>2.6939604287670615E-2</v>
      </c>
      <c r="T76" s="2" t="s">
        <v>1273</v>
      </c>
      <c r="U76" s="2">
        <v>4686.75</v>
      </c>
      <c r="V76" s="11">
        <f t="shared" si="5"/>
        <v>2.0707080374404274E-2</v>
      </c>
    </row>
    <row r="77" spans="12:22" x14ac:dyDescent="0.2">
      <c r="L77" s="2" t="s">
        <v>1272</v>
      </c>
      <c r="M77" s="2">
        <v>166.75</v>
      </c>
      <c r="N77" s="11">
        <f t="shared" si="3"/>
        <v>-1.1381334611237914E-3</v>
      </c>
      <c r="P77" s="2" t="s">
        <v>1272</v>
      </c>
      <c r="Q77" s="2">
        <v>426</v>
      </c>
      <c r="R77" s="11">
        <f t="shared" si="4"/>
        <v>-2.0577077825037371E-2</v>
      </c>
      <c r="T77" s="2" t="s">
        <v>1272</v>
      </c>
      <c r="U77" s="2">
        <v>4701.2099609375</v>
      </c>
      <c r="V77" s="11">
        <f t="shared" si="5"/>
        <v>3.0852853123166657E-3</v>
      </c>
    </row>
    <row r="78" spans="12:22" x14ac:dyDescent="0.2">
      <c r="L78" s="2" t="s">
        <v>1271</v>
      </c>
      <c r="M78" s="2">
        <v>161.72</v>
      </c>
      <c r="N78" s="11">
        <f t="shared" si="3"/>
        <v>-3.0164917541229408E-2</v>
      </c>
      <c r="P78" s="2" t="s">
        <v>1271</v>
      </c>
      <c r="Q78" s="2">
        <v>416.92</v>
      </c>
      <c r="R78" s="11">
        <f t="shared" si="4"/>
        <v>-2.131455399061033E-2</v>
      </c>
      <c r="T78" s="2" t="s">
        <v>1271</v>
      </c>
      <c r="U78" s="2">
        <v>4667.4501953125</v>
      </c>
      <c r="V78" s="11">
        <f t="shared" si="5"/>
        <v>-7.1810801698947158E-3</v>
      </c>
    </row>
    <row r="79" spans="12:22" x14ac:dyDescent="0.2">
      <c r="L79" s="2" t="s">
        <v>1270</v>
      </c>
      <c r="M79" s="2">
        <v>158.69999999999999</v>
      </c>
      <c r="N79" s="11">
        <f t="shared" si="3"/>
        <v>-1.8674251793222907E-2</v>
      </c>
      <c r="P79" s="2" t="s">
        <v>1270</v>
      </c>
      <c r="Q79" s="2">
        <v>409.58</v>
      </c>
      <c r="R79" s="11">
        <f t="shared" si="4"/>
        <v>-1.7605295980044233E-2</v>
      </c>
      <c r="T79" s="2" t="s">
        <v>1270</v>
      </c>
      <c r="U79" s="2">
        <v>4712.02001953125</v>
      </c>
      <c r="V79" s="11">
        <f t="shared" si="5"/>
        <v>9.5490733384817617E-3</v>
      </c>
    </row>
    <row r="80" spans="12:22" x14ac:dyDescent="0.2">
      <c r="L80" s="2" t="s">
        <v>1269</v>
      </c>
      <c r="M80" s="2">
        <v>156.91</v>
      </c>
      <c r="N80" s="11">
        <f t="shared" si="3"/>
        <v>-1.1279143037177031E-2</v>
      </c>
      <c r="P80" s="2" t="s">
        <v>1269</v>
      </c>
      <c r="Q80" s="2">
        <v>403.75</v>
      </c>
      <c r="R80" s="11">
        <f t="shared" si="4"/>
        <v>-1.4234093461594766E-2</v>
      </c>
      <c r="T80" s="2" t="s">
        <v>1269</v>
      </c>
      <c r="U80" s="2">
        <v>4668.97021484375</v>
      </c>
      <c r="V80" s="11">
        <f t="shared" si="5"/>
        <v>-9.1361676115676582E-3</v>
      </c>
    </row>
    <row r="81" spans="12:22" x14ac:dyDescent="0.2">
      <c r="L81" s="2" t="s">
        <v>1268</v>
      </c>
      <c r="M81" s="2">
        <v>153.57</v>
      </c>
      <c r="N81" s="11">
        <f t="shared" si="3"/>
        <v>-2.1286087566120715E-2</v>
      </c>
      <c r="P81" s="2" t="s">
        <v>1268</v>
      </c>
      <c r="Q81" s="2">
        <v>395.09</v>
      </c>
      <c r="R81" s="11">
        <f t="shared" si="4"/>
        <v>-2.144891640866875E-2</v>
      </c>
      <c r="T81" s="2" t="s">
        <v>1268</v>
      </c>
      <c r="U81" s="2">
        <v>4634.08984375</v>
      </c>
      <c r="V81" s="11">
        <f t="shared" si="5"/>
        <v>-7.4706775774360246E-3</v>
      </c>
    </row>
    <row r="82" spans="12:22" x14ac:dyDescent="0.2">
      <c r="L82" s="2" t="s">
        <v>1267</v>
      </c>
      <c r="M82" s="2">
        <v>151.33000000000001</v>
      </c>
      <c r="N82" s="11">
        <f t="shared" si="3"/>
        <v>-1.4586182197043551E-2</v>
      </c>
      <c r="P82" s="2" t="s">
        <v>1267</v>
      </c>
      <c r="Q82" s="2">
        <v>402.48</v>
      </c>
      <c r="R82" s="11">
        <f t="shared" si="4"/>
        <v>1.8704598952137497E-2</v>
      </c>
      <c r="T82" s="2" t="s">
        <v>1267</v>
      </c>
      <c r="U82" s="2">
        <v>4709.85009765625</v>
      </c>
      <c r="V82" s="11">
        <f t="shared" si="5"/>
        <v>1.6348464630746795E-2</v>
      </c>
    </row>
    <row r="83" spans="12:22" x14ac:dyDescent="0.2">
      <c r="L83" s="2" t="s">
        <v>1266</v>
      </c>
      <c r="M83" s="2">
        <v>139.56</v>
      </c>
      <c r="N83" s="11">
        <f t="shared" si="3"/>
        <v>-7.7777043547214708E-2</v>
      </c>
      <c r="P83" s="2" t="s">
        <v>1266</v>
      </c>
      <c r="Q83" s="2">
        <v>390.62</v>
      </c>
      <c r="R83" s="11">
        <f t="shared" si="4"/>
        <v>-2.9467302723116706E-2</v>
      </c>
      <c r="T83" s="2" t="s">
        <v>1266</v>
      </c>
      <c r="U83" s="2">
        <v>4668.669921875</v>
      </c>
      <c r="V83" s="11">
        <f t="shared" si="5"/>
        <v>-8.7434153799804681E-3</v>
      </c>
    </row>
    <row r="84" spans="12:22" x14ac:dyDescent="0.2">
      <c r="L84" s="2" t="s">
        <v>1265</v>
      </c>
      <c r="M84" s="2">
        <v>136.12</v>
      </c>
      <c r="N84" s="11">
        <f t="shared" si="3"/>
        <v>-2.4648896531957565E-2</v>
      </c>
      <c r="P84" s="2" t="s">
        <v>1265</v>
      </c>
      <c r="Q84" s="2">
        <v>384.66</v>
      </c>
      <c r="R84" s="11">
        <f t="shared" si="4"/>
        <v>-1.5257795299779775E-2</v>
      </c>
      <c r="T84" s="2" t="s">
        <v>1265</v>
      </c>
      <c r="U84" s="2">
        <v>4620.64013671875</v>
      </c>
      <c r="V84" s="11">
        <f t="shared" si="5"/>
        <v>-1.0287680637092622E-2</v>
      </c>
    </row>
    <row r="85" spans="12:22" x14ac:dyDescent="0.2">
      <c r="L85" s="2" t="s">
        <v>1264</v>
      </c>
      <c r="M85" s="2">
        <v>131.47999999999999</v>
      </c>
      <c r="N85" s="11">
        <f t="shared" si="3"/>
        <v>-3.4087569791360628E-2</v>
      </c>
      <c r="P85" s="2" t="s">
        <v>1264</v>
      </c>
      <c r="Q85" s="2">
        <v>370.57</v>
      </c>
      <c r="R85" s="11">
        <f t="shared" si="4"/>
        <v>-3.6629750948889983E-2</v>
      </c>
      <c r="T85" s="2" t="s">
        <v>1264</v>
      </c>
      <c r="U85" s="2">
        <v>4568.02001953125</v>
      </c>
      <c r="V85" s="11">
        <f t="shared" si="5"/>
        <v>-1.138805785140995E-2</v>
      </c>
    </row>
    <row r="86" spans="12:22" x14ac:dyDescent="0.2">
      <c r="L86" s="2" t="s">
        <v>1263</v>
      </c>
      <c r="M86" s="2">
        <v>138.93</v>
      </c>
      <c r="N86" s="11">
        <f t="shared" si="3"/>
        <v>5.6662610282932846E-2</v>
      </c>
      <c r="P86" s="2" t="s">
        <v>1263</v>
      </c>
      <c r="Q86" s="2">
        <v>383.31</v>
      </c>
      <c r="R86" s="11">
        <f t="shared" si="4"/>
        <v>3.4379469465957824E-2</v>
      </c>
      <c r="T86" s="2" t="s">
        <v>1263</v>
      </c>
      <c r="U86" s="2">
        <v>4649.22998046875</v>
      </c>
      <c r="V86" s="11">
        <f t="shared" si="5"/>
        <v>1.7777934551572505E-2</v>
      </c>
    </row>
    <row r="87" spans="12:22" x14ac:dyDescent="0.2">
      <c r="L87" s="2" t="s">
        <v>1262</v>
      </c>
      <c r="M87" s="2">
        <v>139.78</v>
      </c>
      <c r="N87" s="11">
        <f t="shared" si="3"/>
        <v>6.118189016051101E-3</v>
      </c>
      <c r="P87" s="2" t="s">
        <v>1262</v>
      </c>
      <c r="Q87" s="2">
        <v>388.79</v>
      </c>
      <c r="R87" s="11">
        <f t="shared" si="4"/>
        <v>1.429652239701551E-2</v>
      </c>
      <c r="T87" s="2" t="s">
        <v>1262</v>
      </c>
      <c r="U87" s="2">
        <v>4696.56005859375</v>
      </c>
      <c r="V87" s="11">
        <f t="shared" si="5"/>
        <v>1.0180197220578835E-2</v>
      </c>
    </row>
    <row r="88" spans="12:22" x14ac:dyDescent="0.2">
      <c r="L88" s="2" t="s">
        <v>1261</v>
      </c>
      <c r="M88" s="2">
        <v>123.53</v>
      </c>
      <c r="N88" s="11">
        <f t="shared" si="3"/>
        <v>-0.11625411360709692</v>
      </c>
      <c r="P88" s="2" t="s">
        <v>1261</v>
      </c>
      <c r="Q88" s="2">
        <v>391.56</v>
      </c>
      <c r="R88" s="11">
        <f t="shared" si="4"/>
        <v>7.1246688443631356E-3</v>
      </c>
      <c r="T88" s="2" t="s">
        <v>1261</v>
      </c>
      <c r="U88" s="2">
        <v>4725.7900390625</v>
      </c>
      <c r="V88" s="11">
        <f t="shared" si="5"/>
        <v>6.2236999216618294E-3</v>
      </c>
    </row>
    <row r="89" spans="12:22" x14ac:dyDescent="0.2">
      <c r="L89" s="2" t="s">
        <v>1260</v>
      </c>
      <c r="M89" s="2">
        <v>127.83</v>
      </c>
      <c r="N89" s="11">
        <f t="shared" si="3"/>
        <v>3.4809358050675865E-2</v>
      </c>
      <c r="P89" s="2" t="s">
        <v>1260</v>
      </c>
      <c r="Q89" s="2">
        <v>400.75</v>
      </c>
      <c r="R89" s="11">
        <f t="shared" si="4"/>
        <v>2.3470221677392988E-2</v>
      </c>
      <c r="T89" s="2" t="s">
        <v>1260</v>
      </c>
      <c r="U89" s="2">
        <v>4791.18994140625</v>
      </c>
      <c r="V89" s="11">
        <f t="shared" si="5"/>
        <v>1.3838935247475259E-2</v>
      </c>
    </row>
    <row r="90" spans="12:22" x14ac:dyDescent="0.2">
      <c r="L90" s="2" t="s">
        <v>1259</v>
      </c>
      <c r="M90" s="2">
        <v>127.35</v>
      </c>
      <c r="N90" s="11">
        <f t="shared" si="3"/>
        <v>-3.7549870922318762E-3</v>
      </c>
      <c r="P90" s="2" t="s">
        <v>1259</v>
      </c>
      <c r="Q90" s="2">
        <v>400.07</v>
      </c>
      <c r="R90" s="11">
        <f t="shared" si="4"/>
        <v>-1.6968184653773921E-3</v>
      </c>
      <c r="T90" s="2" t="s">
        <v>1259</v>
      </c>
      <c r="U90" s="2">
        <v>4786.35009765625</v>
      </c>
      <c r="V90" s="11">
        <f t="shared" si="5"/>
        <v>-1.0101548486260992E-3</v>
      </c>
    </row>
    <row r="91" spans="12:22" x14ac:dyDescent="0.2">
      <c r="L91" s="2" t="s">
        <v>1258</v>
      </c>
      <c r="M91" s="2">
        <v>129.94999999999999</v>
      </c>
      <c r="N91" s="11">
        <f t="shared" si="3"/>
        <v>2.0416175893207544E-2</v>
      </c>
      <c r="P91" s="2" t="s">
        <v>1258</v>
      </c>
      <c r="Q91" s="2">
        <v>401</v>
      </c>
      <c r="R91" s="11">
        <f t="shared" si="4"/>
        <v>2.3245931961906052E-3</v>
      </c>
      <c r="T91" s="2" t="s">
        <v>1258</v>
      </c>
      <c r="U91" s="2">
        <v>4793.06005859375</v>
      </c>
      <c r="V91" s="11">
        <f t="shared" si="5"/>
        <v>1.4018951394270118E-3</v>
      </c>
    </row>
    <row r="92" spans="12:22" x14ac:dyDescent="0.2">
      <c r="L92" s="2" t="s">
        <v>1257</v>
      </c>
      <c r="M92" s="2">
        <v>128.37</v>
      </c>
      <c r="N92" s="11">
        <f t="shared" si="3"/>
        <v>-1.215852250865701E-2</v>
      </c>
      <c r="P92" s="2" t="s">
        <v>1257</v>
      </c>
      <c r="Q92" s="2">
        <v>398.69</v>
      </c>
      <c r="R92" s="11">
        <f t="shared" si="4"/>
        <v>-5.760598503740666E-3</v>
      </c>
      <c r="T92" s="2" t="s">
        <v>1257</v>
      </c>
      <c r="U92" s="2">
        <v>4778.72998046875</v>
      </c>
      <c r="V92" s="11">
        <f t="shared" si="5"/>
        <v>-2.9897555945093135E-3</v>
      </c>
    </row>
    <row r="93" spans="12:22" x14ac:dyDescent="0.2">
      <c r="L93" s="2" t="s">
        <v>1256</v>
      </c>
      <c r="M93" s="2">
        <v>128.22</v>
      </c>
      <c r="N93" s="11">
        <f t="shared" si="3"/>
        <v>-1.1684973124562736E-3</v>
      </c>
      <c r="P93" s="2" t="s">
        <v>1256</v>
      </c>
      <c r="Q93" s="2">
        <v>391.45</v>
      </c>
      <c r="R93" s="11">
        <f t="shared" si="4"/>
        <v>-1.8159472271689792E-2</v>
      </c>
      <c r="T93" s="2" t="s">
        <v>1256</v>
      </c>
      <c r="U93" s="2">
        <v>4766.18017578125</v>
      </c>
      <c r="V93" s="11">
        <f t="shared" si="5"/>
        <v>-2.6261799136575448E-3</v>
      </c>
    </row>
    <row r="94" spans="12:22" x14ac:dyDescent="0.2">
      <c r="L94" s="2" t="s">
        <v>1255</v>
      </c>
      <c r="M94" s="2">
        <v>132.11000000000001</v>
      </c>
      <c r="N94" s="11">
        <f t="shared" si="3"/>
        <v>3.0338480736234796E-2</v>
      </c>
      <c r="P94" s="2" t="s">
        <v>1255</v>
      </c>
      <c r="Q94" s="2">
        <v>387.56</v>
      </c>
      <c r="R94" s="11">
        <f t="shared" si="4"/>
        <v>-9.9374121854642894E-3</v>
      </c>
      <c r="T94" s="2" t="s">
        <v>1255</v>
      </c>
      <c r="U94" s="2">
        <v>4796.56005859375</v>
      </c>
      <c r="V94" s="11">
        <f t="shared" si="5"/>
        <v>6.3740525309705642E-3</v>
      </c>
    </row>
    <row r="95" spans="12:22" x14ac:dyDescent="0.2">
      <c r="L95" s="2" t="s">
        <v>1254</v>
      </c>
      <c r="M95" s="2">
        <v>132.13</v>
      </c>
      <c r="N95" s="11">
        <f t="shared" si="3"/>
        <v>1.5138899401989647E-4</v>
      </c>
      <c r="P95" s="2" t="s">
        <v>1254</v>
      </c>
      <c r="Q95" s="2">
        <v>380.82</v>
      </c>
      <c r="R95" s="11">
        <f t="shared" si="4"/>
        <v>-1.7390855609454081E-2</v>
      </c>
      <c r="T95" s="2" t="s">
        <v>1254</v>
      </c>
      <c r="U95" s="2">
        <v>4793.5400390625</v>
      </c>
      <c r="V95" s="11">
        <f t="shared" si="5"/>
        <v>-6.2962195706051105E-4</v>
      </c>
    </row>
    <row r="96" spans="12:22" x14ac:dyDescent="0.2">
      <c r="L96" s="2" t="s">
        <v>1253</v>
      </c>
      <c r="M96" s="2">
        <v>125.57</v>
      </c>
      <c r="N96" s="11">
        <f t="shared" si="3"/>
        <v>-4.9648073866646492E-2</v>
      </c>
      <c r="P96" s="2" t="s">
        <v>1253</v>
      </c>
      <c r="Q96" s="2">
        <v>362.48</v>
      </c>
      <c r="R96" s="11">
        <f t="shared" si="4"/>
        <v>-4.8159235334278572E-2</v>
      </c>
      <c r="T96" s="2" t="s">
        <v>1253</v>
      </c>
      <c r="U96" s="2">
        <v>4700.580078125</v>
      </c>
      <c r="V96" s="11">
        <f t="shared" si="5"/>
        <v>-1.9392757790687165E-2</v>
      </c>
    </row>
    <row r="97" spans="12:22" x14ac:dyDescent="0.2">
      <c r="L97" s="2" t="s">
        <v>1252</v>
      </c>
      <c r="M97" s="2">
        <v>128.68</v>
      </c>
      <c r="N97" s="11">
        <f t="shared" si="3"/>
        <v>2.4767062196384693E-2</v>
      </c>
      <c r="P97" s="2" t="s">
        <v>1252</v>
      </c>
      <c r="Q97" s="2">
        <v>368.77</v>
      </c>
      <c r="R97" s="11">
        <f t="shared" si="4"/>
        <v>1.7352681527256664E-2</v>
      </c>
      <c r="T97" s="2" t="s">
        <v>1252</v>
      </c>
      <c r="U97" s="2">
        <v>4696.0498046875</v>
      </c>
      <c r="V97" s="11">
        <f t="shared" si="5"/>
        <v>-9.6376901620764954E-4</v>
      </c>
    </row>
    <row r="98" spans="12:22" x14ac:dyDescent="0.2">
      <c r="L98" s="2" t="s">
        <v>1251</v>
      </c>
      <c r="M98" s="2">
        <v>125.7</v>
      </c>
      <c r="N98" s="11">
        <f t="shared" si="3"/>
        <v>-2.3158221945912327E-2</v>
      </c>
      <c r="P98" s="2" t="s">
        <v>1251</v>
      </c>
      <c r="Q98" s="2">
        <v>355.21</v>
      </c>
      <c r="R98" s="11">
        <f t="shared" si="4"/>
        <v>-3.6770887002738895E-2</v>
      </c>
      <c r="T98" s="2" t="s">
        <v>1251</v>
      </c>
      <c r="U98" s="2">
        <v>4677.02978515625</v>
      </c>
      <c r="V98" s="11">
        <f t="shared" si="5"/>
        <v>-4.050216740091761E-3</v>
      </c>
    </row>
    <row r="99" spans="12:22" x14ac:dyDescent="0.2">
      <c r="L99" s="2" t="s">
        <v>1250</v>
      </c>
      <c r="M99" s="2">
        <v>122.6</v>
      </c>
      <c r="N99" s="11">
        <f t="shared" si="3"/>
        <v>-2.4661893396976997E-2</v>
      </c>
      <c r="P99" s="2" t="s">
        <v>1250</v>
      </c>
      <c r="Q99" s="2">
        <v>348.43</v>
      </c>
      <c r="R99" s="11">
        <f t="shared" si="4"/>
        <v>-1.9087300470144397E-2</v>
      </c>
      <c r="T99" s="2" t="s">
        <v>1250</v>
      </c>
      <c r="U99" s="2">
        <v>4670.2900390625</v>
      </c>
      <c r="V99" s="11">
        <f t="shared" si="5"/>
        <v>-1.4410312534549607E-3</v>
      </c>
    </row>
    <row r="100" spans="12:22" x14ac:dyDescent="0.2">
      <c r="L100" s="2" t="s">
        <v>1249</v>
      </c>
      <c r="M100" s="2">
        <v>126.27</v>
      </c>
      <c r="N100" s="11">
        <f t="shared" si="3"/>
        <v>2.9934747145187623E-2</v>
      </c>
      <c r="P100" s="2" t="s">
        <v>1249</v>
      </c>
      <c r="Q100" s="2">
        <v>346.75</v>
      </c>
      <c r="R100" s="11">
        <f t="shared" si="4"/>
        <v>-4.8216284476078064E-3</v>
      </c>
      <c r="T100" s="2" t="s">
        <v>1249</v>
      </c>
      <c r="U100" s="2">
        <v>4713.06982421875</v>
      </c>
      <c r="V100" s="11">
        <f t="shared" si="5"/>
        <v>9.159984668711818E-3</v>
      </c>
    </row>
    <row r="101" spans="12:22" x14ac:dyDescent="0.2">
      <c r="L101" s="2" t="s">
        <v>1248</v>
      </c>
      <c r="M101" s="2">
        <v>134.91</v>
      </c>
      <c r="N101" s="11">
        <f t="shared" si="3"/>
        <v>6.8424803991447014E-2</v>
      </c>
      <c r="P101" s="2" t="s">
        <v>1248</v>
      </c>
      <c r="Q101" s="2">
        <v>352.72</v>
      </c>
      <c r="R101" s="11">
        <f t="shared" si="4"/>
        <v>1.7217015140591263E-2</v>
      </c>
      <c r="T101" s="2" t="s">
        <v>1248</v>
      </c>
      <c r="U101" s="2">
        <v>4726.35009765625</v>
      </c>
      <c r="V101" s="11">
        <f t="shared" si="5"/>
        <v>2.8177544430294521E-3</v>
      </c>
    </row>
    <row r="102" spans="12:22" x14ac:dyDescent="0.2">
      <c r="L102" s="2" t="s">
        <v>1247</v>
      </c>
      <c r="M102" s="2">
        <v>125.87</v>
      </c>
      <c r="N102" s="11">
        <f t="shared" si="3"/>
        <v>-6.7007634719442488E-2</v>
      </c>
      <c r="P102" s="2" t="s">
        <v>1247</v>
      </c>
      <c r="Q102" s="2">
        <v>336.27</v>
      </c>
      <c r="R102" s="11">
        <f t="shared" si="4"/>
        <v>-4.6637559537310191E-2</v>
      </c>
      <c r="T102" s="2" t="s">
        <v>1247</v>
      </c>
      <c r="U102" s="2">
        <v>4659.02978515625</v>
      </c>
      <c r="V102" s="11">
        <f t="shared" si="5"/>
        <v>-1.42436152864307E-2</v>
      </c>
    </row>
    <row r="103" spans="12:22" x14ac:dyDescent="0.2">
      <c r="L103" s="2" t="s">
        <v>1246</v>
      </c>
      <c r="M103" s="2">
        <v>122.54</v>
      </c>
      <c r="N103" s="11">
        <f t="shared" si="3"/>
        <v>-2.6455867164534852E-2</v>
      </c>
      <c r="P103" s="2" t="s">
        <v>1246</v>
      </c>
      <c r="Q103" s="2">
        <v>328.98</v>
      </c>
      <c r="R103" s="11">
        <f t="shared" si="4"/>
        <v>-2.1679007940048067E-2</v>
      </c>
      <c r="T103" s="2" t="s">
        <v>1246</v>
      </c>
      <c r="U103" s="2">
        <v>4662.85009765625</v>
      </c>
      <c r="V103" s="11">
        <f t="shared" si="5"/>
        <v>8.1998026974883231E-4</v>
      </c>
    </row>
    <row r="104" spans="12:22" x14ac:dyDescent="0.2">
      <c r="L104" s="2" t="s">
        <v>1245</v>
      </c>
      <c r="M104" s="2">
        <v>118.06</v>
      </c>
      <c r="N104" s="11">
        <f t="shared" si="3"/>
        <v>-3.6559490778521275E-2</v>
      </c>
      <c r="P104" s="2" t="s">
        <v>1245</v>
      </c>
      <c r="Q104" s="2">
        <v>332.53</v>
      </c>
      <c r="R104" s="11">
        <f t="shared" si="4"/>
        <v>1.079092953978944E-2</v>
      </c>
      <c r="T104" s="2" t="s">
        <v>1245</v>
      </c>
      <c r="U104" s="2">
        <v>4577.10986328125</v>
      </c>
      <c r="V104" s="11">
        <f t="shared" si="5"/>
        <v>-1.8387945694007368E-2</v>
      </c>
    </row>
    <row r="105" spans="12:22" x14ac:dyDescent="0.2">
      <c r="L105" s="2" t="s">
        <v>1244</v>
      </c>
      <c r="M105" s="2">
        <v>113.52</v>
      </c>
      <c r="N105" s="11">
        <f t="shared" si="3"/>
        <v>-3.8455022869727351E-2</v>
      </c>
      <c r="P105" s="2" t="s">
        <v>1244</v>
      </c>
      <c r="Q105" s="2">
        <v>330.95</v>
      </c>
      <c r="R105" s="11">
        <f t="shared" si="4"/>
        <v>-4.7514509969024399E-3</v>
      </c>
      <c r="T105" s="2" t="s">
        <v>1244</v>
      </c>
      <c r="U105" s="2">
        <v>4532.759765625</v>
      </c>
      <c r="V105" s="11">
        <f t="shared" si="5"/>
        <v>-9.6895418683388135E-3</v>
      </c>
    </row>
    <row r="106" spans="12:22" x14ac:dyDescent="0.2">
      <c r="L106" s="2" t="s">
        <v>1243</v>
      </c>
      <c r="M106" s="2">
        <v>106.57</v>
      </c>
      <c r="N106" s="11">
        <f t="shared" si="3"/>
        <v>-6.1222692036645543E-2</v>
      </c>
      <c r="P106" s="2" t="s">
        <v>1243</v>
      </c>
      <c r="Q106" s="2">
        <v>322.52999999999997</v>
      </c>
      <c r="R106" s="11">
        <f t="shared" si="4"/>
        <v>-2.5441909654026373E-2</v>
      </c>
      <c r="T106" s="2" t="s">
        <v>1243</v>
      </c>
      <c r="U106" s="2">
        <v>4482.72998046875</v>
      </c>
      <c r="V106" s="11">
        <f t="shared" si="5"/>
        <v>-1.103737849414832E-2</v>
      </c>
    </row>
    <row r="107" spans="12:22" x14ac:dyDescent="0.2">
      <c r="L107" s="2" t="s">
        <v>1242</v>
      </c>
      <c r="M107" s="2">
        <v>102.14</v>
      </c>
      <c r="N107" s="11">
        <f t="shared" si="3"/>
        <v>-4.1568921835413275E-2</v>
      </c>
      <c r="P107" s="2" t="s">
        <v>1242</v>
      </c>
      <c r="Q107" s="2">
        <v>313.02</v>
      </c>
      <c r="R107" s="11">
        <f t="shared" si="4"/>
        <v>-2.9485629243791278E-2</v>
      </c>
      <c r="T107" s="2" t="s">
        <v>1242</v>
      </c>
      <c r="U107" s="2">
        <v>4397.93994140625</v>
      </c>
      <c r="V107" s="11">
        <f t="shared" si="5"/>
        <v>-1.8914821867908604E-2</v>
      </c>
    </row>
    <row r="108" spans="12:22" x14ac:dyDescent="0.2">
      <c r="L108" s="2" t="s">
        <v>1241</v>
      </c>
      <c r="M108" s="2">
        <v>106.13</v>
      </c>
      <c r="N108" s="11">
        <f t="shared" si="3"/>
        <v>3.9064029763070218E-2</v>
      </c>
      <c r="P108" s="2" t="s">
        <v>1241</v>
      </c>
      <c r="Q108" s="2">
        <v>321.62</v>
      </c>
      <c r="R108" s="11">
        <f t="shared" si="4"/>
        <v>2.7474282793431781E-2</v>
      </c>
      <c r="T108" s="2" t="s">
        <v>1241</v>
      </c>
      <c r="U108" s="2">
        <v>4410.1298828125</v>
      </c>
      <c r="V108" s="11">
        <f t="shared" si="5"/>
        <v>2.7717389433818962E-3</v>
      </c>
    </row>
    <row r="109" spans="12:22" x14ac:dyDescent="0.2">
      <c r="L109" s="2" t="s">
        <v>1240</v>
      </c>
      <c r="M109" s="2">
        <v>101.39</v>
      </c>
      <c r="N109" s="11">
        <f t="shared" si="3"/>
        <v>-4.466220672759813E-2</v>
      </c>
      <c r="P109" s="2" t="s">
        <v>1240</v>
      </c>
      <c r="Q109" s="2">
        <v>308.83</v>
      </c>
      <c r="R109" s="11">
        <f t="shared" si="4"/>
        <v>-3.9767427398793687E-2</v>
      </c>
      <c r="T109" s="2" t="s">
        <v>1240</v>
      </c>
      <c r="U109" s="2">
        <v>4356.4501953125</v>
      </c>
      <c r="V109" s="11">
        <f t="shared" si="5"/>
        <v>-1.2171906253646725E-2</v>
      </c>
    </row>
    <row r="110" spans="12:22" x14ac:dyDescent="0.2">
      <c r="L110" s="2" t="s">
        <v>1239</v>
      </c>
      <c r="M110" s="2">
        <v>94.78</v>
      </c>
      <c r="N110" s="11">
        <f t="shared" si="3"/>
        <v>-6.5193806095275697E-2</v>
      </c>
      <c r="P110" s="2" t="s">
        <v>1239</v>
      </c>
      <c r="Q110" s="2">
        <v>302.76</v>
      </c>
      <c r="R110" s="11">
        <f t="shared" si="4"/>
        <v>-1.9654826279830284E-2</v>
      </c>
      <c r="T110" s="2" t="s">
        <v>1239</v>
      </c>
      <c r="U110" s="2">
        <v>4349.93017578125</v>
      </c>
      <c r="V110" s="11">
        <f t="shared" si="5"/>
        <v>-1.4966358477518371E-3</v>
      </c>
    </row>
    <row r="111" spans="12:22" x14ac:dyDescent="0.2">
      <c r="L111" s="2" t="s">
        <v>1238</v>
      </c>
      <c r="M111" s="2">
        <v>93.78</v>
      </c>
      <c r="N111" s="11">
        <f t="shared" si="3"/>
        <v>-1.0550749103186319E-2</v>
      </c>
      <c r="P111" s="2" t="s">
        <v>1238</v>
      </c>
      <c r="Q111" s="2">
        <v>306.52</v>
      </c>
      <c r="R111" s="11">
        <f t="shared" si="4"/>
        <v>1.2419077817413138E-2</v>
      </c>
      <c r="T111" s="2" t="s">
        <v>1238</v>
      </c>
      <c r="U111" s="2">
        <v>4326.509765625</v>
      </c>
      <c r="V111" s="11">
        <f t="shared" si="5"/>
        <v>-5.3840887577105701E-3</v>
      </c>
    </row>
    <row r="112" spans="12:22" x14ac:dyDescent="0.2">
      <c r="L112" s="2" t="s">
        <v>1237</v>
      </c>
      <c r="M112" s="2">
        <v>96.51</v>
      </c>
      <c r="N112" s="11">
        <f t="shared" si="3"/>
        <v>2.9110684580934132E-2</v>
      </c>
      <c r="P112" s="2" t="s">
        <v>1237</v>
      </c>
      <c r="Q112" s="2">
        <v>315.91000000000003</v>
      </c>
      <c r="R112" s="11">
        <f t="shared" si="4"/>
        <v>3.0634216364348266E-2</v>
      </c>
      <c r="T112" s="2" t="s">
        <v>1237</v>
      </c>
      <c r="U112" s="2">
        <v>4431.85009765625</v>
      </c>
      <c r="V112" s="11">
        <f t="shared" si="5"/>
        <v>2.4347646888076113E-2</v>
      </c>
    </row>
    <row r="113" spans="12:22" x14ac:dyDescent="0.2">
      <c r="L113" s="2" t="s">
        <v>1236</v>
      </c>
      <c r="M113" s="2">
        <v>102.62</v>
      </c>
      <c r="N113" s="11">
        <f t="shared" si="3"/>
        <v>6.3309501606051199E-2</v>
      </c>
      <c r="P113" s="2" t="s">
        <v>1236</v>
      </c>
      <c r="Q113" s="2">
        <v>333.76</v>
      </c>
      <c r="R113" s="11">
        <f t="shared" si="4"/>
        <v>5.6503434522490403E-2</v>
      </c>
      <c r="T113" s="2" t="s">
        <v>1236</v>
      </c>
      <c r="U113" s="2">
        <v>4515.5498046875</v>
      </c>
      <c r="V113" s="11">
        <f t="shared" si="5"/>
        <v>1.8885951732779516E-2</v>
      </c>
    </row>
    <row r="114" spans="12:22" x14ac:dyDescent="0.2">
      <c r="L114" s="2" t="s">
        <v>1235</v>
      </c>
      <c r="M114" s="2">
        <v>103.66</v>
      </c>
      <c r="N114" s="11">
        <f t="shared" si="3"/>
        <v>1.0134476710192963E-2</v>
      </c>
      <c r="P114" s="2" t="s">
        <v>1235</v>
      </c>
      <c r="Q114" s="2">
        <v>344.91</v>
      </c>
      <c r="R114" s="11">
        <f t="shared" si="4"/>
        <v>3.3407238734419975E-2</v>
      </c>
      <c r="T114" s="2" t="s">
        <v>1235</v>
      </c>
      <c r="U114" s="2">
        <v>4546.5400390625</v>
      </c>
      <c r="V114" s="11">
        <f t="shared" si="5"/>
        <v>6.8630035578014503E-3</v>
      </c>
    </row>
    <row r="115" spans="12:22" x14ac:dyDescent="0.2">
      <c r="L115" s="2" t="s">
        <v>1234</v>
      </c>
      <c r="M115" s="2">
        <v>103.61</v>
      </c>
      <c r="N115" s="11">
        <f t="shared" si="3"/>
        <v>-4.8234613158404382E-4</v>
      </c>
      <c r="P115" s="2" t="s">
        <v>1234</v>
      </c>
      <c r="Q115" s="2">
        <v>349.19</v>
      </c>
      <c r="R115" s="11">
        <f t="shared" si="4"/>
        <v>1.2409034240816297E-2</v>
      </c>
      <c r="T115" s="2" t="s">
        <v>1234</v>
      </c>
      <c r="U115" s="2">
        <v>4589.3798828125</v>
      </c>
      <c r="V115" s="11">
        <f t="shared" si="5"/>
        <v>9.4225154473364103E-3</v>
      </c>
    </row>
    <row r="116" spans="12:22" x14ac:dyDescent="0.2">
      <c r="L116" s="2" t="s">
        <v>1233</v>
      </c>
      <c r="M116" s="2">
        <v>98.83</v>
      </c>
      <c r="N116" s="11">
        <f t="shared" si="3"/>
        <v>-4.6134542997780192E-2</v>
      </c>
      <c r="P116" s="2" t="s">
        <v>1233</v>
      </c>
      <c r="Q116" s="2">
        <v>330.35</v>
      </c>
      <c r="R116" s="11">
        <f t="shared" si="4"/>
        <v>-5.3953435092642943E-2</v>
      </c>
      <c r="T116" s="2" t="s">
        <v>1233</v>
      </c>
      <c r="U116" s="2">
        <v>4477.43994140625</v>
      </c>
      <c r="V116" s="11">
        <f t="shared" si="5"/>
        <v>-2.4391082077444004E-2</v>
      </c>
    </row>
    <row r="117" spans="12:22" x14ac:dyDescent="0.2">
      <c r="L117" s="2" t="s">
        <v>1232</v>
      </c>
      <c r="M117" s="2">
        <v>99.74</v>
      </c>
      <c r="N117" s="11">
        <f t="shared" si="3"/>
        <v>9.2077304462208076E-3</v>
      </c>
      <c r="P117" s="2" t="s">
        <v>1232</v>
      </c>
      <c r="Q117" s="2">
        <v>336.37</v>
      </c>
      <c r="R117" s="11">
        <f t="shared" si="4"/>
        <v>1.8223096715604514E-2</v>
      </c>
      <c r="T117" s="2" t="s">
        <v>1232</v>
      </c>
      <c r="U117" s="2">
        <v>4500.52978515625</v>
      </c>
      <c r="V117" s="11">
        <f t="shared" si="5"/>
        <v>5.1569298644233985E-3</v>
      </c>
    </row>
    <row r="118" spans="12:22" x14ac:dyDescent="0.2">
      <c r="L118" s="2" t="s">
        <v>1231</v>
      </c>
      <c r="M118" s="2">
        <v>100.31</v>
      </c>
      <c r="N118" s="11">
        <f t="shared" si="3"/>
        <v>5.714858632444475E-3</v>
      </c>
      <c r="P118" s="2" t="s">
        <v>1231</v>
      </c>
      <c r="Q118" s="2">
        <v>332.2</v>
      </c>
      <c r="R118" s="11">
        <f t="shared" si="4"/>
        <v>-1.2397062758272237E-2</v>
      </c>
      <c r="T118" s="2" t="s">
        <v>1231</v>
      </c>
      <c r="U118" s="2">
        <v>4483.8701171875</v>
      </c>
      <c r="V118" s="11">
        <f t="shared" si="5"/>
        <v>-3.7017126347429485E-3</v>
      </c>
    </row>
    <row r="119" spans="12:22" x14ac:dyDescent="0.2">
      <c r="L119" s="2" t="s">
        <v>1230</v>
      </c>
      <c r="M119" s="2">
        <v>103.28</v>
      </c>
      <c r="N119" s="11">
        <f t="shared" si="3"/>
        <v>2.9608214534941668E-2</v>
      </c>
      <c r="P119" s="2" t="s">
        <v>1230</v>
      </c>
      <c r="Q119" s="2">
        <v>334.4</v>
      </c>
      <c r="R119" s="11">
        <f t="shared" si="4"/>
        <v>6.6225165562914245E-3</v>
      </c>
      <c r="T119" s="2" t="s">
        <v>1230</v>
      </c>
      <c r="U119" s="2">
        <v>4521.5400390625</v>
      </c>
      <c r="V119" s="11">
        <f t="shared" si="5"/>
        <v>8.4012071916632625E-3</v>
      </c>
    </row>
    <row r="120" spans="12:22" x14ac:dyDescent="0.2">
      <c r="L120" s="2" t="s">
        <v>1229</v>
      </c>
      <c r="M120" s="2">
        <v>108.39</v>
      </c>
      <c r="N120" s="11">
        <f t="shared" si="3"/>
        <v>4.9477149496514272E-2</v>
      </c>
      <c r="P120" s="2" t="s">
        <v>1229</v>
      </c>
      <c r="Q120" s="2">
        <v>339.64</v>
      </c>
      <c r="R120" s="11">
        <f t="shared" si="4"/>
        <v>1.5669856459330278E-2</v>
      </c>
      <c r="T120" s="2" t="s">
        <v>1229</v>
      </c>
      <c r="U120" s="2">
        <v>4587.18017578125</v>
      </c>
      <c r="V120" s="11">
        <f t="shared" si="5"/>
        <v>1.4517207887505545E-2</v>
      </c>
    </row>
    <row r="121" spans="12:22" x14ac:dyDescent="0.2">
      <c r="L121" s="2" t="s">
        <v>1228</v>
      </c>
      <c r="M121" s="2">
        <v>105.22</v>
      </c>
      <c r="N121" s="11">
        <f t="shared" si="3"/>
        <v>-2.924624042808377E-2</v>
      </c>
      <c r="P121" s="2" t="s">
        <v>1228</v>
      </c>
      <c r="Q121" s="2">
        <v>334.35</v>
      </c>
      <c r="R121" s="11">
        <f t="shared" si="4"/>
        <v>-1.5575315039453419E-2</v>
      </c>
      <c r="T121" s="2" t="s">
        <v>1228</v>
      </c>
      <c r="U121" s="2">
        <v>4504.080078125</v>
      </c>
      <c r="V121" s="11">
        <f t="shared" si="5"/>
        <v>-1.8115725668459759E-2</v>
      </c>
    </row>
    <row r="122" spans="12:22" x14ac:dyDescent="0.2">
      <c r="L122" s="2" t="s">
        <v>1227</v>
      </c>
      <c r="M122" s="2">
        <v>98.2</v>
      </c>
      <c r="N122" s="11">
        <f t="shared" si="3"/>
        <v>-6.67173541151872E-2</v>
      </c>
      <c r="P122" s="2" t="s">
        <v>1227</v>
      </c>
      <c r="Q122" s="2">
        <v>316.72000000000003</v>
      </c>
      <c r="R122" s="11">
        <f t="shared" si="4"/>
        <v>-5.2729176013159851E-2</v>
      </c>
      <c r="T122" s="2" t="s">
        <v>1227</v>
      </c>
      <c r="U122" s="2">
        <v>4418.64013671875</v>
      </c>
      <c r="V122" s="11">
        <f t="shared" si="5"/>
        <v>-1.896945434456343E-2</v>
      </c>
    </row>
    <row r="123" spans="12:22" x14ac:dyDescent="0.2">
      <c r="L123" s="2" t="s">
        <v>1226</v>
      </c>
      <c r="M123" s="2">
        <v>97.73</v>
      </c>
      <c r="N123" s="11">
        <f t="shared" si="3"/>
        <v>-4.7861507128309499E-3</v>
      </c>
      <c r="P123" s="2" t="s">
        <v>1226</v>
      </c>
      <c r="Q123" s="2">
        <v>313.64</v>
      </c>
      <c r="R123" s="11">
        <f t="shared" si="4"/>
        <v>-9.724677948977134E-3</v>
      </c>
      <c r="T123" s="2" t="s">
        <v>1226</v>
      </c>
      <c r="U123" s="2">
        <v>4401.669921875</v>
      </c>
      <c r="V123" s="11">
        <f t="shared" si="5"/>
        <v>-3.8405967262932217E-3</v>
      </c>
    </row>
    <row r="124" spans="12:22" x14ac:dyDescent="0.2">
      <c r="L124" s="2" t="s">
        <v>1225</v>
      </c>
      <c r="M124" s="2">
        <v>101.23</v>
      </c>
      <c r="N124" s="11">
        <f t="shared" si="3"/>
        <v>3.5812954057096169E-2</v>
      </c>
      <c r="P124" s="2" t="s">
        <v>1225</v>
      </c>
      <c r="Q124" s="2">
        <v>318.14999999999998</v>
      </c>
      <c r="R124" s="11">
        <f t="shared" si="4"/>
        <v>1.4379543425583341E-2</v>
      </c>
      <c r="T124" s="2" t="s">
        <v>1225</v>
      </c>
      <c r="U124" s="2">
        <v>4471.06982421875</v>
      </c>
      <c r="V124" s="11">
        <f t="shared" si="5"/>
        <v>1.5766721170720421E-2</v>
      </c>
    </row>
    <row r="125" spans="12:22" x14ac:dyDescent="0.2">
      <c r="L125" s="2" t="s">
        <v>1224</v>
      </c>
      <c r="M125" s="2">
        <v>94.8</v>
      </c>
      <c r="N125" s="11">
        <f t="shared" si="3"/>
        <v>-6.3518719747110652E-2</v>
      </c>
      <c r="P125" s="2" t="s">
        <v>1224</v>
      </c>
      <c r="Q125" s="2">
        <v>320.04000000000002</v>
      </c>
      <c r="R125" s="11">
        <f t="shared" si="4"/>
        <v>5.9405940594061679E-3</v>
      </c>
      <c r="T125" s="2" t="s">
        <v>1224</v>
      </c>
      <c r="U125" s="2">
        <v>4475.009765625</v>
      </c>
      <c r="V125" s="11">
        <f t="shared" si="5"/>
        <v>8.8120775589506373E-4</v>
      </c>
    </row>
    <row r="126" spans="12:22" x14ac:dyDescent="0.2">
      <c r="L126" s="2" t="s">
        <v>1223</v>
      </c>
      <c r="M126" s="2">
        <v>82.09</v>
      </c>
      <c r="N126" s="11">
        <f t="shared" si="3"/>
        <v>-0.13407172995780581</v>
      </c>
      <c r="P126" s="2" t="s">
        <v>1223</v>
      </c>
      <c r="Q126" s="2">
        <v>310.02999999999997</v>
      </c>
      <c r="R126" s="11">
        <f t="shared" si="4"/>
        <v>-3.1277340332458548E-2</v>
      </c>
      <c r="T126" s="2" t="s">
        <v>1223</v>
      </c>
      <c r="U126" s="2">
        <v>4380.259765625</v>
      </c>
      <c r="V126" s="11">
        <f t="shared" si="5"/>
        <v>-2.1173138152195015E-2</v>
      </c>
    </row>
    <row r="127" spans="12:22" x14ac:dyDescent="0.2">
      <c r="L127" s="2" t="s">
        <v>1222</v>
      </c>
      <c r="M127" s="2">
        <v>79.260000000000005</v>
      </c>
      <c r="N127" s="11">
        <f t="shared" si="3"/>
        <v>-3.4474357412595857E-2</v>
      </c>
      <c r="P127" s="2" t="s">
        <v>1222</v>
      </c>
      <c r="Q127" s="2">
        <v>308.66000000000003</v>
      </c>
      <c r="R127" s="11">
        <f t="shared" si="4"/>
        <v>-4.4189272005933367E-3</v>
      </c>
      <c r="T127" s="2" t="s">
        <v>1222</v>
      </c>
      <c r="U127" s="2">
        <v>4348.8701171875</v>
      </c>
      <c r="V127" s="11">
        <f t="shared" si="5"/>
        <v>-7.1661613961429005E-3</v>
      </c>
    </row>
    <row r="128" spans="12:22" x14ac:dyDescent="0.2">
      <c r="L128" s="2" t="s">
        <v>1221</v>
      </c>
      <c r="M128" s="2">
        <v>81.19</v>
      </c>
      <c r="N128" s="11">
        <f t="shared" si="3"/>
        <v>2.4350239717385813E-2</v>
      </c>
      <c r="P128" s="2" t="s">
        <v>1221</v>
      </c>
      <c r="Q128" s="2">
        <v>304.58</v>
      </c>
      <c r="R128" s="11">
        <f t="shared" si="4"/>
        <v>-1.3218428043802355E-2</v>
      </c>
      <c r="T128" s="2" t="s">
        <v>1221</v>
      </c>
      <c r="U128" s="2">
        <v>4304.759765625</v>
      </c>
      <c r="V128" s="11">
        <f t="shared" si="5"/>
        <v>-1.0142945264832837E-2</v>
      </c>
    </row>
    <row r="129" spans="12:22" x14ac:dyDescent="0.2">
      <c r="L129" s="2" t="s">
        <v>1220</v>
      </c>
      <c r="M129" s="2">
        <v>79.78</v>
      </c>
      <c r="N129" s="11">
        <f t="shared" si="3"/>
        <v>-1.7366670772262505E-2</v>
      </c>
      <c r="P129" s="2" t="s">
        <v>1220</v>
      </c>
      <c r="Q129" s="2">
        <v>295.24</v>
      </c>
      <c r="R129" s="11">
        <f t="shared" si="4"/>
        <v>-3.0665178278284744E-2</v>
      </c>
      <c r="T129" s="2" t="s">
        <v>1220</v>
      </c>
      <c r="U129" s="2">
        <v>4225.5</v>
      </c>
      <c r="V129" s="11">
        <f t="shared" si="5"/>
        <v>-1.8412122845487655E-2</v>
      </c>
    </row>
    <row r="130" spans="12:22" x14ac:dyDescent="0.2">
      <c r="L130" s="2" t="s">
        <v>1219</v>
      </c>
      <c r="M130" s="2">
        <v>83.89</v>
      </c>
      <c r="N130" s="11">
        <f t="shared" si="3"/>
        <v>5.1516670844823365E-2</v>
      </c>
      <c r="P130" s="2" t="s">
        <v>1219</v>
      </c>
      <c r="Q130" s="2">
        <v>310.36</v>
      </c>
      <c r="R130" s="11">
        <f t="shared" si="4"/>
        <v>5.1212572822110891E-2</v>
      </c>
      <c r="T130" s="2" t="s">
        <v>1219</v>
      </c>
      <c r="U130" s="2">
        <v>4288.7001953125</v>
      </c>
      <c r="V130" s="11">
        <f t="shared" si="5"/>
        <v>1.4956856067329216E-2</v>
      </c>
    </row>
    <row r="131" spans="12:22" x14ac:dyDescent="0.2">
      <c r="L131" s="2" t="s">
        <v>1218</v>
      </c>
      <c r="M131" s="2">
        <v>83.62</v>
      </c>
      <c r="N131" s="11">
        <f t="shared" si="3"/>
        <v>-3.2185004172129439E-3</v>
      </c>
      <c r="P131" s="2" t="s">
        <v>1218</v>
      </c>
      <c r="Q131" s="2">
        <v>317.58</v>
      </c>
      <c r="R131" s="11">
        <f t="shared" si="4"/>
        <v>2.3263307127207034E-2</v>
      </c>
      <c r="T131" s="2" t="s">
        <v>1218</v>
      </c>
      <c r="U131" s="2">
        <v>4384.64990234375</v>
      </c>
      <c r="V131" s="11">
        <f t="shared" si="5"/>
        <v>2.2372677655603468E-2</v>
      </c>
    </row>
    <row r="132" spans="12:22" x14ac:dyDescent="0.2">
      <c r="L132" s="2" t="s">
        <v>1217</v>
      </c>
      <c r="M132" s="2">
        <v>83.73</v>
      </c>
      <c r="N132" s="11">
        <f t="shared" si="3"/>
        <v>1.3154747668022715E-3</v>
      </c>
      <c r="P132" s="2" t="s">
        <v>1217</v>
      </c>
      <c r="Q132" s="2">
        <v>319.94</v>
      </c>
      <c r="R132" s="11">
        <f t="shared" si="4"/>
        <v>7.4311984381887353E-3</v>
      </c>
      <c r="T132" s="2" t="s">
        <v>1217</v>
      </c>
      <c r="U132" s="2">
        <v>4373.93994140625</v>
      </c>
      <c r="V132" s="11">
        <f t="shared" si="5"/>
        <v>-2.4426034406476171E-3</v>
      </c>
    </row>
    <row r="133" spans="12:22" x14ac:dyDescent="0.2">
      <c r="L133" s="2" t="s">
        <v>1216</v>
      </c>
      <c r="M133" s="2">
        <v>79.78</v>
      </c>
      <c r="N133" s="11">
        <f t="shared" si="3"/>
        <v>-4.7175444882360029E-2</v>
      </c>
      <c r="P133" s="2" t="s">
        <v>1216</v>
      </c>
      <c r="Q133" s="2">
        <v>315.18</v>
      </c>
      <c r="R133" s="11">
        <f t="shared" si="4"/>
        <v>-1.4877789585547307E-2</v>
      </c>
      <c r="T133" s="2" t="s">
        <v>1216</v>
      </c>
      <c r="U133" s="2">
        <v>4306.259765625</v>
      </c>
      <c r="V133" s="11">
        <f t="shared" si="5"/>
        <v>-1.5473503680411893E-2</v>
      </c>
    </row>
    <row r="134" spans="12:22" x14ac:dyDescent="0.2">
      <c r="L134" s="2" t="s">
        <v>1215</v>
      </c>
      <c r="M134" s="2">
        <v>82.67</v>
      </c>
      <c r="N134" s="11">
        <f t="shared" ref="N134:N197" si="6">+M134/M133-1</f>
        <v>3.6224617698671358E-2</v>
      </c>
      <c r="P134" s="2" t="s">
        <v>1215</v>
      </c>
      <c r="Q134" s="2">
        <v>330.07</v>
      </c>
      <c r="R134" s="11">
        <f t="shared" ref="R134:R197" si="7">+Q134/Q133-1</f>
        <v>4.7242845358207886E-2</v>
      </c>
      <c r="T134" s="2" t="s">
        <v>1215</v>
      </c>
      <c r="U134" s="2">
        <v>4386.5400390625</v>
      </c>
      <c r="V134" s="11">
        <f t="shared" ref="V134:V197" si="8">+U134/U133-1</f>
        <v>1.8642691757321028E-2</v>
      </c>
    </row>
    <row r="135" spans="12:22" x14ac:dyDescent="0.2">
      <c r="L135" s="2" t="s">
        <v>1214</v>
      </c>
      <c r="M135" s="2">
        <v>77.03</v>
      </c>
      <c r="N135" s="11">
        <f t="shared" si="6"/>
        <v>-6.8223055521954734E-2</v>
      </c>
      <c r="P135" s="2" t="s">
        <v>1214</v>
      </c>
      <c r="Q135" s="2">
        <v>322.83999999999997</v>
      </c>
      <c r="R135" s="11">
        <f t="shared" si="7"/>
        <v>-2.1904444511770316E-2</v>
      </c>
      <c r="T135" s="2" t="s">
        <v>1214</v>
      </c>
      <c r="U135" s="2">
        <v>4363.490234375</v>
      </c>
      <c r="V135" s="11">
        <f t="shared" si="8"/>
        <v>-5.2546664300883172E-3</v>
      </c>
    </row>
    <row r="136" spans="12:22" x14ac:dyDescent="0.2">
      <c r="L136" s="2" t="s">
        <v>1213</v>
      </c>
      <c r="M136" s="2">
        <v>71.73</v>
      </c>
      <c r="N136" s="11">
        <f t="shared" si="6"/>
        <v>-6.8804361936907643E-2</v>
      </c>
      <c r="P136" s="2" t="s">
        <v>1213</v>
      </c>
      <c r="Q136" s="2">
        <v>320.58</v>
      </c>
      <c r="R136" s="11">
        <f t="shared" si="7"/>
        <v>-7.0003717011521971E-3</v>
      </c>
      <c r="T136" s="2" t="s">
        <v>1213</v>
      </c>
      <c r="U136" s="2">
        <v>4328.8701171875</v>
      </c>
      <c r="V136" s="11">
        <f t="shared" si="8"/>
        <v>-7.9340425503344747E-3</v>
      </c>
    </row>
    <row r="137" spans="12:22" x14ac:dyDescent="0.2">
      <c r="L137" s="2" t="s">
        <v>1212</v>
      </c>
      <c r="M137" s="2">
        <v>67.44</v>
      </c>
      <c r="N137" s="11">
        <f t="shared" si="6"/>
        <v>-5.9807611877875422E-2</v>
      </c>
      <c r="P137" s="2" t="s">
        <v>1212</v>
      </c>
      <c r="Q137" s="2">
        <v>302.38</v>
      </c>
      <c r="R137" s="11">
        <f t="shared" si="7"/>
        <v>-5.6772100567720973E-2</v>
      </c>
      <c r="T137" s="2" t="s">
        <v>1212</v>
      </c>
      <c r="U137" s="2">
        <v>4201.08984375</v>
      </c>
      <c r="V137" s="11">
        <f t="shared" si="8"/>
        <v>-2.9518158313449172E-2</v>
      </c>
    </row>
    <row r="138" spans="12:22" x14ac:dyDescent="0.2">
      <c r="L138" s="2" t="s">
        <v>1211</v>
      </c>
      <c r="M138" s="2">
        <v>69.03</v>
      </c>
      <c r="N138" s="11">
        <f t="shared" si="6"/>
        <v>2.3576512455516063E-2</v>
      </c>
      <c r="P138" s="2" t="s">
        <v>1211</v>
      </c>
      <c r="Q138" s="2">
        <v>296.52</v>
      </c>
      <c r="R138" s="11">
        <f t="shared" si="7"/>
        <v>-1.9379588597129516E-2</v>
      </c>
      <c r="T138" s="2" t="s">
        <v>1211</v>
      </c>
      <c r="U138" s="2">
        <v>4170.7001953125</v>
      </c>
      <c r="V138" s="11">
        <f t="shared" si="8"/>
        <v>-7.2337535181997703E-3</v>
      </c>
    </row>
    <row r="139" spans="12:22" x14ac:dyDescent="0.2">
      <c r="L139" s="2" t="s">
        <v>1210</v>
      </c>
      <c r="M139" s="2">
        <v>73.17</v>
      </c>
      <c r="N139" s="11">
        <f t="shared" si="6"/>
        <v>5.9973924380704036E-2</v>
      </c>
      <c r="P139" s="2" t="s">
        <v>1210</v>
      </c>
      <c r="Q139" s="2">
        <v>305.82</v>
      </c>
      <c r="R139" s="11">
        <f t="shared" si="7"/>
        <v>3.136382031566165E-2</v>
      </c>
      <c r="T139" s="2" t="s">
        <v>1210</v>
      </c>
      <c r="U139" s="2">
        <v>4277.8798828125</v>
      </c>
      <c r="V139" s="11">
        <f t="shared" si="8"/>
        <v>2.5698247891435821E-2</v>
      </c>
    </row>
    <row r="140" spans="12:22" x14ac:dyDescent="0.2">
      <c r="L140" s="2" t="s">
        <v>1209</v>
      </c>
      <c r="M140" s="2">
        <v>73.150000000000006</v>
      </c>
      <c r="N140" s="11">
        <f t="shared" si="6"/>
        <v>-2.7333606669399657E-4</v>
      </c>
      <c r="P140" s="2" t="s">
        <v>1209</v>
      </c>
      <c r="Q140" s="2">
        <v>301.74</v>
      </c>
      <c r="R140" s="11">
        <f t="shared" si="7"/>
        <v>-1.3341181086913845E-2</v>
      </c>
      <c r="T140" s="2" t="s">
        <v>1209</v>
      </c>
      <c r="U140" s="2">
        <v>4259.52001953125</v>
      </c>
      <c r="V140" s="11">
        <f t="shared" si="8"/>
        <v>-4.291813651667864E-3</v>
      </c>
    </row>
    <row r="141" spans="12:22" x14ac:dyDescent="0.2">
      <c r="L141" s="2" t="s">
        <v>1208</v>
      </c>
      <c r="M141" s="2">
        <v>70.14</v>
      </c>
      <c r="N141" s="11">
        <f t="shared" si="6"/>
        <v>-4.1148325358851712E-2</v>
      </c>
      <c r="P141" s="2" t="s">
        <v>1208</v>
      </c>
      <c r="Q141" s="2">
        <v>291.55</v>
      </c>
      <c r="R141" s="11">
        <f t="shared" si="7"/>
        <v>-3.377079604957911E-2</v>
      </c>
      <c r="T141" s="2" t="s">
        <v>1208</v>
      </c>
      <c r="U141" s="2">
        <v>4204.31005859375</v>
      </c>
      <c r="V141" s="11">
        <f t="shared" si="8"/>
        <v>-1.2961545123475138E-2</v>
      </c>
    </row>
    <row r="142" spans="12:22" x14ac:dyDescent="0.2">
      <c r="L142" s="2" t="s">
        <v>1207</v>
      </c>
      <c r="M142" s="2">
        <v>67.569999999999993</v>
      </c>
      <c r="N142" s="11">
        <f t="shared" si="6"/>
        <v>-3.6641003706872066E-2</v>
      </c>
      <c r="P142" s="2" t="s">
        <v>1207</v>
      </c>
      <c r="Q142" s="2">
        <v>289.24</v>
      </c>
      <c r="R142" s="11">
        <f t="shared" si="7"/>
        <v>-7.9231692677070864E-3</v>
      </c>
      <c r="T142" s="2" t="s">
        <v>1207</v>
      </c>
      <c r="U142" s="2">
        <v>4173.10986328125</v>
      </c>
      <c r="V142" s="11">
        <f t="shared" si="8"/>
        <v>-7.4210024659636664E-3</v>
      </c>
    </row>
    <row r="143" spans="12:22" x14ac:dyDescent="0.2">
      <c r="L143" s="2" t="s">
        <v>1206</v>
      </c>
      <c r="M143" s="2">
        <v>72.3</v>
      </c>
      <c r="N143" s="11">
        <f t="shared" si="6"/>
        <v>7.0001479946721901E-2</v>
      </c>
      <c r="P143" s="2" t="s">
        <v>1206</v>
      </c>
      <c r="Q143" s="2">
        <v>289.92</v>
      </c>
      <c r="R143" s="11">
        <f t="shared" si="7"/>
        <v>2.3509887982298139E-3</v>
      </c>
      <c r="T143" s="2" t="s">
        <v>1206</v>
      </c>
      <c r="U143" s="2">
        <v>4262.4501953125</v>
      </c>
      <c r="V143" s="11">
        <f t="shared" si="8"/>
        <v>2.1408574170870942E-2</v>
      </c>
    </row>
    <row r="144" spans="12:22" x14ac:dyDescent="0.2">
      <c r="L144" s="2" t="s">
        <v>1205</v>
      </c>
      <c r="M144" s="2">
        <v>77.44</v>
      </c>
      <c r="N144" s="11">
        <f t="shared" si="6"/>
        <v>7.1092669432918365E-2</v>
      </c>
      <c r="P144" s="2" t="s">
        <v>1205</v>
      </c>
      <c r="Q144" s="2">
        <v>305.10000000000002</v>
      </c>
      <c r="R144" s="11">
        <f t="shared" si="7"/>
        <v>5.2359271523178874E-2</v>
      </c>
      <c r="T144" s="2" t="s">
        <v>1205</v>
      </c>
      <c r="U144" s="2">
        <v>4357.85986328125</v>
      </c>
      <c r="V144" s="11">
        <f t="shared" si="8"/>
        <v>2.238376135718223E-2</v>
      </c>
    </row>
    <row r="145" spans="12:22" x14ac:dyDescent="0.2">
      <c r="L145" s="2" t="s">
        <v>1204</v>
      </c>
      <c r="M145" s="2">
        <v>79.540000000000006</v>
      </c>
      <c r="N145" s="11">
        <f t="shared" si="6"/>
        <v>2.7117768595041447E-2</v>
      </c>
      <c r="P145" s="2" t="s">
        <v>1204</v>
      </c>
      <c r="Q145" s="2">
        <v>307.60000000000002</v>
      </c>
      <c r="R145" s="11">
        <f t="shared" si="7"/>
        <v>8.1940347427074123E-3</v>
      </c>
      <c r="T145" s="2" t="s">
        <v>1204</v>
      </c>
      <c r="U145" s="2">
        <v>4411.669921875</v>
      </c>
      <c r="V145" s="11">
        <f t="shared" si="8"/>
        <v>1.234781757145198E-2</v>
      </c>
    </row>
    <row r="146" spans="12:22" x14ac:dyDescent="0.2">
      <c r="L146" s="2" t="s">
        <v>1203</v>
      </c>
      <c r="M146" s="2">
        <v>83.12</v>
      </c>
      <c r="N146" s="11">
        <f t="shared" si="6"/>
        <v>4.5008800603469901E-2</v>
      </c>
      <c r="P146" s="2" t="s">
        <v>1203</v>
      </c>
      <c r="Q146" s="2">
        <v>316.93</v>
      </c>
      <c r="R146" s="11">
        <f t="shared" si="7"/>
        <v>3.0331599479843874E-2</v>
      </c>
      <c r="T146" s="2" t="s">
        <v>1203</v>
      </c>
      <c r="U146" s="2">
        <v>4463.1201171875</v>
      </c>
      <c r="V146" s="11">
        <f t="shared" si="8"/>
        <v>1.1662294827948783E-2</v>
      </c>
    </row>
    <row r="147" spans="12:22" x14ac:dyDescent="0.2">
      <c r="L147" s="2" t="s">
        <v>1202</v>
      </c>
      <c r="M147" s="2">
        <v>81.45</v>
      </c>
      <c r="N147" s="11">
        <f t="shared" si="6"/>
        <v>-2.009143407122238E-2</v>
      </c>
      <c r="P147" s="2" t="s">
        <v>1202</v>
      </c>
      <c r="Q147" s="2">
        <v>308.22000000000003</v>
      </c>
      <c r="R147" s="11">
        <f t="shared" si="7"/>
        <v>-2.7482409364843918E-2</v>
      </c>
      <c r="T147" s="2" t="s">
        <v>1202</v>
      </c>
      <c r="U147" s="2">
        <v>4461.18017578125</v>
      </c>
      <c r="V147" s="11">
        <f t="shared" si="8"/>
        <v>-4.3466036210393355E-4</v>
      </c>
    </row>
    <row r="148" spans="12:22" x14ac:dyDescent="0.2">
      <c r="L148" s="2" t="s">
        <v>1201</v>
      </c>
      <c r="M148" s="2">
        <v>83.35</v>
      </c>
      <c r="N148" s="11">
        <f t="shared" si="6"/>
        <v>2.332719459791277E-2</v>
      </c>
      <c r="P148" s="2" t="s">
        <v>1201</v>
      </c>
      <c r="Q148" s="2">
        <v>315.02999999999997</v>
      </c>
      <c r="R148" s="11">
        <f t="shared" si="7"/>
        <v>2.2094607747712436E-2</v>
      </c>
      <c r="T148" s="2" t="s">
        <v>1201</v>
      </c>
      <c r="U148" s="2">
        <v>4511.60986328125</v>
      </c>
      <c r="V148" s="11">
        <f t="shared" si="8"/>
        <v>1.1304113600650201E-2</v>
      </c>
    </row>
    <row r="149" spans="12:22" x14ac:dyDescent="0.2">
      <c r="L149" s="2" t="s">
        <v>1200</v>
      </c>
      <c r="M149" s="2">
        <v>79.16</v>
      </c>
      <c r="N149" s="11">
        <f t="shared" si="6"/>
        <v>-5.0269946010797817E-2</v>
      </c>
      <c r="P149" s="2" t="s">
        <v>1200</v>
      </c>
      <c r="Q149" s="2">
        <v>310.42</v>
      </c>
      <c r="R149" s="11">
        <f t="shared" si="7"/>
        <v>-1.463352696568565E-2</v>
      </c>
      <c r="T149" s="2" t="s">
        <v>1200</v>
      </c>
      <c r="U149" s="2">
        <v>4456.240234375</v>
      </c>
      <c r="V149" s="11">
        <f t="shared" si="8"/>
        <v>-1.2272698789159042E-2</v>
      </c>
    </row>
    <row r="150" spans="12:22" x14ac:dyDescent="0.2">
      <c r="L150" s="2" t="s">
        <v>1199</v>
      </c>
      <c r="M150" s="2">
        <v>79.2</v>
      </c>
      <c r="N150" s="11">
        <f t="shared" si="6"/>
        <v>5.0530570995466206E-4</v>
      </c>
      <c r="P150" s="2" t="s">
        <v>1199</v>
      </c>
      <c r="Q150" s="2">
        <v>317.74</v>
      </c>
      <c r="R150" s="11">
        <f t="shared" si="7"/>
        <v>2.3580954835384249E-2</v>
      </c>
      <c r="T150" s="2" t="s">
        <v>1199</v>
      </c>
      <c r="U150" s="2">
        <v>4520.16015625</v>
      </c>
      <c r="V150" s="11">
        <f t="shared" si="8"/>
        <v>1.4343912920566471E-2</v>
      </c>
    </row>
    <row r="151" spans="12:22" x14ac:dyDescent="0.2">
      <c r="L151" s="2" t="s">
        <v>1198</v>
      </c>
      <c r="M151" s="2">
        <v>78.040000000000006</v>
      </c>
      <c r="N151" s="11">
        <f t="shared" si="6"/>
        <v>-1.4646464646464574E-2</v>
      </c>
      <c r="P151" s="2" t="s">
        <v>1198</v>
      </c>
      <c r="Q151" s="2">
        <v>321.14</v>
      </c>
      <c r="R151" s="11">
        <f t="shared" si="7"/>
        <v>1.0700572795367291E-2</v>
      </c>
      <c r="T151" s="2" t="s">
        <v>1198</v>
      </c>
      <c r="U151" s="2">
        <v>4543.06005859375</v>
      </c>
      <c r="V151" s="11">
        <f t="shared" si="8"/>
        <v>5.0661705674490687E-3</v>
      </c>
    </row>
    <row r="152" spans="12:22" x14ac:dyDescent="0.2">
      <c r="L152" s="2" t="s">
        <v>1197</v>
      </c>
      <c r="M152" s="2">
        <v>79.180000000000007</v>
      </c>
      <c r="N152" s="11">
        <f t="shared" si="6"/>
        <v>1.4607893388006055E-2</v>
      </c>
      <c r="P152" s="2" t="s">
        <v>1197</v>
      </c>
      <c r="Q152" s="2">
        <v>331.78</v>
      </c>
      <c r="R152" s="11">
        <f t="shared" si="7"/>
        <v>3.3131967366257564E-2</v>
      </c>
      <c r="T152" s="2" t="s">
        <v>1197</v>
      </c>
      <c r="U152" s="2">
        <v>4575.52001953125</v>
      </c>
      <c r="V152" s="11">
        <f t="shared" si="8"/>
        <v>7.1449552765867619E-3</v>
      </c>
    </row>
    <row r="153" spans="12:22" x14ac:dyDescent="0.2">
      <c r="L153" s="2" t="s">
        <v>1196</v>
      </c>
      <c r="M153" s="2">
        <v>83.38</v>
      </c>
      <c r="N153" s="11">
        <f t="shared" si="6"/>
        <v>5.3043697903510934E-2</v>
      </c>
      <c r="P153" s="2" t="s">
        <v>1196</v>
      </c>
      <c r="Q153" s="2">
        <v>343.97</v>
      </c>
      <c r="R153" s="11">
        <f t="shared" si="7"/>
        <v>3.6741214057508076E-2</v>
      </c>
      <c r="T153" s="2" t="s">
        <v>1196</v>
      </c>
      <c r="U153" s="2">
        <v>4631.60009765625</v>
      </c>
      <c r="V153" s="11">
        <f t="shared" si="8"/>
        <v>1.2256547427530462E-2</v>
      </c>
    </row>
    <row r="154" spans="12:22" x14ac:dyDescent="0.2">
      <c r="L154" s="2" t="s">
        <v>1195</v>
      </c>
      <c r="M154" s="2">
        <v>79.56</v>
      </c>
      <c r="N154" s="11">
        <f t="shared" si="6"/>
        <v>-4.5814343967378157E-2</v>
      </c>
      <c r="P154" s="2" t="s">
        <v>1195</v>
      </c>
      <c r="Q154" s="2">
        <v>376.92</v>
      </c>
      <c r="R154" s="11">
        <f t="shared" si="7"/>
        <v>9.5793237782364704E-2</v>
      </c>
      <c r="T154" s="2" t="s">
        <v>1195</v>
      </c>
      <c r="U154" s="2">
        <v>4602.4501953125</v>
      </c>
      <c r="V154" s="11">
        <f t="shared" si="8"/>
        <v>-6.2937001746978805E-3</v>
      </c>
    </row>
    <row r="155" spans="12:22" x14ac:dyDescent="0.2">
      <c r="L155" s="2" t="s">
        <v>1194</v>
      </c>
      <c r="M155" s="2">
        <v>76.400000000000006</v>
      </c>
      <c r="N155" s="11">
        <f t="shared" si="6"/>
        <v>-3.9718451483157335E-2</v>
      </c>
      <c r="P155" s="2" t="s">
        <v>1194</v>
      </c>
      <c r="Q155" s="2">
        <v>365.23</v>
      </c>
      <c r="R155" s="11">
        <f t="shared" si="7"/>
        <v>-3.1014538894195032E-2</v>
      </c>
      <c r="T155" s="2" t="s">
        <v>1194</v>
      </c>
      <c r="U155" s="2">
        <v>4530.41015625</v>
      </c>
      <c r="V155" s="11">
        <f t="shared" si="8"/>
        <v>-1.5652540713177343E-2</v>
      </c>
    </row>
    <row r="156" spans="12:22" x14ac:dyDescent="0.2">
      <c r="L156" s="2" t="s">
        <v>1193</v>
      </c>
      <c r="M156" s="2">
        <v>75.73</v>
      </c>
      <c r="N156" s="11">
        <f t="shared" si="6"/>
        <v>-8.7696335078534249E-3</v>
      </c>
      <c r="P156" s="2" t="s">
        <v>1193</v>
      </c>
      <c r="Q156" s="2">
        <v>367.44</v>
      </c>
      <c r="R156" s="11">
        <f t="shared" si="7"/>
        <v>6.0509815732552319E-3</v>
      </c>
      <c r="T156" s="2" t="s">
        <v>1193</v>
      </c>
      <c r="U156" s="2">
        <v>4545.85986328125</v>
      </c>
      <c r="V156" s="11">
        <f t="shared" si="8"/>
        <v>3.4102225843584133E-3</v>
      </c>
    </row>
    <row r="157" spans="12:22" x14ac:dyDescent="0.2">
      <c r="L157" s="2" t="s">
        <v>1192</v>
      </c>
      <c r="M157" s="2">
        <v>75.569999999999993</v>
      </c>
      <c r="N157" s="11">
        <f t="shared" si="6"/>
        <v>-2.1127690479335604E-3</v>
      </c>
      <c r="P157" s="2" t="s">
        <v>1192</v>
      </c>
      <c r="Q157" s="2">
        <v>384.18</v>
      </c>
      <c r="R157" s="11">
        <f t="shared" si="7"/>
        <v>4.5558458523840661E-2</v>
      </c>
      <c r="T157" s="2" t="s">
        <v>1192</v>
      </c>
      <c r="U157" s="2">
        <v>4582.64013671875</v>
      </c>
      <c r="V157" s="11">
        <f t="shared" si="8"/>
        <v>8.0909386878793566E-3</v>
      </c>
    </row>
    <row r="158" spans="12:22" x14ac:dyDescent="0.2">
      <c r="L158" s="2" t="s">
        <v>1191</v>
      </c>
      <c r="M158" s="2">
        <v>73.239999999999995</v>
      </c>
      <c r="N158" s="11">
        <f t="shared" si="6"/>
        <v>-3.0832340876008946E-2</v>
      </c>
      <c r="P158" s="2" t="s">
        <v>1191</v>
      </c>
      <c r="Q158" s="2">
        <v>378.99</v>
      </c>
      <c r="R158" s="11">
        <f t="shared" si="7"/>
        <v>-1.3509292519131688E-2</v>
      </c>
      <c r="T158" s="2" t="s">
        <v>1191</v>
      </c>
      <c r="U158" s="2">
        <v>4525.1201171875</v>
      </c>
      <c r="V158" s="11">
        <f t="shared" si="8"/>
        <v>-1.2551720801807331E-2</v>
      </c>
    </row>
    <row r="159" spans="12:22" x14ac:dyDescent="0.2">
      <c r="L159" s="2" t="s">
        <v>1190</v>
      </c>
      <c r="M159" s="2">
        <v>70.150000000000006</v>
      </c>
      <c r="N159" s="11">
        <f t="shared" si="6"/>
        <v>-4.2190060076460756E-2</v>
      </c>
      <c r="P159" s="2" t="s">
        <v>1190</v>
      </c>
      <c r="Q159" s="2">
        <v>371.83</v>
      </c>
      <c r="R159" s="11">
        <f t="shared" si="7"/>
        <v>-1.8892319058550378E-2</v>
      </c>
      <c r="T159" s="2" t="s">
        <v>1190</v>
      </c>
      <c r="U159" s="2">
        <v>4481.14990234375</v>
      </c>
      <c r="V159" s="11">
        <f t="shared" si="8"/>
        <v>-9.7169166132718976E-3</v>
      </c>
    </row>
    <row r="160" spans="12:22" x14ac:dyDescent="0.2">
      <c r="L160" s="2" t="s">
        <v>1189</v>
      </c>
      <c r="M160" s="2">
        <v>72.180000000000007</v>
      </c>
      <c r="N160" s="11">
        <f t="shared" si="6"/>
        <v>2.8937990021382864E-2</v>
      </c>
      <c r="P160" s="2" t="s">
        <v>1189</v>
      </c>
      <c r="Q160" s="2">
        <v>379.23</v>
      </c>
      <c r="R160" s="11">
        <f t="shared" si="7"/>
        <v>1.9901567920824093E-2</v>
      </c>
      <c r="T160" s="2" t="s">
        <v>1189</v>
      </c>
      <c r="U160" s="2">
        <v>4500.2099609375</v>
      </c>
      <c r="V160" s="11">
        <f t="shared" si="8"/>
        <v>4.2533856284925342E-3</v>
      </c>
    </row>
    <row r="161" spans="12:22" x14ac:dyDescent="0.2">
      <c r="L161" s="2" t="s">
        <v>1188</v>
      </c>
      <c r="M161" s="2">
        <v>71.88</v>
      </c>
      <c r="N161" s="11">
        <f t="shared" si="6"/>
        <v>-4.1562759767249657E-3</v>
      </c>
      <c r="P161" s="2" t="s">
        <v>1188</v>
      </c>
      <c r="Q161" s="2">
        <v>369.46</v>
      </c>
      <c r="R161" s="11">
        <f t="shared" si="7"/>
        <v>-2.5762729741845458E-2</v>
      </c>
      <c r="T161" s="2" t="s">
        <v>1188</v>
      </c>
      <c r="U161" s="2">
        <v>4488.27978515625</v>
      </c>
      <c r="V161" s="11">
        <f t="shared" si="8"/>
        <v>-2.6510264820542861E-3</v>
      </c>
    </row>
    <row r="162" spans="12:22" x14ac:dyDescent="0.2">
      <c r="L162" s="2" t="s">
        <v>1187</v>
      </c>
      <c r="M162" s="2">
        <v>71.569999999999993</v>
      </c>
      <c r="N162" s="11">
        <f t="shared" si="6"/>
        <v>-4.3127434613244864E-3</v>
      </c>
      <c r="P162" s="2" t="s">
        <v>1187</v>
      </c>
      <c r="Q162" s="2">
        <v>368.74</v>
      </c>
      <c r="R162" s="11">
        <f t="shared" si="7"/>
        <v>-1.9487901261299179E-3</v>
      </c>
      <c r="T162" s="2" t="s">
        <v>1187</v>
      </c>
      <c r="U162" s="2">
        <v>4412.52978515625</v>
      </c>
      <c r="V162" s="11">
        <f t="shared" si="8"/>
        <v>-1.687729010355421E-2</v>
      </c>
    </row>
    <row r="163" spans="12:22" x14ac:dyDescent="0.2">
      <c r="L163" s="2" t="s">
        <v>1186</v>
      </c>
      <c r="M163" s="2">
        <v>71.97</v>
      </c>
      <c r="N163" s="11">
        <f t="shared" si="6"/>
        <v>5.588933910856575E-3</v>
      </c>
      <c r="P163" s="2" t="s">
        <v>1186</v>
      </c>
      <c r="Q163" s="2">
        <v>376.16</v>
      </c>
      <c r="R163" s="11">
        <f t="shared" si="7"/>
        <v>2.0122579595378998E-2</v>
      </c>
      <c r="T163" s="2" t="s">
        <v>1186</v>
      </c>
      <c r="U163" s="2">
        <v>4397.4501953125</v>
      </c>
      <c r="V163" s="11">
        <f t="shared" si="8"/>
        <v>-3.4174477177417728E-3</v>
      </c>
    </row>
    <row r="164" spans="12:22" x14ac:dyDescent="0.2">
      <c r="L164" s="2" t="s">
        <v>1185</v>
      </c>
      <c r="M164" s="2">
        <v>73.97</v>
      </c>
      <c r="N164" s="11">
        <f t="shared" si="6"/>
        <v>2.7789356676392929E-2</v>
      </c>
      <c r="P164" s="2" t="s">
        <v>1185</v>
      </c>
      <c r="Q164" s="2">
        <v>395.03</v>
      </c>
      <c r="R164" s="11">
        <f t="shared" si="7"/>
        <v>5.0164823479370346E-2</v>
      </c>
      <c r="T164" s="2" t="s">
        <v>1185</v>
      </c>
      <c r="U164" s="2">
        <v>4446.58984375</v>
      </c>
      <c r="V164" s="11">
        <f t="shared" si="8"/>
        <v>1.1174577597236057E-2</v>
      </c>
    </row>
    <row r="165" spans="12:22" x14ac:dyDescent="0.2">
      <c r="L165" s="2" t="s">
        <v>1184</v>
      </c>
      <c r="M165" s="2">
        <v>72.319999999999993</v>
      </c>
      <c r="N165" s="11">
        <f t="shared" si="6"/>
        <v>-2.2306340408273728E-2</v>
      </c>
      <c r="P165" s="2" t="s">
        <v>1184</v>
      </c>
      <c r="Q165" s="2">
        <v>390.78</v>
      </c>
      <c r="R165" s="11">
        <f t="shared" si="7"/>
        <v>-1.0758676556210878E-2</v>
      </c>
      <c r="T165" s="2" t="s">
        <v>1184</v>
      </c>
      <c r="U165" s="2">
        <v>4392.58984375</v>
      </c>
      <c r="V165" s="11">
        <f t="shared" si="8"/>
        <v>-1.214413784439794E-2</v>
      </c>
    </row>
    <row r="166" spans="12:22" x14ac:dyDescent="0.2">
      <c r="L166" s="2" t="s">
        <v>1183</v>
      </c>
      <c r="M166" s="2">
        <v>73</v>
      </c>
      <c r="N166" s="11">
        <f t="shared" si="6"/>
        <v>9.4026548672567767E-3</v>
      </c>
      <c r="P166" s="2" t="s">
        <v>1183</v>
      </c>
      <c r="Q166" s="2">
        <v>387.56</v>
      </c>
      <c r="R166" s="11">
        <f t="shared" si="7"/>
        <v>-8.2399303956189884E-3</v>
      </c>
      <c r="T166" s="2" t="s">
        <v>1183</v>
      </c>
      <c r="U166" s="2">
        <v>4391.68994140625</v>
      </c>
      <c r="V166" s="11">
        <f t="shared" si="8"/>
        <v>-2.0486828403298851E-4</v>
      </c>
    </row>
    <row r="167" spans="12:22" x14ac:dyDescent="0.2">
      <c r="L167" s="2" t="s">
        <v>1182</v>
      </c>
      <c r="M167" s="2">
        <v>77.7</v>
      </c>
      <c r="N167" s="11">
        <f t="shared" si="6"/>
        <v>6.4383561643835741E-2</v>
      </c>
      <c r="P167" s="2" t="s">
        <v>1182</v>
      </c>
      <c r="Q167" s="2">
        <v>404.66</v>
      </c>
      <c r="R167" s="11">
        <f t="shared" si="7"/>
        <v>4.4122200433481362E-2</v>
      </c>
      <c r="T167" s="2" t="s">
        <v>1182</v>
      </c>
      <c r="U167" s="2">
        <v>4462.2099609375</v>
      </c>
      <c r="V167" s="11">
        <f t="shared" si="8"/>
        <v>1.6057604355527166E-2</v>
      </c>
    </row>
    <row r="168" spans="12:22" x14ac:dyDescent="0.2">
      <c r="L168" s="2" t="s">
        <v>1181</v>
      </c>
      <c r="M168" s="2">
        <v>76.319999999999993</v>
      </c>
      <c r="N168" s="11">
        <f t="shared" si="6"/>
        <v>-1.7760617760617881E-2</v>
      </c>
      <c r="P168" s="2" t="s">
        <v>1181</v>
      </c>
      <c r="Q168" s="2">
        <v>385.4</v>
      </c>
      <c r="R168" s="11">
        <f t="shared" si="7"/>
        <v>-4.759551228191583E-2</v>
      </c>
      <c r="T168" s="2" t="s">
        <v>1181</v>
      </c>
      <c r="U168" s="2">
        <v>4459.4501953125</v>
      </c>
      <c r="V168" s="11">
        <f t="shared" si="8"/>
        <v>-6.1847507158097059E-4</v>
      </c>
    </row>
    <row r="169" spans="12:22" x14ac:dyDescent="0.2">
      <c r="L169" s="2" t="s">
        <v>1180</v>
      </c>
      <c r="M169" s="2">
        <v>74.16</v>
      </c>
      <c r="N169" s="11">
        <f t="shared" si="6"/>
        <v>-2.8301886792452824E-2</v>
      </c>
      <c r="P169" s="2" t="s">
        <v>1180</v>
      </c>
      <c r="Q169" s="2">
        <v>377.25</v>
      </c>
      <c r="R169" s="11">
        <f t="shared" si="7"/>
        <v>-2.1146860404774204E-2</v>
      </c>
      <c r="T169" s="2" t="s">
        <v>1180</v>
      </c>
      <c r="U169" s="2">
        <v>4393.66015625</v>
      </c>
      <c r="V169" s="11">
        <f t="shared" si="8"/>
        <v>-1.4752948498371943E-2</v>
      </c>
    </row>
    <row r="170" spans="12:22" x14ac:dyDescent="0.2">
      <c r="L170" s="2" t="s">
        <v>1179</v>
      </c>
      <c r="M170" s="2">
        <v>71.180000000000007</v>
      </c>
      <c r="N170" s="11">
        <f t="shared" si="6"/>
        <v>-4.0183387270765758E-2</v>
      </c>
      <c r="P170" s="2" t="s">
        <v>1179</v>
      </c>
      <c r="Q170" s="2">
        <v>363.66</v>
      </c>
      <c r="R170" s="11">
        <f t="shared" si="7"/>
        <v>-3.6023856858846903E-2</v>
      </c>
      <c r="T170" s="2" t="s">
        <v>1179</v>
      </c>
      <c r="U170" s="2">
        <v>4271.77978515625</v>
      </c>
      <c r="V170" s="11">
        <f t="shared" si="8"/>
        <v>-2.7740054250753654E-2</v>
      </c>
    </row>
    <row r="171" spans="12:22" x14ac:dyDescent="0.2">
      <c r="L171" s="2" t="s">
        <v>1178</v>
      </c>
      <c r="M171" s="2">
        <v>69.400000000000006</v>
      </c>
      <c r="N171" s="11">
        <f t="shared" si="6"/>
        <v>-2.5007024445068859E-2</v>
      </c>
      <c r="P171" s="2" t="s">
        <v>1178</v>
      </c>
      <c r="Q171" s="2">
        <v>368.09</v>
      </c>
      <c r="R171" s="11">
        <f t="shared" si="7"/>
        <v>1.2181708188967688E-2</v>
      </c>
      <c r="T171" s="2" t="s">
        <v>1178</v>
      </c>
      <c r="U171" s="2">
        <v>4296.1201171875</v>
      </c>
      <c r="V171" s="11">
        <f t="shared" si="8"/>
        <v>5.6979369853822348E-3</v>
      </c>
    </row>
    <row r="172" spans="12:22" x14ac:dyDescent="0.2">
      <c r="L172" s="2" t="s">
        <v>1177</v>
      </c>
      <c r="M172" s="2">
        <v>65.02</v>
      </c>
      <c r="N172" s="11">
        <f t="shared" si="6"/>
        <v>-6.3112391930835843E-2</v>
      </c>
      <c r="P172" s="2" t="s">
        <v>1177</v>
      </c>
      <c r="Q172" s="2">
        <v>352.53</v>
      </c>
      <c r="R172" s="11">
        <f t="shared" si="7"/>
        <v>-4.2272270368659881E-2</v>
      </c>
      <c r="T172" s="2" t="s">
        <v>1177</v>
      </c>
      <c r="U172" s="2">
        <v>4175.2001953125</v>
      </c>
      <c r="V172" s="11">
        <f t="shared" si="8"/>
        <v>-2.8146308431003852E-2</v>
      </c>
    </row>
    <row r="173" spans="12:22" x14ac:dyDescent="0.2">
      <c r="L173" s="2" t="s">
        <v>1176</v>
      </c>
      <c r="M173" s="2">
        <v>66.58</v>
      </c>
      <c r="N173" s="11">
        <f t="shared" si="6"/>
        <v>2.399261765610583E-2</v>
      </c>
      <c r="P173" s="2" t="s">
        <v>1176</v>
      </c>
      <c r="Q173" s="2">
        <v>354.02</v>
      </c>
      <c r="R173" s="11">
        <f t="shared" si="7"/>
        <v>4.2265906447678248E-3</v>
      </c>
      <c r="T173" s="2" t="s">
        <v>1176</v>
      </c>
      <c r="U173" s="2">
        <v>4183.9599609375</v>
      </c>
      <c r="V173" s="11">
        <f t="shared" si="8"/>
        <v>2.0980468517017847E-3</v>
      </c>
    </row>
    <row r="174" spans="12:22" x14ac:dyDescent="0.2">
      <c r="L174" s="2" t="s">
        <v>1175</v>
      </c>
      <c r="M174" s="2">
        <v>67.819999999999993</v>
      </c>
      <c r="N174" s="11">
        <f t="shared" si="6"/>
        <v>1.8624211474917329E-2</v>
      </c>
      <c r="P174" s="2" t="s">
        <v>1175</v>
      </c>
      <c r="Q174" s="2">
        <v>362.43</v>
      </c>
      <c r="R174" s="11">
        <f t="shared" si="7"/>
        <v>2.3755720015818493E-2</v>
      </c>
      <c r="T174" s="2" t="s">
        <v>1175</v>
      </c>
      <c r="U174" s="2">
        <v>4287.5</v>
      </c>
      <c r="V174" s="11">
        <f t="shared" si="8"/>
        <v>2.4746900072939448E-2</v>
      </c>
    </row>
    <row r="175" spans="12:22" x14ac:dyDescent="0.2">
      <c r="L175" s="2" t="s">
        <v>1174</v>
      </c>
      <c r="M175" s="2">
        <v>66.430000000000007</v>
      </c>
      <c r="N175" s="11">
        <f t="shared" si="6"/>
        <v>-2.0495429076968219E-2</v>
      </c>
      <c r="P175" s="2" t="s">
        <v>1174</v>
      </c>
      <c r="Q175" s="2">
        <v>354.63</v>
      </c>
      <c r="R175" s="11">
        <f t="shared" si="7"/>
        <v>-2.1521397235328199E-2</v>
      </c>
      <c r="T175" s="2" t="s">
        <v>1174</v>
      </c>
      <c r="U175" s="2">
        <v>4131.93017578125</v>
      </c>
      <c r="V175" s="11">
        <f t="shared" si="8"/>
        <v>-3.6284507106413955E-2</v>
      </c>
    </row>
    <row r="176" spans="12:22" x14ac:dyDescent="0.2">
      <c r="L176" s="2" t="s">
        <v>1173</v>
      </c>
      <c r="M176" s="2">
        <v>70.959999999999994</v>
      </c>
      <c r="N176" s="11">
        <f t="shared" si="6"/>
        <v>6.8192081890711798E-2</v>
      </c>
      <c r="P176" s="2" t="s">
        <v>1173</v>
      </c>
      <c r="Q176" s="2">
        <v>360.84</v>
      </c>
      <c r="R176" s="11">
        <f t="shared" si="7"/>
        <v>1.7511208865578221E-2</v>
      </c>
      <c r="T176" s="2" t="s">
        <v>1173</v>
      </c>
      <c r="U176" s="2">
        <v>4155.3798828125</v>
      </c>
      <c r="V176" s="11">
        <f t="shared" si="8"/>
        <v>5.6752428123536536E-3</v>
      </c>
    </row>
    <row r="177" spans="12:22" x14ac:dyDescent="0.2">
      <c r="L177" s="2" t="s">
        <v>1172</v>
      </c>
      <c r="M177" s="2">
        <v>70.44</v>
      </c>
      <c r="N177" s="11">
        <f t="shared" si="6"/>
        <v>-7.3280721533257598E-3</v>
      </c>
      <c r="P177" s="2" t="s">
        <v>1172</v>
      </c>
      <c r="Q177" s="2">
        <v>355.7</v>
      </c>
      <c r="R177" s="11">
        <f t="shared" si="7"/>
        <v>-1.4244540516572424E-2</v>
      </c>
      <c r="T177" s="2" t="s">
        <v>1172</v>
      </c>
      <c r="U177" s="2">
        <v>4175.47998046875</v>
      </c>
      <c r="V177" s="11">
        <f t="shared" si="8"/>
        <v>4.8371263814863674E-3</v>
      </c>
    </row>
    <row r="178" spans="12:22" x14ac:dyDescent="0.2">
      <c r="L178" s="2" t="s">
        <v>1171</v>
      </c>
      <c r="M178" s="2">
        <v>72.209999999999994</v>
      </c>
      <c r="N178" s="11">
        <f t="shared" si="6"/>
        <v>2.512776831345831E-2</v>
      </c>
      <c r="P178" s="2" t="s">
        <v>1171</v>
      </c>
      <c r="Q178" s="2">
        <v>364.67</v>
      </c>
      <c r="R178" s="11">
        <f t="shared" si="7"/>
        <v>2.5217880236154233E-2</v>
      </c>
      <c r="T178" s="2" t="s">
        <v>1171</v>
      </c>
      <c r="U178" s="2">
        <v>4300.169921875</v>
      </c>
      <c r="V178" s="11">
        <f t="shared" si="8"/>
        <v>2.9862421084402291E-2</v>
      </c>
    </row>
    <row r="179" spans="12:22" x14ac:dyDescent="0.2">
      <c r="L179" s="2" t="s">
        <v>1170</v>
      </c>
      <c r="M179" s="2">
        <v>65.63</v>
      </c>
      <c r="N179" s="11">
        <f t="shared" si="6"/>
        <v>-9.1123113142224099E-2</v>
      </c>
      <c r="P179" s="2" t="s">
        <v>1170</v>
      </c>
      <c r="Q179" s="2">
        <v>343.6</v>
      </c>
      <c r="R179" s="11">
        <f t="shared" si="7"/>
        <v>-5.7778265280938879E-2</v>
      </c>
      <c r="T179" s="2" t="s">
        <v>1170</v>
      </c>
      <c r="U179" s="2">
        <v>4146.8701171875</v>
      </c>
      <c r="V179" s="11">
        <f t="shared" si="8"/>
        <v>-3.5649708609806985E-2</v>
      </c>
    </row>
    <row r="180" spans="12:22" x14ac:dyDescent="0.2">
      <c r="L180" s="2" t="s">
        <v>1169</v>
      </c>
      <c r="M180" s="2">
        <v>60.87</v>
      </c>
      <c r="N180" s="11">
        <f t="shared" si="6"/>
        <v>-7.252780740515008E-2</v>
      </c>
      <c r="P180" s="2" t="s">
        <v>1169</v>
      </c>
      <c r="Q180" s="2">
        <v>317.05</v>
      </c>
      <c r="R180" s="11">
        <f t="shared" si="7"/>
        <v>-7.7270081490104836E-2</v>
      </c>
      <c r="T180" s="2" t="s">
        <v>1169</v>
      </c>
      <c r="U180" s="2">
        <v>4123.33984375</v>
      </c>
      <c r="V180" s="11">
        <f t="shared" si="8"/>
        <v>-5.6742248424840325E-3</v>
      </c>
    </row>
    <row r="181" spans="12:22" x14ac:dyDescent="0.2">
      <c r="L181" s="2" t="s">
        <v>1168</v>
      </c>
      <c r="M181" s="2">
        <v>54.22</v>
      </c>
      <c r="N181" s="11">
        <f t="shared" si="6"/>
        <v>-0.10924921964843104</v>
      </c>
      <c r="P181" s="2" t="s">
        <v>1168</v>
      </c>
      <c r="Q181" s="2">
        <v>292.68</v>
      </c>
      <c r="R181" s="11">
        <f t="shared" si="7"/>
        <v>-7.686484781580194E-2</v>
      </c>
      <c r="T181" s="2" t="s">
        <v>1168</v>
      </c>
      <c r="U181" s="2">
        <v>3991.239990234375</v>
      </c>
      <c r="V181" s="11">
        <f t="shared" si="8"/>
        <v>-3.2037100632356763E-2</v>
      </c>
    </row>
    <row r="182" spans="12:22" x14ac:dyDescent="0.2">
      <c r="L182" s="2" t="s">
        <v>1167</v>
      </c>
      <c r="M182" s="2">
        <v>54.2</v>
      </c>
      <c r="N182" s="11">
        <f t="shared" si="6"/>
        <v>-3.6886757653997737E-4</v>
      </c>
      <c r="P182" s="2" t="s">
        <v>1167</v>
      </c>
      <c r="Q182" s="2">
        <v>302.11</v>
      </c>
      <c r="R182" s="11">
        <f t="shared" si="7"/>
        <v>3.2219488861555234E-2</v>
      </c>
      <c r="T182" s="2" t="s">
        <v>1167</v>
      </c>
      <c r="U182" s="2">
        <v>4001.050048828125</v>
      </c>
      <c r="V182" s="11">
        <f t="shared" si="8"/>
        <v>2.4578974498534745E-3</v>
      </c>
    </row>
    <row r="183" spans="12:22" x14ac:dyDescent="0.2">
      <c r="L183" s="2" t="s">
        <v>1166</v>
      </c>
      <c r="M183" s="2">
        <v>52.35</v>
      </c>
      <c r="N183" s="11">
        <f t="shared" si="6"/>
        <v>-3.4132841328413321E-2</v>
      </c>
      <c r="P183" s="2" t="s">
        <v>1166</v>
      </c>
      <c r="Q183" s="2">
        <v>291.3</v>
      </c>
      <c r="R183" s="11">
        <f t="shared" si="7"/>
        <v>-3.5781668928535959E-2</v>
      </c>
      <c r="T183" s="2" t="s">
        <v>1166</v>
      </c>
      <c r="U183" s="2">
        <v>3935.179931640625</v>
      </c>
      <c r="V183" s="11">
        <f t="shared" si="8"/>
        <v>-1.6463207503938371E-2</v>
      </c>
    </row>
    <row r="184" spans="12:22" x14ac:dyDescent="0.2">
      <c r="L184" s="2" t="s">
        <v>1165</v>
      </c>
      <c r="M184" s="2">
        <v>56.05</v>
      </c>
      <c r="N184" s="11">
        <f t="shared" si="6"/>
        <v>7.0678127984718175E-2</v>
      </c>
      <c r="P184" s="2" t="s">
        <v>1165</v>
      </c>
      <c r="Q184" s="2">
        <v>294</v>
      </c>
      <c r="R184" s="11">
        <f t="shared" si="7"/>
        <v>9.2687950566425759E-3</v>
      </c>
      <c r="T184" s="2" t="s">
        <v>1165</v>
      </c>
      <c r="U184" s="2">
        <v>3930.080078125</v>
      </c>
      <c r="V184" s="11">
        <f t="shared" si="8"/>
        <v>-1.2959645058717717E-3</v>
      </c>
    </row>
    <row r="185" spans="12:22" x14ac:dyDescent="0.2">
      <c r="L185" s="2" t="s">
        <v>1164</v>
      </c>
      <c r="M185" s="2">
        <v>58.34</v>
      </c>
      <c r="N185" s="11">
        <f t="shared" si="6"/>
        <v>4.0856378233719903E-2</v>
      </c>
      <c r="P185" s="2" t="s">
        <v>1164</v>
      </c>
      <c r="Q185" s="2">
        <v>309.29000000000002</v>
      </c>
      <c r="R185" s="11">
        <f t="shared" si="7"/>
        <v>5.2006802721088485E-2</v>
      </c>
      <c r="T185" s="2" t="s">
        <v>1164</v>
      </c>
      <c r="U185" s="2">
        <v>4023.889892578125</v>
      </c>
      <c r="V185" s="11">
        <f t="shared" si="8"/>
        <v>2.3869695423071491E-2</v>
      </c>
    </row>
    <row r="186" spans="12:22" x14ac:dyDescent="0.2">
      <c r="L186" s="2" t="s">
        <v>1163</v>
      </c>
      <c r="M186" s="2">
        <v>56.48</v>
      </c>
      <c r="N186" s="11">
        <f t="shared" si="6"/>
        <v>-3.1882070620500635E-2</v>
      </c>
      <c r="P186" s="2" t="s">
        <v>1163</v>
      </c>
      <c r="Q186" s="2">
        <v>304.14999999999998</v>
      </c>
      <c r="R186" s="11">
        <f t="shared" si="7"/>
        <v>-1.6618707362022866E-2</v>
      </c>
      <c r="T186" s="2" t="s">
        <v>1163</v>
      </c>
      <c r="U186" s="2">
        <v>4008.010009765625</v>
      </c>
      <c r="V186" s="11">
        <f t="shared" si="8"/>
        <v>-3.9464009295556712E-3</v>
      </c>
    </row>
    <row r="187" spans="12:22" x14ac:dyDescent="0.2">
      <c r="L187" s="2" t="s">
        <v>1162</v>
      </c>
      <c r="M187" s="2">
        <v>57.22</v>
      </c>
      <c r="N187" s="11">
        <f t="shared" si="6"/>
        <v>1.310198300283294E-2</v>
      </c>
      <c r="P187" s="2" t="s">
        <v>1162</v>
      </c>
      <c r="Q187" s="2">
        <v>305.48</v>
      </c>
      <c r="R187" s="11">
        <f t="shared" si="7"/>
        <v>4.3728423475259959E-3</v>
      </c>
      <c r="T187" s="2" t="s">
        <v>1162</v>
      </c>
      <c r="U187" s="2">
        <v>4088.85009765625</v>
      </c>
      <c r="V187" s="11">
        <f t="shared" si="8"/>
        <v>2.0169632234863677E-2</v>
      </c>
    </row>
    <row r="188" spans="12:22" x14ac:dyDescent="0.2">
      <c r="L188" s="2" t="s">
        <v>1161</v>
      </c>
      <c r="M188" s="2">
        <v>55.24</v>
      </c>
      <c r="N188" s="11">
        <f t="shared" si="6"/>
        <v>-3.4603285564487885E-2</v>
      </c>
      <c r="P188" s="2" t="s">
        <v>1161</v>
      </c>
      <c r="Q188" s="2">
        <v>272.52</v>
      </c>
      <c r="R188" s="11">
        <f t="shared" si="7"/>
        <v>-0.10789577059054611</v>
      </c>
      <c r="T188" s="2" t="s">
        <v>1161</v>
      </c>
      <c r="U188" s="2">
        <v>3923.679931640625</v>
      </c>
      <c r="V188" s="11">
        <f t="shared" si="8"/>
        <v>-4.0395260787452592E-2</v>
      </c>
    </row>
    <row r="189" spans="12:22" x14ac:dyDescent="0.2">
      <c r="L189" s="2" t="s">
        <v>1160</v>
      </c>
      <c r="M189" s="2">
        <v>54.28</v>
      </c>
      <c r="N189" s="11">
        <f t="shared" si="6"/>
        <v>-1.7378711078928299E-2</v>
      </c>
      <c r="P189" s="2" t="s">
        <v>1160</v>
      </c>
      <c r="Q189" s="2">
        <v>271.22000000000003</v>
      </c>
      <c r="R189" s="11">
        <f t="shared" si="7"/>
        <v>-4.7702920886538713E-3</v>
      </c>
      <c r="T189" s="2" t="s">
        <v>1160</v>
      </c>
      <c r="U189" s="2">
        <v>3900.7900390625</v>
      </c>
      <c r="V189" s="11">
        <f t="shared" si="8"/>
        <v>-5.8337818009925879E-3</v>
      </c>
    </row>
    <row r="190" spans="12:22" x14ac:dyDescent="0.2">
      <c r="L190" s="2" t="s">
        <v>1159</v>
      </c>
      <c r="M190" s="2">
        <v>54.01</v>
      </c>
      <c r="N190" s="11">
        <f t="shared" si="6"/>
        <v>-4.9742078113486077E-3</v>
      </c>
      <c r="P190" s="2" t="s">
        <v>1159</v>
      </c>
      <c r="Q190" s="2">
        <v>274.04000000000002</v>
      </c>
      <c r="R190" s="11">
        <f t="shared" si="7"/>
        <v>1.0397463313914779E-2</v>
      </c>
      <c r="T190" s="2" t="s">
        <v>1159</v>
      </c>
      <c r="U190" s="2">
        <v>3901.360107421875</v>
      </c>
      <c r="V190" s="11">
        <f t="shared" si="8"/>
        <v>1.4614176965843662E-4</v>
      </c>
    </row>
    <row r="191" spans="12:22" x14ac:dyDescent="0.2">
      <c r="L191" s="2" t="s">
        <v>1158</v>
      </c>
      <c r="M191" s="2">
        <v>53.5</v>
      </c>
      <c r="N191" s="11">
        <f t="shared" si="6"/>
        <v>-9.442695797074574E-3</v>
      </c>
      <c r="P191" s="2" t="s">
        <v>1158</v>
      </c>
      <c r="Q191" s="2">
        <v>272.83999999999997</v>
      </c>
      <c r="R191" s="11">
        <f t="shared" si="7"/>
        <v>-4.3789227849950763E-3</v>
      </c>
      <c r="T191" s="2" t="s">
        <v>1158</v>
      </c>
      <c r="U191" s="2">
        <v>3973.75</v>
      </c>
      <c r="V191" s="11">
        <f t="shared" si="8"/>
        <v>1.8555039930923556E-2</v>
      </c>
    </row>
    <row r="192" spans="12:22" x14ac:dyDescent="0.2">
      <c r="L192" s="2" t="s">
        <v>1157</v>
      </c>
      <c r="M192" s="2">
        <v>48.73</v>
      </c>
      <c r="N192" s="11">
        <f t="shared" si="6"/>
        <v>-8.9158878504672967E-2</v>
      </c>
      <c r="P192" s="2" t="s">
        <v>1157</v>
      </c>
      <c r="Q192" s="2">
        <v>257.51</v>
      </c>
      <c r="R192" s="11">
        <f t="shared" si="7"/>
        <v>-5.6186776132531868E-2</v>
      </c>
      <c r="T192" s="2" t="s">
        <v>1157</v>
      </c>
      <c r="U192" s="2">
        <v>3941.47998046875</v>
      </c>
      <c r="V192" s="11">
        <f t="shared" si="8"/>
        <v>-8.1207976171752128E-3</v>
      </c>
    </row>
    <row r="193" spans="12:22" x14ac:dyDescent="0.2">
      <c r="L193" s="2" t="s">
        <v>1156</v>
      </c>
      <c r="M193" s="2">
        <v>50.76</v>
      </c>
      <c r="N193" s="11">
        <f t="shared" si="6"/>
        <v>4.1658116150215418E-2</v>
      </c>
      <c r="P193" s="2" t="s">
        <v>1156</v>
      </c>
      <c r="Q193" s="2">
        <v>260.66000000000003</v>
      </c>
      <c r="R193" s="11">
        <f t="shared" si="7"/>
        <v>1.2232534658848326E-2</v>
      </c>
      <c r="T193" s="2" t="s">
        <v>1156</v>
      </c>
      <c r="U193" s="2">
        <v>3978.72998046875</v>
      </c>
      <c r="V193" s="11">
        <f t="shared" si="8"/>
        <v>9.450764734207695E-3</v>
      </c>
    </row>
    <row r="194" spans="12:22" x14ac:dyDescent="0.2">
      <c r="L194" s="2" t="s">
        <v>1155</v>
      </c>
      <c r="M194" s="2">
        <v>53.28</v>
      </c>
      <c r="N194" s="11">
        <f t="shared" si="6"/>
        <v>4.9645390070921946E-2</v>
      </c>
      <c r="P194" s="2" t="s">
        <v>1155</v>
      </c>
      <c r="Q194" s="2">
        <v>287.48</v>
      </c>
      <c r="R194" s="11">
        <f t="shared" si="7"/>
        <v>0.10289265710120454</v>
      </c>
      <c r="T194" s="2" t="s">
        <v>1155</v>
      </c>
      <c r="U194" s="2">
        <v>4057.840087890625</v>
      </c>
      <c r="V194" s="11">
        <f t="shared" si="8"/>
        <v>1.9883256167224195E-2</v>
      </c>
    </row>
    <row r="195" spans="12:22" x14ac:dyDescent="0.2">
      <c r="L195" s="2" t="s">
        <v>1154</v>
      </c>
      <c r="M195" s="2">
        <v>56.14</v>
      </c>
      <c r="N195" s="11">
        <f t="shared" si="6"/>
        <v>5.3678678678678704E-2</v>
      </c>
      <c r="P195" s="2" t="s">
        <v>1154</v>
      </c>
      <c r="Q195" s="2">
        <v>293.64999999999998</v>
      </c>
      <c r="R195" s="11">
        <f t="shared" si="7"/>
        <v>2.1462362599137252E-2</v>
      </c>
      <c r="T195" s="2" t="s">
        <v>1154</v>
      </c>
      <c r="U195" s="2">
        <v>4158.240234375</v>
      </c>
      <c r="V195" s="11">
        <f t="shared" si="8"/>
        <v>2.4742262955109728E-2</v>
      </c>
    </row>
    <row r="196" spans="12:22" x14ac:dyDescent="0.2">
      <c r="L196" s="2" t="s">
        <v>1153</v>
      </c>
      <c r="M196" s="2">
        <v>55.76</v>
      </c>
      <c r="N196" s="11">
        <f t="shared" si="6"/>
        <v>-6.768792304951976E-3</v>
      </c>
      <c r="P196" s="2" t="s">
        <v>1153</v>
      </c>
      <c r="Q196" s="2">
        <v>292.69</v>
      </c>
      <c r="R196" s="11">
        <f t="shared" si="7"/>
        <v>-3.2691980248594765E-3</v>
      </c>
      <c r="T196" s="2" t="s">
        <v>1153</v>
      </c>
      <c r="U196" s="2">
        <v>4132.14990234375</v>
      </c>
      <c r="V196" s="11">
        <f t="shared" si="8"/>
        <v>-6.2743686176590652E-3</v>
      </c>
    </row>
    <row r="197" spans="12:22" x14ac:dyDescent="0.2">
      <c r="L197" s="2" t="s">
        <v>1152</v>
      </c>
      <c r="M197" s="2">
        <v>55.94</v>
      </c>
      <c r="N197" s="11">
        <f t="shared" si="6"/>
        <v>3.2281205164992333E-3</v>
      </c>
      <c r="P197" s="2" t="s">
        <v>1152</v>
      </c>
      <c r="Q197" s="2">
        <v>289.95999999999998</v>
      </c>
      <c r="R197" s="11">
        <f t="shared" si="7"/>
        <v>-9.3272745908641319E-3</v>
      </c>
      <c r="T197" s="2" t="s">
        <v>1152</v>
      </c>
      <c r="U197" s="2">
        <v>4101.22998046875</v>
      </c>
      <c r="V197" s="11">
        <f t="shared" si="8"/>
        <v>-7.4827686811318461E-3</v>
      </c>
    </row>
    <row r="198" spans="12:22" x14ac:dyDescent="0.2">
      <c r="L198" s="2" t="s">
        <v>1151</v>
      </c>
      <c r="M198" s="2">
        <v>61.33</v>
      </c>
      <c r="N198" s="11">
        <f t="shared" ref="N198:N261" si="9">+M198/M197-1</f>
        <v>9.6353235609581755E-2</v>
      </c>
      <c r="P198" s="2" t="s">
        <v>1151</v>
      </c>
      <c r="Q198" s="2">
        <v>302.58</v>
      </c>
      <c r="R198" s="11">
        <f t="shared" ref="R198:R261" si="10">+Q198/Q197-1</f>
        <v>4.3523244585460086E-2</v>
      </c>
      <c r="T198" s="2" t="s">
        <v>1151</v>
      </c>
      <c r="U198" s="2">
        <v>4176.81982421875</v>
      </c>
      <c r="V198" s="11">
        <f t="shared" ref="V198:V261" si="11">+U198/U197-1</f>
        <v>1.8431018038486124E-2</v>
      </c>
    </row>
    <row r="199" spans="12:22" x14ac:dyDescent="0.2">
      <c r="L199" s="2" t="s">
        <v>1150</v>
      </c>
      <c r="M199" s="2">
        <v>60.84</v>
      </c>
      <c r="N199" s="11">
        <f t="shared" si="9"/>
        <v>-7.9895646502526896E-3</v>
      </c>
      <c r="P199" s="2" t="s">
        <v>1150</v>
      </c>
      <c r="Q199" s="2">
        <v>300.8</v>
      </c>
      <c r="R199" s="11">
        <f t="shared" si="10"/>
        <v>-5.8827417542467453E-3</v>
      </c>
      <c r="T199" s="2" t="s">
        <v>1150</v>
      </c>
      <c r="U199" s="2">
        <v>4108.5400390625</v>
      </c>
      <c r="V199" s="11">
        <f t="shared" si="11"/>
        <v>-1.6347313992415624E-2</v>
      </c>
    </row>
    <row r="200" spans="12:22" x14ac:dyDescent="0.2">
      <c r="L200" s="2" t="s">
        <v>1149</v>
      </c>
      <c r="M200" s="2">
        <v>60.6</v>
      </c>
      <c r="N200" s="11">
        <f t="shared" si="9"/>
        <v>-3.9447731755424265E-3</v>
      </c>
      <c r="P200" s="2" t="s">
        <v>1149</v>
      </c>
      <c r="Q200" s="2">
        <v>301.62</v>
      </c>
      <c r="R200" s="11">
        <f t="shared" si="10"/>
        <v>2.7260638297872397E-3</v>
      </c>
      <c r="T200" s="2" t="s">
        <v>1149</v>
      </c>
      <c r="U200" s="2">
        <v>4121.43017578125</v>
      </c>
      <c r="V200" s="11">
        <f t="shared" si="11"/>
        <v>3.1374007789131131E-3</v>
      </c>
    </row>
    <row r="201" spans="12:22" x14ac:dyDescent="0.2">
      <c r="L201" s="2" t="s">
        <v>1148</v>
      </c>
      <c r="M201" s="2">
        <v>60.64</v>
      </c>
      <c r="N201" s="11">
        <f t="shared" si="9"/>
        <v>6.6006600660073467E-4</v>
      </c>
      <c r="P201" s="2" t="s">
        <v>1148</v>
      </c>
      <c r="Q201" s="2">
        <v>306.19</v>
      </c>
      <c r="R201" s="11">
        <f t="shared" si="10"/>
        <v>1.5151515151515138E-2</v>
      </c>
      <c r="T201" s="2" t="s">
        <v>1148</v>
      </c>
      <c r="U201" s="2">
        <v>4160.68017578125</v>
      </c>
      <c r="V201" s="11">
        <f t="shared" si="11"/>
        <v>9.5233931732350285E-3</v>
      </c>
    </row>
    <row r="202" spans="12:22" x14ac:dyDescent="0.2">
      <c r="L202" s="2" t="s">
        <v>1147</v>
      </c>
      <c r="M202" s="2">
        <v>58.67</v>
      </c>
      <c r="N202" s="11">
        <f t="shared" si="9"/>
        <v>-3.2486807387862804E-2</v>
      </c>
      <c r="P202" s="2" t="s">
        <v>1147</v>
      </c>
      <c r="Q202" s="2">
        <v>307.77</v>
      </c>
      <c r="R202" s="11">
        <f t="shared" si="10"/>
        <v>5.160194650380534E-3</v>
      </c>
      <c r="T202" s="2" t="s">
        <v>1147</v>
      </c>
      <c r="U202" s="2">
        <v>4115.77001953125</v>
      </c>
      <c r="V202" s="11">
        <f t="shared" si="11"/>
        <v>-1.0793945785935621E-2</v>
      </c>
    </row>
    <row r="203" spans="12:22" x14ac:dyDescent="0.2">
      <c r="L203" s="2" t="s">
        <v>1146</v>
      </c>
      <c r="M203" s="2">
        <v>57.56</v>
      </c>
      <c r="N203" s="11">
        <f t="shared" si="9"/>
        <v>-1.8919379580705664E-2</v>
      </c>
      <c r="P203" s="2" t="s">
        <v>1146</v>
      </c>
      <c r="Q203" s="2">
        <v>302.3</v>
      </c>
      <c r="R203" s="11">
        <f t="shared" si="10"/>
        <v>-1.7773012314390546E-2</v>
      </c>
      <c r="T203" s="2" t="s">
        <v>1146</v>
      </c>
      <c r="U203" s="2">
        <v>4017.820068359375</v>
      </c>
      <c r="V203" s="11">
        <f t="shared" si="11"/>
        <v>-2.3798693976353591E-2</v>
      </c>
    </row>
    <row r="204" spans="12:22" x14ac:dyDescent="0.2">
      <c r="L204" s="2" t="s">
        <v>1145</v>
      </c>
      <c r="M204" s="2">
        <v>53.82</v>
      </c>
      <c r="N204" s="11">
        <f t="shared" si="9"/>
        <v>-6.4975677553856914E-2</v>
      </c>
      <c r="P204" s="2" t="s">
        <v>1145</v>
      </c>
      <c r="Q204" s="2">
        <v>291.60000000000002</v>
      </c>
      <c r="R204" s="11">
        <f t="shared" si="10"/>
        <v>-3.5395302679457452E-2</v>
      </c>
      <c r="T204" s="2" t="s">
        <v>1145</v>
      </c>
      <c r="U204" s="2">
        <v>3900.860107421875</v>
      </c>
      <c r="V204" s="11">
        <f t="shared" si="11"/>
        <v>-2.9110303335524668E-2</v>
      </c>
    </row>
    <row r="205" spans="12:22" x14ac:dyDescent="0.2">
      <c r="L205" s="2" t="s">
        <v>1144</v>
      </c>
      <c r="M205" s="2">
        <v>49.93</v>
      </c>
      <c r="N205" s="11">
        <f t="shared" si="9"/>
        <v>-7.2277963582311422E-2</v>
      </c>
      <c r="P205" s="2" t="s">
        <v>1144</v>
      </c>
      <c r="Q205" s="2">
        <v>278.58</v>
      </c>
      <c r="R205" s="11">
        <f t="shared" si="10"/>
        <v>-4.4650205761316952E-2</v>
      </c>
      <c r="T205" s="2" t="s">
        <v>1144</v>
      </c>
      <c r="U205" s="2">
        <v>3749.6298828125</v>
      </c>
      <c r="V205" s="11">
        <f t="shared" si="11"/>
        <v>-3.8768430665237275E-2</v>
      </c>
    </row>
    <row r="206" spans="12:22" x14ac:dyDescent="0.2">
      <c r="L206" s="2" t="s">
        <v>1143</v>
      </c>
      <c r="M206" s="2">
        <v>51.1</v>
      </c>
      <c r="N206" s="11">
        <f t="shared" si="9"/>
        <v>2.3432805928299549E-2</v>
      </c>
      <c r="P206" s="2" t="s">
        <v>1143</v>
      </c>
      <c r="Q206" s="2">
        <v>280.5</v>
      </c>
      <c r="R206" s="11">
        <f t="shared" si="10"/>
        <v>6.8920956278268886E-3</v>
      </c>
      <c r="T206" s="2" t="s">
        <v>1143</v>
      </c>
      <c r="U206" s="2">
        <v>3735.47998046875</v>
      </c>
      <c r="V206" s="11">
        <f t="shared" si="11"/>
        <v>-3.7736797459957394E-3</v>
      </c>
    </row>
    <row r="207" spans="12:22" x14ac:dyDescent="0.2">
      <c r="L207" s="2" t="s">
        <v>1142</v>
      </c>
      <c r="M207" s="2">
        <v>52.25</v>
      </c>
      <c r="N207" s="11">
        <f t="shared" si="9"/>
        <v>2.2504892367906093E-2</v>
      </c>
      <c r="P207" s="2" t="s">
        <v>1142</v>
      </c>
      <c r="Q207" s="2">
        <v>285.72000000000003</v>
      </c>
      <c r="R207" s="11">
        <f t="shared" si="10"/>
        <v>1.860962566844937E-2</v>
      </c>
      <c r="T207" s="2" t="s">
        <v>1142</v>
      </c>
      <c r="U207" s="2">
        <v>3789.989990234375</v>
      </c>
      <c r="V207" s="11">
        <f t="shared" si="11"/>
        <v>1.4592504858983224E-2</v>
      </c>
    </row>
    <row r="208" spans="12:22" x14ac:dyDescent="0.2">
      <c r="L208" s="2" t="s">
        <v>1141</v>
      </c>
      <c r="M208" s="2">
        <v>47.22</v>
      </c>
      <c r="N208" s="11">
        <f t="shared" si="9"/>
        <v>-9.6267942583732058E-2</v>
      </c>
      <c r="P208" s="2" t="s">
        <v>1141</v>
      </c>
      <c r="Q208" s="2">
        <v>271.33999999999997</v>
      </c>
      <c r="R208" s="11">
        <f t="shared" si="10"/>
        <v>-5.0328993420131751E-2</v>
      </c>
      <c r="T208" s="2" t="s">
        <v>1141</v>
      </c>
      <c r="U208" s="2">
        <v>3666.77001953125</v>
      </c>
      <c r="V208" s="11">
        <f t="shared" si="11"/>
        <v>-3.2511951488163437E-2</v>
      </c>
    </row>
    <row r="209" spans="12:22" x14ac:dyDescent="0.2">
      <c r="L209" s="2" t="s">
        <v>1140</v>
      </c>
      <c r="M209" s="2">
        <v>47.21</v>
      </c>
      <c r="N209" s="11">
        <f t="shared" si="9"/>
        <v>-2.1177467174926523E-4</v>
      </c>
      <c r="P209" s="2" t="s">
        <v>1140</v>
      </c>
      <c r="Q209" s="2">
        <v>278.13</v>
      </c>
      <c r="R209" s="11">
        <f t="shared" si="10"/>
        <v>2.5023955185376368E-2</v>
      </c>
      <c r="T209" s="2" t="s">
        <v>1140</v>
      </c>
      <c r="U209" s="2">
        <v>3674.840087890625</v>
      </c>
      <c r="V209" s="11">
        <f t="shared" si="11"/>
        <v>2.2008656982546171E-3</v>
      </c>
    </row>
    <row r="210" spans="12:22" x14ac:dyDescent="0.2">
      <c r="L210" s="2" t="s">
        <v>1139</v>
      </c>
      <c r="M210" s="2">
        <v>48.46</v>
      </c>
      <c r="N210" s="11">
        <f t="shared" si="9"/>
        <v>2.6477441220080555E-2</v>
      </c>
      <c r="P210" s="2" t="s">
        <v>1139</v>
      </c>
      <c r="Q210" s="2">
        <v>276.45</v>
      </c>
      <c r="R210" s="11">
        <f t="shared" si="10"/>
        <v>-6.0403408478050258E-3</v>
      </c>
      <c r="T210" s="2" t="s">
        <v>1139</v>
      </c>
      <c r="U210" s="2">
        <v>3764.7900390625</v>
      </c>
      <c r="V210" s="11">
        <f t="shared" si="11"/>
        <v>2.4477242280086964E-2</v>
      </c>
    </row>
    <row r="211" spans="12:22" x14ac:dyDescent="0.2">
      <c r="L211" s="2" t="s">
        <v>1138</v>
      </c>
      <c r="M211" s="2">
        <v>47.73</v>
      </c>
      <c r="N211" s="11">
        <f t="shared" si="9"/>
        <v>-1.5063970284771022E-2</v>
      </c>
      <c r="P211" s="2" t="s">
        <v>1138</v>
      </c>
      <c r="Q211" s="2">
        <v>277.88</v>
      </c>
      <c r="R211" s="11">
        <f t="shared" si="10"/>
        <v>5.1727256285043488E-3</v>
      </c>
      <c r="T211" s="2" t="s">
        <v>1138</v>
      </c>
      <c r="U211" s="2">
        <v>3759.889892578125</v>
      </c>
      <c r="V211" s="11">
        <f t="shared" si="11"/>
        <v>-1.3015723144006452E-3</v>
      </c>
    </row>
    <row r="212" spans="12:22" x14ac:dyDescent="0.2">
      <c r="L212" s="2" t="s">
        <v>1137</v>
      </c>
      <c r="M212" s="2">
        <v>49.41</v>
      </c>
      <c r="N212" s="11">
        <f t="shared" si="9"/>
        <v>3.5197988686360704E-2</v>
      </c>
      <c r="P212" s="2" t="s">
        <v>1137</v>
      </c>
      <c r="Q212" s="2">
        <v>286.33</v>
      </c>
      <c r="R212" s="11">
        <f t="shared" si="10"/>
        <v>3.0408809558082561E-2</v>
      </c>
      <c r="T212" s="2" t="s">
        <v>1137</v>
      </c>
      <c r="U212" s="2">
        <v>3795.72998046875</v>
      </c>
      <c r="V212" s="11">
        <f t="shared" si="11"/>
        <v>9.5322174091778678E-3</v>
      </c>
    </row>
    <row r="213" spans="12:22" x14ac:dyDescent="0.2">
      <c r="L213" s="2" t="s">
        <v>1136</v>
      </c>
      <c r="M213" s="2">
        <v>53.49</v>
      </c>
      <c r="N213" s="11">
        <f t="shared" si="9"/>
        <v>8.257437765634501E-2</v>
      </c>
      <c r="P213" s="2" t="s">
        <v>1136</v>
      </c>
      <c r="Q213" s="2">
        <v>293.36</v>
      </c>
      <c r="R213" s="11">
        <f t="shared" si="10"/>
        <v>2.4552090245520963E-2</v>
      </c>
      <c r="T213" s="2" t="s">
        <v>1136</v>
      </c>
      <c r="U213" s="2">
        <v>3911.739990234375</v>
      </c>
      <c r="V213" s="11">
        <f t="shared" si="11"/>
        <v>3.056329358583576E-2</v>
      </c>
    </row>
    <row r="214" spans="12:22" x14ac:dyDescent="0.2">
      <c r="L214" s="2" t="s">
        <v>1135</v>
      </c>
      <c r="M214" s="2">
        <v>52.88</v>
      </c>
      <c r="N214" s="11">
        <f t="shared" si="9"/>
        <v>-1.1404000747803344E-2</v>
      </c>
      <c r="P214" s="2" t="s">
        <v>1135</v>
      </c>
      <c r="Q214" s="2">
        <v>287.48</v>
      </c>
      <c r="R214" s="11">
        <f t="shared" si="10"/>
        <v>-2.0043632397054756E-2</v>
      </c>
      <c r="T214" s="2" t="s">
        <v>1135</v>
      </c>
      <c r="U214" s="2">
        <v>3900.110107421875</v>
      </c>
      <c r="V214" s="11">
        <f t="shared" si="11"/>
        <v>-2.9730715337762392E-3</v>
      </c>
    </row>
    <row r="215" spans="12:22" x14ac:dyDescent="0.2">
      <c r="L215" s="2" t="s">
        <v>1134</v>
      </c>
      <c r="M215" s="2">
        <v>50.47</v>
      </c>
      <c r="N215" s="11">
        <f t="shared" si="9"/>
        <v>-4.5574886535552306E-2</v>
      </c>
      <c r="P215" s="2" t="s">
        <v>1134</v>
      </c>
      <c r="Q215" s="2">
        <v>278.56</v>
      </c>
      <c r="R215" s="11">
        <f t="shared" si="10"/>
        <v>-3.1028245443161295E-2</v>
      </c>
      <c r="T215" s="2" t="s">
        <v>1134</v>
      </c>
      <c r="U215" s="2">
        <v>3821.550048828125</v>
      </c>
      <c r="V215" s="11">
        <f t="shared" si="11"/>
        <v>-2.0143036075892073E-2</v>
      </c>
    </row>
    <row r="216" spans="12:22" x14ac:dyDescent="0.2">
      <c r="L216" s="2" t="s">
        <v>1133</v>
      </c>
      <c r="M216" s="2">
        <v>48.53</v>
      </c>
      <c r="N216" s="11">
        <f t="shared" si="9"/>
        <v>-3.843867644145027E-2</v>
      </c>
      <c r="P216" s="2" t="s">
        <v>1133</v>
      </c>
      <c r="Q216" s="2">
        <v>282.98</v>
      </c>
      <c r="R216" s="11">
        <f t="shared" si="10"/>
        <v>1.5867317633543987E-2</v>
      </c>
      <c r="T216" s="2" t="s">
        <v>1133</v>
      </c>
      <c r="U216" s="2">
        <v>3818.830078125</v>
      </c>
      <c r="V216" s="11">
        <f t="shared" si="11"/>
        <v>-7.1174540915908135E-4</v>
      </c>
    </row>
    <row r="217" spans="12:22" x14ac:dyDescent="0.2">
      <c r="L217" s="2" t="s">
        <v>1132</v>
      </c>
      <c r="M217" s="2">
        <v>48.67</v>
      </c>
      <c r="N217" s="11">
        <f t="shared" si="9"/>
        <v>2.8848135174119882E-3</v>
      </c>
      <c r="P217" s="2" t="s">
        <v>1132</v>
      </c>
      <c r="Q217" s="2">
        <v>272.61</v>
      </c>
      <c r="R217" s="11">
        <f t="shared" si="10"/>
        <v>-3.6645699342709781E-2</v>
      </c>
      <c r="T217" s="2" t="s">
        <v>1132</v>
      </c>
      <c r="U217" s="2">
        <v>3785.3798828125</v>
      </c>
      <c r="V217" s="11">
        <f t="shared" si="11"/>
        <v>-8.7592782679987158E-3</v>
      </c>
    </row>
    <row r="218" spans="12:22" x14ac:dyDescent="0.2">
      <c r="L218" s="2" t="s">
        <v>1131</v>
      </c>
      <c r="M218" s="2">
        <v>47.95</v>
      </c>
      <c r="N218" s="11">
        <f t="shared" si="9"/>
        <v>-1.4793507294020958E-2</v>
      </c>
      <c r="P218" s="2" t="s">
        <v>1131</v>
      </c>
      <c r="Q218" s="2">
        <v>263.38</v>
      </c>
      <c r="R218" s="11">
        <f t="shared" si="10"/>
        <v>-3.3857892226990982E-2</v>
      </c>
      <c r="T218" s="2" t="s">
        <v>1131</v>
      </c>
      <c r="U218" s="2">
        <v>3825.330078125</v>
      </c>
      <c r="V218" s="11">
        <f t="shared" si="11"/>
        <v>1.0553814029047315E-2</v>
      </c>
    </row>
    <row r="219" spans="12:22" x14ac:dyDescent="0.2">
      <c r="L219" s="2" t="s">
        <v>1130</v>
      </c>
      <c r="M219" s="2">
        <v>53.81</v>
      </c>
      <c r="N219" s="11">
        <f t="shared" si="9"/>
        <v>0.1222106360792492</v>
      </c>
      <c r="P219" s="2" t="s">
        <v>1130</v>
      </c>
      <c r="Q219" s="2">
        <v>283.62</v>
      </c>
      <c r="R219" s="11">
        <f t="shared" si="10"/>
        <v>7.6847141012985176E-2</v>
      </c>
      <c r="T219" s="2" t="s">
        <v>1130</v>
      </c>
      <c r="U219" s="2">
        <v>3831.389892578125</v>
      </c>
      <c r="V219" s="11">
        <f t="shared" si="11"/>
        <v>1.5841285142366157E-3</v>
      </c>
    </row>
    <row r="220" spans="12:22" x14ac:dyDescent="0.2">
      <c r="L220" s="2" t="s">
        <v>1129</v>
      </c>
      <c r="M220" s="2">
        <v>52.33</v>
      </c>
      <c r="N220" s="11">
        <f t="shared" si="9"/>
        <v>-2.7504181378925963E-2</v>
      </c>
      <c r="P220" s="2" t="s">
        <v>1129</v>
      </c>
      <c r="Q220" s="2">
        <v>280.38</v>
      </c>
      <c r="R220" s="11">
        <f t="shared" si="10"/>
        <v>-1.1423735984768424E-2</v>
      </c>
      <c r="T220" s="2" t="s">
        <v>1129</v>
      </c>
      <c r="U220" s="2">
        <v>3845.080078125</v>
      </c>
      <c r="V220" s="11">
        <f t="shared" si="11"/>
        <v>3.5731642904301975E-3</v>
      </c>
    </row>
    <row r="221" spans="12:22" x14ac:dyDescent="0.2">
      <c r="L221" s="2" t="s">
        <v>1128</v>
      </c>
      <c r="M221" s="2">
        <v>58.11</v>
      </c>
      <c r="N221" s="11">
        <f t="shared" si="9"/>
        <v>0.11045289508885925</v>
      </c>
      <c r="P221" s="2" t="s">
        <v>1128</v>
      </c>
      <c r="Q221" s="2">
        <v>290.72000000000003</v>
      </c>
      <c r="R221" s="11">
        <f t="shared" si="10"/>
        <v>3.6878522005849401E-2</v>
      </c>
      <c r="T221" s="2" t="s">
        <v>1128</v>
      </c>
      <c r="U221" s="2">
        <v>3902.6201171875</v>
      </c>
      <c r="V221" s="11">
        <f t="shared" si="11"/>
        <v>1.4964587965241805E-2</v>
      </c>
    </row>
    <row r="222" spans="12:22" x14ac:dyDescent="0.2">
      <c r="L222" s="2" t="s">
        <v>1127</v>
      </c>
      <c r="M222" s="2">
        <v>58.08</v>
      </c>
      <c r="N222" s="11">
        <f t="shared" si="9"/>
        <v>-5.162622612286949E-4</v>
      </c>
      <c r="P222" s="2" t="s">
        <v>1127</v>
      </c>
      <c r="Q222" s="2">
        <v>293.39</v>
      </c>
      <c r="R222" s="11">
        <f t="shared" si="10"/>
        <v>9.1840946615298069E-3</v>
      </c>
      <c r="T222" s="2" t="s">
        <v>1127</v>
      </c>
      <c r="U222" s="2">
        <v>3899.3798828125</v>
      </c>
      <c r="V222" s="11">
        <f t="shared" si="11"/>
        <v>-8.3027152981907104E-4</v>
      </c>
    </row>
    <row r="223" spans="12:22" x14ac:dyDescent="0.2">
      <c r="L223" s="2" t="s">
        <v>1126</v>
      </c>
      <c r="M223" s="2">
        <v>54.54</v>
      </c>
      <c r="N223" s="11">
        <f t="shared" si="9"/>
        <v>-6.0950413223140432E-2</v>
      </c>
      <c r="P223" s="2" t="s">
        <v>1126</v>
      </c>
      <c r="Q223" s="2">
        <v>281.76</v>
      </c>
      <c r="R223" s="11">
        <f t="shared" si="10"/>
        <v>-3.964006953202226E-2</v>
      </c>
      <c r="T223" s="2" t="s">
        <v>1126</v>
      </c>
      <c r="U223" s="2">
        <v>3854.429931640625</v>
      </c>
      <c r="V223" s="11">
        <f t="shared" si="11"/>
        <v>-1.1527461422777274E-2</v>
      </c>
    </row>
    <row r="224" spans="12:22" x14ac:dyDescent="0.2">
      <c r="L224" s="2" t="s">
        <v>1125</v>
      </c>
      <c r="M224" s="2">
        <v>53.66</v>
      </c>
      <c r="N224" s="11">
        <f t="shared" si="9"/>
        <v>-1.6134946828016195E-2</v>
      </c>
      <c r="P224" s="2" t="s">
        <v>1125</v>
      </c>
      <c r="Q224" s="2">
        <v>279.39</v>
      </c>
      <c r="R224" s="11">
        <f t="shared" si="10"/>
        <v>-8.411413969335646E-3</v>
      </c>
      <c r="T224" s="2" t="s">
        <v>1125</v>
      </c>
      <c r="U224" s="2">
        <v>3818.800048828125</v>
      </c>
      <c r="V224" s="11">
        <f t="shared" si="11"/>
        <v>-9.2438787173215742E-3</v>
      </c>
    </row>
    <row r="225" spans="12:22" x14ac:dyDescent="0.2">
      <c r="L225" s="2" t="s">
        <v>1124</v>
      </c>
      <c r="M225" s="2">
        <v>54.42</v>
      </c>
      <c r="N225" s="11">
        <f t="shared" si="9"/>
        <v>1.4163250093179425E-2</v>
      </c>
      <c r="P225" s="2" t="s">
        <v>1124</v>
      </c>
      <c r="Q225" s="2">
        <v>280.97000000000003</v>
      </c>
      <c r="R225" s="11">
        <f t="shared" si="10"/>
        <v>5.6551773506570147E-3</v>
      </c>
      <c r="T225" s="2" t="s">
        <v>1124</v>
      </c>
      <c r="U225" s="2">
        <v>3801.780029296875</v>
      </c>
      <c r="V225" s="11">
        <f t="shared" si="11"/>
        <v>-4.4569025122100925E-3</v>
      </c>
    </row>
    <row r="226" spans="12:22" x14ac:dyDescent="0.2">
      <c r="L226" s="2" t="s">
        <v>1123</v>
      </c>
      <c r="M226" s="2">
        <v>52.85</v>
      </c>
      <c r="N226" s="11">
        <f t="shared" si="9"/>
        <v>-2.8849687614847519E-2</v>
      </c>
      <c r="P226" s="2" t="s">
        <v>1123</v>
      </c>
      <c r="Q226" s="2">
        <v>278.99</v>
      </c>
      <c r="R226" s="11">
        <f t="shared" si="10"/>
        <v>-7.0470156956259355E-3</v>
      </c>
      <c r="T226" s="2" t="s">
        <v>1123</v>
      </c>
      <c r="U226" s="2">
        <v>3790.3798828125</v>
      </c>
      <c r="V226" s="11">
        <f t="shared" si="11"/>
        <v>-2.9986339021522701E-3</v>
      </c>
    </row>
    <row r="227" spans="12:22" x14ac:dyDescent="0.2">
      <c r="L227" s="2" t="s">
        <v>1122</v>
      </c>
      <c r="M227" s="2">
        <v>54.14</v>
      </c>
      <c r="N227" s="11">
        <f t="shared" si="9"/>
        <v>2.4408703878902482E-2</v>
      </c>
      <c r="P227" s="2" t="s">
        <v>1122</v>
      </c>
      <c r="Q227" s="2">
        <v>286.41000000000003</v>
      </c>
      <c r="R227" s="11">
        <f t="shared" si="10"/>
        <v>2.6595935338184162E-2</v>
      </c>
      <c r="T227" s="2" t="s">
        <v>1122</v>
      </c>
      <c r="U227" s="2">
        <v>3863.159912109375</v>
      </c>
      <c r="V227" s="11">
        <f t="shared" si="11"/>
        <v>1.9201249359436678E-2</v>
      </c>
    </row>
    <row r="228" spans="12:22" x14ac:dyDescent="0.2">
      <c r="L228" s="2" t="s">
        <v>1121</v>
      </c>
      <c r="M228" s="2">
        <v>54.99</v>
      </c>
      <c r="N228" s="11">
        <f t="shared" si="9"/>
        <v>1.5700036941263429E-2</v>
      </c>
      <c r="P228" s="2" t="s">
        <v>1121</v>
      </c>
      <c r="Q228" s="2">
        <v>284.64</v>
      </c>
      <c r="R228" s="11">
        <f t="shared" si="10"/>
        <v>-6.1799518173250023E-3</v>
      </c>
      <c r="T228" s="2" t="s">
        <v>1121</v>
      </c>
      <c r="U228" s="2">
        <v>3830.85009765625</v>
      </c>
      <c r="V228" s="11">
        <f t="shared" si="11"/>
        <v>-8.3635715808313416E-3</v>
      </c>
    </row>
    <row r="229" spans="12:22" x14ac:dyDescent="0.2">
      <c r="L229" s="2" t="s">
        <v>1120</v>
      </c>
      <c r="M229" s="2">
        <v>58.02</v>
      </c>
      <c r="N229" s="11">
        <f t="shared" si="9"/>
        <v>5.5100927441352976E-2</v>
      </c>
      <c r="P229" s="2" t="s">
        <v>1120</v>
      </c>
      <c r="Q229" s="2">
        <v>296.33999999999997</v>
      </c>
      <c r="R229" s="11">
        <f t="shared" si="10"/>
        <v>4.1104553119730047E-2</v>
      </c>
      <c r="T229" s="2" t="s">
        <v>1120</v>
      </c>
      <c r="U229" s="2">
        <v>3936.68994140625</v>
      </c>
      <c r="V229" s="11">
        <f t="shared" si="11"/>
        <v>2.7628291645959591E-2</v>
      </c>
    </row>
    <row r="230" spans="12:22" x14ac:dyDescent="0.2">
      <c r="L230" s="2" t="s">
        <v>1119</v>
      </c>
      <c r="M230" s="2">
        <v>62.61</v>
      </c>
      <c r="N230" s="11">
        <f t="shared" si="9"/>
        <v>7.911065149948282E-2</v>
      </c>
      <c r="P230" s="2" t="s">
        <v>1119</v>
      </c>
      <c r="Q230" s="2">
        <v>302.79000000000002</v>
      </c>
      <c r="R230" s="11">
        <f t="shared" si="10"/>
        <v>2.1765539582911719E-2</v>
      </c>
      <c r="T230" s="2" t="s">
        <v>1119</v>
      </c>
      <c r="U230" s="2">
        <v>3959.89990234375</v>
      </c>
      <c r="V230" s="11">
        <f t="shared" si="11"/>
        <v>5.8958061932632422E-3</v>
      </c>
    </row>
    <row r="231" spans="12:22" x14ac:dyDescent="0.2">
      <c r="L231" s="2" t="s">
        <v>1118</v>
      </c>
      <c r="M231" s="2">
        <v>63.89</v>
      </c>
      <c r="N231" s="11">
        <f t="shared" si="9"/>
        <v>2.044401852739175E-2</v>
      </c>
      <c r="P231" s="2" t="s">
        <v>1118</v>
      </c>
      <c r="Q231" s="2">
        <v>307.36</v>
      </c>
      <c r="R231" s="11">
        <f t="shared" si="10"/>
        <v>1.5092968724198297E-2</v>
      </c>
      <c r="T231" s="2" t="s">
        <v>1118</v>
      </c>
      <c r="U231" s="2">
        <v>3998.949951171875</v>
      </c>
      <c r="V231" s="11">
        <f t="shared" si="11"/>
        <v>9.8613727091971803E-3</v>
      </c>
    </row>
    <row r="232" spans="12:22" x14ac:dyDescent="0.2">
      <c r="L232" s="2" t="s">
        <v>1117</v>
      </c>
      <c r="M232" s="2">
        <v>62.84</v>
      </c>
      <c r="N232" s="11">
        <f t="shared" si="9"/>
        <v>-1.6434496791360109E-2</v>
      </c>
      <c r="P232" s="2" t="s">
        <v>1117</v>
      </c>
      <c r="Q232" s="2">
        <v>304.5</v>
      </c>
      <c r="R232" s="11">
        <f t="shared" si="10"/>
        <v>-9.3050494534097083E-3</v>
      </c>
      <c r="T232" s="2" t="s">
        <v>1117</v>
      </c>
      <c r="U232" s="2">
        <v>3961.6298828125</v>
      </c>
      <c r="V232" s="11">
        <f t="shared" si="11"/>
        <v>-9.3324669763467094E-3</v>
      </c>
    </row>
    <row r="233" spans="12:22" x14ac:dyDescent="0.2">
      <c r="L233" s="2" t="s">
        <v>1116</v>
      </c>
      <c r="M233" s="2">
        <v>60.88</v>
      </c>
      <c r="N233" s="11">
        <f t="shared" si="9"/>
        <v>-3.1190324633991073E-2</v>
      </c>
      <c r="P233" s="2" t="s">
        <v>1116</v>
      </c>
      <c r="Q233" s="2">
        <v>301.32</v>
      </c>
      <c r="R233" s="11">
        <f t="shared" si="10"/>
        <v>-1.0443349753694653E-2</v>
      </c>
      <c r="T233" s="2" t="s">
        <v>1116</v>
      </c>
      <c r="U233" s="2">
        <v>3966.840087890625</v>
      </c>
      <c r="V233" s="11">
        <f t="shared" si="11"/>
        <v>1.3151670479691902E-3</v>
      </c>
    </row>
    <row r="234" spans="12:22" x14ac:dyDescent="0.2">
      <c r="L234" s="2" t="s">
        <v>1115</v>
      </c>
      <c r="M234" s="2">
        <v>58.35</v>
      </c>
      <c r="N234" s="11">
        <f t="shared" si="9"/>
        <v>-4.1557161629435013E-2</v>
      </c>
      <c r="P234" s="2" t="s">
        <v>1115</v>
      </c>
      <c r="Q234" s="2">
        <v>283.41000000000003</v>
      </c>
      <c r="R234" s="11">
        <f t="shared" si="10"/>
        <v>-5.9438470728793158E-2</v>
      </c>
      <c r="T234" s="2" t="s">
        <v>1115</v>
      </c>
      <c r="U234" s="2">
        <v>3921.050048828125</v>
      </c>
      <c r="V234" s="11">
        <f t="shared" si="11"/>
        <v>-1.154320266205866E-2</v>
      </c>
    </row>
    <row r="235" spans="12:22" x14ac:dyDescent="0.2">
      <c r="L235" s="2" t="s">
        <v>1114</v>
      </c>
      <c r="M235" s="2">
        <v>61.32</v>
      </c>
      <c r="N235" s="11">
        <f t="shared" si="9"/>
        <v>5.0899742930591296E-2</v>
      </c>
      <c r="P235" s="2" t="s">
        <v>1114</v>
      </c>
      <c r="Q235" s="2">
        <v>295.57</v>
      </c>
      <c r="R235" s="11">
        <f t="shared" si="10"/>
        <v>4.2906037189936796E-2</v>
      </c>
      <c r="T235" s="2" t="s">
        <v>1114</v>
      </c>
      <c r="U235" s="2">
        <v>4023.610107421875</v>
      </c>
      <c r="V235" s="11">
        <f t="shared" si="11"/>
        <v>2.6156273782937722E-2</v>
      </c>
    </row>
    <row r="236" spans="12:22" x14ac:dyDescent="0.2">
      <c r="L236" s="2" t="s">
        <v>1113</v>
      </c>
      <c r="M236" s="2">
        <v>66.56</v>
      </c>
      <c r="N236" s="11">
        <f t="shared" si="9"/>
        <v>8.5453359425962105E-2</v>
      </c>
      <c r="P236" s="2" t="s">
        <v>1113</v>
      </c>
      <c r="Q236" s="2">
        <v>303.85000000000002</v>
      </c>
      <c r="R236" s="11">
        <f t="shared" si="10"/>
        <v>2.8013668504922817E-2</v>
      </c>
      <c r="T236" s="2" t="s">
        <v>1113</v>
      </c>
      <c r="U236" s="2">
        <v>4072.429931640625</v>
      </c>
      <c r="V236" s="11">
        <f t="shared" si="11"/>
        <v>1.2133338697180918E-2</v>
      </c>
    </row>
    <row r="237" spans="12:22" x14ac:dyDescent="0.2">
      <c r="L237" s="2" t="s">
        <v>1112</v>
      </c>
      <c r="M237" s="2">
        <v>71.64</v>
      </c>
      <c r="N237" s="11">
        <f t="shared" si="9"/>
        <v>7.6322115384615419E-2</v>
      </c>
      <c r="P237" s="2" t="s">
        <v>1112</v>
      </c>
      <c r="Q237" s="2">
        <v>310.51</v>
      </c>
      <c r="R237" s="11">
        <f t="shared" si="10"/>
        <v>2.19187098897482E-2</v>
      </c>
      <c r="T237" s="2" t="s">
        <v>1112</v>
      </c>
      <c r="U237" s="2">
        <v>4130.2900390625</v>
      </c>
      <c r="V237" s="11">
        <f t="shared" si="11"/>
        <v>1.4207760082581844E-2</v>
      </c>
    </row>
    <row r="238" spans="12:22" x14ac:dyDescent="0.2">
      <c r="L238" s="2" t="s">
        <v>1111</v>
      </c>
      <c r="M238" s="2">
        <v>72.66</v>
      </c>
      <c r="N238" s="11">
        <f t="shared" si="9"/>
        <v>1.4237855946398703E-2</v>
      </c>
      <c r="P238" s="2" t="s">
        <v>1111</v>
      </c>
      <c r="Q238" s="2">
        <v>310.01</v>
      </c>
      <c r="R238" s="11">
        <f t="shared" si="10"/>
        <v>-1.6102540980966751E-3</v>
      </c>
      <c r="T238" s="2" t="s">
        <v>1111</v>
      </c>
      <c r="U238" s="2">
        <v>4118.6298828125</v>
      </c>
      <c r="V238" s="11">
        <f t="shared" si="11"/>
        <v>-2.8230841271976725E-3</v>
      </c>
    </row>
    <row r="239" spans="12:22" x14ac:dyDescent="0.2">
      <c r="L239" s="2" t="s">
        <v>1110</v>
      </c>
      <c r="M239" s="2">
        <v>72.739999999999995</v>
      </c>
      <c r="N239" s="11">
        <f t="shared" si="9"/>
        <v>1.1010184420587876E-3</v>
      </c>
      <c r="P239" s="2" t="s">
        <v>1110</v>
      </c>
      <c r="Q239" s="2">
        <v>305.7</v>
      </c>
      <c r="R239" s="11">
        <f t="shared" si="10"/>
        <v>-1.3902777329763527E-2</v>
      </c>
      <c r="T239" s="2" t="s">
        <v>1110</v>
      </c>
      <c r="U239" s="2">
        <v>4091.18994140625</v>
      </c>
      <c r="V239" s="11">
        <f t="shared" si="11"/>
        <v>-6.6623955507048027E-3</v>
      </c>
    </row>
    <row r="240" spans="12:22" x14ac:dyDescent="0.2">
      <c r="L240" s="2" t="s">
        <v>1109</v>
      </c>
      <c r="M240" s="2">
        <v>77.38</v>
      </c>
      <c r="N240" s="11">
        <f t="shared" si="9"/>
        <v>6.3788836953533101E-2</v>
      </c>
      <c r="P240" s="2" t="s">
        <v>1109</v>
      </c>
      <c r="Q240" s="2">
        <v>315.38</v>
      </c>
      <c r="R240" s="11">
        <f t="shared" si="10"/>
        <v>3.1665031076218542E-2</v>
      </c>
      <c r="T240" s="2" t="s">
        <v>1109</v>
      </c>
      <c r="U240" s="2">
        <v>4155.169921875</v>
      </c>
      <c r="V240" s="11">
        <f t="shared" si="11"/>
        <v>1.5638477163140152E-2</v>
      </c>
    </row>
    <row r="241" spans="12:22" x14ac:dyDescent="0.2">
      <c r="L241" s="2" t="s">
        <v>1108</v>
      </c>
      <c r="M241" s="2">
        <v>69.08</v>
      </c>
      <c r="N241" s="11">
        <f t="shared" si="9"/>
        <v>-0.10726285861979834</v>
      </c>
      <c r="P241" s="2" t="s">
        <v>1108</v>
      </c>
      <c r="Q241" s="2">
        <v>316.39999999999998</v>
      </c>
      <c r="R241" s="11">
        <f t="shared" si="10"/>
        <v>3.2341936711268726E-3</v>
      </c>
      <c r="T241" s="2" t="s">
        <v>1108</v>
      </c>
      <c r="U241" s="2">
        <v>4151.93994140625</v>
      </c>
      <c r="V241" s="11">
        <f t="shared" si="11"/>
        <v>-7.7734016405583972E-4</v>
      </c>
    </row>
    <row r="242" spans="12:22" x14ac:dyDescent="0.2">
      <c r="L242" s="2" t="s">
        <v>1107</v>
      </c>
      <c r="M242" s="2">
        <v>73.61</v>
      </c>
      <c r="N242" s="11">
        <f t="shared" si="9"/>
        <v>6.5576143601621339E-2</v>
      </c>
      <c r="P242" s="2" t="s">
        <v>1107</v>
      </c>
      <c r="Q242" s="2">
        <v>317.8</v>
      </c>
      <c r="R242" s="11">
        <f t="shared" si="10"/>
        <v>4.4247787610620648E-3</v>
      </c>
      <c r="T242" s="2" t="s">
        <v>1107</v>
      </c>
      <c r="U242" s="2">
        <v>4145.18994140625</v>
      </c>
      <c r="V242" s="11">
        <f t="shared" si="11"/>
        <v>-1.6257460597355333E-3</v>
      </c>
    </row>
    <row r="243" spans="12:22" x14ac:dyDescent="0.2">
      <c r="L243" s="2" t="s">
        <v>1106</v>
      </c>
      <c r="M243" s="2">
        <v>74.14</v>
      </c>
      <c r="N243" s="11">
        <f t="shared" si="9"/>
        <v>7.2001086808857195E-3</v>
      </c>
      <c r="P243" s="2" t="s">
        <v>1106</v>
      </c>
      <c r="Q243" s="2">
        <v>316.24</v>
      </c>
      <c r="R243" s="11">
        <f t="shared" si="10"/>
        <v>-4.9087476400251351E-3</v>
      </c>
      <c r="T243" s="2" t="s">
        <v>1106</v>
      </c>
      <c r="U243" s="2">
        <v>4140.06005859375</v>
      </c>
      <c r="V243" s="11">
        <f t="shared" si="11"/>
        <v>-1.2375507238541195E-3</v>
      </c>
    </row>
    <row r="244" spans="12:22" x14ac:dyDescent="0.2">
      <c r="L244" s="2" t="s">
        <v>1105</v>
      </c>
      <c r="M244" s="2">
        <v>70.97</v>
      </c>
      <c r="N244" s="11">
        <f t="shared" si="9"/>
        <v>-4.2756946317777156E-2</v>
      </c>
      <c r="P244" s="2" t="s">
        <v>1105</v>
      </c>
      <c r="Q244" s="2">
        <v>306.55</v>
      </c>
      <c r="R244" s="11">
        <f t="shared" si="10"/>
        <v>-3.0641285099924143E-2</v>
      </c>
      <c r="T244" s="2" t="s">
        <v>1105</v>
      </c>
      <c r="U244" s="2">
        <v>4122.47021484375</v>
      </c>
      <c r="V244" s="11">
        <f t="shared" si="11"/>
        <v>-4.248692893594086E-3</v>
      </c>
    </row>
    <row r="245" spans="12:22" x14ac:dyDescent="0.2">
      <c r="L245" s="2" t="s">
        <v>1104</v>
      </c>
      <c r="M245" s="2">
        <v>75.569999999999993</v>
      </c>
      <c r="N245" s="11">
        <f t="shared" si="9"/>
        <v>6.4816119487107082E-2</v>
      </c>
      <c r="P245" s="2" t="s">
        <v>1104</v>
      </c>
      <c r="Q245" s="2">
        <v>319.26</v>
      </c>
      <c r="R245" s="11">
        <f t="shared" si="10"/>
        <v>4.1461425542325792E-2</v>
      </c>
      <c r="T245" s="2" t="s">
        <v>1104</v>
      </c>
      <c r="U245" s="2">
        <v>4210.240234375</v>
      </c>
      <c r="V245" s="11">
        <f t="shared" si="11"/>
        <v>2.1290637641290244E-2</v>
      </c>
    </row>
    <row r="246" spans="12:22" x14ac:dyDescent="0.2">
      <c r="L246" s="2" t="s">
        <v>1103</v>
      </c>
      <c r="M246" s="2">
        <v>76.8</v>
      </c>
      <c r="N246" s="11">
        <f t="shared" si="9"/>
        <v>1.6276300119094866E-2</v>
      </c>
      <c r="P246" s="2" t="s">
        <v>1103</v>
      </c>
      <c r="Q246" s="2">
        <v>316.98</v>
      </c>
      <c r="R246" s="11">
        <f t="shared" si="10"/>
        <v>-7.1415147528659517E-3</v>
      </c>
      <c r="T246" s="2" t="s">
        <v>1103</v>
      </c>
      <c r="U246" s="2">
        <v>4207.27001953125</v>
      </c>
      <c r="V246" s="11">
        <f t="shared" si="11"/>
        <v>-7.0547395835030002E-4</v>
      </c>
    </row>
    <row r="247" spans="12:22" x14ac:dyDescent="0.2">
      <c r="L247" s="2" t="s">
        <v>1102</v>
      </c>
      <c r="M247" s="2">
        <v>77.94</v>
      </c>
      <c r="N247" s="11">
        <f t="shared" si="9"/>
        <v>1.4843750000000044E-2</v>
      </c>
      <c r="P247" s="2" t="s">
        <v>1102</v>
      </c>
      <c r="Q247" s="2">
        <v>321.69</v>
      </c>
      <c r="R247" s="11">
        <f t="shared" si="10"/>
        <v>1.485898163922017E-2</v>
      </c>
      <c r="T247" s="2" t="s">
        <v>1102</v>
      </c>
      <c r="U247" s="2">
        <v>4280.14990234375</v>
      </c>
      <c r="V247" s="11">
        <f t="shared" si="11"/>
        <v>1.7322368774566943E-2</v>
      </c>
    </row>
    <row r="248" spans="12:22" x14ac:dyDescent="0.2">
      <c r="L248" s="2" t="s">
        <v>1101</v>
      </c>
      <c r="M248" s="2">
        <v>78.83</v>
      </c>
      <c r="N248" s="11">
        <f t="shared" si="9"/>
        <v>1.1419040287400595E-2</v>
      </c>
      <c r="P248" s="2" t="s">
        <v>1101</v>
      </c>
      <c r="Q248" s="2">
        <v>330.34</v>
      </c>
      <c r="R248" s="11">
        <f t="shared" si="10"/>
        <v>2.6889241194939073E-2</v>
      </c>
      <c r="T248" s="2" t="s">
        <v>1101</v>
      </c>
      <c r="U248" s="2">
        <v>4297.14013671875</v>
      </c>
      <c r="V248" s="11">
        <f t="shared" si="11"/>
        <v>3.9695418998517695E-3</v>
      </c>
    </row>
    <row r="249" spans="12:22" x14ac:dyDescent="0.2">
      <c r="L249" s="2" t="s">
        <v>1100</v>
      </c>
      <c r="M249" s="2">
        <v>79.16</v>
      </c>
      <c r="N249" s="11">
        <f t="shared" si="9"/>
        <v>4.1862235189649155E-3</v>
      </c>
      <c r="P249" s="2" t="s">
        <v>1100</v>
      </c>
      <c r="Q249" s="2">
        <v>331.7</v>
      </c>
      <c r="R249" s="11">
        <f t="shared" si="10"/>
        <v>4.1169703941394964E-3</v>
      </c>
      <c r="T249" s="2" t="s">
        <v>1100</v>
      </c>
      <c r="U249" s="2">
        <v>4305.2001953125</v>
      </c>
      <c r="V249" s="11">
        <f t="shared" si="11"/>
        <v>1.8756797165810912E-3</v>
      </c>
    </row>
    <row r="250" spans="12:22" x14ac:dyDescent="0.2">
      <c r="L250" s="2" t="s">
        <v>1099</v>
      </c>
      <c r="M250" s="2">
        <v>76.75</v>
      </c>
      <c r="N250" s="11">
        <f t="shared" si="9"/>
        <v>-3.0444669024759952E-2</v>
      </c>
      <c r="P250" s="2" t="s">
        <v>1099</v>
      </c>
      <c r="Q250" s="2">
        <v>329.8</v>
      </c>
      <c r="R250" s="11">
        <f t="shared" si="10"/>
        <v>-5.7280675309013818E-3</v>
      </c>
      <c r="T250" s="2" t="s">
        <v>1099</v>
      </c>
      <c r="U250" s="2">
        <v>4274.0400390625</v>
      </c>
      <c r="V250" s="11">
        <f t="shared" si="11"/>
        <v>-7.2377949540946007E-3</v>
      </c>
    </row>
    <row r="251" spans="12:22" x14ac:dyDescent="0.2">
      <c r="L251" s="2" t="s">
        <v>1098</v>
      </c>
      <c r="M251" s="2">
        <v>76.92</v>
      </c>
      <c r="N251" s="11">
        <f t="shared" si="9"/>
        <v>2.2149837133551564E-3</v>
      </c>
      <c r="P251" s="2" t="s">
        <v>1098</v>
      </c>
      <c r="Q251" s="2">
        <v>333.42</v>
      </c>
      <c r="R251" s="11">
        <f t="shared" si="10"/>
        <v>1.0976349302607602E-2</v>
      </c>
      <c r="T251" s="2" t="s">
        <v>1098</v>
      </c>
      <c r="U251" s="2">
        <v>4283.740234375</v>
      </c>
      <c r="V251" s="11">
        <f t="shared" si="11"/>
        <v>2.2695611701915031E-3</v>
      </c>
    </row>
    <row r="252" spans="12:22" x14ac:dyDescent="0.2">
      <c r="L252" s="2" t="s">
        <v>1097</v>
      </c>
      <c r="M252" s="2">
        <v>72.849999999999994</v>
      </c>
      <c r="N252" s="11">
        <f t="shared" si="9"/>
        <v>-5.2912116484659433E-2</v>
      </c>
      <c r="P252" s="2" t="s">
        <v>1097</v>
      </c>
      <c r="Q252" s="2">
        <v>322.47000000000003</v>
      </c>
      <c r="R252" s="11">
        <f t="shared" si="10"/>
        <v>-3.2841461220082691E-2</v>
      </c>
      <c r="T252" s="2" t="s">
        <v>1097</v>
      </c>
      <c r="U252" s="2">
        <v>4228.47998046875</v>
      </c>
      <c r="V252" s="11">
        <f t="shared" si="11"/>
        <v>-1.2900001139847905E-2</v>
      </c>
    </row>
    <row r="253" spans="12:22" x14ac:dyDescent="0.2">
      <c r="L253" s="2" t="s">
        <v>1096</v>
      </c>
      <c r="M253" s="2">
        <v>72.430000000000007</v>
      </c>
      <c r="N253" s="11">
        <f t="shared" si="9"/>
        <v>-5.765271105010128E-3</v>
      </c>
      <c r="P253" s="2" t="s">
        <v>1096</v>
      </c>
      <c r="Q253" s="2">
        <v>315.22000000000003</v>
      </c>
      <c r="R253" s="11">
        <f t="shared" si="10"/>
        <v>-2.2482711570068536E-2</v>
      </c>
      <c r="T253" s="2" t="s">
        <v>1096</v>
      </c>
      <c r="U253" s="2">
        <v>4137.990234375</v>
      </c>
      <c r="V253" s="11">
        <f t="shared" si="11"/>
        <v>-2.14000649197158E-2</v>
      </c>
    </row>
    <row r="254" spans="12:22" x14ac:dyDescent="0.2">
      <c r="L254" s="2" t="s">
        <v>1095</v>
      </c>
      <c r="M254" s="2">
        <v>73.930000000000007</v>
      </c>
      <c r="N254" s="11">
        <f t="shared" si="9"/>
        <v>2.0709650697224857E-2</v>
      </c>
      <c r="P254" s="2" t="s">
        <v>1095</v>
      </c>
      <c r="Q254" s="2">
        <v>315.93</v>
      </c>
      <c r="R254" s="11">
        <f t="shared" si="10"/>
        <v>2.2523951525916797E-3</v>
      </c>
      <c r="T254" s="2" t="s">
        <v>1095</v>
      </c>
      <c r="U254" s="2">
        <v>4128.72998046875</v>
      </c>
      <c r="V254" s="11">
        <f t="shared" si="11"/>
        <v>-2.2378626777133093E-3</v>
      </c>
    </row>
    <row r="255" spans="12:22" x14ac:dyDescent="0.2">
      <c r="L255" s="2" t="s">
        <v>1094</v>
      </c>
      <c r="M255" s="2">
        <v>76.69</v>
      </c>
      <c r="N255" s="11">
        <f t="shared" si="9"/>
        <v>3.7332611930204207E-2</v>
      </c>
      <c r="P255" s="2" t="s">
        <v>1094</v>
      </c>
      <c r="Q255" s="2">
        <v>317.83999999999997</v>
      </c>
      <c r="R255" s="11">
        <f t="shared" si="10"/>
        <v>6.0456430221884627E-3</v>
      </c>
      <c r="T255" s="2" t="s">
        <v>1094</v>
      </c>
      <c r="U255" s="2">
        <v>4140.77001953125</v>
      </c>
      <c r="V255" s="11">
        <f t="shared" si="11"/>
        <v>2.9161604463010526E-3</v>
      </c>
    </row>
    <row r="256" spans="12:22" x14ac:dyDescent="0.2">
      <c r="L256" s="2" t="s">
        <v>1093</v>
      </c>
      <c r="M256" s="2">
        <v>81.010000000000005</v>
      </c>
      <c r="N256" s="11">
        <f t="shared" si="9"/>
        <v>5.6330681966358265E-2</v>
      </c>
      <c r="P256" s="2" t="s">
        <v>1093</v>
      </c>
      <c r="Q256" s="2">
        <v>323.36</v>
      </c>
      <c r="R256" s="11">
        <f t="shared" si="10"/>
        <v>1.7367228794362033E-2</v>
      </c>
      <c r="T256" s="2" t="s">
        <v>1093</v>
      </c>
      <c r="U256" s="2">
        <v>4199.1201171875</v>
      </c>
      <c r="V256" s="11">
        <f t="shared" si="11"/>
        <v>1.4091605518061545E-2</v>
      </c>
    </row>
    <row r="257" spans="12:22" x14ac:dyDescent="0.2">
      <c r="L257" s="2" t="s">
        <v>1092</v>
      </c>
      <c r="M257" s="2">
        <v>77.11</v>
      </c>
      <c r="N257" s="11">
        <f t="shared" si="9"/>
        <v>-4.8142204666090649E-2</v>
      </c>
      <c r="P257" s="2" t="s">
        <v>1092</v>
      </c>
      <c r="Q257" s="2">
        <v>311.31</v>
      </c>
      <c r="R257" s="11">
        <f t="shared" si="10"/>
        <v>-3.7264967837704166E-2</v>
      </c>
      <c r="T257" s="2" t="s">
        <v>1092</v>
      </c>
      <c r="U257" s="2">
        <v>4057.659912109375</v>
      </c>
      <c r="V257" s="11">
        <f t="shared" si="11"/>
        <v>-3.3688058719518743E-2</v>
      </c>
    </row>
    <row r="258" spans="12:22" x14ac:dyDescent="0.2">
      <c r="L258" s="2" t="s">
        <v>1091</v>
      </c>
      <c r="M258" s="2">
        <v>74.86</v>
      </c>
      <c r="N258" s="11">
        <f t="shared" si="9"/>
        <v>-2.9179094799636873E-2</v>
      </c>
      <c r="P258" s="2" t="s">
        <v>1091</v>
      </c>
      <c r="Q258" s="2">
        <v>307.5</v>
      </c>
      <c r="R258" s="11">
        <f t="shared" si="10"/>
        <v>-1.2238604606340964E-2</v>
      </c>
      <c r="T258" s="2" t="s">
        <v>1091</v>
      </c>
      <c r="U258" s="2">
        <v>4030.610107421875</v>
      </c>
      <c r="V258" s="11">
        <f t="shared" si="11"/>
        <v>-6.666355799502699E-3</v>
      </c>
    </row>
    <row r="259" spans="12:22" x14ac:dyDescent="0.2">
      <c r="L259" s="2" t="s">
        <v>1090</v>
      </c>
      <c r="M259" s="2">
        <v>73.78</v>
      </c>
      <c r="N259" s="11">
        <f t="shared" si="9"/>
        <v>-1.4426930269836991E-2</v>
      </c>
      <c r="P259" s="2" t="s">
        <v>1090</v>
      </c>
      <c r="Q259" s="2">
        <v>307.07</v>
      </c>
      <c r="R259" s="11">
        <f t="shared" si="10"/>
        <v>-1.3983739837398756E-3</v>
      </c>
      <c r="T259" s="2" t="s">
        <v>1090</v>
      </c>
      <c r="U259" s="2">
        <v>3986.159912109375</v>
      </c>
      <c r="V259" s="11">
        <f t="shared" si="11"/>
        <v>-1.1028155571448206E-2</v>
      </c>
    </row>
    <row r="260" spans="12:22" x14ac:dyDescent="0.2">
      <c r="L260" s="2" t="s">
        <v>1089</v>
      </c>
      <c r="M260" s="2">
        <v>73.7</v>
      </c>
      <c r="N260" s="11">
        <f t="shared" si="9"/>
        <v>-1.0843046896177322E-3</v>
      </c>
      <c r="P260" s="2" t="s">
        <v>1089</v>
      </c>
      <c r="Q260" s="2">
        <v>299.95999999999998</v>
      </c>
      <c r="R260" s="11">
        <f t="shared" si="10"/>
        <v>-2.3154329631680071E-2</v>
      </c>
      <c r="T260" s="2" t="s">
        <v>1089</v>
      </c>
      <c r="U260" s="2">
        <v>3955</v>
      </c>
      <c r="V260" s="11">
        <f t="shared" si="11"/>
        <v>-7.8170251059712648E-3</v>
      </c>
    </row>
    <row r="261" spans="12:22" x14ac:dyDescent="0.2">
      <c r="L261" s="2" t="s">
        <v>1088</v>
      </c>
      <c r="M261" s="2">
        <v>73.02</v>
      </c>
      <c r="N261" s="11">
        <f t="shared" si="9"/>
        <v>-9.2265943012213025E-3</v>
      </c>
      <c r="P261" s="2" t="s">
        <v>1088</v>
      </c>
      <c r="Q261" s="2">
        <v>294.45</v>
      </c>
      <c r="R261" s="11">
        <f t="shared" si="10"/>
        <v>-1.8369115882117537E-2</v>
      </c>
      <c r="T261" s="2" t="s">
        <v>1088</v>
      </c>
      <c r="U261" s="2">
        <v>3966.85009765625</v>
      </c>
      <c r="V261" s="11">
        <f t="shared" si="11"/>
        <v>2.9962320243361873E-3</v>
      </c>
    </row>
    <row r="262" spans="12:22" x14ac:dyDescent="0.2">
      <c r="L262" s="2" t="s">
        <v>1087</v>
      </c>
      <c r="M262" s="2">
        <v>71</v>
      </c>
      <c r="N262" s="11">
        <f t="shared" ref="N262:N325" si="12">+M262/M261-1</f>
        <v>-2.7663653793481235E-2</v>
      </c>
      <c r="P262" s="2" t="s">
        <v>1087</v>
      </c>
      <c r="Q262" s="2">
        <v>314.17</v>
      </c>
      <c r="R262" s="11">
        <f t="shared" ref="R262:R325" si="13">+Q262/Q261-1</f>
        <v>6.697232127695707E-2</v>
      </c>
      <c r="T262" s="2" t="s">
        <v>1087</v>
      </c>
      <c r="U262" s="2">
        <v>3924.260009765625</v>
      </c>
      <c r="V262" s="11">
        <f t="shared" ref="V262:V325" si="14">+U262/U261-1</f>
        <v>-1.0736500458081055E-2</v>
      </c>
    </row>
    <row r="263" spans="12:22" x14ac:dyDescent="0.2">
      <c r="L263" s="2" t="s">
        <v>1086</v>
      </c>
      <c r="M263" s="2">
        <v>71.94</v>
      </c>
      <c r="N263" s="11">
        <f t="shared" si="12"/>
        <v>1.3239436619718381E-2</v>
      </c>
      <c r="P263" s="2" t="s">
        <v>1086</v>
      </c>
      <c r="Q263" s="2">
        <v>327.81</v>
      </c>
      <c r="R263" s="11">
        <f t="shared" si="13"/>
        <v>4.3415984976286737E-2</v>
      </c>
      <c r="T263" s="2" t="s">
        <v>1086</v>
      </c>
      <c r="U263" s="2">
        <v>3908.18994140625</v>
      </c>
      <c r="V263" s="11">
        <f t="shared" si="14"/>
        <v>-4.0950569838349438E-3</v>
      </c>
    </row>
    <row r="264" spans="12:22" x14ac:dyDescent="0.2">
      <c r="L264" s="2" t="s">
        <v>1085</v>
      </c>
      <c r="M264" s="2">
        <v>76.33</v>
      </c>
      <c r="N264" s="11">
        <f t="shared" si="12"/>
        <v>6.1023074784542608E-2</v>
      </c>
      <c r="P264" s="2" t="s">
        <v>1085</v>
      </c>
      <c r="Q264" s="2">
        <v>336.87</v>
      </c>
      <c r="R264" s="11">
        <f t="shared" si="13"/>
        <v>2.7637961014002066E-2</v>
      </c>
      <c r="T264" s="2" t="s">
        <v>1085</v>
      </c>
      <c r="U264" s="2">
        <v>3979.8701171875</v>
      </c>
      <c r="V264" s="11">
        <f t="shared" si="14"/>
        <v>1.8341016392734E-2</v>
      </c>
    </row>
    <row r="265" spans="12:22" x14ac:dyDescent="0.2">
      <c r="L265" s="2" t="s">
        <v>1084</v>
      </c>
      <c r="M265" s="2">
        <v>78.55</v>
      </c>
      <c r="N265" s="11">
        <f t="shared" si="12"/>
        <v>2.9084239486440344E-2</v>
      </c>
      <c r="P265" s="2" t="s">
        <v>1084</v>
      </c>
      <c r="Q265" s="2">
        <v>345.79</v>
      </c>
      <c r="R265" s="11">
        <f t="shared" si="13"/>
        <v>2.6479057203075307E-2</v>
      </c>
      <c r="T265" s="2" t="s">
        <v>1084</v>
      </c>
      <c r="U265" s="2">
        <v>4006.179931640625</v>
      </c>
      <c r="V265" s="11">
        <f t="shared" si="14"/>
        <v>6.6107218774560383E-3</v>
      </c>
    </row>
    <row r="266" spans="12:22" x14ac:dyDescent="0.2">
      <c r="L266" s="2" t="s">
        <v>1083</v>
      </c>
      <c r="M266" s="2">
        <v>80.62</v>
      </c>
      <c r="N266" s="11">
        <f t="shared" si="12"/>
        <v>2.6352641629535434E-2</v>
      </c>
      <c r="P266" s="2" t="s">
        <v>1083</v>
      </c>
      <c r="Q266" s="2">
        <v>348.65</v>
      </c>
      <c r="R266" s="11">
        <f t="shared" si="13"/>
        <v>8.2709158737961364E-3</v>
      </c>
      <c r="T266" s="2" t="s">
        <v>1083</v>
      </c>
      <c r="U266" s="2">
        <v>4067.360107421875</v>
      </c>
      <c r="V266" s="11">
        <f t="shared" si="14"/>
        <v>1.5271449816332883E-2</v>
      </c>
    </row>
    <row r="267" spans="12:22" x14ac:dyDescent="0.2">
      <c r="L267" s="2" t="s">
        <v>1082</v>
      </c>
      <c r="M267" s="2">
        <v>83.59</v>
      </c>
      <c r="N267" s="11">
        <f t="shared" si="12"/>
        <v>3.6839493922103728E-2</v>
      </c>
      <c r="P267" s="2" t="s">
        <v>1082</v>
      </c>
      <c r="Q267" s="2">
        <v>352.74</v>
      </c>
      <c r="R267" s="11">
        <f t="shared" si="13"/>
        <v>1.1730962283092117E-2</v>
      </c>
      <c r="T267" s="2" t="s">
        <v>1082</v>
      </c>
      <c r="U267" s="2">
        <v>4110.41015625</v>
      </c>
      <c r="V267" s="11">
        <f t="shared" si="14"/>
        <v>1.0584272769349701E-2</v>
      </c>
    </row>
    <row r="268" spans="12:22" x14ac:dyDescent="0.2">
      <c r="L268" s="2" t="s">
        <v>1081</v>
      </c>
      <c r="M268" s="2">
        <v>75.39</v>
      </c>
      <c r="N268" s="11">
        <f t="shared" si="12"/>
        <v>-9.8097858595525778E-2</v>
      </c>
      <c r="P268" s="2" t="s">
        <v>1081</v>
      </c>
      <c r="Q268" s="2">
        <v>337.32</v>
      </c>
      <c r="R268" s="11">
        <f t="shared" si="13"/>
        <v>-4.3714917502976736E-2</v>
      </c>
      <c r="T268" s="2" t="s">
        <v>1081</v>
      </c>
      <c r="U268" s="2">
        <v>3932.68994140625</v>
      </c>
      <c r="V268" s="11">
        <f t="shared" si="14"/>
        <v>-4.3236613400616797E-2</v>
      </c>
    </row>
    <row r="269" spans="12:22" x14ac:dyDescent="0.2">
      <c r="L269" s="2" t="s">
        <v>1080</v>
      </c>
      <c r="M269" s="2">
        <v>76.42</v>
      </c>
      <c r="N269" s="11">
        <f t="shared" si="12"/>
        <v>1.3662289428306051E-2</v>
      </c>
      <c r="P269" s="2" t="s">
        <v>1080</v>
      </c>
      <c r="Q269" s="2">
        <v>342.92</v>
      </c>
      <c r="R269" s="11">
        <f t="shared" si="13"/>
        <v>1.6601446697497968E-2</v>
      </c>
      <c r="T269" s="2" t="s">
        <v>1080</v>
      </c>
      <c r="U269" s="2">
        <v>3946.010009765625</v>
      </c>
      <c r="V269" s="11">
        <f t="shared" si="14"/>
        <v>3.3870120853238816E-3</v>
      </c>
    </row>
    <row r="270" spans="12:22" x14ac:dyDescent="0.2">
      <c r="L270" s="2" t="s">
        <v>1079</v>
      </c>
      <c r="M270" s="2">
        <v>77.41</v>
      </c>
      <c r="N270" s="11">
        <f t="shared" si="12"/>
        <v>1.2954723894268438E-2</v>
      </c>
      <c r="P270" s="2" t="s">
        <v>1079</v>
      </c>
      <c r="Q270" s="2">
        <v>338.6</v>
      </c>
      <c r="R270" s="11">
        <f t="shared" si="13"/>
        <v>-1.2597690423422403E-2</v>
      </c>
      <c r="T270" s="2" t="s">
        <v>1079</v>
      </c>
      <c r="U270" s="2">
        <v>3901.35009765625</v>
      </c>
      <c r="V270" s="11">
        <f t="shared" si="14"/>
        <v>-1.1317739184353415E-2</v>
      </c>
    </row>
    <row r="271" spans="12:22" x14ac:dyDescent="0.2">
      <c r="L271" s="2" t="s">
        <v>1078</v>
      </c>
      <c r="M271" s="2">
        <v>76.150000000000006</v>
      </c>
      <c r="N271" s="11">
        <f t="shared" si="12"/>
        <v>-1.6276966800154891E-2</v>
      </c>
      <c r="P271" s="2" t="s">
        <v>1078</v>
      </c>
      <c r="Q271" s="2">
        <v>333.24</v>
      </c>
      <c r="R271" s="11">
        <f t="shared" si="13"/>
        <v>-1.5829887773183726E-2</v>
      </c>
      <c r="T271" s="2" t="s">
        <v>1078</v>
      </c>
      <c r="U271" s="2">
        <v>3873.330078125</v>
      </c>
      <c r="V271" s="11">
        <f t="shared" si="14"/>
        <v>-7.1821340894484553E-3</v>
      </c>
    </row>
    <row r="272" spans="12:22" x14ac:dyDescent="0.2">
      <c r="L272" s="2" t="s">
        <v>1077</v>
      </c>
      <c r="M272" s="2">
        <v>78.41</v>
      </c>
      <c r="N272" s="11">
        <f t="shared" si="12"/>
        <v>2.9678266579119983E-2</v>
      </c>
      <c r="P272" s="2" t="s">
        <v>1077</v>
      </c>
      <c r="Q272" s="2">
        <v>337.08</v>
      </c>
      <c r="R272" s="11">
        <f t="shared" si="13"/>
        <v>1.1523226503420858E-2</v>
      </c>
      <c r="T272" s="2" t="s">
        <v>1077</v>
      </c>
      <c r="U272" s="2">
        <v>3899.889892578125</v>
      </c>
      <c r="V272" s="11">
        <f t="shared" si="14"/>
        <v>6.8571007162865349E-3</v>
      </c>
    </row>
    <row r="273" spans="12:22" x14ac:dyDescent="0.2">
      <c r="L273" s="2" t="s">
        <v>1076</v>
      </c>
      <c r="M273" s="2">
        <v>77.290000000000006</v>
      </c>
      <c r="N273" s="11">
        <f t="shared" si="12"/>
        <v>-1.4283892360668182E-2</v>
      </c>
      <c r="P273" s="2" t="s">
        <v>1076</v>
      </c>
      <c r="Q273" s="2">
        <v>331.57</v>
      </c>
      <c r="R273" s="11">
        <f t="shared" si="13"/>
        <v>-1.634626794826155E-2</v>
      </c>
      <c r="T273" s="2" t="s">
        <v>1076</v>
      </c>
      <c r="U273" s="2">
        <v>3855.929931640625</v>
      </c>
      <c r="V273" s="11">
        <f t="shared" si="14"/>
        <v>-1.1272103097361819E-2</v>
      </c>
    </row>
    <row r="274" spans="12:22" x14ac:dyDescent="0.2">
      <c r="L274" s="2" t="s">
        <v>1075</v>
      </c>
      <c r="M274" s="2">
        <v>74.78</v>
      </c>
      <c r="N274" s="11">
        <f t="shared" si="12"/>
        <v>-3.2475093802561861E-2</v>
      </c>
      <c r="P274" s="2" t="s">
        <v>1075</v>
      </c>
      <c r="Q274" s="2">
        <v>318.12</v>
      </c>
      <c r="R274" s="11">
        <f t="shared" si="13"/>
        <v>-4.0564586663449642E-2</v>
      </c>
      <c r="T274" s="2" t="s">
        <v>1075</v>
      </c>
      <c r="U274" s="2">
        <v>3789.929931640625</v>
      </c>
      <c r="V274" s="11">
        <f t="shared" si="14"/>
        <v>-1.7116493600784488E-2</v>
      </c>
    </row>
    <row r="275" spans="12:22" x14ac:dyDescent="0.2">
      <c r="L275" s="2" t="s">
        <v>1074</v>
      </c>
      <c r="M275" s="2">
        <v>68.78</v>
      </c>
      <c r="N275" s="11">
        <f t="shared" si="12"/>
        <v>-8.0235357047338862E-2</v>
      </c>
      <c r="P275" s="2" t="s">
        <v>1074</v>
      </c>
      <c r="Q275" s="2">
        <v>306.3</v>
      </c>
      <c r="R275" s="11">
        <f t="shared" si="13"/>
        <v>-3.7155790267823452E-2</v>
      </c>
      <c r="T275" s="2" t="s">
        <v>1074</v>
      </c>
      <c r="U275" s="2">
        <v>3757.989990234375</v>
      </c>
      <c r="V275" s="11">
        <f t="shared" si="14"/>
        <v>-8.4275809796894308E-3</v>
      </c>
    </row>
    <row r="276" spans="12:22" x14ac:dyDescent="0.2">
      <c r="L276" s="2" t="s">
        <v>1073</v>
      </c>
      <c r="M276" s="2">
        <v>66.709999999999994</v>
      </c>
      <c r="N276" s="11">
        <f t="shared" si="12"/>
        <v>-3.0095958127362765E-2</v>
      </c>
      <c r="P276" s="2" t="s">
        <v>1073</v>
      </c>
      <c r="Q276" s="2">
        <v>293.2</v>
      </c>
      <c r="R276" s="11">
        <f t="shared" si="13"/>
        <v>-4.2768527587332739E-2</v>
      </c>
      <c r="T276" s="2" t="s">
        <v>1073</v>
      </c>
      <c r="U276" s="2">
        <v>3693.22998046875</v>
      </c>
      <c r="V276" s="11">
        <f t="shared" si="14"/>
        <v>-1.7232619015461026E-2</v>
      </c>
    </row>
    <row r="277" spans="12:22" x14ac:dyDescent="0.2">
      <c r="L277" s="2" t="s">
        <v>1072</v>
      </c>
      <c r="M277" s="2">
        <v>65.599999999999994</v>
      </c>
      <c r="N277" s="11">
        <f t="shared" si="12"/>
        <v>-1.6639184530055418E-2</v>
      </c>
      <c r="P277" s="2" t="s">
        <v>1072</v>
      </c>
      <c r="Q277" s="2">
        <v>294.66000000000003</v>
      </c>
      <c r="R277" s="11">
        <f t="shared" si="13"/>
        <v>4.9795361527968929E-3</v>
      </c>
      <c r="T277" s="2" t="s">
        <v>1072</v>
      </c>
      <c r="U277" s="2">
        <v>3655.0400390625</v>
      </c>
      <c r="V277" s="11">
        <f t="shared" si="14"/>
        <v>-1.0340526208282075E-2</v>
      </c>
    </row>
    <row r="278" spans="12:22" x14ac:dyDescent="0.2">
      <c r="L278" s="2" t="s">
        <v>1071</v>
      </c>
      <c r="M278" s="2">
        <v>68.95</v>
      </c>
      <c r="N278" s="11">
        <f t="shared" si="12"/>
        <v>5.1067073170731891E-2</v>
      </c>
      <c r="P278" s="2" t="s">
        <v>1071</v>
      </c>
      <c r="Q278" s="2">
        <v>299.19</v>
      </c>
      <c r="R278" s="11">
        <f t="shared" si="13"/>
        <v>1.5373650987578813E-2</v>
      </c>
      <c r="T278" s="2" t="s">
        <v>1071</v>
      </c>
      <c r="U278" s="2">
        <v>3647.2900390625</v>
      </c>
      <c r="V278" s="11">
        <f t="shared" si="14"/>
        <v>-2.1203598092424114E-3</v>
      </c>
    </row>
    <row r="279" spans="12:22" x14ac:dyDescent="0.2">
      <c r="L279" s="2" t="s">
        <v>1070</v>
      </c>
      <c r="M279" s="2">
        <v>72.239999999999995</v>
      </c>
      <c r="N279" s="11">
        <f t="shared" si="12"/>
        <v>4.771573604060908E-2</v>
      </c>
      <c r="P279" s="2" t="s">
        <v>1070</v>
      </c>
      <c r="Q279" s="2">
        <v>309.33999999999997</v>
      </c>
      <c r="R279" s="11">
        <f t="shared" si="13"/>
        <v>3.39249306460776E-2</v>
      </c>
      <c r="T279" s="2" t="s">
        <v>1070</v>
      </c>
      <c r="U279" s="2">
        <v>3719.0400390625</v>
      </c>
      <c r="V279" s="11">
        <f t="shared" si="14"/>
        <v>1.9672139926234733E-2</v>
      </c>
    </row>
    <row r="280" spans="12:22" x14ac:dyDescent="0.2">
      <c r="L280" s="2" t="s">
        <v>1069</v>
      </c>
      <c r="M280" s="2">
        <v>71.599999999999994</v>
      </c>
      <c r="N280" s="11">
        <f t="shared" si="12"/>
        <v>-8.8593576965669829E-3</v>
      </c>
      <c r="P280" s="2" t="s">
        <v>1069</v>
      </c>
      <c r="Q280" s="2">
        <v>300.22000000000003</v>
      </c>
      <c r="R280" s="11">
        <f t="shared" si="13"/>
        <v>-2.9482123230102686E-2</v>
      </c>
      <c r="T280" s="2" t="s">
        <v>1069</v>
      </c>
      <c r="U280" s="2">
        <v>3640.469970703125</v>
      </c>
      <c r="V280" s="11">
        <f t="shared" si="14"/>
        <v>-2.1126437880238824E-2</v>
      </c>
    </row>
    <row r="281" spans="12:22" x14ac:dyDescent="0.2">
      <c r="L281" s="2" t="s">
        <v>1068</v>
      </c>
      <c r="M281" s="2">
        <v>68.66</v>
      </c>
      <c r="N281" s="11">
        <f t="shared" si="12"/>
        <v>-4.1061452513966423E-2</v>
      </c>
      <c r="P281" s="2" t="s">
        <v>1068</v>
      </c>
      <c r="Q281" s="2">
        <v>279.56</v>
      </c>
      <c r="R281" s="11">
        <f t="shared" si="13"/>
        <v>-6.8816201452268411E-2</v>
      </c>
      <c r="T281" s="2" t="s">
        <v>1068</v>
      </c>
      <c r="U281" s="2">
        <v>3585.6201171875</v>
      </c>
      <c r="V281" s="11">
        <f t="shared" si="14"/>
        <v>-1.5066695771983274E-2</v>
      </c>
    </row>
    <row r="282" spans="12:22" x14ac:dyDescent="0.2">
      <c r="L282" s="2" t="s">
        <v>1067</v>
      </c>
      <c r="M282" s="2">
        <v>72.36</v>
      </c>
      <c r="N282" s="11">
        <f t="shared" si="12"/>
        <v>5.388872706087966E-2</v>
      </c>
      <c r="P282" s="2" t="s">
        <v>1067</v>
      </c>
      <c r="Q282" s="2">
        <v>292.10000000000002</v>
      </c>
      <c r="R282" s="11">
        <f t="shared" si="13"/>
        <v>4.4856202604092177E-2</v>
      </c>
      <c r="T282" s="2" t="s">
        <v>1067</v>
      </c>
      <c r="U282" s="2">
        <v>3678.429931640625</v>
      </c>
      <c r="V282" s="11">
        <f t="shared" si="14"/>
        <v>2.5883894952576147E-2</v>
      </c>
    </row>
    <row r="283" spans="12:22" x14ac:dyDescent="0.2">
      <c r="L283" s="2" t="s">
        <v>1066</v>
      </c>
      <c r="M283" s="2">
        <v>77.48</v>
      </c>
      <c r="N283" s="11">
        <f t="shared" si="12"/>
        <v>7.0757324488667894E-2</v>
      </c>
      <c r="P283" s="2" t="s">
        <v>1066</v>
      </c>
      <c r="Q283" s="2">
        <v>307.8</v>
      </c>
      <c r="R283" s="11">
        <f t="shared" si="13"/>
        <v>5.3748716193084523E-2</v>
      </c>
      <c r="T283" s="2" t="s">
        <v>1066</v>
      </c>
      <c r="U283" s="2">
        <v>3790.929931640625</v>
      </c>
      <c r="V283" s="11">
        <f t="shared" si="14"/>
        <v>3.0583700679551518E-2</v>
      </c>
    </row>
    <row r="284" spans="12:22" x14ac:dyDescent="0.2">
      <c r="L284" s="2" t="s">
        <v>1065</v>
      </c>
      <c r="M284" s="2">
        <v>79.23</v>
      </c>
      <c r="N284" s="11">
        <f t="shared" si="12"/>
        <v>2.258647392875579E-2</v>
      </c>
      <c r="P284" s="2" t="s">
        <v>1065</v>
      </c>
      <c r="Q284" s="2">
        <v>310.05</v>
      </c>
      <c r="R284" s="11">
        <f t="shared" si="13"/>
        <v>7.309941520467822E-3</v>
      </c>
      <c r="T284" s="2" t="s">
        <v>1065</v>
      </c>
      <c r="U284" s="2">
        <v>3783.280029296875</v>
      </c>
      <c r="V284" s="11">
        <f t="shared" si="14"/>
        <v>-2.0179487570848309E-3</v>
      </c>
    </row>
    <row r="285" spans="12:22" x14ac:dyDescent="0.2">
      <c r="L285" s="2" t="s">
        <v>1064</v>
      </c>
      <c r="M285" s="2">
        <v>78.599999999999994</v>
      </c>
      <c r="N285" s="11">
        <f t="shared" si="12"/>
        <v>-7.9515335100341922E-3</v>
      </c>
      <c r="P285" s="2" t="s">
        <v>1064</v>
      </c>
      <c r="Q285" s="2">
        <v>310.48</v>
      </c>
      <c r="R285" s="11">
        <f t="shared" si="13"/>
        <v>1.3868730849864175E-3</v>
      </c>
      <c r="T285" s="2" t="s">
        <v>1064</v>
      </c>
      <c r="U285" s="2">
        <v>3744.52001953125</v>
      </c>
      <c r="V285" s="11">
        <f t="shared" si="14"/>
        <v>-1.0245080846639998E-2</v>
      </c>
    </row>
    <row r="286" spans="12:22" x14ac:dyDescent="0.2">
      <c r="L286" s="2" t="s">
        <v>1063</v>
      </c>
      <c r="M286" s="2">
        <v>76.64</v>
      </c>
      <c r="N286" s="11">
        <f t="shared" si="12"/>
        <v>-2.4936386768447782E-2</v>
      </c>
      <c r="P286" s="2" t="s">
        <v>1063</v>
      </c>
      <c r="Q286" s="2">
        <v>298.22000000000003</v>
      </c>
      <c r="R286" s="11">
        <f t="shared" si="13"/>
        <v>-3.9487245555269279E-2</v>
      </c>
      <c r="T286" s="2" t="s">
        <v>1063</v>
      </c>
      <c r="U286" s="2">
        <v>3639.659912109375</v>
      </c>
      <c r="V286" s="11">
        <f t="shared" si="14"/>
        <v>-2.8003617786773516E-2</v>
      </c>
    </row>
    <row r="287" spans="12:22" x14ac:dyDescent="0.2">
      <c r="L287" s="2" t="s">
        <v>1062</v>
      </c>
      <c r="M287" s="2">
        <v>73.67</v>
      </c>
      <c r="N287" s="11">
        <f t="shared" si="12"/>
        <v>-3.875260960334026E-2</v>
      </c>
      <c r="P287" s="2" t="s">
        <v>1062</v>
      </c>
      <c r="Q287" s="2">
        <v>289.85000000000002</v>
      </c>
      <c r="R287" s="11">
        <f t="shared" si="13"/>
        <v>-2.8066528066528096E-2</v>
      </c>
      <c r="T287" s="2" t="s">
        <v>1062</v>
      </c>
      <c r="U287" s="2">
        <v>3612.389892578125</v>
      </c>
      <c r="V287" s="11">
        <f t="shared" si="14"/>
        <v>-7.4924636339018802E-3</v>
      </c>
    </row>
    <row r="288" spans="12:22" x14ac:dyDescent="0.2">
      <c r="L288" s="2" t="s">
        <v>1061</v>
      </c>
      <c r="M288" s="2">
        <v>76.260000000000005</v>
      </c>
      <c r="N288" s="11">
        <f t="shared" si="12"/>
        <v>3.5156780236188512E-2</v>
      </c>
      <c r="P288" s="2" t="s">
        <v>1061</v>
      </c>
      <c r="Q288" s="2">
        <v>295.68</v>
      </c>
      <c r="R288" s="11">
        <f t="shared" si="13"/>
        <v>2.0113851992409781E-2</v>
      </c>
      <c r="T288" s="2" t="s">
        <v>1061</v>
      </c>
      <c r="U288" s="2">
        <v>3588.840087890625</v>
      </c>
      <c r="V288" s="11">
        <f t="shared" si="14"/>
        <v>-6.5191757777544046E-3</v>
      </c>
    </row>
    <row r="289" spans="12:22" x14ac:dyDescent="0.2">
      <c r="L289" s="2" t="s">
        <v>1060</v>
      </c>
      <c r="M289" s="2">
        <v>76.099999999999994</v>
      </c>
      <c r="N289" s="11">
        <f t="shared" si="12"/>
        <v>-2.0980854969840923E-3</v>
      </c>
      <c r="P289" s="2" t="s">
        <v>1060</v>
      </c>
      <c r="Q289" s="2">
        <v>295.5</v>
      </c>
      <c r="R289" s="11">
        <f t="shared" si="13"/>
        <v>-6.0876623376626693E-4</v>
      </c>
      <c r="T289" s="2" t="s">
        <v>1060</v>
      </c>
      <c r="U289" s="2">
        <v>3577.030029296875</v>
      </c>
      <c r="V289" s="11">
        <f t="shared" si="14"/>
        <v>-3.2907731480149582E-3</v>
      </c>
    </row>
    <row r="290" spans="12:22" x14ac:dyDescent="0.2">
      <c r="L290" s="2" t="s">
        <v>1059</v>
      </c>
      <c r="M290" s="2">
        <v>78.05</v>
      </c>
      <c r="N290" s="11">
        <f t="shared" si="12"/>
        <v>2.5624178712220891E-2</v>
      </c>
      <c r="P290" s="2" t="s">
        <v>1059</v>
      </c>
      <c r="Q290" s="2">
        <v>294.51</v>
      </c>
      <c r="R290" s="11">
        <f t="shared" si="13"/>
        <v>-3.350253807106629E-3</v>
      </c>
      <c r="T290" s="2" t="s">
        <v>1059</v>
      </c>
      <c r="U290" s="2">
        <v>3669.909912109375</v>
      </c>
      <c r="V290" s="11">
        <f t="shared" si="14"/>
        <v>2.5965642460864968E-2</v>
      </c>
    </row>
    <row r="291" spans="12:22" x14ac:dyDescent="0.2">
      <c r="L291" s="2" t="s">
        <v>1058</v>
      </c>
      <c r="M291" s="2">
        <v>77.510000000000005</v>
      </c>
      <c r="N291" s="11">
        <f t="shared" si="12"/>
        <v>-6.9186418962202678E-3</v>
      </c>
      <c r="P291" s="2" t="s">
        <v>1058</v>
      </c>
      <c r="Q291" s="2">
        <v>288.77999999999997</v>
      </c>
      <c r="R291" s="11">
        <f t="shared" si="13"/>
        <v>-1.9456045635122821E-2</v>
      </c>
      <c r="T291" s="2" t="s">
        <v>1058</v>
      </c>
      <c r="U291" s="2">
        <v>3583.070068359375</v>
      </c>
      <c r="V291" s="11">
        <f t="shared" si="14"/>
        <v>-2.3662663615654389E-2</v>
      </c>
    </row>
    <row r="292" spans="12:22" x14ac:dyDescent="0.2">
      <c r="L292" s="2" t="s">
        <v>1057</v>
      </c>
      <c r="M292" s="2">
        <v>78.03</v>
      </c>
      <c r="N292" s="11">
        <f t="shared" si="12"/>
        <v>6.7088117662237323E-3</v>
      </c>
      <c r="P292" s="2" t="s">
        <v>1057</v>
      </c>
      <c r="Q292" s="2">
        <v>297.64999999999998</v>
      </c>
      <c r="R292" s="11">
        <f t="shared" si="13"/>
        <v>3.0715423505782935E-2</v>
      </c>
      <c r="T292" s="2" t="s">
        <v>1057</v>
      </c>
      <c r="U292" s="2">
        <v>3677.949951171875</v>
      </c>
      <c r="V292" s="11">
        <f t="shared" si="14"/>
        <v>2.6480052302171098E-2</v>
      </c>
    </row>
    <row r="293" spans="12:22" x14ac:dyDescent="0.2">
      <c r="L293" s="2" t="s">
        <v>1056</v>
      </c>
      <c r="M293" s="2">
        <v>79.930000000000007</v>
      </c>
      <c r="N293" s="11">
        <f t="shared" si="12"/>
        <v>2.4349609124695748E-2</v>
      </c>
      <c r="P293" s="2" t="s">
        <v>1056</v>
      </c>
      <c r="Q293" s="2">
        <v>297.76</v>
      </c>
      <c r="R293" s="11">
        <f t="shared" si="13"/>
        <v>3.6956156559719844E-4</v>
      </c>
      <c r="T293" s="2" t="s">
        <v>1056</v>
      </c>
      <c r="U293" s="2">
        <v>3719.97998046875</v>
      </c>
      <c r="V293" s="11">
        <f t="shared" si="14"/>
        <v>1.1427569666488724E-2</v>
      </c>
    </row>
    <row r="294" spans="12:22" x14ac:dyDescent="0.2">
      <c r="L294" s="2" t="s">
        <v>1055</v>
      </c>
      <c r="M294" s="2">
        <v>77.099999999999994</v>
      </c>
      <c r="N294" s="11">
        <f t="shared" si="12"/>
        <v>-3.5405980232703804E-2</v>
      </c>
      <c r="P294" s="2" t="s">
        <v>1055</v>
      </c>
      <c r="Q294" s="2">
        <v>296.87</v>
      </c>
      <c r="R294" s="11">
        <f t="shared" si="13"/>
        <v>-2.9889844169800339E-3</v>
      </c>
      <c r="T294" s="2" t="s">
        <v>1055</v>
      </c>
      <c r="U294" s="2">
        <v>3695.159912109375</v>
      </c>
      <c r="V294" s="11">
        <f t="shared" si="14"/>
        <v>-6.6720972934503076E-3</v>
      </c>
    </row>
    <row r="295" spans="12:22" x14ac:dyDescent="0.2">
      <c r="L295" s="2" t="s">
        <v>1054</v>
      </c>
      <c r="M295" s="2">
        <v>73.3</v>
      </c>
      <c r="N295" s="11">
        <f t="shared" si="12"/>
        <v>-4.9286640726329378E-2</v>
      </c>
      <c r="P295" s="2" t="s">
        <v>1054</v>
      </c>
      <c r="Q295" s="2">
        <v>293.13</v>
      </c>
      <c r="R295" s="11">
        <f t="shared" si="13"/>
        <v>-1.2598106915484908E-2</v>
      </c>
      <c r="T295" s="2" t="s">
        <v>1054</v>
      </c>
      <c r="U295" s="2">
        <v>3665.780029296875</v>
      </c>
      <c r="V295" s="11">
        <f t="shared" si="14"/>
        <v>-7.9509097065648682E-3</v>
      </c>
    </row>
    <row r="296" spans="12:22" x14ac:dyDescent="0.2">
      <c r="L296" s="2" t="s">
        <v>1053</v>
      </c>
      <c r="M296" s="2">
        <v>77.709999999999994</v>
      </c>
      <c r="N296" s="11">
        <f t="shared" si="12"/>
        <v>6.0163710777626056E-2</v>
      </c>
      <c r="P296" s="2" t="s">
        <v>1053</v>
      </c>
      <c r="Q296" s="2">
        <v>298.63</v>
      </c>
      <c r="R296" s="11">
        <f t="shared" si="13"/>
        <v>1.8763006174734809E-2</v>
      </c>
      <c r="T296" s="2" t="s">
        <v>1053</v>
      </c>
      <c r="U296" s="2">
        <v>3752.75</v>
      </c>
      <c r="V296" s="11">
        <f t="shared" si="14"/>
        <v>2.372481982226482E-2</v>
      </c>
    </row>
    <row r="297" spans="12:22" x14ac:dyDescent="0.2">
      <c r="L297" s="2" t="s">
        <v>1052</v>
      </c>
      <c r="M297" s="2">
        <v>76.42</v>
      </c>
      <c r="N297" s="11">
        <f t="shared" si="12"/>
        <v>-1.6600180156993827E-2</v>
      </c>
      <c r="P297" s="2" t="s">
        <v>1052</v>
      </c>
      <c r="Q297" s="2">
        <v>297.68</v>
      </c>
      <c r="R297" s="11">
        <f t="shared" si="13"/>
        <v>-3.1811941198137683E-3</v>
      </c>
      <c r="T297" s="2" t="s">
        <v>1052</v>
      </c>
      <c r="U297" s="2">
        <v>3797.340087890625</v>
      </c>
      <c r="V297" s="11">
        <f t="shared" si="14"/>
        <v>1.1881976654619875E-2</v>
      </c>
    </row>
    <row r="298" spans="12:22" x14ac:dyDescent="0.2">
      <c r="L298" s="2" t="s">
        <v>1051</v>
      </c>
      <c r="M298" s="2">
        <v>79.52</v>
      </c>
      <c r="N298" s="11">
        <f t="shared" si="12"/>
        <v>4.0565297042658877E-2</v>
      </c>
      <c r="P298" s="2" t="s">
        <v>1051</v>
      </c>
      <c r="Q298" s="2">
        <v>320.63</v>
      </c>
      <c r="R298" s="11">
        <f t="shared" si="13"/>
        <v>7.7096210696049328E-2</v>
      </c>
      <c r="T298" s="2" t="s">
        <v>1051</v>
      </c>
      <c r="U298" s="2">
        <v>3859.110107421875</v>
      </c>
      <c r="V298" s="11">
        <f t="shared" si="14"/>
        <v>1.6266654579669915E-2</v>
      </c>
    </row>
    <row r="299" spans="12:22" x14ac:dyDescent="0.2">
      <c r="L299" s="2" t="s">
        <v>1050</v>
      </c>
      <c r="M299" s="2">
        <v>76.709999999999994</v>
      </c>
      <c r="N299" s="11">
        <f t="shared" si="12"/>
        <v>-3.5337022132796769E-2</v>
      </c>
      <c r="P299" s="2" t="s">
        <v>1050</v>
      </c>
      <c r="Q299" s="2">
        <v>321.33</v>
      </c>
      <c r="R299" s="11">
        <f t="shared" si="13"/>
        <v>2.1832018214140714E-3</v>
      </c>
      <c r="T299" s="2" t="s">
        <v>1050</v>
      </c>
      <c r="U299" s="2">
        <v>3830.60009765625</v>
      </c>
      <c r="V299" s="11">
        <f t="shared" si="14"/>
        <v>-7.3877160723645474E-3</v>
      </c>
    </row>
    <row r="300" spans="12:22" x14ac:dyDescent="0.2">
      <c r="L300" s="2" t="s">
        <v>1049</v>
      </c>
      <c r="M300" s="2">
        <v>73.39</v>
      </c>
      <c r="N300" s="11">
        <f t="shared" si="12"/>
        <v>-4.32798852822317E-2</v>
      </c>
      <c r="P300" s="2" t="s">
        <v>1049</v>
      </c>
      <c r="Q300" s="2">
        <v>320.61</v>
      </c>
      <c r="R300" s="11">
        <f t="shared" si="13"/>
        <v>-2.2406871440574516E-3</v>
      </c>
      <c r="T300" s="2" t="s">
        <v>1049</v>
      </c>
      <c r="U300" s="2">
        <v>3807.300048828125</v>
      </c>
      <c r="V300" s="11">
        <f t="shared" si="14"/>
        <v>-6.0826106182112483E-3</v>
      </c>
    </row>
    <row r="301" spans="12:22" x14ac:dyDescent="0.2">
      <c r="L301" s="2" t="s">
        <v>1048</v>
      </c>
      <c r="M301" s="2">
        <v>71.81</v>
      </c>
      <c r="N301" s="11">
        <f t="shared" si="12"/>
        <v>-2.1528818640141667E-2</v>
      </c>
      <c r="P301" s="2" t="s">
        <v>1048</v>
      </c>
      <c r="Q301" s="2">
        <v>328.48</v>
      </c>
      <c r="R301" s="11">
        <f t="shared" si="13"/>
        <v>2.4546957362527655E-2</v>
      </c>
      <c r="T301" s="2" t="s">
        <v>1048</v>
      </c>
      <c r="U301" s="2">
        <v>3901.06005859375</v>
      </c>
      <c r="V301" s="11">
        <f t="shared" si="14"/>
        <v>2.4626377895927698E-2</v>
      </c>
    </row>
    <row r="302" spans="12:22" x14ac:dyDescent="0.2">
      <c r="L302" s="2" t="s">
        <v>1047</v>
      </c>
      <c r="M302" s="2">
        <v>70.75</v>
      </c>
      <c r="N302" s="11">
        <f t="shared" si="12"/>
        <v>-1.4761175323771081E-2</v>
      </c>
      <c r="P302" s="2" t="s">
        <v>1047</v>
      </c>
      <c r="Q302" s="2">
        <v>329.04</v>
      </c>
      <c r="R302" s="11">
        <f t="shared" si="13"/>
        <v>1.7048222113980049E-3</v>
      </c>
      <c r="T302" s="2" t="s">
        <v>1047</v>
      </c>
      <c r="U302" s="2">
        <v>3871.97998046875</v>
      </c>
      <c r="V302" s="11">
        <f t="shared" si="14"/>
        <v>-7.4544041076575196E-3</v>
      </c>
    </row>
    <row r="303" spans="12:22" x14ac:dyDescent="0.2">
      <c r="L303" s="2" t="s">
        <v>1046</v>
      </c>
      <c r="M303" s="2">
        <v>71.680000000000007</v>
      </c>
      <c r="N303" s="11">
        <f t="shared" si="12"/>
        <v>1.3144876325088539E-2</v>
      </c>
      <c r="P303" s="2" t="s">
        <v>1046</v>
      </c>
      <c r="Q303" s="2">
        <v>330.36</v>
      </c>
      <c r="R303" s="11">
        <f t="shared" si="13"/>
        <v>4.0116703136396925E-3</v>
      </c>
      <c r="T303" s="2" t="s">
        <v>1046</v>
      </c>
      <c r="U303" s="2">
        <v>3856.10009765625</v>
      </c>
      <c r="V303" s="11">
        <f t="shared" si="14"/>
        <v>-4.1012306087846451E-3</v>
      </c>
    </row>
    <row r="304" spans="12:22" x14ac:dyDescent="0.2">
      <c r="L304" s="2" t="s">
        <v>1045</v>
      </c>
      <c r="M304" s="2">
        <v>67.05</v>
      </c>
      <c r="N304" s="11">
        <f t="shared" si="12"/>
        <v>-6.4592633928571508E-2</v>
      </c>
      <c r="P304" s="2" t="s">
        <v>1045</v>
      </c>
      <c r="Q304" s="2">
        <v>316.06</v>
      </c>
      <c r="R304" s="11">
        <f t="shared" si="13"/>
        <v>-4.3286112120111464E-2</v>
      </c>
      <c r="T304" s="2" t="s">
        <v>1045</v>
      </c>
      <c r="U304" s="2">
        <v>3759.68994140625</v>
      </c>
      <c r="V304" s="11">
        <f t="shared" si="14"/>
        <v>-2.500198485734284E-2</v>
      </c>
    </row>
    <row r="305" spans="12:22" x14ac:dyDescent="0.2">
      <c r="L305" s="2" t="s">
        <v>1044</v>
      </c>
      <c r="M305" s="2">
        <v>76.599999999999994</v>
      </c>
      <c r="N305" s="11">
        <f t="shared" si="12"/>
        <v>0.14243102162565235</v>
      </c>
      <c r="P305" s="2" t="s">
        <v>1044</v>
      </c>
      <c r="Q305" s="2">
        <v>318.10000000000002</v>
      </c>
      <c r="R305" s="11">
        <f t="shared" si="13"/>
        <v>6.4544706701259447E-3</v>
      </c>
      <c r="T305" s="2" t="s">
        <v>1044</v>
      </c>
      <c r="U305" s="2">
        <v>3719.889892578125</v>
      </c>
      <c r="V305" s="11">
        <f t="shared" si="14"/>
        <v>-1.0585992315429671E-2</v>
      </c>
    </row>
    <row r="306" spans="12:22" x14ac:dyDescent="0.2">
      <c r="L306" s="2" t="s">
        <v>1043</v>
      </c>
      <c r="M306" s="2">
        <v>85.38</v>
      </c>
      <c r="N306" s="11">
        <f t="shared" si="12"/>
        <v>0.11462140992167114</v>
      </c>
      <c r="P306" s="2" t="s">
        <v>1043</v>
      </c>
      <c r="Q306" s="2">
        <v>325.57</v>
      </c>
      <c r="R306" s="11">
        <f t="shared" si="13"/>
        <v>2.3483181389500007E-2</v>
      </c>
      <c r="T306" s="2" t="s">
        <v>1043</v>
      </c>
      <c r="U306" s="2">
        <v>3770.550048828125</v>
      </c>
      <c r="V306" s="11">
        <f t="shared" si="14"/>
        <v>1.3618724670070526E-2</v>
      </c>
    </row>
    <row r="307" spans="12:22" x14ac:dyDescent="0.2">
      <c r="L307" s="2" t="s">
        <v>1042</v>
      </c>
      <c r="M307" s="2">
        <v>80.400000000000006</v>
      </c>
      <c r="N307" s="11">
        <f t="shared" si="12"/>
        <v>-5.8327477160927454E-2</v>
      </c>
      <c r="P307" s="2" t="s">
        <v>1042</v>
      </c>
      <c r="Q307" s="2">
        <v>324.25</v>
      </c>
      <c r="R307" s="11">
        <f t="shared" si="13"/>
        <v>-4.0544276192523432E-3</v>
      </c>
      <c r="T307" s="2" t="s">
        <v>1042</v>
      </c>
      <c r="U307" s="2">
        <v>3806.800048828125</v>
      </c>
      <c r="V307" s="11">
        <f t="shared" si="14"/>
        <v>9.6139819205598442E-3</v>
      </c>
    </row>
    <row r="308" spans="12:22" x14ac:dyDescent="0.2">
      <c r="L308" s="2" t="s">
        <v>1041</v>
      </c>
      <c r="M308" s="2">
        <v>82.93</v>
      </c>
      <c r="N308" s="11">
        <f t="shared" si="12"/>
        <v>3.1467661691542359E-2</v>
      </c>
      <c r="P308" s="2" t="s">
        <v>1041</v>
      </c>
      <c r="Q308" s="2">
        <v>328.5</v>
      </c>
      <c r="R308" s="11">
        <f t="shared" si="13"/>
        <v>1.3107170393215073E-2</v>
      </c>
      <c r="T308" s="2" t="s">
        <v>1041</v>
      </c>
      <c r="U308" s="2">
        <v>3828.110107421875</v>
      </c>
      <c r="V308" s="11">
        <f t="shared" si="14"/>
        <v>5.5978928024627006E-3</v>
      </c>
    </row>
    <row r="309" spans="12:22" x14ac:dyDescent="0.2">
      <c r="L309" s="2" t="s">
        <v>1040</v>
      </c>
      <c r="M309" s="2">
        <v>81.13</v>
      </c>
      <c r="N309" s="11">
        <f t="shared" si="12"/>
        <v>-2.1705052453876883E-2</v>
      </c>
      <c r="P309" s="2" t="s">
        <v>1040</v>
      </c>
      <c r="Q309" s="2">
        <v>321.20999999999998</v>
      </c>
      <c r="R309" s="11">
        <f t="shared" si="13"/>
        <v>-2.2191780821917861E-2</v>
      </c>
      <c r="T309" s="2" t="s">
        <v>1040</v>
      </c>
      <c r="U309" s="2">
        <v>3748.570068359375</v>
      </c>
      <c r="V309" s="11">
        <f t="shared" si="14"/>
        <v>-2.077788695478977E-2</v>
      </c>
    </row>
    <row r="310" spans="12:22" x14ac:dyDescent="0.2">
      <c r="L310" s="2" t="s">
        <v>1039</v>
      </c>
      <c r="M310" s="2">
        <v>92.36</v>
      </c>
      <c r="N310" s="11">
        <f t="shared" si="12"/>
        <v>0.138419820041908</v>
      </c>
      <c r="P310" s="2" t="s">
        <v>1039</v>
      </c>
      <c r="Q310" s="2">
        <v>353.85</v>
      </c>
      <c r="R310" s="11">
        <f t="shared" si="13"/>
        <v>0.10161576538713013</v>
      </c>
      <c r="T310" s="2" t="s">
        <v>1039</v>
      </c>
      <c r="U310" s="2">
        <v>3956.3701171875</v>
      </c>
      <c r="V310" s="11">
        <f t="shared" si="14"/>
        <v>5.5434484360344927E-2</v>
      </c>
    </row>
    <row r="311" spans="12:22" x14ac:dyDescent="0.2">
      <c r="L311" s="2" t="s">
        <v>1038</v>
      </c>
      <c r="M311" s="2">
        <v>93.24</v>
      </c>
      <c r="N311" s="11">
        <f t="shared" si="12"/>
        <v>9.5279341706366871E-3</v>
      </c>
      <c r="P311" s="2" t="s">
        <v>1038</v>
      </c>
      <c r="Q311" s="2">
        <v>359.7</v>
      </c>
      <c r="R311" s="11">
        <f t="shared" si="13"/>
        <v>1.6532428995336801E-2</v>
      </c>
      <c r="T311" s="2" t="s">
        <v>1038</v>
      </c>
      <c r="U311" s="2">
        <v>3992.929931640625</v>
      </c>
      <c r="V311" s="11">
        <f t="shared" si="14"/>
        <v>9.2407467881479022E-3</v>
      </c>
    </row>
    <row r="312" spans="12:22" x14ac:dyDescent="0.2">
      <c r="L312" s="2" t="s">
        <v>1037</v>
      </c>
      <c r="M312" s="2">
        <v>90.89</v>
      </c>
      <c r="N312" s="11">
        <f t="shared" si="12"/>
        <v>-2.5203775203775147E-2</v>
      </c>
      <c r="P312" s="2" t="s">
        <v>1037</v>
      </c>
      <c r="Q312" s="2">
        <v>352.74</v>
      </c>
      <c r="R312" s="11">
        <f t="shared" si="13"/>
        <v>-1.9349457881567944E-2</v>
      </c>
      <c r="T312" s="2" t="s">
        <v>1037</v>
      </c>
      <c r="U312" s="2">
        <v>3957.25</v>
      </c>
      <c r="V312" s="11">
        <f t="shared" si="14"/>
        <v>-8.9357770488009969E-3</v>
      </c>
    </row>
    <row r="313" spans="12:22" x14ac:dyDescent="0.2">
      <c r="L313" s="2" t="s">
        <v>1036</v>
      </c>
      <c r="M313" s="2">
        <v>96.66</v>
      </c>
      <c r="N313" s="11">
        <f t="shared" si="12"/>
        <v>6.3483331499614826E-2</v>
      </c>
      <c r="P313" s="2" t="s">
        <v>1036</v>
      </c>
      <c r="Q313" s="2">
        <v>359.56</v>
      </c>
      <c r="R313" s="11">
        <f t="shared" si="13"/>
        <v>1.9334353915064995E-2</v>
      </c>
      <c r="T313" s="2" t="s">
        <v>1036</v>
      </c>
      <c r="U313" s="2">
        <v>3991.72998046875</v>
      </c>
      <c r="V313" s="11">
        <f t="shared" si="14"/>
        <v>8.7131165503191443E-3</v>
      </c>
    </row>
    <row r="314" spans="12:22" x14ac:dyDescent="0.2">
      <c r="L314" s="2" t="s">
        <v>1035</v>
      </c>
      <c r="M314" s="2">
        <v>97.28</v>
      </c>
      <c r="N314" s="11">
        <f t="shared" si="12"/>
        <v>6.4142354645149169E-3</v>
      </c>
      <c r="P314" s="2" t="s">
        <v>1035</v>
      </c>
      <c r="Q314" s="2">
        <v>355.76</v>
      </c>
      <c r="R314" s="11">
        <f t="shared" si="13"/>
        <v>-1.0568472577594856E-2</v>
      </c>
      <c r="T314" s="2" t="s">
        <v>1035</v>
      </c>
      <c r="U314" s="2">
        <v>3958.7900390625</v>
      </c>
      <c r="V314" s="11">
        <f t="shared" si="14"/>
        <v>-8.252046497990273E-3</v>
      </c>
    </row>
    <row r="315" spans="12:22" x14ac:dyDescent="0.2">
      <c r="L315" s="2" t="s">
        <v>1034</v>
      </c>
      <c r="M315" s="2">
        <v>98.31</v>
      </c>
      <c r="N315" s="11">
        <f t="shared" si="12"/>
        <v>1.0587993421052655E-2</v>
      </c>
      <c r="P315" s="2" t="s">
        <v>1034</v>
      </c>
      <c r="Q315" s="2">
        <v>354.27</v>
      </c>
      <c r="R315" s="11">
        <f t="shared" si="13"/>
        <v>-4.1882167753541921E-3</v>
      </c>
      <c r="T315" s="2" t="s">
        <v>1034</v>
      </c>
      <c r="U315" s="2">
        <v>3946.56005859375</v>
      </c>
      <c r="V315" s="11">
        <f t="shared" si="14"/>
        <v>-3.0893228355314273E-3</v>
      </c>
    </row>
    <row r="316" spans="12:22" x14ac:dyDescent="0.2">
      <c r="L316" s="2" t="s">
        <v>1033</v>
      </c>
      <c r="M316" s="2">
        <v>101.42</v>
      </c>
      <c r="N316" s="11">
        <f t="shared" si="12"/>
        <v>3.1634625165293473E-2</v>
      </c>
      <c r="P316" s="2" t="s">
        <v>1033</v>
      </c>
      <c r="Q316" s="2">
        <v>347.85</v>
      </c>
      <c r="R316" s="11">
        <f t="shared" si="13"/>
        <v>-1.8121771530188679E-2</v>
      </c>
      <c r="T316" s="2" t="s">
        <v>1033</v>
      </c>
      <c r="U316" s="2">
        <v>3965.340087890625</v>
      </c>
      <c r="V316" s="11">
        <f t="shared" si="14"/>
        <v>4.7585819088147296E-3</v>
      </c>
    </row>
    <row r="317" spans="12:22" x14ac:dyDescent="0.2">
      <c r="L317" s="2" t="s">
        <v>1032</v>
      </c>
      <c r="M317" s="2">
        <v>92.57</v>
      </c>
      <c r="N317" s="11">
        <f t="shared" si="12"/>
        <v>-8.726089528692571E-2</v>
      </c>
      <c r="P317" s="2" t="s">
        <v>1032</v>
      </c>
      <c r="Q317" s="2">
        <v>349.38</v>
      </c>
      <c r="R317" s="11">
        <f t="shared" si="13"/>
        <v>4.3984476067269185E-3</v>
      </c>
      <c r="T317" s="2" t="s">
        <v>1032</v>
      </c>
      <c r="U317" s="2">
        <v>3949.93994140625</v>
      </c>
      <c r="V317" s="11">
        <f t="shared" si="14"/>
        <v>-3.8836886983297791E-3</v>
      </c>
    </row>
    <row r="318" spans="12:22" x14ac:dyDescent="0.2">
      <c r="L318" s="2" t="s">
        <v>1031</v>
      </c>
      <c r="M318" s="2">
        <v>96.13</v>
      </c>
      <c r="N318" s="11">
        <f t="shared" si="12"/>
        <v>3.8457383601598893E-2</v>
      </c>
      <c r="P318" s="2" t="s">
        <v>1031</v>
      </c>
      <c r="Q318" s="2">
        <v>355.64</v>
      </c>
      <c r="R318" s="11">
        <f t="shared" si="13"/>
        <v>1.7917453775259107E-2</v>
      </c>
      <c r="T318" s="2" t="s">
        <v>1031</v>
      </c>
      <c r="U318" s="2">
        <v>4003.580078125</v>
      </c>
      <c r="V318" s="11">
        <f t="shared" si="14"/>
        <v>1.3579987927526016E-2</v>
      </c>
    </row>
    <row r="319" spans="12:22" x14ac:dyDescent="0.2">
      <c r="L319" s="2" t="s">
        <v>1030</v>
      </c>
      <c r="M319" s="2">
        <v>96.63</v>
      </c>
      <c r="N319" s="11">
        <f t="shared" si="12"/>
        <v>5.2012899199000984E-3</v>
      </c>
      <c r="P319" s="2" t="s">
        <v>1030</v>
      </c>
      <c r="Q319" s="2">
        <v>360.53</v>
      </c>
      <c r="R319" s="11">
        <f t="shared" si="13"/>
        <v>1.3749859408390463E-2</v>
      </c>
      <c r="T319" s="2" t="s">
        <v>1030</v>
      </c>
      <c r="U319" s="2">
        <v>4027.260009765625</v>
      </c>
      <c r="V319" s="11">
        <f t="shared" si="14"/>
        <v>5.9146891478476515E-3</v>
      </c>
    </row>
    <row r="320" spans="12:22" x14ac:dyDescent="0.2">
      <c r="L320" s="2" t="s">
        <v>1029</v>
      </c>
      <c r="M320" s="2">
        <v>94.91</v>
      </c>
      <c r="N320" s="11">
        <f t="shared" si="12"/>
        <v>-1.7799855117458296E-2</v>
      </c>
      <c r="P320" s="2" t="s">
        <v>1029</v>
      </c>
      <c r="Q320" s="2">
        <v>361.16</v>
      </c>
      <c r="R320" s="11">
        <f t="shared" si="13"/>
        <v>1.7474273985522704E-3</v>
      </c>
      <c r="T320" s="2" t="s">
        <v>1029</v>
      </c>
      <c r="U320" s="2">
        <v>4026.1201171875</v>
      </c>
      <c r="V320" s="11">
        <f t="shared" si="14"/>
        <v>-2.8304419763336419E-4</v>
      </c>
    </row>
    <row r="321" spans="12:22" x14ac:dyDescent="0.2">
      <c r="L321" s="2" t="s">
        <v>1028</v>
      </c>
      <c r="M321" s="2">
        <v>93.84</v>
      </c>
      <c r="N321" s="11">
        <f t="shared" si="12"/>
        <v>-1.1273838373195622E-2</v>
      </c>
      <c r="P321" s="2" t="s">
        <v>1028</v>
      </c>
      <c r="Q321" s="2">
        <v>363.28</v>
      </c>
      <c r="R321" s="11">
        <f t="shared" si="13"/>
        <v>5.8699745265256009E-3</v>
      </c>
      <c r="T321" s="2" t="s">
        <v>1028</v>
      </c>
      <c r="U321" s="2">
        <v>3963.93994140625</v>
      </c>
      <c r="V321" s="11">
        <f t="shared" si="14"/>
        <v>-1.5444192913123267E-2</v>
      </c>
    </row>
    <row r="322" spans="12:22" x14ac:dyDescent="0.2">
      <c r="L322" s="2" t="s">
        <v>1027</v>
      </c>
      <c r="M322" s="2">
        <v>97.68</v>
      </c>
      <c r="N322" s="11">
        <f t="shared" si="12"/>
        <v>4.0920716112532007E-2</v>
      </c>
      <c r="P322" s="2" t="s">
        <v>1027</v>
      </c>
      <c r="Q322" s="2">
        <v>363.32</v>
      </c>
      <c r="R322" s="11">
        <f t="shared" si="13"/>
        <v>1.10107905747725E-4</v>
      </c>
      <c r="T322" s="2" t="s">
        <v>1027</v>
      </c>
      <c r="U322" s="2">
        <v>3957.6298828125</v>
      </c>
      <c r="V322" s="11">
        <f t="shared" si="14"/>
        <v>-1.5918653377758885E-3</v>
      </c>
    </row>
    <row r="323" spans="12:22" x14ac:dyDescent="0.2">
      <c r="L323" s="2" t="s">
        <v>1026</v>
      </c>
      <c r="M323" s="2">
        <v>101</v>
      </c>
      <c r="N323" s="11">
        <f t="shared" si="12"/>
        <v>3.3988533988533964E-2</v>
      </c>
      <c r="P323" s="2" t="s">
        <v>1026</v>
      </c>
      <c r="Q323" s="2">
        <v>380.31</v>
      </c>
      <c r="R323" s="11">
        <f t="shared" si="13"/>
        <v>4.6763183970053968E-2</v>
      </c>
      <c r="T323" s="2" t="s">
        <v>1026</v>
      </c>
      <c r="U323" s="2">
        <v>4080.110107421875</v>
      </c>
      <c r="V323" s="11">
        <f t="shared" si="14"/>
        <v>3.0947872397389053E-2</v>
      </c>
    </row>
    <row r="324" spans="12:22" x14ac:dyDescent="0.2">
      <c r="L324" s="2" t="s">
        <v>1025</v>
      </c>
      <c r="M324" s="2">
        <v>99.69</v>
      </c>
      <c r="N324" s="11">
        <f t="shared" si="12"/>
        <v>-1.2970297029702982E-2</v>
      </c>
      <c r="P324" s="2" t="s">
        <v>1025</v>
      </c>
      <c r="Q324" s="2">
        <v>381.82</v>
      </c>
      <c r="R324" s="11">
        <f t="shared" si="13"/>
        <v>3.9704451631563664E-3</v>
      </c>
      <c r="T324" s="2" t="s">
        <v>1025</v>
      </c>
      <c r="U324" s="2">
        <v>4076.570068359375</v>
      </c>
      <c r="V324" s="11">
        <f t="shared" si="14"/>
        <v>-8.6763321804983473E-4</v>
      </c>
    </row>
    <row r="325" spans="12:22" x14ac:dyDescent="0.2">
      <c r="L325" s="2" t="s">
        <v>1024</v>
      </c>
      <c r="M325" s="2">
        <v>103.99</v>
      </c>
      <c r="N325" s="11">
        <f t="shared" si="12"/>
        <v>4.3133714514996369E-2</v>
      </c>
      <c r="P325" s="2" t="s">
        <v>1024</v>
      </c>
      <c r="Q325" s="2">
        <v>385.99</v>
      </c>
      <c r="R325" s="11">
        <f t="shared" si="13"/>
        <v>1.0921376564873464E-2</v>
      </c>
      <c r="T325" s="2" t="s">
        <v>1024</v>
      </c>
      <c r="U325" s="2">
        <v>4071.699951171875</v>
      </c>
      <c r="V325" s="11">
        <f t="shared" si="14"/>
        <v>-1.194660488065602E-3</v>
      </c>
    </row>
    <row r="326" spans="12:22" x14ac:dyDescent="0.2">
      <c r="L326" s="2" t="s">
        <v>1023</v>
      </c>
      <c r="M326" s="2">
        <v>98.09</v>
      </c>
      <c r="N326" s="11">
        <f t="shared" ref="N326:N389" si="15">+M326/M325-1</f>
        <v>-5.6736224636984245E-2</v>
      </c>
      <c r="P326" s="2" t="s">
        <v>1023</v>
      </c>
      <c r="Q326" s="2">
        <v>381.13</v>
      </c>
      <c r="R326" s="11">
        <f t="shared" ref="R326:R389" si="16">+Q326/Q325-1</f>
        <v>-1.2590999766833422E-2</v>
      </c>
      <c r="T326" s="2" t="s">
        <v>1023</v>
      </c>
      <c r="U326" s="2">
        <v>3998.840087890625</v>
      </c>
      <c r="V326" s="11">
        <f t="shared" ref="V326:V389" si="17">+U326/U325-1</f>
        <v>-1.7894212283564803E-2</v>
      </c>
    </row>
    <row r="327" spans="12:22" x14ac:dyDescent="0.2">
      <c r="L327" s="2" t="s">
        <v>1022</v>
      </c>
      <c r="M327" s="2">
        <v>94.43</v>
      </c>
      <c r="N327" s="11">
        <f t="shared" si="15"/>
        <v>-3.7312672035885397E-2</v>
      </c>
      <c r="P327" s="2" t="s">
        <v>1022</v>
      </c>
      <c r="Q327" s="2">
        <v>370</v>
      </c>
      <c r="R327" s="11">
        <f t="shared" si="16"/>
        <v>-2.9202634271770722E-2</v>
      </c>
      <c r="T327" s="2" t="s">
        <v>1022</v>
      </c>
      <c r="U327" s="2">
        <v>3941.260009765625</v>
      </c>
      <c r="V327" s="11">
        <f t="shared" si="17"/>
        <v>-1.4399194981406072E-2</v>
      </c>
    </row>
    <row r="328" spans="12:22" x14ac:dyDescent="0.2">
      <c r="L328" s="2" t="s">
        <v>1021</v>
      </c>
      <c r="M328" s="2">
        <v>96.93</v>
      </c>
      <c r="N328" s="11">
        <f t="shared" si="15"/>
        <v>2.6474637297469128E-2</v>
      </c>
      <c r="P328" s="2" t="s">
        <v>1021</v>
      </c>
      <c r="Q328" s="2">
        <v>372.33</v>
      </c>
      <c r="R328" s="11">
        <f t="shared" si="16"/>
        <v>6.2972972972972219E-3</v>
      </c>
      <c r="T328" s="2" t="s">
        <v>1021</v>
      </c>
      <c r="U328" s="2">
        <v>3933.919921875</v>
      </c>
      <c r="V328" s="11">
        <f t="shared" si="17"/>
        <v>-1.8623708845491027E-3</v>
      </c>
    </row>
    <row r="329" spans="12:22" x14ac:dyDescent="0.2">
      <c r="L329" s="2" t="s">
        <v>1020</v>
      </c>
      <c r="M329" s="2">
        <v>96.53</v>
      </c>
      <c r="N329" s="11">
        <f t="shared" si="15"/>
        <v>-4.1266893634581692E-3</v>
      </c>
      <c r="P329" s="2" t="s">
        <v>1020</v>
      </c>
      <c r="Q329" s="2">
        <v>374.51</v>
      </c>
      <c r="R329" s="11">
        <f t="shared" si="16"/>
        <v>5.855021083447598E-3</v>
      </c>
      <c r="T329" s="2" t="s">
        <v>1020</v>
      </c>
      <c r="U329" s="2">
        <v>3963.510009765625</v>
      </c>
      <c r="V329" s="11">
        <f t="shared" si="17"/>
        <v>7.5217819575039702E-3</v>
      </c>
    </row>
    <row r="330" spans="12:22" x14ac:dyDescent="0.2">
      <c r="L330" s="2" t="s">
        <v>1019</v>
      </c>
      <c r="M330" s="2">
        <v>94.77</v>
      </c>
      <c r="N330" s="11">
        <f t="shared" si="15"/>
        <v>-1.8232673780172015E-2</v>
      </c>
      <c r="P330" s="2" t="s">
        <v>1019</v>
      </c>
      <c r="Q330" s="2">
        <v>326.39</v>
      </c>
      <c r="R330" s="11">
        <f t="shared" si="16"/>
        <v>-0.12848789084403622</v>
      </c>
      <c r="T330" s="2" t="s">
        <v>1019</v>
      </c>
      <c r="U330" s="2">
        <v>3934.3798828125</v>
      </c>
      <c r="V330" s="11">
        <f t="shared" si="17"/>
        <v>-7.349578247904498E-3</v>
      </c>
    </row>
    <row r="331" spans="12:22" x14ac:dyDescent="0.2">
      <c r="L331" s="2" t="s">
        <v>1018</v>
      </c>
      <c r="M331" s="2">
        <v>93.63</v>
      </c>
      <c r="N331" s="11">
        <f t="shared" si="15"/>
        <v>-1.2029123140234299E-2</v>
      </c>
      <c r="P331" s="2" t="s">
        <v>1018</v>
      </c>
      <c r="Q331" s="2">
        <v>328.23</v>
      </c>
      <c r="R331" s="11">
        <f t="shared" si="16"/>
        <v>5.6374276172677096E-3</v>
      </c>
      <c r="T331" s="2" t="s">
        <v>1018</v>
      </c>
      <c r="U331" s="2">
        <v>3990.56005859375</v>
      </c>
      <c r="V331" s="11">
        <f t="shared" si="17"/>
        <v>1.4279296218109305E-2</v>
      </c>
    </row>
    <row r="332" spans="12:22" x14ac:dyDescent="0.2">
      <c r="L332" s="2" t="s">
        <v>1017</v>
      </c>
      <c r="M332" s="2">
        <v>95.47</v>
      </c>
      <c r="N332" s="11">
        <f t="shared" si="15"/>
        <v>1.965182099754359E-2</v>
      </c>
      <c r="P332" s="2" t="s">
        <v>1017</v>
      </c>
      <c r="Q332" s="2">
        <v>326.27</v>
      </c>
      <c r="R332" s="11">
        <f t="shared" si="16"/>
        <v>-5.9714224781404202E-3</v>
      </c>
      <c r="T332" s="2" t="s">
        <v>1017</v>
      </c>
      <c r="U332" s="2">
        <v>4019.64990234375</v>
      </c>
      <c r="V332" s="11">
        <f t="shared" si="17"/>
        <v>7.2896644387934195E-3</v>
      </c>
    </row>
    <row r="333" spans="12:22" x14ac:dyDescent="0.2">
      <c r="L333" s="2" t="s">
        <v>1016</v>
      </c>
      <c r="M333" s="2">
        <v>96.76</v>
      </c>
      <c r="N333" s="11">
        <f t="shared" si="15"/>
        <v>1.3512098041269516E-2</v>
      </c>
      <c r="P333" s="2" t="s">
        <v>1016</v>
      </c>
      <c r="Q333" s="2">
        <v>333.33</v>
      </c>
      <c r="R333" s="11">
        <f t="shared" si="16"/>
        <v>2.1638520243969728E-2</v>
      </c>
      <c r="T333" s="2" t="s">
        <v>1016</v>
      </c>
      <c r="U333" s="2">
        <v>3995.320068359375</v>
      </c>
      <c r="V333" s="11">
        <f t="shared" si="17"/>
        <v>-6.0527246341003371E-3</v>
      </c>
    </row>
    <row r="334" spans="12:22" x14ac:dyDescent="0.2">
      <c r="L334" s="2" t="s">
        <v>1015</v>
      </c>
      <c r="M334" s="2">
        <v>92.41</v>
      </c>
      <c r="N334" s="11">
        <f t="shared" si="15"/>
        <v>-4.4956593633733055E-2</v>
      </c>
      <c r="P334" s="2" t="s">
        <v>1015</v>
      </c>
      <c r="Q334" s="2">
        <v>325.20999999999998</v>
      </c>
      <c r="R334" s="11">
        <f t="shared" si="16"/>
        <v>-2.4360243602436049E-2</v>
      </c>
      <c r="T334" s="2" t="s">
        <v>1015</v>
      </c>
      <c r="U334" s="2">
        <v>3895.75</v>
      </c>
      <c r="V334" s="11">
        <f t="shared" si="17"/>
        <v>-2.4921675023714007E-2</v>
      </c>
    </row>
    <row r="335" spans="12:22" x14ac:dyDescent="0.2">
      <c r="L335" s="2" t="s">
        <v>1014</v>
      </c>
      <c r="M335" s="2">
        <v>95.01</v>
      </c>
      <c r="N335" s="11">
        <f t="shared" si="15"/>
        <v>2.8135483172816889E-2</v>
      </c>
      <c r="P335" s="2" t="s">
        <v>1014</v>
      </c>
      <c r="Q335" s="2">
        <v>321.24</v>
      </c>
      <c r="R335" s="11">
        <f t="shared" si="16"/>
        <v>-1.2207496694443543E-2</v>
      </c>
      <c r="T335" s="2" t="s">
        <v>1014</v>
      </c>
      <c r="U335" s="2">
        <v>3852.360107421875</v>
      </c>
      <c r="V335" s="11">
        <f t="shared" si="17"/>
        <v>-1.1137750774080746E-2</v>
      </c>
    </row>
    <row r="336" spans="12:22" x14ac:dyDescent="0.2">
      <c r="L336" s="2" t="s">
        <v>1013</v>
      </c>
      <c r="M336" s="2">
        <v>93.85</v>
      </c>
      <c r="N336" s="11">
        <f t="shared" si="15"/>
        <v>-1.2209241132512427E-2</v>
      </c>
      <c r="P336" s="2" t="s">
        <v>1013</v>
      </c>
      <c r="Q336" s="2">
        <v>316.92</v>
      </c>
      <c r="R336" s="11">
        <f t="shared" si="16"/>
        <v>-1.3447889428464643E-2</v>
      </c>
      <c r="T336" s="2" t="s">
        <v>1013</v>
      </c>
      <c r="U336" s="2">
        <v>3817.659912109375</v>
      </c>
      <c r="V336" s="11">
        <f t="shared" si="17"/>
        <v>-9.0075160018523448E-3</v>
      </c>
    </row>
    <row r="337" spans="12:22" x14ac:dyDescent="0.2">
      <c r="L337" s="2" t="s">
        <v>1012</v>
      </c>
      <c r="M337" s="2">
        <v>94.5</v>
      </c>
      <c r="N337" s="11">
        <f t="shared" si="15"/>
        <v>6.9259456579648937E-3</v>
      </c>
      <c r="P337" s="2" t="s">
        <v>1012</v>
      </c>
      <c r="Q337" s="2">
        <v>307.12</v>
      </c>
      <c r="R337" s="11">
        <f t="shared" si="16"/>
        <v>-3.0922630316799204E-2</v>
      </c>
      <c r="T337" s="2" t="s">
        <v>1012</v>
      </c>
      <c r="U337" s="2">
        <v>3821.6201171875</v>
      </c>
      <c r="V337" s="11">
        <f t="shared" si="17"/>
        <v>1.0373383615349674E-3</v>
      </c>
    </row>
    <row r="338" spans="12:22" x14ac:dyDescent="0.2">
      <c r="L338" s="2" t="s">
        <v>1011</v>
      </c>
      <c r="M338" s="2">
        <v>102.5</v>
      </c>
      <c r="N338" s="11">
        <f t="shared" si="15"/>
        <v>8.4656084656084651E-2</v>
      </c>
      <c r="P338" s="2" t="s">
        <v>1011</v>
      </c>
      <c r="Q338" s="2">
        <v>316.74</v>
      </c>
      <c r="R338" s="11">
        <f t="shared" si="16"/>
        <v>3.1323261265954638E-2</v>
      </c>
      <c r="T338" s="2" t="s">
        <v>1011</v>
      </c>
      <c r="U338" s="2">
        <v>3878.43994140625</v>
      </c>
      <c r="V338" s="11">
        <f t="shared" si="17"/>
        <v>1.4867993802734736E-2</v>
      </c>
    </row>
    <row r="339" spans="12:22" x14ac:dyDescent="0.2">
      <c r="L339" s="2" t="s">
        <v>1010</v>
      </c>
      <c r="M339" s="2">
        <v>102.45</v>
      </c>
      <c r="N339" s="11">
        <f t="shared" si="15"/>
        <v>-4.8780487804878092E-4</v>
      </c>
      <c r="P339" s="2" t="s">
        <v>1010</v>
      </c>
      <c r="Q339" s="2">
        <v>312.93</v>
      </c>
      <c r="R339" s="11">
        <f t="shared" si="16"/>
        <v>-1.202879333207052E-2</v>
      </c>
      <c r="T339" s="2" t="s">
        <v>1010</v>
      </c>
      <c r="U339" s="2">
        <v>3822.389892578125</v>
      </c>
      <c r="V339" s="11">
        <f t="shared" si="17"/>
        <v>-1.4451699568616361E-2</v>
      </c>
    </row>
    <row r="340" spans="12:22" x14ac:dyDescent="0.2">
      <c r="L340" s="2" t="s">
        <v>1009</v>
      </c>
      <c r="M340" s="2">
        <v>103</v>
      </c>
      <c r="N340" s="11">
        <f t="shared" si="15"/>
        <v>5.3684724255733673E-3</v>
      </c>
      <c r="P340" s="2" t="s">
        <v>1009</v>
      </c>
      <c r="Q340" s="2">
        <v>311.54000000000002</v>
      </c>
      <c r="R340" s="11">
        <f t="shared" si="16"/>
        <v>-4.4418879621640484E-3</v>
      </c>
      <c r="T340" s="2" t="s">
        <v>1009</v>
      </c>
      <c r="U340" s="2">
        <v>3844.820068359375</v>
      </c>
      <c r="V340" s="11">
        <f t="shared" si="17"/>
        <v>5.8681025252820262E-3</v>
      </c>
    </row>
    <row r="341" spans="12:22" x14ac:dyDescent="0.2">
      <c r="L341" s="2" t="s">
        <v>1008</v>
      </c>
      <c r="M341" s="2">
        <v>107.97</v>
      </c>
      <c r="N341" s="11">
        <f t="shared" si="15"/>
        <v>4.8252427184465985E-2</v>
      </c>
      <c r="P341" s="2" t="s">
        <v>1008</v>
      </c>
      <c r="Q341" s="2">
        <v>315.04000000000002</v>
      </c>
      <c r="R341" s="11">
        <f t="shared" si="16"/>
        <v>1.1234512422160892E-2</v>
      </c>
      <c r="T341" s="2" t="s">
        <v>1008</v>
      </c>
      <c r="U341" s="2">
        <v>3829.25</v>
      </c>
      <c r="V341" s="11">
        <f t="shared" si="17"/>
        <v>-4.0496221104097119E-3</v>
      </c>
    </row>
    <row r="342" spans="12:22" x14ac:dyDescent="0.2">
      <c r="L342" s="2" t="s">
        <v>1007</v>
      </c>
      <c r="M342" s="2">
        <v>105.17</v>
      </c>
      <c r="N342" s="11">
        <f t="shared" si="15"/>
        <v>-2.5933129573029512E-2</v>
      </c>
      <c r="P342" s="2" t="s">
        <v>1007</v>
      </c>
      <c r="Q342" s="2">
        <v>308.95999999999998</v>
      </c>
      <c r="R342" s="11">
        <f t="shared" si="16"/>
        <v>-1.9299136617572543E-2</v>
      </c>
      <c r="T342" s="2" t="s">
        <v>1007</v>
      </c>
      <c r="U342" s="2">
        <v>3783.219970703125</v>
      </c>
      <c r="V342" s="11">
        <f t="shared" si="17"/>
        <v>-1.2020638322615351E-2</v>
      </c>
    </row>
    <row r="343" spans="12:22" x14ac:dyDescent="0.2">
      <c r="L343" s="2" t="s">
        <v>1006</v>
      </c>
      <c r="M343" s="2">
        <v>107.69</v>
      </c>
      <c r="N343" s="11">
        <f t="shared" si="15"/>
        <v>2.3961205667015317E-2</v>
      </c>
      <c r="P343" s="2" t="s">
        <v>1006</v>
      </c>
      <c r="Q343" s="2">
        <v>316.82</v>
      </c>
      <c r="R343" s="11">
        <f t="shared" si="16"/>
        <v>2.5440186431900713E-2</v>
      </c>
      <c r="T343" s="2" t="s">
        <v>1006</v>
      </c>
      <c r="U343" s="2">
        <v>3849.280029296875</v>
      </c>
      <c r="V343" s="11">
        <f t="shared" si="17"/>
        <v>1.7461331644819111E-2</v>
      </c>
    </row>
    <row r="344" spans="12:22" x14ac:dyDescent="0.2">
      <c r="L344" s="2" t="s">
        <v>1005</v>
      </c>
      <c r="M344" s="2">
        <v>108.43</v>
      </c>
      <c r="N344" s="11">
        <f t="shared" si="15"/>
        <v>6.8715758194819454E-3</v>
      </c>
      <c r="P344" s="2" t="s">
        <v>1005</v>
      </c>
      <c r="Q344" s="2">
        <v>320.38</v>
      </c>
      <c r="R344" s="11">
        <f t="shared" si="16"/>
        <v>1.1236664351997883E-2</v>
      </c>
      <c r="T344" s="2" t="s">
        <v>1005</v>
      </c>
      <c r="U344" s="2">
        <v>3839.5</v>
      </c>
      <c r="V344" s="11">
        <f t="shared" si="17"/>
        <v>-2.5407424823445934E-3</v>
      </c>
    </row>
    <row r="345" spans="12:22" x14ac:dyDescent="0.2">
      <c r="L345" s="2" t="s">
        <v>1004</v>
      </c>
      <c r="M345" s="2">
        <v>106.81</v>
      </c>
      <c r="N345" s="11">
        <f t="shared" si="15"/>
        <v>-1.494051461772572E-2</v>
      </c>
      <c r="P345" s="2" t="s">
        <v>1004</v>
      </c>
      <c r="Q345" s="2">
        <v>323.38</v>
      </c>
      <c r="R345" s="11">
        <f t="shared" si="16"/>
        <v>9.363880392034396E-3</v>
      </c>
      <c r="T345" s="2" t="s">
        <v>1004</v>
      </c>
      <c r="U345" s="2">
        <v>3824.139892578125</v>
      </c>
      <c r="V345" s="11">
        <f t="shared" si="17"/>
        <v>-4.000548879248611E-3</v>
      </c>
    </row>
    <row r="346" spans="12:22" x14ac:dyDescent="0.2">
      <c r="L346" s="2" t="s">
        <v>1003</v>
      </c>
      <c r="M346" s="2">
        <v>108.53</v>
      </c>
      <c r="N346" s="11">
        <f t="shared" si="15"/>
        <v>1.6103361108510406E-2</v>
      </c>
      <c r="P346" s="2" t="s">
        <v>1003</v>
      </c>
      <c r="Q346" s="2">
        <v>320.98</v>
      </c>
      <c r="R346" s="11">
        <f t="shared" si="16"/>
        <v>-7.4216092522727539E-3</v>
      </c>
      <c r="T346" s="2" t="s">
        <v>1003</v>
      </c>
      <c r="U346" s="2">
        <v>3852.969970703125</v>
      </c>
      <c r="V346" s="11">
        <f t="shared" si="17"/>
        <v>7.5389705750443792E-3</v>
      </c>
    </row>
    <row r="347" spans="12:22" x14ac:dyDescent="0.2">
      <c r="L347" s="2" t="s">
        <v>1002</v>
      </c>
      <c r="M347" s="2">
        <v>109.95</v>
      </c>
      <c r="N347" s="11">
        <f t="shared" si="15"/>
        <v>1.3083939924444898E-2</v>
      </c>
      <c r="P347" s="2" t="s">
        <v>1002</v>
      </c>
      <c r="Q347" s="2">
        <v>325.93</v>
      </c>
      <c r="R347" s="11">
        <f t="shared" si="16"/>
        <v>1.5421521590130105E-2</v>
      </c>
      <c r="T347" s="2" t="s">
        <v>1002</v>
      </c>
      <c r="U347" s="2">
        <v>3808.10009765625</v>
      </c>
      <c r="V347" s="11">
        <f t="shared" si="17"/>
        <v>-1.1645528874622113E-2</v>
      </c>
    </row>
    <row r="348" spans="12:22" x14ac:dyDescent="0.2">
      <c r="L348" s="2" t="s">
        <v>1001</v>
      </c>
      <c r="M348" s="2">
        <v>111.11</v>
      </c>
      <c r="N348" s="11">
        <f t="shared" si="15"/>
        <v>1.0550250113688042E-2</v>
      </c>
      <c r="P348" s="2" t="s">
        <v>1001</v>
      </c>
      <c r="Q348" s="2">
        <v>329.26</v>
      </c>
      <c r="R348" s="11">
        <f t="shared" si="16"/>
        <v>1.0216917743073539E-2</v>
      </c>
      <c r="T348" s="2" t="s">
        <v>1001</v>
      </c>
      <c r="U348" s="2">
        <v>3895.080078125</v>
      </c>
      <c r="V348" s="11">
        <f t="shared" si="17"/>
        <v>2.284078102943865E-2</v>
      </c>
    </row>
    <row r="349" spans="12:22" x14ac:dyDescent="0.2">
      <c r="L349" s="2" t="s">
        <v>1000</v>
      </c>
      <c r="M349" s="2">
        <v>113.43</v>
      </c>
      <c r="N349" s="11">
        <f t="shared" si="15"/>
        <v>2.0880208802088074E-2</v>
      </c>
      <c r="P349" s="2" t="s">
        <v>1000</v>
      </c>
      <c r="Q349" s="2">
        <v>298.66000000000003</v>
      </c>
      <c r="R349" s="11">
        <f t="shared" si="16"/>
        <v>-9.2935673935491625E-2</v>
      </c>
      <c r="T349" s="2" t="s">
        <v>1000</v>
      </c>
      <c r="U349" s="2">
        <v>3892.090087890625</v>
      </c>
      <c r="V349" s="11">
        <f t="shared" si="17"/>
        <v>-7.6763254526313052E-4</v>
      </c>
    </row>
    <row r="350" spans="12:22" x14ac:dyDescent="0.2">
      <c r="L350" s="2" t="s">
        <v>999</v>
      </c>
      <c r="M350" s="2">
        <v>115.27</v>
      </c>
      <c r="N350" s="11">
        <f t="shared" si="15"/>
        <v>1.6221458168033109E-2</v>
      </c>
      <c r="P350" s="2" t="s">
        <v>999</v>
      </c>
      <c r="Q350" s="2">
        <v>309.48</v>
      </c>
      <c r="R350" s="11">
        <f t="shared" si="16"/>
        <v>3.6228487243018748E-2</v>
      </c>
      <c r="T350" s="2" t="s">
        <v>999</v>
      </c>
      <c r="U350" s="2">
        <v>3919.25</v>
      </c>
      <c r="V350" s="11">
        <f t="shared" si="17"/>
        <v>6.9782331590619862E-3</v>
      </c>
    </row>
    <row r="351" spans="12:22" x14ac:dyDescent="0.2">
      <c r="L351" s="2" t="s">
        <v>998</v>
      </c>
      <c r="M351" s="2">
        <v>122.45</v>
      </c>
      <c r="N351" s="11">
        <f t="shared" si="15"/>
        <v>6.2288539949683308E-2</v>
      </c>
      <c r="P351" s="2" t="s">
        <v>998</v>
      </c>
      <c r="Q351" s="2">
        <v>311.95999999999998</v>
      </c>
      <c r="R351" s="11">
        <f t="shared" si="16"/>
        <v>8.013441902546159E-3</v>
      </c>
      <c r="T351" s="2" t="s">
        <v>998</v>
      </c>
      <c r="U351" s="2">
        <v>3969.610107421875</v>
      </c>
      <c r="V351" s="11">
        <f t="shared" si="17"/>
        <v>1.2849424614881588E-2</v>
      </c>
    </row>
    <row r="352" spans="12:22" x14ac:dyDescent="0.2">
      <c r="L352" s="2" t="s">
        <v>997</v>
      </c>
      <c r="M352" s="2">
        <v>127.11</v>
      </c>
      <c r="N352" s="11">
        <f t="shared" si="15"/>
        <v>3.8056349530420475E-2</v>
      </c>
      <c r="P352" s="2" t="s">
        <v>997</v>
      </c>
      <c r="Q352" s="2">
        <v>314.99</v>
      </c>
      <c r="R352" s="11">
        <f t="shared" si="16"/>
        <v>9.7127836902168863E-3</v>
      </c>
      <c r="T352" s="2" t="s">
        <v>997</v>
      </c>
      <c r="U352" s="2">
        <v>3983.169921875</v>
      </c>
      <c r="V352" s="11">
        <f t="shared" si="17"/>
        <v>3.4159058663651987E-3</v>
      </c>
    </row>
    <row r="353" spans="12:22" x14ac:dyDescent="0.2">
      <c r="L353" s="2" t="s">
        <v>996</v>
      </c>
      <c r="M353" s="2">
        <v>125.82</v>
      </c>
      <c r="N353" s="11">
        <f t="shared" si="15"/>
        <v>-1.0148690110927561E-2</v>
      </c>
      <c r="P353" s="2" t="s">
        <v>996</v>
      </c>
      <c r="Q353" s="2">
        <v>315.47000000000003</v>
      </c>
      <c r="R353" s="11">
        <f t="shared" si="16"/>
        <v>1.5238579002507802E-3</v>
      </c>
      <c r="T353" s="2" t="s">
        <v>996</v>
      </c>
      <c r="U353" s="2">
        <v>3999.090087890625</v>
      </c>
      <c r="V353" s="11">
        <f t="shared" si="17"/>
        <v>3.9968583635343613E-3</v>
      </c>
    </row>
    <row r="354" spans="12:22" x14ac:dyDescent="0.2">
      <c r="L354" s="2" t="s">
        <v>995</v>
      </c>
      <c r="M354" s="2">
        <v>128.05000000000001</v>
      </c>
      <c r="N354" s="11">
        <f t="shared" si="15"/>
        <v>1.7723732316007101E-2</v>
      </c>
      <c r="P354" s="2" t="s">
        <v>995</v>
      </c>
      <c r="Q354" s="2">
        <v>323.82</v>
      </c>
      <c r="R354" s="11">
        <f t="shared" si="16"/>
        <v>2.6468443909087869E-2</v>
      </c>
      <c r="T354" s="2" t="s">
        <v>995</v>
      </c>
      <c r="U354" s="2">
        <v>3990.969970703125</v>
      </c>
      <c r="V354" s="11">
        <f t="shared" si="17"/>
        <v>-2.0304911890052235E-3</v>
      </c>
    </row>
    <row r="355" spans="12:22" x14ac:dyDescent="0.2">
      <c r="L355" s="2" t="s">
        <v>994</v>
      </c>
      <c r="M355" s="2">
        <v>127.47</v>
      </c>
      <c r="N355" s="11">
        <f t="shared" si="15"/>
        <v>-4.52948067161274E-3</v>
      </c>
      <c r="P355" s="2" t="s">
        <v>994</v>
      </c>
      <c r="Q355" s="2">
        <v>318.07</v>
      </c>
      <c r="R355" s="11">
        <f t="shared" si="16"/>
        <v>-1.775677845716761E-2</v>
      </c>
      <c r="T355" s="2" t="s">
        <v>994</v>
      </c>
      <c r="U355" s="2">
        <v>3928.860107421875</v>
      </c>
      <c r="V355" s="11">
        <f t="shared" si="17"/>
        <v>-1.5562598500411085E-2</v>
      </c>
    </row>
    <row r="356" spans="12:22" x14ac:dyDescent="0.2">
      <c r="L356" s="2" t="s">
        <v>993</v>
      </c>
      <c r="M356" s="2">
        <v>121.43</v>
      </c>
      <c r="N356" s="11">
        <f t="shared" si="15"/>
        <v>-4.7383698125048945E-2</v>
      </c>
      <c r="P356" s="2" t="s">
        <v>993</v>
      </c>
      <c r="Q356" s="2">
        <v>307.94</v>
      </c>
      <c r="R356" s="11">
        <f t="shared" si="16"/>
        <v>-3.1848335272109951E-2</v>
      </c>
      <c r="T356" s="2" t="s">
        <v>993</v>
      </c>
      <c r="U356" s="2">
        <v>3898.85009765625</v>
      </c>
      <c r="V356" s="11">
        <f t="shared" si="17"/>
        <v>-7.6383502962943384E-3</v>
      </c>
    </row>
    <row r="357" spans="12:22" x14ac:dyDescent="0.2">
      <c r="L357" s="2" t="s">
        <v>992</v>
      </c>
      <c r="M357" s="2">
        <v>122.4</v>
      </c>
      <c r="N357" s="11">
        <f t="shared" si="15"/>
        <v>7.988141315984576E-3</v>
      </c>
      <c r="P357" s="2" t="s">
        <v>992</v>
      </c>
      <c r="Q357" s="2">
        <v>312.8</v>
      </c>
      <c r="R357" s="11">
        <f t="shared" si="16"/>
        <v>1.5782295252321887E-2</v>
      </c>
      <c r="T357" s="2" t="s">
        <v>992</v>
      </c>
      <c r="U357" s="2">
        <v>3972.610107421875</v>
      </c>
      <c r="V357" s="11">
        <f t="shared" si="17"/>
        <v>1.8918401045981525E-2</v>
      </c>
    </row>
    <row r="358" spans="12:22" x14ac:dyDescent="0.2">
      <c r="L358" s="2" t="s">
        <v>991</v>
      </c>
      <c r="M358" s="2">
        <v>125.59</v>
      </c>
      <c r="N358" s="11">
        <f t="shared" si="15"/>
        <v>2.6062091503267881E-2</v>
      </c>
      <c r="P358" s="2" t="s">
        <v>991</v>
      </c>
      <c r="Q358" s="2">
        <v>316.08</v>
      </c>
      <c r="R358" s="11">
        <f t="shared" si="16"/>
        <v>1.0485933503836309E-2</v>
      </c>
      <c r="T358" s="2" t="s">
        <v>991</v>
      </c>
      <c r="U358" s="2">
        <v>4019.81005859375</v>
      </c>
      <c r="V358" s="11">
        <f t="shared" si="17"/>
        <v>1.1881344983665221E-2</v>
      </c>
    </row>
    <row r="359" spans="12:22" x14ac:dyDescent="0.2">
      <c r="L359" s="2" t="s">
        <v>990</v>
      </c>
      <c r="M359" s="2">
        <v>123.24</v>
      </c>
      <c r="N359" s="11">
        <f t="shared" si="15"/>
        <v>-1.8711680866311031E-2</v>
      </c>
      <c r="P359" s="2" t="s">
        <v>990</v>
      </c>
      <c r="Q359" s="2">
        <v>311.20999999999998</v>
      </c>
      <c r="R359" s="11">
        <f t="shared" si="16"/>
        <v>-1.5407491774234394E-2</v>
      </c>
      <c r="T359" s="2" t="s">
        <v>990</v>
      </c>
      <c r="U359" s="2">
        <v>4016.949951171875</v>
      </c>
      <c r="V359" s="11">
        <f t="shared" si="17"/>
        <v>-7.1150312581569342E-4</v>
      </c>
    </row>
    <row r="360" spans="12:22" x14ac:dyDescent="0.2">
      <c r="L360" s="2" t="s">
        <v>989</v>
      </c>
      <c r="M360" s="2">
        <v>123.34</v>
      </c>
      <c r="N360" s="11">
        <f t="shared" si="15"/>
        <v>8.1142486205787456E-4</v>
      </c>
      <c r="P360" s="2" t="s">
        <v>989</v>
      </c>
      <c r="Q360" s="2">
        <v>309.52</v>
      </c>
      <c r="R360" s="11">
        <f t="shared" si="16"/>
        <v>-5.4304167603869136E-3</v>
      </c>
      <c r="T360" s="2" t="s">
        <v>989</v>
      </c>
      <c r="U360" s="2">
        <v>4016.219970703125</v>
      </c>
      <c r="V360" s="11">
        <f t="shared" si="17"/>
        <v>-1.8172505946634221E-4</v>
      </c>
    </row>
    <row r="361" spans="12:22" x14ac:dyDescent="0.2">
      <c r="L361" s="2" t="s">
        <v>988</v>
      </c>
      <c r="M361" s="2">
        <v>121.05</v>
      </c>
      <c r="N361" s="11">
        <f t="shared" si="15"/>
        <v>-1.8566563969515171E-2</v>
      </c>
      <c r="P361" s="2" t="s">
        <v>988</v>
      </c>
      <c r="Q361" s="2">
        <v>309.58999999999997</v>
      </c>
      <c r="R361" s="11">
        <f t="shared" si="16"/>
        <v>2.2615662962000016E-4</v>
      </c>
      <c r="T361" s="2" t="s">
        <v>988</v>
      </c>
      <c r="U361" s="2">
        <v>4060.429931640625</v>
      </c>
      <c r="V361" s="11">
        <f t="shared" si="17"/>
        <v>1.1007853469181317E-2</v>
      </c>
    </row>
    <row r="362" spans="12:22" x14ac:dyDescent="0.2">
      <c r="L362" s="2" t="s">
        <v>987</v>
      </c>
      <c r="M362" s="2">
        <v>121.32</v>
      </c>
      <c r="N362" s="11">
        <f t="shared" si="15"/>
        <v>2.2304832713755385E-3</v>
      </c>
      <c r="P362" s="2" t="s">
        <v>987</v>
      </c>
      <c r="Q362" s="2">
        <v>310.85000000000002</v>
      </c>
      <c r="R362" s="11">
        <f t="shared" si="16"/>
        <v>4.0698988985434781E-3</v>
      </c>
      <c r="T362" s="2" t="s">
        <v>987</v>
      </c>
      <c r="U362" s="2">
        <v>4070.56005859375</v>
      </c>
      <c r="V362" s="11">
        <f t="shared" si="17"/>
        <v>2.4948409709490971E-3</v>
      </c>
    </row>
    <row r="363" spans="12:22" x14ac:dyDescent="0.2">
      <c r="L363" s="2" t="s">
        <v>986</v>
      </c>
      <c r="M363" s="2">
        <v>118.08</v>
      </c>
      <c r="N363" s="11">
        <f t="shared" si="15"/>
        <v>-2.6706231454005858E-2</v>
      </c>
      <c r="P363" s="2" t="s">
        <v>986</v>
      </c>
      <c r="Q363" s="2">
        <v>302.58999999999997</v>
      </c>
      <c r="R363" s="11">
        <f t="shared" si="16"/>
        <v>-2.657230175325731E-2</v>
      </c>
      <c r="T363" s="2" t="s">
        <v>986</v>
      </c>
      <c r="U363" s="2">
        <v>4017.77001953125</v>
      </c>
      <c r="V363" s="11">
        <f t="shared" si="17"/>
        <v>-1.2968740984683369E-2</v>
      </c>
    </row>
    <row r="364" spans="12:22" x14ac:dyDescent="0.2">
      <c r="L364" s="2" t="s">
        <v>985</v>
      </c>
      <c r="M364" s="2">
        <v>121.77</v>
      </c>
      <c r="N364" s="11">
        <f t="shared" si="15"/>
        <v>3.125E-2</v>
      </c>
      <c r="P364" s="2" t="s">
        <v>985</v>
      </c>
      <c r="Q364" s="2">
        <v>306.88</v>
      </c>
      <c r="R364" s="11">
        <f t="shared" si="16"/>
        <v>1.4177600052876826E-2</v>
      </c>
      <c r="T364" s="2" t="s">
        <v>985</v>
      </c>
      <c r="U364" s="2">
        <v>4076.60009765625</v>
      </c>
      <c r="V364" s="11">
        <f t="shared" si="17"/>
        <v>1.4642470285510134E-2</v>
      </c>
    </row>
    <row r="365" spans="12:22" x14ac:dyDescent="0.2">
      <c r="L365" s="2" t="s">
        <v>984</v>
      </c>
      <c r="M365" s="2">
        <v>125.24</v>
      </c>
      <c r="N365" s="11">
        <f t="shared" si="15"/>
        <v>2.849634556951619E-2</v>
      </c>
      <c r="P365" s="2" t="s">
        <v>984</v>
      </c>
      <c r="Q365" s="2">
        <v>315.70999999999998</v>
      </c>
      <c r="R365" s="11">
        <f t="shared" si="16"/>
        <v>2.8773461939520351E-2</v>
      </c>
      <c r="T365" s="2" t="s">
        <v>984</v>
      </c>
      <c r="U365" s="2">
        <v>4119.2099609375</v>
      </c>
      <c r="V365" s="11">
        <f t="shared" si="17"/>
        <v>1.0452303944590291E-2</v>
      </c>
    </row>
    <row r="366" spans="12:22" x14ac:dyDescent="0.2">
      <c r="L366" s="2" t="s">
        <v>983</v>
      </c>
      <c r="M366" s="2">
        <v>125.42</v>
      </c>
      <c r="N366" s="11">
        <f t="shared" si="15"/>
        <v>1.4372404982434528E-3</v>
      </c>
      <c r="P366" s="2" t="s">
        <v>983</v>
      </c>
      <c r="Q366" s="2">
        <v>322.76</v>
      </c>
      <c r="R366" s="11">
        <f t="shared" si="16"/>
        <v>2.2330619872668045E-2</v>
      </c>
      <c r="T366" s="2" t="s">
        <v>983</v>
      </c>
      <c r="U366" s="2">
        <v>4179.759765625</v>
      </c>
      <c r="V366" s="11">
        <f t="shared" si="17"/>
        <v>1.4699373244309921E-2</v>
      </c>
    </row>
    <row r="367" spans="12:22" x14ac:dyDescent="0.2">
      <c r="L367" s="2" t="s">
        <v>982</v>
      </c>
      <c r="M367" s="2">
        <v>121.98</v>
      </c>
      <c r="N367" s="11">
        <f t="shared" si="15"/>
        <v>-2.7427842449370132E-2</v>
      </c>
      <c r="P367" s="2" t="s">
        <v>982</v>
      </c>
      <c r="Q367" s="2">
        <v>319.42</v>
      </c>
      <c r="R367" s="11">
        <f t="shared" si="16"/>
        <v>-1.0348246375015413E-2</v>
      </c>
      <c r="T367" s="2" t="s">
        <v>982</v>
      </c>
      <c r="U367" s="2">
        <v>4136.47998046875</v>
      </c>
      <c r="V367" s="11">
        <f t="shared" si="17"/>
        <v>-1.0354610691310495E-2</v>
      </c>
    </row>
    <row r="368" spans="12:22" x14ac:dyDescent="0.2">
      <c r="L368" s="2" t="s">
        <v>981</v>
      </c>
      <c r="M368" s="2">
        <v>118.73</v>
      </c>
      <c r="N368" s="11">
        <f t="shared" si="15"/>
        <v>-2.6643712083948223E-2</v>
      </c>
      <c r="P368" s="2" t="s">
        <v>981</v>
      </c>
      <c r="Q368" s="2">
        <v>311.32</v>
      </c>
      <c r="R368" s="11">
        <f t="shared" si="16"/>
        <v>-2.5358462212760724E-2</v>
      </c>
      <c r="T368" s="2" t="s">
        <v>981</v>
      </c>
      <c r="U368" s="2">
        <v>4111.080078125</v>
      </c>
      <c r="V368" s="11">
        <f t="shared" si="17"/>
        <v>-6.140463017754394E-3</v>
      </c>
    </row>
    <row r="369" spans="12:22" x14ac:dyDescent="0.2">
      <c r="L369" s="2" t="s">
        <v>980</v>
      </c>
      <c r="M369" s="2">
        <v>120.56</v>
      </c>
      <c r="N369" s="11">
        <f t="shared" si="15"/>
        <v>1.5413122210056418E-2</v>
      </c>
      <c r="P369" s="2" t="s">
        <v>980</v>
      </c>
      <c r="Q369" s="2">
        <v>319.10000000000002</v>
      </c>
      <c r="R369" s="11">
        <f t="shared" si="16"/>
        <v>2.4990363613002886E-2</v>
      </c>
      <c r="T369" s="2" t="s">
        <v>980</v>
      </c>
      <c r="U369" s="2">
        <v>4164</v>
      </c>
      <c r="V369" s="11">
        <f t="shared" si="17"/>
        <v>1.2872510598026521E-2</v>
      </c>
    </row>
    <row r="370" spans="12:22" x14ac:dyDescent="0.2">
      <c r="L370" s="2" t="s">
        <v>979</v>
      </c>
      <c r="M370" s="2">
        <v>116.62</v>
      </c>
      <c r="N370" s="11">
        <f t="shared" si="15"/>
        <v>-3.2680822826808176E-2</v>
      </c>
      <c r="P370" s="2" t="s">
        <v>979</v>
      </c>
      <c r="Q370" s="2">
        <v>309.27999999999997</v>
      </c>
      <c r="R370" s="11">
        <f t="shared" si="16"/>
        <v>-3.0774052021310117E-2</v>
      </c>
      <c r="T370" s="2" t="s">
        <v>979</v>
      </c>
      <c r="U370" s="2">
        <v>4117.85986328125</v>
      </c>
      <c r="V370" s="11">
        <f t="shared" si="17"/>
        <v>-1.1080724476164705E-2</v>
      </c>
    </row>
    <row r="371" spans="12:22" x14ac:dyDescent="0.2">
      <c r="L371" s="2" t="s">
        <v>978</v>
      </c>
      <c r="M371" s="2">
        <v>114.78</v>
      </c>
      <c r="N371" s="11">
        <f t="shared" si="15"/>
        <v>-1.5777739667295565E-2</v>
      </c>
      <c r="P371" s="2" t="s">
        <v>978</v>
      </c>
      <c r="Q371" s="2">
        <v>310.45</v>
      </c>
      <c r="R371" s="11">
        <f t="shared" si="16"/>
        <v>3.7829798241075796E-3</v>
      </c>
      <c r="T371" s="2" t="s">
        <v>978</v>
      </c>
      <c r="U371" s="2">
        <v>4081.5</v>
      </c>
      <c r="V371" s="11">
        <f t="shared" si="17"/>
        <v>-8.8297961777351608E-3</v>
      </c>
    </row>
    <row r="372" spans="12:22" x14ac:dyDescent="0.2">
      <c r="L372" s="2" t="s">
        <v>977</v>
      </c>
      <c r="M372" s="2">
        <v>115.3</v>
      </c>
      <c r="N372" s="11">
        <f t="shared" si="15"/>
        <v>4.5304059940756147E-3</v>
      </c>
      <c r="P372" s="2" t="s">
        <v>977</v>
      </c>
      <c r="Q372" s="2">
        <v>309.39999999999998</v>
      </c>
      <c r="R372" s="11">
        <f t="shared" si="16"/>
        <v>-3.3821871476888976E-3</v>
      </c>
      <c r="T372" s="2" t="s">
        <v>977</v>
      </c>
      <c r="U372" s="2">
        <v>4090.4599609375</v>
      </c>
      <c r="V372" s="11">
        <f t="shared" si="17"/>
        <v>2.1952617756952897E-3</v>
      </c>
    </row>
    <row r="373" spans="12:22" x14ac:dyDescent="0.2">
      <c r="L373" s="2" t="s">
        <v>976</v>
      </c>
      <c r="M373" s="2">
        <v>118.65</v>
      </c>
      <c r="N373" s="11">
        <f t="shared" si="15"/>
        <v>2.9054640069384297E-2</v>
      </c>
      <c r="P373" s="2" t="s">
        <v>976</v>
      </c>
      <c r="Q373" s="2">
        <v>317.08</v>
      </c>
      <c r="R373" s="11">
        <f t="shared" si="16"/>
        <v>2.4822236586942603E-2</v>
      </c>
      <c r="T373" s="2" t="s">
        <v>976</v>
      </c>
      <c r="U373" s="2">
        <v>4137.2900390625</v>
      </c>
      <c r="V373" s="11">
        <f t="shared" si="17"/>
        <v>1.1448609342766147E-2</v>
      </c>
    </row>
    <row r="374" spans="12:22" x14ac:dyDescent="0.2">
      <c r="L374" s="2" t="s">
        <v>975</v>
      </c>
      <c r="M374" s="2">
        <v>122.43</v>
      </c>
      <c r="N374" s="11">
        <f t="shared" si="15"/>
        <v>3.1858407079645934E-2</v>
      </c>
      <c r="P374" s="2" t="s">
        <v>975</v>
      </c>
      <c r="Q374" s="2">
        <v>319.88</v>
      </c>
      <c r="R374" s="11">
        <f t="shared" si="16"/>
        <v>8.8305790336824508E-3</v>
      </c>
      <c r="T374" s="2" t="s">
        <v>975</v>
      </c>
      <c r="U374" s="2">
        <v>4136.1298828125</v>
      </c>
      <c r="V374" s="11">
        <f t="shared" si="17"/>
        <v>-2.8041453198746069E-4</v>
      </c>
    </row>
    <row r="375" spans="12:22" x14ac:dyDescent="0.2">
      <c r="L375" s="2" t="s">
        <v>974</v>
      </c>
      <c r="M375" s="2">
        <v>125.67</v>
      </c>
      <c r="N375" s="11">
        <f t="shared" si="15"/>
        <v>2.6464101935800066E-2</v>
      </c>
      <c r="P375" s="2" t="s">
        <v>974</v>
      </c>
      <c r="Q375" s="2">
        <v>325.23</v>
      </c>
      <c r="R375" s="11">
        <f t="shared" si="16"/>
        <v>1.6725021883206237E-2</v>
      </c>
      <c r="T375" s="2" t="s">
        <v>974</v>
      </c>
      <c r="U375" s="2">
        <v>4147.60009765625</v>
      </c>
      <c r="V375" s="11">
        <f t="shared" si="17"/>
        <v>2.7731756904960658E-3</v>
      </c>
    </row>
    <row r="376" spans="12:22" x14ac:dyDescent="0.2">
      <c r="L376" s="2" t="s">
        <v>973</v>
      </c>
      <c r="M376" s="2">
        <v>131.19999999999999</v>
      </c>
      <c r="N376" s="11">
        <f t="shared" si="15"/>
        <v>4.4004137821277878E-2</v>
      </c>
      <c r="P376" s="2" t="s">
        <v>973</v>
      </c>
      <c r="Q376" s="2">
        <v>321.83</v>
      </c>
      <c r="R376" s="11">
        <f t="shared" si="16"/>
        <v>-1.045414014697299E-2</v>
      </c>
      <c r="T376" s="2" t="s">
        <v>973</v>
      </c>
      <c r="U376" s="2">
        <v>4090.409912109375</v>
      </c>
      <c r="V376" s="11">
        <f t="shared" si="17"/>
        <v>-1.3788741489130674E-2</v>
      </c>
    </row>
    <row r="377" spans="12:22" x14ac:dyDescent="0.2">
      <c r="L377" s="2" t="s">
        <v>972</v>
      </c>
      <c r="M377" s="2">
        <v>131.47</v>
      </c>
      <c r="N377" s="11">
        <f t="shared" si="15"/>
        <v>2.0579268292684194E-3</v>
      </c>
      <c r="P377" s="2" t="s">
        <v>972</v>
      </c>
      <c r="Q377" s="2">
        <v>320.36</v>
      </c>
      <c r="R377" s="11">
        <f t="shared" si="16"/>
        <v>-4.5676288723859315E-3</v>
      </c>
      <c r="T377" s="2" t="s">
        <v>972</v>
      </c>
      <c r="U377" s="2">
        <v>4079.090087890625</v>
      </c>
      <c r="V377" s="11">
        <f t="shared" si="17"/>
        <v>-2.7674058253277511E-3</v>
      </c>
    </row>
    <row r="378" spans="12:22" x14ac:dyDescent="0.2">
      <c r="L378" s="2" t="s">
        <v>971</v>
      </c>
      <c r="M378" s="2">
        <v>118.72</v>
      </c>
      <c r="N378" s="11">
        <f t="shared" si="15"/>
        <v>-9.6980299688141813E-2</v>
      </c>
      <c r="P378" s="2" t="s">
        <v>971</v>
      </c>
      <c r="Q378" s="2">
        <v>314.11</v>
      </c>
      <c r="R378" s="11">
        <f t="shared" si="16"/>
        <v>-1.9509302035210396E-2</v>
      </c>
      <c r="T378" s="2" t="s">
        <v>971</v>
      </c>
      <c r="U378" s="2">
        <v>3997.340087890625</v>
      </c>
      <c r="V378" s="11">
        <f t="shared" si="17"/>
        <v>-2.0041234255327334E-2</v>
      </c>
    </row>
    <row r="379" spans="12:22" x14ac:dyDescent="0.2">
      <c r="L379" s="2" t="s">
        <v>970</v>
      </c>
      <c r="M379" s="2">
        <v>125.18</v>
      </c>
      <c r="N379" s="11">
        <f t="shared" si="15"/>
        <v>5.4413746630727733E-2</v>
      </c>
      <c r="P379" s="2" t="s">
        <v>970</v>
      </c>
      <c r="Q379" s="2">
        <v>316.52</v>
      </c>
      <c r="R379" s="11">
        <f t="shared" si="16"/>
        <v>7.6724714272069505E-3</v>
      </c>
      <c r="T379" s="2" t="s">
        <v>970</v>
      </c>
      <c r="U379" s="2">
        <v>3991.050048828125</v>
      </c>
      <c r="V379" s="11">
        <f t="shared" si="17"/>
        <v>-1.5735561458868341E-3</v>
      </c>
    </row>
    <row r="380" spans="12:22" x14ac:dyDescent="0.2">
      <c r="L380" s="2" t="s">
        <v>969</v>
      </c>
      <c r="M380" s="2">
        <v>125.47</v>
      </c>
      <c r="N380" s="11">
        <f t="shared" si="15"/>
        <v>2.3166640038343456E-3</v>
      </c>
      <c r="P380" s="2" t="s">
        <v>969</v>
      </c>
      <c r="Q380" s="2">
        <v>317.8</v>
      </c>
      <c r="R380" s="11">
        <f t="shared" si="16"/>
        <v>4.0439782636170207E-3</v>
      </c>
      <c r="T380" s="2" t="s">
        <v>969</v>
      </c>
      <c r="U380" s="2">
        <v>4012.320068359375</v>
      </c>
      <c r="V380" s="11">
        <f t="shared" si="17"/>
        <v>5.3294294160743938E-3</v>
      </c>
    </row>
    <row r="381" spans="12:22" x14ac:dyDescent="0.2">
      <c r="L381" s="2" t="s">
        <v>968</v>
      </c>
      <c r="M381" s="2">
        <v>122.36</v>
      </c>
      <c r="N381" s="11">
        <f t="shared" si="15"/>
        <v>-2.4786801625886645E-2</v>
      </c>
      <c r="P381" s="2" t="s">
        <v>968</v>
      </c>
      <c r="Q381" s="2">
        <v>308.10000000000002</v>
      </c>
      <c r="R381" s="11">
        <f t="shared" si="16"/>
        <v>-3.0522341095028271E-2</v>
      </c>
      <c r="T381" s="2" t="s">
        <v>968</v>
      </c>
      <c r="U381" s="2">
        <v>3970.0400390625</v>
      </c>
      <c r="V381" s="11">
        <f t="shared" si="17"/>
        <v>-1.0537551485558128E-2</v>
      </c>
    </row>
    <row r="382" spans="12:22" x14ac:dyDescent="0.2">
      <c r="L382" s="2" t="s">
        <v>967</v>
      </c>
      <c r="M382" s="2">
        <v>123.58</v>
      </c>
      <c r="N382" s="11">
        <f t="shared" si="15"/>
        <v>9.9705786204642433E-3</v>
      </c>
      <c r="P382" s="2" t="s">
        <v>967</v>
      </c>
      <c r="Q382" s="2">
        <v>310.3</v>
      </c>
      <c r="R382" s="11">
        <f t="shared" si="16"/>
        <v>7.1405387861083192E-3</v>
      </c>
      <c r="T382" s="2" t="s">
        <v>967</v>
      </c>
      <c r="U382" s="2">
        <v>3982.239990234375</v>
      </c>
      <c r="V382" s="11">
        <f t="shared" si="17"/>
        <v>3.0730045671669703E-3</v>
      </c>
    </row>
    <row r="383" spans="12:22" x14ac:dyDescent="0.2">
      <c r="L383" s="2" t="s">
        <v>966</v>
      </c>
      <c r="M383" s="2">
        <v>121.71</v>
      </c>
      <c r="N383" s="11">
        <f t="shared" si="15"/>
        <v>-1.5131898365431384E-2</v>
      </c>
      <c r="P383" s="2" t="s">
        <v>966</v>
      </c>
      <c r="Q383" s="2">
        <v>309.2</v>
      </c>
      <c r="R383" s="11">
        <f t="shared" si="16"/>
        <v>-3.5449564937157785E-3</v>
      </c>
      <c r="T383" s="2" t="s">
        <v>966</v>
      </c>
      <c r="U383" s="2">
        <v>3970.14990234375</v>
      </c>
      <c r="V383" s="11">
        <f t="shared" si="17"/>
        <v>-3.0360018281855305E-3</v>
      </c>
    </row>
    <row r="384" spans="12:22" x14ac:dyDescent="0.2">
      <c r="L384" s="2" t="s">
        <v>965</v>
      </c>
      <c r="M384" s="2">
        <v>124.45</v>
      </c>
      <c r="N384" s="11">
        <f t="shared" si="15"/>
        <v>2.2512529783912605E-2</v>
      </c>
      <c r="P384" s="2" t="s">
        <v>965</v>
      </c>
      <c r="Q384" s="2">
        <v>309.49</v>
      </c>
      <c r="R384" s="11">
        <f t="shared" si="16"/>
        <v>9.3790426908157976E-4</v>
      </c>
      <c r="T384" s="2" t="s">
        <v>965</v>
      </c>
      <c r="U384" s="2">
        <v>3951.389892578125</v>
      </c>
      <c r="V384" s="11">
        <f t="shared" si="17"/>
        <v>-4.7252648456800328E-3</v>
      </c>
    </row>
    <row r="385" spans="12:22" x14ac:dyDescent="0.2">
      <c r="L385" s="2" t="s">
        <v>964</v>
      </c>
      <c r="M385" s="2">
        <v>125.35</v>
      </c>
      <c r="N385" s="11">
        <f t="shared" si="15"/>
        <v>7.2318200080352391E-3</v>
      </c>
      <c r="P385" s="2" t="s">
        <v>964</v>
      </c>
      <c r="Q385" s="2">
        <v>311.64999999999998</v>
      </c>
      <c r="R385" s="11">
        <f t="shared" si="16"/>
        <v>6.9792238844550436E-3</v>
      </c>
      <c r="T385" s="2" t="s">
        <v>964</v>
      </c>
      <c r="U385" s="2">
        <v>3981.35009765625</v>
      </c>
      <c r="V385" s="11">
        <f t="shared" si="17"/>
        <v>7.5821940867943916E-3</v>
      </c>
    </row>
    <row r="386" spans="12:22" x14ac:dyDescent="0.2">
      <c r="L386" s="2" t="s">
        <v>963</v>
      </c>
      <c r="M386" s="2">
        <v>125.54</v>
      </c>
      <c r="N386" s="11">
        <f t="shared" si="15"/>
        <v>1.5157558835261487E-3</v>
      </c>
      <c r="P386" s="2" t="s">
        <v>963</v>
      </c>
      <c r="Q386" s="2">
        <v>316.83</v>
      </c>
      <c r="R386" s="11">
        <f t="shared" si="16"/>
        <v>1.6621209690357741E-2</v>
      </c>
      <c r="T386" s="2" t="s">
        <v>963</v>
      </c>
      <c r="U386" s="2">
        <v>4045.639892578125</v>
      </c>
      <c r="V386" s="11">
        <f t="shared" si="17"/>
        <v>1.6147737160748799E-2</v>
      </c>
    </row>
    <row r="387" spans="12:22" x14ac:dyDescent="0.2">
      <c r="L387" s="2" t="s">
        <v>962</v>
      </c>
      <c r="M387" s="2">
        <v>125.06</v>
      </c>
      <c r="N387" s="11">
        <f t="shared" si="15"/>
        <v>-3.8234825553609131E-3</v>
      </c>
      <c r="P387" s="2" t="s">
        <v>962</v>
      </c>
      <c r="Q387" s="2">
        <v>304.60000000000002</v>
      </c>
      <c r="R387" s="11">
        <f t="shared" si="16"/>
        <v>-3.8601142568569724E-2</v>
      </c>
      <c r="T387" s="2" t="s">
        <v>962</v>
      </c>
      <c r="U387" s="2">
        <v>4048.419921875</v>
      </c>
      <c r="V387" s="11">
        <f t="shared" si="17"/>
        <v>6.8716676982916169E-4</v>
      </c>
    </row>
    <row r="388" spans="12:22" x14ac:dyDescent="0.2">
      <c r="L388" s="2" t="s">
        <v>961</v>
      </c>
      <c r="M388" s="2">
        <v>124.47</v>
      </c>
      <c r="N388" s="11">
        <f t="shared" si="15"/>
        <v>-4.7177354869663013E-3</v>
      </c>
      <c r="P388" s="2" t="s">
        <v>961</v>
      </c>
      <c r="Q388" s="2">
        <v>301.81</v>
      </c>
      <c r="R388" s="11">
        <f t="shared" si="16"/>
        <v>-9.1595535128037309E-3</v>
      </c>
      <c r="T388" s="2" t="s">
        <v>961</v>
      </c>
      <c r="U388" s="2">
        <v>3986.3701171875</v>
      </c>
      <c r="V388" s="11">
        <f t="shared" si="17"/>
        <v>-1.5326919115337678E-2</v>
      </c>
    </row>
    <row r="389" spans="12:22" x14ac:dyDescent="0.2">
      <c r="L389" s="2" t="s">
        <v>960</v>
      </c>
      <c r="M389" s="2">
        <v>123.8</v>
      </c>
      <c r="N389" s="11">
        <f t="shared" si="15"/>
        <v>-5.3828231702418572E-3</v>
      </c>
      <c r="P389" s="2" t="s">
        <v>960</v>
      </c>
      <c r="Q389" s="2">
        <v>305.87</v>
      </c>
      <c r="R389" s="11">
        <f t="shared" si="16"/>
        <v>1.3452171896226162E-2</v>
      </c>
      <c r="T389" s="2" t="s">
        <v>960</v>
      </c>
      <c r="U389" s="2">
        <v>3992.010009765625</v>
      </c>
      <c r="V389" s="11">
        <f t="shared" si="17"/>
        <v>1.4147940136839399E-3</v>
      </c>
    </row>
    <row r="390" spans="12:22" x14ac:dyDescent="0.2">
      <c r="L390" s="2" t="s">
        <v>959</v>
      </c>
      <c r="M390" s="2">
        <v>119.63</v>
      </c>
      <c r="N390" s="11">
        <f t="shared" ref="N390:N453" si="18">+M390/M389-1</f>
        <v>-3.3683360258481398E-2</v>
      </c>
      <c r="P390" s="2" t="s">
        <v>959</v>
      </c>
      <c r="Q390" s="2">
        <v>301.8</v>
      </c>
      <c r="R390" s="11">
        <f t="shared" ref="R390:R453" si="19">+Q390/Q389-1</f>
        <v>-1.3306306600843421E-2</v>
      </c>
      <c r="T390" s="2" t="s">
        <v>959</v>
      </c>
      <c r="U390" s="2">
        <v>3918.320068359375</v>
      </c>
      <c r="V390" s="11">
        <f t="shared" ref="V390:V453" si="20">+U390/U389-1</f>
        <v>-1.845935787384867E-2</v>
      </c>
    </row>
    <row r="391" spans="12:22" x14ac:dyDescent="0.2">
      <c r="L391" s="2" t="s">
        <v>958</v>
      </c>
      <c r="M391" s="2">
        <v>115.32</v>
      </c>
      <c r="N391" s="11">
        <f t="shared" si="18"/>
        <v>-3.602775223606125E-2</v>
      </c>
      <c r="P391" s="2" t="s">
        <v>958</v>
      </c>
      <c r="Q391" s="2">
        <v>296.26</v>
      </c>
      <c r="R391" s="11">
        <f t="shared" si="19"/>
        <v>-1.8356527501656839E-2</v>
      </c>
      <c r="T391" s="2" t="s">
        <v>958</v>
      </c>
      <c r="U391" s="2">
        <v>3861.590087890625</v>
      </c>
      <c r="V391" s="11">
        <f t="shared" si="20"/>
        <v>-1.447813845705137E-2</v>
      </c>
    </row>
    <row r="392" spans="12:22" x14ac:dyDescent="0.2">
      <c r="L392" s="2" t="s">
        <v>957</v>
      </c>
      <c r="M392" s="2">
        <v>111.31</v>
      </c>
      <c r="N392" s="11">
        <f t="shared" si="18"/>
        <v>-3.4772806104751863E-2</v>
      </c>
      <c r="P392" s="2" t="s">
        <v>957</v>
      </c>
      <c r="Q392" s="2">
        <v>292.89999999999998</v>
      </c>
      <c r="R392" s="11">
        <f t="shared" si="19"/>
        <v>-1.1341389320191797E-2</v>
      </c>
      <c r="T392" s="2" t="s">
        <v>957</v>
      </c>
      <c r="U392" s="2">
        <v>3855.760009765625</v>
      </c>
      <c r="V392" s="11">
        <f t="shared" si="20"/>
        <v>-1.5097610031894471E-3</v>
      </c>
    </row>
    <row r="393" spans="12:22" x14ac:dyDescent="0.2">
      <c r="L393" s="2" t="s">
        <v>956</v>
      </c>
      <c r="M393" s="2">
        <v>116.24</v>
      </c>
      <c r="N393" s="11">
        <f t="shared" si="18"/>
        <v>4.429071961189468E-2</v>
      </c>
      <c r="P393" s="2" t="s">
        <v>956</v>
      </c>
      <c r="Q393" s="2">
        <v>295.10000000000002</v>
      </c>
      <c r="R393" s="11">
        <f t="shared" si="19"/>
        <v>7.5110959371800234E-3</v>
      </c>
      <c r="T393" s="2" t="s">
        <v>956</v>
      </c>
      <c r="U393" s="2">
        <v>3919.2900390625</v>
      </c>
      <c r="V393" s="11">
        <f t="shared" si="20"/>
        <v>1.6476655480623936E-2</v>
      </c>
    </row>
    <row r="394" spans="12:22" x14ac:dyDescent="0.2">
      <c r="L394" s="2" t="s">
        <v>955</v>
      </c>
      <c r="M394" s="2">
        <v>117.43</v>
      </c>
      <c r="N394" s="11">
        <f t="shared" si="18"/>
        <v>1.0237439779766211E-2</v>
      </c>
      <c r="P394" s="2" t="s">
        <v>955</v>
      </c>
      <c r="Q394" s="2">
        <v>293.23</v>
      </c>
      <c r="R394" s="11">
        <f t="shared" si="19"/>
        <v>-6.3368349711961924E-3</v>
      </c>
      <c r="T394" s="2" t="s">
        <v>955</v>
      </c>
      <c r="U394" s="2">
        <v>3891.929931640625</v>
      </c>
      <c r="V394" s="11">
        <f t="shared" si="20"/>
        <v>-6.98088356543769E-3</v>
      </c>
    </row>
    <row r="395" spans="12:22" x14ac:dyDescent="0.2">
      <c r="L395" s="2" t="s">
        <v>954</v>
      </c>
      <c r="M395" s="2">
        <v>121.26</v>
      </c>
      <c r="N395" s="11">
        <f t="shared" si="18"/>
        <v>3.2615174997871144E-2</v>
      </c>
      <c r="P395" s="2" t="s">
        <v>954</v>
      </c>
      <c r="Q395" s="2">
        <v>297.39999999999998</v>
      </c>
      <c r="R395" s="11">
        <f t="shared" si="19"/>
        <v>1.4220918732735344E-2</v>
      </c>
      <c r="T395" s="2" t="s">
        <v>954</v>
      </c>
      <c r="U395" s="2">
        <v>3960.280029296875</v>
      </c>
      <c r="V395" s="11">
        <f t="shared" si="20"/>
        <v>1.7562006217166637E-2</v>
      </c>
    </row>
    <row r="396" spans="12:22" x14ac:dyDescent="0.2">
      <c r="L396" s="2" t="s">
        <v>953</v>
      </c>
      <c r="M396" s="2">
        <v>119.92</v>
      </c>
      <c r="N396" s="11">
        <f t="shared" si="18"/>
        <v>-1.1050634999175357E-2</v>
      </c>
      <c r="P396" s="2" t="s">
        <v>953</v>
      </c>
      <c r="Q396" s="2">
        <v>294.74</v>
      </c>
      <c r="R396" s="11">
        <f t="shared" si="19"/>
        <v>-8.9441829186279742E-3</v>
      </c>
      <c r="T396" s="2" t="s">
        <v>953</v>
      </c>
      <c r="U396" s="2">
        <v>3916.639892578125</v>
      </c>
      <c r="V396" s="11">
        <f t="shared" si="20"/>
        <v>-1.1019457310067593E-2</v>
      </c>
    </row>
    <row r="397" spans="12:22" x14ac:dyDescent="0.2">
      <c r="L397" s="2" t="s">
        <v>952</v>
      </c>
      <c r="M397" s="2">
        <v>118.59</v>
      </c>
      <c r="N397" s="11">
        <f t="shared" si="18"/>
        <v>-1.1090727151434221E-2</v>
      </c>
      <c r="P397" s="2" t="s">
        <v>952</v>
      </c>
      <c r="Q397" s="2">
        <v>293.45</v>
      </c>
      <c r="R397" s="11">
        <f t="shared" si="19"/>
        <v>-4.3767388206555902E-3</v>
      </c>
      <c r="T397" s="2" t="s">
        <v>952</v>
      </c>
      <c r="U397" s="2">
        <v>3951.570068359375</v>
      </c>
      <c r="V397" s="11">
        <f t="shared" si="20"/>
        <v>8.9184037183100973E-3</v>
      </c>
    </row>
    <row r="398" spans="12:22" x14ac:dyDescent="0.2">
      <c r="L398" s="2" t="s">
        <v>951</v>
      </c>
      <c r="M398" s="2">
        <v>122.02</v>
      </c>
      <c r="N398" s="11">
        <f t="shared" si="18"/>
        <v>2.8923180706636353E-2</v>
      </c>
      <c r="P398" s="2" t="s">
        <v>951</v>
      </c>
      <c r="Q398" s="2">
        <v>298.81</v>
      </c>
      <c r="R398" s="11">
        <f t="shared" si="19"/>
        <v>1.82654626001022E-2</v>
      </c>
      <c r="T398" s="2" t="s">
        <v>951</v>
      </c>
      <c r="U398" s="2">
        <v>4002.8701171875</v>
      </c>
      <c r="V398" s="11">
        <f t="shared" si="20"/>
        <v>1.2982193897784988E-2</v>
      </c>
    </row>
    <row r="399" spans="12:22" x14ac:dyDescent="0.2">
      <c r="L399" s="2" t="s">
        <v>950</v>
      </c>
      <c r="M399" s="2">
        <v>115.9</v>
      </c>
      <c r="N399" s="11">
        <f t="shared" si="18"/>
        <v>-5.0155712178331369E-2</v>
      </c>
      <c r="P399" s="2" t="s">
        <v>950</v>
      </c>
      <c r="Q399" s="2">
        <v>303.73</v>
      </c>
      <c r="R399" s="11">
        <f t="shared" si="19"/>
        <v>1.6465312405876675E-2</v>
      </c>
      <c r="T399" s="2" t="s">
        <v>950</v>
      </c>
      <c r="U399" s="2">
        <v>3936.969970703125</v>
      </c>
      <c r="V399" s="11">
        <f t="shared" si="20"/>
        <v>-1.6463223775713631E-2</v>
      </c>
    </row>
    <row r="400" spans="12:22" x14ac:dyDescent="0.2">
      <c r="L400" s="2" t="s">
        <v>949</v>
      </c>
      <c r="M400" s="2">
        <v>120.88</v>
      </c>
      <c r="N400" s="11">
        <f t="shared" si="18"/>
        <v>4.2968075927523719E-2</v>
      </c>
      <c r="P400" s="2" t="s">
        <v>949</v>
      </c>
      <c r="Q400" s="2">
        <v>308.22000000000003</v>
      </c>
      <c r="R400" s="11">
        <f t="shared" si="19"/>
        <v>1.4782866361571223E-2</v>
      </c>
      <c r="T400" s="2" t="s">
        <v>949</v>
      </c>
      <c r="U400" s="2">
        <v>3948.719970703125</v>
      </c>
      <c r="V400" s="11">
        <f t="shared" si="20"/>
        <v>2.9845287333754023E-3</v>
      </c>
    </row>
    <row r="401" spans="12:22" x14ac:dyDescent="0.2">
      <c r="L401" s="2" t="s">
        <v>948</v>
      </c>
      <c r="M401" s="2">
        <v>118.35</v>
      </c>
      <c r="N401" s="11">
        <f t="shared" si="18"/>
        <v>-2.0929847782925171E-2</v>
      </c>
      <c r="P401" s="2" t="s">
        <v>948</v>
      </c>
      <c r="Q401" s="2">
        <v>313.45</v>
      </c>
      <c r="R401" s="11">
        <f t="shared" si="19"/>
        <v>1.6968399195379735E-2</v>
      </c>
      <c r="T401" s="2" t="s">
        <v>948</v>
      </c>
      <c r="U401" s="2">
        <v>3970.989990234375</v>
      </c>
      <c r="V401" s="11">
        <f t="shared" si="20"/>
        <v>5.639807253104534E-3</v>
      </c>
    </row>
    <row r="402" spans="12:22" x14ac:dyDescent="0.2">
      <c r="L402" s="2" t="s">
        <v>947</v>
      </c>
      <c r="M402" s="2">
        <v>117.34</v>
      </c>
      <c r="N402" s="11">
        <f t="shared" si="18"/>
        <v>-8.5340092944654611E-3</v>
      </c>
      <c r="P402" s="2" t="s">
        <v>947</v>
      </c>
      <c r="Q402" s="2">
        <v>317.22000000000003</v>
      </c>
      <c r="R402" s="11">
        <f t="shared" si="19"/>
        <v>1.2027436592758178E-2</v>
      </c>
      <c r="T402" s="2" t="s">
        <v>947</v>
      </c>
      <c r="U402" s="2">
        <v>3977.530029296875</v>
      </c>
      <c r="V402" s="11">
        <f t="shared" si="20"/>
        <v>1.6469543057482383E-3</v>
      </c>
    </row>
    <row r="403" spans="12:22" x14ac:dyDescent="0.2">
      <c r="L403" s="2" t="s">
        <v>946</v>
      </c>
      <c r="M403" s="2">
        <v>117.99</v>
      </c>
      <c r="N403" s="11">
        <f t="shared" si="18"/>
        <v>5.5394579853416115E-3</v>
      </c>
      <c r="P403" s="2" t="s">
        <v>946</v>
      </c>
      <c r="Q403" s="2">
        <v>320.31</v>
      </c>
      <c r="R403" s="11">
        <f t="shared" si="19"/>
        <v>9.7408738414979101E-3</v>
      </c>
      <c r="T403" s="2" t="s">
        <v>946</v>
      </c>
      <c r="U403" s="2">
        <v>3971.27001953125</v>
      </c>
      <c r="V403" s="11">
        <f t="shared" si="20"/>
        <v>-1.5738434957162095E-3</v>
      </c>
    </row>
    <row r="404" spans="12:22" x14ac:dyDescent="0.2">
      <c r="L404" s="2" t="s">
        <v>945</v>
      </c>
      <c r="M404" s="2">
        <v>119.26</v>
      </c>
      <c r="N404" s="11">
        <f t="shared" si="18"/>
        <v>1.0763624035935226E-2</v>
      </c>
      <c r="P404" s="2" t="s">
        <v>945</v>
      </c>
      <c r="Q404" s="2">
        <v>361.04</v>
      </c>
      <c r="R404" s="11">
        <f t="shared" si="19"/>
        <v>0.12715806562392684</v>
      </c>
      <c r="T404" s="2" t="s">
        <v>945</v>
      </c>
      <c r="U404" s="2">
        <v>4027.81005859375</v>
      </c>
      <c r="V404" s="11">
        <f t="shared" si="20"/>
        <v>1.4237268879836451E-2</v>
      </c>
    </row>
    <row r="405" spans="12:22" x14ac:dyDescent="0.2">
      <c r="L405" s="2" t="s">
        <v>944</v>
      </c>
      <c r="M405" s="2">
        <v>125.06</v>
      </c>
      <c r="N405" s="11">
        <f t="shared" si="18"/>
        <v>4.8633238302867587E-2</v>
      </c>
      <c r="P405" s="2" t="s">
        <v>944</v>
      </c>
      <c r="Q405" s="2">
        <v>358.09</v>
      </c>
      <c r="R405" s="11">
        <f t="shared" si="19"/>
        <v>-8.1708397961446355E-3</v>
      </c>
      <c r="T405" s="2" t="s">
        <v>944</v>
      </c>
      <c r="U405" s="2">
        <v>4050.830078125</v>
      </c>
      <c r="V405" s="11">
        <f t="shared" si="20"/>
        <v>5.715269388667954E-3</v>
      </c>
    </row>
    <row r="406" spans="12:22" x14ac:dyDescent="0.2">
      <c r="L406" s="2" t="s">
        <v>943</v>
      </c>
      <c r="M406" s="2">
        <v>126.44</v>
      </c>
      <c r="N406" s="11">
        <f t="shared" si="18"/>
        <v>1.1034703342395646E-2</v>
      </c>
      <c r="P406" s="2" t="s">
        <v>943</v>
      </c>
      <c r="Q406" s="2">
        <v>364.19</v>
      </c>
      <c r="R406" s="11">
        <f t="shared" si="19"/>
        <v>1.7034823647686492E-2</v>
      </c>
      <c r="T406" s="2" t="s">
        <v>943</v>
      </c>
      <c r="U406" s="2">
        <v>4109.31005859375</v>
      </c>
      <c r="V406" s="11">
        <f t="shared" si="20"/>
        <v>1.4436542471763847E-2</v>
      </c>
    </row>
    <row r="407" spans="12:22" x14ac:dyDescent="0.2">
      <c r="L407" s="2" t="s">
        <v>942</v>
      </c>
      <c r="M407" s="2">
        <v>128.66999999999999</v>
      </c>
      <c r="N407" s="11">
        <f t="shared" si="18"/>
        <v>1.7636823789939804E-2</v>
      </c>
      <c r="P407" s="2" t="s">
        <v>942</v>
      </c>
      <c r="Q407" s="2">
        <v>367.4</v>
      </c>
      <c r="R407" s="11">
        <f t="shared" si="19"/>
        <v>8.8140805623437846E-3</v>
      </c>
      <c r="T407" s="2" t="s">
        <v>942</v>
      </c>
      <c r="U407" s="2">
        <v>4124.509765625</v>
      </c>
      <c r="V407" s="11">
        <f t="shared" si="20"/>
        <v>3.6988464765423945E-3</v>
      </c>
    </row>
    <row r="408" spans="12:22" x14ac:dyDescent="0.2">
      <c r="L408" s="2" t="s">
        <v>941</v>
      </c>
      <c r="M408" s="2">
        <v>127.02</v>
      </c>
      <c r="N408" s="11">
        <f t="shared" si="18"/>
        <v>-1.2823501981813923E-2</v>
      </c>
      <c r="P408" s="2" t="s">
        <v>941</v>
      </c>
      <c r="Q408" s="2">
        <v>366.8</v>
      </c>
      <c r="R408" s="11">
        <f t="shared" si="19"/>
        <v>-1.6330974414805466E-3</v>
      </c>
      <c r="T408" s="2" t="s">
        <v>941</v>
      </c>
      <c r="U408" s="2">
        <v>4100.60009765625</v>
      </c>
      <c r="V408" s="11">
        <f t="shared" si="20"/>
        <v>-5.7969720833299654E-3</v>
      </c>
    </row>
    <row r="409" spans="12:22" x14ac:dyDescent="0.2">
      <c r="L409" s="2" t="s">
        <v>940</v>
      </c>
      <c r="M409" s="2">
        <v>123.58</v>
      </c>
      <c r="N409" s="11">
        <f t="shared" si="18"/>
        <v>-2.7082349236340675E-2</v>
      </c>
      <c r="P409" s="2" t="s">
        <v>940</v>
      </c>
      <c r="Q409" s="2">
        <v>364.81</v>
      </c>
      <c r="R409" s="11">
        <f t="shared" si="19"/>
        <v>-5.4252998909487538E-3</v>
      </c>
      <c r="T409" s="2" t="s">
        <v>940</v>
      </c>
      <c r="U409" s="2">
        <v>4090.3798828125</v>
      </c>
      <c r="V409" s="11">
        <f t="shared" si="20"/>
        <v>-2.4923705312281941E-3</v>
      </c>
    </row>
    <row r="410" spans="12:22" x14ac:dyDescent="0.2">
      <c r="L410" s="2" t="s">
        <v>939</v>
      </c>
      <c r="M410" s="2">
        <v>121.86</v>
      </c>
      <c r="N410" s="11">
        <f t="shared" si="18"/>
        <v>-1.3918109726492989E-2</v>
      </c>
      <c r="P410" s="2" t="s">
        <v>939</v>
      </c>
      <c r="Q410" s="2">
        <v>364.33</v>
      </c>
      <c r="R410" s="11">
        <f t="shared" si="19"/>
        <v>-1.3157534058825249E-3</v>
      </c>
      <c r="T410" s="2" t="s">
        <v>939</v>
      </c>
      <c r="U410" s="2">
        <v>4105.02001953125</v>
      </c>
      <c r="V410" s="11">
        <f t="shared" si="20"/>
        <v>3.5791630944272956E-3</v>
      </c>
    </row>
    <row r="411" spans="12:22" x14ac:dyDescent="0.2">
      <c r="L411" s="2" t="s">
        <v>938</v>
      </c>
      <c r="M411" s="2">
        <v>127.97</v>
      </c>
      <c r="N411" s="11">
        <f t="shared" si="18"/>
        <v>5.0139504349253183E-2</v>
      </c>
      <c r="P411" s="2" t="s">
        <v>938</v>
      </c>
      <c r="Q411" s="2">
        <v>363.37</v>
      </c>
      <c r="R411" s="11">
        <f t="shared" si="19"/>
        <v>-2.6349737875003276E-3</v>
      </c>
      <c r="T411" s="2" t="s">
        <v>938</v>
      </c>
      <c r="U411" s="2">
        <v>4109.10986328125</v>
      </c>
      <c r="V411" s="11">
        <f t="shared" si="20"/>
        <v>9.9630299743758144E-4</v>
      </c>
    </row>
    <row r="412" spans="12:22" x14ac:dyDescent="0.2">
      <c r="L412" s="2" t="s">
        <v>937</v>
      </c>
      <c r="M412" s="2">
        <v>128.07</v>
      </c>
      <c r="N412" s="11">
        <f t="shared" si="18"/>
        <v>7.8143314839418387E-4</v>
      </c>
      <c r="P412" s="2" t="s">
        <v>937</v>
      </c>
      <c r="Q412" s="2">
        <v>365.81</v>
      </c>
      <c r="R412" s="11">
        <f t="shared" si="19"/>
        <v>6.7149186779316139E-3</v>
      </c>
      <c r="T412" s="2" t="s">
        <v>937</v>
      </c>
      <c r="U412" s="2">
        <v>4108.93994140625</v>
      </c>
      <c r="V412" s="11">
        <f t="shared" si="20"/>
        <v>-4.1352477946232646E-5</v>
      </c>
    </row>
    <row r="413" spans="12:22" x14ac:dyDescent="0.2">
      <c r="L413" s="2" t="s">
        <v>936</v>
      </c>
      <c r="M413" s="2">
        <v>126.19</v>
      </c>
      <c r="N413" s="11">
        <f t="shared" si="18"/>
        <v>-1.4679472163660501E-2</v>
      </c>
      <c r="P413" s="2" t="s">
        <v>936</v>
      </c>
      <c r="Q413" s="2">
        <v>363.54</v>
      </c>
      <c r="R413" s="11">
        <f t="shared" si="19"/>
        <v>-6.2054071785899723E-3</v>
      </c>
      <c r="T413" s="2" t="s">
        <v>936</v>
      </c>
      <c r="U413" s="2">
        <v>4091.949951171875</v>
      </c>
      <c r="V413" s="11">
        <f t="shared" si="20"/>
        <v>-4.1348840520069041E-3</v>
      </c>
    </row>
    <row r="414" spans="12:22" x14ac:dyDescent="0.2">
      <c r="L414" s="2" t="s">
        <v>935</v>
      </c>
      <c r="M414" s="2">
        <v>130.78</v>
      </c>
      <c r="N414" s="11">
        <f t="shared" si="18"/>
        <v>3.6373722164989353E-2</v>
      </c>
      <c r="P414" s="2" t="s">
        <v>935</v>
      </c>
      <c r="Q414" s="2">
        <v>364.38</v>
      </c>
      <c r="R414" s="11">
        <f t="shared" si="19"/>
        <v>2.3106123122627054E-3</v>
      </c>
      <c r="T414" s="2" t="s">
        <v>935</v>
      </c>
      <c r="U414" s="2">
        <v>4146.22021484375</v>
      </c>
      <c r="V414" s="11">
        <f t="shared" si="20"/>
        <v>1.326268999363811E-2</v>
      </c>
    </row>
    <row r="415" spans="12:22" x14ac:dyDescent="0.2">
      <c r="L415" s="2" t="s">
        <v>934</v>
      </c>
      <c r="M415" s="2">
        <v>134.30000000000001</v>
      </c>
      <c r="N415" s="11">
        <f t="shared" si="18"/>
        <v>2.6915430493959391E-2</v>
      </c>
      <c r="P415" s="2" t="s">
        <v>934</v>
      </c>
      <c r="Q415" s="2">
        <v>368.25</v>
      </c>
      <c r="R415" s="11">
        <f t="shared" si="19"/>
        <v>1.0620780503869609E-2</v>
      </c>
      <c r="T415" s="2" t="s">
        <v>934</v>
      </c>
      <c r="U415" s="2">
        <v>4137.64013671875</v>
      </c>
      <c r="V415" s="11">
        <f t="shared" si="20"/>
        <v>-2.0693734728036706E-3</v>
      </c>
    </row>
    <row r="416" spans="12:22" x14ac:dyDescent="0.2">
      <c r="L416" s="2" t="s">
        <v>933</v>
      </c>
      <c r="M416" s="2">
        <v>139.04</v>
      </c>
      <c r="N416" s="11">
        <f t="shared" si="18"/>
        <v>3.5294117647058698E-2</v>
      </c>
      <c r="P416" s="2" t="s">
        <v>933</v>
      </c>
      <c r="Q416" s="2">
        <v>368.38</v>
      </c>
      <c r="R416" s="11">
        <f t="shared" si="19"/>
        <v>3.5302104548540214E-4</v>
      </c>
      <c r="T416" s="2" t="s">
        <v>933</v>
      </c>
      <c r="U416" s="2">
        <v>4151.31982421875</v>
      </c>
      <c r="V416" s="11">
        <f t="shared" si="20"/>
        <v>3.3061569029655402E-3</v>
      </c>
    </row>
    <row r="417" spans="12:22" x14ac:dyDescent="0.2">
      <c r="L417" s="2" t="s">
        <v>932</v>
      </c>
      <c r="M417" s="2">
        <v>143.75</v>
      </c>
      <c r="N417" s="11">
        <f t="shared" si="18"/>
        <v>3.3875143843498323E-2</v>
      </c>
      <c r="P417" s="2" t="s">
        <v>932</v>
      </c>
      <c r="Q417" s="2">
        <v>372.5</v>
      </c>
      <c r="R417" s="11">
        <f t="shared" si="19"/>
        <v>1.1184103371518539E-2</v>
      </c>
      <c r="T417" s="2" t="s">
        <v>932</v>
      </c>
      <c r="U417" s="2">
        <v>4154.8701171875</v>
      </c>
      <c r="V417" s="11">
        <f t="shared" si="20"/>
        <v>8.5522029597373539E-4</v>
      </c>
    </row>
    <row r="418" spans="12:22" x14ac:dyDescent="0.2">
      <c r="L418" s="2" t="s">
        <v>931</v>
      </c>
      <c r="M418" s="2">
        <v>144.37</v>
      </c>
      <c r="N418" s="11">
        <f t="shared" si="18"/>
        <v>4.3130434782610028E-3</v>
      </c>
      <c r="P418" s="2" t="s">
        <v>931</v>
      </c>
      <c r="Q418" s="2">
        <v>370.12</v>
      </c>
      <c r="R418" s="11">
        <f t="shared" si="19"/>
        <v>-6.3892617449664568E-3</v>
      </c>
      <c r="T418" s="2" t="s">
        <v>931</v>
      </c>
      <c r="U418" s="2">
        <v>4154.52001953125</v>
      </c>
      <c r="V418" s="11">
        <f t="shared" si="20"/>
        <v>-8.4261997698065194E-5</v>
      </c>
    </row>
    <row r="419" spans="12:22" x14ac:dyDescent="0.2">
      <c r="L419" s="2" t="s">
        <v>930</v>
      </c>
      <c r="M419" s="2">
        <v>145.72999999999999</v>
      </c>
      <c r="N419" s="11">
        <f t="shared" si="18"/>
        <v>9.4202396619795792E-3</v>
      </c>
      <c r="P419" s="2" t="s">
        <v>930</v>
      </c>
      <c r="Q419" s="2">
        <v>376.71</v>
      </c>
      <c r="R419" s="11">
        <f t="shared" si="19"/>
        <v>1.7805036204474156E-2</v>
      </c>
      <c r="T419" s="2" t="s">
        <v>930</v>
      </c>
      <c r="U419" s="2">
        <v>4129.7900390625</v>
      </c>
      <c r="V419" s="11">
        <f t="shared" si="20"/>
        <v>-5.9525481529729696E-3</v>
      </c>
    </row>
    <row r="420" spans="12:22" x14ac:dyDescent="0.2">
      <c r="L420" s="2" t="s">
        <v>929</v>
      </c>
      <c r="M420" s="2">
        <v>147.18</v>
      </c>
      <c r="N420" s="11">
        <f t="shared" si="18"/>
        <v>9.9499073629316648E-3</v>
      </c>
      <c r="P420" s="2" t="s">
        <v>929</v>
      </c>
      <c r="Q420" s="2">
        <v>377.8</v>
      </c>
      <c r="R420" s="11">
        <f t="shared" si="19"/>
        <v>2.8934724323750327E-3</v>
      </c>
      <c r="T420" s="2" t="s">
        <v>929</v>
      </c>
      <c r="U420" s="2">
        <v>4133.52001953125</v>
      </c>
      <c r="V420" s="11">
        <f t="shared" si="20"/>
        <v>9.031888869577287E-4</v>
      </c>
    </row>
    <row r="421" spans="12:22" x14ac:dyDescent="0.2">
      <c r="L421" s="2" t="s">
        <v>928</v>
      </c>
      <c r="M421" s="2">
        <v>151.13</v>
      </c>
      <c r="N421" s="11">
        <f t="shared" si="18"/>
        <v>2.6837885582280174E-2</v>
      </c>
      <c r="P421" s="2" t="s">
        <v>928</v>
      </c>
      <c r="Q421" s="2">
        <v>381.37</v>
      </c>
      <c r="R421" s="11">
        <f t="shared" si="19"/>
        <v>9.4494441503440996E-3</v>
      </c>
      <c r="T421" s="2" t="s">
        <v>928</v>
      </c>
      <c r="U421" s="2">
        <v>4137.0400390625</v>
      </c>
      <c r="V421" s="11">
        <f t="shared" si="20"/>
        <v>8.5157916609035489E-4</v>
      </c>
    </row>
    <row r="422" spans="12:22" x14ac:dyDescent="0.2">
      <c r="L422" s="2" t="s">
        <v>927</v>
      </c>
      <c r="M422" s="2">
        <v>145.33000000000001</v>
      </c>
      <c r="N422" s="11">
        <f t="shared" si="18"/>
        <v>-3.8377555746707981E-2</v>
      </c>
      <c r="P422" s="2" t="s">
        <v>927</v>
      </c>
      <c r="Q422" s="2">
        <v>372.81</v>
      </c>
      <c r="R422" s="11">
        <f t="shared" si="19"/>
        <v>-2.2445394236568217E-2</v>
      </c>
      <c r="T422" s="2" t="s">
        <v>927</v>
      </c>
      <c r="U422" s="2">
        <v>4071.6298828125</v>
      </c>
      <c r="V422" s="11">
        <f t="shared" si="20"/>
        <v>-1.5810858882773227E-2</v>
      </c>
    </row>
    <row r="423" spans="12:22" x14ac:dyDescent="0.2">
      <c r="L423" s="2" t="s">
        <v>926</v>
      </c>
      <c r="M423" s="2">
        <v>147.78</v>
      </c>
      <c r="N423" s="11">
        <f t="shared" si="18"/>
        <v>1.6858184820752742E-2</v>
      </c>
      <c r="P423" s="2" t="s">
        <v>926</v>
      </c>
      <c r="Q423" s="2">
        <v>372.94</v>
      </c>
      <c r="R423" s="11">
        <f t="shared" si="19"/>
        <v>3.4870309272827527E-4</v>
      </c>
      <c r="T423" s="2" t="s">
        <v>926</v>
      </c>
      <c r="U423" s="2">
        <v>4055.989990234375</v>
      </c>
      <c r="V423" s="11">
        <f t="shared" si="20"/>
        <v>-3.8411871973298428E-3</v>
      </c>
    </row>
    <row r="424" spans="12:22" x14ac:dyDescent="0.2">
      <c r="L424" s="2" t="s">
        <v>925</v>
      </c>
      <c r="M424" s="2">
        <v>124.32</v>
      </c>
      <c r="N424" s="11">
        <f t="shared" si="18"/>
        <v>-0.15874949248883485</v>
      </c>
      <c r="P424" s="2" t="s">
        <v>925</v>
      </c>
      <c r="Q424" s="2">
        <v>378.08</v>
      </c>
      <c r="R424" s="11">
        <f t="shared" si="19"/>
        <v>1.3782377862390671E-2</v>
      </c>
      <c r="T424" s="2" t="s">
        <v>925</v>
      </c>
      <c r="U424" s="2">
        <v>4135.35009765625</v>
      </c>
      <c r="V424" s="11">
        <f t="shared" si="20"/>
        <v>1.9566149722497039E-2</v>
      </c>
    </row>
    <row r="425" spans="12:22" x14ac:dyDescent="0.2">
      <c r="L425" s="2" t="s">
        <v>924</v>
      </c>
      <c r="M425" s="2">
        <v>123.67</v>
      </c>
      <c r="N425" s="11">
        <f t="shared" si="18"/>
        <v>-5.2284427284426949E-3</v>
      </c>
      <c r="P425" s="2" t="s">
        <v>924</v>
      </c>
      <c r="Q425" s="2">
        <v>379.93</v>
      </c>
      <c r="R425" s="11">
        <f t="shared" si="19"/>
        <v>4.893144308083075E-3</v>
      </c>
      <c r="T425" s="2" t="s">
        <v>924</v>
      </c>
      <c r="U425" s="2">
        <v>4169.47998046875</v>
      </c>
      <c r="V425" s="11">
        <f t="shared" si="20"/>
        <v>8.2532027534605312E-3</v>
      </c>
    </row>
    <row r="426" spans="12:22" x14ac:dyDescent="0.2">
      <c r="L426" s="2" t="s">
        <v>923</v>
      </c>
      <c r="M426" s="2">
        <v>120.98</v>
      </c>
      <c r="N426" s="11">
        <f t="shared" si="18"/>
        <v>-2.1751435271286423E-2</v>
      </c>
      <c r="P426" s="2" t="s">
        <v>923</v>
      </c>
      <c r="Q426" s="2">
        <v>384.99</v>
      </c>
      <c r="R426" s="11">
        <f t="shared" si="19"/>
        <v>1.331824283420624E-2</v>
      </c>
      <c r="T426" s="2" t="s">
        <v>923</v>
      </c>
      <c r="U426" s="2">
        <v>4167.8701171875</v>
      </c>
      <c r="V426" s="11">
        <f t="shared" si="20"/>
        <v>-3.8610649020764942E-4</v>
      </c>
    </row>
    <row r="427" spans="12:22" x14ac:dyDescent="0.2">
      <c r="L427" s="2" t="s">
        <v>922</v>
      </c>
      <c r="M427" s="2">
        <v>120.16</v>
      </c>
      <c r="N427" s="11">
        <f t="shared" si="18"/>
        <v>-6.7779798313771789E-3</v>
      </c>
      <c r="P427" s="2" t="s">
        <v>922</v>
      </c>
      <c r="Q427" s="2">
        <v>380.75</v>
      </c>
      <c r="R427" s="11">
        <f t="shared" si="19"/>
        <v>-1.1013273072027818E-2</v>
      </c>
      <c r="T427" s="2" t="s">
        <v>922</v>
      </c>
      <c r="U427" s="2">
        <v>4119.580078125</v>
      </c>
      <c r="V427" s="11">
        <f t="shared" si="20"/>
        <v>-1.1586262936400304E-2</v>
      </c>
    </row>
    <row r="428" spans="12:22" x14ac:dyDescent="0.2">
      <c r="L428" s="2" t="s">
        <v>921</v>
      </c>
      <c r="M428" s="2">
        <v>120.13</v>
      </c>
      <c r="N428" s="11">
        <f t="shared" si="18"/>
        <v>-2.4966711051932489E-4</v>
      </c>
      <c r="P428" s="2" t="s">
        <v>921</v>
      </c>
      <c r="Q428" s="2">
        <v>383.12</v>
      </c>
      <c r="R428" s="11">
        <f t="shared" si="19"/>
        <v>6.2245567957976977E-3</v>
      </c>
      <c r="T428" s="2" t="s">
        <v>921</v>
      </c>
      <c r="U428" s="2">
        <v>4090.75</v>
      </c>
      <c r="V428" s="11">
        <f t="shared" si="20"/>
        <v>-6.9983050646564848E-3</v>
      </c>
    </row>
    <row r="429" spans="12:22" x14ac:dyDescent="0.2">
      <c r="L429" s="2" t="s">
        <v>920</v>
      </c>
      <c r="M429" s="2">
        <v>109.85</v>
      </c>
      <c r="N429" s="11">
        <f t="shared" si="18"/>
        <v>-8.557396154166319E-2</v>
      </c>
      <c r="P429" s="2" t="s">
        <v>920</v>
      </c>
      <c r="Q429" s="2">
        <v>382.06</v>
      </c>
      <c r="R429" s="11">
        <f t="shared" si="19"/>
        <v>-2.7667571518061873E-3</v>
      </c>
      <c r="T429" s="2" t="s">
        <v>920</v>
      </c>
      <c r="U429" s="2">
        <v>4061.219970703125</v>
      </c>
      <c r="V429" s="11">
        <f t="shared" si="20"/>
        <v>-7.2187323343824161E-3</v>
      </c>
    </row>
    <row r="430" spans="12:22" x14ac:dyDescent="0.2">
      <c r="L430" s="2" t="s">
        <v>919</v>
      </c>
      <c r="M430" s="2">
        <v>114.48</v>
      </c>
      <c r="N430" s="11">
        <f t="shared" si="18"/>
        <v>4.2148384160218599E-2</v>
      </c>
      <c r="P430" s="2" t="s">
        <v>919</v>
      </c>
      <c r="Q430" s="2">
        <v>386.71</v>
      </c>
      <c r="R430" s="11">
        <f t="shared" si="19"/>
        <v>1.2170863215201777E-2</v>
      </c>
      <c r="T430" s="2" t="s">
        <v>919</v>
      </c>
      <c r="U430" s="2">
        <v>4136.25</v>
      </c>
      <c r="V430" s="11">
        <f t="shared" si="20"/>
        <v>1.8474751389515376E-2</v>
      </c>
    </row>
    <row r="431" spans="12:22" x14ac:dyDescent="0.2">
      <c r="L431" s="2" t="s">
        <v>918</v>
      </c>
      <c r="M431" s="2">
        <v>116.75</v>
      </c>
      <c r="N431" s="11">
        <f t="shared" si="18"/>
        <v>1.9828791055206185E-2</v>
      </c>
      <c r="P431" s="2" t="s">
        <v>918</v>
      </c>
      <c r="Q431" s="2">
        <v>381.86</v>
      </c>
      <c r="R431" s="11">
        <f t="shared" si="19"/>
        <v>-1.254169791316484E-2</v>
      </c>
      <c r="T431" s="2" t="s">
        <v>918</v>
      </c>
      <c r="U431" s="2">
        <v>4138.1201171875</v>
      </c>
      <c r="V431" s="11">
        <f t="shared" si="20"/>
        <v>4.5212866424892972E-4</v>
      </c>
    </row>
    <row r="432" spans="12:22" x14ac:dyDescent="0.2">
      <c r="L432" s="2" t="s">
        <v>917</v>
      </c>
      <c r="M432" s="2">
        <v>116.91</v>
      </c>
      <c r="N432" s="11">
        <f t="shared" si="18"/>
        <v>1.3704496788007337E-3</v>
      </c>
      <c r="P432" s="2" t="s">
        <v>917</v>
      </c>
      <c r="Q432" s="2">
        <v>381.44</v>
      </c>
      <c r="R432" s="11">
        <f t="shared" si="19"/>
        <v>-1.0998795370030789E-3</v>
      </c>
      <c r="T432" s="2" t="s">
        <v>917</v>
      </c>
      <c r="U432" s="2">
        <v>4119.169921875</v>
      </c>
      <c r="V432" s="11">
        <f t="shared" si="20"/>
        <v>-4.5794212772585219E-3</v>
      </c>
    </row>
    <row r="433" spans="12:22" x14ac:dyDescent="0.2">
      <c r="L433" s="2" t="s">
        <v>916</v>
      </c>
      <c r="M433" s="2">
        <v>116.46</v>
      </c>
      <c r="N433" s="11">
        <f t="shared" si="18"/>
        <v>-3.8491147036181506E-3</v>
      </c>
      <c r="P433" s="2" t="s">
        <v>916</v>
      </c>
      <c r="Q433" s="2">
        <v>379.32</v>
      </c>
      <c r="R433" s="11">
        <f t="shared" si="19"/>
        <v>-5.5578859060402275E-3</v>
      </c>
      <c r="T433" s="2" t="s">
        <v>916</v>
      </c>
      <c r="U433" s="2">
        <v>4137.64013671875</v>
      </c>
      <c r="V433" s="11">
        <f t="shared" si="20"/>
        <v>4.4839652634049987E-3</v>
      </c>
    </row>
    <row r="434" spans="12:22" x14ac:dyDescent="0.2">
      <c r="L434" s="2" t="s">
        <v>915</v>
      </c>
      <c r="M434" s="2">
        <v>116.8</v>
      </c>
      <c r="N434" s="11">
        <f t="shared" si="18"/>
        <v>2.9194573244033517E-3</v>
      </c>
      <c r="P434" s="2" t="s">
        <v>915</v>
      </c>
      <c r="Q434" s="2">
        <v>377.32</v>
      </c>
      <c r="R434" s="11">
        <f t="shared" si="19"/>
        <v>-5.2725930612674832E-3</v>
      </c>
      <c r="T434" s="2" t="s">
        <v>915</v>
      </c>
      <c r="U434" s="2">
        <v>4130.6201171875</v>
      </c>
      <c r="V434" s="11">
        <f t="shared" si="20"/>
        <v>-1.6966239932159066E-3</v>
      </c>
    </row>
    <row r="435" spans="12:22" x14ac:dyDescent="0.2">
      <c r="L435" s="2" t="s">
        <v>914</v>
      </c>
      <c r="M435" s="2">
        <v>115.4</v>
      </c>
      <c r="N435" s="11">
        <f t="shared" si="18"/>
        <v>-1.1986301369862895E-2</v>
      </c>
      <c r="P435" s="2" t="s">
        <v>914</v>
      </c>
      <c r="Q435" s="2">
        <v>376.2</v>
      </c>
      <c r="R435" s="11">
        <f t="shared" si="19"/>
        <v>-2.9683027668822026E-3</v>
      </c>
      <c r="T435" s="2" t="s">
        <v>914</v>
      </c>
      <c r="U435" s="2">
        <v>4124.080078125</v>
      </c>
      <c r="V435" s="11">
        <f t="shared" si="20"/>
        <v>-1.5833068345566526E-3</v>
      </c>
    </row>
    <row r="436" spans="12:22" x14ac:dyDescent="0.2">
      <c r="L436" s="2" t="s">
        <v>913</v>
      </c>
      <c r="M436" s="2">
        <v>118.39</v>
      </c>
      <c r="N436" s="11">
        <f t="shared" si="18"/>
        <v>2.5909878682842225E-2</v>
      </c>
      <c r="P436" s="2" t="s">
        <v>913</v>
      </c>
      <c r="Q436" s="2">
        <v>375.71</v>
      </c>
      <c r="R436" s="11">
        <f t="shared" si="19"/>
        <v>-1.302498670919694E-3</v>
      </c>
      <c r="T436" s="2" t="s">
        <v>913</v>
      </c>
      <c r="U436" s="2">
        <v>4136.27978515625</v>
      </c>
      <c r="V436" s="11">
        <f t="shared" si="20"/>
        <v>2.9581644391338813E-3</v>
      </c>
    </row>
    <row r="437" spans="12:22" x14ac:dyDescent="0.2">
      <c r="L437" s="2" t="s">
        <v>912</v>
      </c>
      <c r="M437" s="2">
        <v>113.45</v>
      </c>
      <c r="N437" s="11">
        <f t="shared" si="18"/>
        <v>-4.1726497170369137E-2</v>
      </c>
      <c r="P437" s="2" t="s">
        <v>912</v>
      </c>
      <c r="Q437" s="2">
        <v>371.52</v>
      </c>
      <c r="R437" s="11">
        <f t="shared" si="19"/>
        <v>-1.1152218466370378E-2</v>
      </c>
      <c r="T437" s="2" t="s">
        <v>912</v>
      </c>
      <c r="U437" s="2">
        <v>4109.89990234375</v>
      </c>
      <c r="V437" s="11">
        <f t="shared" si="20"/>
        <v>-6.3776833731530314E-3</v>
      </c>
    </row>
    <row r="438" spans="12:22" x14ac:dyDescent="0.2">
      <c r="L438" s="2" t="s">
        <v>911</v>
      </c>
      <c r="M438" s="2">
        <v>116.67</v>
      </c>
      <c r="N438" s="11">
        <f t="shared" si="18"/>
        <v>2.8382547377699519E-2</v>
      </c>
      <c r="P438" s="2" t="s">
        <v>911</v>
      </c>
      <c r="Q438" s="2">
        <v>372.22</v>
      </c>
      <c r="R438" s="11">
        <f t="shared" si="19"/>
        <v>1.8841515934540087E-3</v>
      </c>
      <c r="T438" s="2" t="s">
        <v>911</v>
      </c>
      <c r="U438" s="2">
        <v>4158.77001953125</v>
      </c>
      <c r="V438" s="11">
        <f t="shared" si="20"/>
        <v>1.1890829058788244E-2</v>
      </c>
    </row>
    <row r="439" spans="12:22" x14ac:dyDescent="0.2">
      <c r="L439" s="2" t="s">
        <v>910</v>
      </c>
      <c r="M439" s="2">
        <v>115.37</v>
      </c>
      <c r="N439" s="11">
        <f t="shared" si="18"/>
        <v>-1.1142538784606137E-2</v>
      </c>
      <c r="P439" s="2" t="s">
        <v>910</v>
      </c>
      <c r="Q439" s="2">
        <v>378.7</v>
      </c>
      <c r="R439" s="11">
        <f t="shared" si="19"/>
        <v>1.7409059158562057E-2</v>
      </c>
      <c r="T439" s="2" t="s">
        <v>910</v>
      </c>
      <c r="U439" s="2">
        <v>4198.0498046875</v>
      </c>
      <c r="V439" s="11">
        <f t="shared" si="20"/>
        <v>9.445048649426635E-3</v>
      </c>
    </row>
    <row r="440" spans="12:22" x14ac:dyDescent="0.2">
      <c r="L440" s="2" t="s">
        <v>909</v>
      </c>
      <c r="M440" s="2">
        <v>109</v>
      </c>
      <c r="N440" s="11">
        <f t="shared" si="18"/>
        <v>-5.521366039698361E-2</v>
      </c>
      <c r="P440" s="2" t="s">
        <v>909</v>
      </c>
      <c r="Q440" s="2">
        <v>368.53</v>
      </c>
      <c r="R440" s="11">
        <f t="shared" si="19"/>
        <v>-2.6855030367045174E-2</v>
      </c>
      <c r="T440" s="2" t="s">
        <v>909</v>
      </c>
      <c r="U440" s="2">
        <v>4191.97998046875</v>
      </c>
      <c r="V440" s="11">
        <f t="shared" si="20"/>
        <v>-1.4458676054706077E-3</v>
      </c>
    </row>
    <row r="441" spans="12:22" x14ac:dyDescent="0.2">
      <c r="L441" s="2" t="s">
        <v>908</v>
      </c>
      <c r="M441" s="2">
        <v>107.11</v>
      </c>
      <c r="N441" s="11">
        <f t="shared" si="18"/>
        <v>-1.7339449541284413E-2</v>
      </c>
      <c r="P441" s="2" t="s">
        <v>908</v>
      </c>
      <c r="Q441" s="2">
        <v>363.12</v>
      </c>
      <c r="R441" s="11">
        <f t="shared" si="19"/>
        <v>-1.4679944644940601E-2</v>
      </c>
      <c r="T441" s="2" t="s">
        <v>908</v>
      </c>
      <c r="U441" s="2">
        <v>4192.6298828125</v>
      </c>
      <c r="V441" s="11">
        <f t="shared" si="20"/>
        <v>1.550346964389604E-4</v>
      </c>
    </row>
    <row r="442" spans="12:22" x14ac:dyDescent="0.2">
      <c r="L442" s="2" t="s">
        <v>907</v>
      </c>
      <c r="M442" s="2">
        <v>106.14</v>
      </c>
      <c r="N442" s="11">
        <f t="shared" si="18"/>
        <v>-9.0561105405657649E-3</v>
      </c>
      <c r="P442" s="2" t="s">
        <v>907</v>
      </c>
      <c r="Q442" s="2">
        <v>353.86</v>
      </c>
      <c r="R442" s="11">
        <f t="shared" si="19"/>
        <v>-2.5501211720643235E-2</v>
      </c>
      <c r="T442" s="2" t="s">
        <v>907</v>
      </c>
      <c r="U442" s="2">
        <v>4145.580078125</v>
      </c>
      <c r="V442" s="11">
        <f t="shared" si="20"/>
        <v>-1.1222026747550129E-2</v>
      </c>
    </row>
    <row r="443" spans="12:22" x14ac:dyDescent="0.2">
      <c r="L443" s="2" t="s">
        <v>906</v>
      </c>
      <c r="M443" s="2">
        <v>104.09</v>
      </c>
      <c r="N443" s="11">
        <f t="shared" si="18"/>
        <v>-1.9314113435085711E-2</v>
      </c>
      <c r="P443" s="2" t="s">
        <v>906</v>
      </c>
      <c r="Q443" s="2">
        <v>344.58</v>
      </c>
      <c r="R443" s="11">
        <f t="shared" si="19"/>
        <v>-2.622506075849218E-2</v>
      </c>
      <c r="T443" s="2" t="s">
        <v>906</v>
      </c>
      <c r="U443" s="2">
        <v>4115.240234375</v>
      </c>
      <c r="V443" s="11">
        <f t="shared" si="20"/>
        <v>-7.3186003353533646E-3</v>
      </c>
    </row>
    <row r="444" spans="12:22" x14ac:dyDescent="0.2">
      <c r="L444" s="2" t="s">
        <v>905</v>
      </c>
      <c r="M444" s="2">
        <v>104.32</v>
      </c>
      <c r="N444" s="11">
        <f t="shared" si="18"/>
        <v>2.2096262849455872E-3</v>
      </c>
      <c r="P444" s="2" t="s">
        <v>905</v>
      </c>
      <c r="Q444" s="2">
        <v>342.34</v>
      </c>
      <c r="R444" s="11">
        <f t="shared" si="19"/>
        <v>-6.5006674792501551E-3</v>
      </c>
      <c r="T444" s="2" t="s">
        <v>905</v>
      </c>
      <c r="U444" s="2">
        <v>4151.27978515625</v>
      </c>
      <c r="V444" s="11">
        <f t="shared" si="20"/>
        <v>8.7575812659024255E-3</v>
      </c>
    </row>
    <row r="445" spans="12:22" x14ac:dyDescent="0.2">
      <c r="L445" s="2" t="s">
        <v>904</v>
      </c>
      <c r="M445" s="2">
        <v>106.74</v>
      </c>
      <c r="N445" s="11">
        <f t="shared" si="18"/>
        <v>2.319785276073616E-2</v>
      </c>
      <c r="P445" s="2" t="s">
        <v>904</v>
      </c>
      <c r="Q445" s="2">
        <v>340.26</v>
      </c>
      <c r="R445" s="11">
        <f t="shared" si="19"/>
        <v>-6.0758310451597408E-3</v>
      </c>
      <c r="T445" s="2" t="s">
        <v>904</v>
      </c>
      <c r="U445" s="2">
        <v>4205.4501953125</v>
      </c>
      <c r="V445" s="11">
        <f t="shared" si="20"/>
        <v>1.3049086777997321E-2</v>
      </c>
    </row>
    <row r="446" spans="12:22" x14ac:dyDescent="0.2">
      <c r="L446" s="2" t="s">
        <v>903</v>
      </c>
      <c r="M446" s="2">
        <v>114.33</v>
      </c>
      <c r="N446" s="11">
        <f t="shared" si="18"/>
        <v>7.1107363687464842E-2</v>
      </c>
      <c r="P446" s="2" t="s">
        <v>903</v>
      </c>
      <c r="Q446" s="2">
        <v>336.64</v>
      </c>
      <c r="R446" s="11">
        <f t="shared" si="19"/>
        <v>-1.0638923176394588E-2</v>
      </c>
      <c r="T446" s="2" t="s">
        <v>903</v>
      </c>
      <c r="U446" s="2">
        <v>4205.52001953125</v>
      </c>
      <c r="V446" s="11">
        <f t="shared" si="20"/>
        <v>1.660326849850513E-5</v>
      </c>
    </row>
    <row r="447" spans="12:22" x14ac:dyDescent="0.2">
      <c r="L447" s="2" t="s">
        <v>902</v>
      </c>
      <c r="M447" s="2">
        <v>112.28</v>
      </c>
      <c r="N447" s="11">
        <f t="shared" si="18"/>
        <v>-1.7930551911134462E-2</v>
      </c>
      <c r="P447" s="2" t="s">
        <v>902</v>
      </c>
      <c r="Q447" s="2">
        <v>331.93</v>
      </c>
      <c r="R447" s="11">
        <f t="shared" si="19"/>
        <v>-1.3991207224334556E-2</v>
      </c>
      <c r="T447" s="2" t="s">
        <v>902</v>
      </c>
      <c r="U447" s="2">
        <v>4179.830078125</v>
      </c>
      <c r="V447" s="11">
        <f t="shared" si="20"/>
        <v>-6.1086242098339349E-3</v>
      </c>
    </row>
    <row r="448" spans="12:22" x14ac:dyDescent="0.2">
      <c r="L448" s="2" t="s">
        <v>901</v>
      </c>
      <c r="M448" s="2">
        <v>105.16</v>
      </c>
      <c r="N448" s="11">
        <f t="shared" si="18"/>
        <v>-6.3412896330602098E-2</v>
      </c>
      <c r="P448" s="2" t="s">
        <v>901</v>
      </c>
      <c r="Q448" s="2">
        <v>328.35</v>
      </c>
      <c r="R448" s="11">
        <f t="shared" si="19"/>
        <v>-1.0785406561624411E-2</v>
      </c>
      <c r="T448" s="2" t="s">
        <v>901</v>
      </c>
      <c r="U448" s="2">
        <v>4221.02001953125</v>
      </c>
      <c r="V448" s="11">
        <f t="shared" si="20"/>
        <v>9.8544535630327168E-3</v>
      </c>
    </row>
    <row r="449" spans="12:22" x14ac:dyDescent="0.2">
      <c r="L449" s="2" t="s">
        <v>900</v>
      </c>
      <c r="M449" s="2">
        <v>110.04</v>
      </c>
      <c r="N449" s="11">
        <f t="shared" si="18"/>
        <v>4.6405477367820636E-2</v>
      </c>
      <c r="P449" s="2" t="s">
        <v>900</v>
      </c>
      <c r="Q449" s="2">
        <v>365.44</v>
      </c>
      <c r="R449" s="11">
        <f t="shared" si="19"/>
        <v>0.11295873305923543</v>
      </c>
      <c r="T449" s="2" t="s">
        <v>900</v>
      </c>
      <c r="U449" s="2">
        <v>4282.3701171875</v>
      </c>
      <c r="V449" s="11">
        <f t="shared" si="20"/>
        <v>1.4534424705965554E-2</v>
      </c>
    </row>
    <row r="450" spans="12:22" x14ac:dyDescent="0.2">
      <c r="L450" s="2" t="s">
        <v>899</v>
      </c>
      <c r="M450" s="2">
        <v>109.66</v>
      </c>
      <c r="N450" s="11">
        <f t="shared" si="18"/>
        <v>-3.4532897128317641E-3</v>
      </c>
      <c r="P450" s="2" t="s">
        <v>899</v>
      </c>
      <c r="Q450" s="2">
        <v>356.44</v>
      </c>
      <c r="R450" s="11">
        <f t="shared" si="19"/>
        <v>-2.4627845884413357E-2</v>
      </c>
      <c r="T450" s="2" t="s">
        <v>899</v>
      </c>
      <c r="U450" s="2">
        <v>4273.7900390625</v>
      </c>
      <c r="V450" s="11">
        <f t="shared" si="20"/>
        <v>-2.0035816359177394E-3</v>
      </c>
    </row>
    <row r="451" spans="12:22" x14ac:dyDescent="0.2">
      <c r="L451" s="2" t="s">
        <v>898</v>
      </c>
      <c r="M451" s="2">
        <v>115.96</v>
      </c>
      <c r="N451" s="11">
        <f t="shared" si="18"/>
        <v>5.7450300930147691E-2</v>
      </c>
      <c r="P451" s="2" t="s">
        <v>898</v>
      </c>
      <c r="Q451" s="2">
        <v>356.02</v>
      </c>
      <c r="R451" s="11">
        <f t="shared" si="19"/>
        <v>-1.1783189316575404E-3</v>
      </c>
      <c r="T451" s="2" t="s">
        <v>898</v>
      </c>
      <c r="U451" s="2">
        <v>4283.85009765625</v>
      </c>
      <c r="V451" s="11">
        <f t="shared" si="20"/>
        <v>2.3538963079141606E-3</v>
      </c>
    </row>
    <row r="452" spans="12:22" x14ac:dyDescent="0.2">
      <c r="L452" s="2" t="s">
        <v>897</v>
      </c>
      <c r="M452" s="2">
        <v>121.09</v>
      </c>
      <c r="N452" s="11">
        <f t="shared" si="18"/>
        <v>4.4239392894101393E-2</v>
      </c>
      <c r="P452" s="2" t="s">
        <v>897</v>
      </c>
      <c r="Q452" s="2">
        <v>353.93</v>
      </c>
      <c r="R452" s="11">
        <f t="shared" si="19"/>
        <v>-5.8704567159147958E-3</v>
      </c>
      <c r="T452" s="2" t="s">
        <v>897</v>
      </c>
      <c r="U452" s="2">
        <v>4267.52001953125</v>
      </c>
      <c r="V452" s="11">
        <f t="shared" si="20"/>
        <v>-3.8120096998572883E-3</v>
      </c>
    </row>
    <row r="453" spans="12:22" x14ac:dyDescent="0.2">
      <c r="L453" s="2" t="s">
        <v>896</v>
      </c>
      <c r="M453" s="2">
        <v>116.57</v>
      </c>
      <c r="N453" s="11">
        <f t="shared" si="18"/>
        <v>-3.732760756462139E-2</v>
      </c>
      <c r="P453" s="2" t="s">
        <v>896</v>
      </c>
      <c r="Q453" s="2">
        <v>354.95</v>
      </c>
      <c r="R453" s="11">
        <f t="shared" si="19"/>
        <v>2.8819258045376106E-3</v>
      </c>
      <c r="T453" s="2" t="s">
        <v>896</v>
      </c>
      <c r="U453" s="2">
        <v>4293.93017578125</v>
      </c>
      <c r="V453" s="11">
        <f t="shared" si="20"/>
        <v>6.1886426142414575E-3</v>
      </c>
    </row>
    <row r="454" spans="12:22" x14ac:dyDescent="0.2">
      <c r="L454" s="2" t="s">
        <v>895</v>
      </c>
      <c r="M454" s="2">
        <v>116.19</v>
      </c>
      <c r="N454" s="11">
        <f t="shared" ref="N454:N517" si="21">+M454/M453-1</f>
        <v>-3.2598438706356037E-3</v>
      </c>
      <c r="P454" s="2" t="s">
        <v>895</v>
      </c>
      <c r="Q454" s="2">
        <v>360.4</v>
      </c>
      <c r="R454" s="11">
        <f t="shared" ref="R454:R517" si="22">+Q454/Q453-1</f>
        <v>1.5354275250035077E-2</v>
      </c>
      <c r="T454" s="2" t="s">
        <v>895</v>
      </c>
      <c r="U454" s="2">
        <v>4298.85986328125</v>
      </c>
      <c r="V454" s="11">
        <f t="shared" ref="V454:V517" si="23">+U454/U453-1</f>
        <v>1.148059539441082E-3</v>
      </c>
    </row>
    <row r="455" spans="12:22" x14ac:dyDescent="0.2">
      <c r="L455" s="2" t="s">
        <v>894</v>
      </c>
      <c r="M455" s="2">
        <v>115.605</v>
      </c>
      <c r="N455" s="11">
        <f t="shared" si="21"/>
        <v>-5.034856700232293E-3</v>
      </c>
      <c r="P455" s="2" t="s">
        <v>894</v>
      </c>
      <c r="Q455" s="2">
        <v>368.18</v>
      </c>
      <c r="R455" s="11">
        <f t="shared" si="22"/>
        <v>2.1587125416204334E-2</v>
      </c>
      <c r="T455" s="2" t="s">
        <v>894</v>
      </c>
      <c r="U455" s="2">
        <v>4338.93017578125</v>
      </c>
      <c r="V455" s="11">
        <f t="shared" si="23"/>
        <v>9.3211488102371565E-3</v>
      </c>
    </row>
    <row r="456" spans="12:22" x14ac:dyDescent="0.2">
      <c r="L456" s="2" t="s">
        <v>893</v>
      </c>
      <c r="M456" s="2">
        <v>114.8</v>
      </c>
      <c r="N456" s="11">
        <f t="shared" si="21"/>
        <v>-6.9633666363911884E-3</v>
      </c>
      <c r="P456" s="2" t="s">
        <v>893</v>
      </c>
      <c r="Q456" s="2">
        <v>368.36</v>
      </c>
      <c r="R456" s="11">
        <f t="shared" si="22"/>
        <v>4.8889130316687179E-4</v>
      </c>
      <c r="T456" s="2" t="s">
        <v>893</v>
      </c>
      <c r="U456" s="2">
        <v>4369.009765625</v>
      </c>
      <c r="V456" s="11">
        <f t="shared" si="23"/>
        <v>6.9324899514737748E-3</v>
      </c>
    </row>
    <row r="457" spans="12:22" x14ac:dyDescent="0.2">
      <c r="L457" s="2" t="s">
        <v>892</v>
      </c>
      <c r="M457" s="2">
        <v>114.72</v>
      </c>
      <c r="N457" s="11">
        <f t="shared" si="21"/>
        <v>-6.9686411149827432E-4</v>
      </c>
      <c r="P457" s="2" t="s">
        <v>892</v>
      </c>
      <c r="Q457" s="2">
        <v>377.21</v>
      </c>
      <c r="R457" s="11">
        <f t="shared" si="22"/>
        <v>2.4025409925073182E-2</v>
      </c>
      <c r="T457" s="2" t="s">
        <v>892</v>
      </c>
      <c r="U457" s="2">
        <v>4372.58984375</v>
      </c>
      <c r="V457" s="11">
        <f t="shared" si="23"/>
        <v>8.1942552593217144E-4</v>
      </c>
    </row>
    <row r="458" spans="12:22" x14ac:dyDescent="0.2">
      <c r="L458" s="2" t="s">
        <v>891</v>
      </c>
      <c r="M458" s="2">
        <v>115.09</v>
      </c>
      <c r="N458" s="11">
        <f t="shared" si="21"/>
        <v>3.2252440725244469E-3</v>
      </c>
      <c r="P458" s="2" t="s">
        <v>891</v>
      </c>
      <c r="Q458" s="2">
        <v>382.63</v>
      </c>
      <c r="R458" s="11">
        <f t="shared" si="22"/>
        <v>1.4368654065374686E-2</v>
      </c>
      <c r="T458" s="2" t="s">
        <v>891</v>
      </c>
      <c r="U458" s="2">
        <v>4425.83984375</v>
      </c>
      <c r="V458" s="11">
        <f t="shared" si="23"/>
        <v>1.217813742034668E-2</v>
      </c>
    </row>
    <row r="459" spans="12:22" x14ac:dyDescent="0.2">
      <c r="L459" s="2" t="s">
        <v>890</v>
      </c>
      <c r="M459" s="2">
        <v>109.95</v>
      </c>
      <c r="N459" s="11">
        <f t="shared" si="21"/>
        <v>-4.4660700321487501E-2</v>
      </c>
      <c r="P459" s="2" t="s">
        <v>890</v>
      </c>
      <c r="Q459" s="2">
        <v>383.02</v>
      </c>
      <c r="R459" s="11">
        <f t="shared" si="22"/>
        <v>1.0192614274886491E-3</v>
      </c>
      <c r="T459" s="2" t="s">
        <v>890</v>
      </c>
      <c r="U459" s="2">
        <v>4409.58984375</v>
      </c>
      <c r="V459" s="11">
        <f t="shared" si="23"/>
        <v>-3.6716195284263176E-3</v>
      </c>
    </row>
    <row r="460" spans="12:22" x14ac:dyDescent="0.2">
      <c r="L460" s="2" t="s">
        <v>889</v>
      </c>
      <c r="M460" s="2">
        <v>105.95</v>
      </c>
      <c r="N460" s="11">
        <f t="shared" si="21"/>
        <v>-3.6380172805820843E-2</v>
      </c>
      <c r="P460" s="2" t="s">
        <v>889</v>
      </c>
      <c r="Q460" s="2">
        <v>383.49</v>
      </c>
      <c r="R460" s="11">
        <f t="shared" si="22"/>
        <v>1.2270899691921855E-3</v>
      </c>
      <c r="T460" s="2" t="s">
        <v>889</v>
      </c>
      <c r="U460" s="2">
        <v>4388.7099609375</v>
      </c>
      <c r="V460" s="11">
        <f t="shared" si="23"/>
        <v>-4.7351076976228645E-3</v>
      </c>
    </row>
    <row r="461" spans="12:22" x14ac:dyDescent="0.2">
      <c r="L461" s="2" t="s">
        <v>888</v>
      </c>
      <c r="M461" s="2">
        <v>108.58</v>
      </c>
      <c r="N461" s="11">
        <f t="shared" si="21"/>
        <v>2.4823029731005253E-2</v>
      </c>
      <c r="P461" s="2" t="s">
        <v>888</v>
      </c>
      <c r="Q461" s="2">
        <v>378.81</v>
      </c>
      <c r="R461" s="11">
        <f t="shared" si="22"/>
        <v>-1.220370804975357E-2</v>
      </c>
      <c r="T461" s="2" t="s">
        <v>888</v>
      </c>
      <c r="U461" s="2">
        <v>4365.68994140625</v>
      </c>
      <c r="V461" s="11">
        <f t="shared" si="23"/>
        <v>-5.2452815830036359E-3</v>
      </c>
    </row>
    <row r="462" spans="12:22" x14ac:dyDescent="0.2">
      <c r="L462" s="2" t="s">
        <v>887</v>
      </c>
      <c r="M462" s="2">
        <v>107.06</v>
      </c>
      <c r="N462" s="11">
        <f t="shared" si="21"/>
        <v>-1.3998894824092778E-2</v>
      </c>
      <c r="P462" s="2" t="s">
        <v>887</v>
      </c>
      <c r="Q462" s="2">
        <v>377.96</v>
      </c>
      <c r="R462" s="11">
        <f t="shared" si="22"/>
        <v>-2.2438689580529525E-3</v>
      </c>
      <c r="T462" s="2" t="s">
        <v>887</v>
      </c>
      <c r="U462" s="2">
        <v>4381.89013671875</v>
      </c>
      <c r="V462" s="11">
        <f t="shared" si="23"/>
        <v>3.7107984144384432E-3</v>
      </c>
    </row>
    <row r="463" spans="12:22" x14ac:dyDescent="0.2">
      <c r="L463" s="2" t="s">
        <v>886</v>
      </c>
      <c r="M463" s="2">
        <v>106.01</v>
      </c>
      <c r="N463" s="11">
        <f t="shared" si="21"/>
        <v>-9.8075845320381161E-3</v>
      </c>
      <c r="P463" s="2" t="s">
        <v>886</v>
      </c>
      <c r="Q463" s="2">
        <v>374.25</v>
      </c>
      <c r="R463" s="11">
        <f t="shared" si="22"/>
        <v>-9.8158535294740057E-3</v>
      </c>
      <c r="T463" s="2" t="s">
        <v>886</v>
      </c>
      <c r="U463" s="2">
        <v>4348.330078125</v>
      </c>
      <c r="V463" s="11">
        <f t="shared" si="23"/>
        <v>-7.6588087666845661E-3</v>
      </c>
    </row>
    <row r="464" spans="12:22" x14ac:dyDescent="0.2">
      <c r="L464" s="2" t="s">
        <v>885</v>
      </c>
      <c r="M464" s="2">
        <v>104.79</v>
      </c>
      <c r="N464" s="11">
        <f t="shared" si="21"/>
        <v>-1.1508348269031243E-2</v>
      </c>
      <c r="P464" s="2" t="s">
        <v>885</v>
      </c>
      <c r="Q464" s="2">
        <v>373.77</v>
      </c>
      <c r="R464" s="11">
        <f t="shared" si="22"/>
        <v>-1.2825651302605934E-3</v>
      </c>
      <c r="T464" s="2" t="s">
        <v>885</v>
      </c>
      <c r="U464" s="2">
        <v>4328.81982421875</v>
      </c>
      <c r="V464" s="11">
        <f t="shared" si="23"/>
        <v>-4.4868382932564677E-3</v>
      </c>
    </row>
    <row r="465" spans="12:22" x14ac:dyDescent="0.2">
      <c r="L465" s="2" t="s">
        <v>884</v>
      </c>
      <c r="M465" s="2">
        <v>107.08</v>
      </c>
      <c r="N465" s="11">
        <f t="shared" si="21"/>
        <v>2.1853230270063806E-2</v>
      </c>
      <c r="P465" s="2" t="s">
        <v>884</v>
      </c>
      <c r="Q465" s="2">
        <v>374.52</v>
      </c>
      <c r="R465" s="11">
        <f t="shared" si="22"/>
        <v>2.0065815876073589E-3</v>
      </c>
      <c r="T465" s="2" t="s">
        <v>884</v>
      </c>
      <c r="U465" s="2">
        <v>4378.41015625</v>
      </c>
      <c r="V465" s="11">
        <f t="shared" si="23"/>
        <v>1.1455854954693034E-2</v>
      </c>
    </row>
    <row r="466" spans="12:22" x14ac:dyDescent="0.2">
      <c r="L466" s="2" t="s">
        <v>883</v>
      </c>
      <c r="M466" s="2">
        <v>107.13</v>
      </c>
      <c r="N466" s="11">
        <f t="shared" si="21"/>
        <v>4.6694060515495295E-4</v>
      </c>
      <c r="P466" s="2" t="s">
        <v>883</v>
      </c>
      <c r="Q466" s="2">
        <v>376.25</v>
      </c>
      <c r="R466" s="11">
        <f t="shared" si="22"/>
        <v>4.6192459681726472E-3</v>
      </c>
      <c r="T466" s="2" t="s">
        <v>883</v>
      </c>
      <c r="U466" s="2">
        <v>4376.85986328125</v>
      </c>
      <c r="V466" s="11">
        <f t="shared" si="23"/>
        <v>-3.5407668843834283E-4</v>
      </c>
    </row>
    <row r="467" spans="12:22" x14ac:dyDescent="0.2">
      <c r="L467" s="2" t="s">
        <v>882</v>
      </c>
      <c r="M467" s="2">
        <v>108.21</v>
      </c>
      <c r="N467" s="11">
        <f t="shared" si="21"/>
        <v>1.0081209745169462E-2</v>
      </c>
      <c r="P467" s="2" t="s">
        <v>882</v>
      </c>
      <c r="Q467" s="2">
        <v>370.26</v>
      </c>
      <c r="R467" s="11">
        <f t="shared" si="22"/>
        <v>-1.5920265780730913E-2</v>
      </c>
      <c r="T467" s="2" t="s">
        <v>882</v>
      </c>
      <c r="U467" s="2">
        <v>4396.43994140625</v>
      </c>
      <c r="V467" s="11">
        <f t="shared" si="23"/>
        <v>4.4735446728059181E-3</v>
      </c>
    </row>
    <row r="468" spans="12:22" x14ac:dyDescent="0.2">
      <c r="L468" s="2" t="s">
        <v>881</v>
      </c>
      <c r="M468" s="2">
        <v>112.44</v>
      </c>
      <c r="N468" s="11">
        <f t="shared" si="21"/>
        <v>3.9090657055725009E-2</v>
      </c>
      <c r="P468" s="2" t="s">
        <v>881</v>
      </c>
      <c r="Q468" s="2">
        <v>378.5</v>
      </c>
      <c r="R468" s="11">
        <f t="shared" si="22"/>
        <v>2.2254631880300302E-2</v>
      </c>
      <c r="T468" s="2" t="s">
        <v>881</v>
      </c>
      <c r="U468" s="2">
        <v>4450.3798828125</v>
      </c>
      <c r="V468" s="11">
        <f t="shared" si="23"/>
        <v>1.2269004495714109E-2</v>
      </c>
    </row>
    <row r="469" spans="12:22" x14ac:dyDescent="0.2">
      <c r="L469" s="2" t="s">
        <v>880</v>
      </c>
      <c r="M469" s="2">
        <v>117.06</v>
      </c>
      <c r="N469" s="11">
        <f t="shared" si="21"/>
        <v>4.1088580576307487E-2</v>
      </c>
      <c r="P469" s="2" t="s">
        <v>880</v>
      </c>
      <c r="Q469" s="2">
        <v>379.41</v>
      </c>
      <c r="R469" s="11">
        <f t="shared" si="22"/>
        <v>2.4042272126816311E-3</v>
      </c>
      <c r="T469" s="2" t="s">
        <v>880</v>
      </c>
      <c r="U469" s="2">
        <v>4455.58984375</v>
      </c>
      <c r="V469" s="11">
        <f t="shared" si="23"/>
        <v>1.1706778016009611E-3</v>
      </c>
    </row>
    <row r="470" spans="12:22" x14ac:dyDescent="0.2">
      <c r="L470" s="2" t="s">
        <v>879</v>
      </c>
      <c r="M470" s="2">
        <v>114.26</v>
      </c>
      <c r="N470" s="11">
        <f t="shared" si="21"/>
        <v>-2.3919357594396007E-2</v>
      </c>
      <c r="P470" s="2" t="s">
        <v>879</v>
      </c>
      <c r="Q470" s="2">
        <v>375.99</v>
      </c>
      <c r="R470" s="11">
        <f t="shared" si="22"/>
        <v>-9.0139954139322187E-3</v>
      </c>
      <c r="T470" s="2" t="s">
        <v>879</v>
      </c>
      <c r="U470" s="2">
        <v>4446.81982421875</v>
      </c>
      <c r="V470" s="11">
        <f t="shared" si="23"/>
        <v>-1.9683184132291975E-3</v>
      </c>
    </row>
    <row r="471" spans="12:22" x14ac:dyDescent="0.2">
      <c r="L471" s="2" t="s">
        <v>878</v>
      </c>
      <c r="M471" s="2">
        <v>111.43</v>
      </c>
      <c r="N471" s="11">
        <f t="shared" si="21"/>
        <v>-2.4768072816383713E-2</v>
      </c>
      <c r="P471" s="2" t="s">
        <v>878</v>
      </c>
      <c r="Q471" s="2">
        <v>367.03</v>
      </c>
      <c r="R471" s="11">
        <f t="shared" si="22"/>
        <v>-2.3830421021835746E-2</v>
      </c>
      <c r="T471" s="2" t="s">
        <v>878</v>
      </c>
      <c r="U471" s="2">
        <v>4411.58984375</v>
      </c>
      <c r="V471" s="11">
        <f t="shared" si="23"/>
        <v>-7.9225113365009037E-3</v>
      </c>
    </row>
    <row r="472" spans="12:22" x14ac:dyDescent="0.2">
      <c r="L472" s="2" t="s">
        <v>877</v>
      </c>
      <c r="M472" s="2">
        <v>112.43</v>
      </c>
      <c r="N472" s="11">
        <f t="shared" si="21"/>
        <v>8.9742439199498314E-3</v>
      </c>
      <c r="P472" s="2" t="s">
        <v>877</v>
      </c>
      <c r="Q472" s="2">
        <v>363.74</v>
      </c>
      <c r="R472" s="11">
        <f t="shared" si="22"/>
        <v>-8.9638449173090606E-3</v>
      </c>
      <c r="T472" s="2" t="s">
        <v>877</v>
      </c>
      <c r="U472" s="2">
        <v>4398.9501953125</v>
      </c>
      <c r="V472" s="11">
        <f t="shared" si="23"/>
        <v>-2.8651005386203243E-3</v>
      </c>
    </row>
    <row r="473" spans="12:22" x14ac:dyDescent="0.2">
      <c r="L473" s="2" t="s">
        <v>876</v>
      </c>
      <c r="M473" s="2">
        <v>117.37</v>
      </c>
      <c r="N473" s="11">
        <f t="shared" si="21"/>
        <v>4.393845059147905E-2</v>
      </c>
      <c r="P473" s="2" t="s">
        <v>876</v>
      </c>
      <c r="Q473" s="2">
        <v>369.52</v>
      </c>
      <c r="R473" s="11">
        <f t="shared" si="22"/>
        <v>1.5890471215703528E-2</v>
      </c>
      <c r="T473" s="2" t="s">
        <v>876</v>
      </c>
      <c r="U473" s="2">
        <v>4409.52978515625</v>
      </c>
      <c r="V473" s="11">
        <f t="shared" si="23"/>
        <v>2.405026057131332E-3</v>
      </c>
    </row>
    <row r="474" spans="12:22" x14ac:dyDescent="0.2">
      <c r="L474" s="2" t="s">
        <v>875</v>
      </c>
      <c r="M474" s="2">
        <v>120.44</v>
      </c>
      <c r="N474" s="11">
        <f t="shared" si="21"/>
        <v>2.6156598790150642E-2</v>
      </c>
      <c r="P474" s="2" t="s">
        <v>875</v>
      </c>
      <c r="Q474" s="2">
        <v>379.48</v>
      </c>
      <c r="R474" s="11">
        <f t="shared" si="22"/>
        <v>2.6953886122537352E-2</v>
      </c>
      <c r="T474" s="2" t="s">
        <v>875</v>
      </c>
      <c r="U474" s="2">
        <v>4439.259765625</v>
      </c>
      <c r="V474" s="11">
        <f t="shared" si="23"/>
        <v>6.7422110558885695E-3</v>
      </c>
    </row>
    <row r="475" spans="12:22" x14ac:dyDescent="0.2">
      <c r="L475" s="2" t="s">
        <v>874</v>
      </c>
      <c r="M475" s="2">
        <v>126.42</v>
      </c>
      <c r="N475" s="11">
        <f t="shared" si="21"/>
        <v>4.9651278644968544E-2</v>
      </c>
      <c r="P475" s="2" t="s">
        <v>874</v>
      </c>
      <c r="Q475" s="2">
        <v>383.32</v>
      </c>
      <c r="R475" s="11">
        <f t="shared" si="22"/>
        <v>1.0119110361547223E-2</v>
      </c>
      <c r="T475" s="2" t="s">
        <v>874</v>
      </c>
      <c r="U475" s="2">
        <v>4472.16015625</v>
      </c>
      <c r="V475" s="11">
        <f t="shared" si="23"/>
        <v>7.4112334853124739E-3</v>
      </c>
    </row>
    <row r="476" spans="12:22" x14ac:dyDescent="0.2">
      <c r="L476" s="2" t="s">
        <v>873</v>
      </c>
      <c r="M476" s="2">
        <v>125.99</v>
      </c>
      <c r="N476" s="11">
        <f t="shared" si="21"/>
        <v>-3.4013605442176909E-3</v>
      </c>
      <c r="P476" s="2" t="s">
        <v>873</v>
      </c>
      <c r="Q476" s="2">
        <v>379.54</v>
      </c>
      <c r="R476" s="11">
        <f t="shared" si="22"/>
        <v>-9.8612125639151449E-3</v>
      </c>
      <c r="T476" s="2" t="s">
        <v>873</v>
      </c>
      <c r="U476" s="2">
        <v>4510.0400390625</v>
      </c>
      <c r="V476" s="11">
        <f t="shared" si="23"/>
        <v>8.4701534580691185E-3</v>
      </c>
    </row>
    <row r="477" spans="12:22" x14ac:dyDescent="0.2">
      <c r="L477" s="2" t="s">
        <v>872</v>
      </c>
      <c r="M477" s="2">
        <v>124.04</v>
      </c>
      <c r="N477" s="11">
        <f t="shared" si="21"/>
        <v>-1.5477418842765212E-2</v>
      </c>
      <c r="P477" s="2" t="s">
        <v>872</v>
      </c>
      <c r="Q477" s="2">
        <v>380.41</v>
      </c>
      <c r="R477" s="11">
        <f t="shared" si="22"/>
        <v>2.2922485113558988E-3</v>
      </c>
      <c r="T477" s="2" t="s">
        <v>872</v>
      </c>
      <c r="U477" s="2">
        <v>4505.419921875</v>
      </c>
      <c r="V477" s="11">
        <f t="shared" si="23"/>
        <v>-1.0244071333035398E-3</v>
      </c>
    </row>
    <row r="478" spans="12:22" x14ac:dyDescent="0.2">
      <c r="L478" s="2" t="s">
        <v>871</v>
      </c>
      <c r="M478" s="2">
        <v>127.1</v>
      </c>
      <c r="N478" s="11">
        <f t="shared" si="21"/>
        <v>2.4669461464043696E-2</v>
      </c>
      <c r="P478" s="2" t="s">
        <v>871</v>
      </c>
      <c r="Q478" s="2">
        <v>383.69</v>
      </c>
      <c r="R478" s="11">
        <f t="shared" si="22"/>
        <v>8.6222759654057679E-3</v>
      </c>
      <c r="T478" s="2" t="s">
        <v>871</v>
      </c>
      <c r="U478" s="2">
        <v>4522.7900390625</v>
      </c>
      <c r="V478" s="11">
        <f t="shared" si="23"/>
        <v>3.8553825145495324E-3</v>
      </c>
    </row>
    <row r="479" spans="12:22" x14ac:dyDescent="0.2">
      <c r="L479" s="2" t="s">
        <v>870</v>
      </c>
      <c r="M479" s="2">
        <v>127.34</v>
      </c>
      <c r="N479" s="11">
        <f t="shared" si="21"/>
        <v>1.8882769472856609E-3</v>
      </c>
      <c r="P479" s="2" t="s">
        <v>870</v>
      </c>
      <c r="Q479" s="2">
        <v>385.42</v>
      </c>
      <c r="R479" s="11">
        <f t="shared" si="22"/>
        <v>4.508848288983236E-3</v>
      </c>
      <c r="T479" s="2" t="s">
        <v>870</v>
      </c>
      <c r="U479" s="2">
        <v>4554.97998046875</v>
      </c>
      <c r="V479" s="11">
        <f t="shared" si="23"/>
        <v>7.1172752058423772E-3</v>
      </c>
    </row>
    <row r="480" spans="12:22" x14ac:dyDescent="0.2">
      <c r="L480" s="2" t="s">
        <v>869</v>
      </c>
      <c r="M480" s="2">
        <v>129.88999999999999</v>
      </c>
      <c r="N480" s="11">
        <f t="shared" si="21"/>
        <v>2.0025129574367639E-2</v>
      </c>
      <c r="P480" s="2" t="s">
        <v>869</v>
      </c>
      <c r="Q480" s="2">
        <v>390.51</v>
      </c>
      <c r="R480" s="11">
        <f t="shared" si="22"/>
        <v>1.320637226921284E-2</v>
      </c>
      <c r="T480" s="2" t="s">
        <v>869</v>
      </c>
      <c r="U480" s="2">
        <v>4565.72021484375</v>
      </c>
      <c r="V480" s="11">
        <f t="shared" si="23"/>
        <v>2.3579103357320719E-3</v>
      </c>
    </row>
    <row r="481" spans="12:22" x14ac:dyDescent="0.2">
      <c r="L481" s="2" t="s">
        <v>868</v>
      </c>
      <c r="M481" s="2">
        <v>121.84</v>
      </c>
      <c r="N481" s="11">
        <f t="shared" si="21"/>
        <v>-6.1975517745784803E-2</v>
      </c>
      <c r="P481" s="2" t="s">
        <v>868</v>
      </c>
      <c r="Q481" s="2">
        <v>381.86</v>
      </c>
      <c r="R481" s="11">
        <f t="shared" si="22"/>
        <v>-2.2150521113415755E-2</v>
      </c>
      <c r="T481" s="2" t="s">
        <v>868</v>
      </c>
      <c r="U481" s="2">
        <v>4534.8701171875</v>
      </c>
      <c r="V481" s="11">
        <f t="shared" si="23"/>
        <v>-6.7568962189037407E-3</v>
      </c>
    </row>
    <row r="482" spans="12:22" x14ac:dyDescent="0.2">
      <c r="L482" s="2" t="s">
        <v>867</v>
      </c>
      <c r="M482" s="2">
        <v>122.81</v>
      </c>
      <c r="N482" s="11">
        <f t="shared" si="21"/>
        <v>7.9612606697307964E-3</v>
      </c>
      <c r="P482" s="2" t="s">
        <v>867</v>
      </c>
      <c r="Q482" s="2">
        <v>382.96</v>
      </c>
      <c r="R482" s="11">
        <f t="shared" si="22"/>
        <v>2.8806368826270745E-3</v>
      </c>
      <c r="T482" s="2" t="s">
        <v>867</v>
      </c>
      <c r="U482" s="2">
        <v>4536.33984375</v>
      </c>
      <c r="V482" s="11">
        <f t="shared" si="23"/>
        <v>3.240945218980773E-4</v>
      </c>
    </row>
    <row r="483" spans="12:22" x14ac:dyDescent="0.2">
      <c r="L483" s="2" t="s">
        <v>866</v>
      </c>
      <c r="M483" s="2">
        <v>122.66</v>
      </c>
      <c r="N483" s="11">
        <f t="shared" si="21"/>
        <v>-1.2213989088837307E-3</v>
      </c>
      <c r="P483" s="2" t="s">
        <v>866</v>
      </c>
      <c r="Q483" s="2">
        <v>380.39</v>
      </c>
      <c r="R483" s="11">
        <f t="shared" si="22"/>
        <v>-6.7108836432002716E-3</v>
      </c>
      <c r="T483" s="2" t="s">
        <v>866</v>
      </c>
      <c r="U483" s="2">
        <v>4554.64013671875</v>
      </c>
      <c r="V483" s="11">
        <f t="shared" si="23"/>
        <v>4.0341538771535568E-3</v>
      </c>
    </row>
    <row r="484" spans="12:22" x14ac:dyDescent="0.2">
      <c r="L484" s="2" t="s">
        <v>865</v>
      </c>
      <c r="M484" s="2">
        <v>121.87</v>
      </c>
      <c r="N484" s="11">
        <f t="shared" si="21"/>
        <v>-6.4405674221424958E-3</v>
      </c>
      <c r="P484" s="2" t="s">
        <v>865</v>
      </c>
      <c r="Q484" s="2">
        <v>382.12</v>
      </c>
      <c r="R484" s="11">
        <f t="shared" si="22"/>
        <v>4.547963931754273E-3</v>
      </c>
      <c r="T484" s="2" t="s">
        <v>865</v>
      </c>
      <c r="U484" s="2">
        <v>4567.4599609375</v>
      </c>
      <c r="V484" s="11">
        <f t="shared" si="23"/>
        <v>2.8146733515561628E-3</v>
      </c>
    </row>
    <row r="485" spans="12:22" x14ac:dyDescent="0.2">
      <c r="L485" s="2" t="s">
        <v>864</v>
      </c>
      <c r="M485" s="2">
        <v>119.8</v>
      </c>
      <c r="N485" s="11">
        <f t="shared" si="21"/>
        <v>-1.6985312217937198E-2</v>
      </c>
      <c r="P485" s="2" t="s">
        <v>864</v>
      </c>
      <c r="Q485" s="2">
        <v>378.98</v>
      </c>
      <c r="R485" s="11">
        <f t="shared" si="22"/>
        <v>-8.2173139327958999E-3</v>
      </c>
      <c r="T485" s="2" t="s">
        <v>864</v>
      </c>
      <c r="U485" s="2">
        <v>4566.75</v>
      </c>
      <c r="V485" s="11">
        <f t="shared" si="23"/>
        <v>-1.5543889679858758E-4</v>
      </c>
    </row>
    <row r="486" spans="12:22" x14ac:dyDescent="0.2">
      <c r="L486" s="2" t="s">
        <v>863</v>
      </c>
      <c r="M486" s="2">
        <v>102.3</v>
      </c>
      <c r="N486" s="11">
        <f t="shared" si="21"/>
        <v>-0.14607679465776291</v>
      </c>
      <c r="P486" s="2" t="s">
        <v>863</v>
      </c>
      <c r="Q486" s="2">
        <v>370.75</v>
      </c>
      <c r="R486" s="11">
        <f t="shared" si="22"/>
        <v>-2.1716185550688771E-2</v>
      </c>
      <c r="T486" s="2" t="s">
        <v>863</v>
      </c>
      <c r="U486" s="2">
        <v>4537.41015625</v>
      </c>
      <c r="V486" s="11">
        <f t="shared" si="23"/>
        <v>-6.4246660644878828E-3</v>
      </c>
    </row>
    <row r="487" spans="12:22" x14ac:dyDescent="0.2">
      <c r="L487" s="2" t="s">
        <v>862</v>
      </c>
      <c r="M487" s="2">
        <v>108.14</v>
      </c>
      <c r="N487" s="11">
        <f t="shared" si="21"/>
        <v>5.7086999022482932E-2</v>
      </c>
      <c r="P487" s="2" t="s">
        <v>862</v>
      </c>
      <c r="Q487" s="2">
        <v>377.96</v>
      </c>
      <c r="R487" s="11">
        <f t="shared" si="22"/>
        <v>1.9447066756574483E-2</v>
      </c>
      <c r="T487" s="2" t="s">
        <v>862</v>
      </c>
      <c r="U487" s="2">
        <v>4582.22998046875</v>
      </c>
      <c r="V487" s="11">
        <f t="shared" si="23"/>
        <v>9.8778427947523451E-3</v>
      </c>
    </row>
    <row r="488" spans="12:22" x14ac:dyDescent="0.2">
      <c r="L488" s="2" t="s">
        <v>861</v>
      </c>
      <c r="M488" s="2">
        <v>108.35</v>
      </c>
      <c r="N488" s="11">
        <f t="shared" si="21"/>
        <v>1.9419271314962128E-3</v>
      </c>
      <c r="P488" s="2" t="s">
        <v>861</v>
      </c>
      <c r="Q488" s="2">
        <v>378.53</v>
      </c>
      <c r="R488" s="11">
        <f t="shared" si="22"/>
        <v>1.508096094824829E-3</v>
      </c>
      <c r="T488" s="2" t="s">
        <v>861</v>
      </c>
      <c r="U488" s="2">
        <v>4588.9599609375</v>
      </c>
      <c r="V488" s="11">
        <f t="shared" si="23"/>
        <v>1.4687129405193122E-3</v>
      </c>
    </row>
    <row r="489" spans="12:22" x14ac:dyDescent="0.2">
      <c r="L489" s="2" t="s">
        <v>860</v>
      </c>
      <c r="M489" s="2">
        <v>107</v>
      </c>
      <c r="N489" s="11">
        <f t="shared" si="21"/>
        <v>-1.245962159667735E-2</v>
      </c>
      <c r="P489" s="2" t="s">
        <v>860</v>
      </c>
      <c r="Q489" s="2">
        <v>381.21</v>
      </c>
      <c r="R489" s="11">
        <f t="shared" si="22"/>
        <v>7.080020077668836E-3</v>
      </c>
      <c r="T489" s="2" t="s">
        <v>860</v>
      </c>
      <c r="U489" s="2">
        <v>4576.72998046875</v>
      </c>
      <c r="V489" s="11">
        <f t="shared" si="23"/>
        <v>-2.6650876392156908E-3</v>
      </c>
    </row>
    <row r="490" spans="12:22" x14ac:dyDescent="0.2">
      <c r="L490" s="2" t="s">
        <v>859</v>
      </c>
      <c r="M490" s="2">
        <v>104.3</v>
      </c>
      <c r="N490" s="11">
        <f t="shared" si="21"/>
        <v>-2.5233644859813165E-2</v>
      </c>
      <c r="P490" s="2" t="s">
        <v>859</v>
      </c>
      <c r="Q490" s="2">
        <v>376.65</v>
      </c>
      <c r="R490" s="11">
        <f t="shared" si="22"/>
        <v>-1.1961910757850025E-2</v>
      </c>
      <c r="T490" s="2" t="s">
        <v>859</v>
      </c>
      <c r="U490" s="2">
        <v>4513.39013671875</v>
      </c>
      <c r="V490" s="11">
        <f t="shared" si="23"/>
        <v>-1.3839541336347905E-2</v>
      </c>
    </row>
    <row r="491" spans="12:22" x14ac:dyDescent="0.2">
      <c r="L491" s="2" t="s">
        <v>858</v>
      </c>
      <c r="M491" s="2">
        <v>103.77</v>
      </c>
      <c r="N491" s="11">
        <f t="shared" si="21"/>
        <v>-5.0814956855225191E-3</v>
      </c>
      <c r="P491" s="2" t="s">
        <v>858</v>
      </c>
      <c r="Q491" s="2">
        <v>384</v>
      </c>
      <c r="R491" s="11">
        <f t="shared" si="22"/>
        <v>1.9514137793707809E-2</v>
      </c>
      <c r="T491" s="2" t="s">
        <v>858</v>
      </c>
      <c r="U491" s="2">
        <v>4501.89013671875</v>
      </c>
      <c r="V491" s="11">
        <f t="shared" si="23"/>
        <v>-2.5479738404268204E-3</v>
      </c>
    </row>
    <row r="492" spans="12:22" x14ac:dyDescent="0.2">
      <c r="L492" s="2" t="s">
        <v>857</v>
      </c>
      <c r="M492" s="2">
        <v>105.91</v>
      </c>
      <c r="N492" s="11">
        <f t="shared" si="21"/>
        <v>2.0622530596511535E-2</v>
      </c>
      <c r="P492" s="2" t="s">
        <v>857</v>
      </c>
      <c r="Q492" s="2">
        <v>378.2</v>
      </c>
      <c r="R492" s="11">
        <f t="shared" si="22"/>
        <v>-1.5104166666666696E-2</v>
      </c>
      <c r="T492" s="2" t="s">
        <v>857</v>
      </c>
      <c r="U492" s="2">
        <v>4478.02978515625</v>
      </c>
      <c r="V492" s="11">
        <f t="shared" si="23"/>
        <v>-5.3000741550505159E-3</v>
      </c>
    </row>
    <row r="493" spans="12:22" x14ac:dyDescent="0.2">
      <c r="L493" s="2" t="s">
        <v>856</v>
      </c>
      <c r="M493" s="2">
        <v>104.48</v>
      </c>
      <c r="N493" s="11">
        <f t="shared" si="21"/>
        <v>-1.3502030025493328E-2</v>
      </c>
      <c r="P493" s="2" t="s">
        <v>856</v>
      </c>
      <c r="Q493" s="2">
        <v>382.5</v>
      </c>
      <c r="R493" s="11">
        <f t="shared" si="22"/>
        <v>1.1369645690111119E-2</v>
      </c>
      <c r="T493" s="2" t="s">
        <v>856</v>
      </c>
      <c r="U493" s="2">
        <v>4518.43994140625</v>
      </c>
      <c r="V493" s="11">
        <f t="shared" si="23"/>
        <v>9.0240927793627801E-3</v>
      </c>
    </row>
    <row r="494" spans="12:22" x14ac:dyDescent="0.2">
      <c r="L494" s="2" t="s">
        <v>855</v>
      </c>
      <c r="M494" s="2">
        <v>104.06</v>
      </c>
      <c r="N494" s="11">
        <f t="shared" si="21"/>
        <v>-4.0199081163859729E-3</v>
      </c>
      <c r="P494" s="2" t="s">
        <v>855</v>
      </c>
      <c r="Q494" s="2">
        <v>380.7</v>
      </c>
      <c r="R494" s="11">
        <f t="shared" si="22"/>
        <v>-4.7058823529412264E-3</v>
      </c>
      <c r="T494" s="2" t="s">
        <v>855</v>
      </c>
      <c r="U494" s="2">
        <v>4499.3798828125</v>
      </c>
      <c r="V494" s="11">
        <f t="shared" si="23"/>
        <v>-4.218283044793103E-3</v>
      </c>
    </row>
    <row r="495" spans="12:22" x14ac:dyDescent="0.2">
      <c r="L495" s="2" t="s">
        <v>854</v>
      </c>
      <c r="M495" s="2">
        <v>102.95</v>
      </c>
      <c r="N495" s="11">
        <f t="shared" si="21"/>
        <v>-1.0666922929079337E-2</v>
      </c>
      <c r="P495" s="2" t="s">
        <v>854</v>
      </c>
      <c r="Q495" s="2">
        <v>382.33</v>
      </c>
      <c r="R495" s="11">
        <f t="shared" si="22"/>
        <v>4.2815865510901219E-3</v>
      </c>
      <c r="T495" s="2" t="s">
        <v>854</v>
      </c>
      <c r="U495" s="2">
        <v>4467.7099609375</v>
      </c>
      <c r="V495" s="11">
        <f t="shared" si="23"/>
        <v>-7.0387303805971024E-3</v>
      </c>
    </row>
    <row r="496" spans="12:22" x14ac:dyDescent="0.2">
      <c r="L496" s="2" t="s">
        <v>853</v>
      </c>
      <c r="M496" s="2">
        <v>103</v>
      </c>
      <c r="N496" s="11">
        <f t="shared" si="21"/>
        <v>4.8567265662935455E-4</v>
      </c>
      <c r="P496" s="2" t="s">
        <v>853</v>
      </c>
      <c r="Q496" s="2">
        <v>384.55</v>
      </c>
      <c r="R496" s="11">
        <f t="shared" si="22"/>
        <v>5.8065022362880914E-3</v>
      </c>
      <c r="T496" s="2" t="s">
        <v>853</v>
      </c>
      <c r="U496" s="2">
        <v>4468.830078125</v>
      </c>
      <c r="V496" s="11">
        <f t="shared" si="23"/>
        <v>2.5071394456976925E-4</v>
      </c>
    </row>
    <row r="497" spans="12:22" x14ac:dyDescent="0.2">
      <c r="L497" s="2" t="s">
        <v>852</v>
      </c>
      <c r="M497" s="2">
        <v>100.59</v>
      </c>
      <c r="N497" s="11">
        <f t="shared" si="21"/>
        <v>-2.3398058252427134E-2</v>
      </c>
      <c r="P497" s="2" t="s">
        <v>852</v>
      </c>
      <c r="Q497" s="2">
        <v>381.13</v>
      </c>
      <c r="R497" s="11">
        <f t="shared" si="22"/>
        <v>-8.8935118970225879E-3</v>
      </c>
      <c r="T497" s="2" t="s">
        <v>852</v>
      </c>
      <c r="U497" s="2">
        <v>4464.0498046875</v>
      </c>
      <c r="V497" s="11">
        <f t="shared" si="23"/>
        <v>-1.0696923700230787E-3</v>
      </c>
    </row>
    <row r="498" spans="12:22" x14ac:dyDescent="0.2">
      <c r="L498" s="2" t="s">
        <v>851</v>
      </c>
      <c r="M498" s="2">
        <v>99.22</v>
      </c>
      <c r="N498" s="11">
        <f t="shared" si="21"/>
        <v>-1.3619644099811201E-2</v>
      </c>
      <c r="P498" s="2" t="s">
        <v>851</v>
      </c>
      <c r="Q498" s="2">
        <v>385.02</v>
      </c>
      <c r="R498" s="11">
        <f t="shared" si="22"/>
        <v>1.0206491223466951E-2</v>
      </c>
      <c r="T498" s="2" t="s">
        <v>851</v>
      </c>
      <c r="U498" s="2">
        <v>4489.72021484375</v>
      </c>
      <c r="V498" s="11">
        <f t="shared" si="23"/>
        <v>5.7504757517030658E-3</v>
      </c>
    </row>
    <row r="499" spans="12:22" x14ac:dyDescent="0.2">
      <c r="L499" s="2" t="s">
        <v>850</v>
      </c>
      <c r="M499" s="2">
        <v>97.8</v>
      </c>
      <c r="N499" s="11">
        <f t="shared" si="21"/>
        <v>-1.4311630719612944E-2</v>
      </c>
      <c r="P499" s="2" t="s">
        <v>850</v>
      </c>
      <c r="Q499" s="2">
        <v>383.18</v>
      </c>
      <c r="R499" s="11">
        <f t="shared" si="22"/>
        <v>-4.7789725209079759E-3</v>
      </c>
      <c r="T499" s="2" t="s">
        <v>850</v>
      </c>
      <c r="U499" s="2">
        <v>4437.85986328125</v>
      </c>
      <c r="V499" s="11">
        <f t="shared" si="23"/>
        <v>-1.1550909428841738E-2</v>
      </c>
    </row>
    <row r="500" spans="12:22" x14ac:dyDescent="0.2">
      <c r="L500" s="2" t="s">
        <v>849</v>
      </c>
      <c r="M500" s="2">
        <v>94.01</v>
      </c>
      <c r="N500" s="11">
        <f t="shared" si="21"/>
        <v>-3.8752556237218738E-2</v>
      </c>
      <c r="P500" s="2" t="s">
        <v>849</v>
      </c>
      <c r="Q500" s="2">
        <v>381.16</v>
      </c>
      <c r="R500" s="11">
        <f t="shared" si="22"/>
        <v>-5.2716738869460489E-3</v>
      </c>
      <c r="T500" s="2" t="s">
        <v>849</v>
      </c>
      <c r="U500" s="2">
        <v>4404.330078125</v>
      </c>
      <c r="V500" s="11">
        <f t="shared" si="23"/>
        <v>-7.5553952105776867E-3</v>
      </c>
    </row>
    <row r="501" spans="12:22" x14ac:dyDescent="0.2">
      <c r="L501" s="2" t="s">
        <v>848</v>
      </c>
      <c r="M501" s="2">
        <v>92.47</v>
      </c>
      <c r="N501" s="11">
        <f t="shared" si="21"/>
        <v>-1.6381236038719327E-2</v>
      </c>
      <c r="P501" s="2" t="s">
        <v>848</v>
      </c>
      <c r="Q501" s="2">
        <v>376.3</v>
      </c>
      <c r="R501" s="11">
        <f t="shared" si="22"/>
        <v>-1.2750550949732431E-2</v>
      </c>
      <c r="T501" s="2" t="s">
        <v>848</v>
      </c>
      <c r="U501" s="2">
        <v>4370.35986328125</v>
      </c>
      <c r="V501" s="11">
        <f t="shared" si="23"/>
        <v>-7.7129130290369829E-3</v>
      </c>
    </row>
    <row r="502" spans="12:22" x14ac:dyDescent="0.2">
      <c r="L502" s="2" t="s">
        <v>847</v>
      </c>
      <c r="M502" s="2">
        <v>94.8</v>
      </c>
      <c r="N502" s="11">
        <f t="shared" si="21"/>
        <v>2.5197361306369626E-2</v>
      </c>
      <c r="P502" s="2" t="s">
        <v>847</v>
      </c>
      <c r="Q502" s="2">
        <v>381.29</v>
      </c>
      <c r="R502" s="11">
        <f t="shared" si="22"/>
        <v>1.3260696252989757E-2</v>
      </c>
      <c r="T502" s="2" t="s">
        <v>847</v>
      </c>
      <c r="U502" s="2">
        <v>4369.7099609375</v>
      </c>
      <c r="V502" s="11">
        <f t="shared" si="23"/>
        <v>-1.4870682600087726E-4</v>
      </c>
    </row>
    <row r="503" spans="12:22" x14ac:dyDescent="0.2">
      <c r="L503" s="2" t="s">
        <v>846</v>
      </c>
      <c r="M503" s="2">
        <v>98.08</v>
      </c>
      <c r="N503" s="11">
        <f t="shared" si="21"/>
        <v>3.459915611814357E-2</v>
      </c>
      <c r="P503" s="2" t="s">
        <v>846</v>
      </c>
      <c r="Q503" s="2">
        <v>384.9</v>
      </c>
      <c r="R503" s="11">
        <f t="shared" si="22"/>
        <v>9.4678591098638076E-3</v>
      </c>
      <c r="T503" s="2" t="s">
        <v>846</v>
      </c>
      <c r="U503" s="2">
        <v>4399.77001953125</v>
      </c>
      <c r="V503" s="11">
        <f t="shared" si="23"/>
        <v>6.8791885187959867E-3</v>
      </c>
    </row>
    <row r="504" spans="12:22" x14ac:dyDescent="0.2">
      <c r="L504" s="2" t="s">
        <v>845</v>
      </c>
      <c r="M504" s="2">
        <v>98.51</v>
      </c>
      <c r="N504" s="11">
        <f t="shared" si="21"/>
        <v>4.3841761827081438E-3</v>
      </c>
      <c r="P504" s="2" t="s">
        <v>845</v>
      </c>
      <c r="Q504" s="2">
        <v>379.42</v>
      </c>
      <c r="R504" s="11">
        <f t="shared" si="22"/>
        <v>-1.4237464276435352E-2</v>
      </c>
      <c r="T504" s="2" t="s">
        <v>845</v>
      </c>
      <c r="U504" s="2">
        <v>4387.5498046875</v>
      </c>
      <c r="V504" s="11">
        <f t="shared" si="23"/>
        <v>-2.777466728829614E-3</v>
      </c>
    </row>
    <row r="505" spans="12:22" x14ac:dyDescent="0.2">
      <c r="L505" s="2" t="s">
        <v>844</v>
      </c>
      <c r="M505" s="2">
        <v>99.21</v>
      </c>
      <c r="N505" s="11">
        <f t="shared" si="21"/>
        <v>7.1058775758805481E-3</v>
      </c>
      <c r="P505" s="2" t="s">
        <v>844</v>
      </c>
      <c r="Q505" s="2">
        <v>377.71</v>
      </c>
      <c r="R505" s="11">
        <f t="shared" si="22"/>
        <v>-4.5068789204576465E-3</v>
      </c>
      <c r="T505" s="2" t="s">
        <v>844</v>
      </c>
      <c r="U505" s="2">
        <v>4436.009765625</v>
      </c>
      <c r="V505" s="11">
        <f t="shared" si="23"/>
        <v>1.1044879965972587E-2</v>
      </c>
    </row>
    <row r="506" spans="12:22" x14ac:dyDescent="0.2">
      <c r="L506" s="2" t="s">
        <v>843</v>
      </c>
      <c r="M506" s="2">
        <v>95.1</v>
      </c>
      <c r="N506" s="11">
        <f t="shared" si="21"/>
        <v>-4.142727547626246E-2</v>
      </c>
      <c r="P506" s="2" t="s">
        <v>843</v>
      </c>
      <c r="Q506" s="2">
        <v>360.22</v>
      </c>
      <c r="R506" s="11">
        <f t="shared" si="22"/>
        <v>-4.6305366551057547E-2</v>
      </c>
      <c r="T506" s="2" t="s">
        <v>843</v>
      </c>
      <c r="U506" s="2">
        <v>4376.31005859375</v>
      </c>
      <c r="V506" s="11">
        <f t="shared" si="23"/>
        <v>-1.3457974663146133E-2</v>
      </c>
    </row>
    <row r="507" spans="12:22" x14ac:dyDescent="0.2">
      <c r="L507" s="2" t="s">
        <v>842</v>
      </c>
      <c r="M507" s="2">
        <v>95.56</v>
      </c>
      <c r="N507" s="11">
        <f t="shared" si="21"/>
        <v>4.8370136698212551E-3</v>
      </c>
      <c r="P507" s="2" t="s">
        <v>842</v>
      </c>
      <c r="Q507" s="2">
        <v>365.59</v>
      </c>
      <c r="R507" s="11">
        <f t="shared" si="22"/>
        <v>1.4907556493253926E-2</v>
      </c>
      <c r="T507" s="2" t="s">
        <v>842</v>
      </c>
      <c r="U507" s="2">
        <v>4405.7099609375</v>
      </c>
      <c r="V507" s="11">
        <f t="shared" si="23"/>
        <v>6.7179660376250894E-3</v>
      </c>
    </row>
    <row r="508" spans="12:22" x14ac:dyDescent="0.2">
      <c r="L508" s="2" t="s">
        <v>841</v>
      </c>
      <c r="M508" s="2">
        <v>96.84</v>
      </c>
      <c r="N508" s="11">
        <f t="shared" si="21"/>
        <v>1.3394725826705756E-2</v>
      </c>
      <c r="P508" s="2" t="s">
        <v>841</v>
      </c>
      <c r="Q508" s="2">
        <v>365.84</v>
      </c>
      <c r="R508" s="11">
        <f t="shared" si="22"/>
        <v>6.8382614404116637E-4</v>
      </c>
      <c r="T508" s="2" t="s">
        <v>841</v>
      </c>
      <c r="U508" s="2">
        <v>4433.31005859375</v>
      </c>
      <c r="V508" s="11">
        <f t="shared" si="23"/>
        <v>6.2646197550364491E-3</v>
      </c>
    </row>
    <row r="509" spans="12:22" x14ac:dyDescent="0.2">
      <c r="L509" s="2" t="s">
        <v>840</v>
      </c>
      <c r="M509" s="2">
        <v>97.35</v>
      </c>
      <c r="N509" s="11">
        <f t="shared" si="21"/>
        <v>5.2664188351920771E-3</v>
      </c>
      <c r="P509" s="2" t="s">
        <v>840</v>
      </c>
      <c r="Q509" s="2">
        <v>374.73</v>
      </c>
      <c r="R509" s="11">
        <f t="shared" si="22"/>
        <v>2.4300240542313611E-2</v>
      </c>
      <c r="T509" s="2" t="s">
        <v>840</v>
      </c>
      <c r="U509" s="2">
        <v>4497.6298828125</v>
      </c>
      <c r="V509" s="11">
        <f t="shared" si="23"/>
        <v>1.4508307194546211E-2</v>
      </c>
    </row>
    <row r="510" spans="12:22" x14ac:dyDescent="0.2">
      <c r="L510" s="2" t="s">
        <v>839</v>
      </c>
      <c r="M510" s="2">
        <v>96.84</v>
      </c>
      <c r="N510" s="11">
        <f t="shared" si="21"/>
        <v>-5.2388289676423838E-3</v>
      </c>
      <c r="P510" s="2" t="s">
        <v>839</v>
      </c>
      <c r="Q510" s="2">
        <v>376.73</v>
      </c>
      <c r="R510" s="11">
        <f t="shared" si="22"/>
        <v>5.337176100125518E-3</v>
      </c>
      <c r="T510" s="2" t="s">
        <v>839</v>
      </c>
      <c r="U510" s="2">
        <v>4514.8701171875</v>
      </c>
      <c r="V510" s="11">
        <f t="shared" si="23"/>
        <v>3.833182103508026E-3</v>
      </c>
    </row>
    <row r="511" spans="12:22" x14ac:dyDescent="0.2">
      <c r="L511" s="2" t="s">
        <v>838</v>
      </c>
      <c r="M511" s="2">
        <v>97.34</v>
      </c>
      <c r="N511" s="11">
        <f t="shared" si="21"/>
        <v>5.1631557207765244E-3</v>
      </c>
      <c r="P511" s="2" t="s">
        <v>838</v>
      </c>
      <c r="Q511" s="2">
        <v>381.26</v>
      </c>
      <c r="R511" s="11">
        <f t="shared" si="22"/>
        <v>1.2024526849467643E-2</v>
      </c>
      <c r="T511" s="2" t="s">
        <v>838</v>
      </c>
      <c r="U511" s="2">
        <v>4507.66015625</v>
      </c>
      <c r="V511" s="11">
        <f t="shared" si="23"/>
        <v>-1.5969365120942491E-3</v>
      </c>
    </row>
    <row r="512" spans="12:22" x14ac:dyDescent="0.2">
      <c r="L512" s="2" t="s">
        <v>837</v>
      </c>
      <c r="M512" s="2">
        <v>99.86</v>
      </c>
      <c r="N512" s="11">
        <f t="shared" si="21"/>
        <v>2.5888637764536648E-2</v>
      </c>
      <c r="P512" s="2" t="s">
        <v>837</v>
      </c>
      <c r="Q512" s="2">
        <v>404.19</v>
      </c>
      <c r="R512" s="11">
        <f t="shared" si="22"/>
        <v>6.0142684782038547E-2</v>
      </c>
      <c r="T512" s="2" t="s">
        <v>837</v>
      </c>
      <c r="U512" s="2">
        <v>4515.77001953125</v>
      </c>
      <c r="V512" s="11">
        <f t="shared" si="23"/>
        <v>1.7991292600010311E-3</v>
      </c>
    </row>
    <row r="513" spans="12:22" x14ac:dyDescent="0.2">
      <c r="L513" s="2" t="s">
        <v>836</v>
      </c>
      <c r="M513" s="2">
        <v>98.39</v>
      </c>
      <c r="N513" s="11">
        <f t="shared" si="21"/>
        <v>-1.4720608852393346E-2</v>
      </c>
      <c r="P513" s="2" t="s">
        <v>836</v>
      </c>
      <c r="Q513" s="2">
        <v>401.81</v>
      </c>
      <c r="R513" s="11">
        <f t="shared" si="22"/>
        <v>-5.8883198495757183E-3</v>
      </c>
      <c r="T513" s="2" t="s">
        <v>836</v>
      </c>
      <c r="U513" s="2">
        <v>4496.830078125</v>
      </c>
      <c r="V513" s="11">
        <f t="shared" si="23"/>
        <v>-4.194177587506065E-3</v>
      </c>
    </row>
    <row r="514" spans="12:22" x14ac:dyDescent="0.2">
      <c r="L514" s="2" t="s">
        <v>835</v>
      </c>
      <c r="M514" s="2">
        <v>96.36</v>
      </c>
      <c r="N514" s="11">
        <f t="shared" si="21"/>
        <v>-2.0632178066876672E-2</v>
      </c>
      <c r="P514" s="2" t="s">
        <v>835</v>
      </c>
      <c r="Q514" s="2">
        <v>399</v>
      </c>
      <c r="R514" s="11">
        <f t="shared" si="22"/>
        <v>-6.9933550683158874E-3</v>
      </c>
      <c r="T514" s="2" t="s">
        <v>835</v>
      </c>
      <c r="U514" s="2">
        <v>4465.47998046875</v>
      </c>
      <c r="V514" s="11">
        <f t="shared" si="23"/>
        <v>-6.9715993514528618E-3</v>
      </c>
    </row>
    <row r="515" spans="12:22" x14ac:dyDescent="0.2">
      <c r="L515" s="2" t="s">
        <v>834</v>
      </c>
      <c r="M515" s="2">
        <v>96.28</v>
      </c>
      <c r="N515" s="11">
        <f t="shared" si="21"/>
        <v>-8.3022000830212939E-4</v>
      </c>
      <c r="P515" s="2" t="s">
        <v>834</v>
      </c>
      <c r="Q515" s="2">
        <v>398.99</v>
      </c>
      <c r="R515" s="11">
        <f t="shared" si="22"/>
        <v>-2.5062656641594572E-5</v>
      </c>
      <c r="T515" s="2" t="s">
        <v>834</v>
      </c>
      <c r="U515" s="2">
        <v>4451.14013671875</v>
      </c>
      <c r="V515" s="11">
        <f t="shared" si="23"/>
        <v>-3.2112659361860363E-3</v>
      </c>
    </row>
    <row r="516" spans="12:22" x14ac:dyDescent="0.2">
      <c r="L516" s="2" t="s">
        <v>833</v>
      </c>
      <c r="M516" s="2">
        <v>93.37</v>
      </c>
      <c r="N516" s="11">
        <f t="shared" si="21"/>
        <v>-3.0224345658495966E-2</v>
      </c>
      <c r="P516" s="2" t="s">
        <v>833</v>
      </c>
      <c r="Q516" s="2">
        <v>396.36</v>
      </c>
      <c r="R516" s="11">
        <f t="shared" si="22"/>
        <v>-6.591643900849653E-3</v>
      </c>
      <c r="T516" s="2" t="s">
        <v>833</v>
      </c>
      <c r="U516" s="2">
        <v>4457.490234375</v>
      </c>
      <c r="V516" s="11">
        <f t="shared" si="23"/>
        <v>1.4266227216406246E-3</v>
      </c>
    </row>
    <row r="517" spans="12:22" x14ac:dyDescent="0.2">
      <c r="L517" s="2" t="s">
        <v>832</v>
      </c>
      <c r="M517" s="2">
        <v>92.75</v>
      </c>
      <c r="N517" s="11">
        <f t="shared" si="21"/>
        <v>-6.6402484738139478E-3</v>
      </c>
      <c r="P517" s="2" t="s">
        <v>832</v>
      </c>
      <c r="Q517" s="2">
        <v>397.44</v>
      </c>
      <c r="R517" s="11">
        <f t="shared" si="22"/>
        <v>2.7247956403269047E-3</v>
      </c>
      <c r="T517" s="2" t="s">
        <v>832</v>
      </c>
      <c r="U517" s="2">
        <v>4487.4599609375</v>
      </c>
      <c r="V517" s="11">
        <f t="shared" si="23"/>
        <v>6.7234531062752012E-3</v>
      </c>
    </row>
    <row r="518" spans="12:22" x14ac:dyDescent="0.2">
      <c r="L518" s="2" t="s">
        <v>831</v>
      </c>
      <c r="M518" s="2">
        <v>91.86</v>
      </c>
      <c r="N518" s="11">
        <f t="shared" ref="N518:N581" si="24">+M518/M517-1</f>
        <v>-9.5956873315363733E-3</v>
      </c>
      <c r="P518" s="2" t="s">
        <v>831</v>
      </c>
      <c r="Q518" s="2">
        <v>388.12</v>
      </c>
      <c r="R518" s="11">
        <f t="shared" ref="R518:R581" si="25">+Q518/Q517-1</f>
        <v>-2.3450080515297844E-2</v>
      </c>
      <c r="T518" s="2" t="s">
        <v>831</v>
      </c>
      <c r="U518" s="2">
        <v>4461.89990234375</v>
      </c>
      <c r="V518" s="11">
        <f t="shared" ref="V518:V581" si="26">+U518/U517-1</f>
        <v>-5.6958856048289208E-3</v>
      </c>
    </row>
    <row r="519" spans="12:22" x14ac:dyDescent="0.2">
      <c r="L519" s="2" t="s">
        <v>830</v>
      </c>
      <c r="M519" s="2">
        <v>89.51</v>
      </c>
      <c r="N519" s="11">
        <f t="shared" si="24"/>
        <v>-2.5582408012192359E-2</v>
      </c>
      <c r="P519" s="2" t="s">
        <v>830</v>
      </c>
      <c r="Q519" s="2">
        <v>388.97</v>
      </c>
      <c r="R519" s="11">
        <f t="shared" si="25"/>
        <v>2.1900443161908534E-3</v>
      </c>
      <c r="T519" s="2" t="s">
        <v>830</v>
      </c>
      <c r="U519" s="2">
        <v>4467.43994140625</v>
      </c>
      <c r="V519" s="11">
        <f t="shared" si="26"/>
        <v>1.2416323054647016E-3</v>
      </c>
    </row>
    <row r="520" spans="12:22" x14ac:dyDescent="0.2">
      <c r="L520" s="2" t="s">
        <v>829</v>
      </c>
      <c r="M520" s="2">
        <v>90.72</v>
      </c>
      <c r="N520" s="11">
        <f t="shared" si="24"/>
        <v>1.3518042676795794E-2</v>
      </c>
      <c r="P520" s="2" t="s">
        <v>829</v>
      </c>
      <c r="Q520" s="2">
        <v>388.74</v>
      </c>
      <c r="R520" s="11">
        <f t="shared" si="25"/>
        <v>-5.913052420495335E-4</v>
      </c>
      <c r="T520" s="2" t="s">
        <v>829</v>
      </c>
      <c r="U520" s="2">
        <v>4505.10009765625</v>
      </c>
      <c r="V520" s="11">
        <f t="shared" si="26"/>
        <v>8.4299188671679293E-3</v>
      </c>
    </row>
    <row r="521" spans="12:22" x14ac:dyDescent="0.2">
      <c r="L521" s="2" t="s">
        <v>828</v>
      </c>
      <c r="M521" s="2">
        <v>87.99</v>
      </c>
      <c r="N521" s="11">
        <f t="shared" si="24"/>
        <v>-3.0092592592592671E-2</v>
      </c>
      <c r="P521" s="2" t="s">
        <v>828</v>
      </c>
      <c r="Q521" s="2">
        <v>389.93</v>
      </c>
      <c r="R521" s="11">
        <f t="shared" si="25"/>
        <v>3.0611719915625279E-3</v>
      </c>
      <c r="T521" s="2" t="s">
        <v>828</v>
      </c>
      <c r="U521" s="2">
        <v>4450.31982421875</v>
      </c>
      <c r="V521" s="11">
        <f t="shared" si="26"/>
        <v>-1.2159612938677844E-2</v>
      </c>
    </row>
    <row r="522" spans="12:22" x14ac:dyDescent="0.2">
      <c r="L522" s="2" t="s">
        <v>827</v>
      </c>
      <c r="M522" s="2">
        <v>87.62</v>
      </c>
      <c r="N522" s="11">
        <f t="shared" si="24"/>
        <v>-4.2050232981019064E-3</v>
      </c>
      <c r="P522" s="2" t="s">
        <v>827</v>
      </c>
      <c r="Q522" s="2">
        <v>382.81</v>
      </c>
      <c r="R522" s="11">
        <f t="shared" si="25"/>
        <v>-1.8259687636242417E-2</v>
      </c>
      <c r="T522" s="2" t="s">
        <v>827</v>
      </c>
      <c r="U522" s="2">
        <v>4453.52978515625</v>
      </c>
      <c r="V522" s="11">
        <f t="shared" si="26"/>
        <v>7.2128769712942464E-4</v>
      </c>
    </row>
    <row r="523" spans="12:22" x14ac:dyDescent="0.2">
      <c r="L523" s="2" t="s">
        <v>826</v>
      </c>
      <c r="M523" s="2">
        <v>89.68</v>
      </c>
      <c r="N523" s="11">
        <f t="shared" si="24"/>
        <v>2.3510614015065157E-2</v>
      </c>
      <c r="P523" s="2" t="s">
        <v>826</v>
      </c>
      <c r="Q523" s="2">
        <v>384.45</v>
      </c>
      <c r="R523" s="11">
        <f t="shared" si="25"/>
        <v>4.2841096105117327E-3</v>
      </c>
      <c r="T523" s="2" t="s">
        <v>826</v>
      </c>
      <c r="U523" s="2">
        <v>4443.9501953125</v>
      </c>
      <c r="V523" s="11">
        <f t="shared" si="26"/>
        <v>-2.151010615372817E-3</v>
      </c>
    </row>
    <row r="524" spans="12:22" x14ac:dyDescent="0.2">
      <c r="L524" s="2" t="s">
        <v>825</v>
      </c>
      <c r="M524" s="2">
        <v>87.94</v>
      </c>
      <c r="N524" s="11">
        <f t="shared" si="24"/>
        <v>-1.9402319357716413E-2</v>
      </c>
      <c r="P524" s="2" t="s">
        <v>825</v>
      </c>
      <c r="Q524" s="2">
        <v>391.88</v>
      </c>
      <c r="R524" s="11">
        <f t="shared" si="25"/>
        <v>1.9326310313434902E-2</v>
      </c>
      <c r="T524" s="2" t="s">
        <v>825</v>
      </c>
      <c r="U524" s="2">
        <v>4402.2001953125</v>
      </c>
      <c r="V524" s="11">
        <f t="shared" si="26"/>
        <v>-9.3947947580595992E-3</v>
      </c>
    </row>
    <row r="525" spans="12:22" x14ac:dyDescent="0.2">
      <c r="L525" s="2" t="s">
        <v>824</v>
      </c>
      <c r="M525" s="2">
        <v>86.08</v>
      </c>
      <c r="N525" s="11">
        <f t="shared" si="24"/>
        <v>-2.1150784625881269E-2</v>
      </c>
      <c r="P525" s="2" t="s">
        <v>824</v>
      </c>
      <c r="Q525" s="2">
        <v>383.9</v>
      </c>
      <c r="R525" s="11">
        <f t="shared" si="25"/>
        <v>-2.0363376543840017E-2</v>
      </c>
      <c r="T525" s="2" t="s">
        <v>824</v>
      </c>
      <c r="U525" s="2">
        <v>4330</v>
      </c>
      <c r="V525" s="11">
        <f t="shared" si="26"/>
        <v>-1.6400934103219411E-2</v>
      </c>
    </row>
    <row r="526" spans="12:22" x14ac:dyDescent="0.2">
      <c r="L526" s="2" t="s">
        <v>823</v>
      </c>
      <c r="M526" s="2">
        <v>86.45</v>
      </c>
      <c r="N526" s="11">
        <f t="shared" si="24"/>
        <v>4.2983271375465204E-3</v>
      </c>
      <c r="P526" s="2" t="s">
        <v>823</v>
      </c>
      <c r="Q526" s="2">
        <v>388.05</v>
      </c>
      <c r="R526" s="11">
        <f t="shared" si="25"/>
        <v>1.0810106798645469E-2</v>
      </c>
      <c r="T526" s="2" t="s">
        <v>823</v>
      </c>
      <c r="U526" s="2">
        <v>4320.06005859375</v>
      </c>
      <c r="V526" s="11">
        <f t="shared" si="26"/>
        <v>-2.2955984771939608E-3</v>
      </c>
    </row>
    <row r="527" spans="12:22" x14ac:dyDescent="0.2">
      <c r="L527" s="2" t="s">
        <v>822</v>
      </c>
      <c r="M527" s="2">
        <v>86.31</v>
      </c>
      <c r="N527" s="11">
        <f t="shared" si="24"/>
        <v>-1.6194331983805377E-3</v>
      </c>
      <c r="P527" s="2" t="s">
        <v>822</v>
      </c>
      <c r="Q527" s="2">
        <v>384.33</v>
      </c>
      <c r="R527" s="11">
        <f t="shared" si="25"/>
        <v>-9.5863935059915528E-3</v>
      </c>
      <c r="T527" s="2" t="s">
        <v>822</v>
      </c>
      <c r="U527" s="2">
        <v>4337.43994140625</v>
      </c>
      <c r="V527" s="11">
        <f t="shared" si="26"/>
        <v>4.0230650909416354E-3</v>
      </c>
    </row>
    <row r="528" spans="12:22" x14ac:dyDescent="0.2">
      <c r="L528" s="2" t="s">
        <v>821</v>
      </c>
      <c r="M528" s="2">
        <v>83.86</v>
      </c>
      <c r="N528" s="11">
        <f t="shared" si="24"/>
        <v>-2.8386050283860542E-2</v>
      </c>
      <c r="P528" s="2" t="s">
        <v>821</v>
      </c>
      <c r="Q528" s="2">
        <v>380.66</v>
      </c>
      <c r="R528" s="11">
        <f t="shared" si="25"/>
        <v>-9.5490854213825527E-3</v>
      </c>
      <c r="T528" s="2" t="s">
        <v>821</v>
      </c>
      <c r="U528" s="2">
        <v>4273.52978515625</v>
      </c>
      <c r="V528" s="11">
        <f t="shared" si="26"/>
        <v>-1.4734533990868215E-2</v>
      </c>
    </row>
    <row r="529" spans="12:22" x14ac:dyDescent="0.2">
      <c r="L529" s="2" t="s">
        <v>820</v>
      </c>
      <c r="M529" s="2">
        <v>84.56</v>
      </c>
      <c r="N529" s="11">
        <f t="shared" si="24"/>
        <v>8.3472454090149917E-3</v>
      </c>
      <c r="P529" s="2" t="s">
        <v>820</v>
      </c>
      <c r="Q529" s="2">
        <v>379.14</v>
      </c>
      <c r="R529" s="11">
        <f t="shared" si="25"/>
        <v>-3.9930646771397793E-3</v>
      </c>
      <c r="T529" s="2" t="s">
        <v>820</v>
      </c>
      <c r="U529" s="2">
        <v>4274.509765625</v>
      </c>
      <c r="V529" s="11">
        <f t="shared" si="26"/>
        <v>2.2931406074522265E-4</v>
      </c>
    </row>
    <row r="530" spans="12:22" x14ac:dyDescent="0.2">
      <c r="L530" s="2" t="s">
        <v>819</v>
      </c>
      <c r="M530" s="2">
        <v>85.87</v>
      </c>
      <c r="N530" s="11">
        <f t="shared" si="24"/>
        <v>1.5491958372753079E-2</v>
      </c>
      <c r="P530" s="2" t="s">
        <v>819</v>
      </c>
      <c r="Q530" s="2">
        <v>379</v>
      </c>
      <c r="R530" s="11">
        <f t="shared" si="25"/>
        <v>-3.6925673893539734E-4</v>
      </c>
      <c r="T530" s="2" t="s">
        <v>819</v>
      </c>
      <c r="U530" s="2">
        <v>4299.7001953125</v>
      </c>
      <c r="V530" s="11">
        <f t="shared" si="26"/>
        <v>5.8931739705165853E-3</v>
      </c>
    </row>
    <row r="531" spans="12:22" x14ac:dyDescent="0.2">
      <c r="L531" s="2" t="s">
        <v>818</v>
      </c>
      <c r="M531" s="2">
        <v>88.23</v>
      </c>
      <c r="N531" s="11">
        <f t="shared" si="24"/>
        <v>2.748340514731562E-2</v>
      </c>
      <c r="P531" s="2" t="s">
        <v>818</v>
      </c>
      <c r="Q531" s="2">
        <v>385.61</v>
      </c>
      <c r="R531" s="11">
        <f t="shared" si="25"/>
        <v>1.7440633245382697E-2</v>
      </c>
      <c r="T531" s="2" t="s">
        <v>818</v>
      </c>
      <c r="U531" s="2">
        <v>4288.0498046875</v>
      </c>
      <c r="V531" s="11">
        <f t="shared" si="26"/>
        <v>-2.7095820861420261E-3</v>
      </c>
    </row>
    <row r="532" spans="12:22" x14ac:dyDescent="0.2">
      <c r="L532" s="2" t="s">
        <v>817</v>
      </c>
      <c r="M532" s="2">
        <v>87.88</v>
      </c>
      <c r="N532" s="11">
        <f t="shared" si="24"/>
        <v>-3.9669046809476249E-3</v>
      </c>
      <c r="P532" s="2" t="s">
        <v>817</v>
      </c>
      <c r="Q532" s="2">
        <v>382.86</v>
      </c>
      <c r="R532" s="11">
        <f t="shared" si="25"/>
        <v>-7.1315577915510575E-3</v>
      </c>
      <c r="T532" s="2" t="s">
        <v>817</v>
      </c>
      <c r="U532" s="2">
        <v>4288.39013671875</v>
      </c>
      <c r="V532" s="11">
        <f t="shared" si="26"/>
        <v>7.9367555590792449E-5</v>
      </c>
    </row>
    <row r="533" spans="12:22" x14ac:dyDescent="0.2">
      <c r="L533" s="2" t="s">
        <v>816</v>
      </c>
      <c r="M533" s="2">
        <v>85.94</v>
      </c>
      <c r="N533" s="11">
        <f t="shared" si="24"/>
        <v>-2.2075557578516092E-2</v>
      </c>
      <c r="P533" s="2" t="s">
        <v>816</v>
      </c>
      <c r="Q533" s="2">
        <v>368.34</v>
      </c>
      <c r="R533" s="11">
        <f t="shared" si="25"/>
        <v>-3.7925090111267878E-2</v>
      </c>
      <c r="T533" s="2" t="s">
        <v>816</v>
      </c>
      <c r="U533" s="2">
        <v>4229.4501953125</v>
      </c>
      <c r="V533" s="11">
        <f t="shared" si="26"/>
        <v>-1.3744071674259506E-2</v>
      </c>
    </row>
    <row r="534" spans="12:22" x14ac:dyDescent="0.2">
      <c r="L534" s="2" t="s">
        <v>815</v>
      </c>
      <c r="M534" s="2">
        <v>85.49</v>
      </c>
      <c r="N534" s="11">
        <f t="shared" si="24"/>
        <v>-5.2362113102164543E-3</v>
      </c>
      <c r="P534" s="2" t="s">
        <v>815</v>
      </c>
      <c r="Q534" s="2">
        <v>370.1</v>
      </c>
      <c r="R534" s="11">
        <f t="shared" si="25"/>
        <v>4.7781940598361494E-3</v>
      </c>
      <c r="T534" s="2" t="s">
        <v>815</v>
      </c>
      <c r="U534" s="2">
        <v>4263.75</v>
      </c>
      <c r="V534" s="11">
        <f t="shared" si="26"/>
        <v>8.1097549571607086E-3</v>
      </c>
    </row>
    <row r="535" spans="12:22" x14ac:dyDescent="0.2">
      <c r="L535" s="2" t="s">
        <v>814</v>
      </c>
      <c r="M535" s="2">
        <v>84.27</v>
      </c>
      <c r="N535" s="11">
        <f t="shared" si="24"/>
        <v>-1.4270674932740701E-2</v>
      </c>
      <c r="P535" s="2" t="s">
        <v>814</v>
      </c>
      <c r="Q535" s="2">
        <v>360.36</v>
      </c>
      <c r="R535" s="11">
        <f t="shared" si="25"/>
        <v>-2.6317211564442111E-2</v>
      </c>
      <c r="T535" s="2" t="s">
        <v>814</v>
      </c>
      <c r="U535" s="2">
        <v>4258.18994140625</v>
      </c>
      <c r="V535" s="11">
        <f t="shared" si="26"/>
        <v>-1.304030159777203E-3</v>
      </c>
    </row>
    <row r="536" spans="12:22" x14ac:dyDescent="0.2">
      <c r="L536" s="2" t="s">
        <v>813</v>
      </c>
      <c r="M536" s="2">
        <v>84.82</v>
      </c>
      <c r="N536" s="11">
        <f t="shared" si="24"/>
        <v>6.5266405601043243E-3</v>
      </c>
      <c r="P536" s="2" t="s">
        <v>813</v>
      </c>
      <c r="Q536" s="2">
        <v>367.22</v>
      </c>
      <c r="R536" s="11">
        <f t="shared" si="25"/>
        <v>1.9036519036519151E-2</v>
      </c>
      <c r="T536" s="2" t="s">
        <v>813</v>
      </c>
      <c r="U536" s="2">
        <v>4308.5</v>
      </c>
      <c r="V536" s="11">
        <f t="shared" si="26"/>
        <v>1.1814893014644445E-2</v>
      </c>
    </row>
    <row r="537" spans="12:22" x14ac:dyDescent="0.2">
      <c r="L537" s="2" t="s">
        <v>812</v>
      </c>
      <c r="M537" s="2">
        <v>85.2</v>
      </c>
      <c r="N537" s="11">
        <f t="shared" si="24"/>
        <v>4.4800754539024989E-3</v>
      </c>
      <c r="P537" s="2" t="s">
        <v>812</v>
      </c>
      <c r="Q537" s="2">
        <v>372.64</v>
      </c>
      <c r="R537" s="11">
        <f t="shared" si="25"/>
        <v>1.4759544687108495E-2</v>
      </c>
      <c r="T537" s="2" t="s">
        <v>812</v>
      </c>
      <c r="U537" s="2">
        <v>4335.66015625</v>
      </c>
      <c r="V537" s="11">
        <f t="shared" si="26"/>
        <v>6.3038542996403102E-3</v>
      </c>
    </row>
    <row r="538" spans="12:22" x14ac:dyDescent="0.2">
      <c r="L538" s="2" t="s">
        <v>811</v>
      </c>
      <c r="M538" s="2">
        <v>86.94</v>
      </c>
      <c r="N538" s="11">
        <f t="shared" si="24"/>
        <v>2.0422535211267467E-2</v>
      </c>
      <c r="P538" s="2" t="s">
        <v>811</v>
      </c>
      <c r="Q538" s="2">
        <v>373.03</v>
      </c>
      <c r="R538" s="11">
        <f t="shared" si="25"/>
        <v>1.0465865178188594E-3</v>
      </c>
      <c r="T538" s="2" t="s">
        <v>811</v>
      </c>
      <c r="U538" s="2">
        <v>4358.240234375</v>
      </c>
      <c r="V538" s="11">
        <f t="shared" si="26"/>
        <v>5.2079907813922244E-3</v>
      </c>
    </row>
    <row r="539" spans="12:22" x14ac:dyDescent="0.2">
      <c r="L539" s="2" t="s">
        <v>810</v>
      </c>
      <c r="M539" s="2">
        <v>86.58</v>
      </c>
      <c r="N539" s="11">
        <f t="shared" si="24"/>
        <v>-4.1407867494823725E-3</v>
      </c>
      <c r="P539" s="2" t="s">
        <v>810</v>
      </c>
      <c r="Q539" s="2">
        <v>373.36</v>
      </c>
      <c r="R539" s="11">
        <f t="shared" si="25"/>
        <v>8.8464734739845952E-4</v>
      </c>
      <c r="T539" s="2" t="s">
        <v>810</v>
      </c>
      <c r="U539" s="2">
        <v>4376.9501953125</v>
      </c>
      <c r="V539" s="11">
        <f t="shared" si="26"/>
        <v>4.2930081710337298E-3</v>
      </c>
    </row>
    <row r="540" spans="12:22" x14ac:dyDescent="0.2">
      <c r="L540" s="2" t="s">
        <v>809</v>
      </c>
      <c r="M540" s="2">
        <v>84.8</v>
      </c>
      <c r="N540" s="11">
        <f t="shared" si="24"/>
        <v>-2.0559020559020591E-2</v>
      </c>
      <c r="P540" s="2" t="s">
        <v>809</v>
      </c>
      <c r="Q540" s="2">
        <v>373.94</v>
      </c>
      <c r="R540" s="11">
        <f t="shared" si="25"/>
        <v>1.5534604671094687E-3</v>
      </c>
      <c r="T540" s="2" t="s">
        <v>809</v>
      </c>
      <c r="U540" s="2">
        <v>4349.60986328125</v>
      </c>
      <c r="V540" s="11">
        <f t="shared" si="26"/>
        <v>-6.2464343461184901E-3</v>
      </c>
    </row>
    <row r="541" spans="12:22" x14ac:dyDescent="0.2">
      <c r="L541" s="2" t="s">
        <v>808</v>
      </c>
      <c r="M541" s="2">
        <v>82.73</v>
      </c>
      <c r="N541" s="11">
        <f t="shared" si="24"/>
        <v>-2.4410377358490498E-2</v>
      </c>
      <c r="P541" s="2" t="s">
        <v>808</v>
      </c>
      <c r="Q541" s="2">
        <v>377.69</v>
      </c>
      <c r="R541" s="11">
        <f t="shared" si="25"/>
        <v>1.0028346793603315E-2</v>
      </c>
      <c r="T541" s="2" t="s">
        <v>808</v>
      </c>
      <c r="U541" s="2">
        <v>4327.77978515625</v>
      </c>
      <c r="V541" s="11">
        <f t="shared" si="26"/>
        <v>-5.018858888767519E-3</v>
      </c>
    </row>
    <row r="542" spans="12:22" x14ac:dyDescent="0.2">
      <c r="L542" s="2" t="s">
        <v>807</v>
      </c>
      <c r="M542" s="2">
        <v>85.73</v>
      </c>
      <c r="N542" s="11">
        <f t="shared" si="24"/>
        <v>3.6262540795358289E-2</v>
      </c>
      <c r="P542" s="2" t="s">
        <v>807</v>
      </c>
      <c r="Q542" s="2">
        <v>416.64</v>
      </c>
      <c r="R542" s="11">
        <f t="shared" si="25"/>
        <v>0.10312690301570071</v>
      </c>
      <c r="T542" s="2" t="s">
        <v>807</v>
      </c>
      <c r="U542" s="2">
        <v>4373.6298828125</v>
      </c>
      <c r="V542" s="11">
        <f t="shared" si="26"/>
        <v>1.059436938392988E-2</v>
      </c>
    </row>
    <row r="543" spans="12:22" x14ac:dyDescent="0.2">
      <c r="L543" s="2" t="s">
        <v>806</v>
      </c>
      <c r="M543" s="2">
        <v>87.23</v>
      </c>
      <c r="N543" s="11">
        <f t="shared" si="24"/>
        <v>1.7496792254753313E-2</v>
      </c>
      <c r="P543" s="2" t="s">
        <v>806</v>
      </c>
      <c r="Q543" s="2">
        <v>412.94</v>
      </c>
      <c r="R543" s="11">
        <f t="shared" si="25"/>
        <v>-8.8805683563747406E-3</v>
      </c>
      <c r="T543" s="2" t="s">
        <v>806</v>
      </c>
      <c r="U543" s="2">
        <v>4373.2001953125</v>
      </c>
      <c r="V543" s="11">
        <f t="shared" si="26"/>
        <v>-9.824505308242415E-5</v>
      </c>
    </row>
    <row r="544" spans="12:22" x14ac:dyDescent="0.2">
      <c r="L544" s="2" t="s">
        <v>805</v>
      </c>
      <c r="M544" s="2">
        <v>85.3</v>
      </c>
      <c r="N544" s="11">
        <f t="shared" si="24"/>
        <v>-2.2125415568038598E-2</v>
      </c>
      <c r="P544" s="2" t="s">
        <v>805</v>
      </c>
      <c r="Q544" s="2">
        <v>405.61</v>
      </c>
      <c r="R544" s="11">
        <f t="shared" si="25"/>
        <v>-1.7750762822686061E-2</v>
      </c>
      <c r="T544" s="2" t="s">
        <v>805</v>
      </c>
      <c r="U544" s="2">
        <v>4314.60009765625</v>
      </c>
      <c r="V544" s="11">
        <f t="shared" si="26"/>
        <v>-1.3399820506516447E-2</v>
      </c>
    </row>
    <row r="545" spans="12:22" x14ac:dyDescent="0.2">
      <c r="L545" s="2" t="s">
        <v>804</v>
      </c>
      <c r="M545" s="2">
        <v>84.45</v>
      </c>
      <c r="N545" s="11">
        <f t="shared" si="24"/>
        <v>-9.9648300117232136E-3</v>
      </c>
      <c r="P545" s="2" t="s">
        <v>804</v>
      </c>
      <c r="Q545" s="2">
        <v>396.19</v>
      </c>
      <c r="R545" s="11">
        <f t="shared" si="25"/>
        <v>-2.3224279480288934E-2</v>
      </c>
      <c r="T545" s="2" t="s">
        <v>804</v>
      </c>
      <c r="U545" s="2">
        <v>4278</v>
      </c>
      <c r="V545" s="11">
        <f t="shared" si="26"/>
        <v>-8.4828481963210578E-3</v>
      </c>
    </row>
    <row r="546" spans="12:22" x14ac:dyDescent="0.2">
      <c r="L546" s="2" t="s">
        <v>803</v>
      </c>
      <c r="M546" s="2">
        <v>85.56</v>
      </c>
      <c r="N546" s="11">
        <f t="shared" si="24"/>
        <v>1.3143872113676736E-2</v>
      </c>
      <c r="P546" s="2" t="s">
        <v>803</v>
      </c>
      <c r="Q546" s="2">
        <v>395.82</v>
      </c>
      <c r="R546" s="11">
        <f t="shared" si="25"/>
        <v>-9.3389535323962214E-4</v>
      </c>
      <c r="T546" s="2" t="s">
        <v>803</v>
      </c>
      <c r="U546" s="2">
        <v>4224.16015625</v>
      </c>
      <c r="V546" s="11">
        <f t="shared" si="26"/>
        <v>-1.2585283719027562E-2</v>
      </c>
    </row>
    <row r="547" spans="12:22" x14ac:dyDescent="0.2">
      <c r="L547" s="2" t="s">
        <v>802</v>
      </c>
      <c r="M547" s="2">
        <v>84.85</v>
      </c>
      <c r="N547" s="11">
        <f t="shared" si="24"/>
        <v>-8.2982702197289537E-3</v>
      </c>
      <c r="P547" s="2" t="s">
        <v>802</v>
      </c>
      <c r="Q547" s="2">
        <v>402.46</v>
      </c>
      <c r="R547" s="11">
        <f t="shared" si="25"/>
        <v>1.677530190490617E-2</v>
      </c>
      <c r="T547" s="2" t="s">
        <v>802</v>
      </c>
      <c r="U547" s="2">
        <v>4217.0400390625</v>
      </c>
      <c r="V547" s="11">
        <f t="shared" si="26"/>
        <v>-1.6855698941634634E-3</v>
      </c>
    </row>
    <row r="548" spans="12:22" x14ac:dyDescent="0.2">
      <c r="L548" s="2" t="s">
        <v>801</v>
      </c>
      <c r="M548" s="2">
        <v>89.16</v>
      </c>
      <c r="N548" s="11">
        <f t="shared" si="24"/>
        <v>5.0795521508544494E-2</v>
      </c>
      <c r="P548" s="2" t="s">
        <v>801</v>
      </c>
      <c r="Q548" s="2">
        <v>403.37</v>
      </c>
      <c r="R548" s="11">
        <f t="shared" si="25"/>
        <v>2.2610942702381287E-3</v>
      </c>
      <c r="T548" s="2" t="s">
        <v>801</v>
      </c>
      <c r="U548" s="2">
        <v>4247.68017578125</v>
      </c>
      <c r="V548" s="11">
        <f t="shared" si="26"/>
        <v>7.2657922227272742E-3</v>
      </c>
    </row>
    <row r="549" spans="12:22" x14ac:dyDescent="0.2">
      <c r="L549" s="2" t="s">
        <v>800</v>
      </c>
      <c r="M549" s="2">
        <v>87.52</v>
      </c>
      <c r="N549" s="11">
        <f t="shared" si="24"/>
        <v>-1.8393898609241788E-2</v>
      </c>
      <c r="P549" s="2" t="s">
        <v>800</v>
      </c>
      <c r="Q549" s="2">
        <v>396.7</v>
      </c>
      <c r="R549" s="11">
        <f t="shared" si="25"/>
        <v>-1.6535686838386687E-2</v>
      </c>
      <c r="T549" s="2" t="s">
        <v>800</v>
      </c>
      <c r="U549" s="2">
        <v>4186.77001953125</v>
      </c>
      <c r="V549" s="11">
        <f t="shared" si="26"/>
        <v>-1.4339628627712542E-2</v>
      </c>
    </row>
    <row r="550" spans="12:22" x14ac:dyDescent="0.2">
      <c r="L550" s="2" t="s">
        <v>799</v>
      </c>
      <c r="M550" s="2">
        <v>86.35</v>
      </c>
      <c r="N550" s="11">
        <f t="shared" si="24"/>
        <v>-1.3368372943327267E-2</v>
      </c>
      <c r="P550" s="2" t="s">
        <v>799</v>
      </c>
      <c r="Q550" s="2">
        <v>388.62</v>
      </c>
      <c r="R550" s="11">
        <f t="shared" si="25"/>
        <v>-2.0368036299470593E-2</v>
      </c>
      <c r="T550" s="2" t="s">
        <v>799</v>
      </c>
      <c r="U550" s="2">
        <v>4137.22998046875</v>
      </c>
      <c r="V550" s="11">
        <f t="shared" si="26"/>
        <v>-1.1832519778109618E-2</v>
      </c>
    </row>
    <row r="551" spans="12:22" x14ac:dyDescent="0.2">
      <c r="L551" s="2" t="s">
        <v>798</v>
      </c>
      <c r="M551" s="2">
        <v>85.98</v>
      </c>
      <c r="N551" s="11">
        <f t="shared" si="24"/>
        <v>-4.2848870874347966E-3</v>
      </c>
      <c r="P551" s="2" t="s">
        <v>798</v>
      </c>
      <c r="Q551" s="2">
        <v>386.82</v>
      </c>
      <c r="R551" s="11">
        <f t="shared" si="25"/>
        <v>-4.631773969430375E-3</v>
      </c>
      <c r="T551" s="2" t="s">
        <v>798</v>
      </c>
      <c r="U551" s="2">
        <v>4117.3701171875</v>
      </c>
      <c r="V551" s="11">
        <f t="shared" si="26"/>
        <v>-4.8002802297685276E-3</v>
      </c>
    </row>
    <row r="552" spans="12:22" x14ac:dyDescent="0.2">
      <c r="L552" s="2" t="s">
        <v>797</v>
      </c>
      <c r="M552" s="2">
        <v>87.48</v>
      </c>
      <c r="N552" s="11">
        <f t="shared" si="24"/>
        <v>1.7445917655268595E-2</v>
      </c>
      <c r="P552" s="2" t="s">
        <v>797</v>
      </c>
      <c r="Q552" s="2">
        <v>391.75</v>
      </c>
      <c r="R552" s="11">
        <f t="shared" si="25"/>
        <v>1.2744945969701771E-2</v>
      </c>
      <c r="T552" s="2" t="s">
        <v>797</v>
      </c>
      <c r="U552" s="2">
        <v>4166.81982421875</v>
      </c>
      <c r="V552" s="11">
        <f t="shared" si="26"/>
        <v>1.2010022325859904E-2</v>
      </c>
    </row>
    <row r="553" spans="12:22" x14ac:dyDescent="0.2">
      <c r="L553" s="2" t="s">
        <v>796</v>
      </c>
      <c r="M553" s="2">
        <v>89.32</v>
      </c>
      <c r="N553" s="11">
        <f t="shared" si="24"/>
        <v>2.1033379058070345E-2</v>
      </c>
      <c r="P553" s="2" t="s">
        <v>796</v>
      </c>
      <c r="Q553" s="2">
        <v>393.48</v>
      </c>
      <c r="R553" s="11">
        <f t="shared" si="25"/>
        <v>4.4160816847480522E-3</v>
      </c>
      <c r="T553" s="2" t="s">
        <v>796</v>
      </c>
      <c r="U553" s="2">
        <v>4193.7998046875</v>
      </c>
      <c r="V553" s="11">
        <f t="shared" si="26"/>
        <v>6.4749573072333533E-3</v>
      </c>
    </row>
    <row r="554" spans="12:22" x14ac:dyDescent="0.2">
      <c r="L554" s="2" t="s">
        <v>795</v>
      </c>
      <c r="M554" s="2">
        <v>87.41</v>
      </c>
      <c r="N554" s="11">
        <f t="shared" si="24"/>
        <v>-2.1383788625167877E-2</v>
      </c>
      <c r="P554" s="2" t="s">
        <v>795</v>
      </c>
      <c r="Q554" s="2">
        <v>395.29</v>
      </c>
      <c r="R554" s="11">
        <f t="shared" si="25"/>
        <v>4.5999796685982641E-3</v>
      </c>
      <c r="T554" s="2" t="s">
        <v>795</v>
      </c>
      <c r="U554" s="2">
        <v>4237.85986328125</v>
      </c>
      <c r="V554" s="11">
        <f t="shared" si="26"/>
        <v>1.0505999486313922E-2</v>
      </c>
    </row>
    <row r="555" spans="12:22" x14ac:dyDescent="0.2">
      <c r="L555" s="2" t="s">
        <v>794</v>
      </c>
      <c r="M555" s="2">
        <v>82.79</v>
      </c>
      <c r="N555" s="11">
        <f t="shared" si="24"/>
        <v>-5.2854364489188788E-2</v>
      </c>
      <c r="P555" s="2" t="s">
        <v>794</v>
      </c>
      <c r="Q555" s="2">
        <v>403.5</v>
      </c>
      <c r="R555" s="11">
        <f t="shared" si="25"/>
        <v>2.0769561587695051E-2</v>
      </c>
      <c r="T555" s="2" t="s">
        <v>794</v>
      </c>
      <c r="U555" s="2">
        <v>4317.77978515625</v>
      </c>
      <c r="V555" s="11">
        <f t="shared" si="26"/>
        <v>1.885855702012762E-2</v>
      </c>
    </row>
    <row r="556" spans="12:22" x14ac:dyDescent="0.2">
      <c r="L556" s="2" t="s">
        <v>793</v>
      </c>
      <c r="M556" s="2">
        <v>83.93</v>
      </c>
      <c r="N556" s="11">
        <f t="shared" si="24"/>
        <v>1.3769778958811374E-2</v>
      </c>
      <c r="P556" s="2" t="s">
        <v>793</v>
      </c>
      <c r="Q556" s="2">
        <v>407.93</v>
      </c>
      <c r="R556" s="11">
        <f t="shared" si="25"/>
        <v>1.0978934324659351E-2</v>
      </c>
      <c r="T556" s="2" t="s">
        <v>793</v>
      </c>
      <c r="U556" s="2">
        <v>4358.33984375</v>
      </c>
      <c r="V556" s="11">
        <f t="shared" si="26"/>
        <v>9.3937302530313627E-3</v>
      </c>
    </row>
    <row r="557" spans="12:22" x14ac:dyDescent="0.2">
      <c r="L557" s="2" t="s">
        <v>792</v>
      </c>
      <c r="M557" s="2">
        <v>82.2</v>
      </c>
      <c r="N557" s="11">
        <f t="shared" si="24"/>
        <v>-2.0612415107827964E-2</v>
      </c>
      <c r="P557" s="2" t="s">
        <v>792</v>
      </c>
      <c r="Q557" s="2">
        <v>407.95</v>
      </c>
      <c r="R557" s="11">
        <f t="shared" si="25"/>
        <v>4.9028019513119858E-5</v>
      </c>
      <c r="T557" s="2" t="s">
        <v>792</v>
      </c>
      <c r="U557" s="2">
        <v>4365.97998046875</v>
      </c>
      <c r="V557" s="11">
        <f t="shared" si="26"/>
        <v>1.7529924220356374E-3</v>
      </c>
    </row>
    <row r="558" spans="12:22" x14ac:dyDescent="0.2">
      <c r="L558" s="2" t="s">
        <v>791</v>
      </c>
      <c r="M558" s="2">
        <v>84.4</v>
      </c>
      <c r="N558" s="11">
        <f t="shared" si="24"/>
        <v>2.6763990267639981E-2</v>
      </c>
      <c r="P558" s="2" t="s">
        <v>791</v>
      </c>
      <c r="Q558" s="2">
        <v>413.69</v>
      </c>
      <c r="R558" s="11">
        <f t="shared" si="25"/>
        <v>1.4070351758793898E-2</v>
      </c>
      <c r="T558" s="2" t="s">
        <v>791</v>
      </c>
      <c r="U558" s="2">
        <v>4378.3798828125</v>
      </c>
      <c r="V558" s="11">
        <f t="shared" si="26"/>
        <v>2.8401189192852616E-3</v>
      </c>
    </row>
    <row r="559" spans="12:22" x14ac:dyDescent="0.2">
      <c r="L559" s="2" t="s">
        <v>790</v>
      </c>
      <c r="M559" s="2">
        <v>82.98</v>
      </c>
      <c r="N559" s="11">
        <f t="shared" si="24"/>
        <v>-1.6824644549763068E-2</v>
      </c>
      <c r="P559" s="2" t="s">
        <v>790</v>
      </c>
      <c r="Q559" s="2">
        <v>409.64</v>
      </c>
      <c r="R559" s="11">
        <f t="shared" si="25"/>
        <v>-9.7899393265489243E-3</v>
      </c>
      <c r="T559" s="2" t="s">
        <v>790</v>
      </c>
      <c r="U559" s="2">
        <v>4382.77978515625</v>
      </c>
      <c r="V559" s="11">
        <f t="shared" si="26"/>
        <v>1.0049156221052513E-3</v>
      </c>
    </row>
    <row r="560" spans="12:22" x14ac:dyDescent="0.2">
      <c r="L560" s="2" t="s">
        <v>789</v>
      </c>
      <c r="M560" s="2">
        <v>79.239999999999995</v>
      </c>
      <c r="N560" s="11">
        <f t="shared" si="24"/>
        <v>-4.5071101470233854E-2</v>
      </c>
      <c r="P560" s="2" t="s">
        <v>789</v>
      </c>
      <c r="Q560" s="2">
        <v>406.58</v>
      </c>
      <c r="R560" s="11">
        <f t="shared" si="25"/>
        <v>-7.4699736353871504E-3</v>
      </c>
      <c r="T560" s="2" t="s">
        <v>789</v>
      </c>
      <c r="U560" s="2">
        <v>4347.35009765625</v>
      </c>
      <c r="V560" s="11">
        <f t="shared" si="26"/>
        <v>-8.0838393067328429E-3</v>
      </c>
    </row>
    <row r="561" spans="12:22" x14ac:dyDescent="0.2">
      <c r="L561" s="2" t="s">
        <v>788</v>
      </c>
      <c r="M561" s="2">
        <v>79.69</v>
      </c>
      <c r="N561" s="11">
        <f t="shared" si="24"/>
        <v>5.6789500252398817E-3</v>
      </c>
      <c r="P561" s="2" t="s">
        <v>788</v>
      </c>
      <c r="Q561" s="2">
        <v>413.67</v>
      </c>
      <c r="R561" s="11">
        <f t="shared" si="25"/>
        <v>1.7438142554970781E-2</v>
      </c>
      <c r="T561" s="2" t="s">
        <v>788</v>
      </c>
      <c r="U561" s="2">
        <v>4415.240234375</v>
      </c>
      <c r="V561" s="11">
        <f t="shared" si="26"/>
        <v>1.5616441094852496E-2</v>
      </c>
    </row>
    <row r="562" spans="12:22" x14ac:dyDescent="0.2">
      <c r="L562" s="2" t="s">
        <v>787</v>
      </c>
      <c r="M562" s="2">
        <v>77.27</v>
      </c>
      <c r="N562" s="11">
        <f t="shared" si="24"/>
        <v>-3.0367674739615991E-2</v>
      </c>
      <c r="P562" s="2" t="s">
        <v>787</v>
      </c>
      <c r="Q562" s="2">
        <v>416.98</v>
      </c>
      <c r="R562" s="11">
        <f t="shared" si="25"/>
        <v>8.0015471269370142E-3</v>
      </c>
      <c r="T562" s="2" t="s">
        <v>787</v>
      </c>
      <c r="U562" s="2">
        <v>4411.5498046875</v>
      </c>
      <c r="V562" s="11">
        <f t="shared" si="26"/>
        <v>-8.3583893324035152E-4</v>
      </c>
    </row>
    <row r="563" spans="12:22" x14ac:dyDescent="0.2">
      <c r="L563" s="2" t="s">
        <v>786</v>
      </c>
      <c r="M563" s="2">
        <v>85.14</v>
      </c>
      <c r="N563" s="11">
        <f t="shared" si="24"/>
        <v>0.10185065355247835</v>
      </c>
      <c r="P563" s="2" t="s">
        <v>786</v>
      </c>
      <c r="Q563" s="2">
        <v>430.33</v>
      </c>
      <c r="R563" s="11">
        <f t="shared" si="25"/>
        <v>3.201592402513298E-2</v>
      </c>
      <c r="T563" s="2" t="s">
        <v>786</v>
      </c>
      <c r="U563" s="2">
        <v>4495.7001953125</v>
      </c>
      <c r="V563" s="11">
        <f t="shared" si="26"/>
        <v>1.9075017703661823E-2</v>
      </c>
    </row>
    <row r="564" spans="12:22" x14ac:dyDescent="0.2">
      <c r="L564" s="2" t="s">
        <v>785</v>
      </c>
      <c r="M564" s="2">
        <v>89.51</v>
      </c>
      <c r="N564" s="11">
        <f t="shared" si="24"/>
        <v>5.1327225745830374E-2</v>
      </c>
      <c r="P564" s="2" t="s">
        <v>785</v>
      </c>
      <c r="Q564" s="2">
        <v>432.19</v>
      </c>
      <c r="R564" s="11">
        <f t="shared" si="25"/>
        <v>4.3222643087863499E-3</v>
      </c>
      <c r="T564" s="2" t="s">
        <v>785</v>
      </c>
      <c r="U564" s="2">
        <v>4502.8798828125</v>
      </c>
      <c r="V564" s="11">
        <f t="shared" si="26"/>
        <v>1.5970120755575135E-3</v>
      </c>
    </row>
    <row r="565" spans="12:22" x14ac:dyDescent="0.2">
      <c r="L565" s="2" t="s">
        <v>784</v>
      </c>
      <c r="M565" s="2">
        <v>87.82</v>
      </c>
      <c r="N565" s="11">
        <f t="shared" si="24"/>
        <v>-1.8880572003128315E-2</v>
      </c>
      <c r="P565" s="2" t="s">
        <v>784</v>
      </c>
      <c r="Q565" s="2">
        <v>420.28</v>
      </c>
      <c r="R565" s="11">
        <f t="shared" si="25"/>
        <v>-2.7557324324949728E-2</v>
      </c>
      <c r="T565" s="2" t="s">
        <v>784</v>
      </c>
      <c r="U565" s="2">
        <v>4508.240234375</v>
      </c>
      <c r="V565" s="11">
        <f t="shared" si="26"/>
        <v>1.1904273935798848E-3</v>
      </c>
    </row>
    <row r="566" spans="12:22" x14ac:dyDescent="0.2">
      <c r="L566" s="2" t="s">
        <v>783</v>
      </c>
      <c r="M566" s="2">
        <v>91.18</v>
      </c>
      <c r="N566" s="11">
        <f t="shared" si="24"/>
        <v>3.8260077431109263E-2</v>
      </c>
      <c r="P566" s="2" t="s">
        <v>783</v>
      </c>
      <c r="Q566" s="2">
        <v>422.44</v>
      </c>
      <c r="R566" s="11">
        <f t="shared" si="25"/>
        <v>5.1394308556200752E-3</v>
      </c>
      <c r="T566" s="2" t="s">
        <v>783</v>
      </c>
      <c r="U566" s="2">
        <v>4514.02001953125</v>
      </c>
      <c r="V566" s="11">
        <f t="shared" si="26"/>
        <v>1.2820490603360213E-3</v>
      </c>
    </row>
    <row r="567" spans="12:22" x14ac:dyDescent="0.2">
      <c r="L567" s="2" t="s">
        <v>782</v>
      </c>
      <c r="M567" s="2">
        <v>94.57</v>
      </c>
      <c r="N567" s="11">
        <f t="shared" si="24"/>
        <v>3.7179205966220596E-2</v>
      </c>
      <c r="P567" s="2" t="s">
        <v>782</v>
      </c>
      <c r="Q567" s="2">
        <v>428.58</v>
      </c>
      <c r="R567" s="11">
        <f t="shared" si="25"/>
        <v>1.4534608465107457E-2</v>
      </c>
      <c r="T567" s="2" t="s">
        <v>782</v>
      </c>
      <c r="U567" s="2">
        <v>4547.3798828125</v>
      </c>
      <c r="V567" s="11">
        <f t="shared" si="26"/>
        <v>7.3902780973298388E-3</v>
      </c>
    </row>
    <row r="568" spans="12:22" x14ac:dyDescent="0.2">
      <c r="L568" s="2" t="s">
        <v>781</v>
      </c>
      <c r="M568" s="2">
        <v>92.6</v>
      </c>
      <c r="N568" s="11">
        <f t="shared" si="24"/>
        <v>-2.0831130379612928E-2</v>
      </c>
      <c r="P568" s="2" t="s">
        <v>781</v>
      </c>
      <c r="Q568" s="2">
        <v>430.37</v>
      </c>
      <c r="R568" s="11">
        <f t="shared" si="25"/>
        <v>4.1765831350040195E-3</v>
      </c>
      <c r="T568" s="2" t="s">
        <v>781</v>
      </c>
      <c r="U568" s="2">
        <v>4538.18994140625</v>
      </c>
      <c r="V568" s="11">
        <f t="shared" si="26"/>
        <v>-2.0209310950652926E-3</v>
      </c>
    </row>
    <row r="569" spans="12:22" x14ac:dyDescent="0.2">
      <c r="L569" s="2" t="s">
        <v>780</v>
      </c>
      <c r="M569" s="2">
        <v>93.7</v>
      </c>
      <c r="N569" s="11">
        <f t="shared" si="24"/>
        <v>1.1879049676025932E-2</v>
      </c>
      <c r="P569" s="2" t="s">
        <v>780</v>
      </c>
      <c r="Q569" s="2">
        <v>428.63</v>
      </c>
      <c r="R569" s="11">
        <f t="shared" si="25"/>
        <v>-4.0430327392708687E-3</v>
      </c>
      <c r="T569" s="2" t="s">
        <v>780</v>
      </c>
      <c r="U569" s="2">
        <v>4556.6201171875</v>
      </c>
      <c r="V569" s="11">
        <f t="shared" si="26"/>
        <v>4.06112922094648E-3</v>
      </c>
    </row>
    <row r="570" spans="12:22" x14ac:dyDescent="0.2">
      <c r="L570" s="2" t="s">
        <v>779</v>
      </c>
      <c r="M570" s="2">
        <v>94.59</v>
      </c>
      <c r="N570" s="11">
        <f t="shared" si="24"/>
        <v>9.4983991462114226E-3</v>
      </c>
      <c r="P570" s="2" t="s">
        <v>779</v>
      </c>
      <c r="Q570" s="2">
        <v>431.76</v>
      </c>
      <c r="R570" s="11">
        <f t="shared" si="25"/>
        <v>7.3023353475025754E-3</v>
      </c>
      <c r="T570" s="2" t="s">
        <v>779</v>
      </c>
      <c r="U570" s="2">
        <v>4559.33984375</v>
      </c>
      <c r="V570" s="11">
        <f t="shared" si="26"/>
        <v>5.9687366788407914E-4</v>
      </c>
    </row>
    <row r="571" spans="12:22" x14ac:dyDescent="0.2">
      <c r="L571" s="2" t="s">
        <v>778</v>
      </c>
      <c r="M571" s="2">
        <v>96.16</v>
      </c>
      <c r="N571" s="11">
        <f t="shared" si="24"/>
        <v>1.659794904323908E-2</v>
      </c>
      <c r="P571" s="2" t="s">
        <v>778</v>
      </c>
      <c r="Q571" s="2">
        <v>435.67</v>
      </c>
      <c r="R571" s="11">
        <f t="shared" si="25"/>
        <v>9.0559570131554246E-3</v>
      </c>
      <c r="T571" s="2" t="s">
        <v>778</v>
      </c>
      <c r="U571" s="2">
        <v>4550.43017578125</v>
      </c>
      <c r="V571" s="11">
        <f t="shared" si="26"/>
        <v>-1.9541574600900891E-3</v>
      </c>
    </row>
    <row r="572" spans="12:22" x14ac:dyDescent="0.2">
      <c r="L572" s="2" t="s">
        <v>777</v>
      </c>
      <c r="M572" s="2">
        <v>101.09</v>
      </c>
      <c r="N572" s="11">
        <f t="shared" si="24"/>
        <v>5.1268718801996682E-2</v>
      </c>
      <c r="P572" s="2" t="s">
        <v>777</v>
      </c>
      <c r="Q572" s="2">
        <v>427.73</v>
      </c>
      <c r="R572" s="11">
        <f t="shared" si="25"/>
        <v>-1.8224803176716264E-2</v>
      </c>
      <c r="T572" s="2" t="s">
        <v>777</v>
      </c>
      <c r="U572" s="2">
        <v>4554.89013671875</v>
      </c>
      <c r="V572" s="11">
        <f t="shared" si="26"/>
        <v>9.8011853060331333E-4</v>
      </c>
    </row>
    <row r="573" spans="12:22" x14ac:dyDescent="0.2">
      <c r="L573" s="2" t="s">
        <v>776</v>
      </c>
      <c r="M573" s="2">
        <v>103.7</v>
      </c>
      <c r="N573" s="11">
        <f t="shared" si="24"/>
        <v>2.5818577505193341E-2</v>
      </c>
      <c r="P573" s="2" t="s">
        <v>776</v>
      </c>
      <c r="Q573" s="2">
        <v>438.35</v>
      </c>
      <c r="R573" s="11">
        <f t="shared" si="25"/>
        <v>2.4828747106819815E-2</v>
      </c>
      <c r="T573" s="2" t="s">
        <v>776</v>
      </c>
      <c r="U573" s="2">
        <v>4550.580078125</v>
      </c>
      <c r="V573" s="11">
        <f t="shared" si="26"/>
        <v>-9.4624863923831182E-4</v>
      </c>
    </row>
    <row r="574" spans="12:22" x14ac:dyDescent="0.2">
      <c r="L574" s="2" t="s">
        <v>775</v>
      </c>
      <c r="M574" s="2">
        <v>105.61</v>
      </c>
      <c r="N574" s="11">
        <f t="shared" si="24"/>
        <v>1.841851494696245E-2</v>
      </c>
      <c r="P574" s="2" t="s">
        <v>775</v>
      </c>
      <c r="Q574" s="2">
        <v>446.8</v>
      </c>
      <c r="R574" s="11">
        <f t="shared" si="25"/>
        <v>1.9276833580472275E-2</v>
      </c>
      <c r="T574" s="2" t="s">
        <v>775</v>
      </c>
      <c r="U574" s="2">
        <v>4567.7998046875</v>
      </c>
      <c r="V574" s="11">
        <f t="shared" si="26"/>
        <v>3.7840728581564065E-3</v>
      </c>
    </row>
    <row r="575" spans="12:22" x14ac:dyDescent="0.2">
      <c r="L575" s="2" t="s">
        <v>774</v>
      </c>
      <c r="M575" s="2">
        <v>106.56</v>
      </c>
      <c r="N575" s="11">
        <f t="shared" si="24"/>
        <v>8.9953602878516392E-3</v>
      </c>
      <c r="P575" s="2" t="s">
        <v>774</v>
      </c>
      <c r="Q575" s="2">
        <v>466.61</v>
      </c>
      <c r="R575" s="11">
        <f t="shared" si="25"/>
        <v>4.4337511190689405E-2</v>
      </c>
      <c r="T575" s="2" t="s">
        <v>774</v>
      </c>
      <c r="U575" s="2">
        <v>4594.6298828125</v>
      </c>
      <c r="V575" s="11">
        <f t="shared" si="26"/>
        <v>5.8737421236076948E-3</v>
      </c>
    </row>
    <row r="576" spans="12:22" x14ac:dyDescent="0.2">
      <c r="L576" s="2" t="s">
        <v>773</v>
      </c>
      <c r="M576" s="2">
        <v>105.06</v>
      </c>
      <c r="N576" s="11">
        <f t="shared" si="24"/>
        <v>-1.4076576576576572E-2</v>
      </c>
      <c r="P576" s="2" t="s">
        <v>773</v>
      </c>
      <c r="Q576" s="2">
        <v>460.76</v>
      </c>
      <c r="R576" s="11">
        <f t="shared" si="25"/>
        <v>-1.2537236664452167E-2</v>
      </c>
      <c r="T576" s="2" t="s">
        <v>773</v>
      </c>
      <c r="U576" s="2">
        <v>4569.77978515625</v>
      </c>
      <c r="V576" s="11">
        <f t="shared" si="26"/>
        <v>-5.4085091269721053E-3</v>
      </c>
    </row>
    <row r="577" spans="12:22" x14ac:dyDescent="0.2">
      <c r="L577" s="2" t="s">
        <v>772</v>
      </c>
      <c r="M577" s="2">
        <v>102.2</v>
      </c>
      <c r="N577" s="11">
        <f t="shared" si="24"/>
        <v>-2.722253950123743E-2</v>
      </c>
      <c r="P577" s="2" t="s">
        <v>772</v>
      </c>
      <c r="Q577" s="2">
        <v>456.93</v>
      </c>
      <c r="R577" s="11">
        <f t="shared" si="25"/>
        <v>-8.3123535029081541E-3</v>
      </c>
      <c r="T577" s="2" t="s">
        <v>772</v>
      </c>
      <c r="U577" s="2">
        <v>4567.18017578125</v>
      </c>
      <c r="V577" s="11">
        <f t="shared" si="26"/>
        <v>-5.6886972616143616E-4</v>
      </c>
    </row>
    <row r="578" spans="12:22" x14ac:dyDescent="0.2">
      <c r="L578" s="2" t="s">
        <v>771</v>
      </c>
      <c r="M578" s="2">
        <v>103.67</v>
      </c>
      <c r="N578" s="11">
        <f t="shared" si="24"/>
        <v>1.4383561643835696E-2</v>
      </c>
      <c r="P578" s="2" t="s">
        <v>771</v>
      </c>
      <c r="Q578" s="2">
        <v>460.67</v>
      </c>
      <c r="R578" s="11">
        <f t="shared" si="25"/>
        <v>8.1850611691067776E-3</v>
      </c>
      <c r="T578" s="2" t="s">
        <v>771</v>
      </c>
      <c r="U578" s="2">
        <v>4549.33984375</v>
      </c>
      <c r="V578" s="11">
        <f t="shared" si="26"/>
        <v>-3.9062028088695522E-3</v>
      </c>
    </row>
    <row r="579" spans="12:22" x14ac:dyDescent="0.2">
      <c r="L579" s="2" t="s">
        <v>770</v>
      </c>
      <c r="M579" s="2">
        <v>104.11</v>
      </c>
      <c r="N579" s="11">
        <f t="shared" si="24"/>
        <v>4.2442365197259413E-3</v>
      </c>
      <c r="P579" s="2" t="s">
        <v>770</v>
      </c>
      <c r="Q579" s="2">
        <v>464.67</v>
      </c>
      <c r="R579" s="11">
        <f t="shared" si="25"/>
        <v>8.683005188095505E-3</v>
      </c>
      <c r="T579" s="2" t="s">
        <v>770</v>
      </c>
      <c r="U579" s="2">
        <v>4585.58984375</v>
      </c>
      <c r="V579" s="11">
        <f t="shared" si="26"/>
        <v>7.9681890658929166E-3</v>
      </c>
    </row>
    <row r="580" spans="12:22" x14ac:dyDescent="0.2">
      <c r="L580" s="2" t="s">
        <v>769</v>
      </c>
      <c r="M580" s="2">
        <v>103.74</v>
      </c>
      <c r="N580" s="11">
        <f t="shared" si="24"/>
        <v>-3.5539333397368589E-3</v>
      </c>
      <c r="P580" s="2" t="s">
        <v>769</v>
      </c>
      <c r="Q580" s="2">
        <v>489.64</v>
      </c>
      <c r="R580" s="11">
        <f t="shared" si="25"/>
        <v>5.3737060709750928E-2</v>
      </c>
      <c r="T580" s="2" t="s">
        <v>769</v>
      </c>
      <c r="U580" s="2">
        <v>4604.3701171875</v>
      </c>
      <c r="V580" s="11">
        <f t="shared" si="26"/>
        <v>4.0954978699407896E-3</v>
      </c>
    </row>
    <row r="581" spans="12:22" x14ac:dyDescent="0.2">
      <c r="L581" s="2" t="s">
        <v>768</v>
      </c>
      <c r="M581" s="2">
        <v>104.6</v>
      </c>
      <c r="N581" s="11">
        <f t="shared" si="24"/>
        <v>8.2899556583766465E-3</v>
      </c>
      <c r="P581" s="2" t="s">
        <v>768</v>
      </c>
      <c r="Q581" s="2">
        <v>502.74</v>
      </c>
      <c r="R581" s="11">
        <f t="shared" si="25"/>
        <v>2.6754350134792881E-2</v>
      </c>
      <c r="T581" s="2" t="s">
        <v>768</v>
      </c>
      <c r="U581" s="2">
        <v>4622.43994140625</v>
      </c>
      <c r="V581" s="11">
        <f t="shared" si="26"/>
        <v>3.924494286698943E-3</v>
      </c>
    </row>
    <row r="582" spans="12:22" x14ac:dyDescent="0.2">
      <c r="L582" s="2" t="s">
        <v>767</v>
      </c>
      <c r="M582" s="2">
        <v>104.92</v>
      </c>
      <c r="N582" s="11">
        <f t="shared" ref="N582:N645" si="27">+M582/M581-1</f>
        <v>3.059273422562292E-3</v>
      </c>
      <c r="P582" s="2" t="s">
        <v>767</v>
      </c>
      <c r="Q582" s="2">
        <v>503.65</v>
      </c>
      <c r="R582" s="11">
        <f t="shared" ref="R582:R645" si="28">+Q582/Q581-1</f>
        <v>1.8100807574490396E-3</v>
      </c>
      <c r="T582" s="2" t="s">
        <v>767</v>
      </c>
      <c r="U582" s="2">
        <v>4643.7001953125</v>
      </c>
      <c r="V582" s="11">
        <f t="shared" ref="V582:V645" si="29">+U582/U581-1</f>
        <v>4.5993575202152304E-3</v>
      </c>
    </row>
    <row r="583" spans="12:22" x14ac:dyDescent="0.2">
      <c r="L583" s="2" t="s">
        <v>766</v>
      </c>
      <c r="M583" s="2">
        <v>106.8</v>
      </c>
      <c r="N583" s="11">
        <f t="shared" si="27"/>
        <v>1.7918414029736818E-2</v>
      </c>
      <c r="P583" s="2" t="s">
        <v>766</v>
      </c>
      <c r="Q583" s="2">
        <v>504.5</v>
      </c>
      <c r="R583" s="11">
        <f t="shared" si="28"/>
        <v>1.6876799364637929E-3</v>
      </c>
      <c r="T583" s="2" t="s">
        <v>766</v>
      </c>
      <c r="U583" s="2">
        <v>4707.08984375</v>
      </c>
      <c r="V583" s="11">
        <f t="shared" si="29"/>
        <v>1.3650676351045998E-2</v>
      </c>
    </row>
    <row r="584" spans="12:22" x14ac:dyDescent="0.2">
      <c r="L584" s="2" t="s">
        <v>765</v>
      </c>
      <c r="M584" s="2">
        <v>107.86</v>
      </c>
      <c r="N584" s="11">
        <f t="shared" si="27"/>
        <v>9.9250936329589035E-3</v>
      </c>
      <c r="P584" s="2" t="s">
        <v>765</v>
      </c>
      <c r="Q584" s="2">
        <v>489.3</v>
      </c>
      <c r="R584" s="11">
        <f t="shared" si="28"/>
        <v>-3.0128840436075333E-2</v>
      </c>
      <c r="T584" s="2" t="s">
        <v>765</v>
      </c>
      <c r="U584" s="2">
        <v>4719.5498046875</v>
      </c>
      <c r="V584" s="11">
        <f t="shared" si="29"/>
        <v>2.6470624846992585E-3</v>
      </c>
    </row>
    <row r="585" spans="12:22" x14ac:dyDescent="0.2">
      <c r="L585" s="2" t="s">
        <v>764</v>
      </c>
      <c r="M585" s="2">
        <v>107.11</v>
      </c>
      <c r="N585" s="11">
        <f t="shared" si="27"/>
        <v>-6.9534581865381417E-3</v>
      </c>
      <c r="P585" s="2" t="s">
        <v>764</v>
      </c>
      <c r="Q585" s="2">
        <v>491.46</v>
      </c>
      <c r="R585" s="11">
        <f t="shared" si="28"/>
        <v>4.4144696505210579E-3</v>
      </c>
      <c r="T585" s="2" t="s">
        <v>764</v>
      </c>
      <c r="U585" s="2">
        <v>4719.18994140625</v>
      </c>
      <c r="V585" s="11">
        <f t="shared" si="29"/>
        <v>-7.62494933082003E-5</v>
      </c>
    </row>
    <row r="586" spans="12:22" x14ac:dyDescent="0.2">
      <c r="L586" s="2" t="s">
        <v>763</v>
      </c>
      <c r="M586" s="2">
        <v>103.63</v>
      </c>
      <c r="N586" s="11">
        <f t="shared" si="27"/>
        <v>-3.2489963588833937E-2</v>
      </c>
      <c r="P586" s="2" t="s">
        <v>763</v>
      </c>
      <c r="Q586" s="2">
        <v>501.63</v>
      </c>
      <c r="R586" s="11">
        <f t="shared" si="28"/>
        <v>2.0693444023928809E-2</v>
      </c>
      <c r="T586" s="2" t="s">
        <v>763</v>
      </c>
      <c r="U586" s="2">
        <v>4740.56005859375</v>
      </c>
      <c r="V586" s="11">
        <f t="shared" si="29"/>
        <v>4.5283443669004164E-3</v>
      </c>
    </row>
    <row r="587" spans="12:22" x14ac:dyDescent="0.2">
      <c r="L587" s="2" t="s">
        <v>762</v>
      </c>
      <c r="M587" s="2">
        <v>105.26</v>
      </c>
      <c r="N587" s="11">
        <f t="shared" si="27"/>
        <v>1.5729035993438334E-2</v>
      </c>
      <c r="P587" s="2" t="s">
        <v>762</v>
      </c>
      <c r="Q587" s="2">
        <v>506.86</v>
      </c>
      <c r="R587" s="11">
        <f t="shared" si="28"/>
        <v>1.0426011203476637E-2</v>
      </c>
      <c r="T587" s="2" t="s">
        <v>762</v>
      </c>
      <c r="U587" s="2">
        <v>4768.3701171875</v>
      </c>
      <c r="V587" s="11">
        <f t="shared" si="29"/>
        <v>5.8664078189105684E-3</v>
      </c>
    </row>
    <row r="588" spans="12:22" x14ac:dyDescent="0.2">
      <c r="L588" s="2" t="s">
        <v>761</v>
      </c>
      <c r="M588" s="2">
        <v>100.88</v>
      </c>
      <c r="N588" s="11">
        <f t="shared" si="27"/>
        <v>-4.1611248337450224E-2</v>
      </c>
      <c r="P588" s="2" t="s">
        <v>761</v>
      </c>
      <c r="Q588" s="2">
        <v>505.15</v>
      </c>
      <c r="R588" s="11">
        <f t="shared" si="28"/>
        <v>-3.373712662273709E-3</v>
      </c>
      <c r="T588" s="2" t="s">
        <v>761</v>
      </c>
      <c r="U588" s="2">
        <v>4698.35009765625</v>
      </c>
      <c r="V588" s="11">
        <f t="shared" si="29"/>
        <v>-1.4684266911006771E-2</v>
      </c>
    </row>
    <row r="589" spans="12:22" x14ac:dyDescent="0.2">
      <c r="L589" s="2" t="s">
        <v>760</v>
      </c>
      <c r="M589" s="2">
        <v>102.33</v>
      </c>
      <c r="N589" s="11">
        <f t="shared" si="27"/>
        <v>1.437351308485324E-2</v>
      </c>
      <c r="P589" s="2" t="s">
        <v>760</v>
      </c>
      <c r="Q589" s="2">
        <v>511.03</v>
      </c>
      <c r="R589" s="11">
        <f t="shared" si="28"/>
        <v>1.1640106898940905E-2</v>
      </c>
      <c r="T589" s="2" t="s">
        <v>760</v>
      </c>
      <c r="U589" s="2">
        <v>4746.75</v>
      </c>
      <c r="V589" s="11">
        <f t="shared" si="29"/>
        <v>1.0301467821202559E-2</v>
      </c>
    </row>
    <row r="590" spans="12:22" x14ac:dyDescent="0.2">
      <c r="L590" s="2" t="s">
        <v>759</v>
      </c>
      <c r="M590" s="2">
        <v>98.18</v>
      </c>
      <c r="N590" s="11">
        <f t="shared" si="27"/>
        <v>-4.0555066940291096E-2</v>
      </c>
      <c r="P590" s="2" t="s">
        <v>759</v>
      </c>
      <c r="Q590" s="2">
        <v>510</v>
      </c>
      <c r="R590" s="11">
        <f t="shared" si="28"/>
        <v>-2.0155372483023903E-3</v>
      </c>
      <c r="T590" s="2" t="s">
        <v>759</v>
      </c>
      <c r="U590" s="2">
        <v>4754.6298828125</v>
      </c>
      <c r="V590" s="11">
        <f t="shared" si="29"/>
        <v>1.6600585268868873E-3</v>
      </c>
    </row>
    <row r="591" spans="12:22" x14ac:dyDescent="0.2">
      <c r="L591" s="2" t="s">
        <v>758</v>
      </c>
      <c r="M591" s="2">
        <v>96.7</v>
      </c>
      <c r="N591" s="11">
        <f t="shared" si="27"/>
        <v>-1.5074353228763493E-2</v>
      </c>
      <c r="P591" s="2" t="s">
        <v>758</v>
      </c>
      <c r="Q591" s="2">
        <v>506.32</v>
      </c>
      <c r="R591" s="11">
        <f t="shared" si="28"/>
        <v>-7.2156862745098582E-3</v>
      </c>
      <c r="T591" s="2" t="s">
        <v>758</v>
      </c>
      <c r="U591" s="2">
        <v>4774.75</v>
      </c>
      <c r="V591" s="11">
        <f t="shared" si="29"/>
        <v>4.2316894655107795E-3</v>
      </c>
    </row>
    <row r="592" spans="12:22" x14ac:dyDescent="0.2">
      <c r="L592" s="2" t="s">
        <v>757</v>
      </c>
      <c r="M592" s="2">
        <v>94.51</v>
      </c>
      <c r="N592" s="11">
        <f t="shared" si="27"/>
        <v>-2.2647362978283292E-2</v>
      </c>
      <c r="P592" s="2" t="s">
        <v>757</v>
      </c>
      <c r="Q592" s="2">
        <v>508.81</v>
      </c>
      <c r="R592" s="11">
        <f t="shared" si="28"/>
        <v>4.9178385210932873E-3</v>
      </c>
      <c r="T592" s="2" t="s">
        <v>757</v>
      </c>
      <c r="U592" s="2">
        <v>4781.580078125</v>
      </c>
      <c r="V592" s="11">
        <f t="shared" si="29"/>
        <v>1.4304577464787638E-3</v>
      </c>
    </row>
    <row r="593" spans="12:22" x14ac:dyDescent="0.2">
      <c r="L593" s="2" t="s">
        <v>756</v>
      </c>
      <c r="M593" s="2">
        <v>95.27</v>
      </c>
      <c r="N593" s="11">
        <f t="shared" si="27"/>
        <v>8.0414770923711298E-3</v>
      </c>
      <c r="P593" s="2" t="s">
        <v>756</v>
      </c>
      <c r="Q593" s="2">
        <v>509.22</v>
      </c>
      <c r="R593" s="11">
        <f t="shared" si="28"/>
        <v>8.058017727639033E-4</v>
      </c>
      <c r="T593" s="2" t="s">
        <v>756</v>
      </c>
      <c r="U593" s="2">
        <v>4783.35009765625</v>
      </c>
      <c r="V593" s="11">
        <f t="shared" si="29"/>
        <v>3.7017460804378288E-4</v>
      </c>
    </row>
    <row r="594" spans="12:22" x14ac:dyDescent="0.2">
      <c r="L594" s="2" t="s">
        <v>755</v>
      </c>
      <c r="M594" s="2">
        <v>93.41</v>
      </c>
      <c r="N594" s="11">
        <f t="shared" si="27"/>
        <v>-1.9523459641020202E-2</v>
      </c>
      <c r="P594" s="2" t="s">
        <v>755</v>
      </c>
      <c r="Q594" s="2">
        <v>511.29</v>
      </c>
      <c r="R594" s="11">
        <f t="shared" si="28"/>
        <v>4.0650406504065817E-3</v>
      </c>
      <c r="T594" s="2" t="s">
        <v>755</v>
      </c>
      <c r="U594" s="2">
        <v>4769.830078125</v>
      </c>
      <c r="V594" s="11">
        <f t="shared" si="29"/>
        <v>-2.8264750133749628E-3</v>
      </c>
    </row>
    <row r="595" spans="12:22" x14ac:dyDescent="0.2">
      <c r="L595" s="2" t="s">
        <v>754</v>
      </c>
      <c r="M595" s="2">
        <v>93.77</v>
      </c>
      <c r="N595" s="11">
        <f t="shared" si="27"/>
        <v>3.8539770902472625E-3</v>
      </c>
      <c r="P595" s="2" t="s">
        <v>754</v>
      </c>
      <c r="Q595" s="2">
        <v>505.38</v>
      </c>
      <c r="R595" s="11">
        <f t="shared" si="28"/>
        <v>-1.1558997829020812E-2</v>
      </c>
      <c r="T595" s="2" t="s">
        <v>754</v>
      </c>
      <c r="U595" s="2">
        <v>4742.830078125</v>
      </c>
      <c r="V595" s="11">
        <f t="shared" si="29"/>
        <v>-5.6605790054923277E-3</v>
      </c>
    </row>
    <row r="596" spans="12:22" x14ac:dyDescent="0.2">
      <c r="L596" s="2" t="s">
        <v>753</v>
      </c>
      <c r="M596" s="2">
        <v>88.69</v>
      </c>
      <c r="N596" s="11">
        <f t="shared" si="27"/>
        <v>-5.4175109310013903E-2</v>
      </c>
      <c r="P596" s="2" t="s">
        <v>753</v>
      </c>
      <c r="Q596" s="2">
        <v>498.02</v>
      </c>
      <c r="R596" s="11">
        <f t="shared" si="28"/>
        <v>-1.4563298903795152E-2</v>
      </c>
      <c r="T596" s="2" t="s">
        <v>753</v>
      </c>
      <c r="U596" s="2">
        <v>4704.81005859375</v>
      </c>
      <c r="V596" s="11">
        <f t="shared" si="29"/>
        <v>-8.016314922730805E-3</v>
      </c>
    </row>
    <row r="597" spans="12:22" x14ac:dyDescent="0.2">
      <c r="L597" s="2" t="s">
        <v>752</v>
      </c>
      <c r="M597" s="2">
        <v>89.78</v>
      </c>
      <c r="N597" s="11">
        <f t="shared" si="27"/>
        <v>1.228999887247717E-2</v>
      </c>
      <c r="P597" s="2" t="s">
        <v>752</v>
      </c>
      <c r="Q597" s="2">
        <v>496</v>
      </c>
      <c r="R597" s="11">
        <f t="shared" si="28"/>
        <v>-4.0560620055418717E-3</v>
      </c>
      <c r="T597" s="2" t="s">
        <v>752</v>
      </c>
      <c r="U597" s="2">
        <v>4688.68017578125</v>
      </c>
      <c r="V597" s="11">
        <f t="shared" si="29"/>
        <v>-3.4283812973570083E-3</v>
      </c>
    </row>
    <row r="598" spans="12:22" x14ac:dyDescent="0.2">
      <c r="L598" s="2" t="s">
        <v>751</v>
      </c>
      <c r="M598" s="2">
        <v>86.454999999999998</v>
      </c>
      <c r="N598" s="11">
        <f t="shared" si="27"/>
        <v>-3.7034974381822239E-2</v>
      </c>
      <c r="P598" s="2" t="s">
        <v>751</v>
      </c>
      <c r="Q598" s="2">
        <v>491.1</v>
      </c>
      <c r="R598" s="11">
        <f t="shared" si="28"/>
        <v>-9.879032258064524E-3</v>
      </c>
      <c r="T598" s="2" t="s">
        <v>751</v>
      </c>
      <c r="U598" s="2">
        <v>4697.240234375</v>
      </c>
      <c r="V598" s="11">
        <f t="shared" si="29"/>
        <v>1.8256861788026324E-3</v>
      </c>
    </row>
    <row r="599" spans="12:22" x14ac:dyDescent="0.2">
      <c r="L599" s="2" t="s">
        <v>750</v>
      </c>
      <c r="M599" s="2">
        <v>104.03</v>
      </c>
      <c r="N599" s="11">
        <f t="shared" si="27"/>
        <v>0.20328494592562607</v>
      </c>
      <c r="P599" s="2" t="s">
        <v>750</v>
      </c>
      <c r="Q599" s="2">
        <v>491.48</v>
      </c>
      <c r="R599" s="11">
        <f t="shared" si="28"/>
        <v>7.7377316228877113E-4</v>
      </c>
      <c r="T599" s="2" t="s">
        <v>750</v>
      </c>
      <c r="U599" s="2">
        <v>4763.5400390625</v>
      </c>
      <c r="V599" s="11">
        <f t="shared" si="29"/>
        <v>1.4114629309846638E-2</v>
      </c>
    </row>
    <row r="600" spans="12:22" x14ac:dyDescent="0.2">
      <c r="L600" s="2" t="s">
        <v>749</v>
      </c>
      <c r="M600" s="2">
        <v>100.12</v>
      </c>
      <c r="N600" s="11">
        <f t="shared" si="27"/>
        <v>-3.7585311929251186E-2</v>
      </c>
      <c r="P600" s="2" t="s">
        <v>749</v>
      </c>
      <c r="Q600" s="2">
        <v>485.71</v>
      </c>
      <c r="R600" s="11">
        <f t="shared" si="28"/>
        <v>-1.1740050459835727E-2</v>
      </c>
      <c r="T600" s="2" t="s">
        <v>749</v>
      </c>
      <c r="U600" s="2">
        <v>4756.5</v>
      </c>
      <c r="V600" s="11">
        <f t="shared" si="29"/>
        <v>-1.4779006799081618E-3</v>
      </c>
    </row>
    <row r="601" spans="12:22" x14ac:dyDescent="0.2">
      <c r="L601" s="2" t="s">
        <v>748</v>
      </c>
      <c r="M601" s="2">
        <v>105.16</v>
      </c>
      <c r="N601" s="11">
        <f t="shared" si="27"/>
        <v>5.0339592489013096E-2</v>
      </c>
      <c r="P601" s="2" t="s">
        <v>748</v>
      </c>
      <c r="Q601" s="2">
        <v>484.1</v>
      </c>
      <c r="R601" s="11">
        <f t="shared" si="28"/>
        <v>-3.314735130015789E-3</v>
      </c>
      <c r="T601" s="2" t="s">
        <v>748</v>
      </c>
      <c r="U601" s="2">
        <v>4783.4501953125</v>
      </c>
      <c r="V601" s="11">
        <f t="shared" si="29"/>
        <v>5.6659718937244197E-3</v>
      </c>
    </row>
    <row r="602" spans="12:22" x14ac:dyDescent="0.2">
      <c r="L602" s="2" t="s">
        <v>747</v>
      </c>
      <c r="M602" s="2">
        <v>104.9</v>
      </c>
      <c r="N602" s="11">
        <f t="shared" si="27"/>
        <v>-2.4724229745148874E-3</v>
      </c>
      <c r="P602" s="2" t="s">
        <v>747</v>
      </c>
      <c r="Q602" s="2">
        <v>485.48</v>
      </c>
      <c r="R602" s="11">
        <f t="shared" si="28"/>
        <v>2.8506506920058516E-3</v>
      </c>
      <c r="T602" s="2" t="s">
        <v>747</v>
      </c>
      <c r="U602" s="2">
        <v>4780.240234375</v>
      </c>
      <c r="V602" s="11">
        <f t="shared" si="29"/>
        <v>-6.7105557838686991E-4</v>
      </c>
    </row>
    <row r="603" spans="12:22" x14ac:dyDescent="0.2">
      <c r="L603" s="2" t="s">
        <v>746</v>
      </c>
      <c r="M603" s="2">
        <v>103.39</v>
      </c>
      <c r="N603" s="11">
        <f t="shared" si="27"/>
        <v>-1.43946615824595E-2</v>
      </c>
      <c r="P603" s="2" t="s">
        <v>746</v>
      </c>
      <c r="Q603" s="2">
        <v>479.94</v>
      </c>
      <c r="R603" s="11">
        <f t="shared" si="28"/>
        <v>-1.1411386668863877E-2</v>
      </c>
      <c r="T603" s="2" t="s">
        <v>746</v>
      </c>
      <c r="U603" s="2">
        <v>4783.830078125</v>
      </c>
      <c r="V603" s="11">
        <f t="shared" si="29"/>
        <v>7.5097559411041459E-4</v>
      </c>
    </row>
    <row r="604" spans="12:22" x14ac:dyDescent="0.2">
      <c r="L604" s="2" t="s">
        <v>745</v>
      </c>
      <c r="M604" s="2">
        <v>100.73</v>
      </c>
      <c r="N604" s="11">
        <f t="shared" si="27"/>
        <v>-2.5727826675693954E-2</v>
      </c>
      <c r="P604" s="2" t="s">
        <v>745</v>
      </c>
      <c r="Q604" s="2">
        <v>470.73</v>
      </c>
      <c r="R604" s="11">
        <f t="shared" si="28"/>
        <v>-1.9189898737342115E-2</v>
      </c>
      <c r="T604" s="2" t="s">
        <v>745</v>
      </c>
      <c r="U604" s="2">
        <v>4765.97998046875</v>
      </c>
      <c r="V604" s="11">
        <f t="shared" si="29"/>
        <v>-3.7313402367431525E-3</v>
      </c>
    </row>
    <row r="605" spans="12:22" x14ac:dyDescent="0.2">
      <c r="L605" s="2" t="s">
        <v>744</v>
      </c>
      <c r="M605" s="2">
        <v>99.47</v>
      </c>
      <c r="N605" s="11">
        <f t="shared" si="27"/>
        <v>-1.2508686587908269E-2</v>
      </c>
      <c r="P605" s="2" t="s">
        <v>744</v>
      </c>
      <c r="Q605" s="2">
        <v>468.4</v>
      </c>
      <c r="R605" s="11">
        <f t="shared" si="28"/>
        <v>-4.9497588851359353E-3</v>
      </c>
      <c r="T605" s="2" t="s">
        <v>744</v>
      </c>
      <c r="U605" s="2">
        <v>4739.2099609375</v>
      </c>
      <c r="V605" s="11">
        <f t="shared" si="29"/>
        <v>-5.6168971839904991E-3</v>
      </c>
    </row>
    <row r="606" spans="12:22" x14ac:dyDescent="0.2">
      <c r="L606" s="2" t="s">
        <v>743</v>
      </c>
      <c r="M606" s="2">
        <v>100.5</v>
      </c>
      <c r="N606" s="11">
        <f t="shared" si="27"/>
        <v>1.0354880868603589E-2</v>
      </c>
      <c r="P606" s="2" t="s">
        <v>743</v>
      </c>
      <c r="Q606" s="2">
        <v>477.45</v>
      </c>
      <c r="R606" s="11">
        <f t="shared" si="28"/>
        <v>1.9321093082835139E-2</v>
      </c>
      <c r="T606" s="2" t="s">
        <v>743</v>
      </c>
      <c r="U606" s="2">
        <v>4780.93994140625</v>
      </c>
      <c r="V606" s="11">
        <f t="shared" si="29"/>
        <v>8.805260963896E-3</v>
      </c>
    </row>
    <row r="607" spans="12:22" x14ac:dyDescent="0.2">
      <c r="L607" s="2" t="s">
        <v>742</v>
      </c>
      <c r="M607" s="2">
        <v>101.35</v>
      </c>
      <c r="N607" s="11">
        <f t="shared" si="27"/>
        <v>8.4577114427859534E-3</v>
      </c>
      <c r="P607" s="2" t="s">
        <v>742</v>
      </c>
      <c r="Q607" s="2">
        <v>484.02</v>
      </c>
      <c r="R607" s="11">
        <f t="shared" si="28"/>
        <v>1.3760603204524102E-2</v>
      </c>
      <c r="T607" s="2" t="s">
        <v>742</v>
      </c>
      <c r="U607" s="2">
        <v>4839.81005859375</v>
      </c>
      <c r="V607" s="11">
        <f t="shared" si="29"/>
        <v>1.2313502764936146E-2</v>
      </c>
    </row>
    <row r="608" spans="12:22" x14ac:dyDescent="0.2">
      <c r="L608" s="2" t="s">
        <v>741</v>
      </c>
      <c r="M608" s="2">
        <v>102.09</v>
      </c>
      <c r="N608" s="11">
        <f t="shared" si="27"/>
        <v>7.301430685742627E-3</v>
      </c>
      <c r="P608" s="2" t="s">
        <v>741</v>
      </c>
      <c r="Q608" s="2">
        <v>481.89</v>
      </c>
      <c r="R608" s="11">
        <f t="shared" si="28"/>
        <v>-4.4006446014627221E-3</v>
      </c>
      <c r="T608" s="2" t="s">
        <v>741</v>
      </c>
      <c r="U608" s="2">
        <v>4850.43017578125</v>
      </c>
      <c r="V608" s="11">
        <f t="shared" si="29"/>
        <v>2.1943252026270788E-3</v>
      </c>
    </row>
    <row r="609" spans="12:22" x14ac:dyDescent="0.2">
      <c r="L609" s="2" t="s">
        <v>740</v>
      </c>
      <c r="M609" s="2">
        <v>101.99</v>
      </c>
      <c r="N609" s="11">
        <f t="shared" si="27"/>
        <v>-9.7952786756794197E-4</v>
      </c>
      <c r="P609" s="2" t="s">
        <v>740</v>
      </c>
      <c r="Q609" s="2">
        <v>477</v>
      </c>
      <c r="R609" s="11">
        <f t="shared" si="28"/>
        <v>-1.0147544045321477E-2</v>
      </c>
      <c r="T609" s="2" t="s">
        <v>740</v>
      </c>
      <c r="U609" s="2">
        <v>4864.60009765625</v>
      </c>
      <c r="V609" s="11">
        <f t="shared" si="29"/>
        <v>2.921374261968035E-3</v>
      </c>
    </row>
    <row r="610" spans="12:22" x14ac:dyDescent="0.2">
      <c r="L610" s="2" t="s">
        <v>739</v>
      </c>
      <c r="M610" s="2">
        <v>100.2</v>
      </c>
      <c r="N610" s="11">
        <f t="shared" si="27"/>
        <v>-1.7550740268653664E-2</v>
      </c>
      <c r="P610" s="2" t="s">
        <v>739</v>
      </c>
      <c r="Q610" s="2">
        <v>474.84</v>
      </c>
      <c r="R610" s="11">
        <f t="shared" si="28"/>
        <v>-4.5283018867925406E-3</v>
      </c>
      <c r="T610" s="2" t="s">
        <v>739</v>
      </c>
      <c r="U610" s="2">
        <v>4868.5498046875</v>
      </c>
      <c r="V610" s="11">
        <f t="shared" si="29"/>
        <v>8.1192841178312491E-4</v>
      </c>
    </row>
    <row r="611" spans="12:22" x14ac:dyDescent="0.2">
      <c r="L611" s="2" t="s">
        <v>738</v>
      </c>
      <c r="M611" s="2">
        <v>100.66</v>
      </c>
      <c r="N611" s="11">
        <f t="shared" si="27"/>
        <v>4.5908183632734634E-3</v>
      </c>
      <c r="P611" s="2" t="s">
        <v>738</v>
      </c>
      <c r="Q611" s="2">
        <v>474.3</v>
      </c>
      <c r="R611" s="11">
        <f t="shared" si="28"/>
        <v>-1.1372251705836778E-3</v>
      </c>
      <c r="T611" s="2" t="s">
        <v>738</v>
      </c>
      <c r="U611" s="2">
        <v>4894.16015625</v>
      </c>
      <c r="V611" s="11">
        <f t="shared" si="29"/>
        <v>5.2603655277063677E-3</v>
      </c>
    </row>
    <row r="612" spans="12:22" x14ac:dyDescent="0.2">
      <c r="L612" s="2" t="s">
        <v>737</v>
      </c>
      <c r="M612" s="2">
        <v>102.96</v>
      </c>
      <c r="N612" s="11">
        <f t="shared" si="27"/>
        <v>2.2849195310947756E-2</v>
      </c>
      <c r="P612" s="2" t="s">
        <v>737</v>
      </c>
      <c r="Q612" s="2">
        <v>478.03</v>
      </c>
      <c r="R612" s="11">
        <f t="shared" si="28"/>
        <v>7.8642209571999633E-3</v>
      </c>
      <c r="T612" s="2" t="s">
        <v>737</v>
      </c>
      <c r="U612" s="2">
        <v>4890.97021484375</v>
      </c>
      <c r="V612" s="11">
        <f t="shared" si="29"/>
        <v>-6.5178525107645324E-4</v>
      </c>
    </row>
    <row r="613" spans="12:22" x14ac:dyDescent="0.2">
      <c r="L613" s="2" t="s">
        <v>736</v>
      </c>
      <c r="M613" s="2">
        <v>104.4</v>
      </c>
      <c r="N613" s="11">
        <f t="shared" si="27"/>
        <v>1.3986013986014179E-2</v>
      </c>
      <c r="P613" s="2" t="s">
        <v>736</v>
      </c>
      <c r="Q613" s="2">
        <v>481.99</v>
      </c>
      <c r="R613" s="11">
        <f t="shared" si="28"/>
        <v>8.2839989122023283E-3</v>
      </c>
      <c r="T613" s="2" t="s">
        <v>736</v>
      </c>
      <c r="U613" s="2">
        <v>4927.93017578125</v>
      </c>
      <c r="V613" s="11">
        <f t="shared" si="29"/>
        <v>7.5567748961808956E-3</v>
      </c>
    </row>
    <row r="614" spans="12:22" x14ac:dyDescent="0.2">
      <c r="L614" s="2" t="s">
        <v>735</v>
      </c>
      <c r="M614" s="2">
        <v>103.94</v>
      </c>
      <c r="N614" s="11">
        <f t="shared" si="27"/>
        <v>-4.4061302681993597E-3</v>
      </c>
      <c r="P614" s="2" t="s">
        <v>735</v>
      </c>
      <c r="Q614" s="2">
        <v>481.4</v>
      </c>
      <c r="R614" s="11">
        <f t="shared" si="28"/>
        <v>-1.224091786136694E-3</v>
      </c>
      <c r="T614" s="2" t="s">
        <v>735</v>
      </c>
      <c r="U614" s="2">
        <v>4924.97021484375</v>
      </c>
      <c r="V614" s="11">
        <f t="shared" si="29"/>
        <v>-6.0064993453989857E-4</v>
      </c>
    </row>
    <row r="615" spans="12:22" x14ac:dyDescent="0.2">
      <c r="L615" s="2" t="s">
        <v>734</v>
      </c>
      <c r="M615" s="2">
        <v>101.48</v>
      </c>
      <c r="N615" s="11">
        <f t="shared" si="27"/>
        <v>-2.366750048104671E-2</v>
      </c>
      <c r="P615" s="2" t="s">
        <v>734</v>
      </c>
      <c r="Q615" s="2">
        <v>453.82</v>
      </c>
      <c r="R615" s="11">
        <f t="shared" si="28"/>
        <v>-5.7291233901121674E-2</v>
      </c>
      <c r="T615" s="2" t="s">
        <v>734</v>
      </c>
      <c r="U615" s="2">
        <v>4845.64990234375</v>
      </c>
      <c r="V615" s="11">
        <f t="shared" si="29"/>
        <v>-1.6105744611597972E-2</v>
      </c>
    </row>
    <row r="616" spans="12:22" x14ac:dyDescent="0.2">
      <c r="L616" s="2" t="s">
        <v>733</v>
      </c>
      <c r="M616" s="2">
        <v>100.81</v>
      </c>
      <c r="N616" s="11">
        <f t="shared" si="27"/>
        <v>-6.6022861647615505E-3</v>
      </c>
      <c r="P616" s="2" t="s">
        <v>733</v>
      </c>
      <c r="Q616" s="2">
        <v>461.94</v>
      </c>
      <c r="R616" s="11">
        <f t="shared" si="28"/>
        <v>1.789255652020616E-2</v>
      </c>
      <c r="T616" s="2" t="s">
        <v>733</v>
      </c>
      <c r="U616" s="2">
        <v>4906.18994140625</v>
      </c>
      <c r="V616" s="11">
        <f t="shared" si="29"/>
        <v>1.2493688211609788E-2</v>
      </c>
    </row>
    <row r="617" spans="12:22" x14ac:dyDescent="0.2">
      <c r="L617" s="2" t="s">
        <v>732</v>
      </c>
      <c r="M617" s="2">
        <v>98.18</v>
      </c>
      <c r="N617" s="11">
        <f t="shared" si="27"/>
        <v>-2.6088681678404835E-2</v>
      </c>
      <c r="P617" s="2" t="s">
        <v>732</v>
      </c>
      <c r="Q617" s="2">
        <v>462.4</v>
      </c>
      <c r="R617" s="11">
        <f t="shared" si="28"/>
        <v>9.9580032038781852E-4</v>
      </c>
      <c r="T617" s="2" t="s">
        <v>732</v>
      </c>
      <c r="U617" s="2">
        <v>4958.60986328125</v>
      </c>
      <c r="V617" s="11">
        <f t="shared" si="29"/>
        <v>1.068444607751462E-2</v>
      </c>
    </row>
    <row r="618" spans="12:22" x14ac:dyDescent="0.2">
      <c r="L618" s="2" t="s">
        <v>731</v>
      </c>
      <c r="M618" s="2">
        <v>96.21</v>
      </c>
      <c r="N618" s="11">
        <f t="shared" si="27"/>
        <v>-2.0065186392340784E-2</v>
      </c>
      <c r="P618" s="2" t="s">
        <v>731</v>
      </c>
      <c r="Q618" s="2">
        <v>456.73</v>
      </c>
      <c r="R618" s="11">
        <f t="shared" si="28"/>
        <v>-1.2262110726643516E-2</v>
      </c>
      <c r="T618" s="2" t="s">
        <v>731</v>
      </c>
      <c r="U618" s="2">
        <v>4942.81005859375</v>
      </c>
      <c r="V618" s="11">
        <f t="shared" si="29"/>
        <v>-3.1863375266721894E-3</v>
      </c>
    </row>
    <row r="619" spans="12:22" x14ac:dyDescent="0.2">
      <c r="L619" s="2" t="s">
        <v>730</v>
      </c>
      <c r="M619" s="2">
        <v>99</v>
      </c>
      <c r="N619" s="11">
        <f t="shared" si="27"/>
        <v>2.8999064546304965E-2</v>
      </c>
      <c r="P619" s="2" t="s">
        <v>730</v>
      </c>
      <c r="Q619" s="2">
        <v>456.54</v>
      </c>
      <c r="R619" s="11">
        <f t="shared" si="28"/>
        <v>-4.1600070063274597E-4</v>
      </c>
      <c r="T619" s="2" t="s">
        <v>730</v>
      </c>
      <c r="U619" s="2">
        <v>4954.22998046875</v>
      </c>
      <c r="V619" s="11">
        <f t="shared" si="29"/>
        <v>2.3104108269635937E-3</v>
      </c>
    </row>
    <row r="620" spans="12:22" x14ac:dyDescent="0.2">
      <c r="L620" s="2" t="s">
        <v>729</v>
      </c>
      <c r="M620" s="2">
        <v>99.97</v>
      </c>
      <c r="N620" s="11">
        <f t="shared" si="27"/>
        <v>9.7979797979796945E-3</v>
      </c>
      <c r="P620" s="2" t="s">
        <v>729</v>
      </c>
      <c r="Q620" s="2">
        <v>457.75</v>
      </c>
      <c r="R620" s="11">
        <f t="shared" si="28"/>
        <v>2.6503701756690479E-3</v>
      </c>
      <c r="T620" s="2" t="s">
        <v>729</v>
      </c>
      <c r="U620" s="2">
        <v>4995.06005859375</v>
      </c>
      <c r="V620" s="11">
        <f t="shared" si="29"/>
        <v>8.241457963390042E-3</v>
      </c>
    </row>
    <row r="621" spans="12:22" x14ac:dyDescent="0.2">
      <c r="L621" s="2" t="s">
        <v>728</v>
      </c>
      <c r="M621" s="2">
        <v>104.31</v>
      </c>
      <c r="N621" s="11">
        <f t="shared" si="27"/>
        <v>4.3413023907172166E-2</v>
      </c>
      <c r="P621" s="2" t="s">
        <v>728</v>
      </c>
      <c r="Q621" s="2">
        <v>472.98</v>
      </c>
      <c r="R621" s="11">
        <f t="shared" si="28"/>
        <v>3.3271436373566443E-2</v>
      </c>
      <c r="T621" s="2" t="s">
        <v>728</v>
      </c>
      <c r="U621" s="2">
        <v>4997.91015625</v>
      </c>
      <c r="V621" s="11">
        <f t="shared" si="29"/>
        <v>5.7058326082515265E-4</v>
      </c>
    </row>
    <row r="622" spans="12:22" x14ac:dyDescent="0.2">
      <c r="L622" s="2" t="s">
        <v>727</v>
      </c>
      <c r="M622" s="2">
        <v>107.54</v>
      </c>
      <c r="N622" s="11">
        <f t="shared" si="27"/>
        <v>3.0965391621129434E-2</v>
      </c>
      <c r="P622" s="2" t="s">
        <v>727</v>
      </c>
      <c r="Q622" s="2">
        <v>470.24</v>
      </c>
      <c r="R622" s="11">
        <f t="shared" si="28"/>
        <v>-5.7930567888705431E-3</v>
      </c>
      <c r="T622" s="2" t="s">
        <v>727</v>
      </c>
      <c r="U622" s="2">
        <v>5026.60986328125</v>
      </c>
      <c r="V622" s="11">
        <f t="shared" si="29"/>
        <v>5.7423415255595245E-3</v>
      </c>
    </row>
    <row r="623" spans="12:22" x14ac:dyDescent="0.2">
      <c r="L623" s="2" t="s">
        <v>726</v>
      </c>
      <c r="M623" s="2">
        <v>110.08</v>
      </c>
      <c r="N623" s="11">
        <f t="shared" si="27"/>
        <v>2.361911846754694E-2</v>
      </c>
      <c r="P623" s="2" t="s">
        <v>726</v>
      </c>
      <c r="Q623" s="2">
        <v>466.08</v>
      </c>
      <c r="R623" s="11">
        <f t="shared" si="28"/>
        <v>-8.8465464443688857E-3</v>
      </c>
      <c r="T623" s="2" t="s">
        <v>726</v>
      </c>
      <c r="U623" s="2">
        <v>5021.83984375</v>
      </c>
      <c r="V623" s="11">
        <f t="shared" si="29"/>
        <v>-9.489536011326738E-4</v>
      </c>
    </row>
    <row r="624" spans="12:22" x14ac:dyDescent="0.2">
      <c r="L624" s="2" t="s">
        <v>725</v>
      </c>
      <c r="M624" s="2">
        <v>106.94</v>
      </c>
      <c r="N624" s="11">
        <f t="shared" si="27"/>
        <v>-2.8524709302325535E-2</v>
      </c>
      <c r="P624" s="2" t="s">
        <v>725</v>
      </c>
      <c r="Q624" s="2">
        <v>456.23</v>
      </c>
      <c r="R624" s="11">
        <f t="shared" si="28"/>
        <v>-2.1133710950909657E-2</v>
      </c>
      <c r="T624" s="2" t="s">
        <v>725</v>
      </c>
      <c r="U624" s="2">
        <v>4953.169921875</v>
      </c>
      <c r="V624" s="11">
        <f t="shared" si="29"/>
        <v>-1.3674255653625456E-2</v>
      </c>
    </row>
    <row r="625" spans="12:22" x14ac:dyDescent="0.2">
      <c r="L625" s="2" t="s">
        <v>724</v>
      </c>
      <c r="M625" s="2">
        <v>108.37</v>
      </c>
      <c r="N625" s="11">
        <f t="shared" si="27"/>
        <v>1.3371984290256211E-2</v>
      </c>
      <c r="P625" s="2" t="s">
        <v>724</v>
      </c>
      <c r="Q625" s="2">
        <v>460.71</v>
      </c>
      <c r="R625" s="11">
        <f t="shared" si="28"/>
        <v>9.8196085307848957E-3</v>
      </c>
      <c r="T625" s="2" t="s">
        <v>724</v>
      </c>
      <c r="U625" s="2">
        <v>5000.6201171875</v>
      </c>
      <c r="V625" s="11">
        <f t="shared" si="29"/>
        <v>9.5797632750176387E-3</v>
      </c>
    </row>
    <row r="626" spans="12:22" x14ac:dyDescent="0.2">
      <c r="L626" s="2" t="s">
        <v>723</v>
      </c>
      <c r="M626" s="2">
        <v>121.63</v>
      </c>
      <c r="N626" s="11">
        <f t="shared" si="27"/>
        <v>0.12235858632462859</v>
      </c>
      <c r="P626" s="2" t="s">
        <v>723</v>
      </c>
      <c r="Q626" s="2">
        <v>458.98</v>
      </c>
      <c r="R626" s="11">
        <f t="shared" si="28"/>
        <v>-3.7550736906079019E-3</v>
      </c>
      <c r="T626" s="2" t="s">
        <v>723</v>
      </c>
      <c r="U626" s="2">
        <v>5029.72998046875</v>
      </c>
      <c r="V626" s="11">
        <f t="shared" si="29"/>
        <v>5.8212506847294954E-3</v>
      </c>
    </row>
    <row r="627" spans="12:22" x14ac:dyDescent="0.2">
      <c r="L627" s="2" t="s">
        <v>722</v>
      </c>
      <c r="M627" s="2">
        <v>118.98</v>
      </c>
      <c r="N627" s="11">
        <f t="shared" si="27"/>
        <v>-2.1787387979939066E-2</v>
      </c>
      <c r="P627" s="2" t="s">
        <v>722</v>
      </c>
      <c r="Q627" s="2">
        <v>449.6</v>
      </c>
      <c r="R627" s="11">
        <f t="shared" si="28"/>
        <v>-2.0436620332040634E-2</v>
      </c>
      <c r="T627" s="2" t="s">
        <v>722</v>
      </c>
      <c r="U627" s="2">
        <v>5005.56982421875</v>
      </c>
      <c r="V627" s="11">
        <f t="shared" si="29"/>
        <v>-4.8034698371121065E-3</v>
      </c>
    </row>
    <row r="628" spans="12:22" x14ac:dyDescent="0.2">
      <c r="L628" s="2" t="s">
        <v>721</v>
      </c>
      <c r="M628" s="2">
        <v>115.59</v>
      </c>
      <c r="N628" s="11">
        <f t="shared" si="27"/>
        <v>-2.8492183560262285E-2</v>
      </c>
      <c r="P628" s="2" t="s">
        <v>721</v>
      </c>
      <c r="Q628" s="2">
        <v>444.6</v>
      </c>
      <c r="R628" s="11">
        <f t="shared" si="28"/>
        <v>-1.1120996441281172E-2</v>
      </c>
      <c r="T628" s="2" t="s">
        <v>721</v>
      </c>
      <c r="U628" s="2">
        <v>4975.509765625</v>
      </c>
      <c r="V628" s="11">
        <f t="shared" si="29"/>
        <v>-6.0053220011653252E-3</v>
      </c>
    </row>
    <row r="629" spans="12:22" x14ac:dyDescent="0.2">
      <c r="L629" s="2" t="s">
        <v>720</v>
      </c>
      <c r="M629" s="2">
        <v>115.72</v>
      </c>
      <c r="N629" s="11">
        <f t="shared" si="27"/>
        <v>1.1246647633877949E-3</v>
      </c>
      <c r="P629" s="2" t="s">
        <v>720</v>
      </c>
      <c r="Q629" s="2">
        <v>443.46</v>
      </c>
      <c r="R629" s="11">
        <f t="shared" si="28"/>
        <v>-2.564102564102666E-3</v>
      </c>
      <c r="T629" s="2" t="s">
        <v>720</v>
      </c>
      <c r="U629" s="2">
        <v>4981.7998046875</v>
      </c>
      <c r="V629" s="11">
        <f t="shared" si="29"/>
        <v>1.264199922982101E-3</v>
      </c>
    </row>
    <row r="630" spans="12:22" x14ac:dyDescent="0.2">
      <c r="L630" s="2" t="s">
        <v>719</v>
      </c>
      <c r="M630" s="2">
        <v>117.29</v>
      </c>
      <c r="N630" s="11">
        <f t="shared" si="27"/>
        <v>1.3567231247839651E-2</v>
      </c>
      <c r="P630" s="2" t="s">
        <v>719</v>
      </c>
      <c r="Q630" s="2">
        <v>455.26</v>
      </c>
      <c r="R630" s="11">
        <f t="shared" si="28"/>
        <v>2.6608938799440818E-2</v>
      </c>
      <c r="T630" s="2" t="s">
        <v>719</v>
      </c>
      <c r="U630" s="2">
        <v>5087.02978515625</v>
      </c>
      <c r="V630" s="11">
        <f t="shared" si="29"/>
        <v>2.112288421741404E-2</v>
      </c>
    </row>
    <row r="631" spans="12:22" x14ac:dyDescent="0.2">
      <c r="L631" s="2" t="s">
        <v>718</v>
      </c>
      <c r="M631" s="2">
        <v>118.31</v>
      </c>
      <c r="N631" s="11">
        <f t="shared" si="27"/>
        <v>8.6963935544377424E-3</v>
      </c>
      <c r="P631" s="2" t="s">
        <v>718</v>
      </c>
      <c r="Q631" s="2">
        <v>457.89</v>
      </c>
      <c r="R631" s="11">
        <f t="shared" si="28"/>
        <v>5.7769186838290132E-3</v>
      </c>
      <c r="T631" s="2" t="s">
        <v>718</v>
      </c>
      <c r="U631" s="2">
        <v>5088.7998046875</v>
      </c>
      <c r="V631" s="11">
        <f t="shared" si="29"/>
        <v>3.4794754621159107E-4</v>
      </c>
    </row>
    <row r="632" spans="12:22" x14ac:dyDescent="0.2">
      <c r="L632" s="2" t="s">
        <v>717</v>
      </c>
      <c r="M632" s="2">
        <v>119.88</v>
      </c>
      <c r="N632" s="11">
        <f t="shared" si="27"/>
        <v>1.3270222297354417E-2</v>
      </c>
      <c r="P632" s="2" t="s">
        <v>717</v>
      </c>
      <c r="Q632" s="2">
        <v>468.25</v>
      </c>
      <c r="R632" s="11">
        <f t="shared" si="28"/>
        <v>2.2625521413439875E-2</v>
      </c>
      <c r="T632" s="2" t="s">
        <v>717</v>
      </c>
      <c r="U632" s="2">
        <v>5069.52978515625</v>
      </c>
      <c r="V632" s="11">
        <f t="shared" si="29"/>
        <v>-3.7867513501905758E-3</v>
      </c>
    </row>
    <row r="633" spans="12:22" x14ac:dyDescent="0.2">
      <c r="L633" s="2" t="s">
        <v>716</v>
      </c>
      <c r="M633" s="2">
        <v>121.09</v>
      </c>
      <c r="N633" s="11">
        <f t="shared" si="27"/>
        <v>1.0093426760093394E-2</v>
      </c>
      <c r="P633" s="2" t="s">
        <v>716</v>
      </c>
      <c r="Q633" s="2">
        <v>467.84</v>
      </c>
      <c r="R633" s="11">
        <f t="shared" si="28"/>
        <v>-8.7560064068348264E-4</v>
      </c>
      <c r="T633" s="2" t="s">
        <v>716</v>
      </c>
      <c r="U633" s="2">
        <v>5078.18017578125</v>
      </c>
      <c r="V633" s="11">
        <f t="shared" si="29"/>
        <v>1.7063496993998672E-3</v>
      </c>
    </row>
    <row r="634" spans="12:22" x14ac:dyDescent="0.2">
      <c r="L634" s="2" t="s">
        <v>715</v>
      </c>
      <c r="M634" s="2">
        <v>123.26</v>
      </c>
      <c r="N634" s="11">
        <f t="shared" si="27"/>
        <v>1.792055495912126E-2</v>
      </c>
      <c r="P634" s="2" t="s">
        <v>715</v>
      </c>
      <c r="Q634" s="2">
        <v>464.14</v>
      </c>
      <c r="R634" s="11">
        <f t="shared" si="28"/>
        <v>-7.9086867305061537E-3</v>
      </c>
      <c r="T634" s="2" t="s">
        <v>715</v>
      </c>
      <c r="U634" s="2">
        <v>5069.759765625</v>
      </c>
      <c r="V634" s="11">
        <f t="shared" si="29"/>
        <v>-1.6581550604305439E-3</v>
      </c>
    </row>
    <row r="635" spans="12:22" x14ac:dyDescent="0.2">
      <c r="L635" s="2" t="s">
        <v>714</v>
      </c>
      <c r="M635" s="2">
        <v>122.25</v>
      </c>
      <c r="N635" s="11">
        <f t="shared" si="27"/>
        <v>-8.1940613337661006E-3</v>
      </c>
      <c r="P635" s="2" t="s">
        <v>714</v>
      </c>
      <c r="Q635" s="2">
        <v>467.09</v>
      </c>
      <c r="R635" s="11">
        <f t="shared" si="28"/>
        <v>6.3558409100701319E-3</v>
      </c>
      <c r="T635" s="2" t="s">
        <v>714</v>
      </c>
      <c r="U635" s="2">
        <v>5096.27001953125</v>
      </c>
      <c r="V635" s="11">
        <f t="shared" si="29"/>
        <v>5.2290946971491614E-3</v>
      </c>
    </row>
    <row r="636" spans="12:22" x14ac:dyDescent="0.2">
      <c r="L636" s="2" t="s">
        <v>713</v>
      </c>
      <c r="M636" s="2">
        <v>124.81</v>
      </c>
      <c r="N636" s="11">
        <f t="shared" si="27"/>
        <v>2.0940695296523426E-2</v>
      </c>
      <c r="P636" s="2" t="s">
        <v>713</v>
      </c>
      <c r="Q636" s="2">
        <v>458.5</v>
      </c>
      <c r="R636" s="11">
        <f t="shared" si="28"/>
        <v>-1.8390460082639226E-2</v>
      </c>
      <c r="T636" s="2" t="s">
        <v>713</v>
      </c>
      <c r="U636" s="2">
        <v>5137.080078125</v>
      </c>
      <c r="V636" s="11">
        <f t="shared" si="29"/>
        <v>8.0078289488876297E-3</v>
      </c>
    </row>
    <row r="637" spans="12:22" x14ac:dyDescent="0.2">
      <c r="L637" s="2" t="s">
        <v>712</v>
      </c>
      <c r="M637" s="2">
        <v>124.59</v>
      </c>
      <c r="N637" s="11">
        <f t="shared" si="27"/>
        <v>-1.7626792724941831E-3</v>
      </c>
      <c r="P637" s="2" t="s">
        <v>712</v>
      </c>
      <c r="Q637" s="2">
        <v>450.79</v>
      </c>
      <c r="R637" s="11">
        <f t="shared" si="28"/>
        <v>-1.6815703380588798E-2</v>
      </c>
      <c r="T637" s="2" t="s">
        <v>712</v>
      </c>
      <c r="U637" s="2">
        <v>5130.9501953125</v>
      </c>
      <c r="V637" s="11">
        <f t="shared" si="29"/>
        <v>-1.1932620709189656E-3</v>
      </c>
    </row>
    <row r="638" spans="12:22" x14ac:dyDescent="0.2">
      <c r="L638" s="2" t="s">
        <v>711</v>
      </c>
      <c r="M638" s="2">
        <v>122.02</v>
      </c>
      <c r="N638" s="11">
        <f t="shared" si="27"/>
        <v>-2.0627658720603681E-2</v>
      </c>
      <c r="P638" s="2" t="s">
        <v>711</v>
      </c>
      <c r="Q638" s="2">
        <v>446.06</v>
      </c>
      <c r="R638" s="11">
        <f t="shared" si="28"/>
        <v>-1.0492690609818389E-2</v>
      </c>
      <c r="T638" s="2" t="s">
        <v>711</v>
      </c>
      <c r="U638" s="2">
        <v>5078.64990234375</v>
      </c>
      <c r="V638" s="11">
        <f t="shared" si="29"/>
        <v>-1.0193100883444606E-2</v>
      </c>
    </row>
    <row r="639" spans="12:22" x14ac:dyDescent="0.2">
      <c r="L639" s="2" t="s">
        <v>710</v>
      </c>
      <c r="M639" s="2">
        <v>120.39</v>
      </c>
      <c r="N639" s="11">
        <f t="shared" si="27"/>
        <v>-1.3358465825274557E-2</v>
      </c>
      <c r="P639" s="2" t="s">
        <v>710</v>
      </c>
      <c r="Q639" s="2">
        <v>448.54</v>
      </c>
      <c r="R639" s="11">
        <f t="shared" si="28"/>
        <v>5.5597901627584267E-3</v>
      </c>
      <c r="T639" s="2" t="s">
        <v>710</v>
      </c>
      <c r="U639" s="2">
        <v>5104.759765625</v>
      </c>
      <c r="V639" s="11">
        <f t="shared" si="29"/>
        <v>5.1411032032746551E-3</v>
      </c>
    </row>
    <row r="640" spans="12:22" x14ac:dyDescent="0.2">
      <c r="L640" s="2" t="s">
        <v>709</v>
      </c>
      <c r="M640" s="2">
        <v>124</v>
      </c>
      <c r="N640" s="11">
        <f t="shared" si="27"/>
        <v>2.9985879225849388E-2</v>
      </c>
      <c r="P640" s="2" t="s">
        <v>709</v>
      </c>
      <c r="Q640" s="2">
        <v>457.28</v>
      </c>
      <c r="R640" s="11">
        <f t="shared" si="28"/>
        <v>1.9485441655147762E-2</v>
      </c>
      <c r="T640" s="2" t="s">
        <v>709</v>
      </c>
      <c r="U640" s="2">
        <v>5157.35986328125</v>
      </c>
      <c r="V640" s="11">
        <f t="shared" si="29"/>
        <v>1.0304127925951478E-2</v>
      </c>
    </row>
    <row r="641" spans="12:22" x14ac:dyDescent="0.2">
      <c r="L641" s="2" t="s">
        <v>708</v>
      </c>
      <c r="M641" s="2">
        <v>125.04</v>
      </c>
      <c r="N641" s="11">
        <f t="shared" si="27"/>
        <v>8.3870967741936919E-3</v>
      </c>
      <c r="P641" s="2" t="s">
        <v>708</v>
      </c>
      <c r="Q641" s="2">
        <v>460.39</v>
      </c>
      <c r="R641" s="11">
        <f t="shared" si="28"/>
        <v>6.8010846745976128E-3</v>
      </c>
      <c r="T641" s="2" t="s">
        <v>708</v>
      </c>
      <c r="U641" s="2">
        <v>5123.68994140625</v>
      </c>
      <c r="V641" s="11">
        <f t="shared" si="29"/>
        <v>-6.5285190034379825E-3</v>
      </c>
    </row>
    <row r="642" spans="12:22" x14ac:dyDescent="0.2">
      <c r="L642" s="2" t="s">
        <v>707</v>
      </c>
      <c r="M642" s="2">
        <v>126.7</v>
      </c>
      <c r="N642" s="11">
        <f t="shared" si="27"/>
        <v>1.3275751759436849E-2</v>
      </c>
      <c r="P642" s="2" t="s">
        <v>707</v>
      </c>
      <c r="Q642" s="2">
        <v>457.76</v>
      </c>
      <c r="R642" s="11">
        <f t="shared" si="28"/>
        <v>-5.7125480570819898E-3</v>
      </c>
      <c r="T642" s="2" t="s">
        <v>707</v>
      </c>
      <c r="U642" s="2">
        <v>5117.93994140625</v>
      </c>
      <c r="V642" s="11">
        <f t="shared" si="29"/>
        <v>-1.122238087346461E-3</v>
      </c>
    </row>
    <row r="643" spans="12:22" x14ac:dyDescent="0.2">
      <c r="L643" s="2" t="s">
        <v>706</v>
      </c>
      <c r="M643" s="2">
        <v>125.59</v>
      </c>
      <c r="N643" s="11">
        <f t="shared" si="27"/>
        <v>-8.7608524072612104E-3</v>
      </c>
      <c r="P643" s="2" t="s">
        <v>706</v>
      </c>
      <c r="Q643" s="2">
        <v>465.28</v>
      </c>
      <c r="R643" s="11">
        <f t="shared" si="28"/>
        <v>1.6427822439706308E-2</v>
      </c>
      <c r="T643" s="2" t="s">
        <v>706</v>
      </c>
      <c r="U643" s="2">
        <v>5175.27001953125</v>
      </c>
      <c r="V643" s="11">
        <f t="shared" si="29"/>
        <v>1.1201787981366396E-2</v>
      </c>
    </row>
    <row r="644" spans="12:22" x14ac:dyDescent="0.2">
      <c r="L644" s="2" t="s">
        <v>705</v>
      </c>
      <c r="M644" s="2">
        <v>129.32</v>
      </c>
      <c r="N644" s="11">
        <f t="shared" si="27"/>
        <v>2.9699816864400042E-2</v>
      </c>
      <c r="P644" s="2" t="s">
        <v>705</v>
      </c>
      <c r="Q644" s="2">
        <v>465.55</v>
      </c>
      <c r="R644" s="11">
        <f t="shared" si="28"/>
        <v>5.8029573590112626E-4</v>
      </c>
      <c r="T644" s="2" t="s">
        <v>705</v>
      </c>
      <c r="U644" s="2">
        <v>5165.31005859375</v>
      </c>
      <c r="V644" s="11">
        <f t="shared" si="29"/>
        <v>-1.9245297153407392E-3</v>
      </c>
    </row>
    <row r="645" spans="12:22" x14ac:dyDescent="0.2">
      <c r="L645" s="2" t="s">
        <v>704</v>
      </c>
      <c r="M645" s="2">
        <v>125.99</v>
      </c>
      <c r="N645" s="11">
        <f t="shared" si="27"/>
        <v>-2.5750077327559517E-2</v>
      </c>
      <c r="P645" s="2" t="s">
        <v>704</v>
      </c>
      <c r="Q645" s="2">
        <v>470.01</v>
      </c>
      <c r="R645" s="11">
        <f t="shared" si="28"/>
        <v>9.580066587906666E-3</v>
      </c>
      <c r="T645" s="2" t="s">
        <v>704</v>
      </c>
      <c r="U645" s="2">
        <v>5150.47998046875</v>
      </c>
      <c r="V645" s="11">
        <f t="shared" si="29"/>
        <v>-2.8710915621273925E-3</v>
      </c>
    </row>
    <row r="646" spans="12:22" x14ac:dyDescent="0.2">
      <c r="L646" s="2" t="s">
        <v>703</v>
      </c>
      <c r="M646" s="2">
        <v>128.16999999999999</v>
      </c>
      <c r="N646" s="11">
        <f t="shared" ref="N646:N709" si="30">+M646/M645-1</f>
        <v>1.730296055242464E-2</v>
      </c>
      <c r="P646" s="2" t="s">
        <v>703</v>
      </c>
      <c r="Q646" s="2">
        <v>464.94</v>
      </c>
      <c r="R646" s="11">
        <f t="shared" ref="R646:R709" si="31">+Q646/Q645-1</f>
        <v>-1.0787004531818467E-2</v>
      </c>
      <c r="T646" s="2" t="s">
        <v>703</v>
      </c>
      <c r="U646" s="2">
        <v>5117.08984375</v>
      </c>
      <c r="V646" s="11">
        <f t="shared" ref="V646:V709" si="32">+U646/U645-1</f>
        <v>-6.4829174844615034E-3</v>
      </c>
    </row>
    <row r="647" spans="12:22" x14ac:dyDescent="0.2">
      <c r="L647" s="2" t="s">
        <v>702</v>
      </c>
      <c r="M647" s="2">
        <v>129.96</v>
      </c>
      <c r="N647" s="11">
        <f t="shared" si="30"/>
        <v>1.3965826636498591E-2</v>
      </c>
      <c r="P647" s="2" t="s">
        <v>702</v>
      </c>
      <c r="Q647" s="2">
        <v>459.57</v>
      </c>
      <c r="R647" s="11">
        <f t="shared" si="31"/>
        <v>-1.1549877403535969E-2</v>
      </c>
      <c r="T647" s="2" t="s">
        <v>702</v>
      </c>
      <c r="U647" s="2">
        <v>5149.419921875</v>
      </c>
      <c r="V647" s="11">
        <f t="shared" si="32"/>
        <v>6.3180595049523447E-3</v>
      </c>
    </row>
    <row r="648" spans="12:22" x14ac:dyDescent="0.2">
      <c r="L648" s="2" t="s">
        <v>701</v>
      </c>
      <c r="M648" s="2">
        <v>131.71</v>
      </c>
      <c r="N648" s="11">
        <f t="shared" si="30"/>
        <v>1.3465681748230152E-2</v>
      </c>
      <c r="P648" s="2" t="s">
        <v>701</v>
      </c>
      <c r="Q648" s="2">
        <v>467.27</v>
      </c>
      <c r="R648" s="11">
        <f t="shared" si="31"/>
        <v>1.6754792523445916E-2</v>
      </c>
      <c r="T648" s="2" t="s">
        <v>701</v>
      </c>
      <c r="U648" s="2">
        <v>5178.509765625</v>
      </c>
      <c r="V648" s="11">
        <f t="shared" si="32"/>
        <v>5.6491496501236416E-3</v>
      </c>
    </row>
    <row r="649" spans="12:22" x14ac:dyDescent="0.2">
      <c r="L649" s="2" t="s">
        <v>700</v>
      </c>
      <c r="M649" s="2">
        <v>139.99</v>
      </c>
      <c r="N649" s="11">
        <f t="shared" si="30"/>
        <v>6.2865386075468876E-2</v>
      </c>
      <c r="P649" s="2" t="s">
        <v>700</v>
      </c>
      <c r="Q649" s="2">
        <v>469.05</v>
      </c>
      <c r="R649" s="11">
        <f t="shared" si="31"/>
        <v>3.8093607550240272E-3</v>
      </c>
      <c r="T649" s="2" t="s">
        <v>700</v>
      </c>
      <c r="U649" s="2">
        <v>5224.6201171875</v>
      </c>
      <c r="V649" s="11">
        <f t="shared" si="32"/>
        <v>8.9041739128465913E-3</v>
      </c>
    </row>
    <row r="650" spans="12:22" x14ac:dyDescent="0.2">
      <c r="L650" s="2" t="s">
        <v>699</v>
      </c>
      <c r="M650" s="2">
        <v>141</v>
      </c>
      <c r="N650" s="11">
        <f t="shared" si="30"/>
        <v>7.2148010572183896E-3</v>
      </c>
      <c r="P650" s="2" t="s">
        <v>699</v>
      </c>
      <c r="Q650" s="2">
        <v>478.84</v>
      </c>
      <c r="R650" s="11">
        <f t="shared" si="31"/>
        <v>2.0871975269161069E-2</v>
      </c>
      <c r="T650" s="2" t="s">
        <v>699</v>
      </c>
      <c r="U650" s="2">
        <v>5241.52978515625</v>
      </c>
      <c r="V650" s="11">
        <f t="shared" si="32"/>
        <v>3.2365354015160275E-3</v>
      </c>
    </row>
    <row r="651" spans="12:22" x14ac:dyDescent="0.2">
      <c r="L651" s="2" t="s">
        <v>698</v>
      </c>
      <c r="M651" s="2">
        <v>141.62</v>
      </c>
      <c r="N651" s="11">
        <f t="shared" si="30"/>
        <v>4.3971631205674822E-3</v>
      </c>
      <c r="P651" s="2" t="s">
        <v>698</v>
      </c>
      <c r="Q651" s="2">
        <v>403.19</v>
      </c>
      <c r="R651" s="11">
        <f t="shared" si="31"/>
        <v>-0.15798596608470461</v>
      </c>
      <c r="T651" s="2" t="s">
        <v>698</v>
      </c>
      <c r="U651" s="2">
        <v>5234.18017578125</v>
      </c>
      <c r="V651" s="11">
        <f t="shared" si="32"/>
        <v>-1.4021878490156903E-3</v>
      </c>
    </row>
    <row r="652" spans="12:22" x14ac:dyDescent="0.2">
      <c r="L652" s="2" t="s">
        <v>697</v>
      </c>
      <c r="M652" s="2">
        <v>141.25</v>
      </c>
      <c r="N652" s="11">
        <f t="shared" si="30"/>
        <v>-2.612625335404628E-3</v>
      </c>
      <c r="P652" s="2" t="s">
        <v>697</v>
      </c>
      <c r="Q652" s="2">
        <v>388.9</v>
      </c>
      <c r="R652" s="11">
        <f t="shared" si="31"/>
        <v>-3.5442347280438602E-2</v>
      </c>
      <c r="T652" s="2" t="s">
        <v>697</v>
      </c>
      <c r="U652" s="2">
        <v>5218.18994140625</v>
      </c>
      <c r="V652" s="11">
        <f t="shared" si="32"/>
        <v>-3.0549644525015296E-3</v>
      </c>
    </row>
    <row r="653" spans="12:22" x14ac:dyDescent="0.2">
      <c r="L653" s="2" t="s">
        <v>696</v>
      </c>
      <c r="M653" s="2">
        <v>140.05000000000001</v>
      </c>
      <c r="N653" s="11">
        <f t="shared" si="30"/>
        <v>-8.4955752212388935E-3</v>
      </c>
      <c r="P653" s="2" t="s">
        <v>696</v>
      </c>
      <c r="Q653" s="2">
        <v>386.14</v>
      </c>
      <c r="R653" s="11">
        <f t="shared" si="31"/>
        <v>-7.0969400874260069E-3</v>
      </c>
      <c r="T653" s="2" t="s">
        <v>696</v>
      </c>
      <c r="U653" s="2">
        <v>5203.580078125</v>
      </c>
      <c r="V653" s="11">
        <f t="shared" si="32"/>
        <v>-2.799795225030266E-3</v>
      </c>
    </row>
    <row r="654" spans="12:22" x14ac:dyDescent="0.2">
      <c r="L654" s="2" t="s">
        <v>695</v>
      </c>
      <c r="M654" s="2">
        <v>143.02000000000001</v>
      </c>
      <c r="N654" s="11">
        <f t="shared" si="30"/>
        <v>2.1206711888611229E-2</v>
      </c>
      <c r="P654" s="2" t="s">
        <v>695</v>
      </c>
      <c r="Q654" s="2">
        <v>389.46</v>
      </c>
      <c r="R654" s="11">
        <f t="shared" si="31"/>
        <v>8.5979178536281786E-3</v>
      </c>
      <c r="T654" s="2" t="s">
        <v>695</v>
      </c>
      <c r="U654" s="2">
        <v>5248.490234375</v>
      </c>
      <c r="V654" s="11">
        <f t="shared" si="32"/>
        <v>8.6306265255329251E-3</v>
      </c>
    </row>
    <row r="655" spans="12:22" x14ac:dyDescent="0.2">
      <c r="L655" s="2" t="s">
        <v>694</v>
      </c>
      <c r="M655" s="2">
        <v>143.80000000000001</v>
      </c>
      <c r="N655" s="11">
        <f t="shared" si="30"/>
        <v>5.4537826877358864E-3</v>
      </c>
      <c r="P655" s="2" t="s">
        <v>694</v>
      </c>
      <c r="Q655" s="2">
        <v>390.65</v>
      </c>
      <c r="R655" s="11">
        <f t="shared" si="31"/>
        <v>3.0555127612592603E-3</v>
      </c>
      <c r="T655" s="2" t="s">
        <v>694</v>
      </c>
      <c r="U655" s="2">
        <v>5254.35009765625</v>
      </c>
      <c r="V655" s="11">
        <f t="shared" si="32"/>
        <v>1.1164855071790214E-3</v>
      </c>
    </row>
    <row r="656" spans="12:22" x14ac:dyDescent="0.2">
      <c r="L656" s="2" t="s">
        <v>693</v>
      </c>
      <c r="M656" s="2">
        <v>145.75</v>
      </c>
      <c r="N656" s="11">
        <f t="shared" si="30"/>
        <v>1.356050069541026E-2</v>
      </c>
      <c r="P656" s="2" t="s">
        <v>693</v>
      </c>
      <c r="Q656" s="2">
        <v>385.2</v>
      </c>
      <c r="R656" s="11">
        <f t="shared" si="31"/>
        <v>-1.3951107129143714E-2</v>
      </c>
      <c r="T656" s="2" t="s">
        <v>693</v>
      </c>
      <c r="U656" s="2">
        <v>5243.77001953125</v>
      </c>
      <c r="V656" s="11">
        <f t="shared" si="32"/>
        <v>-2.0135845401164643E-3</v>
      </c>
    </row>
    <row r="657" spans="12:22" x14ac:dyDescent="0.2">
      <c r="L657" s="2" t="s">
        <v>692</v>
      </c>
      <c r="M657" s="2">
        <v>141.66</v>
      </c>
      <c r="N657" s="11">
        <f t="shared" si="30"/>
        <v>-2.806174957118357E-2</v>
      </c>
      <c r="P657" s="2" t="s">
        <v>692</v>
      </c>
      <c r="Q657" s="2">
        <v>378.06</v>
      </c>
      <c r="R657" s="11">
        <f t="shared" si="31"/>
        <v>-1.8535825545171303E-2</v>
      </c>
      <c r="T657" s="2" t="s">
        <v>692</v>
      </c>
      <c r="U657" s="2">
        <v>5205.81005859375</v>
      </c>
      <c r="V657" s="11">
        <f t="shared" si="32"/>
        <v>-7.2390590731691296E-3</v>
      </c>
    </row>
    <row r="658" spans="12:22" x14ac:dyDescent="0.2">
      <c r="L658" s="2" t="s">
        <v>691</v>
      </c>
      <c r="M658" s="2">
        <v>138.76</v>
      </c>
      <c r="N658" s="11">
        <f t="shared" si="30"/>
        <v>-2.0471551602428417E-2</v>
      </c>
      <c r="P658" s="2" t="s">
        <v>691</v>
      </c>
      <c r="Q658" s="2">
        <v>374.01</v>
      </c>
      <c r="R658" s="11">
        <f t="shared" si="31"/>
        <v>-1.0712585303920052E-2</v>
      </c>
      <c r="T658" s="2" t="s">
        <v>691</v>
      </c>
      <c r="U658" s="2">
        <v>5211.490234375</v>
      </c>
      <c r="V658" s="11">
        <f t="shared" si="32"/>
        <v>1.091122364688113E-3</v>
      </c>
    </row>
    <row r="659" spans="12:22" x14ac:dyDescent="0.2">
      <c r="L659" s="2" t="s">
        <v>690</v>
      </c>
      <c r="M659" s="2">
        <v>134.38</v>
      </c>
      <c r="N659" s="11">
        <f t="shared" si="30"/>
        <v>-3.1565292591524852E-2</v>
      </c>
      <c r="P659" s="2" t="s">
        <v>690</v>
      </c>
      <c r="Q659" s="2">
        <v>357.56</v>
      </c>
      <c r="R659" s="11">
        <f t="shared" si="31"/>
        <v>-4.3982781209058519E-2</v>
      </c>
      <c r="T659" s="2" t="s">
        <v>690</v>
      </c>
      <c r="U659" s="2">
        <v>5147.2099609375</v>
      </c>
      <c r="V659" s="11">
        <f t="shared" si="32"/>
        <v>-1.2334336350379616E-2</v>
      </c>
    </row>
    <row r="660" spans="12:22" x14ac:dyDescent="0.2">
      <c r="L660" s="2" t="s">
        <v>689</v>
      </c>
      <c r="M660" s="2">
        <v>134.09</v>
      </c>
      <c r="N660" s="11">
        <f t="shared" si="30"/>
        <v>-2.1580592350051164E-3</v>
      </c>
      <c r="P660" s="2" t="s">
        <v>689</v>
      </c>
      <c r="Q660" s="2">
        <v>356.87</v>
      </c>
      <c r="R660" s="11">
        <f t="shared" si="31"/>
        <v>-1.9297460566058966E-3</v>
      </c>
      <c r="T660" s="2" t="s">
        <v>689</v>
      </c>
      <c r="U660" s="2">
        <v>5204.33984375</v>
      </c>
      <c r="V660" s="11">
        <f t="shared" si="32"/>
        <v>1.1099194174331695E-2</v>
      </c>
    </row>
    <row r="661" spans="12:22" x14ac:dyDescent="0.2">
      <c r="L661" s="2" t="s">
        <v>688</v>
      </c>
      <c r="M661" s="2">
        <v>132.72999999999999</v>
      </c>
      <c r="N661" s="11">
        <f t="shared" si="30"/>
        <v>-1.0142441643672284E-2</v>
      </c>
      <c r="P661" s="2" t="s">
        <v>688</v>
      </c>
      <c r="Q661" s="2">
        <v>360.46</v>
      </c>
      <c r="R661" s="11">
        <f t="shared" si="31"/>
        <v>1.0059685599798085E-2</v>
      </c>
      <c r="T661" s="2" t="s">
        <v>688</v>
      </c>
      <c r="U661" s="2">
        <v>5202.39013671875</v>
      </c>
      <c r="V661" s="11">
        <f t="shared" si="32"/>
        <v>-3.7463099831791524E-4</v>
      </c>
    </row>
    <row r="662" spans="12:22" x14ac:dyDescent="0.2">
      <c r="L662" s="2" t="s">
        <v>687</v>
      </c>
      <c r="M662" s="2">
        <v>128.22</v>
      </c>
      <c r="N662" s="11">
        <f t="shared" si="30"/>
        <v>-3.3978753861221955E-2</v>
      </c>
      <c r="P662" s="2" t="s">
        <v>687</v>
      </c>
      <c r="Q662" s="2">
        <v>358.8</v>
      </c>
      <c r="R662" s="11">
        <f t="shared" si="31"/>
        <v>-4.6052266548298748E-3</v>
      </c>
      <c r="T662" s="2" t="s">
        <v>687</v>
      </c>
      <c r="U662" s="2">
        <v>5209.91015625</v>
      </c>
      <c r="V662" s="11">
        <f t="shared" si="32"/>
        <v>1.4454931932483817E-3</v>
      </c>
    </row>
    <row r="663" spans="12:22" x14ac:dyDescent="0.2">
      <c r="L663" s="2" t="s">
        <v>686</v>
      </c>
      <c r="M663" s="2">
        <v>128.29</v>
      </c>
      <c r="N663" s="11">
        <f t="shared" si="30"/>
        <v>5.4593667134605894E-4</v>
      </c>
      <c r="P663" s="2" t="s">
        <v>686</v>
      </c>
      <c r="Q663" s="2">
        <v>350.25</v>
      </c>
      <c r="R663" s="11">
        <f t="shared" si="31"/>
        <v>-2.3829431438127102E-2</v>
      </c>
      <c r="T663" s="2" t="s">
        <v>686</v>
      </c>
      <c r="U663" s="2">
        <v>5160.64013671875</v>
      </c>
      <c r="V663" s="11">
        <f t="shared" si="32"/>
        <v>-9.4569806491084929E-3</v>
      </c>
    </row>
    <row r="664" spans="12:22" x14ac:dyDescent="0.2">
      <c r="L664" s="2" t="s">
        <v>685</v>
      </c>
      <c r="M664" s="2">
        <v>129.41</v>
      </c>
      <c r="N664" s="11">
        <f t="shared" si="30"/>
        <v>8.7302205939667754E-3</v>
      </c>
      <c r="P664" s="2" t="s">
        <v>685</v>
      </c>
      <c r="Q664" s="2">
        <v>349.92</v>
      </c>
      <c r="R664" s="11">
        <f t="shared" si="31"/>
        <v>-9.4218415417557377E-4</v>
      </c>
      <c r="T664" s="2" t="s">
        <v>685</v>
      </c>
      <c r="U664" s="2">
        <v>5199.06005859375</v>
      </c>
      <c r="V664" s="11">
        <f t="shared" si="32"/>
        <v>7.4447977105855934E-3</v>
      </c>
    </row>
    <row r="665" spans="12:22" x14ac:dyDescent="0.2">
      <c r="L665" s="2" t="s">
        <v>684</v>
      </c>
      <c r="M665" s="2">
        <v>125.54</v>
      </c>
      <c r="N665" s="11">
        <f t="shared" si="30"/>
        <v>-2.9904953249362376E-2</v>
      </c>
      <c r="P665" s="2" t="s">
        <v>684</v>
      </c>
      <c r="Q665" s="2">
        <v>336.13</v>
      </c>
      <c r="R665" s="11">
        <f t="shared" si="31"/>
        <v>-3.9409007773205329E-2</v>
      </c>
      <c r="T665" s="2" t="s">
        <v>684</v>
      </c>
      <c r="U665" s="2">
        <v>5123.41015625</v>
      </c>
      <c r="V665" s="11">
        <f t="shared" si="32"/>
        <v>-1.4550688295801639E-2</v>
      </c>
    </row>
    <row r="666" spans="12:22" x14ac:dyDescent="0.2">
      <c r="L666" s="2" t="s">
        <v>683</v>
      </c>
      <c r="M666" s="2">
        <v>123.36</v>
      </c>
      <c r="N666" s="11">
        <f t="shared" si="30"/>
        <v>-1.7364983272263879E-2</v>
      </c>
      <c r="P666" s="2" t="s">
        <v>683</v>
      </c>
      <c r="Q666" s="2">
        <v>334.76</v>
      </c>
      <c r="R666" s="11">
        <f t="shared" si="31"/>
        <v>-4.0758040044031052E-3</v>
      </c>
      <c r="T666" s="2" t="s">
        <v>683</v>
      </c>
      <c r="U666" s="2">
        <v>5061.81982421875</v>
      </c>
      <c r="V666" s="11">
        <f t="shared" si="32"/>
        <v>-1.202135494776202E-2</v>
      </c>
    </row>
    <row r="667" spans="12:22" x14ac:dyDescent="0.2">
      <c r="L667" s="2" t="s">
        <v>682</v>
      </c>
      <c r="M667" s="2">
        <v>120.68</v>
      </c>
      <c r="N667" s="11">
        <f t="shared" si="30"/>
        <v>-2.1725032425421453E-2</v>
      </c>
      <c r="P667" s="2" t="s">
        <v>682</v>
      </c>
      <c r="Q667" s="2">
        <v>338.98</v>
      </c>
      <c r="R667" s="11">
        <f t="shared" si="31"/>
        <v>1.2606046122595416E-2</v>
      </c>
      <c r="T667" s="2" t="s">
        <v>682</v>
      </c>
      <c r="U667" s="2">
        <v>5051.41015625</v>
      </c>
      <c r="V667" s="11">
        <f t="shared" si="32"/>
        <v>-2.0565070133361507E-3</v>
      </c>
    </row>
    <row r="668" spans="12:22" x14ac:dyDescent="0.2">
      <c r="L668" s="2" t="s">
        <v>681</v>
      </c>
      <c r="M668" s="2">
        <v>119.33</v>
      </c>
      <c r="N668" s="11">
        <f t="shared" si="30"/>
        <v>-1.1186609214451471E-2</v>
      </c>
      <c r="P668" s="2" t="s">
        <v>681</v>
      </c>
      <c r="Q668" s="2">
        <v>344.86</v>
      </c>
      <c r="R668" s="11">
        <f t="shared" si="31"/>
        <v>1.7346156115405131E-2</v>
      </c>
      <c r="T668" s="2" t="s">
        <v>681</v>
      </c>
      <c r="U668" s="2">
        <v>5022.2099609375</v>
      </c>
      <c r="V668" s="11">
        <f t="shared" si="32"/>
        <v>-5.780602724641426E-3</v>
      </c>
    </row>
    <row r="669" spans="12:22" x14ac:dyDescent="0.2">
      <c r="L669" s="2" t="s">
        <v>680</v>
      </c>
      <c r="M669" s="2">
        <v>121.08</v>
      </c>
      <c r="N669" s="11">
        <f t="shared" si="30"/>
        <v>1.4665214112125957E-2</v>
      </c>
      <c r="P669" s="2" t="s">
        <v>680</v>
      </c>
      <c r="Q669" s="2">
        <v>347.51</v>
      </c>
      <c r="R669" s="11">
        <f t="shared" si="31"/>
        <v>7.6842776778982547E-3</v>
      </c>
      <c r="T669" s="2" t="s">
        <v>680</v>
      </c>
      <c r="U669" s="2">
        <v>5011.1201171875</v>
      </c>
      <c r="V669" s="11">
        <f t="shared" si="32"/>
        <v>-2.2081601199982481E-3</v>
      </c>
    </row>
    <row r="670" spans="12:22" x14ac:dyDescent="0.2">
      <c r="L670" s="2" t="s">
        <v>679</v>
      </c>
      <c r="M670" s="2">
        <v>120.54</v>
      </c>
      <c r="N670" s="11">
        <f t="shared" si="30"/>
        <v>-4.4598612487610767E-3</v>
      </c>
      <c r="P670" s="2" t="s">
        <v>679</v>
      </c>
      <c r="Q670" s="2">
        <v>352.47</v>
      </c>
      <c r="R670" s="11">
        <f t="shared" si="31"/>
        <v>1.4272970561998388E-2</v>
      </c>
      <c r="T670" s="2" t="s">
        <v>679</v>
      </c>
      <c r="U670" s="2">
        <v>4967.22998046875</v>
      </c>
      <c r="V670" s="11">
        <f t="shared" si="32"/>
        <v>-8.7585481274361499E-3</v>
      </c>
    </row>
    <row r="671" spans="12:22" x14ac:dyDescent="0.2">
      <c r="L671" s="2" t="s">
        <v>678</v>
      </c>
      <c r="M671" s="2">
        <v>125.38</v>
      </c>
      <c r="N671" s="11">
        <f t="shared" si="30"/>
        <v>4.0152646424423288E-2</v>
      </c>
      <c r="P671" s="2" t="s">
        <v>678</v>
      </c>
      <c r="Q671" s="2">
        <v>361.79</v>
      </c>
      <c r="R671" s="11">
        <f t="shared" si="31"/>
        <v>2.6441966692200669E-2</v>
      </c>
      <c r="T671" s="2" t="s">
        <v>678</v>
      </c>
      <c r="U671" s="2">
        <v>5010.60009765625</v>
      </c>
      <c r="V671" s="11">
        <f t="shared" si="32"/>
        <v>8.7312480714667462E-3</v>
      </c>
    </row>
    <row r="672" spans="12:22" x14ac:dyDescent="0.2">
      <c r="L672" s="2" t="s">
        <v>677</v>
      </c>
      <c r="M672" s="2">
        <v>126.43</v>
      </c>
      <c r="N672" s="11">
        <f t="shared" si="30"/>
        <v>8.3745413941618274E-3</v>
      </c>
      <c r="P672" s="2" t="s">
        <v>677</v>
      </c>
      <c r="Q672" s="2">
        <v>364.68</v>
      </c>
      <c r="R672" s="11">
        <f t="shared" si="31"/>
        <v>7.9880593714585224E-3</v>
      </c>
      <c r="T672" s="2" t="s">
        <v>677</v>
      </c>
      <c r="U672" s="2">
        <v>5070.5498046875</v>
      </c>
      <c r="V672" s="11">
        <f t="shared" si="32"/>
        <v>1.1964576270872662E-2</v>
      </c>
    </row>
    <row r="673" spans="12:22" x14ac:dyDescent="0.2">
      <c r="L673" s="2" t="s">
        <v>676</v>
      </c>
      <c r="M673" s="2">
        <v>125.77</v>
      </c>
      <c r="N673" s="11">
        <f t="shared" si="30"/>
        <v>-5.2202799968362745E-3</v>
      </c>
      <c r="P673" s="2" t="s">
        <v>676</v>
      </c>
      <c r="Q673" s="2">
        <v>364.59</v>
      </c>
      <c r="R673" s="11">
        <f t="shared" si="31"/>
        <v>-2.467917077987325E-4</v>
      </c>
      <c r="T673" s="2" t="s">
        <v>676</v>
      </c>
      <c r="U673" s="2">
        <v>5071.6298828125</v>
      </c>
      <c r="V673" s="11">
        <f t="shared" si="32"/>
        <v>2.130100613548791E-4</v>
      </c>
    </row>
    <row r="674" spans="12:22" x14ac:dyDescent="0.2">
      <c r="L674" s="2" t="s">
        <v>675</v>
      </c>
      <c r="M674" s="2">
        <v>123.51</v>
      </c>
      <c r="N674" s="11">
        <f t="shared" si="30"/>
        <v>-1.7969309056213634E-2</v>
      </c>
      <c r="P674" s="2" t="s">
        <v>675</v>
      </c>
      <c r="Q674" s="2">
        <v>360</v>
      </c>
      <c r="R674" s="11">
        <f t="shared" si="31"/>
        <v>-1.2589484078005309E-2</v>
      </c>
      <c r="T674" s="2" t="s">
        <v>675</v>
      </c>
      <c r="U674" s="2">
        <v>5048.419921875</v>
      </c>
      <c r="V674" s="11">
        <f t="shared" si="32"/>
        <v>-4.5764303535156259E-3</v>
      </c>
    </row>
    <row r="675" spans="12:22" x14ac:dyDescent="0.2">
      <c r="L675" s="2" t="s">
        <v>674</v>
      </c>
      <c r="M675" s="2">
        <v>125.4</v>
      </c>
      <c r="N675" s="11">
        <f t="shared" si="30"/>
        <v>1.5302404663589897E-2</v>
      </c>
      <c r="P675" s="2" t="s">
        <v>674</v>
      </c>
      <c r="Q675" s="2">
        <v>364.7</v>
      </c>
      <c r="R675" s="11">
        <f t="shared" si="31"/>
        <v>1.3055555555555598E-2</v>
      </c>
      <c r="T675" s="2" t="s">
        <v>674</v>
      </c>
      <c r="U675" s="2">
        <v>5099.9599609375</v>
      </c>
      <c r="V675" s="11">
        <f t="shared" si="32"/>
        <v>1.020914263474304E-2</v>
      </c>
    </row>
    <row r="676" spans="12:22" x14ac:dyDescent="0.2">
      <c r="L676" s="2" t="s">
        <v>673</v>
      </c>
      <c r="M676" s="2">
        <v>127.69</v>
      </c>
      <c r="N676" s="11">
        <f t="shared" si="30"/>
        <v>1.826156299840509E-2</v>
      </c>
      <c r="P676" s="2" t="s">
        <v>673</v>
      </c>
      <c r="Q676" s="2">
        <v>363.96</v>
      </c>
      <c r="R676" s="11">
        <f t="shared" si="31"/>
        <v>-2.0290649849191711E-3</v>
      </c>
      <c r="T676" s="2" t="s">
        <v>673</v>
      </c>
      <c r="U676" s="2">
        <v>5116.169921875</v>
      </c>
      <c r="V676" s="11">
        <f t="shared" si="32"/>
        <v>3.1784486665891176E-3</v>
      </c>
    </row>
    <row r="677" spans="12:22" x14ac:dyDescent="0.2">
      <c r="L677" s="2" t="s">
        <v>672</v>
      </c>
      <c r="M677" s="2">
        <v>124.37</v>
      </c>
      <c r="N677" s="11">
        <f t="shared" si="30"/>
        <v>-2.6000469888009969E-2</v>
      </c>
      <c r="P677" s="2" t="s">
        <v>672</v>
      </c>
      <c r="Q677" s="2">
        <v>360.6</v>
      </c>
      <c r="R677" s="11">
        <f t="shared" si="31"/>
        <v>-9.231783712495778E-3</v>
      </c>
      <c r="T677" s="2" t="s">
        <v>672</v>
      </c>
      <c r="U677" s="2">
        <v>5035.68994140625</v>
      </c>
      <c r="V677" s="11">
        <f t="shared" si="32"/>
        <v>-1.5730513586862171E-2</v>
      </c>
    </row>
    <row r="678" spans="12:22" x14ac:dyDescent="0.2">
      <c r="L678" s="2" t="s">
        <v>671</v>
      </c>
      <c r="M678" s="2">
        <v>123.55</v>
      </c>
      <c r="N678" s="11">
        <f t="shared" si="30"/>
        <v>-6.5932298785881249E-3</v>
      </c>
      <c r="P678" s="2" t="s">
        <v>671</v>
      </c>
      <c r="Q678" s="2">
        <v>354.4</v>
      </c>
      <c r="R678" s="11">
        <f t="shared" si="31"/>
        <v>-1.7193566278424943E-2</v>
      </c>
      <c r="T678" s="2" t="s">
        <v>671</v>
      </c>
      <c r="U678" s="2">
        <v>5018.39013671875</v>
      </c>
      <c r="V678" s="11">
        <f t="shared" si="32"/>
        <v>-3.4354388154940185E-3</v>
      </c>
    </row>
    <row r="679" spans="12:22" x14ac:dyDescent="0.2">
      <c r="L679" s="2" t="s">
        <v>670</v>
      </c>
      <c r="M679" s="2">
        <v>126.7</v>
      </c>
      <c r="N679" s="11">
        <f t="shared" si="30"/>
        <v>2.5495750708215414E-2</v>
      </c>
      <c r="P679" s="2" t="s">
        <v>670</v>
      </c>
      <c r="Q679" s="2">
        <v>350.8</v>
      </c>
      <c r="R679" s="11">
        <f t="shared" si="31"/>
        <v>-1.0158013544018019E-2</v>
      </c>
      <c r="T679" s="2" t="s">
        <v>670</v>
      </c>
      <c r="U679" s="2">
        <v>5064.2001953125</v>
      </c>
      <c r="V679" s="11">
        <f t="shared" si="32"/>
        <v>9.1284370775730483E-3</v>
      </c>
    </row>
    <row r="680" spans="12:22" x14ac:dyDescent="0.2">
      <c r="L680" s="2" t="s">
        <v>669</v>
      </c>
      <c r="M680" s="2">
        <v>124.28</v>
      </c>
      <c r="N680" s="11">
        <f t="shared" si="30"/>
        <v>-1.9100236779794777E-2</v>
      </c>
      <c r="P680" s="2" t="s">
        <v>669</v>
      </c>
      <c r="Q680" s="2">
        <v>355.15</v>
      </c>
      <c r="R680" s="11">
        <f t="shared" si="31"/>
        <v>1.2400228050170936E-2</v>
      </c>
      <c r="T680" s="2" t="s">
        <v>669</v>
      </c>
      <c r="U680" s="2">
        <v>5127.7900390625</v>
      </c>
      <c r="V680" s="11">
        <f t="shared" si="32"/>
        <v>1.2556739721478527E-2</v>
      </c>
    </row>
    <row r="681" spans="12:22" x14ac:dyDescent="0.2">
      <c r="L681" s="2" t="s">
        <v>668</v>
      </c>
      <c r="M681" s="2">
        <v>126.63</v>
      </c>
      <c r="N681" s="11">
        <f t="shared" si="30"/>
        <v>1.890891535243E-2</v>
      </c>
      <c r="P681" s="2" t="s">
        <v>668</v>
      </c>
      <c r="Q681" s="2">
        <v>350.24</v>
      </c>
      <c r="R681" s="11">
        <f t="shared" si="31"/>
        <v>-1.382514430522308E-2</v>
      </c>
      <c r="T681" s="2" t="s">
        <v>668</v>
      </c>
      <c r="U681" s="2">
        <v>5180.740234375</v>
      </c>
      <c r="V681" s="11">
        <f t="shared" si="32"/>
        <v>1.0326123907011819E-2</v>
      </c>
    </row>
    <row r="682" spans="12:22" x14ac:dyDescent="0.2">
      <c r="L682" s="2" t="s">
        <v>667</v>
      </c>
      <c r="M682" s="2">
        <v>136.49</v>
      </c>
      <c r="N682" s="11">
        <f t="shared" si="30"/>
        <v>7.7864645028824286E-2</v>
      </c>
      <c r="P682" s="2" t="s">
        <v>667</v>
      </c>
      <c r="Q682" s="2">
        <v>349.85</v>
      </c>
      <c r="R682" s="11">
        <f t="shared" si="31"/>
        <v>-1.1135221562357245E-3</v>
      </c>
      <c r="T682" s="2" t="s">
        <v>667</v>
      </c>
      <c r="U682" s="2">
        <v>5187.7001953125</v>
      </c>
      <c r="V682" s="11">
        <f t="shared" si="32"/>
        <v>1.3434298232750663E-3</v>
      </c>
    </row>
    <row r="683" spans="12:22" x14ac:dyDescent="0.2">
      <c r="L683" s="2" t="s">
        <v>666</v>
      </c>
      <c r="M683" s="2">
        <v>135.41999999999999</v>
      </c>
      <c r="N683" s="11">
        <f t="shared" si="30"/>
        <v>-7.8394021540041381E-3</v>
      </c>
      <c r="P683" s="2" t="s">
        <v>666</v>
      </c>
      <c r="Q683" s="2">
        <v>345.61</v>
      </c>
      <c r="R683" s="11">
        <f t="shared" si="31"/>
        <v>-1.2119479777047304E-2</v>
      </c>
      <c r="T683" s="2" t="s">
        <v>666</v>
      </c>
      <c r="U683" s="2">
        <v>5187.669921875</v>
      </c>
      <c r="V683" s="11">
        <f t="shared" si="32"/>
        <v>-5.8356181661389783E-6</v>
      </c>
    </row>
    <row r="684" spans="12:22" x14ac:dyDescent="0.2">
      <c r="L684" s="2" t="s">
        <v>665</v>
      </c>
      <c r="M684" s="2">
        <v>139.69999999999999</v>
      </c>
      <c r="N684" s="11">
        <f t="shared" si="30"/>
        <v>3.1605375867670871E-2</v>
      </c>
      <c r="P684" s="2" t="s">
        <v>665</v>
      </c>
      <c r="Q684" s="2">
        <v>352.95</v>
      </c>
      <c r="R684" s="11">
        <f t="shared" si="31"/>
        <v>2.123781140591996E-2</v>
      </c>
      <c r="T684" s="2" t="s">
        <v>665</v>
      </c>
      <c r="U684" s="2">
        <v>5214.080078125</v>
      </c>
      <c r="V684" s="11">
        <f t="shared" si="32"/>
        <v>5.0909476986258362E-3</v>
      </c>
    </row>
    <row r="685" spans="12:22" x14ac:dyDescent="0.2">
      <c r="L685" s="2" t="s">
        <v>664</v>
      </c>
      <c r="M685" s="2">
        <v>143.27000000000001</v>
      </c>
      <c r="N685" s="11">
        <f t="shared" si="30"/>
        <v>2.5554760200429572E-2</v>
      </c>
      <c r="P685" s="2" t="s">
        <v>664</v>
      </c>
      <c r="Q685" s="2">
        <v>352.96</v>
      </c>
      <c r="R685" s="11">
        <f t="shared" si="31"/>
        <v>2.8332625017668533E-5</v>
      </c>
      <c r="T685" s="2" t="s">
        <v>664</v>
      </c>
      <c r="U685" s="2">
        <v>5222.68017578125</v>
      </c>
      <c r="V685" s="11">
        <f t="shared" si="32"/>
        <v>1.6493988445498431E-3</v>
      </c>
    </row>
    <row r="686" spans="12:22" x14ac:dyDescent="0.2">
      <c r="L686" s="2" t="s">
        <v>663</v>
      </c>
      <c r="M686" s="2">
        <v>142.94</v>
      </c>
      <c r="N686" s="11">
        <f t="shared" si="30"/>
        <v>-2.3033433377539492E-3</v>
      </c>
      <c r="P686" s="2" t="s">
        <v>663</v>
      </c>
      <c r="Q686" s="2">
        <v>347.16</v>
      </c>
      <c r="R686" s="11">
        <f t="shared" si="31"/>
        <v>-1.6432456935630002E-2</v>
      </c>
      <c r="T686" s="2" t="s">
        <v>663</v>
      </c>
      <c r="U686" s="2">
        <v>5221.419921875</v>
      </c>
      <c r="V686" s="11">
        <f t="shared" si="32"/>
        <v>-2.4130405535727206E-4</v>
      </c>
    </row>
    <row r="687" spans="12:22" x14ac:dyDescent="0.2">
      <c r="L687" s="2" t="s">
        <v>662</v>
      </c>
      <c r="M687" s="2">
        <v>145.31</v>
      </c>
      <c r="N687" s="11">
        <f t="shared" si="30"/>
        <v>1.6580383377641006E-2</v>
      </c>
      <c r="P687" s="2" t="s">
        <v>662</v>
      </c>
      <c r="Q687" s="2">
        <v>352.35</v>
      </c>
      <c r="R687" s="11">
        <f t="shared" si="31"/>
        <v>1.4949879018320011E-2</v>
      </c>
      <c r="T687" s="2" t="s">
        <v>662</v>
      </c>
      <c r="U687" s="2">
        <v>5246.68017578125</v>
      </c>
      <c r="V687" s="11">
        <f t="shared" si="32"/>
        <v>4.8378131397597279E-3</v>
      </c>
    </row>
    <row r="688" spans="12:22" x14ac:dyDescent="0.2">
      <c r="L688" s="2" t="s">
        <v>661</v>
      </c>
      <c r="M688" s="2">
        <v>144.72999999999999</v>
      </c>
      <c r="N688" s="11">
        <f t="shared" si="30"/>
        <v>-3.9914665198541588E-3</v>
      </c>
      <c r="P688" s="2" t="s">
        <v>661</v>
      </c>
      <c r="Q688" s="2">
        <v>346.85</v>
      </c>
      <c r="R688" s="11">
        <f t="shared" si="31"/>
        <v>-1.5609479211011745E-2</v>
      </c>
      <c r="T688" s="2" t="s">
        <v>661</v>
      </c>
      <c r="U688" s="2">
        <v>5308.14990234375</v>
      </c>
      <c r="V688" s="11">
        <f t="shared" si="32"/>
        <v>1.1715927882596233E-2</v>
      </c>
    </row>
    <row r="689" spans="12:22" x14ac:dyDescent="0.2">
      <c r="L689" s="2" t="s">
        <v>660</v>
      </c>
      <c r="M689" s="2">
        <v>142.01</v>
      </c>
      <c r="N689" s="11">
        <f t="shared" si="30"/>
        <v>-1.8793615698196597E-2</v>
      </c>
      <c r="P689" s="2" t="s">
        <v>660</v>
      </c>
      <c r="Q689" s="2">
        <v>338.28</v>
      </c>
      <c r="R689" s="11">
        <f t="shared" si="31"/>
        <v>-2.4708087069338469E-2</v>
      </c>
      <c r="T689" s="2" t="s">
        <v>660</v>
      </c>
      <c r="U689" s="2">
        <v>5297.10009765625</v>
      </c>
      <c r="V689" s="11">
        <f t="shared" si="32"/>
        <v>-2.0816677921287052E-3</v>
      </c>
    </row>
    <row r="690" spans="12:22" x14ac:dyDescent="0.2">
      <c r="L690" s="2" t="s">
        <v>659</v>
      </c>
      <c r="M690" s="2">
        <v>140.94999999999999</v>
      </c>
      <c r="N690" s="11">
        <f t="shared" si="30"/>
        <v>-7.4642630800647591E-3</v>
      </c>
      <c r="P690" s="2" t="s">
        <v>659</v>
      </c>
      <c r="Q690" s="2">
        <v>334.95</v>
      </c>
      <c r="R690" s="11">
        <f t="shared" si="31"/>
        <v>-9.8439162823695803E-3</v>
      </c>
      <c r="T690" s="2" t="s">
        <v>659</v>
      </c>
      <c r="U690" s="2">
        <v>5303.27001953125</v>
      </c>
      <c r="V690" s="11">
        <f t="shared" si="32"/>
        <v>1.1647735102702228E-3</v>
      </c>
    </row>
    <row r="691" spans="12:22" x14ac:dyDescent="0.2">
      <c r="L691" s="2" t="s">
        <v>658</v>
      </c>
      <c r="M691" s="2">
        <v>139.32</v>
      </c>
      <c r="N691" s="11">
        <f t="shared" si="30"/>
        <v>-1.1564384533522487E-2</v>
      </c>
      <c r="P691" s="2" t="s">
        <v>658</v>
      </c>
      <c r="Q691" s="2">
        <v>327.07</v>
      </c>
      <c r="R691" s="11">
        <f t="shared" si="31"/>
        <v>-2.3525899387968341E-2</v>
      </c>
      <c r="T691" s="2" t="s">
        <v>658</v>
      </c>
      <c r="U691" s="2">
        <v>5308.1298828125</v>
      </c>
      <c r="V691" s="11">
        <f t="shared" si="32"/>
        <v>9.163899374069473E-4</v>
      </c>
    </row>
    <row r="692" spans="12:22" x14ac:dyDescent="0.2">
      <c r="L692" s="2" t="s">
        <v>657</v>
      </c>
      <c r="M692" s="2">
        <v>144.41999999999999</v>
      </c>
      <c r="N692" s="11">
        <f t="shared" si="30"/>
        <v>3.6606373815676108E-2</v>
      </c>
      <c r="P692" s="2" t="s">
        <v>657</v>
      </c>
      <c r="Q692" s="2">
        <v>322.98</v>
      </c>
      <c r="R692" s="11">
        <f t="shared" si="31"/>
        <v>-1.2504968355397827E-2</v>
      </c>
      <c r="T692" s="2" t="s">
        <v>657</v>
      </c>
      <c r="U692" s="2">
        <v>5321.41015625</v>
      </c>
      <c r="V692" s="11">
        <f t="shared" si="32"/>
        <v>2.501874243978186E-3</v>
      </c>
    </row>
    <row r="693" spans="12:22" x14ac:dyDescent="0.2">
      <c r="L693" s="2" t="s">
        <v>656</v>
      </c>
      <c r="M693" s="2">
        <v>141.54</v>
      </c>
      <c r="N693" s="11">
        <f t="shared" si="30"/>
        <v>-1.9941836310760297E-2</v>
      </c>
      <c r="P693" s="2" t="s">
        <v>656</v>
      </c>
      <c r="Q693" s="2">
        <v>299.63</v>
      </c>
      <c r="R693" s="11">
        <f t="shared" si="31"/>
        <v>-7.229549817326153E-2</v>
      </c>
      <c r="T693" s="2" t="s">
        <v>656</v>
      </c>
      <c r="U693" s="2">
        <v>5307.009765625</v>
      </c>
      <c r="V693" s="11">
        <f t="shared" si="32"/>
        <v>-2.7061230392261271E-3</v>
      </c>
    </row>
    <row r="694" spans="12:22" x14ac:dyDescent="0.2">
      <c r="L694" s="2" t="s">
        <v>655</v>
      </c>
      <c r="M694" s="2">
        <v>142.62</v>
      </c>
      <c r="N694" s="11">
        <f t="shared" si="30"/>
        <v>7.630351844001737E-3</v>
      </c>
      <c r="P694" s="2" t="s">
        <v>655</v>
      </c>
      <c r="Q694" s="2">
        <v>299.73500000000001</v>
      </c>
      <c r="R694" s="11">
        <f t="shared" si="31"/>
        <v>3.5043219971298001E-4</v>
      </c>
      <c r="T694" s="2" t="s">
        <v>655</v>
      </c>
      <c r="U694" s="2">
        <v>5267.83984375</v>
      </c>
      <c r="V694" s="11">
        <f t="shared" si="32"/>
        <v>-7.3807894850155265E-3</v>
      </c>
    </row>
    <row r="695" spans="12:22" x14ac:dyDescent="0.2">
      <c r="L695" s="2" t="s">
        <v>654</v>
      </c>
      <c r="M695" s="2">
        <v>148.91999999999999</v>
      </c>
      <c r="N695" s="11">
        <f t="shared" si="30"/>
        <v>4.4173327724021716E-2</v>
      </c>
      <c r="P695" s="2" t="s">
        <v>654</v>
      </c>
      <c r="Q695" s="2">
        <v>303.005</v>
      </c>
      <c r="R695" s="11">
        <f t="shared" si="31"/>
        <v>1.0909636845880533E-2</v>
      </c>
      <c r="T695" s="2" t="s">
        <v>654</v>
      </c>
      <c r="U695" s="2">
        <v>5304.72021484375</v>
      </c>
      <c r="V695" s="11">
        <f t="shared" si="32"/>
        <v>7.0010425881694704E-3</v>
      </c>
    </row>
    <row r="696" spans="12:22" x14ac:dyDescent="0.2">
      <c r="L696" s="2" t="s">
        <v>653</v>
      </c>
      <c r="M696" s="2">
        <v>154.91</v>
      </c>
      <c r="N696" s="11">
        <f t="shared" si="30"/>
        <v>4.0222938490464655E-2</v>
      </c>
      <c r="P696" s="2" t="s">
        <v>653</v>
      </c>
      <c r="Q696" s="2">
        <v>295.25</v>
      </c>
      <c r="R696" s="11">
        <f t="shared" si="31"/>
        <v>-2.5593637068695219E-2</v>
      </c>
      <c r="T696" s="2" t="s">
        <v>653</v>
      </c>
      <c r="U696" s="2">
        <v>5306.0400390625</v>
      </c>
      <c r="V696" s="11">
        <f t="shared" si="32"/>
        <v>2.4880185293407742E-4</v>
      </c>
    </row>
    <row r="697" spans="12:22" x14ac:dyDescent="0.2">
      <c r="L697" s="2" t="s">
        <v>652</v>
      </c>
      <c r="M697" s="2">
        <v>153.61000000000001</v>
      </c>
      <c r="N697" s="11">
        <f t="shared" si="30"/>
        <v>-8.3919695306950981E-3</v>
      </c>
      <c r="P697" s="2" t="s">
        <v>652</v>
      </c>
      <c r="Q697" s="2">
        <v>298.54000000000002</v>
      </c>
      <c r="R697" s="11">
        <f t="shared" si="31"/>
        <v>1.1143099068585904E-2</v>
      </c>
      <c r="T697" s="2" t="s">
        <v>652</v>
      </c>
      <c r="U697" s="2">
        <v>5266.9501953125</v>
      </c>
      <c r="V697" s="11">
        <f t="shared" si="32"/>
        <v>-7.3670465096804527E-3</v>
      </c>
    </row>
    <row r="698" spans="12:22" x14ac:dyDescent="0.2">
      <c r="L698" s="2" t="s">
        <v>651</v>
      </c>
      <c r="M698" s="2">
        <v>155.97</v>
      </c>
      <c r="N698" s="11">
        <f t="shared" si="30"/>
        <v>1.5363583100058475E-2</v>
      </c>
      <c r="P698" s="2" t="s">
        <v>651</v>
      </c>
      <c r="Q698" s="2">
        <v>302.89999999999998</v>
      </c>
      <c r="R698" s="11">
        <f t="shared" si="31"/>
        <v>1.4604408119514911E-2</v>
      </c>
      <c r="T698" s="2" t="s">
        <v>651</v>
      </c>
      <c r="U698" s="2">
        <v>5235.47998046875</v>
      </c>
      <c r="V698" s="11">
        <f t="shared" si="32"/>
        <v>-5.9750355854433224E-3</v>
      </c>
    </row>
    <row r="699" spans="12:22" x14ac:dyDescent="0.2">
      <c r="L699" s="2" t="s">
        <v>650</v>
      </c>
      <c r="M699" s="2">
        <v>155.63999999999999</v>
      </c>
      <c r="N699" s="11">
        <f t="shared" si="30"/>
        <v>-2.1157914983651605E-3</v>
      </c>
      <c r="P699" s="2" t="s">
        <v>650</v>
      </c>
      <c r="Q699" s="2">
        <v>311.99</v>
      </c>
      <c r="R699" s="11">
        <f t="shared" si="31"/>
        <v>3.0009904258831321E-2</v>
      </c>
      <c r="T699" s="2" t="s">
        <v>650</v>
      </c>
      <c r="U699" s="2">
        <v>5277.509765625</v>
      </c>
      <c r="V699" s="11">
        <f t="shared" si="32"/>
        <v>8.0278762048646701E-3</v>
      </c>
    </row>
    <row r="700" spans="12:22" x14ac:dyDescent="0.2">
      <c r="L700" s="2" t="s">
        <v>649</v>
      </c>
      <c r="M700" s="2">
        <v>153.93</v>
      </c>
      <c r="N700" s="11">
        <f t="shared" si="30"/>
        <v>-1.0986892829606631E-2</v>
      </c>
      <c r="P700" s="2" t="s">
        <v>649</v>
      </c>
      <c r="Q700" s="2">
        <v>306.62</v>
      </c>
      <c r="R700" s="11">
        <f t="shared" si="31"/>
        <v>-1.7212090131093927E-2</v>
      </c>
      <c r="T700" s="2" t="s">
        <v>649</v>
      </c>
      <c r="U700" s="2">
        <v>5283.39990234375</v>
      </c>
      <c r="V700" s="11">
        <f t="shared" si="32"/>
        <v>1.1160825806737495E-3</v>
      </c>
    </row>
    <row r="701" spans="12:22" x14ac:dyDescent="0.2">
      <c r="L701" s="2" t="s">
        <v>648</v>
      </c>
      <c r="M701" s="2">
        <v>148.72</v>
      </c>
      <c r="N701" s="11">
        <f t="shared" si="30"/>
        <v>-3.3846553628272602E-2</v>
      </c>
      <c r="P701" s="2" t="s">
        <v>648</v>
      </c>
      <c r="Q701" s="2">
        <v>306.77999999999997</v>
      </c>
      <c r="R701" s="11">
        <f t="shared" si="31"/>
        <v>5.2181853760346897E-4</v>
      </c>
      <c r="T701" s="2" t="s">
        <v>648</v>
      </c>
      <c r="U701" s="2">
        <v>5291.33984375</v>
      </c>
      <c r="V701" s="11">
        <f t="shared" si="32"/>
        <v>1.5028090913065117E-3</v>
      </c>
    </row>
    <row r="702" spans="12:22" x14ac:dyDescent="0.2">
      <c r="L702" s="2" t="s">
        <v>647</v>
      </c>
      <c r="M702" s="2">
        <v>148.01</v>
      </c>
      <c r="N702" s="11">
        <f t="shared" si="30"/>
        <v>-4.7740720817643911E-3</v>
      </c>
      <c r="P702" s="2" t="s">
        <v>647</v>
      </c>
      <c r="Q702" s="2">
        <v>308.27</v>
      </c>
      <c r="R702" s="11">
        <f t="shared" si="31"/>
        <v>4.8569007106069595E-3</v>
      </c>
      <c r="T702" s="2" t="s">
        <v>647</v>
      </c>
      <c r="U702" s="2">
        <v>5354.02978515625</v>
      </c>
      <c r="V702" s="11">
        <f t="shared" si="32"/>
        <v>1.1847649793331305E-2</v>
      </c>
    </row>
    <row r="703" spans="12:22" x14ac:dyDescent="0.2">
      <c r="L703" s="2" t="s">
        <v>646</v>
      </c>
      <c r="M703" s="2">
        <v>148.41</v>
      </c>
      <c r="N703" s="11">
        <f t="shared" si="30"/>
        <v>2.7025200999932775E-3</v>
      </c>
      <c r="P703" s="2" t="s">
        <v>646</v>
      </c>
      <c r="Q703" s="2">
        <v>323.02999999999997</v>
      </c>
      <c r="R703" s="11">
        <f t="shared" si="31"/>
        <v>4.7880105102669601E-2</v>
      </c>
      <c r="T703" s="2" t="s">
        <v>646</v>
      </c>
      <c r="U703" s="2">
        <v>5352.9599609375</v>
      </c>
      <c r="V703" s="11">
        <f t="shared" si="32"/>
        <v>-1.9981663563317653E-4</v>
      </c>
    </row>
    <row r="704" spans="12:22" x14ac:dyDescent="0.2">
      <c r="L704" s="2" t="s">
        <v>645</v>
      </c>
      <c r="M704" s="2">
        <v>147</v>
      </c>
      <c r="N704" s="11">
        <f t="shared" si="30"/>
        <v>-9.5007074994946095E-3</v>
      </c>
      <c r="P704" s="2" t="s">
        <v>645</v>
      </c>
      <c r="Q704" s="2">
        <v>317.86</v>
      </c>
      <c r="R704" s="11">
        <f t="shared" si="31"/>
        <v>-1.6004705445314515E-2</v>
      </c>
      <c r="T704" s="2" t="s">
        <v>645</v>
      </c>
      <c r="U704" s="2">
        <v>5346.990234375</v>
      </c>
      <c r="V704" s="11">
        <f t="shared" si="32"/>
        <v>-1.1152197300303701E-3</v>
      </c>
    </row>
    <row r="705" spans="12:22" x14ac:dyDescent="0.2">
      <c r="L705" s="2" t="s">
        <v>644</v>
      </c>
      <c r="M705" s="2">
        <v>154.08000000000001</v>
      </c>
      <c r="N705" s="11">
        <f t="shared" si="30"/>
        <v>4.8163265306122582E-2</v>
      </c>
      <c r="P705" s="2" t="s">
        <v>644</v>
      </c>
      <c r="Q705" s="2">
        <v>318.26</v>
      </c>
      <c r="R705" s="11">
        <f t="shared" si="31"/>
        <v>1.2584156546906478E-3</v>
      </c>
      <c r="T705" s="2" t="s">
        <v>644</v>
      </c>
      <c r="U705" s="2">
        <v>5360.7900390625</v>
      </c>
      <c r="V705" s="11">
        <f t="shared" si="32"/>
        <v>2.5808546645145203E-3</v>
      </c>
    </row>
    <row r="706" spans="12:22" x14ac:dyDescent="0.2">
      <c r="L706" s="2" t="s">
        <v>643</v>
      </c>
      <c r="M706" s="2">
        <v>154.53</v>
      </c>
      <c r="N706" s="11">
        <f t="shared" si="30"/>
        <v>2.9205607476634476E-3</v>
      </c>
      <c r="P706" s="2" t="s">
        <v>643</v>
      </c>
      <c r="Q706" s="2">
        <v>318.04000000000002</v>
      </c>
      <c r="R706" s="11">
        <f t="shared" si="31"/>
        <v>-6.9125871928599203E-4</v>
      </c>
      <c r="T706" s="2" t="s">
        <v>643</v>
      </c>
      <c r="U706" s="2">
        <v>5375.31982421875</v>
      </c>
      <c r="V706" s="11">
        <f t="shared" si="32"/>
        <v>2.7103813151374556E-3</v>
      </c>
    </row>
    <row r="707" spans="12:22" x14ac:dyDescent="0.2">
      <c r="L707" s="2" t="s">
        <v>642</v>
      </c>
      <c r="M707" s="2">
        <v>157.44999999999999</v>
      </c>
      <c r="N707" s="11">
        <f t="shared" si="30"/>
        <v>1.8896007247783508E-2</v>
      </c>
      <c r="P707" s="2" t="s">
        <v>642</v>
      </c>
      <c r="Q707" s="2">
        <v>309.81</v>
      </c>
      <c r="R707" s="11">
        <f t="shared" si="31"/>
        <v>-2.5877248144887455E-2</v>
      </c>
      <c r="T707" s="2" t="s">
        <v>642</v>
      </c>
      <c r="U707" s="2">
        <v>5421.02978515625</v>
      </c>
      <c r="V707" s="11">
        <f t="shared" si="32"/>
        <v>8.5036727919987065E-3</v>
      </c>
    </row>
    <row r="708" spans="12:22" x14ac:dyDescent="0.2">
      <c r="L708" s="2" t="s">
        <v>641</v>
      </c>
      <c r="M708" s="2">
        <v>158.65</v>
      </c>
      <c r="N708" s="11">
        <f t="shared" si="30"/>
        <v>7.6214671324230654E-3</v>
      </c>
      <c r="P708" s="2" t="s">
        <v>641</v>
      </c>
      <c r="Q708" s="2">
        <v>307.49</v>
      </c>
      <c r="R708" s="11">
        <f t="shared" si="31"/>
        <v>-7.4884606694425315E-3</v>
      </c>
      <c r="T708" s="2" t="s">
        <v>641</v>
      </c>
      <c r="U708" s="2">
        <v>5433.740234375</v>
      </c>
      <c r="V708" s="11">
        <f t="shared" si="32"/>
        <v>2.3446558536817097E-3</v>
      </c>
    </row>
    <row r="709" spans="12:22" x14ac:dyDescent="0.2">
      <c r="L709" s="2" t="s">
        <v>640</v>
      </c>
      <c r="M709" s="2">
        <v>156.97999999999999</v>
      </c>
      <c r="N709" s="11">
        <f t="shared" si="30"/>
        <v>-1.0526315789473828E-2</v>
      </c>
      <c r="P709" s="2" t="s">
        <v>640</v>
      </c>
      <c r="Q709" s="2">
        <v>306.01</v>
      </c>
      <c r="R709" s="11">
        <f t="shared" si="31"/>
        <v>-4.813164655761204E-3</v>
      </c>
      <c r="T709" s="2" t="s">
        <v>640</v>
      </c>
      <c r="U709" s="2">
        <v>5431.60009765625</v>
      </c>
      <c r="V709" s="11">
        <f t="shared" si="32"/>
        <v>-3.9386069750091401E-4</v>
      </c>
    </row>
    <row r="710" spans="12:22" x14ac:dyDescent="0.2">
      <c r="L710" s="2" t="s">
        <v>639</v>
      </c>
      <c r="M710" s="2">
        <v>159.68</v>
      </c>
      <c r="N710" s="11">
        <f t="shared" ref="N710:N773" si="33">+M710/M709-1</f>
        <v>1.7199643266658349E-2</v>
      </c>
      <c r="P710" s="2" t="s">
        <v>639</v>
      </c>
      <c r="Q710" s="2">
        <v>312.91000000000003</v>
      </c>
      <c r="R710" s="11">
        <f t="shared" ref="R710:R773" si="34">+Q710/Q709-1</f>
        <v>2.2548282735858516E-2</v>
      </c>
      <c r="T710" s="2" t="s">
        <v>639</v>
      </c>
      <c r="U710" s="2">
        <v>5473.22998046875</v>
      </c>
      <c r="V710" s="11">
        <f t="shared" ref="V710:V773" si="35">+U710/U709-1</f>
        <v>7.6643865645527054E-3</v>
      </c>
    </row>
    <row r="711" spans="12:22" x14ac:dyDescent="0.2">
      <c r="L711" s="2" t="s">
        <v>638</v>
      </c>
      <c r="M711" s="2">
        <v>159.41999999999999</v>
      </c>
      <c r="N711" s="11">
        <f t="shared" si="33"/>
        <v>-1.6282565130262272E-3</v>
      </c>
      <c r="P711" s="2" t="s">
        <v>638</v>
      </c>
      <c r="Q711" s="2">
        <v>313.23</v>
      </c>
      <c r="R711" s="11">
        <f t="shared" si="34"/>
        <v>1.0226582723467104E-3</v>
      </c>
      <c r="T711" s="2" t="s">
        <v>638</v>
      </c>
      <c r="U711" s="2">
        <v>5487.02978515625</v>
      </c>
      <c r="V711" s="11">
        <f t="shared" si="35"/>
        <v>2.5213273947457537E-3</v>
      </c>
    </row>
    <row r="712" spans="12:22" x14ac:dyDescent="0.2">
      <c r="L712" s="2" t="s">
        <v>637</v>
      </c>
      <c r="M712" s="2">
        <v>157.85</v>
      </c>
      <c r="N712" s="11">
        <f t="shared" si="33"/>
        <v>-9.8481997239994179E-3</v>
      </c>
      <c r="P712" s="2" t="s">
        <v>637</v>
      </c>
      <c r="Q712" s="2">
        <v>310.77</v>
      </c>
      <c r="R712" s="11">
        <f t="shared" si="34"/>
        <v>-7.8536538645724852E-3</v>
      </c>
      <c r="T712" s="2" t="s">
        <v>637</v>
      </c>
      <c r="U712" s="2">
        <v>5473.169921875</v>
      </c>
      <c r="V712" s="11">
        <f t="shared" si="35"/>
        <v>-2.5259318472709014E-3</v>
      </c>
    </row>
    <row r="713" spans="12:22" x14ac:dyDescent="0.2">
      <c r="L713" s="2" t="s">
        <v>636</v>
      </c>
      <c r="M713" s="2">
        <v>154.74</v>
      </c>
      <c r="N713" s="11">
        <f t="shared" si="33"/>
        <v>-1.9702248970541514E-2</v>
      </c>
      <c r="P713" s="2" t="s">
        <v>636</v>
      </c>
      <c r="Q713" s="2">
        <v>311.82</v>
      </c>
      <c r="R713" s="11">
        <f t="shared" si="34"/>
        <v>3.3787045081572487E-3</v>
      </c>
      <c r="T713" s="2" t="s">
        <v>636</v>
      </c>
      <c r="U713" s="2">
        <v>5464.6201171875</v>
      </c>
      <c r="V713" s="11">
        <f t="shared" si="35"/>
        <v>-1.5621303211011961E-3</v>
      </c>
    </row>
    <row r="714" spans="12:22" x14ac:dyDescent="0.2">
      <c r="L714" s="2" t="s">
        <v>635</v>
      </c>
      <c r="M714" s="2">
        <v>152.59</v>
      </c>
      <c r="N714" s="11">
        <f t="shared" si="33"/>
        <v>-1.3894274266511575E-2</v>
      </c>
      <c r="P714" s="2" t="s">
        <v>635</v>
      </c>
      <c r="Q714" s="2">
        <v>312.27999999999997</v>
      </c>
      <c r="R714" s="11">
        <f t="shared" si="34"/>
        <v>1.4752100570840643E-3</v>
      </c>
      <c r="T714" s="2" t="s">
        <v>635</v>
      </c>
      <c r="U714" s="2">
        <v>5447.8701171875</v>
      </c>
      <c r="V714" s="11">
        <f t="shared" si="35"/>
        <v>-3.0651718949900042E-3</v>
      </c>
    </row>
    <row r="715" spans="12:22" x14ac:dyDescent="0.2">
      <c r="L715" s="2" t="s">
        <v>634</v>
      </c>
      <c r="M715" s="2">
        <v>151.13999999999999</v>
      </c>
      <c r="N715" s="11">
        <f t="shared" si="33"/>
        <v>-9.5025886362147816E-3</v>
      </c>
      <c r="P715" s="2" t="s">
        <v>634</v>
      </c>
      <c r="Q715" s="2">
        <v>309.07</v>
      </c>
      <c r="R715" s="11">
        <f t="shared" si="34"/>
        <v>-1.027923658255403E-2</v>
      </c>
      <c r="T715" s="2" t="s">
        <v>634</v>
      </c>
      <c r="U715" s="2">
        <v>5469.2998046875</v>
      </c>
      <c r="V715" s="11">
        <f t="shared" si="35"/>
        <v>3.9335900157368986E-3</v>
      </c>
    </row>
    <row r="716" spans="12:22" x14ac:dyDescent="0.2">
      <c r="L716" s="2" t="s">
        <v>633</v>
      </c>
      <c r="M716" s="2">
        <v>148.63999999999999</v>
      </c>
      <c r="N716" s="11">
        <f t="shared" si="33"/>
        <v>-1.6540955405584201E-2</v>
      </c>
      <c r="P716" s="2" t="s">
        <v>633</v>
      </c>
      <c r="Q716" s="2">
        <v>304.81</v>
      </c>
      <c r="R716" s="11">
        <f t="shared" si="34"/>
        <v>-1.3783285339890594E-2</v>
      </c>
      <c r="T716" s="2" t="s">
        <v>633</v>
      </c>
      <c r="U716" s="2">
        <v>5477.89990234375</v>
      </c>
      <c r="V716" s="11">
        <f t="shared" si="35"/>
        <v>1.5724312002203256E-3</v>
      </c>
    </row>
    <row r="717" spans="12:22" x14ac:dyDescent="0.2">
      <c r="L717" s="2" t="s">
        <v>632</v>
      </c>
      <c r="M717" s="2">
        <v>148.25</v>
      </c>
      <c r="N717" s="11">
        <f t="shared" si="33"/>
        <v>-2.6237890204520165E-3</v>
      </c>
      <c r="P717" s="2" t="s">
        <v>632</v>
      </c>
      <c r="Q717" s="2">
        <v>308.3</v>
      </c>
      <c r="R717" s="11">
        <f t="shared" si="34"/>
        <v>1.1449755585446697E-2</v>
      </c>
      <c r="T717" s="2" t="s">
        <v>632</v>
      </c>
      <c r="U717" s="2">
        <v>5482.8701171875</v>
      </c>
      <c r="V717" s="11">
        <f t="shared" si="35"/>
        <v>9.073212238914774E-4</v>
      </c>
    </row>
    <row r="718" spans="12:22" x14ac:dyDescent="0.2">
      <c r="L718" s="2" t="s">
        <v>631</v>
      </c>
      <c r="M718" s="2">
        <v>145.94</v>
      </c>
      <c r="N718" s="11">
        <f t="shared" si="33"/>
        <v>-1.5581787521079304E-2</v>
      </c>
      <c r="P718" s="2" t="s">
        <v>631</v>
      </c>
      <c r="Q718" s="2">
        <v>298.7</v>
      </c>
      <c r="R718" s="11">
        <f t="shared" si="34"/>
        <v>-3.1138501459617274E-2</v>
      </c>
      <c r="T718" s="2" t="s">
        <v>631</v>
      </c>
      <c r="U718" s="2">
        <v>5460.47998046875</v>
      </c>
      <c r="V718" s="11">
        <f t="shared" si="35"/>
        <v>-4.0836525834456738E-3</v>
      </c>
    </row>
    <row r="719" spans="12:22" x14ac:dyDescent="0.2">
      <c r="L719" s="2" t="s">
        <v>630</v>
      </c>
      <c r="M719" s="2">
        <v>147.75</v>
      </c>
      <c r="N719" s="11">
        <f t="shared" si="33"/>
        <v>1.2402357133068476E-2</v>
      </c>
      <c r="P719" s="2" t="s">
        <v>630</v>
      </c>
      <c r="Q719" s="2">
        <v>302.36</v>
      </c>
      <c r="R719" s="11">
        <f t="shared" si="34"/>
        <v>1.2253096752594672E-2</v>
      </c>
      <c r="T719" s="2" t="s">
        <v>630</v>
      </c>
      <c r="U719" s="2">
        <v>5475.08984375</v>
      </c>
      <c r="V719" s="11">
        <f t="shared" si="35"/>
        <v>2.6755639309195001E-3</v>
      </c>
    </row>
    <row r="720" spans="12:22" x14ac:dyDescent="0.2">
      <c r="L720" s="2" t="s">
        <v>629</v>
      </c>
      <c r="M720" s="2">
        <v>145.49</v>
      </c>
      <c r="N720" s="11">
        <f t="shared" si="33"/>
        <v>-1.5296108291032118E-2</v>
      </c>
      <c r="P720" s="2" t="s">
        <v>629</v>
      </c>
      <c r="Q720" s="2">
        <v>301.67</v>
      </c>
      <c r="R720" s="11">
        <f t="shared" si="34"/>
        <v>-2.2820478899324703E-3</v>
      </c>
      <c r="T720" s="2" t="s">
        <v>629</v>
      </c>
      <c r="U720" s="2">
        <v>5509.009765625</v>
      </c>
      <c r="V720" s="11">
        <f t="shared" si="35"/>
        <v>6.1953178565135048E-3</v>
      </c>
    </row>
    <row r="721" spans="12:22" x14ac:dyDescent="0.2">
      <c r="L721" s="2" t="s">
        <v>628</v>
      </c>
      <c r="M721" s="2">
        <v>147.9</v>
      </c>
      <c r="N721" s="11">
        <f t="shared" si="33"/>
        <v>1.6564712351364363E-2</v>
      </c>
      <c r="P721" s="2" t="s">
        <v>628</v>
      </c>
      <c r="Q721" s="2">
        <v>300.32</v>
      </c>
      <c r="R721" s="11">
        <f t="shared" si="34"/>
        <v>-4.4750886730534623E-3</v>
      </c>
      <c r="T721" s="2" t="s">
        <v>628</v>
      </c>
      <c r="U721" s="2">
        <v>5537.02001953125</v>
      </c>
      <c r="V721" s="11">
        <f t="shared" si="35"/>
        <v>5.0844444097790653E-3</v>
      </c>
    </row>
    <row r="722" spans="12:22" x14ac:dyDescent="0.2">
      <c r="L722" s="2" t="s">
        <v>627</v>
      </c>
      <c r="M722" s="2">
        <v>143.54</v>
      </c>
      <c r="N722" s="11">
        <f t="shared" si="33"/>
        <v>-2.9479377958079866E-2</v>
      </c>
      <c r="P722" s="2" t="s">
        <v>627</v>
      </c>
      <c r="Q722" s="2">
        <v>298.14</v>
      </c>
      <c r="R722" s="11">
        <f t="shared" si="34"/>
        <v>-7.2589238145978063E-3</v>
      </c>
      <c r="T722" s="2" t="s">
        <v>627</v>
      </c>
      <c r="U722" s="2">
        <v>5567.18994140625</v>
      </c>
      <c r="V722" s="11">
        <f t="shared" si="35"/>
        <v>5.4487651784855817E-3</v>
      </c>
    </row>
    <row r="723" spans="12:22" x14ac:dyDescent="0.2">
      <c r="L723" s="2" t="s">
        <v>626</v>
      </c>
      <c r="M723" s="2">
        <v>144.52000000000001</v>
      </c>
      <c r="N723" s="11">
        <f t="shared" si="33"/>
        <v>6.8273651943711045E-3</v>
      </c>
      <c r="P723" s="2" t="s">
        <v>626</v>
      </c>
      <c r="Q723" s="2">
        <v>294.02999999999997</v>
      </c>
      <c r="R723" s="11">
        <f t="shared" si="34"/>
        <v>-1.3785469913463522E-2</v>
      </c>
      <c r="T723" s="2" t="s">
        <v>626</v>
      </c>
      <c r="U723" s="2">
        <v>5572.85009765625</v>
      </c>
      <c r="V723" s="11">
        <f t="shared" si="35"/>
        <v>1.0166989647510949E-3</v>
      </c>
    </row>
    <row r="724" spans="12:22" x14ac:dyDescent="0.2">
      <c r="L724" s="2" t="s">
        <v>625</v>
      </c>
      <c r="M724" s="2">
        <v>143.25</v>
      </c>
      <c r="N724" s="11">
        <f t="shared" si="33"/>
        <v>-8.7877110434542161E-3</v>
      </c>
      <c r="P724" s="2" t="s">
        <v>625</v>
      </c>
      <c r="Q724" s="2">
        <v>289.87</v>
      </c>
      <c r="R724" s="11">
        <f t="shared" si="34"/>
        <v>-1.4148216168418104E-2</v>
      </c>
      <c r="T724" s="2" t="s">
        <v>625</v>
      </c>
      <c r="U724" s="2">
        <v>5576.97998046875</v>
      </c>
      <c r="V724" s="11">
        <f t="shared" si="35"/>
        <v>7.4107193628569767E-4</v>
      </c>
    </row>
    <row r="725" spans="12:22" x14ac:dyDescent="0.2">
      <c r="L725" s="2" t="s">
        <v>624</v>
      </c>
      <c r="M725" s="2">
        <v>140.13999999999999</v>
      </c>
      <c r="N725" s="11">
        <f t="shared" si="33"/>
        <v>-2.1710296684118724E-2</v>
      </c>
      <c r="P725" s="2" t="s">
        <v>624</v>
      </c>
      <c r="Q725" s="2">
        <v>288.08</v>
      </c>
      <c r="R725" s="11">
        <f t="shared" si="34"/>
        <v>-6.1751819781281636E-3</v>
      </c>
      <c r="T725" s="2" t="s">
        <v>624</v>
      </c>
      <c r="U725" s="2">
        <v>5633.91015625</v>
      </c>
      <c r="V725" s="11">
        <f t="shared" si="35"/>
        <v>1.0208065293514812E-2</v>
      </c>
    </row>
    <row r="726" spans="12:22" x14ac:dyDescent="0.2">
      <c r="L726" s="2" t="s">
        <v>623</v>
      </c>
      <c r="M726" s="2">
        <v>142.88999999999999</v>
      </c>
      <c r="N726" s="11">
        <f t="shared" si="33"/>
        <v>1.9623233908948157E-2</v>
      </c>
      <c r="P726" s="2" t="s">
        <v>623</v>
      </c>
      <c r="Q726" s="2">
        <v>289.2</v>
      </c>
      <c r="R726" s="11">
        <f t="shared" si="34"/>
        <v>3.8878089419605022E-3</v>
      </c>
      <c r="T726" s="2" t="s">
        <v>623</v>
      </c>
      <c r="U726" s="2">
        <v>5584.5400390625</v>
      </c>
      <c r="V726" s="11">
        <f t="shared" si="35"/>
        <v>-8.7630288411204571E-3</v>
      </c>
    </row>
    <row r="727" spans="12:22" x14ac:dyDescent="0.2">
      <c r="L727" s="2" t="s">
        <v>622</v>
      </c>
      <c r="M727" s="2">
        <v>139.24</v>
      </c>
      <c r="N727" s="11">
        <f t="shared" si="33"/>
        <v>-2.55441248512841E-2</v>
      </c>
      <c r="P727" s="2" t="s">
        <v>622</v>
      </c>
      <c r="Q727" s="2">
        <v>291.06</v>
      </c>
      <c r="R727" s="11">
        <f t="shared" si="34"/>
        <v>6.4315352697095207E-3</v>
      </c>
      <c r="T727" s="2" t="s">
        <v>622</v>
      </c>
      <c r="U727" s="2">
        <v>5615.35009765625</v>
      </c>
      <c r="V727" s="11">
        <f t="shared" si="35"/>
        <v>5.5170270744306915E-3</v>
      </c>
    </row>
    <row r="728" spans="12:22" x14ac:dyDescent="0.2">
      <c r="L728" s="2" t="s">
        <v>621</v>
      </c>
      <c r="M728" s="2">
        <v>135.85</v>
      </c>
      <c r="N728" s="11">
        <f t="shared" si="33"/>
        <v>-2.4346452168917065E-2</v>
      </c>
      <c r="P728" s="2" t="s">
        <v>621</v>
      </c>
      <c r="Q728" s="2">
        <v>283.72000000000003</v>
      </c>
      <c r="R728" s="11">
        <f t="shared" si="34"/>
        <v>-2.5218168075310854E-2</v>
      </c>
      <c r="T728" s="2" t="s">
        <v>621</v>
      </c>
      <c r="U728" s="2">
        <v>5631.22021484375</v>
      </c>
      <c r="V728" s="11">
        <f t="shared" si="35"/>
        <v>2.8262026252154904E-3</v>
      </c>
    </row>
    <row r="729" spans="12:22" x14ac:dyDescent="0.2">
      <c r="L729" s="2" t="s">
        <v>620</v>
      </c>
      <c r="M729" s="2">
        <v>136.1</v>
      </c>
      <c r="N729" s="11">
        <f t="shared" si="33"/>
        <v>1.8402649981597019E-3</v>
      </c>
      <c r="P729" s="2" t="s">
        <v>620</v>
      </c>
      <c r="Q729" s="2">
        <v>291.76</v>
      </c>
      <c r="R729" s="11">
        <f t="shared" si="34"/>
        <v>2.8337797828845268E-2</v>
      </c>
      <c r="T729" s="2" t="s">
        <v>620</v>
      </c>
      <c r="U729" s="2">
        <v>5667.2001953125</v>
      </c>
      <c r="V729" s="11">
        <f t="shared" si="35"/>
        <v>6.3893754987431883E-3</v>
      </c>
    </row>
    <row r="730" spans="12:22" x14ac:dyDescent="0.2">
      <c r="L730" s="2" t="s">
        <v>619</v>
      </c>
      <c r="M730" s="2">
        <v>132.99</v>
      </c>
      <c r="N730" s="11">
        <f t="shared" si="33"/>
        <v>-2.2850844966936013E-2</v>
      </c>
      <c r="P730" s="2" t="s">
        <v>619</v>
      </c>
      <c r="Q730" s="2">
        <v>292.68</v>
      </c>
      <c r="R730" s="11">
        <f t="shared" si="34"/>
        <v>3.1532766657527134E-3</v>
      </c>
      <c r="T730" s="2" t="s">
        <v>619</v>
      </c>
      <c r="U730" s="2">
        <v>5588.27001953125</v>
      </c>
      <c r="V730" s="11">
        <f t="shared" si="35"/>
        <v>-1.3927543241993745E-2</v>
      </c>
    </row>
    <row r="731" spans="12:22" x14ac:dyDescent="0.2">
      <c r="L731" s="2" t="s">
        <v>618</v>
      </c>
      <c r="M731" s="2">
        <v>131.55000000000001</v>
      </c>
      <c r="N731" s="11">
        <f t="shared" si="33"/>
        <v>-1.0827881795623662E-2</v>
      </c>
      <c r="P731" s="2" t="s">
        <v>618</v>
      </c>
      <c r="Q731" s="2">
        <v>285.13</v>
      </c>
      <c r="R731" s="11">
        <f t="shared" si="34"/>
        <v>-2.5796091294246315E-2</v>
      </c>
      <c r="T731" s="2" t="s">
        <v>618</v>
      </c>
      <c r="U731" s="2">
        <v>5544.58984375</v>
      </c>
      <c r="V731" s="11">
        <f t="shared" si="35"/>
        <v>-7.8164039369225113E-3</v>
      </c>
    </row>
    <row r="732" spans="12:22" x14ac:dyDescent="0.2">
      <c r="L732" s="2" t="s">
        <v>617</v>
      </c>
      <c r="M732" s="2">
        <v>133.5</v>
      </c>
      <c r="N732" s="11">
        <f t="shared" si="33"/>
        <v>1.4823261117445696E-2</v>
      </c>
      <c r="P732" s="2" t="s">
        <v>617</v>
      </c>
      <c r="Q732" s="2">
        <v>280.23500000000001</v>
      </c>
      <c r="R732" s="11">
        <f t="shared" si="34"/>
        <v>-1.7167607757864745E-2</v>
      </c>
      <c r="T732" s="2" t="s">
        <v>617</v>
      </c>
      <c r="U732" s="2">
        <v>5505</v>
      </c>
      <c r="V732" s="11">
        <f t="shared" si="35"/>
        <v>-7.1402655319269259E-3</v>
      </c>
    </row>
    <row r="733" spans="12:22" x14ac:dyDescent="0.2">
      <c r="L733" s="2" t="s">
        <v>616</v>
      </c>
      <c r="M733" s="2">
        <v>133.28</v>
      </c>
      <c r="N733" s="11">
        <f t="shared" si="33"/>
        <v>-1.6479400749063178E-3</v>
      </c>
      <c r="P733" s="2" t="s">
        <v>616</v>
      </c>
      <c r="Q733" s="2">
        <v>285</v>
      </c>
      <c r="R733" s="11">
        <f t="shared" si="34"/>
        <v>1.7003586275804228E-2</v>
      </c>
      <c r="T733" s="2" t="s">
        <v>616</v>
      </c>
      <c r="U733" s="2">
        <v>5564.41015625</v>
      </c>
      <c r="V733" s="11">
        <f t="shared" si="35"/>
        <v>1.0792035649409559E-2</v>
      </c>
    </row>
    <row r="734" spans="12:22" x14ac:dyDescent="0.2">
      <c r="L734" s="2" t="s">
        <v>615</v>
      </c>
      <c r="M734" s="2">
        <v>131.30000000000001</v>
      </c>
      <c r="N734" s="11">
        <f t="shared" si="33"/>
        <v>-1.4855942376950648E-2</v>
      </c>
      <c r="P734" s="2" t="s">
        <v>615</v>
      </c>
      <c r="Q734" s="2">
        <v>281.37</v>
      </c>
      <c r="R734" s="11">
        <f t="shared" si="34"/>
        <v>-1.2736842105263158E-2</v>
      </c>
      <c r="T734" s="2" t="s">
        <v>615</v>
      </c>
      <c r="U734" s="2">
        <v>5555.740234375</v>
      </c>
      <c r="V734" s="11">
        <f t="shared" si="35"/>
        <v>-1.5581025897707379E-3</v>
      </c>
    </row>
    <row r="735" spans="12:22" x14ac:dyDescent="0.2">
      <c r="L735" s="2" t="s">
        <v>614</v>
      </c>
      <c r="M735" s="2">
        <v>129.38</v>
      </c>
      <c r="N735" s="11">
        <f t="shared" si="33"/>
        <v>-1.4623000761614713E-2</v>
      </c>
      <c r="P735" s="2" t="s">
        <v>614</v>
      </c>
      <c r="Q735" s="2">
        <v>272.06</v>
      </c>
      <c r="R735" s="11">
        <f t="shared" si="34"/>
        <v>-3.3088104630913051E-2</v>
      </c>
      <c r="T735" s="2" t="s">
        <v>614</v>
      </c>
      <c r="U735" s="2">
        <v>5427.1298828125</v>
      </c>
      <c r="V735" s="11">
        <f t="shared" si="35"/>
        <v>-2.3149093754734951E-2</v>
      </c>
    </row>
    <row r="736" spans="12:22" x14ac:dyDescent="0.2">
      <c r="L736" s="2" t="s">
        <v>613</v>
      </c>
      <c r="M736" s="2">
        <v>125.14</v>
      </c>
      <c r="N736" s="11">
        <f t="shared" si="33"/>
        <v>-3.2771680321533436E-2</v>
      </c>
      <c r="P736" s="2" t="s">
        <v>613</v>
      </c>
      <c r="Q736" s="2">
        <v>247.32</v>
      </c>
      <c r="R736" s="11">
        <f t="shared" si="34"/>
        <v>-9.0935822980224956E-2</v>
      </c>
      <c r="T736" s="2" t="s">
        <v>613</v>
      </c>
      <c r="U736" s="2">
        <v>5399.22021484375</v>
      </c>
      <c r="V736" s="11">
        <f t="shared" si="35"/>
        <v>-5.1426202378422881E-3</v>
      </c>
    </row>
    <row r="737" spans="12:22" x14ac:dyDescent="0.2">
      <c r="L737" s="2" t="s">
        <v>612</v>
      </c>
      <c r="M737" s="2">
        <v>130.5</v>
      </c>
      <c r="N737" s="11">
        <f t="shared" si="33"/>
        <v>4.283202812849618E-2</v>
      </c>
      <c r="P737" s="2" t="s">
        <v>612</v>
      </c>
      <c r="Q737" s="2">
        <v>253.5</v>
      </c>
      <c r="R737" s="11">
        <f t="shared" si="34"/>
        <v>2.4987869966035969E-2</v>
      </c>
      <c r="T737" s="2" t="s">
        <v>612</v>
      </c>
      <c r="U737" s="2">
        <v>5459.10009765625</v>
      </c>
      <c r="V737" s="11">
        <f t="shared" si="35"/>
        <v>1.1090468702846357E-2</v>
      </c>
    </row>
    <row r="738" spans="12:22" x14ac:dyDescent="0.2">
      <c r="L738" s="2" t="s">
        <v>611</v>
      </c>
      <c r="M738" s="2">
        <v>132.51</v>
      </c>
      <c r="N738" s="11">
        <f t="shared" si="33"/>
        <v>1.5402298850574647E-2</v>
      </c>
      <c r="P738" s="2" t="s">
        <v>611</v>
      </c>
      <c r="Q738" s="2">
        <v>259.02999999999997</v>
      </c>
      <c r="R738" s="11">
        <f t="shared" si="34"/>
        <v>2.1814595660749392E-2</v>
      </c>
      <c r="T738" s="2" t="s">
        <v>611</v>
      </c>
      <c r="U738" s="2">
        <v>5463.5400390625</v>
      </c>
      <c r="V738" s="11">
        <f t="shared" si="35"/>
        <v>8.1331012929330981E-4</v>
      </c>
    </row>
    <row r="739" spans="12:22" x14ac:dyDescent="0.2">
      <c r="L739" s="2" t="s">
        <v>610</v>
      </c>
      <c r="M739" s="2">
        <v>132.61000000000001</v>
      </c>
      <c r="N739" s="11">
        <f t="shared" si="33"/>
        <v>7.5466002565871548E-4</v>
      </c>
      <c r="P739" s="2" t="s">
        <v>610</v>
      </c>
      <c r="Q739" s="2">
        <v>256</v>
      </c>
      <c r="R739" s="11">
        <f t="shared" si="34"/>
        <v>-1.1697486777593191E-2</v>
      </c>
      <c r="T739" s="2" t="s">
        <v>610</v>
      </c>
      <c r="U739" s="2">
        <v>5436.43994140625</v>
      </c>
      <c r="V739" s="11">
        <f t="shared" si="35"/>
        <v>-4.9601718780302173E-3</v>
      </c>
    </row>
    <row r="740" spans="12:22" x14ac:dyDescent="0.2">
      <c r="L740" s="2" t="s">
        <v>609</v>
      </c>
      <c r="M740" s="2">
        <v>134.37</v>
      </c>
      <c r="N740" s="11">
        <f t="shared" si="33"/>
        <v>1.3272000603272716E-2</v>
      </c>
      <c r="P740" s="2" t="s">
        <v>609</v>
      </c>
      <c r="Q740" s="2">
        <v>258.66000000000003</v>
      </c>
      <c r="R740" s="11">
        <f t="shared" si="34"/>
        <v>1.0390625000000098E-2</v>
      </c>
      <c r="T740" s="2" t="s">
        <v>609</v>
      </c>
      <c r="U740" s="2">
        <v>5522.2998046875</v>
      </c>
      <c r="V740" s="11">
        <f t="shared" si="35"/>
        <v>1.5793398659167401E-2</v>
      </c>
    </row>
    <row r="741" spans="12:22" x14ac:dyDescent="0.2">
      <c r="L741" s="2" t="s">
        <v>608</v>
      </c>
      <c r="M741" s="2">
        <v>130.81</v>
      </c>
      <c r="N741" s="11">
        <f t="shared" si="33"/>
        <v>-2.6494009079407577E-2</v>
      </c>
      <c r="P741" s="2" t="s">
        <v>608</v>
      </c>
      <c r="Q741" s="2">
        <v>249.05</v>
      </c>
      <c r="R741" s="11">
        <f t="shared" si="34"/>
        <v>-3.7153019407716759E-2</v>
      </c>
      <c r="T741" s="2" t="s">
        <v>608</v>
      </c>
      <c r="U741" s="2">
        <v>5446.68017578125</v>
      </c>
      <c r="V741" s="11">
        <f t="shared" si="35"/>
        <v>-1.3693502993456064E-2</v>
      </c>
    </row>
    <row r="742" spans="12:22" x14ac:dyDescent="0.2">
      <c r="L742" s="2" t="s">
        <v>607</v>
      </c>
      <c r="M742" s="2">
        <v>123.31</v>
      </c>
      <c r="N742" s="11">
        <f t="shared" si="33"/>
        <v>-5.7335066126442902E-2</v>
      </c>
      <c r="P742" s="2" t="s">
        <v>607</v>
      </c>
      <c r="Q742" s="2">
        <v>236</v>
      </c>
      <c r="R742" s="11">
        <f t="shared" si="34"/>
        <v>-5.239911664324437E-2</v>
      </c>
      <c r="T742" s="2" t="s">
        <v>607</v>
      </c>
      <c r="U742" s="2">
        <v>5346.56005859375</v>
      </c>
      <c r="V742" s="11">
        <f t="shared" si="35"/>
        <v>-1.8381860868696753E-2</v>
      </c>
    </row>
    <row r="743" spans="12:22" x14ac:dyDescent="0.2">
      <c r="L743" s="2" t="s">
        <v>606</v>
      </c>
      <c r="M743" s="2">
        <v>121.05</v>
      </c>
      <c r="N743" s="11">
        <f t="shared" si="33"/>
        <v>-1.8327791744384148E-2</v>
      </c>
      <c r="P743" s="2" t="s">
        <v>606</v>
      </c>
      <c r="Q743" s="2">
        <v>233.4</v>
      </c>
      <c r="R743" s="11">
        <f t="shared" si="34"/>
        <v>-1.1016949152542366E-2</v>
      </c>
      <c r="T743" s="2" t="s">
        <v>606</v>
      </c>
      <c r="U743" s="2">
        <v>5186.330078125</v>
      </c>
      <c r="V743" s="11">
        <f t="shared" si="35"/>
        <v>-2.996879838863975E-2</v>
      </c>
    </row>
    <row r="744" spans="12:22" x14ac:dyDescent="0.2">
      <c r="L744" s="2" t="s">
        <v>605</v>
      </c>
      <c r="M744" s="2">
        <v>126.69</v>
      </c>
      <c r="N744" s="11">
        <f t="shared" si="33"/>
        <v>4.6592317224287472E-2</v>
      </c>
      <c r="P744" s="2" t="s">
        <v>605</v>
      </c>
      <c r="Q744" s="2">
        <v>236.9</v>
      </c>
      <c r="R744" s="11">
        <f t="shared" si="34"/>
        <v>1.4995715509854346E-2</v>
      </c>
      <c r="T744" s="2" t="s">
        <v>605</v>
      </c>
      <c r="U744" s="2">
        <v>5240.02978515625</v>
      </c>
      <c r="V744" s="11">
        <f t="shared" si="35"/>
        <v>1.0354085880061037E-2</v>
      </c>
    </row>
    <row r="745" spans="12:22" x14ac:dyDescent="0.2">
      <c r="L745" s="2" t="s">
        <v>604</v>
      </c>
      <c r="M745" s="2">
        <v>126.18</v>
      </c>
      <c r="N745" s="11">
        <f t="shared" si="33"/>
        <v>-4.0255742363247693E-3</v>
      </c>
      <c r="P745" s="2" t="s">
        <v>604</v>
      </c>
      <c r="Q745" s="2">
        <v>233.44</v>
      </c>
      <c r="R745" s="11">
        <f t="shared" si="34"/>
        <v>-1.460531869987336E-2</v>
      </c>
      <c r="T745" s="2" t="s">
        <v>604</v>
      </c>
      <c r="U745" s="2">
        <v>5199.5</v>
      </c>
      <c r="V745" s="11">
        <f t="shared" si="35"/>
        <v>-7.7346478585028633E-3</v>
      </c>
    </row>
    <row r="746" spans="12:22" x14ac:dyDescent="0.2">
      <c r="L746" s="2" t="s">
        <v>603</v>
      </c>
      <c r="M746" s="2">
        <v>131.75</v>
      </c>
      <c r="N746" s="11">
        <f t="shared" si="33"/>
        <v>4.4143287367253148E-2</v>
      </c>
      <c r="P746" s="2" t="s">
        <v>603</v>
      </c>
      <c r="Q746" s="2">
        <v>241.75</v>
      </c>
      <c r="R746" s="11">
        <f t="shared" si="34"/>
        <v>3.5598012337217266E-2</v>
      </c>
      <c r="T746" s="2" t="s">
        <v>603</v>
      </c>
      <c r="U746" s="2">
        <v>5319.31005859375</v>
      </c>
      <c r="V746" s="11">
        <f t="shared" si="35"/>
        <v>2.3042611519136447E-2</v>
      </c>
    </row>
    <row r="747" spans="12:22" x14ac:dyDescent="0.2">
      <c r="L747" s="2" t="s">
        <v>602</v>
      </c>
      <c r="M747" s="2">
        <v>132.27000000000001</v>
      </c>
      <c r="N747" s="11">
        <f t="shared" si="33"/>
        <v>3.9468690702089138E-3</v>
      </c>
      <c r="P747" s="2" t="s">
        <v>602</v>
      </c>
      <c r="Q747" s="2">
        <v>238.72</v>
      </c>
      <c r="R747" s="11">
        <f t="shared" si="34"/>
        <v>-1.2533609100310206E-2</v>
      </c>
      <c r="T747" s="2" t="s">
        <v>602</v>
      </c>
      <c r="U747" s="2">
        <v>5344.16015625</v>
      </c>
      <c r="V747" s="11">
        <f t="shared" si="35"/>
        <v>4.6716768495385086E-3</v>
      </c>
    </row>
    <row r="748" spans="12:22" x14ac:dyDescent="0.2">
      <c r="L748" s="2" t="s">
        <v>601</v>
      </c>
      <c r="M748" s="2">
        <v>130.24</v>
      </c>
      <c r="N748" s="11">
        <f t="shared" si="33"/>
        <v>-1.5347395478944592E-2</v>
      </c>
      <c r="P748" s="2" t="s">
        <v>601</v>
      </c>
      <c r="Q748" s="2">
        <v>239.7</v>
      </c>
      <c r="R748" s="11">
        <f t="shared" si="34"/>
        <v>4.1052278820374877E-3</v>
      </c>
      <c r="T748" s="2" t="s">
        <v>601</v>
      </c>
      <c r="U748" s="2">
        <v>5344.39013671875</v>
      </c>
      <c r="V748" s="11">
        <f t="shared" si="35"/>
        <v>4.3033977655149158E-5</v>
      </c>
    </row>
    <row r="749" spans="12:22" x14ac:dyDescent="0.2">
      <c r="L749" s="2" t="s">
        <v>600</v>
      </c>
      <c r="M749" s="2">
        <v>134.61000000000001</v>
      </c>
      <c r="N749" s="11">
        <f t="shared" si="33"/>
        <v>3.3553439803439833E-2</v>
      </c>
      <c r="P749" s="2" t="s">
        <v>600</v>
      </c>
      <c r="Q749" s="2">
        <v>241.95</v>
      </c>
      <c r="R749" s="11">
        <f t="shared" si="34"/>
        <v>9.386733416770987E-3</v>
      </c>
      <c r="T749" s="2" t="s">
        <v>600</v>
      </c>
      <c r="U749" s="2">
        <v>5434.43017578125</v>
      </c>
      <c r="V749" s="11">
        <f t="shared" si="35"/>
        <v>1.6847579753558328E-2</v>
      </c>
    </row>
    <row r="750" spans="12:22" x14ac:dyDescent="0.2">
      <c r="L750" s="2" t="s">
        <v>599</v>
      </c>
      <c r="M750" s="2">
        <v>131.38999999999999</v>
      </c>
      <c r="N750" s="11">
        <f t="shared" si="33"/>
        <v>-2.3920956838273777E-2</v>
      </c>
      <c r="P750" s="2" t="s">
        <v>599</v>
      </c>
      <c r="Q750" s="2">
        <v>240.49</v>
      </c>
      <c r="R750" s="11">
        <f t="shared" si="34"/>
        <v>-6.0343046083900509E-3</v>
      </c>
      <c r="T750" s="2" t="s">
        <v>599</v>
      </c>
      <c r="U750" s="2">
        <v>5455.2099609375</v>
      </c>
      <c r="V750" s="11">
        <f t="shared" si="35"/>
        <v>3.8237284285767004E-3</v>
      </c>
    </row>
    <row r="751" spans="12:22" x14ac:dyDescent="0.2">
      <c r="L751" s="2" t="s">
        <v>598</v>
      </c>
      <c r="M751" s="2">
        <v>137.18</v>
      </c>
      <c r="N751" s="11">
        <f t="shared" si="33"/>
        <v>4.4067280614963344E-2</v>
      </c>
      <c r="P751" s="2" t="s">
        <v>598</v>
      </c>
      <c r="Q751" s="2">
        <v>256.55</v>
      </c>
      <c r="R751" s="11">
        <f t="shared" si="34"/>
        <v>6.6780323506174799E-2</v>
      </c>
      <c r="T751" s="2" t="s">
        <v>598</v>
      </c>
      <c r="U751" s="2">
        <v>5543.22021484375</v>
      </c>
      <c r="V751" s="11">
        <f t="shared" si="35"/>
        <v>1.6133247764330783E-2</v>
      </c>
    </row>
    <row r="752" spans="12:22" x14ac:dyDescent="0.2">
      <c r="L752" s="2" t="s">
        <v>597</v>
      </c>
      <c r="M752" s="2">
        <v>136.05000000000001</v>
      </c>
      <c r="N752" s="11">
        <f t="shared" si="33"/>
        <v>-8.2373523837293572E-3</v>
      </c>
      <c r="P752" s="2" t="s">
        <v>597</v>
      </c>
      <c r="Q752" s="2">
        <v>258.10000000000002</v>
      </c>
      <c r="R752" s="11">
        <f t="shared" si="34"/>
        <v>6.0417072695382323E-3</v>
      </c>
      <c r="T752" s="2" t="s">
        <v>597</v>
      </c>
      <c r="U752" s="2">
        <v>5554.25</v>
      </c>
      <c r="V752" s="11">
        <f t="shared" si="35"/>
        <v>1.989779357261412E-3</v>
      </c>
    </row>
    <row r="753" spans="12:22" x14ac:dyDescent="0.2">
      <c r="L753" s="2" t="s">
        <v>596</v>
      </c>
      <c r="M753" s="2">
        <v>139.31</v>
      </c>
      <c r="N753" s="11">
        <f t="shared" si="33"/>
        <v>2.3961778757809471E-2</v>
      </c>
      <c r="P753" s="2" t="s">
        <v>596</v>
      </c>
      <c r="Q753" s="2">
        <v>259.12</v>
      </c>
      <c r="R753" s="11">
        <f t="shared" si="34"/>
        <v>3.9519566059667E-3</v>
      </c>
      <c r="T753" s="2" t="s">
        <v>596</v>
      </c>
      <c r="U753" s="2">
        <v>5608.25</v>
      </c>
      <c r="V753" s="11">
        <f t="shared" si="35"/>
        <v>9.7222847369131671E-3</v>
      </c>
    </row>
    <row r="754" spans="12:22" x14ac:dyDescent="0.2">
      <c r="L754" s="2" t="s">
        <v>595</v>
      </c>
      <c r="M754" s="2">
        <v>135.01</v>
      </c>
      <c r="N754" s="11">
        <f t="shared" si="33"/>
        <v>-3.0866413035675944E-2</v>
      </c>
      <c r="P754" s="2" t="s">
        <v>595</v>
      </c>
      <c r="Q754" s="2">
        <v>260.60000000000002</v>
      </c>
      <c r="R754" s="11">
        <f t="shared" si="34"/>
        <v>5.7116393948750677E-3</v>
      </c>
      <c r="T754" s="2" t="s">
        <v>595</v>
      </c>
      <c r="U754" s="2">
        <v>5597.1201171875</v>
      </c>
      <c r="V754" s="11">
        <f t="shared" si="35"/>
        <v>-1.9845553982971165E-3</v>
      </c>
    </row>
    <row r="755" spans="12:22" x14ac:dyDescent="0.2">
      <c r="L755" s="2" t="s">
        <v>594</v>
      </c>
      <c r="M755" s="2">
        <v>140.6</v>
      </c>
      <c r="N755" s="11">
        <f t="shared" si="33"/>
        <v>4.1404340419228136E-2</v>
      </c>
      <c r="P755" s="2" t="s">
        <v>594</v>
      </c>
      <c r="Q755" s="2">
        <v>265.63</v>
      </c>
      <c r="R755" s="11">
        <f t="shared" si="34"/>
        <v>1.9301611665387464E-2</v>
      </c>
      <c r="T755" s="2" t="s">
        <v>594</v>
      </c>
      <c r="U755" s="2">
        <v>5620.85009765625</v>
      </c>
      <c r="V755" s="11">
        <f t="shared" si="35"/>
        <v>4.239676828782013E-3</v>
      </c>
    </row>
    <row r="756" spans="12:22" x14ac:dyDescent="0.2">
      <c r="L756" s="2" t="s">
        <v>593</v>
      </c>
      <c r="M756" s="2">
        <v>142.06</v>
      </c>
      <c r="N756" s="11">
        <f t="shared" si="33"/>
        <v>1.0384068278805225E-2</v>
      </c>
      <c r="P756" s="2" t="s">
        <v>593</v>
      </c>
      <c r="Q756" s="2">
        <v>263.45</v>
      </c>
      <c r="R756" s="11">
        <f t="shared" si="34"/>
        <v>-8.2069043406242104E-3</v>
      </c>
      <c r="T756" s="2" t="s">
        <v>593</v>
      </c>
      <c r="U756" s="2">
        <v>5570.64013671875</v>
      </c>
      <c r="V756" s="11">
        <f t="shared" si="35"/>
        <v>-8.9328055481209256E-3</v>
      </c>
    </row>
    <row r="757" spans="12:22" x14ac:dyDescent="0.2">
      <c r="L757" s="2" t="s">
        <v>592</v>
      </c>
      <c r="M757" s="2">
        <v>144.69</v>
      </c>
      <c r="N757" s="11">
        <f t="shared" si="33"/>
        <v>1.8513304237645967E-2</v>
      </c>
      <c r="P757" s="2" t="s">
        <v>592</v>
      </c>
      <c r="Q757" s="2">
        <v>268.55</v>
      </c>
      <c r="R757" s="11">
        <f t="shared" si="34"/>
        <v>1.9358512051622867E-2</v>
      </c>
      <c r="T757" s="2" t="s">
        <v>592</v>
      </c>
      <c r="U757" s="2">
        <v>5634.60986328125</v>
      </c>
      <c r="V757" s="11">
        <f t="shared" si="35"/>
        <v>1.148337085011919E-2</v>
      </c>
    </row>
    <row r="758" spans="12:22" x14ac:dyDescent="0.2">
      <c r="L758" s="2" t="s">
        <v>591</v>
      </c>
      <c r="M758" s="2">
        <v>140.07499999999999</v>
      </c>
      <c r="N758" s="11">
        <f t="shared" si="33"/>
        <v>-3.1895777178796103E-2</v>
      </c>
      <c r="P758" s="2" t="s">
        <v>591</v>
      </c>
      <c r="Q758" s="2">
        <v>271.66000000000003</v>
      </c>
      <c r="R758" s="11">
        <f t="shared" si="34"/>
        <v>1.1580711226959695E-2</v>
      </c>
      <c r="T758" s="2" t="s">
        <v>591</v>
      </c>
      <c r="U758" s="2">
        <v>5616.83984375</v>
      </c>
      <c r="V758" s="11">
        <f t="shared" si="35"/>
        <v>-3.1537266931381813E-3</v>
      </c>
    </row>
    <row r="759" spans="12:22" x14ac:dyDescent="0.2">
      <c r="L759" s="2" t="s">
        <v>590</v>
      </c>
      <c r="M759" s="2">
        <v>143.18</v>
      </c>
      <c r="N759" s="11">
        <f t="shared" si="33"/>
        <v>2.2166696412636133E-2</v>
      </c>
      <c r="P759" s="2" t="s">
        <v>590</v>
      </c>
      <c r="Q759" s="2">
        <v>271.18</v>
      </c>
      <c r="R759" s="11">
        <f t="shared" si="34"/>
        <v>-1.7669145255099217E-3</v>
      </c>
      <c r="T759" s="2" t="s">
        <v>590</v>
      </c>
      <c r="U759" s="2">
        <v>5625.7998046875</v>
      </c>
      <c r="V759" s="11">
        <f t="shared" si="35"/>
        <v>1.5951960865450143E-3</v>
      </c>
    </row>
    <row r="760" spans="12:22" x14ac:dyDescent="0.2">
      <c r="L760" s="2" t="s">
        <v>589</v>
      </c>
      <c r="M760" s="2">
        <v>143.11000000000001</v>
      </c>
      <c r="N760" s="11">
        <f t="shared" si="33"/>
        <v>-4.888950970804995E-4</v>
      </c>
      <c r="P760" s="2" t="s">
        <v>589</v>
      </c>
      <c r="Q760" s="2">
        <v>258.83</v>
      </c>
      <c r="R760" s="11">
        <f t="shared" si="34"/>
        <v>-4.5541706615532251E-2</v>
      </c>
      <c r="T760" s="2" t="s">
        <v>589</v>
      </c>
      <c r="U760" s="2">
        <v>5592.18017578125</v>
      </c>
      <c r="V760" s="11">
        <f t="shared" si="35"/>
        <v>-5.9759732079761596E-3</v>
      </c>
    </row>
    <row r="761" spans="12:22" x14ac:dyDescent="0.2">
      <c r="L761" s="2" t="s">
        <v>588</v>
      </c>
      <c r="M761" s="2">
        <v>145.28</v>
      </c>
      <c r="N761" s="11">
        <f t="shared" si="33"/>
        <v>1.5163161204667652E-2</v>
      </c>
      <c r="P761" s="2" t="s">
        <v>588</v>
      </c>
      <c r="Q761" s="2">
        <v>259.01</v>
      </c>
      <c r="R761" s="11">
        <f t="shared" si="34"/>
        <v>6.9543715952558038E-4</v>
      </c>
      <c r="T761" s="2" t="s">
        <v>588</v>
      </c>
      <c r="U761" s="2">
        <v>5591.9599609375</v>
      </c>
      <c r="V761" s="11">
        <f t="shared" si="35"/>
        <v>-3.9379068060729772E-5</v>
      </c>
    </row>
    <row r="762" spans="12:22" x14ac:dyDescent="0.2">
      <c r="L762" s="2" t="s">
        <v>587</v>
      </c>
      <c r="M762" s="2">
        <v>146.16999999999999</v>
      </c>
      <c r="N762" s="11">
        <f t="shared" si="33"/>
        <v>6.126101321585864E-3</v>
      </c>
      <c r="P762" s="2" t="s">
        <v>587</v>
      </c>
      <c r="Q762" s="2">
        <v>259.47000000000003</v>
      </c>
      <c r="R762" s="11">
        <f t="shared" si="34"/>
        <v>1.7759932048957427E-3</v>
      </c>
      <c r="T762" s="2" t="s">
        <v>587</v>
      </c>
      <c r="U762" s="2">
        <v>5648.39990234375</v>
      </c>
      <c r="V762" s="11">
        <f t="shared" si="35"/>
        <v>1.0093051774424433E-2</v>
      </c>
    </row>
    <row r="763" spans="12:22" x14ac:dyDescent="0.2">
      <c r="L763" s="2" t="s">
        <v>586</v>
      </c>
      <c r="M763" s="2">
        <v>139.91999999999999</v>
      </c>
      <c r="N763" s="11">
        <f t="shared" si="33"/>
        <v>-4.2758431962783061E-2</v>
      </c>
      <c r="P763" s="2" t="s">
        <v>586</v>
      </c>
      <c r="Q763" s="2">
        <v>258.08</v>
      </c>
      <c r="R763" s="11">
        <f t="shared" si="34"/>
        <v>-5.3570740355340929E-3</v>
      </c>
      <c r="T763" s="2" t="s">
        <v>586</v>
      </c>
      <c r="U763" s="2">
        <v>5528.93017578125</v>
      </c>
      <c r="V763" s="11">
        <f t="shared" si="35"/>
        <v>-2.1151074397711689E-2</v>
      </c>
    </row>
    <row r="764" spans="12:22" x14ac:dyDescent="0.2">
      <c r="L764" s="2" t="s">
        <v>585</v>
      </c>
      <c r="M764" s="2">
        <v>138.91999999999999</v>
      </c>
      <c r="N764" s="11">
        <f t="shared" si="33"/>
        <v>-7.1469411092052182E-3</v>
      </c>
      <c r="P764" s="2" t="s">
        <v>585</v>
      </c>
      <c r="Q764" s="2">
        <v>255.51</v>
      </c>
      <c r="R764" s="11">
        <f t="shared" si="34"/>
        <v>-9.9581525108493052E-3</v>
      </c>
      <c r="T764" s="2" t="s">
        <v>585</v>
      </c>
      <c r="U764" s="2">
        <v>5520.06982421875</v>
      </c>
      <c r="V764" s="11">
        <f t="shared" si="35"/>
        <v>-1.6025435809103872E-3</v>
      </c>
    </row>
    <row r="765" spans="12:22" x14ac:dyDescent="0.2">
      <c r="L765" s="2" t="s">
        <v>584</v>
      </c>
      <c r="M765" s="2">
        <v>135.62</v>
      </c>
      <c r="N765" s="11">
        <f t="shared" si="33"/>
        <v>-2.3754678951914632E-2</v>
      </c>
      <c r="P765" s="2" t="s">
        <v>584</v>
      </c>
      <c r="Q765" s="2">
        <v>253.7</v>
      </c>
      <c r="R765" s="11">
        <f t="shared" si="34"/>
        <v>-7.0838714727408103E-3</v>
      </c>
      <c r="T765" s="2" t="s">
        <v>584</v>
      </c>
      <c r="U765" s="2">
        <v>5503.41015625</v>
      </c>
      <c r="V765" s="11">
        <f t="shared" si="35"/>
        <v>-3.0180176155847338E-3</v>
      </c>
    </row>
    <row r="766" spans="12:22" x14ac:dyDescent="0.2">
      <c r="L766" s="2" t="s">
        <v>583</v>
      </c>
      <c r="M766" s="2">
        <v>129.82</v>
      </c>
      <c r="N766" s="11">
        <f t="shared" si="33"/>
        <v>-4.2766553605662949E-2</v>
      </c>
      <c r="P766" s="2" t="s">
        <v>583</v>
      </c>
      <c r="Q766" s="2">
        <v>253.84</v>
      </c>
      <c r="R766" s="11">
        <f t="shared" si="34"/>
        <v>5.518328734726019E-4</v>
      </c>
      <c r="T766" s="2" t="s">
        <v>583</v>
      </c>
      <c r="U766" s="2">
        <v>5408.419921875</v>
      </c>
      <c r="V766" s="11">
        <f t="shared" si="35"/>
        <v>-1.7260249859284649E-2</v>
      </c>
    </row>
    <row r="767" spans="12:22" x14ac:dyDescent="0.2">
      <c r="L767" s="2" t="s">
        <v>582</v>
      </c>
      <c r="M767" s="2">
        <v>125.73</v>
      </c>
      <c r="N767" s="11">
        <f t="shared" si="33"/>
        <v>-3.1505160992142844E-2</v>
      </c>
      <c r="P767" s="2" t="s">
        <v>582</v>
      </c>
      <c r="Q767" s="2">
        <v>248.58500000000001</v>
      </c>
      <c r="R767" s="11">
        <f t="shared" si="34"/>
        <v>-2.0702017018594421E-2</v>
      </c>
      <c r="T767" s="2" t="s">
        <v>582</v>
      </c>
      <c r="U767" s="2">
        <v>5471.0498046875</v>
      </c>
      <c r="V767" s="11">
        <f t="shared" si="35"/>
        <v>1.1580070282484201E-2</v>
      </c>
    </row>
    <row r="768" spans="12:22" x14ac:dyDescent="0.2">
      <c r="L768" s="2" t="s">
        <v>581</v>
      </c>
      <c r="M768" s="2">
        <v>125.43</v>
      </c>
      <c r="N768" s="11">
        <f t="shared" si="33"/>
        <v>-2.3860653781913044E-3</v>
      </c>
      <c r="P768" s="2" t="s">
        <v>581</v>
      </c>
      <c r="Q768" s="2">
        <v>247.18</v>
      </c>
      <c r="R768" s="11">
        <f t="shared" si="34"/>
        <v>-5.6519902648993758E-3</v>
      </c>
      <c r="T768" s="2" t="s">
        <v>581</v>
      </c>
      <c r="U768" s="2">
        <v>5495.52001953125</v>
      </c>
      <c r="V768" s="11">
        <f t="shared" si="35"/>
        <v>4.4726726528396821E-3</v>
      </c>
    </row>
    <row r="769" spans="12:22" x14ac:dyDescent="0.2">
      <c r="L769" s="2" t="s">
        <v>580</v>
      </c>
      <c r="M769" s="2">
        <v>128.13999999999999</v>
      </c>
      <c r="N769" s="11">
        <f t="shared" si="33"/>
        <v>2.1605676472932878E-2</v>
      </c>
      <c r="P769" s="2" t="s">
        <v>580</v>
      </c>
      <c r="Q769" s="2">
        <v>255.2</v>
      </c>
      <c r="R769" s="11">
        <f t="shared" si="34"/>
        <v>3.2445990775952671E-2</v>
      </c>
      <c r="T769" s="2" t="s">
        <v>580</v>
      </c>
      <c r="U769" s="2">
        <v>5554.1298828125</v>
      </c>
      <c r="V769" s="11">
        <f t="shared" si="35"/>
        <v>1.0665025888896507E-2</v>
      </c>
    </row>
    <row r="770" spans="12:22" x14ac:dyDescent="0.2">
      <c r="L770" s="2" t="s">
        <v>579</v>
      </c>
      <c r="M770" s="2">
        <v>127.73</v>
      </c>
      <c r="N770" s="11">
        <f t="shared" si="33"/>
        <v>-3.1996254097079735E-3</v>
      </c>
      <c r="P770" s="2" t="s">
        <v>579</v>
      </c>
      <c r="Q770" s="2">
        <v>260.14</v>
      </c>
      <c r="R770" s="11">
        <f t="shared" si="34"/>
        <v>1.9357366771159956E-2</v>
      </c>
      <c r="T770" s="2" t="s">
        <v>579</v>
      </c>
      <c r="U770" s="2">
        <v>5595.759765625</v>
      </c>
      <c r="V770" s="11">
        <f t="shared" si="35"/>
        <v>7.4953023589392487E-3</v>
      </c>
    </row>
    <row r="771" spans="12:22" x14ac:dyDescent="0.2">
      <c r="L771" s="2" t="s">
        <v>578</v>
      </c>
      <c r="M771" s="2">
        <v>128.77000000000001</v>
      </c>
      <c r="N771" s="11">
        <f t="shared" si="33"/>
        <v>8.1421749001802102E-3</v>
      </c>
      <c r="P771" s="2" t="s">
        <v>578</v>
      </c>
      <c r="Q771" s="2">
        <v>266.76</v>
      </c>
      <c r="R771" s="11">
        <f t="shared" si="34"/>
        <v>2.5447835780733508E-2</v>
      </c>
      <c r="T771" s="2" t="s">
        <v>578</v>
      </c>
      <c r="U771" s="2">
        <v>5626.02001953125</v>
      </c>
      <c r="V771" s="11">
        <f t="shared" si="35"/>
        <v>5.407711405364557E-3</v>
      </c>
    </row>
    <row r="772" spans="12:22" x14ac:dyDescent="0.2">
      <c r="L772" s="2" t="s">
        <v>577</v>
      </c>
      <c r="M772" s="2">
        <v>135.47</v>
      </c>
      <c r="N772" s="11">
        <f t="shared" si="33"/>
        <v>5.2030752504465205E-2</v>
      </c>
      <c r="P772" s="2" t="s">
        <v>577</v>
      </c>
      <c r="Q772" s="2">
        <v>265.3</v>
      </c>
      <c r="R772" s="11">
        <f t="shared" si="34"/>
        <v>-5.4730844204528006E-3</v>
      </c>
      <c r="T772" s="2" t="s">
        <v>577</v>
      </c>
      <c r="U772" s="2">
        <v>5633.08984375</v>
      </c>
      <c r="V772" s="11">
        <f t="shared" si="35"/>
        <v>1.2566297656613212E-3</v>
      </c>
    </row>
    <row r="773" spans="12:22" x14ac:dyDescent="0.2">
      <c r="L773" s="2" t="s">
        <v>576</v>
      </c>
      <c r="M773" s="2">
        <v>138.43</v>
      </c>
      <c r="N773" s="11">
        <f t="shared" si="33"/>
        <v>2.1849856056691541E-2</v>
      </c>
      <c r="P773" s="2" t="s">
        <v>576</v>
      </c>
      <c r="Q773" s="2">
        <v>268.41000000000003</v>
      </c>
      <c r="R773" s="11">
        <f t="shared" si="34"/>
        <v>1.1722578213343438E-2</v>
      </c>
      <c r="T773" s="2" t="s">
        <v>576</v>
      </c>
      <c r="U773" s="2">
        <v>5634.580078125</v>
      </c>
      <c r="V773" s="11">
        <f t="shared" si="35"/>
        <v>2.6455008109871336E-4</v>
      </c>
    </row>
    <row r="774" spans="12:22" x14ac:dyDescent="0.2">
      <c r="L774" s="2" t="s">
        <v>575</v>
      </c>
      <c r="M774" s="2">
        <v>139.81</v>
      </c>
      <c r="N774" s="11">
        <f t="shared" ref="N774:N837" si="36">+M774/M773-1</f>
        <v>9.9689373690674543E-3</v>
      </c>
      <c r="P774" s="2" t="s">
        <v>575</v>
      </c>
      <c r="Q774" s="2">
        <v>270.2</v>
      </c>
      <c r="R774" s="11">
        <f t="shared" ref="R774:R837" si="37">+Q774/Q773-1</f>
        <v>6.6689020528294396E-3</v>
      </c>
      <c r="T774" s="2" t="s">
        <v>575</v>
      </c>
      <c r="U774" s="2">
        <v>5618.259765625</v>
      </c>
      <c r="V774" s="11">
        <f t="shared" ref="V774:V837" si="38">+U774/U773-1</f>
        <v>-2.8964558624980929E-3</v>
      </c>
    </row>
    <row r="775" spans="12:22" x14ac:dyDescent="0.2">
      <c r="L775" s="2" t="s">
        <v>574</v>
      </c>
      <c r="M775" s="2">
        <v>137.91999999999999</v>
      </c>
      <c r="N775" s="11">
        <f t="shared" si="36"/>
        <v>-1.3518346327158426E-2</v>
      </c>
      <c r="P775" s="2" t="s">
        <v>574</v>
      </c>
      <c r="Q775" s="2">
        <v>270.76</v>
      </c>
      <c r="R775" s="11">
        <f t="shared" si="37"/>
        <v>2.0725388601037231E-3</v>
      </c>
      <c r="T775" s="2" t="s">
        <v>574</v>
      </c>
      <c r="U775" s="2">
        <v>5713.64013671875</v>
      </c>
      <c r="V775" s="11">
        <f t="shared" si="38"/>
        <v>1.6976853166763339E-2</v>
      </c>
    </row>
    <row r="776" spans="12:22" x14ac:dyDescent="0.2">
      <c r="L776" s="2" t="s">
        <v>573</v>
      </c>
      <c r="M776" s="2">
        <v>139.05000000000001</v>
      </c>
      <c r="N776" s="11">
        <f t="shared" si="36"/>
        <v>8.1931554524363737E-3</v>
      </c>
      <c r="P776" s="2" t="s">
        <v>573</v>
      </c>
      <c r="Q776" s="2">
        <v>262.61</v>
      </c>
      <c r="R776" s="11">
        <f t="shared" si="37"/>
        <v>-3.0100457970158034E-2</v>
      </c>
      <c r="T776" s="2" t="s">
        <v>573</v>
      </c>
      <c r="U776" s="2">
        <v>5702.5498046875</v>
      </c>
      <c r="V776" s="11">
        <f t="shared" si="38"/>
        <v>-1.9410273951238066E-3</v>
      </c>
    </row>
    <row r="777" spans="12:22" x14ac:dyDescent="0.2">
      <c r="L777" s="2" t="s">
        <v>572</v>
      </c>
      <c r="M777" s="2">
        <v>143.75</v>
      </c>
      <c r="N777" s="11">
        <f t="shared" si="36"/>
        <v>3.380079108234435E-2</v>
      </c>
      <c r="P777" s="2" t="s">
        <v>572</v>
      </c>
      <c r="Q777" s="2">
        <v>259.8</v>
      </c>
      <c r="R777" s="11">
        <f t="shared" si="37"/>
        <v>-1.0700277978751727E-2</v>
      </c>
      <c r="T777" s="2" t="s">
        <v>572</v>
      </c>
      <c r="U777" s="2">
        <v>5718.56982421875</v>
      </c>
      <c r="V777" s="11">
        <f t="shared" si="38"/>
        <v>2.8092730585327352E-3</v>
      </c>
    </row>
    <row r="778" spans="12:22" x14ac:dyDescent="0.2">
      <c r="L778" s="2" t="s">
        <v>571</v>
      </c>
      <c r="M778" s="2">
        <v>144.83000000000001</v>
      </c>
      <c r="N778" s="11">
        <f t="shared" si="36"/>
        <v>7.5130434782608724E-3</v>
      </c>
      <c r="P778" s="2" t="s">
        <v>571</v>
      </c>
      <c r="Q778" s="2">
        <v>263.55</v>
      </c>
      <c r="R778" s="11">
        <f t="shared" si="37"/>
        <v>1.443418013856812E-2</v>
      </c>
      <c r="T778" s="2" t="s">
        <v>571</v>
      </c>
      <c r="U778" s="2">
        <v>5732.93017578125</v>
      </c>
      <c r="V778" s="11">
        <f t="shared" si="38"/>
        <v>2.5111788443470395E-3</v>
      </c>
    </row>
    <row r="779" spans="12:22" x14ac:dyDescent="0.2">
      <c r="L779" s="2" t="s">
        <v>570</v>
      </c>
      <c r="M779" s="2">
        <v>143.04</v>
      </c>
      <c r="N779" s="11">
        <f t="shared" si="36"/>
        <v>-1.2359317820893612E-2</v>
      </c>
      <c r="P779" s="2" t="s">
        <v>570</v>
      </c>
      <c r="Q779" s="2">
        <v>259.74</v>
      </c>
      <c r="R779" s="11">
        <f t="shared" si="37"/>
        <v>-1.4456459874786609E-2</v>
      </c>
      <c r="T779" s="2" t="s">
        <v>570</v>
      </c>
      <c r="U779" s="2">
        <v>5722.259765625</v>
      </c>
      <c r="V779" s="11">
        <f t="shared" si="38"/>
        <v>-1.8612489301417234E-3</v>
      </c>
    </row>
    <row r="780" spans="12:22" x14ac:dyDescent="0.2">
      <c r="L780" s="2" t="s">
        <v>569</v>
      </c>
      <c r="M780" s="2">
        <v>147.4</v>
      </c>
      <c r="N780" s="11">
        <f t="shared" si="36"/>
        <v>3.048098434004487E-2</v>
      </c>
      <c r="P780" s="2" t="s">
        <v>569</v>
      </c>
      <c r="Q780" s="2">
        <v>268.82</v>
      </c>
      <c r="R780" s="11">
        <f t="shared" si="37"/>
        <v>3.4958034958034956E-2</v>
      </c>
      <c r="T780" s="2" t="s">
        <v>569</v>
      </c>
      <c r="U780" s="2">
        <v>5745.3701171875</v>
      </c>
      <c r="V780" s="11">
        <f t="shared" si="38"/>
        <v>4.0386757171231302E-3</v>
      </c>
    </row>
    <row r="781" spans="12:22" x14ac:dyDescent="0.2">
      <c r="L781" s="2" t="s">
        <v>568</v>
      </c>
      <c r="M781" s="2">
        <v>144.31</v>
      </c>
      <c r="N781" s="11">
        <f t="shared" si="36"/>
        <v>-2.0963364993215716E-2</v>
      </c>
      <c r="P781" s="2" t="s">
        <v>568</v>
      </c>
      <c r="Q781" s="2">
        <v>280.01</v>
      </c>
      <c r="R781" s="11">
        <f t="shared" si="37"/>
        <v>4.1626367085782379E-2</v>
      </c>
      <c r="T781" s="2" t="s">
        <v>568</v>
      </c>
      <c r="U781" s="2">
        <v>5738.169921875</v>
      </c>
      <c r="V781" s="11">
        <f t="shared" si="38"/>
        <v>-1.2532169669905446E-3</v>
      </c>
    </row>
    <row r="782" spans="12:22" x14ac:dyDescent="0.2">
      <c r="L782" s="2" t="s">
        <v>567</v>
      </c>
      <c r="M782" s="2">
        <v>144.81</v>
      </c>
      <c r="N782" s="11">
        <f t="shared" si="36"/>
        <v>3.4647633566626812E-3</v>
      </c>
      <c r="P782" s="2" t="s">
        <v>567</v>
      </c>
      <c r="Q782" s="2">
        <v>271.35000000000002</v>
      </c>
      <c r="R782" s="11">
        <f t="shared" si="37"/>
        <v>-3.0927466876182863E-2</v>
      </c>
      <c r="T782" s="2" t="s">
        <v>567</v>
      </c>
      <c r="U782" s="2">
        <v>5762.47998046875</v>
      </c>
      <c r="V782" s="11">
        <f t="shared" si="38"/>
        <v>4.2365525811767224E-3</v>
      </c>
    </row>
    <row r="783" spans="12:22" x14ac:dyDescent="0.2">
      <c r="L783" s="2" t="s">
        <v>566</v>
      </c>
      <c r="M783" s="2">
        <v>141.63</v>
      </c>
      <c r="N783" s="11">
        <f t="shared" si="36"/>
        <v>-2.1959809405427855E-2</v>
      </c>
      <c r="P783" s="2" t="s">
        <v>566</v>
      </c>
      <c r="Q783" s="2">
        <v>266.45</v>
      </c>
      <c r="R783" s="11">
        <f t="shared" si="37"/>
        <v>-1.8057858853878894E-2</v>
      </c>
      <c r="T783" s="2" t="s">
        <v>566</v>
      </c>
      <c r="U783" s="2">
        <v>5708.75</v>
      </c>
      <c r="V783" s="11">
        <f t="shared" si="38"/>
        <v>-9.3241070946643578E-3</v>
      </c>
    </row>
    <row r="784" spans="12:22" x14ac:dyDescent="0.2">
      <c r="L784" s="2" t="s">
        <v>565</v>
      </c>
      <c r="M784" s="2">
        <v>140.80000000000001</v>
      </c>
      <c r="N784" s="11">
        <f t="shared" si="36"/>
        <v>-5.8603403233776774E-3</v>
      </c>
      <c r="P784" s="2" t="s">
        <v>565</v>
      </c>
      <c r="Q784" s="2">
        <v>260.52999999999997</v>
      </c>
      <c r="R784" s="11">
        <f t="shared" si="37"/>
        <v>-2.2218052167386038E-2</v>
      </c>
      <c r="T784" s="2" t="s">
        <v>565</v>
      </c>
      <c r="U784" s="2">
        <v>5709.5400390625</v>
      </c>
      <c r="V784" s="11">
        <f t="shared" si="38"/>
        <v>1.3839090212397487E-4</v>
      </c>
    </row>
    <row r="785" spans="12:22" x14ac:dyDescent="0.2">
      <c r="L785" s="2" t="s">
        <v>564</v>
      </c>
      <c r="M785" s="2">
        <v>137.99</v>
      </c>
      <c r="N785" s="11">
        <f t="shared" si="36"/>
        <v>-1.995738636363642E-2</v>
      </c>
      <c r="P785" s="2" t="s">
        <v>564</v>
      </c>
      <c r="Q785" s="2">
        <v>262.56</v>
      </c>
      <c r="R785" s="11">
        <f t="shared" si="37"/>
        <v>7.7918090047213173E-3</v>
      </c>
      <c r="T785" s="2" t="s">
        <v>564</v>
      </c>
      <c r="U785" s="2">
        <v>5699.93994140625</v>
      </c>
      <c r="V785" s="11">
        <f t="shared" si="38"/>
        <v>-1.681413492255035E-3</v>
      </c>
    </row>
    <row r="786" spans="12:22" x14ac:dyDescent="0.2">
      <c r="L786" s="2" t="s">
        <v>563</v>
      </c>
      <c r="M786" s="2">
        <v>141.93</v>
      </c>
      <c r="N786" s="11">
        <f t="shared" si="36"/>
        <v>2.8552793680701516E-2</v>
      </c>
      <c r="P786" s="2" t="s">
        <v>563</v>
      </c>
      <c r="Q786" s="2">
        <v>270.38</v>
      </c>
      <c r="R786" s="11">
        <f t="shared" si="37"/>
        <v>2.9783668494820281E-2</v>
      </c>
      <c r="T786" s="2" t="s">
        <v>563</v>
      </c>
      <c r="U786" s="2">
        <v>5751.06982421875</v>
      </c>
      <c r="V786" s="11">
        <f t="shared" si="38"/>
        <v>8.9702493952743545E-3</v>
      </c>
    </row>
    <row r="787" spans="12:22" x14ac:dyDescent="0.2">
      <c r="L787" s="2" t="s">
        <v>562</v>
      </c>
      <c r="M787" s="2">
        <v>136.54</v>
      </c>
      <c r="N787" s="11">
        <f t="shared" si="36"/>
        <v>-3.797646727259929E-2</v>
      </c>
      <c r="P787" s="2" t="s">
        <v>562</v>
      </c>
      <c r="Q787" s="2">
        <v>272.48</v>
      </c>
      <c r="R787" s="11">
        <f t="shared" si="37"/>
        <v>7.766846660256066E-3</v>
      </c>
      <c r="T787" s="2" t="s">
        <v>562</v>
      </c>
      <c r="U787" s="2">
        <v>5695.93994140625</v>
      </c>
      <c r="V787" s="11">
        <f t="shared" si="38"/>
        <v>-9.5860221658826683E-3</v>
      </c>
    </row>
    <row r="788" spans="12:22" x14ac:dyDescent="0.2">
      <c r="L788" s="2" t="s">
        <v>561</v>
      </c>
      <c r="M788" s="2">
        <v>135.61000000000001</v>
      </c>
      <c r="N788" s="11">
        <f t="shared" si="36"/>
        <v>-6.8111908598211812E-3</v>
      </c>
      <c r="P788" s="2" t="s">
        <v>561</v>
      </c>
      <c r="Q788" s="2">
        <v>276.58999999999997</v>
      </c>
      <c r="R788" s="11">
        <f t="shared" si="37"/>
        <v>1.5083675866118362E-2</v>
      </c>
      <c r="T788" s="2" t="s">
        <v>561</v>
      </c>
      <c r="U788" s="2">
        <v>5751.1298828125</v>
      </c>
      <c r="V788" s="11">
        <f t="shared" si="38"/>
        <v>9.6893474955819237E-3</v>
      </c>
    </row>
    <row r="789" spans="12:22" x14ac:dyDescent="0.2">
      <c r="L789" s="2" t="s">
        <v>560</v>
      </c>
      <c r="M789" s="2">
        <v>135.11000000000001</v>
      </c>
      <c r="N789" s="11">
        <f t="shared" si="36"/>
        <v>-3.6870437283386126E-3</v>
      </c>
      <c r="P789" s="2" t="s">
        <v>560</v>
      </c>
      <c r="Q789" s="2">
        <v>274.12</v>
      </c>
      <c r="R789" s="11">
        <f t="shared" si="37"/>
        <v>-8.9301854730827745E-3</v>
      </c>
      <c r="T789" s="2" t="s">
        <v>560</v>
      </c>
      <c r="U789" s="2">
        <v>5792.0400390625</v>
      </c>
      <c r="V789" s="11">
        <f t="shared" si="38"/>
        <v>7.1134119874882717E-3</v>
      </c>
    </row>
    <row r="790" spans="12:22" x14ac:dyDescent="0.2">
      <c r="L790" s="2" t="s">
        <v>559</v>
      </c>
      <c r="M790" s="2">
        <v>136.74</v>
      </c>
      <c r="N790" s="11">
        <f t="shared" si="36"/>
        <v>1.2064243949374553E-2</v>
      </c>
      <c r="P790" s="2" t="s">
        <v>559</v>
      </c>
      <c r="Q790" s="2">
        <v>273.58</v>
      </c>
      <c r="R790" s="11">
        <f t="shared" si="37"/>
        <v>-1.9699401721874343E-3</v>
      </c>
      <c r="T790" s="2" t="s">
        <v>559</v>
      </c>
      <c r="U790" s="2">
        <v>5780.0498046875</v>
      </c>
      <c r="V790" s="11">
        <f t="shared" si="38"/>
        <v>-2.070122839989974E-3</v>
      </c>
    </row>
    <row r="791" spans="12:22" x14ac:dyDescent="0.2">
      <c r="L791" s="2" t="s">
        <v>558</v>
      </c>
      <c r="M791" s="2">
        <v>139.55000000000001</v>
      </c>
      <c r="N791" s="11">
        <f t="shared" si="36"/>
        <v>2.0549948807956797E-2</v>
      </c>
      <c r="P791" s="2" t="s">
        <v>558</v>
      </c>
      <c r="Q791" s="2">
        <v>278.245</v>
      </c>
      <c r="R791" s="11">
        <f t="shared" si="37"/>
        <v>1.7051685064697786E-2</v>
      </c>
      <c r="T791" s="2" t="s">
        <v>558</v>
      </c>
      <c r="U791" s="2">
        <v>5815.02978515625</v>
      </c>
      <c r="V791" s="11">
        <f t="shared" si="38"/>
        <v>6.0518475879536293E-3</v>
      </c>
    </row>
    <row r="792" spans="12:22" x14ac:dyDescent="0.2">
      <c r="L792" s="2" t="s">
        <v>557</v>
      </c>
      <c r="M792" s="2">
        <v>139.43</v>
      </c>
      <c r="N792" s="11">
        <f t="shared" si="36"/>
        <v>-8.5990684342529544E-4</v>
      </c>
      <c r="P792" s="2" t="s">
        <v>557</v>
      </c>
      <c r="Q792" s="2">
        <v>286.76</v>
      </c>
      <c r="R792" s="11">
        <f t="shared" si="37"/>
        <v>3.0602526550342235E-2</v>
      </c>
      <c r="T792" s="2" t="s">
        <v>557</v>
      </c>
      <c r="U792" s="2">
        <v>5859.85009765625</v>
      </c>
      <c r="V792" s="11">
        <f t="shared" si="38"/>
        <v>7.7076668832223305E-3</v>
      </c>
    </row>
    <row r="793" spans="12:22" x14ac:dyDescent="0.2">
      <c r="L793" s="2" t="s">
        <v>556</v>
      </c>
      <c r="M793" s="2">
        <v>140.44999999999999</v>
      </c>
      <c r="N793" s="11">
        <f t="shared" si="36"/>
        <v>7.3154988166104218E-3</v>
      </c>
      <c r="P793" s="2" t="s">
        <v>556</v>
      </c>
      <c r="Q793" s="2">
        <v>287.48</v>
      </c>
      <c r="R793" s="11">
        <f t="shared" si="37"/>
        <v>2.5108104338122939E-3</v>
      </c>
      <c r="T793" s="2" t="s">
        <v>556</v>
      </c>
      <c r="U793" s="2">
        <v>5815.259765625</v>
      </c>
      <c r="V793" s="11">
        <f t="shared" si="38"/>
        <v>-7.6094663324381973E-3</v>
      </c>
    </row>
    <row r="794" spans="12:22" x14ac:dyDescent="0.2">
      <c r="L794" s="2" t="s">
        <v>555</v>
      </c>
      <c r="M794" s="2">
        <v>137.54</v>
      </c>
      <c r="N794" s="11">
        <f t="shared" si="36"/>
        <v>-2.0719117123531472E-2</v>
      </c>
      <c r="P794" s="2" t="s">
        <v>555</v>
      </c>
      <c r="Q794" s="2">
        <v>294.20999999999998</v>
      </c>
      <c r="R794" s="11">
        <f t="shared" si="37"/>
        <v>2.3410324196465604E-2</v>
      </c>
      <c r="T794" s="2" t="s">
        <v>555</v>
      </c>
      <c r="U794" s="2">
        <v>5842.47021484375</v>
      </c>
      <c r="V794" s="11">
        <f t="shared" si="38"/>
        <v>4.6791459565738158E-3</v>
      </c>
    </row>
    <row r="795" spans="12:22" x14ac:dyDescent="0.2">
      <c r="L795" s="2" t="s">
        <v>554</v>
      </c>
      <c r="M795" s="2">
        <v>136.09</v>
      </c>
      <c r="N795" s="11">
        <f t="shared" si="36"/>
        <v>-1.0542387669041697E-2</v>
      </c>
      <c r="P795" s="2" t="s">
        <v>554</v>
      </c>
      <c r="Q795" s="2">
        <v>283.70999999999998</v>
      </c>
      <c r="R795" s="11">
        <f t="shared" si="37"/>
        <v>-3.5688793718772316E-2</v>
      </c>
      <c r="T795" s="2" t="s">
        <v>554</v>
      </c>
      <c r="U795" s="2">
        <v>5841.47021484375</v>
      </c>
      <c r="V795" s="11">
        <f t="shared" si="38"/>
        <v>-1.7116047891174713E-4</v>
      </c>
    </row>
    <row r="796" spans="12:22" x14ac:dyDescent="0.2">
      <c r="L796" s="2" t="s">
        <v>553</v>
      </c>
      <c r="M796" s="2">
        <v>139.4</v>
      </c>
      <c r="N796" s="11">
        <f t="shared" si="36"/>
        <v>2.4322139760452721E-2</v>
      </c>
      <c r="P796" s="2" t="s">
        <v>553</v>
      </c>
      <c r="Q796" s="2">
        <v>291.63</v>
      </c>
      <c r="R796" s="11">
        <f t="shared" si="37"/>
        <v>2.7915829544252979E-2</v>
      </c>
      <c r="T796" s="2" t="s">
        <v>553</v>
      </c>
      <c r="U796" s="2">
        <v>5864.669921875</v>
      </c>
      <c r="V796" s="11">
        <f t="shared" si="38"/>
        <v>3.9715527389487804E-3</v>
      </c>
    </row>
    <row r="797" spans="12:22" x14ac:dyDescent="0.2">
      <c r="L797" s="2" t="s">
        <v>552</v>
      </c>
      <c r="M797" s="2">
        <v>138.22999999999999</v>
      </c>
      <c r="N797" s="11">
        <f t="shared" si="36"/>
        <v>-8.3931133428982729E-3</v>
      </c>
      <c r="P797" s="2" t="s">
        <v>552</v>
      </c>
      <c r="Q797" s="2">
        <v>297.74</v>
      </c>
      <c r="R797" s="11">
        <f t="shared" si="37"/>
        <v>2.0951205294379882E-2</v>
      </c>
      <c r="T797" s="2" t="s">
        <v>552</v>
      </c>
      <c r="U797" s="2">
        <v>5853.97998046875</v>
      </c>
      <c r="V797" s="11">
        <f t="shared" si="38"/>
        <v>-1.8227694906369774E-3</v>
      </c>
    </row>
    <row r="798" spans="12:22" x14ac:dyDescent="0.2">
      <c r="L798" s="2" t="s">
        <v>551</v>
      </c>
      <c r="M798" s="2">
        <v>132.35</v>
      </c>
      <c r="N798" s="11">
        <f t="shared" si="36"/>
        <v>-4.2537799319973923E-2</v>
      </c>
      <c r="P798" s="2" t="s">
        <v>551</v>
      </c>
      <c r="Q798" s="2">
        <v>298.88</v>
      </c>
      <c r="R798" s="11">
        <f t="shared" si="37"/>
        <v>3.8288439578155753E-3</v>
      </c>
      <c r="T798" s="2" t="s">
        <v>551</v>
      </c>
      <c r="U798" s="2">
        <v>5851.2001953125</v>
      </c>
      <c r="V798" s="11">
        <f t="shared" si="38"/>
        <v>-4.7485388838441889E-4</v>
      </c>
    </row>
    <row r="799" spans="12:22" x14ac:dyDescent="0.2">
      <c r="L799" s="2" t="s">
        <v>550</v>
      </c>
      <c r="M799" s="2">
        <v>131.29</v>
      </c>
      <c r="N799" s="11">
        <f t="shared" si="36"/>
        <v>-8.0090668681526145E-3</v>
      </c>
      <c r="P799" s="2" t="s">
        <v>550</v>
      </c>
      <c r="Q799" s="2">
        <v>293.14</v>
      </c>
      <c r="R799" s="11">
        <f t="shared" si="37"/>
        <v>-1.9205032119914422E-2</v>
      </c>
      <c r="T799" s="2" t="s">
        <v>550</v>
      </c>
      <c r="U799" s="2">
        <v>5797.419921875</v>
      </c>
      <c r="V799" s="11">
        <f t="shared" si="38"/>
        <v>-9.1913234280693867E-3</v>
      </c>
    </row>
    <row r="800" spans="12:22" x14ac:dyDescent="0.2">
      <c r="L800" s="2" t="s">
        <v>549</v>
      </c>
      <c r="M800" s="2">
        <v>129.99</v>
      </c>
      <c r="N800" s="11">
        <f t="shared" si="36"/>
        <v>-9.9017442303296344E-3</v>
      </c>
      <c r="P800" s="2" t="s">
        <v>549</v>
      </c>
      <c r="Q800" s="2">
        <v>298.99</v>
      </c>
      <c r="R800" s="11">
        <f t="shared" si="37"/>
        <v>1.995633485706505E-2</v>
      </c>
      <c r="T800" s="2" t="s">
        <v>549</v>
      </c>
      <c r="U800" s="2">
        <v>5809.85986328125</v>
      </c>
      <c r="V800" s="11">
        <f t="shared" si="38"/>
        <v>2.145772011323821E-3</v>
      </c>
    </row>
    <row r="801" spans="12:22" x14ac:dyDescent="0.2">
      <c r="L801" s="2" t="s">
        <v>548</v>
      </c>
      <c r="M801" s="2">
        <v>133.75</v>
      </c>
      <c r="N801" s="11">
        <f t="shared" si="36"/>
        <v>2.8925301946303383E-2</v>
      </c>
      <c r="P801" s="2" t="s">
        <v>548</v>
      </c>
      <c r="Q801" s="2">
        <v>304.14999999999998</v>
      </c>
      <c r="R801" s="11">
        <f t="shared" si="37"/>
        <v>1.7258102277668108E-2</v>
      </c>
      <c r="T801" s="2" t="s">
        <v>548</v>
      </c>
      <c r="U801" s="2">
        <v>5808.1201171875</v>
      </c>
      <c r="V801" s="11">
        <f t="shared" si="38"/>
        <v>-2.9944716993013376E-4</v>
      </c>
    </row>
    <row r="802" spans="12:22" x14ac:dyDescent="0.2">
      <c r="L802" s="2" t="s">
        <v>547</v>
      </c>
      <c r="M802" s="2">
        <v>138.05000000000001</v>
      </c>
      <c r="N802" s="11">
        <f t="shared" si="36"/>
        <v>3.2149532710280537E-2</v>
      </c>
      <c r="P802" s="2" t="s">
        <v>547</v>
      </c>
      <c r="Q802" s="2">
        <v>307.54000000000002</v>
      </c>
      <c r="R802" s="11">
        <f t="shared" si="37"/>
        <v>1.1145816209107595E-2</v>
      </c>
      <c r="T802" s="2" t="s">
        <v>547</v>
      </c>
      <c r="U802" s="2">
        <v>5823.52001953125</v>
      </c>
      <c r="V802" s="11">
        <f t="shared" si="38"/>
        <v>2.6514435020339455E-3</v>
      </c>
    </row>
    <row r="803" spans="12:22" x14ac:dyDescent="0.2">
      <c r="L803" s="2" t="s">
        <v>546</v>
      </c>
      <c r="M803" s="2">
        <v>111.58</v>
      </c>
      <c r="N803" s="11">
        <f t="shared" si="36"/>
        <v>-0.19174212241941335</v>
      </c>
      <c r="P803" s="2" t="s">
        <v>546</v>
      </c>
      <c r="Q803" s="2">
        <v>304.82</v>
      </c>
      <c r="R803" s="11">
        <f t="shared" si="37"/>
        <v>-8.8443779670938083E-3</v>
      </c>
      <c r="T803" s="2" t="s">
        <v>546</v>
      </c>
      <c r="U803" s="2">
        <v>5832.919921875</v>
      </c>
      <c r="V803" s="11">
        <f t="shared" si="38"/>
        <v>1.614127248163344E-3</v>
      </c>
    </row>
    <row r="804" spans="12:22" x14ac:dyDescent="0.2">
      <c r="L804" s="2" t="s">
        <v>545</v>
      </c>
      <c r="M804" s="2">
        <v>109</v>
      </c>
      <c r="N804" s="11">
        <f t="shared" si="36"/>
        <v>-2.3122423373364343E-2</v>
      </c>
      <c r="P804" s="2" t="s">
        <v>545</v>
      </c>
      <c r="Q804" s="2">
        <v>303.85000000000002</v>
      </c>
      <c r="R804" s="11">
        <f t="shared" si="37"/>
        <v>-3.1822058920016882E-3</v>
      </c>
      <c r="T804" s="2" t="s">
        <v>545</v>
      </c>
      <c r="U804" s="2">
        <v>5813.669921875</v>
      </c>
      <c r="V804" s="11">
        <f t="shared" si="38"/>
        <v>-3.3002338893437511E-3</v>
      </c>
    </row>
    <row r="805" spans="12:22" x14ac:dyDescent="0.2">
      <c r="L805" s="2" t="s">
        <v>544</v>
      </c>
      <c r="M805" s="2">
        <v>107.82</v>
      </c>
      <c r="N805" s="11">
        <f t="shared" si="36"/>
        <v>-1.0825688073394568E-2</v>
      </c>
      <c r="P805" s="2" t="s">
        <v>544</v>
      </c>
      <c r="Q805" s="2">
        <v>297.89999999999998</v>
      </c>
      <c r="R805" s="11">
        <f t="shared" si="37"/>
        <v>-1.9582030607207646E-2</v>
      </c>
      <c r="T805" s="2" t="s">
        <v>544</v>
      </c>
      <c r="U805" s="2">
        <v>5705.4501953125</v>
      </c>
      <c r="V805" s="11">
        <f t="shared" si="38"/>
        <v>-1.8614700871699585E-2</v>
      </c>
    </row>
    <row r="806" spans="12:22" x14ac:dyDescent="0.2">
      <c r="L806" s="2" t="s">
        <v>543</v>
      </c>
      <c r="M806" s="2">
        <v>106.21</v>
      </c>
      <c r="N806" s="11">
        <f t="shared" si="36"/>
        <v>-1.4932294565015769E-2</v>
      </c>
      <c r="P806" s="2" t="s">
        <v>543</v>
      </c>
      <c r="Q806" s="2">
        <v>321.17</v>
      </c>
      <c r="R806" s="11">
        <f t="shared" si="37"/>
        <v>7.8113460892917264E-2</v>
      </c>
      <c r="T806" s="2" t="s">
        <v>543</v>
      </c>
      <c r="U806" s="2">
        <v>5728.7998046875</v>
      </c>
      <c r="V806" s="11">
        <f t="shared" si="38"/>
        <v>4.092509543626166E-3</v>
      </c>
    </row>
    <row r="807" spans="12:22" x14ac:dyDescent="0.2">
      <c r="L807" s="2" t="s">
        <v>542</v>
      </c>
      <c r="M807" s="2">
        <v>106.29</v>
      </c>
      <c r="N807" s="11">
        <f t="shared" si="36"/>
        <v>7.5322474343297863E-4</v>
      </c>
      <c r="P807" s="2" t="s">
        <v>542</v>
      </c>
      <c r="Q807" s="2">
        <v>318.13</v>
      </c>
      <c r="R807" s="11">
        <f t="shared" si="37"/>
        <v>-9.4653921599153756E-3</v>
      </c>
      <c r="T807" s="2" t="s">
        <v>542</v>
      </c>
      <c r="U807" s="2">
        <v>5712.68994140625</v>
      </c>
      <c r="V807" s="11">
        <f t="shared" si="38"/>
        <v>-2.812083478299976E-3</v>
      </c>
    </row>
    <row r="808" spans="12:22" x14ac:dyDescent="0.2">
      <c r="L808" s="2" t="s">
        <v>541</v>
      </c>
      <c r="M808" s="2">
        <v>105.22</v>
      </c>
      <c r="N808" s="11">
        <f t="shared" si="36"/>
        <v>-1.0066798381785702E-2</v>
      </c>
      <c r="P808" s="2" t="s">
        <v>541</v>
      </c>
      <c r="Q808" s="2">
        <v>319.23</v>
      </c>
      <c r="R808" s="11">
        <f t="shared" si="37"/>
        <v>3.4577059692579848E-3</v>
      </c>
      <c r="T808" s="2" t="s">
        <v>541</v>
      </c>
      <c r="U808" s="2">
        <v>5782.759765625</v>
      </c>
      <c r="V808" s="11">
        <f t="shared" si="38"/>
        <v>1.2265644545291332E-2</v>
      </c>
    </row>
    <row r="809" spans="12:22" x14ac:dyDescent="0.2">
      <c r="L809" s="2" t="s">
        <v>540</v>
      </c>
      <c r="M809" s="2">
        <v>102.74</v>
      </c>
      <c r="N809" s="11">
        <f t="shared" si="36"/>
        <v>-2.3569663562060472E-2</v>
      </c>
      <c r="P809" s="2" t="s">
        <v>540</v>
      </c>
      <c r="Q809" s="2">
        <v>313.14</v>
      </c>
      <c r="R809" s="11">
        <f t="shared" si="37"/>
        <v>-1.9077154402781793E-2</v>
      </c>
      <c r="T809" s="2" t="s">
        <v>540</v>
      </c>
      <c r="U809" s="2">
        <v>5929.0400390625</v>
      </c>
      <c r="V809" s="11">
        <f t="shared" si="38"/>
        <v>2.5295927786425976E-2</v>
      </c>
    </row>
    <row r="810" spans="12:22" x14ac:dyDescent="0.2">
      <c r="L810" s="2" t="s">
        <v>539</v>
      </c>
      <c r="M810" s="2">
        <v>101.86</v>
      </c>
      <c r="N810" s="11">
        <f t="shared" si="36"/>
        <v>-8.565310492505307E-3</v>
      </c>
      <c r="P810" s="2" t="s">
        <v>539</v>
      </c>
      <c r="Q810" s="2">
        <v>315.3</v>
      </c>
      <c r="R810" s="11">
        <f t="shared" si="37"/>
        <v>6.8978731557769457E-3</v>
      </c>
      <c r="T810" s="2" t="s">
        <v>539</v>
      </c>
      <c r="U810" s="2">
        <v>5973.10009765625</v>
      </c>
      <c r="V810" s="11">
        <f t="shared" si="38"/>
        <v>7.431229727488331E-3</v>
      </c>
    </row>
    <row r="811" spans="12:22" x14ac:dyDescent="0.2">
      <c r="L811" s="2" t="s">
        <v>538</v>
      </c>
      <c r="M811" s="2">
        <v>101.3</v>
      </c>
      <c r="N811" s="11">
        <f t="shared" si="36"/>
        <v>-5.4977419988219145E-3</v>
      </c>
      <c r="P811" s="2" t="s">
        <v>538</v>
      </c>
      <c r="Q811" s="2">
        <v>308.52999999999997</v>
      </c>
      <c r="R811" s="11">
        <f t="shared" si="37"/>
        <v>-2.1471614335553557E-2</v>
      </c>
      <c r="T811" s="2" t="s">
        <v>538</v>
      </c>
      <c r="U811" s="2">
        <v>5995.5400390625</v>
      </c>
      <c r="V811" s="11">
        <f t="shared" si="38"/>
        <v>3.7568333092317108E-3</v>
      </c>
    </row>
    <row r="812" spans="12:22" x14ac:dyDescent="0.2">
      <c r="L812" s="2" t="s">
        <v>537</v>
      </c>
      <c r="M812" s="2">
        <v>102.85</v>
      </c>
      <c r="N812" s="11">
        <f t="shared" si="36"/>
        <v>1.5301085883514309E-2</v>
      </c>
      <c r="P812" s="2" t="s">
        <v>537</v>
      </c>
      <c r="Q812" s="2">
        <v>318.45999999999998</v>
      </c>
      <c r="R812" s="11">
        <f t="shared" si="37"/>
        <v>3.218487667325709E-2</v>
      </c>
      <c r="T812" s="2" t="s">
        <v>537</v>
      </c>
      <c r="U812" s="2">
        <v>6001.35009765625</v>
      </c>
      <c r="V812" s="11">
        <f t="shared" si="38"/>
        <v>9.6906342979874438E-4</v>
      </c>
    </row>
    <row r="813" spans="12:22" x14ac:dyDescent="0.2">
      <c r="L813" s="2" t="s">
        <v>536</v>
      </c>
      <c r="M813" s="2">
        <v>101.98</v>
      </c>
      <c r="N813" s="11">
        <f t="shared" si="36"/>
        <v>-8.458920758385946E-3</v>
      </c>
      <c r="P813" s="2" t="s">
        <v>536</v>
      </c>
      <c r="Q813" s="2">
        <v>320.89999999999998</v>
      </c>
      <c r="R813" s="11">
        <f t="shared" si="37"/>
        <v>7.6618727626702743E-3</v>
      </c>
      <c r="T813" s="2" t="s">
        <v>536</v>
      </c>
      <c r="U813" s="2">
        <v>5983.990234375</v>
      </c>
      <c r="V813" s="11">
        <f t="shared" si="38"/>
        <v>-2.8926596513724201E-3</v>
      </c>
    </row>
    <row r="814" spans="12:22" x14ac:dyDescent="0.2">
      <c r="L814" s="2" t="s">
        <v>535</v>
      </c>
      <c r="M814" s="2">
        <v>98.96</v>
      </c>
      <c r="N814" s="11">
        <f t="shared" si="36"/>
        <v>-2.9613649735242276E-2</v>
      </c>
      <c r="P814" s="2" t="s">
        <v>535</v>
      </c>
      <c r="Q814" s="2">
        <v>328.3</v>
      </c>
      <c r="R814" s="11">
        <f t="shared" si="37"/>
        <v>2.3060143346837148E-2</v>
      </c>
      <c r="T814" s="2" t="s">
        <v>535</v>
      </c>
      <c r="U814" s="2">
        <v>5985.3798828125</v>
      </c>
      <c r="V814" s="11">
        <f t="shared" si="38"/>
        <v>2.3222772482434095E-4</v>
      </c>
    </row>
    <row r="815" spans="12:22" x14ac:dyDescent="0.2">
      <c r="L815" s="2" t="s">
        <v>534</v>
      </c>
      <c r="M815" s="2">
        <v>99.86</v>
      </c>
      <c r="N815" s="11">
        <f t="shared" si="36"/>
        <v>9.094583670169909E-3</v>
      </c>
      <c r="P815" s="2" t="s">
        <v>534</v>
      </c>
      <c r="Q815" s="2">
        <v>330.26</v>
      </c>
      <c r="R815" s="11">
        <f t="shared" si="37"/>
        <v>5.9701492537311829E-3</v>
      </c>
      <c r="T815" s="2" t="s">
        <v>534</v>
      </c>
      <c r="U815" s="2">
        <v>5949.169921875</v>
      </c>
      <c r="V815" s="11">
        <f t="shared" si="38"/>
        <v>-6.0497347948590408E-3</v>
      </c>
    </row>
    <row r="816" spans="12:22" x14ac:dyDescent="0.2">
      <c r="L816" s="2" t="s">
        <v>533</v>
      </c>
      <c r="M816" s="2">
        <v>97.78</v>
      </c>
      <c r="N816" s="11">
        <f t="shared" si="36"/>
        <v>-2.082916082515518E-2</v>
      </c>
      <c r="P816" s="2" t="s">
        <v>533</v>
      </c>
      <c r="Q816" s="2">
        <v>320.01</v>
      </c>
      <c r="R816" s="11">
        <f t="shared" si="37"/>
        <v>-3.1036153333737104E-2</v>
      </c>
      <c r="T816" s="2" t="s">
        <v>533</v>
      </c>
      <c r="U816" s="2">
        <v>5870.6201171875</v>
      </c>
      <c r="V816" s="11">
        <f t="shared" si="38"/>
        <v>-1.3203489851361216E-2</v>
      </c>
    </row>
    <row r="817" spans="12:22" x14ac:dyDescent="0.2">
      <c r="L817" s="2" t="s">
        <v>532</v>
      </c>
      <c r="M817" s="2">
        <v>96.51</v>
      </c>
      <c r="N817" s="11">
        <f t="shared" si="36"/>
        <v>-1.2988341174064222E-2</v>
      </c>
      <c r="P817" s="2" t="s">
        <v>532</v>
      </c>
      <c r="Q817" s="2">
        <v>309.52999999999997</v>
      </c>
      <c r="R817" s="11">
        <f t="shared" si="37"/>
        <v>-3.2748976594481505E-2</v>
      </c>
      <c r="T817" s="2" t="s">
        <v>532</v>
      </c>
      <c r="U817" s="2">
        <v>5893.6201171875</v>
      </c>
      <c r="V817" s="11">
        <f t="shared" si="38"/>
        <v>3.9178143945410859E-3</v>
      </c>
    </row>
    <row r="818" spans="12:22" x14ac:dyDescent="0.2">
      <c r="L818" s="2" t="s">
        <v>531</v>
      </c>
      <c r="M818" s="2">
        <v>97.98</v>
      </c>
      <c r="N818" s="11">
        <f t="shared" si="36"/>
        <v>1.5231582219459083E-2</v>
      </c>
      <c r="P818" s="2" t="s">
        <v>531</v>
      </c>
      <c r="Q818" s="2">
        <v>301.85000000000002</v>
      </c>
      <c r="R818" s="11">
        <f t="shared" si="37"/>
        <v>-2.4811811456078359E-2</v>
      </c>
      <c r="T818" s="2" t="s">
        <v>531</v>
      </c>
      <c r="U818" s="2">
        <v>5916.97998046875</v>
      </c>
      <c r="V818" s="11">
        <f t="shared" si="38"/>
        <v>3.9635848284700348E-3</v>
      </c>
    </row>
    <row r="819" spans="12:22" x14ac:dyDescent="0.2">
      <c r="L819" s="2" t="s">
        <v>530</v>
      </c>
      <c r="M819" s="2">
        <v>98.59</v>
      </c>
      <c r="N819" s="11">
        <f t="shared" si="36"/>
        <v>6.2257603592570376E-3</v>
      </c>
      <c r="P819" s="2" t="s">
        <v>530</v>
      </c>
      <c r="Q819" s="2">
        <v>308.31</v>
      </c>
      <c r="R819" s="11">
        <f t="shared" si="37"/>
        <v>2.1401358290541683E-2</v>
      </c>
      <c r="T819" s="2" t="s">
        <v>530</v>
      </c>
      <c r="U819" s="2">
        <v>5917.10986328125</v>
      </c>
      <c r="V819" s="11">
        <f t="shared" si="38"/>
        <v>2.195086225209586E-5</v>
      </c>
    </row>
    <row r="820" spans="12:22" x14ac:dyDescent="0.2">
      <c r="L820" s="2" t="s">
        <v>529</v>
      </c>
      <c r="M820" s="2">
        <v>101.81</v>
      </c>
      <c r="N820" s="11">
        <f t="shared" si="36"/>
        <v>3.2660513236636657E-2</v>
      </c>
      <c r="P820" s="2" t="s">
        <v>529</v>
      </c>
      <c r="Q820" s="2">
        <v>315.14</v>
      </c>
      <c r="R820" s="11">
        <f t="shared" si="37"/>
        <v>2.2153027796698144E-2</v>
      </c>
      <c r="T820" s="2" t="s">
        <v>529</v>
      </c>
      <c r="U820" s="2">
        <v>5948.7099609375</v>
      </c>
      <c r="V820" s="11">
        <f t="shared" si="38"/>
        <v>5.3404615405816536E-3</v>
      </c>
    </row>
    <row r="821" spans="12:22" x14ac:dyDescent="0.2">
      <c r="L821" s="2" t="s">
        <v>528</v>
      </c>
      <c r="M821" s="2">
        <v>106.08</v>
      </c>
      <c r="N821" s="11">
        <f t="shared" si="36"/>
        <v>4.1940870248502016E-2</v>
      </c>
      <c r="P821" s="2" t="s">
        <v>528</v>
      </c>
      <c r="Q821" s="2">
        <v>317.11</v>
      </c>
      <c r="R821" s="11">
        <f t="shared" si="37"/>
        <v>6.2511899473249866E-3</v>
      </c>
      <c r="T821" s="2" t="s">
        <v>528</v>
      </c>
      <c r="U821" s="2">
        <v>5969.33984375</v>
      </c>
      <c r="V821" s="11">
        <f t="shared" si="38"/>
        <v>3.4679590949915351E-3</v>
      </c>
    </row>
    <row r="822" spans="12:22" x14ac:dyDescent="0.2">
      <c r="L822" s="2" t="s">
        <v>527</v>
      </c>
      <c r="M822" s="2">
        <v>108.53</v>
      </c>
      <c r="N822" s="11">
        <f t="shared" si="36"/>
        <v>2.3095776772247278E-2</v>
      </c>
      <c r="P822" s="2" t="s">
        <v>527</v>
      </c>
      <c r="Q822" s="2">
        <v>326.72000000000003</v>
      </c>
      <c r="R822" s="11">
        <f t="shared" si="37"/>
        <v>3.0304941502948601E-2</v>
      </c>
      <c r="T822" s="2" t="s">
        <v>527</v>
      </c>
      <c r="U822" s="2">
        <v>5987.3701171875</v>
      </c>
      <c r="V822" s="11">
        <f t="shared" si="38"/>
        <v>3.0204803059383778E-3</v>
      </c>
    </row>
    <row r="823" spans="12:22" x14ac:dyDescent="0.2">
      <c r="L823" s="2" t="s">
        <v>526</v>
      </c>
      <c r="M823" s="2">
        <v>104.06</v>
      </c>
      <c r="N823" s="11">
        <f t="shared" si="36"/>
        <v>-4.1186768635400384E-2</v>
      </c>
      <c r="P823" s="2" t="s">
        <v>526</v>
      </c>
      <c r="Q823" s="2">
        <v>318.83999999999997</v>
      </c>
      <c r="R823" s="11">
        <f t="shared" si="37"/>
        <v>-2.4118511263467313E-2</v>
      </c>
      <c r="T823" s="2" t="s">
        <v>526</v>
      </c>
      <c r="U823" s="2">
        <v>6021.6298828125</v>
      </c>
      <c r="V823" s="11">
        <f t="shared" si="38"/>
        <v>5.7220056476303682E-3</v>
      </c>
    </row>
    <row r="824" spans="12:22" x14ac:dyDescent="0.2">
      <c r="L824" s="2" t="s">
        <v>525</v>
      </c>
      <c r="M824" s="2">
        <v>105.6</v>
      </c>
      <c r="N824" s="11">
        <f t="shared" si="36"/>
        <v>1.4799154334038001E-2</v>
      </c>
      <c r="P824" s="2" t="s">
        <v>525</v>
      </c>
      <c r="Q824" s="2">
        <v>319.52</v>
      </c>
      <c r="R824" s="11">
        <f t="shared" si="37"/>
        <v>2.1327311504202306E-3</v>
      </c>
      <c r="T824" s="2" t="s">
        <v>525</v>
      </c>
      <c r="U824" s="2">
        <v>5998.740234375</v>
      </c>
      <c r="V824" s="11">
        <f t="shared" si="38"/>
        <v>-3.801238017440034E-3</v>
      </c>
    </row>
    <row r="825" spans="12:22" x14ac:dyDescent="0.2">
      <c r="L825" s="2" t="s">
        <v>524</v>
      </c>
      <c r="M825" s="2">
        <v>105.6</v>
      </c>
      <c r="N825" s="11">
        <f t="shared" si="36"/>
        <v>0</v>
      </c>
      <c r="P825" s="2" t="s">
        <v>524</v>
      </c>
      <c r="Q825" s="2">
        <v>320.66000000000003</v>
      </c>
      <c r="R825" s="11">
        <f t="shared" si="37"/>
        <v>3.5678517776667196E-3</v>
      </c>
      <c r="T825" s="2" t="s">
        <v>524</v>
      </c>
      <c r="U825" s="2">
        <v>6032.3798828125</v>
      </c>
      <c r="V825" s="11">
        <f t="shared" si="38"/>
        <v>5.6077854888152423E-3</v>
      </c>
    </row>
    <row r="826" spans="12:22" x14ac:dyDescent="0.2">
      <c r="L826" s="2" t="s">
        <v>523</v>
      </c>
      <c r="M826" s="2">
        <v>109.68</v>
      </c>
      <c r="N826" s="11">
        <f t="shared" si="36"/>
        <v>3.8636363636363802E-2</v>
      </c>
      <c r="P826" s="2" t="s">
        <v>523</v>
      </c>
      <c r="Q826" s="2">
        <v>334.4</v>
      </c>
      <c r="R826" s="11">
        <f t="shared" si="37"/>
        <v>4.2849123682404899E-2</v>
      </c>
      <c r="T826" s="2" t="s">
        <v>523</v>
      </c>
      <c r="U826" s="2">
        <v>6047.14990234375</v>
      </c>
      <c r="V826" s="11">
        <f t="shared" si="38"/>
        <v>2.4484564662998753E-3</v>
      </c>
    </row>
    <row r="827" spans="12:22" x14ac:dyDescent="0.2">
      <c r="L827" s="2" t="s">
        <v>522</v>
      </c>
      <c r="M827" s="2">
        <v>111.25</v>
      </c>
      <c r="N827" s="11">
        <f t="shared" si="36"/>
        <v>1.4314369073668898E-2</v>
      </c>
      <c r="P827" s="2" t="s">
        <v>522</v>
      </c>
      <c r="Q827" s="2">
        <v>340.66</v>
      </c>
      <c r="R827" s="11">
        <f t="shared" si="37"/>
        <v>1.8720095693780081E-2</v>
      </c>
      <c r="T827" s="2" t="s">
        <v>522</v>
      </c>
      <c r="U827" s="2">
        <v>6049.8798828125</v>
      </c>
      <c r="V827" s="11">
        <f t="shared" si="38"/>
        <v>4.5144911451466818E-4</v>
      </c>
    </row>
    <row r="828" spans="12:22" x14ac:dyDescent="0.2">
      <c r="L828" s="2" t="s">
        <v>521</v>
      </c>
      <c r="M828" s="2">
        <v>113.28</v>
      </c>
      <c r="N828" s="11">
        <f t="shared" si="36"/>
        <v>1.8247191011236064E-2</v>
      </c>
      <c r="P828" s="2" t="s">
        <v>521</v>
      </c>
      <c r="Q828" s="2">
        <v>342.27</v>
      </c>
      <c r="R828" s="11">
        <f t="shared" si="37"/>
        <v>4.7261198849291031E-3</v>
      </c>
      <c r="T828" s="2" t="s">
        <v>521</v>
      </c>
      <c r="U828" s="2">
        <v>6086.490234375</v>
      </c>
      <c r="V828" s="11">
        <f t="shared" si="38"/>
        <v>6.0514179242647792E-3</v>
      </c>
    </row>
    <row r="829" spans="12:22" x14ac:dyDescent="0.2">
      <c r="L829" s="2" t="s">
        <v>520</v>
      </c>
      <c r="M829" s="2">
        <v>109.91</v>
      </c>
      <c r="N829" s="11">
        <f t="shared" si="36"/>
        <v>-2.9749293785310771E-2</v>
      </c>
      <c r="P829" s="2" t="s">
        <v>520</v>
      </c>
      <c r="Q829" s="2">
        <v>344.81</v>
      </c>
      <c r="R829" s="11">
        <f t="shared" si="37"/>
        <v>7.4210418675315637E-3</v>
      </c>
      <c r="T829" s="2" t="s">
        <v>520</v>
      </c>
      <c r="U829" s="2">
        <v>6075.10986328125</v>
      </c>
      <c r="V829" s="11">
        <f t="shared" si="38"/>
        <v>-1.8697756269248078E-3</v>
      </c>
    </row>
    <row r="830" spans="12:22" x14ac:dyDescent="0.2">
      <c r="L830" s="2" t="s">
        <v>519</v>
      </c>
      <c r="M830" s="2">
        <v>109.75</v>
      </c>
      <c r="N830" s="11">
        <f t="shared" si="36"/>
        <v>-1.4557365116913967E-3</v>
      </c>
      <c r="P830" s="2" t="s">
        <v>519</v>
      </c>
      <c r="Q830" s="2">
        <v>399.6</v>
      </c>
      <c r="R830" s="11">
        <f t="shared" si="37"/>
        <v>0.15889910385429662</v>
      </c>
      <c r="T830" s="2" t="s">
        <v>519</v>
      </c>
      <c r="U830" s="2">
        <v>6090.27001953125</v>
      </c>
      <c r="V830" s="11">
        <f t="shared" si="38"/>
        <v>2.4954538421815275E-3</v>
      </c>
    </row>
    <row r="831" spans="12:22" x14ac:dyDescent="0.2">
      <c r="L831" s="2" t="s">
        <v>518</v>
      </c>
      <c r="M831" s="2">
        <v>110.59</v>
      </c>
      <c r="N831" s="11">
        <f t="shared" si="36"/>
        <v>7.6537585421412313E-3</v>
      </c>
      <c r="P831" s="2" t="s">
        <v>518</v>
      </c>
      <c r="Q831" s="2">
        <v>404.79</v>
      </c>
      <c r="R831" s="11">
        <f t="shared" si="37"/>
        <v>1.2987987987987948E-2</v>
      </c>
      <c r="T831" s="2" t="s">
        <v>518</v>
      </c>
      <c r="U831" s="2">
        <v>6052.85009765625</v>
      </c>
      <c r="V831" s="11">
        <f t="shared" si="38"/>
        <v>-6.1442139272964713E-3</v>
      </c>
    </row>
    <row r="832" spans="12:22" x14ac:dyDescent="0.2">
      <c r="L832" s="2" t="s">
        <v>517</v>
      </c>
      <c r="M832" s="2">
        <v>111.44</v>
      </c>
      <c r="N832" s="11">
        <f t="shared" si="36"/>
        <v>7.6860475630706748E-3</v>
      </c>
      <c r="P832" s="2" t="s">
        <v>517</v>
      </c>
      <c r="Q832" s="2">
        <v>397.1</v>
      </c>
      <c r="R832" s="11">
        <f t="shared" si="37"/>
        <v>-1.8997504879073146E-2</v>
      </c>
      <c r="T832" s="2" t="s">
        <v>517</v>
      </c>
      <c r="U832" s="2">
        <v>6034.91015625</v>
      </c>
      <c r="V832" s="11">
        <f t="shared" si="38"/>
        <v>-2.963883313944371E-3</v>
      </c>
    </row>
    <row r="833" spans="12:22" x14ac:dyDescent="0.2">
      <c r="L833" s="2" t="s">
        <v>516</v>
      </c>
      <c r="M833" s="2">
        <v>113.37</v>
      </c>
      <c r="N833" s="11">
        <f t="shared" si="36"/>
        <v>1.7318736539842172E-2</v>
      </c>
      <c r="P833" s="2" t="s">
        <v>516</v>
      </c>
      <c r="Q833" s="2">
        <v>399.75</v>
      </c>
      <c r="R833" s="11">
        <f t="shared" si="37"/>
        <v>6.6733820196422933E-3</v>
      </c>
      <c r="T833" s="2" t="s">
        <v>516</v>
      </c>
      <c r="U833" s="2">
        <v>6084.18994140625</v>
      </c>
      <c r="V833" s="11">
        <f t="shared" si="38"/>
        <v>8.165786048233592E-3</v>
      </c>
    </row>
    <row r="834" spans="12:22" x14ac:dyDescent="0.2">
      <c r="L834" s="2" t="s">
        <v>515</v>
      </c>
      <c r="M834" s="2">
        <v>112.94</v>
      </c>
      <c r="N834" s="11">
        <f t="shared" si="36"/>
        <v>-3.7928905354150944E-3</v>
      </c>
      <c r="P834" s="2" t="s">
        <v>515</v>
      </c>
      <c r="Q834" s="2">
        <v>389.33</v>
      </c>
      <c r="R834" s="11">
        <f t="shared" si="37"/>
        <v>-2.6066291432145117E-2</v>
      </c>
      <c r="T834" s="2" t="s">
        <v>515</v>
      </c>
      <c r="U834" s="2">
        <v>6051.25</v>
      </c>
      <c r="V834" s="11">
        <f t="shared" si="38"/>
        <v>-5.4140225278102028E-3</v>
      </c>
    </row>
    <row r="835" spans="12:22" x14ac:dyDescent="0.2">
      <c r="L835" s="2" t="s">
        <v>514</v>
      </c>
      <c r="M835" s="2">
        <v>111.72</v>
      </c>
      <c r="N835" s="11">
        <f t="shared" si="36"/>
        <v>-1.0802195856206787E-2</v>
      </c>
      <c r="P835" s="2" t="s">
        <v>514</v>
      </c>
      <c r="Q835" s="2">
        <v>391.63</v>
      </c>
      <c r="R835" s="11">
        <f t="shared" si="37"/>
        <v>5.9075848252125862E-3</v>
      </c>
      <c r="T835" s="2" t="s">
        <v>514</v>
      </c>
      <c r="U835" s="2">
        <v>6051.08984375</v>
      </c>
      <c r="V835" s="11">
        <f t="shared" si="38"/>
        <v>-2.6466639124200775E-5</v>
      </c>
    </row>
    <row r="836" spans="12:22" x14ac:dyDescent="0.2">
      <c r="L836" s="2" t="s">
        <v>513</v>
      </c>
      <c r="M836" s="2">
        <v>108.96</v>
      </c>
      <c r="N836" s="11">
        <f t="shared" si="36"/>
        <v>-2.4704618689581181E-2</v>
      </c>
      <c r="P836" s="2" t="s">
        <v>513</v>
      </c>
      <c r="Q836" s="2">
        <v>389.74</v>
      </c>
      <c r="R836" s="11">
        <f t="shared" si="37"/>
        <v>-4.8259837091131352E-3</v>
      </c>
      <c r="T836" s="2" t="s">
        <v>513</v>
      </c>
      <c r="U836" s="2">
        <v>6074.080078125</v>
      </c>
      <c r="V836" s="11">
        <f t="shared" si="38"/>
        <v>3.7993543260221863E-3</v>
      </c>
    </row>
    <row r="837" spans="12:22" x14ac:dyDescent="0.2">
      <c r="L837" s="2" t="s">
        <v>512</v>
      </c>
      <c r="M837" s="2">
        <v>111.55</v>
      </c>
      <c r="N837" s="11">
        <f t="shared" si="36"/>
        <v>2.3770190895741505E-2</v>
      </c>
      <c r="P837" s="2" t="s">
        <v>512</v>
      </c>
      <c r="Q837" s="2">
        <v>390.59</v>
      </c>
      <c r="R837" s="11">
        <f t="shared" si="37"/>
        <v>2.1809411402473611E-3</v>
      </c>
      <c r="T837" s="2" t="s">
        <v>512</v>
      </c>
      <c r="U837" s="2">
        <v>6050.60986328125</v>
      </c>
      <c r="V837" s="11">
        <f t="shared" si="38"/>
        <v>-3.8639949658014761E-3</v>
      </c>
    </row>
    <row r="838" spans="12:22" x14ac:dyDescent="0.2">
      <c r="L838" s="2" t="s">
        <v>511</v>
      </c>
      <c r="M838" s="2">
        <v>106.85</v>
      </c>
      <c r="N838" s="11">
        <f t="shared" ref="N838:N901" si="39">+M838/M837-1</f>
        <v>-4.2133572389063234E-2</v>
      </c>
      <c r="P838" s="2" t="s">
        <v>511</v>
      </c>
      <c r="Q838" s="2">
        <v>372.07</v>
      </c>
      <c r="R838" s="11">
        <f t="shared" ref="R838:R901" si="40">+Q838/Q837-1</f>
        <v>-4.7415448424178774E-2</v>
      </c>
      <c r="T838" s="2" t="s">
        <v>511</v>
      </c>
      <c r="U838" s="2">
        <v>5872.16015625</v>
      </c>
      <c r="V838" s="11">
        <f t="shared" ref="V838:V901" si="41">+U838/U837-1</f>
        <v>-2.949284635160343E-2</v>
      </c>
    </row>
    <row r="839" spans="12:22" x14ac:dyDescent="0.2">
      <c r="L839" s="2" t="s">
        <v>510</v>
      </c>
      <c r="M839" s="2">
        <v>105.68</v>
      </c>
      <c r="N839" s="11">
        <f t="shared" si="39"/>
        <v>-1.0949929808142134E-2</v>
      </c>
      <c r="P839" s="2" t="s">
        <v>510</v>
      </c>
      <c r="Q839" s="2">
        <v>373.54</v>
      </c>
      <c r="R839" s="11">
        <f t="shared" si="40"/>
        <v>3.9508694600478567E-3</v>
      </c>
      <c r="T839" s="2" t="s">
        <v>510</v>
      </c>
      <c r="U839" s="2">
        <v>5867.080078125</v>
      </c>
      <c r="V839" s="11">
        <f t="shared" si="41"/>
        <v>-8.6511232490704693E-4</v>
      </c>
    </row>
    <row r="840" spans="12:22" x14ac:dyDescent="0.2">
      <c r="L840" s="2" t="s">
        <v>509</v>
      </c>
      <c r="M840" s="2">
        <v>111.86</v>
      </c>
      <c r="N840" s="11">
        <f t="shared" si="39"/>
        <v>5.8478425435276149E-2</v>
      </c>
      <c r="P840" s="2" t="s">
        <v>509</v>
      </c>
      <c r="Q840" s="2">
        <v>379.42</v>
      </c>
      <c r="R840" s="11">
        <f t="shared" si="40"/>
        <v>1.5741286073780669E-2</v>
      </c>
      <c r="T840" s="2" t="s">
        <v>509</v>
      </c>
      <c r="U840" s="2">
        <v>5930.85009765625</v>
      </c>
      <c r="V840" s="11">
        <f t="shared" si="41"/>
        <v>1.0869123768910471E-2</v>
      </c>
    </row>
    <row r="841" spans="12:22" x14ac:dyDescent="0.2">
      <c r="L841" s="2" t="s">
        <v>508</v>
      </c>
      <c r="M841" s="2">
        <v>113.27</v>
      </c>
      <c r="N841" s="11">
        <f t="shared" si="39"/>
        <v>1.2605042016806678E-2</v>
      </c>
      <c r="P841" s="2" t="s">
        <v>508</v>
      </c>
      <c r="Q841" s="2">
        <v>383.49</v>
      </c>
      <c r="R841" s="11">
        <f t="shared" si="40"/>
        <v>1.0726898951030517E-2</v>
      </c>
      <c r="T841" s="2" t="s">
        <v>508</v>
      </c>
      <c r="U841" s="2">
        <v>5974.06982421875</v>
      </c>
      <c r="V841" s="11">
        <f t="shared" si="41"/>
        <v>7.2872734685336393E-3</v>
      </c>
    </row>
    <row r="842" spans="12:22" x14ac:dyDescent="0.2">
      <c r="L842" s="2" t="s">
        <v>507</v>
      </c>
      <c r="M842" s="2">
        <v>112.28</v>
      </c>
      <c r="N842" s="11">
        <f t="shared" si="39"/>
        <v>-8.7401783349518869E-3</v>
      </c>
      <c r="P842" s="2" t="s">
        <v>507</v>
      </c>
      <c r="Q842" s="2">
        <v>385.69</v>
      </c>
      <c r="R842" s="11">
        <f t="shared" si="40"/>
        <v>5.7367858353543077E-3</v>
      </c>
      <c r="T842" s="2" t="s">
        <v>507</v>
      </c>
      <c r="U842" s="2">
        <v>6040.0400390625</v>
      </c>
      <c r="V842" s="11">
        <f t="shared" si="41"/>
        <v>1.1042759255392109E-2</v>
      </c>
    </row>
    <row r="843" spans="12:22" x14ac:dyDescent="0.2">
      <c r="L843" s="2" t="s">
        <v>506</v>
      </c>
      <c r="M843" s="2">
        <v>112.95</v>
      </c>
      <c r="N843" s="11">
        <f t="shared" si="39"/>
        <v>5.9672247951549906E-3</v>
      </c>
      <c r="P843" s="2" t="s">
        <v>506</v>
      </c>
      <c r="Q843" s="2">
        <v>385.82</v>
      </c>
      <c r="R843" s="11">
        <f t="shared" si="40"/>
        <v>3.3705825922369925E-4</v>
      </c>
      <c r="T843" s="2" t="s">
        <v>506</v>
      </c>
      <c r="U843" s="2">
        <v>6037.58984375</v>
      </c>
      <c r="V843" s="11">
        <f t="shared" si="41"/>
        <v>-4.0565878647391695E-4</v>
      </c>
    </row>
    <row r="844" spans="12:22" x14ac:dyDescent="0.2">
      <c r="L844" s="2" t="s">
        <v>505</v>
      </c>
      <c r="M844" s="2">
        <v>110.72</v>
      </c>
      <c r="N844" s="11">
        <f t="shared" si="39"/>
        <v>-1.9743249225321002E-2</v>
      </c>
      <c r="P844" s="2" t="s">
        <v>505</v>
      </c>
      <c r="Q844" s="2">
        <v>386.67</v>
      </c>
      <c r="R844" s="11">
        <f t="shared" si="40"/>
        <v>2.2030998911410915E-3</v>
      </c>
      <c r="T844" s="2" t="s">
        <v>505</v>
      </c>
      <c r="U844" s="2">
        <v>5970.83984375</v>
      </c>
      <c r="V844" s="11">
        <f t="shared" si="41"/>
        <v>-1.1055736101235558E-2</v>
      </c>
    </row>
    <row r="845" spans="12:22" x14ac:dyDescent="0.2">
      <c r="L845" s="2" t="s">
        <v>504</v>
      </c>
      <c r="M845" s="2">
        <v>108.71</v>
      </c>
      <c r="N845" s="11">
        <f t="shared" si="39"/>
        <v>-1.8153901734104139E-2</v>
      </c>
      <c r="P845" s="2" t="s">
        <v>504</v>
      </c>
      <c r="Q845" s="2">
        <v>384.05</v>
      </c>
      <c r="R845" s="11">
        <f t="shared" si="40"/>
        <v>-6.7758036568650315E-3</v>
      </c>
      <c r="T845" s="2" t="s">
        <v>504</v>
      </c>
      <c r="U845" s="2">
        <v>5906.93994140625</v>
      </c>
      <c r="V845" s="11">
        <f t="shared" si="41"/>
        <v>-1.0701995701766776E-2</v>
      </c>
    </row>
    <row r="846" spans="12:22" x14ac:dyDescent="0.2">
      <c r="L846" s="2" t="s">
        <v>503</v>
      </c>
      <c r="M846" s="2">
        <v>109.53</v>
      </c>
      <c r="N846" s="11">
        <f t="shared" si="39"/>
        <v>7.5430043234294697E-3</v>
      </c>
      <c r="P846" s="2" t="s">
        <v>503</v>
      </c>
      <c r="Q846" s="2">
        <v>382.41</v>
      </c>
      <c r="R846" s="11">
        <f t="shared" si="40"/>
        <v>-4.2702773076421785E-3</v>
      </c>
      <c r="T846" s="2" t="s">
        <v>503</v>
      </c>
      <c r="U846" s="2">
        <v>5881.6298828125</v>
      </c>
      <c r="V846" s="11">
        <f t="shared" si="41"/>
        <v>-4.2848003949274016E-3</v>
      </c>
    </row>
    <row r="847" spans="12:22" x14ac:dyDescent="0.2">
      <c r="L847" s="2" t="s">
        <v>502</v>
      </c>
      <c r="M847" s="2">
        <v>110.03</v>
      </c>
      <c r="N847" s="11">
        <f t="shared" si="39"/>
        <v>4.5649593718615211E-3</v>
      </c>
      <c r="P847" s="2" t="s">
        <v>502</v>
      </c>
      <c r="Q847" s="2">
        <v>372.31</v>
      </c>
      <c r="R847" s="11">
        <f t="shared" si="40"/>
        <v>-2.6411443215397123E-2</v>
      </c>
      <c r="T847" s="2" t="s">
        <v>502</v>
      </c>
      <c r="U847" s="2">
        <v>5868.5498046875</v>
      </c>
      <c r="V847" s="11">
        <f t="shared" si="41"/>
        <v>-2.2238866412221947E-3</v>
      </c>
    </row>
    <row r="848" spans="12:22" x14ac:dyDescent="0.2">
      <c r="L848" s="2" t="s">
        <v>501</v>
      </c>
      <c r="M848" s="2">
        <v>110.8</v>
      </c>
      <c r="N848" s="11">
        <f t="shared" si="39"/>
        <v>6.9980914296101648E-3</v>
      </c>
      <c r="P848" s="2" t="s">
        <v>501</v>
      </c>
      <c r="Q848" s="2">
        <v>378.18</v>
      </c>
      <c r="R848" s="11">
        <f t="shared" si="40"/>
        <v>1.5766431199806696E-2</v>
      </c>
      <c r="T848" s="2" t="s">
        <v>501</v>
      </c>
      <c r="U848" s="2">
        <v>5942.47021484375</v>
      </c>
      <c r="V848" s="11">
        <f t="shared" si="41"/>
        <v>1.259602672149196E-2</v>
      </c>
    </row>
    <row r="849" spans="12:22" x14ac:dyDescent="0.2">
      <c r="L849" s="2" t="s">
        <v>500</v>
      </c>
      <c r="M849" s="2">
        <v>112.07</v>
      </c>
      <c r="N849" s="11">
        <f t="shared" si="39"/>
        <v>1.1462093862815825E-2</v>
      </c>
      <c r="P849" s="2" t="s">
        <v>500</v>
      </c>
      <c r="Q849" s="2">
        <v>395.31</v>
      </c>
      <c r="R849" s="11">
        <f t="shared" si="40"/>
        <v>4.5295890845629128E-2</v>
      </c>
      <c r="T849" s="2" t="s">
        <v>500</v>
      </c>
      <c r="U849" s="2">
        <v>5975.3798828125</v>
      </c>
      <c r="V849" s="11">
        <f t="shared" si="41"/>
        <v>5.5380450854503049E-3</v>
      </c>
    </row>
    <row r="850" spans="12:22" x14ac:dyDescent="0.2">
      <c r="L850" s="2" t="s">
        <v>499</v>
      </c>
      <c r="M850" s="2">
        <v>111.06</v>
      </c>
      <c r="N850" s="11">
        <f t="shared" si="39"/>
        <v>-9.0122245025430203E-3</v>
      </c>
      <c r="P850" s="2" t="s">
        <v>499</v>
      </c>
      <c r="Q850" s="2">
        <v>393.46</v>
      </c>
      <c r="R850" s="11">
        <f t="shared" si="40"/>
        <v>-4.6798714932585472E-3</v>
      </c>
      <c r="T850" s="2" t="s">
        <v>499</v>
      </c>
      <c r="U850" s="2">
        <v>5909.02978515625</v>
      </c>
      <c r="V850" s="11">
        <f t="shared" si="41"/>
        <v>-1.110391288210788E-2</v>
      </c>
    </row>
    <row r="851" spans="12:22" x14ac:dyDescent="0.2">
      <c r="L851" s="2" t="s">
        <v>498</v>
      </c>
      <c r="M851" s="2">
        <v>109.68</v>
      </c>
      <c r="N851" s="11">
        <f t="shared" si="39"/>
        <v>-1.2425715829281425E-2</v>
      </c>
      <c r="P851" s="2" t="s">
        <v>498</v>
      </c>
      <c r="Q851" s="2">
        <v>392.92</v>
      </c>
      <c r="R851" s="11">
        <f t="shared" si="40"/>
        <v>-1.3724393839271709E-3</v>
      </c>
      <c r="T851" s="2" t="s">
        <v>498</v>
      </c>
      <c r="U851" s="2">
        <v>5918.25</v>
      </c>
      <c r="V851" s="11">
        <f t="shared" si="41"/>
        <v>1.560360190925314E-3</v>
      </c>
    </row>
    <row r="852" spans="12:22" x14ac:dyDescent="0.2">
      <c r="L852" s="2" t="s">
        <v>497</v>
      </c>
      <c r="M852" s="2">
        <v>110.04</v>
      </c>
      <c r="N852" s="11">
        <f t="shared" si="39"/>
        <v>3.2822757111596879E-3</v>
      </c>
      <c r="P852" s="2" t="s">
        <v>497</v>
      </c>
      <c r="Q852" s="2">
        <v>395.47</v>
      </c>
      <c r="R852" s="11">
        <f t="shared" si="40"/>
        <v>6.4898707115952359E-3</v>
      </c>
      <c r="T852" s="2" t="s">
        <v>497</v>
      </c>
      <c r="U852" s="2">
        <v>5827.0400390625</v>
      </c>
      <c r="V852" s="11">
        <f t="shared" si="41"/>
        <v>-1.541164380306681E-2</v>
      </c>
    </row>
    <row r="853" spans="12:22" x14ac:dyDescent="0.2">
      <c r="L853" s="2" t="s">
        <v>496</v>
      </c>
      <c r="M853" s="2">
        <v>105.77</v>
      </c>
      <c r="N853" s="11">
        <f t="shared" si="39"/>
        <v>-3.8804071246819394E-2</v>
      </c>
      <c r="P853" s="2" t="s">
        <v>496</v>
      </c>
      <c r="Q853" s="2">
        <v>398.86</v>
      </c>
      <c r="R853" s="11">
        <f t="shared" si="40"/>
        <v>8.5720787923229125E-3</v>
      </c>
      <c r="T853" s="2" t="s">
        <v>496</v>
      </c>
      <c r="U853" s="2">
        <v>5836.22021484375</v>
      </c>
      <c r="V853" s="11">
        <f t="shared" si="41"/>
        <v>1.5754440882007614E-3</v>
      </c>
    </row>
    <row r="854" spans="12:22" x14ac:dyDescent="0.2">
      <c r="L854" s="2" t="s">
        <v>495</v>
      </c>
      <c r="M854" s="2">
        <v>105.12</v>
      </c>
      <c r="N854" s="11">
        <f t="shared" si="39"/>
        <v>-6.1454098515646427E-3</v>
      </c>
      <c r="P854" s="2" t="s">
        <v>495</v>
      </c>
      <c r="Q854" s="2">
        <v>388.74</v>
      </c>
      <c r="R854" s="11">
        <f t="shared" si="40"/>
        <v>-2.5372311086596766E-2</v>
      </c>
      <c r="T854" s="2" t="s">
        <v>495</v>
      </c>
      <c r="U854" s="2">
        <v>5842.91015625</v>
      </c>
      <c r="V854" s="11">
        <f t="shared" si="41"/>
        <v>1.1462798112440442E-3</v>
      </c>
    </row>
    <row r="855" spans="12:22" x14ac:dyDescent="0.2">
      <c r="L855" s="2" t="s">
        <v>494</v>
      </c>
      <c r="M855" s="2">
        <v>103.89</v>
      </c>
      <c r="N855" s="11">
        <f t="shared" si="39"/>
        <v>-1.170091324200917E-2</v>
      </c>
      <c r="P855" s="2" t="s">
        <v>494</v>
      </c>
      <c r="Q855" s="2">
        <v>376.66</v>
      </c>
      <c r="R855" s="11">
        <f t="shared" si="40"/>
        <v>-3.1074754334516563E-2</v>
      </c>
      <c r="T855" s="2" t="s">
        <v>494</v>
      </c>
      <c r="U855" s="2">
        <v>5949.91015625</v>
      </c>
      <c r="V855" s="11">
        <f t="shared" si="41"/>
        <v>1.8312792279639112E-2</v>
      </c>
    </row>
    <row r="856" spans="12:22" x14ac:dyDescent="0.2">
      <c r="L856" s="2" t="s">
        <v>493</v>
      </c>
      <c r="M856" s="2">
        <v>102.67</v>
      </c>
      <c r="N856" s="11">
        <f t="shared" si="39"/>
        <v>-1.1743189912407304E-2</v>
      </c>
      <c r="P856" s="2" t="s">
        <v>493</v>
      </c>
      <c r="Q856" s="2">
        <v>370.99</v>
      </c>
      <c r="R856" s="11">
        <f t="shared" si="40"/>
        <v>-1.5053363776350026E-2</v>
      </c>
      <c r="T856" s="2" t="s">
        <v>493</v>
      </c>
      <c r="U856" s="2">
        <v>5937.33984375</v>
      </c>
      <c r="V856" s="11">
        <f t="shared" si="41"/>
        <v>-2.1126894641922966E-3</v>
      </c>
    </row>
    <row r="857" spans="12:22" x14ac:dyDescent="0.2">
      <c r="L857" s="2" t="s">
        <v>492</v>
      </c>
      <c r="M857" s="2">
        <v>99.97</v>
      </c>
      <c r="N857" s="11">
        <f t="shared" si="39"/>
        <v>-2.6297847472484648E-2</v>
      </c>
      <c r="P857" s="2" t="s">
        <v>492</v>
      </c>
      <c r="Q857" s="2">
        <v>373.7</v>
      </c>
      <c r="R857" s="11">
        <f t="shared" si="40"/>
        <v>7.3047791045579569E-3</v>
      </c>
      <c r="T857" s="2" t="s">
        <v>492</v>
      </c>
      <c r="U857" s="2">
        <v>5996.66015625</v>
      </c>
      <c r="V857" s="11">
        <f t="shared" si="41"/>
        <v>9.9910589693537055E-3</v>
      </c>
    </row>
    <row r="858" spans="12:22" x14ac:dyDescent="0.2">
      <c r="L858" s="2" t="s">
        <v>491</v>
      </c>
      <c r="M858" s="2">
        <v>103.3</v>
      </c>
      <c r="N858" s="11">
        <f t="shared" si="39"/>
        <v>3.3309992997899274E-2</v>
      </c>
      <c r="P858" s="2" t="s">
        <v>491</v>
      </c>
      <c r="Q858" s="2">
        <v>372.81</v>
      </c>
      <c r="R858" s="11">
        <f t="shared" si="40"/>
        <v>-2.3815895103023177E-3</v>
      </c>
      <c r="T858" s="2" t="s">
        <v>491</v>
      </c>
      <c r="U858" s="2">
        <v>6049.240234375</v>
      </c>
      <c r="V858" s="11">
        <f t="shared" si="41"/>
        <v>8.7682271055828931E-3</v>
      </c>
    </row>
    <row r="859" spans="12:22" x14ac:dyDescent="0.2">
      <c r="L859" s="2" t="s">
        <v>490</v>
      </c>
      <c r="M859" s="2">
        <v>102.64</v>
      </c>
      <c r="N859" s="11">
        <f t="shared" si="39"/>
        <v>-6.3891577928363308E-3</v>
      </c>
      <c r="P859" s="2" t="s">
        <v>490</v>
      </c>
      <c r="Q859" s="2">
        <v>382.82</v>
      </c>
      <c r="R859" s="11">
        <f t="shared" si="40"/>
        <v>2.6850138140071422E-2</v>
      </c>
      <c r="T859" s="2" t="s">
        <v>490</v>
      </c>
      <c r="U859" s="2">
        <v>6086.3701171875</v>
      </c>
      <c r="V859" s="11">
        <f t="shared" si="41"/>
        <v>6.1379415222275746E-3</v>
      </c>
    </row>
    <row r="860" spans="12:22" x14ac:dyDescent="0.2">
      <c r="L860" s="2" t="s">
        <v>489</v>
      </c>
      <c r="M860" s="2">
        <v>105.06</v>
      </c>
      <c r="N860" s="11">
        <f t="shared" si="39"/>
        <v>2.3577552611067754E-2</v>
      </c>
      <c r="P860" s="2" t="s">
        <v>489</v>
      </c>
      <c r="Q860" s="2">
        <v>387.85</v>
      </c>
      <c r="R860" s="11">
        <f t="shared" si="40"/>
        <v>1.313933441304016E-2</v>
      </c>
      <c r="T860" s="2" t="s">
        <v>489</v>
      </c>
      <c r="U860" s="2">
        <v>6118.7099609375</v>
      </c>
      <c r="V860" s="11">
        <f t="shared" si="41"/>
        <v>5.3134862204113897E-3</v>
      </c>
    </row>
    <row r="861" spans="12:22" x14ac:dyDescent="0.2">
      <c r="L861" s="2" t="s">
        <v>488</v>
      </c>
      <c r="M861" s="2">
        <v>103.59</v>
      </c>
      <c r="N861" s="11">
        <f t="shared" si="39"/>
        <v>-1.3992004568817773E-2</v>
      </c>
      <c r="P861" s="2" t="s">
        <v>488</v>
      </c>
      <c r="Q861" s="2">
        <v>400.03</v>
      </c>
      <c r="R861" s="11">
        <f t="shared" si="40"/>
        <v>3.1403893257702542E-2</v>
      </c>
      <c r="T861" s="2" t="s">
        <v>488</v>
      </c>
      <c r="U861" s="2">
        <v>6101.240234375</v>
      </c>
      <c r="V861" s="11">
        <f t="shared" si="41"/>
        <v>-2.8551323193988232E-3</v>
      </c>
    </row>
    <row r="862" spans="12:22" x14ac:dyDescent="0.2">
      <c r="L862" s="2" t="s">
        <v>487</v>
      </c>
      <c r="M862" s="2">
        <v>102.42</v>
      </c>
      <c r="N862" s="11">
        <f t="shared" si="39"/>
        <v>-1.1294526498696777E-2</v>
      </c>
      <c r="P862" s="2" t="s">
        <v>487</v>
      </c>
      <c r="Q862" s="2">
        <v>402.9</v>
      </c>
      <c r="R862" s="11">
        <f t="shared" si="40"/>
        <v>7.1744619153564226E-3</v>
      </c>
      <c r="T862" s="2" t="s">
        <v>487</v>
      </c>
      <c r="U862" s="2">
        <v>6012.27978515625</v>
      </c>
      <c r="V862" s="11">
        <f t="shared" si="41"/>
        <v>-1.4580715690809543E-2</v>
      </c>
    </row>
    <row r="863" spans="12:22" x14ac:dyDescent="0.2">
      <c r="L863" s="2" t="s">
        <v>486</v>
      </c>
      <c r="M863" s="2">
        <v>103.56</v>
      </c>
      <c r="N863" s="11">
        <f t="shared" si="39"/>
        <v>1.1130638547158789E-2</v>
      </c>
      <c r="P863" s="2" t="s">
        <v>486</v>
      </c>
      <c r="Q863" s="2">
        <v>409.42</v>
      </c>
      <c r="R863" s="11">
        <f t="shared" si="40"/>
        <v>1.6182675601886354E-2</v>
      </c>
      <c r="T863" s="2" t="s">
        <v>486</v>
      </c>
      <c r="U863" s="2">
        <v>6067.7001953125</v>
      </c>
      <c r="V863" s="11">
        <f t="shared" si="41"/>
        <v>9.2178694499676084E-3</v>
      </c>
    </row>
    <row r="864" spans="12:22" x14ac:dyDescent="0.2">
      <c r="L864" s="2" t="s">
        <v>485</v>
      </c>
      <c r="M864" s="2">
        <v>104.77</v>
      </c>
      <c r="N864" s="11">
        <f t="shared" si="39"/>
        <v>1.1684047894940042E-2</v>
      </c>
      <c r="P864" s="2" t="s">
        <v>485</v>
      </c>
      <c r="Q864" s="2">
        <v>411.16</v>
      </c>
      <c r="R864" s="11">
        <f t="shared" si="40"/>
        <v>4.2499145132137706E-3</v>
      </c>
      <c r="T864" s="2" t="s">
        <v>485</v>
      </c>
      <c r="U864" s="2">
        <v>6039.31005859375</v>
      </c>
      <c r="V864" s="11">
        <f t="shared" si="41"/>
        <v>-4.6788957603215442E-3</v>
      </c>
    </row>
    <row r="865" spans="12:22" x14ac:dyDescent="0.2">
      <c r="L865" s="2" t="s">
        <v>484</v>
      </c>
      <c r="M865" s="2">
        <v>107.01</v>
      </c>
      <c r="N865" s="11">
        <f t="shared" si="39"/>
        <v>2.1380166078075913E-2</v>
      </c>
      <c r="P865" s="2" t="s">
        <v>484</v>
      </c>
      <c r="Q865" s="2">
        <v>421.16</v>
      </c>
      <c r="R865" s="11">
        <f t="shared" si="40"/>
        <v>2.4321432045918856E-2</v>
      </c>
      <c r="T865" s="2" t="s">
        <v>484</v>
      </c>
      <c r="U865" s="2">
        <v>6071.169921875</v>
      </c>
      <c r="V865" s="11">
        <f t="shared" si="41"/>
        <v>5.2754144053117624E-3</v>
      </c>
    </row>
    <row r="866" spans="12:22" x14ac:dyDescent="0.2">
      <c r="L866" s="2" t="s">
        <v>483</v>
      </c>
      <c r="M866" s="2">
        <v>102.07</v>
      </c>
      <c r="N866" s="11">
        <f t="shared" si="39"/>
        <v>-4.6163909914961332E-2</v>
      </c>
      <c r="P866" s="2" t="s">
        <v>483</v>
      </c>
      <c r="Q866" s="2">
        <v>414.2</v>
      </c>
      <c r="R866" s="11">
        <f t="shared" si="40"/>
        <v>-1.6525785924589309E-2</v>
      </c>
      <c r="T866" s="2" t="s">
        <v>483</v>
      </c>
      <c r="U866" s="2">
        <v>6040.52978515625</v>
      </c>
      <c r="V866" s="11">
        <f t="shared" si="41"/>
        <v>-5.0468257540199346E-3</v>
      </c>
    </row>
    <row r="867" spans="12:22" x14ac:dyDescent="0.2">
      <c r="L867" s="2" t="s">
        <v>482</v>
      </c>
      <c r="M867" s="2">
        <v>96.74</v>
      </c>
      <c r="N867" s="11">
        <f t="shared" si="39"/>
        <v>-5.2219065347310689E-2</v>
      </c>
      <c r="P867" s="2" t="s">
        <v>482</v>
      </c>
      <c r="Q867" s="2">
        <v>410.29</v>
      </c>
      <c r="R867" s="11">
        <f t="shared" si="40"/>
        <v>-9.4398841139545775E-3</v>
      </c>
      <c r="T867" s="2" t="s">
        <v>482</v>
      </c>
      <c r="U867" s="2">
        <v>5994.56982421875</v>
      </c>
      <c r="V867" s="11">
        <f t="shared" si="41"/>
        <v>-7.6085976846667069E-3</v>
      </c>
    </row>
    <row r="868" spans="12:22" x14ac:dyDescent="0.2">
      <c r="L868" s="2" t="s">
        <v>481</v>
      </c>
      <c r="M868" s="2">
        <v>97.28</v>
      </c>
      <c r="N868" s="11">
        <f t="shared" si="39"/>
        <v>5.5819722968784014E-3</v>
      </c>
      <c r="P868" s="2" t="s">
        <v>481</v>
      </c>
      <c r="Q868" s="2">
        <v>415.9</v>
      </c>
      <c r="R868" s="11">
        <f t="shared" si="40"/>
        <v>1.3673255502205661E-2</v>
      </c>
      <c r="T868" s="2" t="s">
        <v>481</v>
      </c>
      <c r="U868" s="2">
        <v>6037.8798828125</v>
      </c>
      <c r="V868" s="11">
        <f t="shared" si="41"/>
        <v>7.2248818286797523E-3</v>
      </c>
    </row>
    <row r="869" spans="12:22" x14ac:dyDescent="0.2">
      <c r="L869" s="2" t="s">
        <v>480</v>
      </c>
      <c r="M869" s="2">
        <v>97</v>
      </c>
      <c r="N869" s="11">
        <f t="shared" si="39"/>
        <v>-2.8782894736841813E-3</v>
      </c>
      <c r="P869" s="2" t="s">
        <v>480</v>
      </c>
      <c r="Q869" s="2">
        <v>412.8</v>
      </c>
      <c r="R869" s="11">
        <f t="shared" si="40"/>
        <v>-7.4537148352968874E-3</v>
      </c>
      <c r="T869" s="2" t="s">
        <v>480</v>
      </c>
      <c r="U869" s="2">
        <v>6061.47998046875</v>
      </c>
      <c r="V869" s="11">
        <f t="shared" si="41"/>
        <v>3.9086729306143653E-3</v>
      </c>
    </row>
    <row r="870" spans="12:22" x14ac:dyDescent="0.2">
      <c r="L870" s="2" t="s">
        <v>479</v>
      </c>
      <c r="M870" s="2">
        <v>95.52</v>
      </c>
      <c r="N870" s="11">
        <f t="shared" si="39"/>
        <v>-1.5257731958762899E-2</v>
      </c>
      <c r="P870" s="2" t="s">
        <v>479</v>
      </c>
      <c r="Q870" s="2">
        <v>411.83</v>
      </c>
      <c r="R870" s="11">
        <f t="shared" si="40"/>
        <v>-2.3498062015504528E-3</v>
      </c>
      <c r="T870" s="2" t="s">
        <v>479</v>
      </c>
      <c r="U870" s="2">
        <v>6083.56982421875</v>
      </c>
      <c r="V870" s="11">
        <f t="shared" si="41"/>
        <v>3.6442987226186219E-3</v>
      </c>
    </row>
    <row r="871" spans="12:22" x14ac:dyDescent="0.2">
      <c r="L871" s="2" t="s">
        <v>478</v>
      </c>
      <c r="M871" s="2">
        <v>93.37</v>
      </c>
      <c r="N871" s="11">
        <f t="shared" si="39"/>
        <v>-2.2508375209380094E-2</v>
      </c>
      <c r="P871" s="2" t="s">
        <v>478</v>
      </c>
      <c r="Q871" s="2">
        <v>398.1</v>
      </c>
      <c r="R871" s="11">
        <f t="shared" si="40"/>
        <v>-3.3338999101570899E-2</v>
      </c>
      <c r="T871" s="2" t="s">
        <v>478</v>
      </c>
      <c r="U871" s="2">
        <v>6025.990234375</v>
      </c>
      <c r="V871" s="11">
        <f t="shared" si="41"/>
        <v>-9.4647701115428973E-3</v>
      </c>
    </row>
    <row r="872" spans="12:22" x14ac:dyDescent="0.2">
      <c r="L872" s="2" t="s">
        <v>477</v>
      </c>
      <c r="M872" s="2">
        <v>90.76</v>
      </c>
      <c r="N872" s="11">
        <f t="shared" si="39"/>
        <v>-2.7953304059119666E-2</v>
      </c>
      <c r="P872" s="2" t="s">
        <v>477</v>
      </c>
      <c r="Q872" s="2">
        <v>399.71</v>
      </c>
      <c r="R872" s="11">
        <f t="shared" si="40"/>
        <v>4.0442099974880019E-3</v>
      </c>
      <c r="T872" s="2" t="s">
        <v>477</v>
      </c>
      <c r="U872" s="2">
        <v>6066.43994140625</v>
      </c>
      <c r="V872" s="11">
        <f t="shared" si="41"/>
        <v>6.7125410858628332E-3</v>
      </c>
    </row>
    <row r="873" spans="12:22" x14ac:dyDescent="0.2">
      <c r="L873" s="2" t="s">
        <v>476</v>
      </c>
      <c r="M873" s="2">
        <v>88.95</v>
      </c>
      <c r="N873" s="11">
        <f t="shared" si="39"/>
        <v>-1.9942706037902158E-2</v>
      </c>
      <c r="P873" s="2" t="s">
        <v>476</v>
      </c>
      <c r="Q873" s="2">
        <v>397.63</v>
      </c>
      <c r="R873" s="11">
        <f t="shared" si="40"/>
        <v>-5.203772735232981E-3</v>
      </c>
      <c r="T873" s="2" t="s">
        <v>476</v>
      </c>
      <c r="U873" s="2">
        <v>6068.5</v>
      </c>
      <c r="V873" s="11">
        <f t="shared" si="41"/>
        <v>3.3958278885926063E-4</v>
      </c>
    </row>
    <row r="874" spans="12:22" x14ac:dyDescent="0.2">
      <c r="L874" s="2" t="s">
        <v>475</v>
      </c>
      <c r="M874" s="2">
        <v>88.83</v>
      </c>
      <c r="N874" s="11">
        <f t="shared" si="39"/>
        <v>-1.3490725126475978E-3</v>
      </c>
      <c r="P874" s="2" t="s">
        <v>475</v>
      </c>
      <c r="Q874" s="2">
        <v>395.16</v>
      </c>
      <c r="R874" s="11">
        <f t="shared" si="40"/>
        <v>-6.211804944294852E-3</v>
      </c>
      <c r="T874" s="2" t="s">
        <v>475</v>
      </c>
      <c r="U874" s="2">
        <v>6051.97021484375</v>
      </c>
      <c r="V874" s="11">
        <f t="shared" si="41"/>
        <v>-2.7238667143857365E-3</v>
      </c>
    </row>
    <row r="875" spans="12:22" x14ac:dyDescent="0.2">
      <c r="L875" s="2" t="s">
        <v>474</v>
      </c>
      <c r="M875" s="2">
        <v>110.05</v>
      </c>
      <c r="N875" s="11">
        <f t="shared" si="39"/>
        <v>0.23888326015985584</v>
      </c>
      <c r="P875" s="2" t="s">
        <v>474</v>
      </c>
      <c r="Q875" s="2">
        <v>390.85</v>
      </c>
      <c r="R875" s="11">
        <f t="shared" si="40"/>
        <v>-1.090697439012045E-2</v>
      </c>
      <c r="T875" s="2" t="s">
        <v>474</v>
      </c>
      <c r="U875" s="2">
        <v>6115.06982421875</v>
      </c>
      <c r="V875" s="11">
        <f t="shared" si="41"/>
        <v>1.0426292122230674E-2</v>
      </c>
    </row>
    <row r="876" spans="12:22" x14ac:dyDescent="0.2">
      <c r="L876" s="2" t="s">
        <v>473</v>
      </c>
      <c r="M876" s="2">
        <v>108.43</v>
      </c>
      <c r="N876" s="11">
        <f t="shared" si="39"/>
        <v>-1.4720581553839041E-2</v>
      </c>
      <c r="P876" s="2" t="s">
        <v>473</v>
      </c>
      <c r="Q876" s="2">
        <v>366.68</v>
      </c>
      <c r="R876" s="11">
        <f t="shared" si="40"/>
        <v>-6.1839580401688687E-2</v>
      </c>
      <c r="T876" s="2" t="s">
        <v>473</v>
      </c>
      <c r="U876" s="2">
        <v>6114.6298828125</v>
      </c>
      <c r="V876" s="11">
        <f t="shared" si="41"/>
        <v>-7.1943807494645462E-5</v>
      </c>
    </row>
    <row r="877" spans="12:22" x14ac:dyDescent="0.2">
      <c r="L877" s="2" t="s">
        <v>472</v>
      </c>
      <c r="M877" s="2">
        <v>107.35</v>
      </c>
      <c r="N877" s="11">
        <f t="shared" si="39"/>
        <v>-9.9603430784839242E-3</v>
      </c>
      <c r="P877" s="2" t="s">
        <v>472</v>
      </c>
      <c r="Q877" s="2">
        <v>372.44</v>
      </c>
      <c r="R877" s="11">
        <f t="shared" si="40"/>
        <v>1.5708519690193157E-2</v>
      </c>
      <c r="T877" s="2" t="s">
        <v>472</v>
      </c>
      <c r="U877" s="2">
        <v>6129.580078125</v>
      </c>
      <c r="V877" s="11">
        <f t="shared" si="41"/>
        <v>2.4449877750611915E-3</v>
      </c>
    </row>
    <row r="878" spans="12:22" x14ac:dyDescent="0.2">
      <c r="L878" s="2" t="s">
        <v>471</v>
      </c>
      <c r="M878" s="2">
        <v>110.95</v>
      </c>
      <c r="N878" s="11">
        <f t="shared" si="39"/>
        <v>3.3535165346995965E-2</v>
      </c>
      <c r="P878" s="2" t="s">
        <v>471</v>
      </c>
      <c r="Q878" s="2">
        <v>367.22</v>
      </c>
      <c r="R878" s="11">
        <f t="shared" si="40"/>
        <v>-1.4015680378047346E-2</v>
      </c>
      <c r="T878" s="2" t="s">
        <v>471</v>
      </c>
      <c r="U878" s="2">
        <v>6144.14990234375</v>
      </c>
      <c r="V878" s="11">
        <f t="shared" si="41"/>
        <v>2.3769693899173827E-3</v>
      </c>
    </row>
    <row r="879" spans="12:22" x14ac:dyDescent="0.2">
      <c r="L879" s="2" t="s">
        <v>470</v>
      </c>
      <c r="M879" s="2">
        <v>108.88</v>
      </c>
      <c r="N879" s="11">
        <f t="shared" si="39"/>
        <v>-1.865705272645346E-2</v>
      </c>
      <c r="P879" s="2" t="s">
        <v>470</v>
      </c>
      <c r="Q879" s="2">
        <v>365.82</v>
      </c>
      <c r="R879" s="11">
        <f t="shared" si="40"/>
        <v>-3.8124285169653938E-3</v>
      </c>
      <c r="T879" s="2" t="s">
        <v>470</v>
      </c>
      <c r="U879" s="2">
        <v>6117.52001953125</v>
      </c>
      <c r="V879" s="11">
        <f t="shared" si="41"/>
        <v>-4.3341850761716705E-3</v>
      </c>
    </row>
    <row r="880" spans="12:22" x14ac:dyDescent="0.2">
      <c r="L880" s="2" t="s">
        <v>469</v>
      </c>
      <c r="M880" s="2">
        <v>107.6</v>
      </c>
      <c r="N880" s="11">
        <f t="shared" si="39"/>
        <v>-1.1756061719324085E-2</v>
      </c>
      <c r="P880" s="2" t="s">
        <v>469</v>
      </c>
      <c r="Q880" s="2">
        <v>358.97</v>
      </c>
      <c r="R880" s="11">
        <f t="shared" si="40"/>
        <v>-1.872505603848873E-2</v>
      </c>
      <c r="T880" s="2" t="s">
        <v>469</v>
      </c>
      <c r="U880" s="2">
        <v>6013.1298828125</v>
      </c>
      <c r="V880" s="11">
        <f t="shared" si="41"/>
        <v>-1.706412670256352E-2</v>
      </c>
    </row>
    <row r="881" spans="12:22" x14ac:dyDescent="0.2">
      <c r="L881" s="2" t="s">
        <v>468</v>
      </c>
      <c r="M881" s="2">
        <v>106.1</v>
      </c>
      <c r="N881" s="11">
        <f t="shared" si="39"/>
        <v>-1.3940520446096616E-2</v>
      </c>
      <c r="P881" s="2" t="s">
        <v>468</v>
      </c>
      <c r="Q881" s="2">
        <v>368.22</v>
      </c>
      <c r="R881" s="11">
        <f t="shared" si="40"/>
        <v>2.5768170042064886E-2</v>
      </c>
      <c r="T881" s="2" t="s">
        <v>468</v>
      </c>
      <c r="U881" s="2">
        <v>5983.25</v>
      </c>
      <c r="V881" s="11">
        <f t="shared" si="41"/>
        <v>-4.9691065044024096E-3</v>
      </c>
    </row>
    <row r="882" spans="12:22" x14ac:dyDescent="0.2">
      <c r="L882" s="2" t="s">
        <v>467</v>
      </c>
      <c r="M882" s="2">
        <v>103.15</v>
      </c>
      <c r="N882" s="11">
        <f t="shared" si="39"/>
        <v>-2.7803958529688866E-2</v>
      </c>
      <c r="P882" s="2" t="s">
        <v>467</v>
      </c>
      <c r="Q882" s="2">
        <v>366.72</v>
      </c>
      <c r="R882" s="11">
        <f t="shared" si="40"/>
        <v>-4.0736516213133456E-3</v>
      </c>
      <c r="T882" s="2" t="s">
        <v>467</v>
      </c>
      <c r="U882" s="2">
        <v>5955.25</v>
      </c>
      <c r="V882" s="11">
        <f t="shared" si="41"/>
        <v>-4.6797309154723576E-3</v>
      </c>
    </row>
    <row r="883" spans="12:22" x14ac:dyDescent="0.2">
      <c r="L883" s="2" t="s">
        <v>466</v>
      </c>
      <c r="M883" s="2">
        <v>104.93</v>
      </c>
      <c r="N883" s="11">
        <f t="shared" si="39"/>
        <v>1.72564226854095E-2</v>
      </c>
      <c r="P883" s="2" t="s">
        <v>466</v>
      </c>
      <c r="Q883" s="2">
        <v>366.03</v>
      </c>
      <c r="R883" s="11">
        <f t="shared" si="40"/>
        <v>-1.8815445026179045E-3</v>
      </c>
      <c r="T883" s="2" t="s">
        <v>466</v>
      </c>
      <c r="U883" s="2">
        <v>5956.06005859375</v>
      </c>
      <c r="V883" s="11">
        <f t="shared" si="41"/>
        <v>1.3602428004699796E-4</v>
      </c>
    </row>
    <row r="884" spans="12:22" x14ac:dyDescent="0.2">
      <c r="L884" s="2" t="s">
        <v>465</v>
      </c>
      <c r="M884" s="2">
        <v>100.86</v>
      </c>
      <c r="N884" s="11">
        <f t="shared" si="39"/>
        <v>-3.8787763270751952E-2</v>
      </c>
      <c r="P884" s="2" t="s">
        <v>465</v>
      </c>
      <c r="Q884" s="2">
        <v>362.16</v>
      </c>
      <c r="R884" s="11">
        <f t="shared" si="40"/>
        <v>-1.0572903860339156E-2</v>
      </c>
      <c r="T884" s="2" t="s">
        <v>465</v>
      </c>
      <c r="U884" s="2">
        <v>5861.56982421875</v>
      </c>
      <c r="V884" s="11">
        <f t="shared" si="41"/>
        <v>-1.5864553655509872E-2</v>
      </c>
    </row>
    <row r="885" spans="12:22" x14ac:dyDescent="0.2">
      <c r="L885" s="2" t="s">
        <v>464</v>
      </c>
      <c r="M885" s="2">
        <v>99.57</v>
      </c>
      <c r="N885" s="11">
        <f t="shared" si="39"/>
        <v>-1.2790005948840055E-2</v>
      </c>
      <c r="P885" s="2" t="s">
        <v>464</v>
      </c>
      <c r="Q885" s="2">
        <v>365.61</v>
      </c>
      <c r="R885" s="11">
        <f t="shared" si="40"/>
        <v>9.52617627567931E-3</v>
      </c>
      <c r="T885" s="2" t="s">
        <v>464</v>
      </c>
      <c r="U885" s="2">
        <v>5954.5</v>
      </c>
      <c r="V885" s="11">
        <f t="shared" si="41"/>
        <v>1.5854144634988909E-2</v>
      </c>
    </row>
    <row r="886" spans="12:22" x14ac:dyDescent="0.2">
      <c r="L886" s="2" t="s">
        <v>463</v>
      </c>
      <c r="M886" s="2">
        <v>100.38</v>
      </c>
      <c r="N886" s="11">
        <f t="shared" si="39"/>
        <v>8.1349804157879735E-3</v>
      </c>
      <c r="P886" s="2" t="s">
        <v>463</v>
      </c>
      <c r="Q886" s="2">
        <v>347.81</v>
      </c>
      <c r="R886" s="11">
        <f t="shared" si="40"/>
        <v>-4.8685758048193417E-2</v>
      </c>
      <c r="T886" s="2" t="s">
        <v>463</v>
      </c>
      <c r="U886" s="2">
        <v>5849.72021484375</v>
      </c>
      <c r="V886" s="11">
        <f t="shared" si="41"/>
        <v>-1.75967394669998E-2</v>
      </c>
    </row>
    <row r="887" spans="12:22" x14ac:dyDescent="0.2">
      <c r="L887" s="2" t="s">
        <v>462</v>
      </c>
      <c r="M887" s="2">
        <v>100.98</v>
      </c>
      <c r="N887" s="11">
        <f t="shared" si="39"/>
        <v>5.9772863120144404E-3</v>
      </c>
      <c r="P887" s="2" t="s">
        <v>462</v>
      </c>
      <c r="Q887" s="2">
        <v>345.29</v>
      </c>
      <c r="R887" s="11">
        <f t="shared" si="40"/>
        <v>-7.2453350967481844E-3</v>
      </c>
      <c r="T887" s="2" t="s">
        <v>462</v>
      </c>
      <c r="U887" s="2">
        <v>5778.14990234375</v>
      </c>
      <c r="V887" s="11">
        <f t="shared" si="41"/>
        <v>-1.2234826602200433E-2</v>
      </c>
    </row>
    <row r="888" spans="12:22" x14ac:dyDescent="0.2">
      <c r="L888" s="2" t="s">
        <v>461</v>
      </c>
      <c r="M888" s="2">
        <v>103.85</v>
      </c>
      <c r="N888" s="11">
        <f t="shared" si="39"/>
        <v>2.8421469597940119E-2</v>
      </c>
      <c r="P888" s="2" t="s">
        <v>461</v>
      </c>
      <c r="Q888" s="2">
        <v>349.53</v>
      </c>
      <c r="R888" s="11">
        <f t="shared" si="40"/>
        <v>1.2279533146051014E-2</v>
      </c>
      <c r="T888" s="2" t="s">
        <v>461</v>
      </c>
      <c r="U888" s="2">
        <v>5842.6298828125</v>
      </c>
      <c r="V888" s="11">
        <f t="shared" si="41"/>
        <v>1.1159277893187936E-2</v>
      </c>
    </row>
    <row r="889" spans="12:22" x14ac:dyDescent="0.2">
      <c r="L889" s="2" t="s">
        <v>460</v>
      </c>
      <c r="M889" s="2">
        <v>100.81</v>
      </c>
      <c r="N889" s="11">
        <f t="shared" si="39"/>
        <v>-2.9272989889263301E-2</v>
      </c>
      <c r="P889" s="2" t="s">
        <v>460</v>
      </c>
      <c r="Q889" s="2">
        <v>347.94</v>
      </c>
      <c r="R889" s="11">
        <f t="shared" si="40"/>
        <v>-4.548965754012424E-3</v>
      </c>
      <c r="T889" s="2" t="s">
        <v>460</v>
      </c>
      <c r="U889" s="2">
        <v>5738.52001953125</v>
      </c>
      <c r="V889" s="11">
        <f t="shared" si="41"/>
        <v>-1.7819007085749905E-2</v>
      </c>
    </row>
    <row r="890" spans="12:22" x14ac:dyDescent="0.2">
      <c r="L890" s="2" t="s">
        <v>459</v>
      </c>
      <c r="M890" s="2">
        <v>99.84</v>
      </c>
      <c r="N890" s="11">
        <f t="shared" si="39"/>
        <v>-9.6220613034421199E-3</v>
      </c>
      <c r="P890" s="2" t="s">
        <v>459</v>
      </c>
      <c r="Q890" s="2">
        <v>344.36</v>
      </c>
      <c r="R890" s="11">
        <f t="shared" si="40"/>
        <v>-1.028913030982348E-2</v>
      </c>
      <c r="T890" s="2" t="s">
        <v>459</v>
      </c>
      <c r="U890" s="2">
        <v>5770.2001953125</v>
      </c>
      <c r="V890" s="11">
        <f t="shared" si="41"/>
        <v>5.5206178027480401E-3</v>
      </c>
    </row>
    <row r="891" spans="12:22" x14ac:dyDescent="0.2">
      <c r="L891" s="2" t="s">
        <v>458</v>
      </c>
      <c r="M891" s="2">
        <v>101.1</v>
      </c>
      <c r="N891" s="11">
        <f t="shared" si="39"/>
        <v>1.2620192307692291E-2</v>
      </c>
      <c r="P891" s="2" t="s">
        <v>458</v>
      </c>
      <c r="Q891" s="2">
        <v>333.77</v>
      </c>
      <c r="R891" s="11">
        <f t="shared" si="40"/>
        <v>-3.0752700662097898E-2</v>
      </c>
      <c r="T891" s="2" t="s">
        <v>458</v>
      </c>
      <c r="U891" s="2">
        <v>5614.56005859375</v>
      </c>
      <c r="V891" s="11">
        <f t="shared" si="41"/>
        <v>-2.69730913054258E-2</v>
      </c>
    </row>
    <row r="892" spans="12:22" x14ac:dyDescent="0.2">
      <c r="L892" s="2" t="s">
        <v>457</v>
      </c>
      <c r="M892" s="2">
        <v>98.32</v>
      </c>
      <c r="N892" s="11">
        <f t="shared" si="39"/>
        <v>-2.749752720079135E-2</v>
      </c>
      <c r="P892" s="2" t="s">
        <v>457</v>
      </c>
      <c r="Q892" s="2">
        <v>319.42</v>
      </c>
      <c r="R892" s="11">
        <f t="shared" si="40"/>
        <v>-4.2993678281451175E-2</v>
      </c>
      <c r="T892" s="2" t="s">
        <v>457</v>
      </c>
      <c r="U892" s="2">
        <v>5572.06982421875</v>
      </c>
      <c r="V892" s="11">
        <f t="shared" si="41"/>
        <v>-7.5678653236531668E-3</v>
      </c>
    </row>
    <row r="893" spans="12:22" x14ac:dyDescent="0.2">
      <c r="L893" s="2" t="s">
        <v>456</v>
      </c>
      <c r="M893" s="2">
        <v>101.88</v>
      </c>
      <c r="N893" s="11">
        <f t="shared" si="39"/>
        <v>3.6208299430431357E-2</v>
      </c>
      <c r="P893" s="2" t="s">
        <v>456</v>
      </c>
      <c r="Q893" s="2">
        <v>316.49</v>
      </c>
      <c r="R893" s="11">
        <f t="shared" si="40"/>
        <v>-9.1728758374554076E-3</v>
      </c>
      <c r="T893" s="2" t="s">
        <v>456</v>
      </c>
      <c r="U893" s="2">
        <v>5599.2998046875</v>
      </c>
      <c r="V893" s="11">
        <f t="shared" si="41"/>
        <v>4.8868699294464246E-3</v>
      </c>
    </row>
    <row r="894" spans="12:22" x14ac:dyDescent="0.2">
      <c r="L894" s="2" t="s">
        <v>455</v>
      </c>
      <c r="M894" s="2">
        <v>100</v>
      </c>
      <c r="N894" s="11">
        <f t="shared" si="39"/>
        <v>-1.8453082057322323E-2</v>
      </c>
      <c r="P894" s="2" t="s">
        <v>455</v>
      </c>
      <c r="Q894" s="2">
        <v>309.68</v>
      </c>
      <c r="R894" s="11">
        <f t="shared" si="40"/>
        <v>-2.1517267528199935E-2</v>
      </c>
      <c r="T894" s="2" t="s">
        <v>455</v>
      </c>
      <c r="U894" s="2">
        <v>5521.52001953125</v>
      </c>
      <c r="V894" s="11">
        <f t="shared" si="41"/>
        <v>-1.3890984206835322E-2</v>
      </c>
    </row>
    <row r="895" spans="12:22" x14ac:dyDescent="0.2">
      <c r="L895" s="2" t="s">
        <v>454</v>
      </c>
      <c r="M895" s="2">
        <v>98.6</v>
      </c>
      <c r="N895" s="11">
        <f t="shared" si="39"/>
        <v>-1.4000000000000012E-2</v>
      </c>
      <c r="P895" s="2" t="s">
        <v>454</v>
      </c>
      <c r="Q895" s="2">
        <v>311.02999999999997</v>
      </c>
      <c r="R895" s="11">
        <f t="shared" si="40"/>
        <v>4.3593386721776373E-3</v>
      </c>
      <c r="T895" s="2" t="s">
        <v>454</v>
      </c>
      <c r="U895" s="2">
        <v>5638.93994140625</v>
      </c>
      <c r="V895" s="11">
        <f t="shared" si="41"/>
        <v>2.1265869083087807E-2</v>
      </c>
    </row>
    <row r="896" spans="12:22" x14ac:dyDescent="0.2">
      <c r="L896" s="2" t="s">
        <v>453</v>
      </c>
      <c r="M896" s="2">
        <v>103.87</v>
      </c>
      <c r="N896" s="11">
        <f t="shared" si="39"/>
        <v>5.3448275862069128E-2</v>
      </c>
      <c r="P896" s="2" t="s">
        <v>453</v>
      </c>
      <c r="Q896" s="2">
        <v>327.08999999999997</v>
      </c>
      <c r="R896" s="11">
        <f t="shared" si="40"/>
        <v>5.1634890525029675E-2</v>
      </c>
      <c r="T896" s="2" t="s">
        <v>453</v>
      </c>
      <c r="U896" s="2">
        <v>5675.1201171875</v>
      </c>
      <c r="V896" s="11">
        <f t="shared" si="41"/>
        <v>6.4161307191059613E-3</v>
      </c>
    </row>
    <row r="897" spans="12:22" x14ac:dyDescent="0.2">
      <c r="L897" s="2" t="s">
        <v>452</v>
      </c>
      <c r="M897" s="2">
        <v>103.49</v>
      </c>
      <c r="N897" s="11">
        <f t="shared" si="39"/>
        <v>-3.658419177818506E-3</v>
      </c>
      <c r="P897" s="2" t="s">
        <v>452</v>
      </c>
      <c r="Q897" s="2">
        <v>323.07</v>
      </c>
      <c r="R897" s="11">
        <f t="shared" si="40"/>
        <v>-1.2290195359075384E-2</v>
      </c>
      <c r="T897" s="2" t="s">
        <v>452</v>
      </c>
      <c r="U897" s="2">
        <v>5614.66015625</v>
      </c>
      <c r="V897" s="11">
        <f t="shared" si="41"/>
        <v>-1.0653512117636543E-2</v>
      </c>
    </row>
    <row r="898" spans="12:22" x14ac:dyDescent="0.2">
      <c r="L898" s="2" t="s">
        <v>451</v>
      </c>
      <c r="M898" s="2">
        <v>106.98</v>
      </c>
      <c r="N898" s="11">
        <f t="shared" si="39"/>
        <v>3.3723065030437871E-2</v>
      </c>
      <c r="P898" s="2" t="s">
        <v>451</v>
      </c>
      <c r="Q898" s="2">
        <v>329.57</v>
      </c>
      <c r="R898" s="11">
        <f t="shared" si="40"/>
        <v>2.0119478750735054E-2</v>
      </c>
      <c r="T898" s="2" t="s">
        <v>451</v>
      </c>
      <c r="U898" s="2">
        <v>5675.2900390625</v>
      </c>
      <c r="V898" s="11">
        <f t="shared" si="41"/>
        <v>1.0798495567894584E-2</v>
      </c>
    </row>
    <row r="899" spans="12:22" x14ac:dyDescent="0.2">
      <c r="L899" s="2" t="s">
        <v>450</v>
      </c>
      <c r="M899" s="2">
        <v>105.48</v>
      </c>
      <c r="N899" s="11">
        <f t="shared" si="39"/>
        <v>-1.4021312394840169E-2</v>
      </c>
      <c r="P899" s="2" t="s">
        <v>450</v>
      </c>
      <c r="Q899" s="2">
        <v>324.45</v>
      </c>
      <c r="R899" s="11">
        <f t="shared" si="40"/>
        <v>-1.5535394605091457E-2</v>
      </c>
      <c r="T899" s="2" t="s">
        <v>450</v>
      </c>
      <c r="U899" s="2">
        <v>5662.89013671875</v>
      </c>
      <c r="V899" s="11">
        <f t="shared" si="41"/>
        <v>-2.1848931523151816E-3</v>
      </c>
    </row>
    <row r="900" spans="12:22" x14ac:dyDescent="0.2">
      <c r="L900" s="2" t="s">
        <v>449</v>
      </c>
      <c r="M900" s="2">
        <v>104.59</v>
      </c>
      <c r="N900" s="11">
        <f t="shared" si="39"/>
        <v>-8.4376185058778752E-3</v>
      </c>
      <c r="P900" s="2" t="s">
        <v>449</v>
      </c>
      <c r="Q900" s="2">
        <v>322.62</v>
      </c>
      <c r="R900" s="11">
        <f t="shared" si="40"/>
        <v>-5.6403143781783571E-3</v>
      </c>
      <c r="T900" s="2" t="s">
        <v>449</v>
      </c>
      <c r="U900" s="2">
        <v>5667.56005859375</v>
      </c>
      <c r="V900" s="11">
        <f t="shared" si="41"/>
        <v>8.2465344766613491E-4</v>
      </c>
    </row>
    <row r="901" spans="12:22" x14ac:dyDescent="0.2">
      <c r="L901" s="2" t="s">
        <v>448</v>
      </c>
      <c r="M901" s="2">
        <v>110.92</v>
      </c>
      <c r="N901" s="11">
        <f t="shared" si="39"/>
        <v>6.0522038435796954E-2</v>
      </c>
      <c r="P901" s="2" t="s">
        <v>448</v>
      </c>
      <c r="Q901" s="2">
        <v>334.96</v>
      </c>
      <c r="R901" s="11">
        <f t="shared" si="40"/>
        <v>3.8249333581303002E-2</v>
      </c>
      <c r="T901" s="2" t="s">
        <v>448</v>
      </c>
      <c r="U901" s="2">
        <v>5767.56982421875</v>
      </c>
      <c r="V901" s="11">
        <f t="shared" si="41"/>
        <v>1.7646000146633645E-2</v>
      </c>
    </row>
    <row r="902" spans="12:22" x14ac:dyDescent="0.2">
      <c r="L902" s="2" t="s">
        <v>447</v>
      </c>
      <c r="M902" s="2">
        <v>112.59</v>
      </c>
      <c r="N902" s="11">
        <f t="shared" ref="N902:N965" si="42">+M902/M901-1</f>
        <v>1.5055896141363156E-2</v>
      </c>
      <c r="P902" s="2" t="s">
        <v>447</v>
      </c>
      <c r="Q902" s="2">
        <v>337.35</v>
      </c>
      <c r="R902" s="11">
        <f t="shared" ref="R902:R965" si="43">+Q902/Q901-1</f>
        <v>7.1351803200383479E-3</v>
      </c>
      <c r="T902" s="2" t="s">
        <v>447</v>
      </c>
      <c r="U902" s="2">
        <v>5776.64990234375</v>
      </c>
      <c r="V902" s="11">
        <f t="shared" ref="V902:V965" si="44">+U902/U901-1</f>
        <v>1.5743334544251475E-3</v>
      </c>
    </row>
    <row r="903" spans="12:22" x14ac:dyDescent="0.2">
      <c r="L903" s="2" t="s">
        <v>446</v>
      </c>
      <c r="M903" s="2">
        <v>109.51</v>
      </c>
      <c r="N903" s="11">
        <f t="shared" si="42"/>
        <v>-2.7355893063327086E-2</v>
      </c>
      <c r="P903" s="2" t="s">
        <v>446</v>
      </c>
      <c r="Q903" s="2">
        <v>337.79</v>
      </c>
      <c r="R903" s="11">
        <f t="shared" si="43"/>
        <v>1.3042833852081603E-3</v>
      </c>
      <c r="T903" s="2" t="s">
        <v>446</v>
      </c>
      <c r="U903" s="2">
        <v>5712.2001953125</v>
      </c>
      <c r="V903" s="11">
        <f t="shared" si="44"/>
        <v>-1.1156934922627149E-2</v>
      </c>
    </row>
    <row r="904" spans="12:22" x14ac:dyDescent="0.2">
      <c r="L904" s="2" t="s">
        <v>445</v>
      </c>
      <c r="M904" s="2">
        <v>110.59</v>
      </c>
      <c r="N904" s="11">
        <f t="shared" si="42"/>
        <v>9.8621130490366138E-3</v>
      </c>
      <c r="P904" s="2" t="s">
        <v>445</v>
      </c>
      <c r="Q904" s="2">
        <v>341.53</v>
      </c>
      <c r="R904" s="11">
        <f t="shared" si="43"/>
        <v>1.1071967790639015E-2</v>
      </c>
      <c r="T904" s="2" t="s">
        <v>445</v>
      </c>
      <c r="U904" s="2">
        <v>5693.31005859375</v>
      </c>
      <c r="V904" s="11">
        <f t="shared" si="44"/>
        <v>-3.306980860763864E-3</v>
      </c>
    </row>
    <row r="905" spans="12:22" x14ac:dyDescent="0.2">
      <c r="L905" s="2" t="s">
        <v>444</v>
      </c>
      <c r="M905" s="2">
        <v>105.99</v>
      </c>
      <c r="N905" s="11">
        <f t="shared" si="42"/>
        <v>-4.1595080929559658E-2</v>
      </c>
      <c r="P905" s="2" t="s">
        <v>444</v>
      </c>
      <c r="Q905" s="2">
        <v>293.06</v>
      </c>
      <c r="R905" s="11">
        <f t="shared" si="43"/>
        <v>-0.14192018270722917</v>
      </c>
      <c r="T905" s="2" t="s">
        <v>444</v>
      </c>
      <c r="U905" s="2">
        <v>5580.93994140625</v>
      </c>
      <c r="V905" s="11">
        <f t="shared" si="44"/>
        <v>-1.973722070834405E-2</v>
      </c>
    </row>
    <row r="906" spans="12:22" x14ac:dyDescent="0.2">
      <c r="L906" s="2" t="s">
        <v>443</v>
      </c>
      <c r="M906" s="2">
        <v>106.2</v>
      </c>
      <c r="N906" s="11">
        <f t="shared" si="42"/>
        <v>1.9813189923578722E-3</v>
      </c>
      <c r="P906" s="2" t="s">
        <v>443</v>
      </c>
      <c r="Q906" s="2">
        <v>283.06</v>
      </c>
      <c r="R906" s="11">
        <f t="shared" si="43"/>
        <v>-3.4122705248072038E-2</v>
      </c>
      <c r="T906" s="2" t="s">
        <v>443</v>
      </c>
      <c r="U906" s="2">
        <v>5611.85009765625</v>
      </c>
      <c r="V906" s="11">
        <f t="shared" si="44"/>
        <v>5.5385215706533764E-3</v>
      </c>
    </row>
    <row r="907" spans="12:22" x14ac:dyDescent="0.2">
      <c r="L907" s="2" t="s">
        <v>442</v>
      </c>
      <c r="M907" s="2">
        <v>109.14</v>
      </c>
      <c r="N907" s="11">
        <f t="shared" si="42"/>
        <v>2.7683615819209084E-2</v>
      </c>
      <c r="P907" s="2" t="s">
        <v>442</v>
      </c>
      <c r="Q907" s="2">
        <v>279.63</v>
      </c>
      <c r="R907" s="11">
        <f t="shared" si="43"/>
        <v>-1.2117572246166941E-2</v>
      </c>
      <c r="T907" s="2" t="s">
        <v>442</v>
      </c>
      <c r="U907" s="2">
        <v>5633.06982421875</v>
      </c>
      <c r="V907" s="11">
        <f t="shared" si="44"/>
        <v>3.7812354559083605E-3</v>
      </c>
    </row>
    <row r="908" spans="12:22" x14ac:dyDescent="0.2">
      <c r="L908" s="2" t="s">
        <v>441</v>
      </c>
      <c r="M908" s="2">
        <v>111.54</v>
      </c>
      <c r="N908" s="11">
        <f t="shared" si="42"/>
        <v>2.1990104452996206E-2</v>
      </c>
      <c r="P908" s="2" t="s">
        <v>441</v>
      </c>
      <c r="Q908" s="2">
        <v>282.75</v>
      </c>
      <c r="R908" s="11">
        <f t="shared" si="43"/>
        <v>1.1157601115760141E-2</v>
      </c>
      <c r="T908" s="2" t="s">
        <v>441</v>
      </c>
      <c r="U908" s="2">
        <v>5670.97021484375</v>
      </c>
      <c r="V908" s="11">
        <f t="shared" si="44"/>
        <v>6.728194715792668E-3</v>
      </c>
    </row>
    <row r="909" spans="12:22" x14ac:dyDescent="0.2">
      <c r="L909" s="2" t="s">
        <v>440</v>
      </c>
      <c r="M909" s="2">
        <v>95.97</v>
      </c>
      <c r="N909" s="11">
        <f t="shared" si="42"/>
        <v>-0.13959117805271659</v>
      </c>
      <c r="P909" s="2" t="s">
        <v>440</v>
      </c>
      <c r="Q909" s="2">
        <v>255.65</v>
      </c>
      <c r="R909" s="11">
        <f t="shared" si="43"/>
        <v>-9.5844385499557871E-2</v>
      </c>
      <c r="T909" s="2" t="s">
        <v>440</v>
      </c>
      <c r="U909" s="2">
        <v>5396.52001953125</v>
      </c>
      <c r="V909" s="11">
        <f t="shared" si="44"/>
        <v>-4.8395633359901491E-2</v>
      </c>
    </row>
    <row r="910" spans="12:22" x14ac:dyDescent="0.2">
      <c r="L910" s="2" t="s">
        <v>439</v>
      </c>
      <c r="M910" s="2">
        <v>100.65</v>
      </c>
      <c r="N910" s="11">
        <f t="shared" si="42"/>
        <v>4.8765239137230409E-2</v>
      </c>
      <c r="P910" s="2" t="s">
        <v>439</v>
      </c>
      <c r="Q910" s="2">
        <v>263.7</v>
      </c>
      <c r="R910" s="11">
        <f t="shared" si="43"/>
        <v>3.1488362996283881E-2</v>
      </c>
      <c r="T910" s="2" t="s">
        <v>439</v>
      </c>
      <c r="U910" s="2">
        <v>5074.080078125</v>
      </c>
      <c r="V910" s="11">
        <f t="shared" si="44"/>
        <v>-5.9749605345531087E-2</v>
      </c>
    </row>
    <row r="911" spans="12:22" x14ac:dyDescent="0.2">
      <c r="L911" s="2" t="s">
        <v>438</v>
      </c>
      <c r="M911" s="2">
        <v>95.83</v>
      </c>
      <c r="N911" s="11">
        <f t="shared" si="42"/>
        <v>-4.7888723298559421E-2</v>
      </c>
      <c r="P911" s="2" t="s">
        <v>438</v>
      </c>
      <c r="Q911" s="2">
        <v>265</v>
      </c>
      <c r="R911" s="11">
        <f t="shared" si="43"/>
        <v>4.929844520288329E-3</v>
      </c>
      <c r="T911" s="2" t="s">
        <v>438</v>
      </c>
      <c r="U911" s="2">
        <v>5062.25</v>
      </c>
      <c r="V911" s="11">
        <f t="shared" si="44"/>
        <v>-2.3314724921273955E-3</v>
      </c>
    </row>
    <row r="912" spans="12:22" x14ac:dyDescent="0.2">
      <c r="L912" s="2" t="s">
        <v>437</v>
      </c>
      <c r="M912" s="2">
        <v>89.32</v>
      </c>
      <c r="N912" s="11">
        <f t="shared" si="42"/>
        <v>-6.7932797662527467E-2</v>
      </c>
      <c r="P912" s="2" t="s">
        <v>437</v>
      </c>
      <c r="Q912" s="2">
        <v>247.61</v>
      </c>
      <c r="R912" s="11">
        <f t="shared" si="43"/>
        <v>-6.5622641509433866E-2</v>
      </c>
      <c r="T912" s="2" t="s">
        <v>437</v>
      </c>
      <c r="U912" s="2">
        <v>4982.77001953125</v>
      </c>
      <c r="V912" s="11">
        <f t="shared" si="44"/>
        <v>-1.5700524562941354E-2</v>
      </c>
    </row>
    <row r="913" spans="12:22" x14ac:dyDescent="0.2">
      <c r="L913" s="2" t="s">
        <v>436</v>
      </c>
      <c r="M913" s="2">
        <v>99.59</v>
      </c>
      <c r="N913" s="11">
        <f t="shared" si="42"/>
        <v>0.11497984773846848</v>
      </c>
      <c r="P913" s="2" t="s">
        <v>436</v>
      </c>
      <c r="Q913" s="2">
        <v>273.83999999999997</v>
      </c>
      <c r="R913" s="11">
        <f t="shared" si="43"/>
        <v>0.10593271677234339</v>
      </c>
      <c r="T913" s="2" t="s">
        <v>436</v>
      </c>
      <c r="U913" s="2">
        <v>5456.89990234375</v>
      </c>
      <c r="V913" s="11">
        <f t="shared" si="44"/>
        <v>9.5153876449048491E-2</v>
      </c>
    </row>
    <row r="914" spans="12:22" x14ac:dyDescent="0.2">
      <c r="L914" s="2" t="s">
        <v>435</v>
      </c>
      <c r="M914" s="2">
        <v>95.5</v>
      </c>
      <c r="N914" s="11">
        <f t="shared" si="42"/>
        <v>-4.1068380359473911E-2</v>
      </c>
      <c r="P914" s="2" t="s">
        <v>435</v>
      </c>
      <c r="Q914" s="2">
        <v>256.62</v>
      </c>
      <c r="R914" s="11">
        <f t="shared" si="43"/>
        <v>-6.2883435582821945E-2</v>
      </c>
      <c r="T914" s="2" t="s">
        <v>435</v>
      </c>
      <c r="U914" s="2">
        <v>5268.0498046875</v>
      </c>
      <c r="V914" s="11">
        <f t="shared" si="44"/>
        <v>-3.4607579584726933E-2</v>
      </c>
    </row>
    <row r="915" spans="12:22" x14ac:dyDescent="0.2">
      <c r="L915" s="2" t="s">
        <v>434</v>
      </c>
      <c r="M915" s="2">
        <v>92.56</v>
      </c>
      <c r="N915" s="11">
        <f t="shared" si="42"/>
        <v>-3.0785340314136156E-2</v>
      </c>
      <c r="P915" s="2" t="s">
        <v>434</v>
      </c>
      <c r="Q915" s="2">
        <v>261.02999999999997</v>
      </c>
      <c r="R915" s="11">
        <f t="shared" si="43"/>
        <v>1.7184942716857554E-2</v>
      </c>
      <c r="T915" s="2" t="s">
        <v>434</v>
      </c>
      <c r="U915" s="2">
        <v>5363.35986328125</v>
      </c>
      <c r="V915" s="11">
        <f t="shared" si="44"/>
        <v>1.8092095201708958E-2</v>
      </c>
    </row>
    <row r="916" spans="12:22" x14ac:dyDescent="0.2">
      <c r="L916" s="2" t="s">
        <v>433</v>
      </c>
      <c r="M916" s="2">
        <v>90.8</v>
      </c>
      <c r="N916" s="11">
        <f t="shared" si="42"/>
        <v>-1.9014693171996555E-2</v>
      </c>
      <c r="P916" s="2" t="s">
        <v>433</v>
      </c>
      <c r="Q916" s="2">
        <v>259.76</v>
      </c>
      <c r="R916" s="11">
        <f t="shared" si="43"/>
        <v>-4.8653411485268805E-3</v>
      </c>
      <c r="T916" s="2" t="s">
        <v>433</v>
      </c>
      <c r="U916" s="2">
        <v>5405.97021484375</v>
      </c>
      <c r="V916" s="11">
        <f t="shared" si="44"/>
        <v>7.9447123908689132E-3</v>
      </c>
    </row>
    <row r="917" spans="12:22" x14ac:dyDescent="0.2">
      <c r="L917" s="2" t="s">
        <v>432</v>
      </c>
      <c r="M917" s="2">
        <v>89.93</v>
      </c>
      <c r="N917" s="11">
        <f t="shared" si="42"/>
        <v>-9.5814977973567306E-3</v>
      </c>
      <c r="P917" s="2" t="s">
        <v>432</v>
      </c>
      <c r="Q917" s="2">
        <v>255.64</v>
      </c>
      <c r="R917" s="11">
        <f t="shared" si="43"/>
        <v>-1.5860794579611981E-2</v>
      </c>
      <c r="T917" s="2" t="s">
        <v>432</v>
      </c>
      <c r="U917" s="2">
        <v>5396.6298828125</v>
      </c>
      <c r="V917" s="11">
        <f t="shared" si="44"/>
        <v>-1.7277808903947145E-3</v>
      </c>
    </row>
    <row r="918" spans="12:22" x14ac:dyDescent="0.2">
      <c r="L918" s="2" t="s">
        <v>431</v>
      </c>
      <c r="M918" s="2">
        <v>88.67</v>
      </c>
      <c r="N918" s="11">
        <f t="shared" si="42"/>
        <v>-1.4010897364617025E-2</v>
      </c>
      <c r="P918" s="2" t="s">
        <v>431</v>
      </c>
      <c r="Q918" s="2">
        <v>249.37</v>
      </c>
      <c r="R918" s="11">
        <f t="shared" si="43"/>
        <v>-2.4526678141135849E-2</v>
      </c>
      <c r="T918" s="2" t="s">
        <v>431</v>
      </c>
      <c r="U918" s="2">
        <v>5275.7001953125</v>
      </c>
      <c r="V918" s="11">
        <f t="shared" si="44"/>
        <v>-2.24083715440897E-2</v>
      </c>
    </row>
    <row r="919" spans="12:22" x14ac:dyDescent="0.2">
      <c r="L919" s="2" t="s">
        <v>430</v>
      </c>
      <c r="M919" s="2">
        <v>90.72</v>
      </c>
      <c r="N919" s="11">
        <f t="shared" si="42"/>
        <v>2.3119431600315821E-2</v>
      </c>
      <c r="P919" s="2" t="s">
        <v>430</v>
      </c>
      <c r="Q919" s="2">
        <v>251.08</v>
      </c>
      <c r="R919" s="11">
        <f t="shared" si="43"/>
        <v>6.8572803464730381E-3</v>
      </c>
      <c r="T919" s="2" t="s">
        <v>430</v>
      </c>
      <c r="U919" s="2">
        <v>5282.7001953125</v>
      </c>
      <c r="V919" s="11">
        <f t="shared" si="44"/>
        <v>1.3268380955802073E-3</v>
      </c>
    </row>
    <row r="920" spans="12:22" x14ac:dyDescent="0.2">
      <c r="L920" s="2" t="s">
        <v>429</v>
      </c>
      <c r="M920" s="2">
        <v>89.46</v>
      </c>
      <c r="N920" s="11">
        <f t="shared" si="42"/>
        <v>-1.3888888888888951E-2</v>
      </c>
      <c r="P920" s="2" t="s">
        <v>429</v>
      </c>
      <c r="Q920" s="2">
        <v>253.91</v>
      </c>
      <c r="R920" s="11">
        <f t="shared" si="43"/>
        <v>1.1271307949657361E-2</v>
      </c>
      <c r="T920" s="2" t="s">
        <v>429</v>
      </c>
      <c r="U920" s="2">
        <v>5158.2001953125</v>
      </c>
      <c r="V920" s="11">
        <f t="shared" si="44"/>
        <v>-2.3567493023827546E-2</v>
      </c>
    </row>
    <row r="921" spans="12:22" x14ac:dyDescent="0.2">
      <c r="L921" s="2" t="s">
        <v>428</v>
      </c>
      <c r="M921" s="2">
        <v>93.59</v>
      </c>
      <c r="N921" s="11">
        <f t="shared" si="42"/>
        <v>4.6165884194053319E-2</v>
      </c>
      <c r="P921" s="2" t="s">
        <v>428</v>
      </c>
      <c r="Q921" s="2">
        <v>261.70999999999998</v>
      </c>
      <c r="R921" s="11">
        <f t="shared" si="43"/>
        <v>3.0719546295931544E-2</v>
      </c>
      <c r="T921" s="2" t="s">
        <v>428</v>
      </c>
      <c r="U921" s="2">
        <v>5287.759765625</v>
      </c>
      <c r="V921" s="11">
        <f t="shared" si="44"/>
        <v>2.5117204723895226E-2</v>
      </c>
    </row>
    <row r="922" spans="12:22" x14ac:dyDescent="0.2">
      <c r="L922" s="2" t="s">
        <v>427</v>
      </c>
      <c r="M922" s="2">
        <v>95.8</v>
      </c>
      <c r="N922" s="11">
        <f t="shared" si="42"/>
        <v>2.3613633935249512E-2</v>
      </c>
      <c r="P922" s="2" t="s">
        <v>427</v>
      </c>
      <c r="Q922" s="2">
        <v>265.85000000000002</v>
      </c>
      <c r="R922" s="11">
        <f t="shared" si="43"/>
        <v>1.5819036337931358E-2</v>
      </c>
      <c r="T922" s="2" t="s">
        <v>427</v>
      </c>
      <c r="U922" s="2">
        <v>5375.85986328125</v>
      </c>
      <c r="V922" s="11">
        <f t="shared" si="44"/>
        <v>1.6661138470960069E-2</v>
      </c>
    </row>
    <row r="923" spans="12:22" x14ac:dyDescent="0.2">
      <c r="L923" s="2" t="s">
        <v>426</v>
      </c>
      <c r="M923" s="2">
        <v>98.73</v>
      </c>
      <c r="N923" s="11">
        <f t="shared" si="42"/>
        <v>3.0584551148225447E-2</v>
      </c>
      <c r="P923" s="2" t="s">
        <v>426</v>
      </c>
      <c r="Q923" s="2">
        <v>270.64</v>
      </c>
      <c r="R923" s="11">
        <f t="shared" si="43"/>
        <v>1.80176791423734E-2</v>
      </c>
      <c r="T923" s="2" t="s">
        <v>426</v>
      </c>
      <c r="U923" s="2">
        <v>5484.77001953125</v>
      </c>
      <c r="V923" s="11">
        <f t="shared" si="44"/>
        <v>2.0259113708281262E-2</v>
      </c>
    </row>
    <row r="924" spans="12:22" x14ac:dyDescent="0.2">
      <c r="L924" s="2" t="s">
        <v>425</v>
      </c>
      <c r="M924" s="2">
        <v>97.68</v>
      </c>
      <c r="N924" s="11">
        <f t="shared" si="42"/>
        <v>-1.0635065329686944E-2</v>
      </c>
      <c r="P924" s="2" t="s">
        <v>425</v>
      </c>
      <c r="Q924" s="2">
        <v>267.89999999999998</v>
      </c>
      <c r="R924" s="11">
        <f t="shared" si="43"/>
        <v>-1.0124150162577616E-2</v>
      </c>
      <c r="T924" s="2" t="s">
        <v>425</v>
      </c>
      <c r="U924" s="2">
        <v>5525.2099609375</v>
      </c>
      <c r="V924" s="11">
        <f t="shared" si="44"/>
        <v>7.3731334699984608E-3</v>
      </c>
    </row>
    <row r="925" spans="12:22" x14ac:dyDescent="0.2">
      <c r="L925" s="2" t="s">
        <v>424</v>
      </c>
      <c r="M925" s="2">
        <v>96.23</v>
      </c>
      <c r="N925" s="11">
        <f t="shared" si="42"/>
        <v>-1.4844389844389849E-2</v>
      </c>
      <c r="P925" s="2" t="s">
        <v>424</v>
      </c>
      <c r="Q925" s="2">
        <v>268.52</v>
      </c>
      <c r="R925" s="11">
        <f t="shared" si="43"/>
        <v>2.3142963792459614E-3</v>
      </c>
      <c r="T925" s="2" t="s">
        <v>424</v>
      </c>
      <c r="U925" s="2">
        <v>5528.75</v>
      </c>
      <c r="V925" s="11">
        <f t="shared" si="44"/>
        <v>6.4070670391314088E-4</v>
      </c>
    </row>
    <row r="926" spans="12:22" x14ac:dyDescent="0.2">
      <c r="L926" s="2" t="s">
        <v>423</v>
      </c>
      <c r="M926" s="2">
        <v>96.1</v>
      </c>
      <c r="N926" s="11">
        <f t="shared" si="42"/>
        <v>-1.3509300633899324E-3</v>
      </c>
      <c r="P926" s="2" t="s">
        <v>423</v>
      </c>
      <c r="Q926" s="2">
        <v>271.27</v>
      </c>
      <c r="R926" s="11">
        <f t="shared" si="43"/>
        <v>1.0241322806494813E-2</v>
      </c>
      <c r="T926" s="2" t="s">
        <v>423</v>
      </c>
      <c r="U926" s="2">
        <v>5560.830078125</v>
      </c>
      <c r="V926" s="11">
        <f t="shared" si="44"/>
        <v>5.8024106940990361E-3</v>
      </c>
    </row>
    <row r="927" spans="12:22" x14ac:dyDescent="0.2">
      <c r="L927" s="2" t="s">
        <v>422</v>
      </c>
      <c r="M927" s="2">
        <v>96.42</v>
      </c>
      <c r="N927" s="11">
        <f t="shared" si="42"/>
        <v>3.3298647242456791E-3</v>
      </c>
      <c r="P927" s="2" t="s">
        <v>422</v>
      </c>
      <c r="Q927" s="2">
        <v>270.77</v>
      </c>
      <c r="R927" s="11">
        <f t="shared" si="43"/>
        <v>-1.8431820695248291E-3</v>
      </c>
      <c r="T927" s="2" t="s">
        <v>422</v>
      </c>
      <c r="U927" s="2">
        <v>5569.06005859375</v>
      </c>
      <c r="V927" s="11">
        <f t="shared" si="44"/>
        <v>1.47999135976562E-3</v>
      </c>
    </row>
    <row r="928" spans="12:22" x14ac:dyDescent="0.2">
      <c r="L928" s="2" t="s">
        <v>421</v>
      </c>
      <c r="M928" s="2">
        <v>94.72</v>
      </c>
      <c r="N928" s="11">
        <f t="shared" si="42"/>
        <v>-1.7631196847127217E-2</v>
      </c>
      <c r="P928" s="2" t="s">
        <v>421</v>
      </c>
      <c r="Q928" s="2">
        <v>268.60000000000002</v>
      </c>
      <c r="R928" s="11">
        <f t="shared" si="43"/>
        <v>-8.0141817778924818E-3</v>
      </c>
      <c r="T928" s="2" t="s">
        <v>421</v>
      </c>
      <c r="U928" s="2">
        <v>5604.14013671875</v>
      </c>
      <c r="V928" s="11">
        <f t="shared" si="44"/>
        <v>6.2991021385856438E-3</v>
      </c>
    </row>
    <row r="929" spans="12:22" x14ac:dyDescent="0.2">
      <c r="L929" s="2" t="s">
        <v>420</v>
      </c>
      <c r="M929" s="2">
        <v>97.49</v>
      </c>
      <c r="N929" s="11">
        <f t="shared" si="42"/>
        <v>2.9244087837837718E-2</v>
      </c>
      <c r="P929" s="2" t="s">
        <v>420</v>
      </c>
      <c r="Q929" s="2">
        <v>277.36</v>
      </c>
      <c r="R929" s="11">
        <f t="shared" si="43"/>
        <v>3.2613551749813841E-2</v>
      </c>
      <c r="T929" s="2" t="s">
        <v>420</v>
      </c>
      <c r="U929" s="2">
        <v>5686.669921875</v>
      </c>
      <c r="V929" s="11">
        <f t="shared" si="44"/>
        <v>1.472657412963474E-2</v>
      </c>
    </row>
    <row r="930" spans="12:22" x14ac:dyDescent="0.2">
      <c r="L930" s="2" t="s">
        <v>419</v>
      </c>
      <c r="M930" s="2">
        <v>100.79</v>
      </c>
      <c r="N930" s="11">
        <f t="shared" si="42"/>
        <v>3.3849625602625943E-2</v>
      </c>
      <c r="P930" s="2" t="s">
        <v>419</v>
      </c>
      <c r="Q930" s="2">
        <v>278.55</v>
      </c>
      <c r="R930" s="11">
        <f t="shared" si="43"/>
        <v>4.2904528410729892E-3</v>
      </c>
      <c r="T930" s="2" t="s">
        <v>419</v>
      </c>
      <c r="U930" s="2">
        <v>5650.3798828125</v>
      </c>
      <c r="V930" s="11">
        <f t="shared" si="44"/>
        <v>-6.3815975889338628E-3</v>
      </c>
    </row>
    <row r="931" spans="12:22" x14ac:dyDescent="0.2">
      <c r="L931" s="2" t="s">
        <v>418</v>
      </c>
      <c r="M931" s="2">
        <v>98.78</v>
      </c>
      <c r="N931" s="11">
        <f t="shared" si="42"/>
        <v>-1.9942454608592119E-2</v>
      </c>
      <c r="P931" s="2" t="s">
        <v>418</v>
      </c>
      <c r="Q931" s="2">
        <v>270.8</v>
      </c>
      <c r="R931" s="11">
        <f t="shared" si="43"/>
        <v>-2.7822653024591637E-2</v>
      </c>
      <c r="T931" s="2" t="s">
        <v>418</v>
      </c>
      <c r="U931" s="2">
        <v>5606.91015625</v>
      </c>
      <c r="V931" s="11">
        <f t="shared" si="44"/>
        <v>-7.6932396518555324E-3</v>
      </c>
    </row>
    <row r="932" spans="12:22" x14ac:dyDescent="0.2">
      <c r="L932" s="2" t="s">
        <v>417</v>
      </c>
      <c r="M932" s="2">
        <v>100.76</v>
      </c>
      <c r="N932" s="11">
        <f t="shared" si="42"/>
        <v>2.0044543429844186E-2</v>
      </c>
      <c r="P932" s="2" t="s">
        <v>417</v>
      </c>
      <c r="Q932" s="2">
        <v>275.69</v>
      </c>
      <c r="R932" s="11">
        <f t="shared" si="43"/>
        <v>1.8057607090103289E-2</v>
      </c>
      <c r="T932" s="2" t="s">
        <v>417</v>
      </c>
      <c r="U932" s="2">
        <v>5631.27978515625</v>
      </c>
      <c r="V932" s="11">
        <f t="shared" si="44"/>
        <v>4.3463562331358396E-3</v>
      </c>
    </row>
    <row r="933" spans="12:22" x14ac:dyDescent="0.2">
      <c r="L933" s="2" t="s">
        <v>416</v>
      </c>
      <c r="M933" s="2">
        <v>110.65</v>
      </c>
      <c r="N933" s="11">
        <f t="shared" si="42"/>
        <v>9.8154029376736895E-2</v>
      </c>
      <c r="P933" s="2" t="s">
        <v>416</v>
      </c>
      <c r="Q933" s="2">
        <v>282.43</v>
      </c>
      <c r="R933" s="11">
        <f t="shared" si="43"/>
        <v>2.4447749283615705E-2</v>
      </c>
      <c r="T933" s="2" t="s">
        <v>416</v>
      </c>
      <c r="U933" s="2">
        <v>5663.93994140625</v>
      </c>
      <c r="V933" s="11">
        <f t="shared" si="44"/>
        <v>5.7997750948355353E-3</v>
      </c>
    </row>
    <row r="934" spans="12:22" x14ac:dyDescent="0.2">
      <c r="L934" s="2" t="s">
        <v>415</v>
      </c>
      <c r="M934" s="2">
        <v>109.77</v>
      </c>
      <c r="N934" s="11">
        <f t="shared" si="42"/>
        <v>-7.9530049706282302E-3</v>
      </c>
      <c r="P934" s="2" t="s">
        <v>415</v>
      </c>
      <c r="Q934" s="2">
        <v>279.77</v>
      </c>
      <c r="R934" s="11">
        <f t="shared" si="43"/>
        <v>-9.4182629324081057E-3</v>
      </c>
      <c r="T934" s="2" t="s">
        <v>415</v>
      </c>
      <c r="U934" s="2">
        <v>5659.91015625</v>
      </c>
      <c r="V934" s="11">
        <f t="shared" si="44"/>
        <v>-7.1148091221628906E-4</v>
      </c>
    </row>
    <row r="935" spans="12:22" x14ac:dyDescent="0.2">
      <c r="L935" s="2" t="s">
        <v>414</v>
      </c>
      <c r="M935" s="2">
        <v>118.85</v>
      </c>
      <c r="N935" s="11">
        <f t="shared" si="42"/>
        <v>8.2718411223467347E-2</v>
      </c>
      <c r="P935" s="2" t="s">
        <v>414</v>
      </c>
      <c r="Q935" s="2">
        <v>304.2</v>
      </c>
      <c r="R935" s="11">
        <f t="shared" si="43"/>
        <v>8.7321728562747891E-2</v>
      </c>
      <c r="T935" s="2" t="s">
        <v>414</v>
      </c>
      <c r="U935" s="2">
        <v>5844.18994140625</v>
      </c>
      <c r="V935" s="11">
        <f t="shared" si="44"/>
        <v>3.2558782749008364E-2</v>
      </c>
    </row>
    <row r="936" spans="12:22" x14ac:dyDescent="0.2">
      <c r="L936" s="2" t="s">
        <v>413</v>
      </c>
      <c r="M936" s="2">
        <v>120.26</v>
      </c>
      <c r="N936" s="11">
        <f t="shared" si="42"/>
        <v>1.1863693731594571E-2</v>
      </c>
      <c r="P936" s="2" t="s">
        <v>413</v>
      </c>
      <c r="Q936" s="2">
        <v>310.61</v>
      </c>
      <c r="R936" s="11">
        <f t="shared" si="43"/>
        <v>2.1071663379355732E-2</v>
      </c>
      <c r="T936" s="2" t="s">
        <v>413</v>
      </c>
      <c r="U936" s="2">
        <v>5886.5498046875</v>
      </c>
      <c r="V936" s="11">
        <f t="shared" si="44"/>
        <v>7.2482009835321826E-3</v>
      </c>
    </row>
    <row r="937" spans="12:22" x14ac:dyDescent="0.2">
      <c r="L937" s="2" t="s">
        <v>412</v>
      </c>
      <c r="M937" s="2">
        <v>118.26</v>
      </c>
      <c r="N937" s="11">
        <f t="shared" si="42"/>
        <v>-1.6630633627141234E-2</v>
      </c>
      <c r="P937" s="2" t="s">
        <v>412</v>
      </c>
      <c r="Q937" s="2">
        <v>315.83999999999997</v>
      </c>
      <c r="R937" s="11">
        <f t="shared" si="43"/>
        <v>1.6837835227455633E-2</v>
      </c>
      <c r="T937" s="2" t="s">
        <v>412</v>
      </c>
      <c r="U937" s="2">
        <v>5892.580078125</v>
      </c>
      <c r="V937" s="11">
        <f t="shared" si="44"/>
        <v>1.024415597859818E-3</v>
      </c>
    </row>
    <row r="938" spans="12:22" x14ac:dyDescent="0.2">
      <c r="L938" s="2" t="s">
        <v>411</v>
      </c>
      <c r="M938" s="2">
        <v>117.27</v>
      </c>
      <c r="N938" s="11">
        <f t="shared" si="42"/>
        <v>-8.3713850837139336E-3</v>
      </c>
      <c r="P938" s="2" t="s">
        <v>411</v>
      </c>
      <c r="Q938" s="2">
        <v>318.95999999999998</v>
      </c>
      <c r="R938" s="11">
        <f t="shared" si="43"/>
        <v>9.8784194528875879E-3</v>
      </c>
      <c r="T938" s="2" t="s">
        <v>411</v>
      </c>
      <c r="U938" s="2">
        <v>5916.93017578125</v>
      </c>
      <c r="V938" s="11">
        <f t="shared" si="44"/>
        <v>4.1323320741357694E-3</v>
      </c>
    </row>
    <row r="939" spans="12:22" x14ac:dyDescent="0.2">
      <c r="L939" s="2" t="s">
        <v>410</v>
      </c>
      <c r="M939" s="2">
        <v>117.55</v>
      </c>
      <c r="N939" s="11">
        <f t="shared" si="42"/>
        <v>2.387652426025344E-3</v>
      </c>
      <c r="P939" s="2" t="s">
        <v>410</v>
      </c>
      <c r="Q939" s="2">
        <v>321.44</v>
      </c>
      <c r="R939" s="11">
        <f t="shared" si="43"/>
        <v>7.775269626285386E-3</v>
      </c>
      <c r="T939" s="2" t="s">
        <v>410</v>
      </c>
      <c r="U939" s="2">
        <v>5958.3798828125</v>
      </c>
      <c r="V939" s="11">
        <f t="shared" si="44"/>
        <v>7.0052722948985569E-3</v>
      </c>
    </row>
    <row r="940" spans="12:22" x14ac:dyDescent="0.2">
      <c r="L940" s="2" t="s">
        <v>409</v>
      </c>
      <c r="M940" s="2">
        <v>114.73</v>
      </c>
      <c r="N940" s="11">
        <f t="shared" si="42"/>
        <v>-2.3989791578051811E-2</v>
      </c>
      <c r="P940" s="2" t="s">
        <v>409</v>
      </c>
      <c r="Q940" s="2">
        <v>323.7</v>
      </c>
      <c r="R940" s="11">
        <f t="shared" si="43"/>
        <v>7.0308611249376707E-3</v>
      </c>
      <c r="T940" s="2" t="s">
        <v>409</v>
      </c>
      <c r="U940" s="2">
        <v>5963.60009765625</v>
      </c>
      <c r="V940" s="11">
        <f t="shared" si="44"/>
        <v>8.7611312914237516E-4</v>
      </c>
    </row>
    <row r="941" spans="12:22" x14ac:dyDescent="0.2">
      <c r="L941" s="2" t="s">
        <v>408</v>
      </c>
      <c r="M941" s="2">
        <v>112.91</v>
      </c>
      <c r="N941" s="11">
        <f t="shared" si="42"/>
        <v>-1.5863331299572958E-2</v>
      </c>
      <c r="P941" s="2" t="s">
        <v>408</v>
      </c>
      <c r="Q941" s="2">
        <v>327.17</v>
      </c>
      <c r="R941" s="11">
        <f t="shared" si="43"/>
        <v>1.0719802286067504E-2</v>
      </c>
      <c r="T941" s="2" t="s">
        <v>408</v>
      </c>
      <c r="U941" s="2">
        <v>5940.4599609375</v>
      </c>
      <c r="V941" s="11">
        <f t="shared" si="44"/>
        <v>-3.8802294486252054E-3</v>
      </c>
    </row>
    <row r="942" spans="12:22" x14ac:dyDescent="0.2">
      <c r="L942" s="2" t="s">
        <v>407</v>
      </c>
      <c r="M942" s="2">
        <v>112.82</v>
      </c>
      <c r="N942" s="11">
        <f t="shared" si="42"/>
        <v>-7.9709503144098637E-4</v>
      </c>
      <c r="P942" s="2" t="s">
        <v>407</v>
      </c>
      <c r="Q942" s="2">
        <v>317.56</v>
      </c>
      <c r="R942" s="11">
        <f t="shared" si="43"/>
        <v>-2.9373108781367563E-2</v>
      </c>
      <c r="T942" s="2" t="s">
        <v>407</v>
      </c>
      <c r="U942" s="2">
        <v>5844.60986328125</v>
      </c>
      <c r="V942" s="11">
        <f t="shared" si="44"/>
        <v>-1.6135130661014241E-2</v>
      </c>
    </row>
    <row r="943" spans="12:22" x14ac:dyDescent="0.2">
      <c r="L943" s="2" t="s">
        <v>406</v>
      </c>
      <c r="M943" s="2">
        <v>111.38</v>
      </c>
      <c r="N943" s="11">
        <f t="shared" si="42"/>
        <v>-1.2763694380429014E-2</v>
      </c>
      <c r="P943" s="2" t="s">
        <v>406</v>
      </c>
      <c r="Q943" s="2">
        <v>320.45999999999998</v>
      </c>
      <c r="R943" s="11">
        <f t="shared" si="43"/>
        <v>9.1321325103916884E-3</v>
      </c>
      <c r="T943" s="2" t="s">
        <v>406</v>
      </c>
      <c r="U943" s="2">
        <v>5842.009765625</v>
      </c>
      <c r="V943" s="11">
        <f t="shared" si="44"/>
        <v>-4.4487103794299543E-4</v>
      </c>
    </row>
    <row r="944" spans="12:22" x14ac:dyDescent="0.2">
      <c r="L944" s="2" t="s">
        <v>405</v>
      </c>
      <c r="M944" s="2">
        <v>108.29</v>
      </c>
      <c r="N944" s="11">
        <f t="shared" si="42"/>
        <v>-2.7742862273298474E-2</v>
      </c>
      <c r="P944" s="2" t="s">
        <v>405</v>
      </c>
      <c r="Q944" s="2">
        <v>310.76</v>
      </c>
      <c r="R944" s="11">
        <f t="shared" si="43"/>
        <v>-3.0268988329276603E-2</v>
      </c>
      <c r="T944" s="2" t="s">
        <v>405</v>
      </c>
      <c r="U944" s="2">
        <v>5802.81982421875</v>
      </c>
      <c r="V944" s="11">
        <f t="shared" si="44"/>
        <v>-6.7082978253216741E-3</v>
      </c>
    </row>
    <row r="945" spans="12:22" x14ac:dyDescent="0.2">
      <c r="L945" s="2" t="s">
        <v>404</v>
      </c>
      <c r="M945" s="2">
        <v>109.95</v>
      </c>
      <c r="N945" s="11">
        <f t="shared" si="42"/>
        <v>1.532920860651954E-2</v>
      </c>
      <c r="P945" s="2" t="s">
        <v>404</v>
      </c>
      <c r="Q945" s="2">
        <v>321.2</v>
      </c>
      <c r="R945" s="11">
        <f t="shared" si="43"/>
        <v>3.3595057278928975E-2</v>
      </c>
      <c r="T945" s="2" t="s">
        <v>404</v>
      </c>
      <c r="U945" s="2">
        <v>5921.5400390625</v>
      </c>
      <c r="V945" s="11">
        <f t="shared" si="44"/>
        <v>2.04590558452733E-2</v>
      </c>
    </row>
    <row r="946" spans="12:22" x14ac:dyDescent="0.2">
      <c r="L946" s="2" t="s">
        <v>403</v>
      </c>
      <c r="M946" s="2">
        <v>106.88</v>
      </c>
      <c r="N946" s="11">
        <f t="shared" si="42"/>
        <v>-2.7921782628467562E-2</v>
      </c>
      <c r="P946" s="2" t="s">
        <v>403</v>
      </c>
      <c r="Q946" s="2">
        <v>315.745</v>
      </c>
      <c r="R946" s="11">
        <f t="shared" si="43"/>
        <v>-1.6983188044831787E-2</v>
      </c>
      <c r="T946" s="2" t="s">
        <v>403</v>
      </c>
      <c r="U946" s="2">
        <v>5888.5498046875</v>
      </c>
      <c r="V946" s="11">
        <f t="shared" si="44"/>
        <v>-5.5712254172688436E-3</v>
      </c>
    </row>
    <row r="947" spans="12:22" x14ac:dyDescent="0.2">
      <c r="L947" s="2" t="s">
        <v>402</v>
      </c>
      <c r="M947" s="2">
        <v>103.91</v>
      </c>
      <c r="N947" s="11">
        <f t="shared" si="42"/>
        <v>-2.7788173652694592E-2</v>
      </c>
      <c r="P947" s="2" t="s">
        <v>402</v>
      </c>
      <c r="Q947" s="2">
        <v>317.08999999999997</v>
      </c>
      <c r="R947" s="11">
        <f t="shared" si="43"/>
        <v>4.2597665837937893E-3</v>
      </c>
      <c r="T947" s="2" t="s">
        <v>402</v>
      </c>
      <c r="U947" s="2">
        <v>5912.169921875</v>
      </c>
      <c r="V947" s="11">
        <f t="shared" si="44"/>
        <v>4.0111942619043273E-3</v>
      </c>
    </row>
    <row r="948" spans="12:22" x14ac:dyDescent="0.2">
      <c r="L948" s="2" t="s">
        <v>401</v>
      </c>
      <c r="M948" s="2">
        <v>102</v>
      </c>
      <c r="N948" s="11">
        <f t="shared" si="42"/>
        <v>-1.8381291502261532E-2</v>
      </c>
      <c r="P948" s="2" t="s">
        <v>401</v>
      </c>
      <c r="Q948" s="2">
        <v>316.67</v>
      </c>
      <c r="R948" s="11">
        <f t="shared" si="43"/>
        <v>-1.3245450818378801E-3</v>
      </c>
      <c r="T948" s="2" t="s">
        <v>401</v>
      </c>
      <c r="U948" s="2">
        <v>5911.68994140625</v>
      </c>
      <c r="V948" s="11">
        <f t="shared" si="44"/>
        <v>-8.1185161301622344E-5</v>
      </c>
    </row>
    <row r="949" spans="12:22" x14ac:dyDescent="0.2">
      <c r="L949" s="2" t="s">
        <v>400</v>
      </c>
      <c r="M949" s="2">
        <v>101.42</v>
      </c>
      <c r="N949" s="11">
        <f t="shared" si="42"/>
        <v>-5.686274509803857E-3</v>
      </c>
      <c r="P949" s="2" t="s">
        <v>400</v>
      </c>
      <c r="Q949" s="2">
        <v>322.95</v>
      </c>
      <c r="R949" s="11">
        <f t="shared" si="43"/>
        <v>1.9831370196103038E-2</v>
      </c>
      <c r="T949" s="2" t="s">
        <v>400</v>
      </c>
      <c r="U949" s="2">
        <v>5935.93994140625</v>
      </c>
      <c r="V949" s="11">
        <f t="shared" si="44"/>
        <v>4.1020419271569075E-3</v>
      </c>
    </row>
    <row r="950" spans="12:22" x14ac:dyDescent="0.2">
      <c r="L950" s="2" t="s">
        <v>399</v>
      </c>
      <c r="M950" s="2">
        <v>102.17</v>
      </c>
      <c r="N950" s="11">
        <f t="shared" si="42"/>
        <v>7.3949911260107193E-3</v>
      </c>
      <c r="P950" s="2" t="s">
        <v>399</v>
      </c>
      <c r="Q950" s="2">
        <v>334.91</v>
      </c>
      <c r="R950" s="11">
        <f t="shared" si="43"/>
        <v>3.7033596531971025E-2</v>
      </c>
      <c r="T950" s="2" t="s">
        <v>399</v>
      </c>
      <c r="U950" s="2">
        <v>5970.3701171875</v>
      </c>
      <c r="V950" s="11">
        <f t="shared" si="44"/>
        <v>5.8002904546055056E-3</v>
      </c>
    </row>
    <row r="951" spans="12:22" x14ac:dyDescent="0.2">
      <c r="L951" s="2" t="s">
        <v>398</v>
      </c>
      <c r="M951" s="2">
        <v>99.01</v>
      </c>
      <c r="N951" s="11">
        <f t="shared" si="42"/>
        <v>-3.0928844083390361E-2</v>
      </c>
      <c r="P951" s="2" t="s">
        <v>398</v>
      </c>
      <c r="Q951" s="2">
        <v>335.19</v>
      </c>
      <c r="R951" s="11">
        <f t="shared" si="43"/>
        <v>8.3604550476246153E-4</v>
      </c>
      <c r="T951" s="2" t="s">
        <v>398</v>
      </c>
      <c r="U951" s="2">
        <v>5970.81005859375</v>
      </c>
      <c r="V951" s="11">
        <f t="shared" si="44"/>
        <v>7.3687459506643904E-5</v>
      </c>
    </row>
    <row r="952" spans="12:22" x14ac:dyDescent="0.2">
      <c r="L952" s="2" t="s">
        <v>397</v>
      </c>
      <c r="M952" s="2">
        <v>100.17</v>
      </c>
      <c r="N952" s="11">
        <f t="shared" si="42"/>
        <v>1.1715988284011658E-2</v>
      </c>
      <c r="P952" s="2" t="s">
        <v>397</v>
      </c>
      <c r="Q952" s="2">
        <v>330.78</v>
      </c>
      <c r="R952" s="11">
        <f t="shared" si="43"/>
        <v>-1.3156717085831993E-2</v>
      </c>
      <c r="T952" s="2" t="s">
        <v>397</v>
      </c>
      <c r="U952" s="2">
        <v>5939.2998046875</v>
      </c>
      <c r="V952" s="11">
        <f t="shared" si="44"/>
        <v>-5.277383403094138E-3</v>
      </c>
    </row>
    <row r="953" spans="12:22" x14ac:dyDescent="0.2">
      <c r="L953" s="2" t="s">
        <v>396</v>
      </c>
      <c r="M953" s="2">
        <v>101.46</v>
      </c>
      <c r="N953" s="11">
        <f t="shared" si="42"/>
        <v>1.2878107217729751E-2</v>
      </c>
      <c r="P953" s="2" t="s">
        <v>396</v>
      </c>
      <c r="Q953" s="2">
        <v>265.27</v>
      </c>
      <c r="R953" s="11">
        <f t="shared" si="43"/>
        <v>-0.19804704032891951</v>
      </c>
      <c r="T953" s="2" t="s">
        <v>396</v>
      </c>
      <c r="U953" s="2">
        <v>6000.35986328125</v>
      </c>
      <c r="V953" s="11">
        <f t="shared" si="44"/>
        <v>1.0280683010067904E-2</v>
      </c>
    </row>
    <row r="954" spans="12:22" x14ac:dyDescent="0.2">
      <c r="L954" s="2" t="s">
        <v>395</v>
      </c>
      <c r="M954" s="2">
        <v>102.24</v>
      </c>
      <c r="N954" s="11">
        <f t="shared" si="42"/>
        <v>7.6877587226493738E-3</v>
      </c>
      <c r="P954" s="2" t="s">
        <v>395</v>
      </c>
      <c r="Q954" s="2">
        <v>259.04000000000002</v>
      </c>
      <c r="R954" s="11">
        <f t="shared" si="43"/>
        <v>-2.3485505334187695E-2</v>
      </c>
      <c r="T954" s="2" t="s">
        <v>395</v>
      </c>
      <c r="U954" s="2">
        <v>6005.8798828125</v>
      </c>
      <c r="V954" s="11">
        <f t="shared" si="44"/>
        <v>9.1994807928585942E-4</v>
      </c>
    </row>
    <row r="955" spans="12:22" x14ac:dyDescent="0.2">
      <c r="L955" s="2" t="s">
        <v>394</v>
      </c>
      <c r="M955" s="2">
        <v>105.15</v>
      </c>
      <c r="N955" s="11">
        <f t="shared" si="42"/>
        <v>2.8462441314553999E-2</v>
      </c>
      <c r="P955" s="2" t="s">
        <v>394</v>
      </c>
      <c r="Q955" s="2">
        <v>258.5</v>
      </c>
      <c r="R955" s="11">
        <f t="shared" si="43"/>
        <v>-2.0846201358863947E-3</v>
      </c>
      <c r="T955" s="2" t="s">
        <v>394</v>
      </c>
      <c r="U955" s="2">
        <v>6038.81005859375</v>
      </c>
      <c r="V955" s="11">
        <f t="shared" si="44"/>
        <v>5.4829894076784402E-3</v>
      </c>
    </row>
    <row r="956" spans="12:22" x14ac:dyDescent="0.2">
      <c r="L956" s="2" t="s">
        <v>393</v>
      </c>
      <c r="M956" s="2">
        <v>104.29</v>
      </c>
      <c r="N956" s="11">
        <f t="shared" si="42"/>
        <v>-8.1787922016167691E-3</v>
      </c>
      <c r="P956" s="2" t="s">
        <v>393</v>
      </c>
      <c r="Q956" s="2">
        <v>252.28</v>
      </c>
      <c r="R956" s="11">
        <f t="shared" si="43"/>
        <v>-2.4061895551257262E-2</v>
      </c>
      <c r="T956" s="2" t="s">
        <v>393</v>
      </c>
      <c r="U956" s="2">
        <v>6022.240234375</v>
      </c>
      <c r="V956" s="11">
        <f t="shared" si="44"/>
        <v>-2.7438889546078649E-3</v>
      </c>
    </row>
    <row r="957" spans="12:22" x14ac:dyDescent="0.2">
      <c r="L957" s="2" t="s">
        <v>392</v>
      </c>
      <c r="M957" s="2">
        <v>103.66</v>
      </c>
      <c r="N957" s="11">
        <f t="shared" si="42"/>
        <v>-6.0408476363985608E-3</v>
      </c>
      <c r="P957" s="2" t="s">
        <v>392</v>
      </c>
      <c r="Q957" s="2">
        <v>247.03</v>
      </c>
      <c r="R957" s="11">
        <f t="shared" si="43"/>
        <v>-2.081021087680357E-2</v>
      </c>
      <c r="T957" s="2" t="s">
        <v>392</v>
      </c>
      <c r="U957" s="2">
        <v>6045.259765625</v>
      </c>
      <c r="V957" s="11">
        <f t="shared" si="44"/>
        <v>3.8224199557175265E-3</v>
      </c>
    </row>
    <row r="958" spans="12:22" x14ac:dyDescent="0.2">
      <c r="L958" s="2" t="s">
        <v>391</v>
      </c>
      <c r="M958" s="2">
        <v>97.49</v>
      </c>
      <c r="N958" s="11">
        <f t="shared" si="42"/>
        <v>-5.9521512637468632E-2</v>
      </c>
      <c r="P958" s="2" t="s">
        <v>391</v>
      </c>
      <c r="Q958" s="2">
        <v>239.11</v>
      </c>
      <c r="R958" s="11">
        <f t="shared" si="43"/>
        <v>-3.2060883293527076E-2</v>
      </c>
      <c r="T958" s="2" t="s">
        <v>391</v>
      </c>
      <c r="U958" s="2">
        <v>5976.97021484375</v>
      </c>
      <c r="V958" s="11">
        <f t="shared" si="44"/>
        <v>-1.1296379879250695E-2</v>
      </c>
    </row>
    <row r="959" spans="12:22" x14ac:dyDescent="0.2">
      <c r="L959" s="2" t="s">
        <v>390</v>
      </c>
      <c r="M959" s="2">
        <v>102.24</v>
      </c>
      <c r="N959" s="11">
        <f t="shared" si="42"/>
        <v>4.8722945943173723E-2</v>
      </c>
      <c r="P959" s="2" t="s">
        <v>390</v>
      </c>
      <c r="Q959" s="2">
        <v>241.285</v>
      </c>
      <c r="R959" s="11">
        <f t="shared" si="43"/>
        <v>9.0962318598133418E-3</v>
      </c>
      <c r="T959" s="2" t="s">
        <v>390</v>
      </c>
      <c r="U959" s="2">
        <v>6033.10986328125</v>
      </c>
      <c r="V959" s="11">
        <f t="shared" si="44"/>
        <v>9.3926598961591168E-3</v>
      </c>
    </row>
    <row r="960" spans="12:22" x14ac:dyDescent="0.2">
      <c r="L960" s="2" t="s">
        <v>389</v>
      </c>
      <c r="M960" s="2">
        <v>101</v>
      </c>
      <c r="N960" s="11">
        <f t="shared" si="42"/>
        <v>-1.2128325508607096E-2</v>
      </c>
      <c r="P960" s="2" t="s">
        <v>389</v>
      </c>
      <c r="Q960" s="2">
        <v>235.2</v>
      </c>
      <c r="R960" s="11">
        <f t="shared" si="43"/>
        <v>-2.5219139192241613E-2</v>
      </c>
      <c r="T960" s="2" t="s">
        <v>389</v>
      </c>
      <c r="U960" s="2">
        <v>5982.72021484375</v>
      </c>
      <c r="V960" s="11">
        <f t="shared" si="44"/>
        <v>-8.352184790166306E-3</v>
      </c>
    </row>
    <row r="961" spans="12:22" x14ac:dyDescent="0.2">
      <c r="L961" s="2" t="s">
        <v>388</v>
      </c>
      <c r="M961" s="2">
        <v>100.13</v>
      </c>
      <c r="N961" s="11">
        <f t="shared" si="42"/>
        <v>-8.6138613861386215E-3</v>
      </c>
      <c r="P961" s="2" t="s">
        <v>388</v>
      </c>
      <c r="Q961" s="2">
        <v>228.65</v>
      </c>
      <c r="R961" s="11">
        <f t="shared" si="43"/>
        <v>-2.7848639455782198E-2</v>
      </c>
      <c r="T961" s="2" t="s">
        <v>388</v>
      </c>
      <c r="U961" s="2">
        <v>5980.8701171875</v>
      </c>
      <c r="V961" s="11">
        <f t="shared" si="44"/>
        <v>-3.0924021010703129E-4</v>
      </c>
    </row>
    <row r="962" spans="12:22" x14ac:dyDescent="0.2">
      <c r="L962" s="2" t="s">
        <v>387</v>
      </c>
      <c r="M962" s="2">
        <v>98.52</v>
      </c>
      <c r="N962" s="11">
        <f t="shared" si="42"/>
        <v>-1.6079097173674173E-2</v>
      </c>
      <c r="P962" s="2" t="s">
        <v>387</v>
      </c>
      <c r="Q962" s="2">
        <v>227.47</v>
      </c>
      <c r="R962" s="11">
        <f t="shared" si="43"/>
        <v>-5.1607260004373767E-3</v>
      </c>
      <c r="T962" s="2" t="s">
        <v>387</v>
      </c>
      <c r="U962" s="2">
        <v>5967.83984375</v>
      </c>
      <c r="V962" s="11">
        <f t="shared" si="44"/>
        <v>-2.1786584865058911E-3</v>
      </c>
    </row>
    <row r="963" spans="12:22" x14ac:dyDescent="0.2">
      <c r="L963" s="2" t="s">
        <v>386</v>
      </c>
      <c r="M963" s="2">
        <v>97.37</v>
      </c>
      <c r="N963" s="11">
        <f t="shared" si="42"/>
        <v>-1.1672756800649497E-2</v>
      </c>
      <c r="P963" s="2" t="s">
        <v>386</v>
      </c>
      <c r="Q963" s="2">
        <v>225.56</v>
      </c>
      <c r="R963" s="11">
        <f t="shared" si="43"/>
        <v>-8.396711654284017E-3</v>
      </c>
      <c r="T963" s="2" t="s">
        <v>386</v>
      </c>
      <c r="U963" s="2">
        <v>6025.169921875</v>
      </c>
      <c r="V963" s="11">
        <f t="shared" si="44"/>
        <v>9.606504133156335E-3</v>
      </c>
    </row>
    <row r="964" spans="12:22" x14ac:dyDescent="0.2">
      <c r="L964" s="2" t="s">
        <v>385</v>
      </c>
      <c r="M964" s="2">
        <v>99.12</v>
      </c>
      <c r="N964" s="11">
        <f t="shared" si="42"/>
        <v>1.7972681524083489E-2</v>
      </c>
      <c r="P964" s="2" t="s">
        <v>385</v>
      </c>
      <c r="Q964" s="2">
        <v>232.93</v>
      </c>
      <c r="R964" s="11">
        <f t="shared" si="43"/>
        <v>3.2674233020039134E-2</v>
      </c>
      <c r="T964" s="2" t="s">
        <v>385</v>
      </c>
      <c r="U964" s="2">
        <v>6092.18017578125</v>
      </c>
      <c r="V964" s="11">
        <f t="shared" si="44"/>
        <v>1.1121720179701811E-2</v>
      </c>
    </row>
    <row r="965" spans="12:22" x14ac:dyDescent="0.2">
      <c r="L965" s="2" t="s">
        <v>384</v>
      </c>
      <c r="M965" s="2">
        <v>98.64</v>
      </c>
      <c r="N965" s="11">
        <f t="shared" si="42"/>
        <v>-4.8426150121065881E-3</v>
      </c>
      <c r="P965" s="2" t="s">
        <v>384</v>
      </c>
      <c r="Q965" s="2">
        <v>231.52</v>
      </c>
      <c r="R965" s="11">
        <f t="shared" si="43"/>
        <v>-6.0533207401365363E-3</v>
      </c>
      <c r="T965" s="2" t="s">
        <v>384</v>
      </c>
      <c r="U965" s="2">
        <v>6092.16015625</v>
      </c>
      <c r="V965" s="11">
        <f t="shared" si="44"/>
        <v>-3.2861029504172024E-6</v>
      </c>
    </row>
    <row r="966" spans="12:22" x14ac:dyDescent="0.2">
      <c r="L966" s="2" t="s">
        <v>383</v>
      </c>
      <c r="M966" s="2">
        <v>100.05</v>
      </c>
      <c r="N966" s="11">
        <f t="shared" ref="N966:N1006" si="45">+M966/M965-1</f>
        <v>1.4294403892944008E-2</v>
      </c>
      <c r="P966" s="2" t="s">
        <v>383</v>
      </c>
      <c r="Q966" s="2">
        <v>231.58</v>
      </c>
      <c r="R966" s="11">
        <f t="shared" ref="R966:R1006" si="46">+Q966/Q965-1</f>
        <v>2.591568762957408E-4</v>
      </c>
      <c r="T966" s="2" t="s">
        <v>383</v>
      </c>
      <c r="U966" s="2">
        <v>6141.02001953125</v>
      </c>
      <c r="V966" s="11">
        <f t="shared" ref="V966:V1006" si="47">+U966/U965-1</f>
        <v>8.0201212752302187E-3</v>
      </c>
    </row>
    <row r="967" spans="12:22" x14ac:dyDescent="0.2">
      <c r="L967" s="2" t="s">
        <v>382</v>
      </c>
      <c r="M967" s="2">
        <v>103.02</v>
      </c>
      <c r="N967" s="11">
        <f t="shared" si="45"/>
        <v>2.9685157421289299E-2</v>
      </c>
      <c r="P967" s="2" t="s">
        <v>382</v>
      </c>
      <c r="Q967" s="2">
        <v>235.02</v>
      </c>
      <c r="R967" s="11">
        <f t="shared" si="46"/>
        <v>1.4854477934191257E-2</v>
      </c>
      <c r="T967" s="2" t="s">
        <v>382</v>
      </c>
      <c r="U967" s="2">
        <v>6173.06982421875</v>
      </c>
      <c r="V967" s="11">
        <f t="shared" si="47"/>
        <v>5.2189708852221628E-3</v>
      </c>
    </row>
    <row r="968" spans="12:22" x14ac:dyDescent="0.2">
      <c r="L968" s="2" t="s">
        <v>381</v>
      </c>
      <c r="M968" s="2">
        <v>101.28</v>
      </c>
      <c r="N968" s="11">
        <f t="shared" si="45"/>
        <v>-1.6889924286546232E-2</v>
      </c>
      <c r="P968" s="2" t="s">
        <v>381</v>
      </c>
      <c r="Q968" s="2">
        <v>237.58</v>
      </c>
      <c r="R968" s="11">
        <f t="shared" si="46"/>
        <v>1.0892689983831083E-2</v>
      </c>
      <c r="T968" s="2" t="s">
        <v>381</v>
      </c>
      <c r="U968" s="2">
        <v>6204.9501953125</v>
      </c>
      <c r="V968" s="11">
        <f t="shared" si="47"/>
        <v>5.1644274245326027E-3</v>
      </c>
    </row>
    <row r="969" spans="12:22" x14ac:dyDescent="0.2">
      <c r="L969" s="2" t="s">
        <v>380</v>
      </c>
      <c r="M969" s="2">
        <v>107.13</v>
      </c>
      <c r="N969" s="11">
        <f t="shared" si="45"/>
        <v>5.7760663507108845E-2</v>
      </c>
      <c r="P969" s="2" t="s">
        <v>380</v>
      </c>
      <c r="Q969" s="2">
        <v>245.12</v>
      </c>
      <c r="R969" s="11">
        <f t="shared" si="46"/>
        <v>3.1736678171563337E-2</v>
      </c>
      <c r="T969" s="2" t="s">
        <v>380</v>
      </c>
      <c r="U969" s="2">
        <v>6198.009765625</v>
      </c>
      <c r="V969" s="11">
        <f t="shared" si="47"/>
        <v>-1.118531087121899E-3</v>
      </c>
    </row>
    <row r="970" spans="12:22" x14ac:dyDescent="0.2">
      <c r="L970" s="2" t="s">
        <v>379</v>
      </c>
      <c r="M970" s="2">
        <v>106.74</v>
      </c>
      <c r="N970" s="11">
        <f t="shared" si="45"/>
        <v>-3.6404368524223241E-3</v>
      </c>
      <c r="P970" s="2" t="s">
        <v>379</v>
      </c>
      <c r="Q970" s="2">
        <v>246.3</v>
      </c>
      <c r="R970" s="11">
        <f t="shared" si="46"/>
        <v>4.8139686684074423E-3</v>
      </c>
      <c r="T970" s="2" t="s">
        <v>379</v>
      </c>
      <c r="U970" s="2">
        <v>6227.419921875</v>
      </c>
      <c r="V970" s="11">
        <f t="shared" si="47"/>
        <v>4.7450967910880326E-3</v>
      </c>
    </row>
    <row r="971" spans="12:22" x14ac:dyDescent="0.2">
      <c r="L971" s="2" t="s">
        <v>378</v>
      </c>
      <c r="M971" s="2">
        <v>107.34</v>
      </c>
      <c r="N971" s="11">
        <f t="shared" si="45"/>
        <v>5.6211354693649351E-3</v>
      </c>
      <c r="P971" s="2" t="s">
        <v>378</v>
      </c>
      <c r="Q971" s="2">
        <v>247.68</v>
      </c>
      <c r="R971" s="11">
        <f t="shared" si="46"/>
        <v>5.6029232643117766E-3</v>
      </c>
      <c r="T971" s="2" t="s">
        <v>378</v>
      </c>
      <c r="U971" s="2">
        <v>6279.35009765625</v>
      </c>
      <c r="V971" s="11">
        <f t="shared" si="47"/>
        <v>8.3389552066073236E-3</v>
      </c>
    </row>
    <row r="972" spans="12:22" x14ac:dyDescent="0.2">
      <c r="L972" s="2" t="s">
        <v>377</v>
      </c>
      <c r="M972" s="2">
        <v>106.35</v>
      </c>
      <c r="N972" s="11">
        <f t="shared" si="45"/>
        <v>-9.2230296254891542E-3</v>
      </c>
      <c r="P972" s="2" t="s">
        <v>377</v>
      </c>
      <c r="Q972" s="2">
        <v>237.57</v>
      </c>
      <c r="R972" s="11">
        <f t="shared" si="46"/>
        <v>-4.0818798449612448E-2</v>
      </c>
      <c r="T972" s="2" t="s">
        <v>377</v>
      </c>
      <c r="U972" s="2">
        <v>6229.97998046875</v>
      </c>
      <c r="V972" s="11">
        <f t="shared" si="47"/>
        <v>-7.8622972791287937E-3</v>
      </c>
    </row>
    <row r="973" spans="12:22" x14ac:dyDescent="0.2">
      <c r="L973" s="2" t="s">
        <v>376</v>
      </c>
      <c r="M973" s="2">
        <v>106.53</v>
      </c>
      <c r="N973" s="11">
        <f t="shared" si="45"/>
        <v>1.692524682651797E-3</v>
      </c>
      <c r="P973" s="2" t="s">
        <v>376</v>
      </c>
      <c r="Q973" s="2">
        <v>238.54</v>
      </c>
      <c r="R973" s="11">
        <f t="shared" si="46"/>
        <v>4.0830071136928048E-3</v>
      </c>
      <c r="T973" s="2" t="s">
        <v>376</v>
      </c>
      <c r="U973" s="2">
        <v>6225.52001953125</v>
      </c>
      <c r="V973" s="11">
        <f t="shared" si="47"/>
        <v>-7.1588688109469611E-4</v>
      </c>
    </row>
    <row r="974" spans="12:22" x14ac:dyDescent="0.2">
      <c r="L974" s="2" t="s">
        <v>375</v>
      </c>
      <c r="M974" s="2">
        <v>104.75</v>
      </c>
      <c r="N974" s="11">
        <f t="shared" si="45"/>
        <v>-1.6708908288744939E-2</v>
      </c>
      <c r="P974" s="2" t="s">
        <v>375</v>
      </c>
      <c r="Q974" s="2">
        <v>235.89</v>
      </c>
      <c r="R974" s="11">
        <f t="shared" si="46"/>
        <v>-1.1109247924876331E-2</v>
      </c>
      <c r="T974" s="2" t="s">
        <v>375</v>
      </c>
      <c r="U974" s="2">
        <v>6263.26</v>
      </c>
      <c r="V974" s="11">
        <f t="shared" si="47"/>
        <v>6.0621410501209283E-3</v>
      </c>
    </row>
    <row r="975" spans="12:22" x14ac:dyDescent="0.2">
      <c r="L975" s="2" t="s">
        <v>374</v>
      </c>
      <c r="M975" s="2">
        <v>105.85</v>
      </c>
      <c r="N975" s="11">
        <f t="shared" si="45"/>
        <v>1.0501193317422386E-2</v>
      </c>
      <c r="P975" s="2" t="s">
        <v>374</v>
      </c>
      <c r="Q975" s="2">
        <v>238.52</v>
      </c>
      <c r="R975" s="11">
        <f t="shared" si="46"/>
        <v>1.114926448768494E-2</v>
      </c>
      <c r="T975" s="2" t="s">
        <v>374</v>
      </c>
      <c r="U975" s="2">
        <v>6280.46</v>
      </c>
      <c r="V975" s="11">
        <f t="shared" si="47"/>
        <v>2.7461737178402501E-3</v>
      </c>
    </row>
    <row r="976" spans="12:22" x14ac:dyDescent="0.2">
      <c r="L976" s="2" t="s">
        <v>373</v>
      </c>
      <c r="M976" s="2">
        <v>103.75</v>
      </c>
      <c r="N976" s="11">
        <f t="shared" si="45"/>
        <v>-1.98393953708077E-2</v>
      </c>
      <c r="P976" s="2" t="s">
        <v>373</v>
      </c>
      <c r="Q976" s="2">
        <v>236.51</v>
      </c>
      <c r="R976" s="11">
        <f t="shared" si="46"/>
        <v>-8.4269662921349076E-3</v>
      </c>
      <c r="T976" s="2" t="s">
        <v>373</v>
      </c>
      <c r="U976" s="2">
        <v>6259.75</v>
      </c>
      <c r="V976" s="11">
        <f t="shared" si="47"/>
        <v>-3.2975291618766445E-3</v>
      </c>
    </row>
    <row r="977" spans="12:22" x14ac:dyDescent="0.2">
      <c r="L977" s="2" t="s">
        <v>372</v>
      </c>
      <c r="M977" s="2">
        <v>102.01</v>
      </c>
      <c r="N977" s="11">
        <f t="shared" si="45"/>
        <v>-1.6771084337349307E-2</v>
      </c>
      <c r="P977" s="2" t="s">
        <v>372</v>
      </c>
      <c r="Q977" s="2">
        <v>228.89</v>
      </c>
      <c r="R977" s="11">
        <f t="shared" si="46"/>
        <v>-3.2218510845207438E-2</v>
      </c>
      <c r="T977" s="2" t="s">
        <v>372</v>
      </c>
      <c r="U977" s="2">
        <v>6268.56</v>
      </c>
      <c r="V977" s="11">
        <f t="shared" si="47"/>
        <v>1.4074044490595128E-3</v>
      </c>
    </row>
    <row r="978" spans="12:22" x14ac:dyDescent="0.2">
      <c r="L978" s="2" t="s">
        <v>371</v>
      </c>
      <c r="M978" s="2">
        <v>99.72</v>
      </c>
      <c r="N978" s="11">
        <f t="shared" si="45"/>
        <v>-2.244877953141855E-2</v>
      </c>
      <c r="P978" s="2" t="s">
        <v>371</v>
      </c>
      <c r="Q978" s="2">
        <v>222.19</v>
      </c>
      <c r="R978" s="11">
        <f t="shared" si="46"/>
        <v>-2.9271702564550584E-2</v>
      </c>
      <c r="T978" s="2" t="s">
        <v>371</v>
      </c>
      <c r="U978" s="2">
        <v>6243.76</v>
      </c>
      <c r="V978" s="11">
        <f t="shared" si="47"/>
        <v>-3.9562515154996092E-3</v>
      </c>
    </row>
    <row r="979" spans="12:22" x14ac:dyDescent="0.2">
      <c r="L979" s="2" t="s">
        <v>370</v>
      </c>
      <c r="M979" s="2">
        <v>103.2</v>
      </c>
      <c r="N979" s="11">
        <f t="shared" si="45"/>
        <v>3.4897713598074587E-2</v>
      </c>
      <c r="P979" s="2" t="s">
        <v>370</v>
      </c>
      <c r="Q979" s="2">
        <v>226.11</v>
      </c>
      <c r="R979" s="11">
        <f t="shared" si="46"/>
        <v>1.7642558170934963E-2</v>
      </c>
      <c r="T979" s="2" t="s">
        <v>370</v>
      </c>
      <c r="U979" s="2">
        <v>6263.7</v>
      </c>
      <c r="V979" s="11">
        <f t="shared" si="47"/>
        <v>3.193588478737075E-3</v>
      </c>
    </row>
    <row r="980" spans="12:22" x14ac:dyDescent="0.2">
      <c r="L980" s="2" t="s">
        <v>369</v>
      </c>
      <c r="M980" s="2">
        <v>106.63</v>
      </c>
      <c r="N980" s="11">
        <f t="shared" si="45"/>
        <v>3.3236434108527169E-2</v>
      </c>
      <c r="P980" s="2" t="s">
        <v>369</v>
      </c>
      <c r="Q980" s="2">
        <v>233.31</v>
      </c>
      <c r="R980" s="11">
        <f t="shared" si="46"/>
        <v>3.1842908318959751E-2</v>
      </c>
      <c r="T980" s="2" t="s">
        <v>369</v>
      </c>
      <c r="U980" s="2">
        <v>6297.3600000000006</v>
      </c>
      <c r="V980" s="11">
        <f t="shared" si="47"/>
        <v>5.3738205852771337E-3</v>
      </c>
    </row>
    <row r="981" spans="12:22" x14ac:dyDescent="0.2">
      <c r="L981" s="2" t="s">
        <v>368</v>
      </c>
      <c r="M981" s="2">
        <v>105.18</v>
      </c>
      <c r="N981" s="11">
        <f t="shared" si="45"/>
        <v>-1.3598424458407421E-2</v>
      </c>
      <c r="P981" s="2" t="s">
        <v>368</v>
      </c>
      <c r="Q981" s="2">
        <v>229.77</v>
      </c>
      <c r="R981" s="11">
        <f t="shared" si="46"/>
        <v>-1.5172945866015142E-2</v>
      </c>
      <c r="T981" s="2" t="s">
        <v>368</v>
      </c>
      <c r="U981" s="2">
        <v>6296.79</v>
      </c>
      <c r="V981" s="11">
        <f t="shared" si="47"/>
        <v>-9.0514120202889181E-5</v>
      </c>
    </row>
    <row r="982" spans="12:22" x14ac:dyDescent="0.2">
      <c r="L982" s="2" t="s">
        <v>367</v>
      </c>
      <c r="M982" s="2">
        <v>103.64</v>
      </c>
      <c r="N982" s="11">
        <f t="shared" si="45"/>
        <v>-1.4641566837801934E-2</v>
      </c>
      <c r="P982" s="2" t="s">
        <v>367</v>
      </c>
      <c r="Q982" s="2">
        <v>223.21</v>
      </c>
      <c r="R982" s="11">
        <f t="shared" si="46"/>
        <v>-2.8550289419854602E-2</v>
      </c>
      <c r="T982" s="2" t="s">
        <v>367</v>
      </c>
      <c r="U982" s="2">
        <v>6305.6</v>
      </c>
      <c r="V982" s="11">
        <f t="shared" si="47"/>
        <v>1.3991255862113583E-3</v>
      </c>
    </row>
    <row r="983" spans="12:22" x14ac:dyDescent="0.2">
      <c r="L983" s="2" t="s">
        <v>366</v>
      </c>
      <c r="M983" s="2">
        <v>106.31</v>
      </c>
      <c r="N983" s="11">
        <f t="shared" si="45"/>
        <v>2.5762253956001624E-2</v>
      </c>
      <c r="P983" s="2" t="s">
        <v>366</v>
      </c>
      <c r="Q983" s="2">
        <v>223.93</v>
      </c>
      <c r="R983" s="11">
        <f t="shared" si="46"/>
        <v>3.2256619327091229E-3</v>
      </c>
      <c r="T983" s="2" t="s">
        <v>366</v>
      </c>
      <c r="U983" s="2">
        <v>6309.62</v>
      </c>
      <c r="V983" s="11">
        <f t="shared" si="47"/>
        <v>6.3752854605425568E-4</v>
      </c>
    </row>
    <row r="984" spans="12:22" x14ac:dyDescent="0.2">
      <c r="L984" s="2" t="s">
        <v>365</v>
      </c>
      <c r="M984" s="2">
        <v>108.79</v>
      </c>
      <c r="N984" s="11">
        <f t="shared" si="45"/>
        <v>2.3328003010064879E-2</v>
      </c>
      <c r="P984" s="2" t="s">
        <v>365</v>
      </c>
      <c r="Q984" s="2">
        <v>224.03</v>
      </c>
      <c r="R984" s="11">
        <f t="shared" si="46"/>
        <v>4.4656812396737244E-4</v>
      </c>
      <c r="T984" s="2" t="s">
        <v>365</v>
      </c>
      <c r="U984" s="2">
        <v>6358.91</v>
      </c>
      <c r="V984" s="11">
        <f t="shared" si="47"/>
        <v>7.8118809056646477E-3</v>
      </c>
    </row>
    <row r="985" spans="12:22" x14ac:dyDescent="0.2">
      <c r="L985" s="2" t="s">
        <v>364</v>
      </c>
      <c r="M985" s="2">
        <v>107.77500000000001</v>
      </c>
      <c r="N985" s="11">
        <f t="shared" si="45"/>
        <v>-9.3299016453718409E-3</v>
      </c>
      <c r="P985" s="2" t="s">
        <v>364</v>
      </c>
      <c r="Q985" s="2">
        <v>218.69</v>
      </c>
      <c r="R985" s="11">
        <f t="shared" si="46"/>
        <v>-2.3836093380350865E-2</v>
      </c>
      <c r="T985" s="2" t="s">
        <v>364</v>
      </c>
      <c r="U985" s="2">
        <v>6363.35</v>
      </c>
      <c r="V985" s="11">
        <f t="shared" si="47"/>
        <v>6.9823287324410899E-4</v>
      </c>
    </row>
    <row r="986" spans="12:22" x14ac:dyDescent="0.2">
      <c r="L986" s="2" t="s">
        <v>363</v>
      </c>
      <c r="M986" s="2">
        <v>106.75</v>
      </c>
      <c r="N986" s="11">
        <f t="shared" si="45"/>
        <v>-9.5105543957318961E-3</v>
      </c>
      <c r="P986" s="2" t="s">
        <v>363</v>
      </c>
      <c r="Q986" s="2">
        <v>219.43</v>
      </c>
      <c r="R986" s="11">
        <f t="shared" si="46"/>
        <v>3.3837852668161528E-3</v>
      </c>
      <c r="T986" s="2" t="s">
        <v>363</v>
      </c>
      <c r="U986" s="2">
        <v>6388.64</v>
      </c>
      <c r="V986" s="11">
        <f t="shared" si="47"/>
        <v>3.9743217016194876E-3</v>
      </c>
    </row>
    <row r="987" spans="12:22" x14ac:dyDescent="0.2">
      <c r="L987" s="2" t="s">
        <v>362</v>
      </c>
      <c r="M987" s="2">
        <v>105.64</v>
      </c>
      <c r="N987" s="11">
        <f t="shared" si="45"/>
        <v>-1.0398126463700197E-2</v>
      </c>
      <c r="P987" s="2" t="s">
        <v>362</v>
      </c>
      <c r="Q987" s="2">
        <v>216.59</v>
      </c>
      <c r="R987" s="11">
        <f t="shared" si="46"/>
        <v>-1.2942624071457853E-2</v>
      </c>
      <c r="T987" s="2" t="s">
        <v>362</v>
      </c>
      <c r="U987" s="2">
        <v>6389.77</v>
      </c>
      <c r="V987" s="11">
        <f t="shared" si="47"/>
        <v>1.7687645570885202E-4</v>
      </c>
    </row>
    <row r="988" spans="12:22" x14ac:dyDescent="0.2">
      <c r="L988" s="2" t="s">
        <v>361</v>
      </c>
      <c r="M988" s="2">
        <v>104.3</v>
      </c>
      <c r="N988" s="11">
        <f t="shared" si="45"/>
        <v>-1.2684589170768645E-2</v>
      </c>
      <c r="P988" s="2" t="s">
        <v>361</v>
      </c>
      <c r="Q988" s="2">
        <v>214.04</v>
      </c>
      <c r="R988" s="11">
        <f t="shared" si="46"/>
        <v>-1.1773396740385134E-2</v>
      </c>
      <c r="T988" s="2" t="s">
        <v>361</v>
      </c>
      <c r="U988" s="2">
        <v>6370.8600000000006</v>
      </c>
      <c r="V988" s="11">
        <f t="shared" si="47"/>
        <v>-2.9594179446208457E-3</v>
      </c>
    </row>
    <row r="989" spans="12:22" x14ac:dyDescent="0.2">
      <c r="L989" s="2" t="s">
        <v>360</v>
      </c>
      <c r="M989" s="2">
        <v>102.23</v>
      </c>
      <c r="N989" s="11">
        <f t="shared" si="45"/>
        <v>-1.9846596356663415E-2</v>
      </c>
      <c r="P989" s="2" t="s">
        <v>360</v>
      </c>
      <c r="Q989" s="2">
        <v>206.47</v>
      </c>
      <c r="R989" s="11">
        <f t="shared" si="46"/>
        <v>-3.5367221080171873E-2</v>
      </c>
      <c r="T989" s="2" t="s">
        <v>360</v>
      </c>
      <c r="U989" s="2">
        <v>6362.9000000000005</v>
      </c>
      <c r="V989" s="11">
        <f t="shared" si="47"/>
        <v>-1.249438851269713E-3</v>
      </c>
    </row>
    <row r="990" spans="12:22" x14ac:dyDescent="0.2">
      <c r="L990" s="2" t="s">
        <v>359</v>
      </c>
      <c r="M990" s="2">
        <v>99.73</v>
      </c>
      <c r="N990" s="11">
        <f t="shared" si="45"/>
        <v>-2.4454661058397775E-2</v>
      </c>
      <c r="P990" s="2" t="s">
        <v>359</v>
      </c>
      <c r="Q990" s="2">
        <v>200.53</v>
      </c>
      <c r="R990" s="11">
        <f t="shared" si="46"/>
        <v>-2.8769312733084695E-2</v>
      </c>
      <c r="T990" s="2" t="s">
        <v>359</v>
      </c>
      <c r="U990" s="2">
        <v>6339.39</v>
      </c>
      <c r="V990" s="11">
        <f t="shared" si="47"/>
        <v>-3.6948561190652818E-3</v>
      </c>
    </row>
    <row r="991" spans="12:22" x14ac:dyDescent="0.2">
      <c r="L991" s="2" t="s">
        <v>358</v>
      </c>
      <c r="M991" s="2">
        <v>97.13</v>
      </c>
      <c r="N991" s="11">
        <f t="shared" si="45"/>
        <v>-2.6070390053143599E-2</v>
      </c>
      <c r="P991" s="2" t="s">
        <v>358</v>
      </c>
      <c r="Q991" s="2">
        <v>193.33</v>
      </c>
      <c r="R991" s="11">
        <f t="shared" si="46"/>
        <v>-3.5904852141824151E-2</v>
      </c>
      <c r="T991" s="2" t="s">
        <v>358</v>
      </c>
      <c r="U991" s="2">
        <v>6238.01</v>
      </c>
      <c r="V991" s="11">
        <f t="shared" si="47"/>
        <v>-1.5992074947274171E-2</v>
      </c>
    </row>
    <row r="992" spans="12:22" x14ac:dyDescent="0.2">
      <c r="L992" s="2" t="s">
        <v>357</v>
      </c>
      <c r="M992" s="2">
        <v>100.36</v>
      </c>
      <c r="N992" s="11">
        <f t="shared" si="45"/>
        <v>3.3254401317821536E-2</v>
      </c>
      <c r="P992" s="2" t="s">
        <v>357</v>
      </c>
      <c r="Q992" s="2">
        <v>196.45</v>
      </c>
      <c r="R992" s="11">
        <f t="shared" si="46"/>
        <v>1.6138209279470184E-2</v>
      </c>
      <c r="T992" s="2" t="s">
        <v>357</v>
      </c>
      <c r="U992" s="2">
        <v>6329.9400000000005</v>
      </c>
      <c r="V992" s="11">
        <f t="shared" si="47"/>
        <v>1.473707159815385E-2</v>
      </c>
    </row>
    <row r="993" spans="12:22" x14ac:dyDescent="0.2">
      <c r="L993" s="2" t="s">
        <v>356</v>
      </c>
      <c r="M993" s="2">
        <v>102</v>
      </c>
      <c r="N993" s="11">
        <f t="shared" si="45"/>
        <v>1.6341171781586228E-2</v>
      </c>
      <c r="P993" s="2" t="s">
        <v>356</v>
      </c>
      <c r="Q993" s="2">
        <v>195.07</v>
      </c>
      <c r="R993" s="11">
        <f t="shared" si="46"/>
        <v>-7.0246882158310209E-3</v>
      </c>
      <c r="T993" s="2" t="s">
        <v>356</v>
      </c>
      <c r="U993" s="2">
        <v>6299.1900000000005</v>
      </c>
      <c r="V993" s="11">
        <f t="shared" si="47"/>
        <v>-4.8578659513360822E-3</v>
      </c>
    </row>
    <row r="994" spans="12:22" x14ac:dyDescent="0.2">
      <c r="L994" s="2" t="s">
        <v>355</v>
      </c>
      <c r="M994" s="2">
        <v>105.13</v>
      </c>
      <c r="N994" s="11">
        <f t="shared" si="45"/>
        <v>3.0686274509803768E-2</v>
      </c>
      <c r="P994" s="2" t="s">
        <v>355</v>
      </c>
      <c r="Q994" s="2">
        <v>196.51</v>
      </c>
      <c r="R994" s="11">
        <f t="shared" si="46"/>
        <v>7.3819654483004982E-3</v>
      </c>
      <c r="T994" s="2" t="s">
        <v>355</v>
      </c>
      <c r="U994" s="2">
        <v>6345.06</v>
      </c>
      <c r="V994" s="11">
        <f t="shared" si="47"/>
        <v>7.2818886237753233E-3</v>
      </c>
    </row>
    <row r="995" spans="12:22" x14ac:dyDescent="0.2">
      <c r="L995" s="2" t="s">
        <v>354</v>
      </c>
      <c r="M995" s="2">
        <v>74.39</v>
      </c>
      <c r="N995" s="11">
        <f t="shared" si="45"/>
        <v>-0.29239988585560728</v>
      </c>
      <c r="P995" s="2" t="s">
        <v>354</v>
      </c>
      <c r="Q995" s="2">
        <v>191.14</v>
      </c>
      <c r="R995" s="11">
        <f t="shared" si="46"/>
        <v>-2.73268535952369E-2</v>
      </c>
      <c r="T995" s="2" t="s">
        <v>354</v>
      </c>
      <c r="U995" s="2">
        <v>6340</v>
      </c>
      <c r="V995" s="11">
        <f t="shared" si="47"/>
        <v>-7.9747078829839335E-4</v>
      </c>
    </row>
    <row r="996" spans="12:22" x14ac:dyDescent="0.2">
      <c r="L996" s="2" t="s">
        <v>353</v>
      </c>
      <c r="M996" s="2">
        <v>75.239999999999995</v>
      </c>
      <c r="N996" s="11">
        <f t="shared" si="45"/>
        <v>1.142626697136695E-2</v>
      </c>
      <c r="P996" s="2" t="s">
        <v>353</v>
      </c>
      <c r="Q996" s="2">
        <v>189.43</v>
      </c>
      <c r="R996" s="11">
        <f t="shared" si="46"/>
        <v>-8.9463220675943811E-3</v>
      </c>
      <c r="T996" s="2" t="s">
        <v>353</v>
      </c>
      <c r="U996" s="2">
        <v>6389.45</v>
      </c>
      <c r="V996" s="11">
        <f t="shared" si="47"/>
        <v>7.7996845425867267E-3</v>
      </c>
    </row>
    <row r="997" spans="12:22" x14ac:dyDescent="0.2">
      <c r="L997" s="2" t="s">
        <v>352</v>
      </c>
      <c r="M997" s="2">
        <v>76.56</v>
      </c>
      <c r="N997" s="11">
        <f t="shared" si="45"/>
        <v>1.7543859649122862E-2</v>
      </c>
      <c r="P997" s="2" t="s">
        <v>352</v>
      </c>
      <c r="Q997" s="2">
        <v>186.44</v>
      </c>
      <c r="R997" s="11">
        <f t="shared" si="46"/>
        <v>-1.5784194689331232E-2</v>
      </c>
      <c r="T997" s="2" t="s">
        <v>352</v>
      </c>
      <c r="U997" s="2">
        <v>6373.45</v>
      </c>
      <c r="V997" s="11">
        <f t="shared" si="47"/>
        <v>-2.5041278983324311E-3</v>
      </c>
    </row>
    <row r="998" spans="12:22" x14ac:dyDescent="0.2">
      <c r="L998" s="2" t="s">
        <v>351</v>
      </c>
      <c r="M998" s="2">
        <v>77.900000000000006</v>
      </c>
      <c r="N998" s="11">
        <f t="shared" si="45"/>
        <v>1.7502612330198675E-2</v>
      </c>
      <c r="P998" s="2" t="s">
        <v>351</v>
      </c>
      <c r="Q998" s="2">
        <v>192.93</v>
      </c>
      <c r="R998" s="11">
        <f t="shared" si="46"/>
        <v>3.4810126582278444E-2</v>
      </c>
      <c r="T998" s="2" t="s">
        <v>351</v>
      </c>
      <c r="U998" s="2">
        <v>6445.76</v>
      </c>
      <c r="V998" s="11">
        <f t="shared" si="47"/>
        <v>1.1345503612643082E-2</v>
      </c>
    </row>
    <row r="999" spans="12:22" x14ac:dyDescent="0.2">
      <c r="L999" s="2" t="s">
        <v>350</v>
      </c>
      <c r="M999" s="2">
        <v>83.4</v>
      </c>
      <c r="N999" s="11">
        <f t="shared" si="45"/>
        <v>7.0603337612323402E-2</v>
      </c>
      <c r="P999" s="2" t="s">
        <v>350</v>
      </c>
      <c r="Q999" s="2">
        <v>200.49</v>
      </c>
      <c r="R999" s="11">
        <f t="shared" si="46"/>
        <v>3.918519670346754E-2</v>
      </c>
      <c r="T999" s="2" t="s">
        <v>350</v>
      </c>
      <c r="U999" s="2">
        <v>6466.58</v>
      </c>
      <c r="V999" s="11">
        <f t="shared" si="47"/>
        <v>3.2300302834731287E-3</v>
      </c>
    </row>
    <row r="1000" spans="12:22" x14ac:dyDescent="0.2">
      <c r="L1000" s="2" t="s">
        <v>349</v>
      </c>
      <c r="M1000" s="2">
        <v>84.03</v>
      </c>
      <c r="N1000" s="11">
        <f t="shared" si="45"/>
        <v>7.553956834532416E-3</v>
      </c>
      <c r="P1000" s="2" t="s">
        <v>349</v>
      </c>
      <c r="Q1000" s="2">
        <v>195.19</v>
      </c>
      <c r="R1000" s="11">
        <f t="shared" si="46"/>
        <v>-2.6435233677490233E-2</v>
      </c>
      <c r="T1000" s="2" t="s">
        <v>349</v>
      </c>
      <c r="U1000" s="2">
        <v>6468.54</v>
      </c>
      <c r="V1000" s="11">
        <f t="shared" si="47"/>
        <v>3.0309684562790373E-4</v>
      </c>
    </row>
    <row r="1001" spans="12:22" x14ac:dyDescent="0.2">
      <c r="L1001" s="2" t="s">
        <v>348</v>
      </c>
      <c r="M1001" s="2">
        <v>84.7</v>
      </c>
      <c r="N1001" s="11">
        <f t="shared" si="45"/>
        <v>7.9733428537427375E-3</v>
      </c>
      <c r="P1001" s="2" t="s">
        <v>348</v>
      </c>
      <c r="Q1001" s="2">
        <v>198.46</v>
      </c>
      <c r="R1001" s="11">
        <f t="shared" si="46"/>
        <v>1.675290742353619E-2</v>
      </c>
      <c r="T1001" s="2" t="s">
        <v>348</v>
      </c>
      <c r="U1001" s="2">
        <v>6449.8</v>
      </c>
      <c r="V1001" s="11">
        <f t="shared" si="47"/>
        <v>-2.8970988816641174E-3</v>
      </c>
    </row>
    <row r="1002" spans="12:22" x14ac:dyDescent="0.2">
      <c r="L1002" s="2" t="s">
        <v>347</v>
      </c>
      <c r="M1002" s="2">
        <v>82.88</v>
      </c>
      <c r="N1002" s="11">
        <f t="shared" si="45"/>
        <v>-2.1487603305785252E-2</v>
      </c>
      <c r="P1002" s="2" t="s">
        <v>347</v>
      </c>
      <c r="Q1002" s="2">
        <v>203.62</v>
      </c>
      <c r="R1002" s="11">
        <f t="shared" si="46"/>
        <v>2.6000201551950042E-2</v>
      </c>
      <c r="T1002" s="2" t="s">
        <v>347</v>
      </c>
      <c r="U1002" s="2">
        <v>6449.1500000000005</v>
      </c>
      <c r="V1002" s="11">
        <f t="shared" si="47"/>
        <v>-1.0077831870747289E-4</v>
      </c>
    </row>
    <row r="1003" spans="12:22" x14ac:dyDescent="0.2">
      <c r="L1003" s="2" t="s">
        <v>346</v>
      </c>
      <c r="M1003" s="2">
        <v>83.35</v>
      </c>
      <c r="N1003" s="11">
        <f t="shared" si="45"/>
        <v>5.6708494208494997E-3</v>
      </c>
      <c r="P1003" s="2" t="s">
        <v>346</v>
      </c>
      <c r="Q1003" s="2">
        <v>197.66</v>
      </c>
      <c r="R1003" s="11">
        <f t="shared" si="46"/>
        <v>-2.9270209213240417E-2</v>
      </c>
      <c r="T1003" s="2" t="s">
        <v>346</v>
      </c>
      <c r="U1003" s="2">
        <v>6411.37</v>
      </c>
      <c r="V1003" s="11">
        <f t="shared" si="47"/>
        <v>-5.8581363435492584E-3</v>
      </c>
    </row>
    <row r="1004" spans="12:22" x14ac:dyDescent="0.2">
      <c r="L1004" s="2" t="s">
        <v>345</v>
      </c>
      <c r="M1004" s="2">
        <v>83.72</v>
      </c>
      <c r="N1004" s="11">
        <f t="shared" si="45"/>
        <v>4.4391121775646525E-3</v>
      </c>
      <c r="P1004" s="2" t="s">
        <v>345</v>
      </c>
      <c r="Q1004" s="2">
        <v>198.12</v>
      </c>
      <c r="R1004" s="11">
        <f t="shared" si="46"/>
        <v>2.3272285743196619E-3</v>
      </c>
      <c r="T1004" s="2" t="s">
        <v>345</v>
      </c>
      <c r="U1004" s="2">
        <v>6395.78</v>
      </c>
      <c r="V1004" s="11">
        <f t="shared" si="47"/>
        <v>-2.4316175793941408E-3</v>
      </c>
    </row>
    <row r="1005" spans="12:22" x14ac:dyDescent="0.2">
      <c r="L1005" s="2" t="s">
        <v>344</v>
      </c>
      <c r="M1005" s="2">
        <v>83.81</v>
      </c>
      <c r="N1005" s="11">
        <f t="shared" si="45"/>
        <v>1.0750119445772643E-3</v>
      </c>
      <c r="P1005" s="2" t="s">
        <v>344</v>
      </c>
      <c r="Q1005" s="2">
        <v>198.18</v>
      </c>
      <c r="R1005" s="11">
        <f t="shared" si="46"/>
        <v>3.0284675953962115E-4</v>
      </c>
      <c r="T1005" s="2" t="s">
        <v>344</v>
      </c>
      <c r="U1005" s="2">
        <v>6370.17</v>
      </c>
      <c r="V1005" s="11">
        <f t="shared" si="47"/>
        <v>-4.0042027712021699E-3</v>
      </c>
    </row>
    <row r="1006" spans="12:22" x14ac:dyDescent="0.2">
      <c r="L1006" s="2" t="s">
        <v>343</v>
      </c>
      <c r="M1006" s="2">
        <v>86.56</v>
      </c>
      <c r="N1006" s="11">
        <f t="shared" si="45"/>
        <v>3.2812313566400242E-2</v>
      </c>
      <c r="P1006" s="2" t="s">
        <v>343</v>
      </c>
      <c r="Q1006" s="2">
        <v>207.59</v>
      </c>
      <c r="R1006" s="11">
        <f t="shared" si="46"/>
        <v>4.7482086991623706E-2</v>
      </c>
      <c r="T1006" s="2" t="s">
        <v>343</v>
      </c>
      <c r="U1006" s="2">
        <v>6466.91</v>
      </c>
      <c r="V1006" s="11">
        <f t="shared" si="47"/>
        <v>1.518640789806236E-2</v>
      </c>
    </row>
  </sheetData>
  <hyperlinks>
    <hyperlink ref="A1" location="Main!A1" display="Main" xr:uid="{98F3D250-0ECE-4694-89FA-81715EEAEEB9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Ratios</vt:lpstr>
      <vt:lpstr>Coc</vt:lpstr>
      <vt:lpstr>DCF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cp:lastPrinted>2025-08-25T12:23:54Z</cp:lastPrinted>
  <dcterms:created xsi:type="dcterms:W3CDTF">2024-07-09T10:34:10Z</dcterms:created>
  <dcterms:modified xsi:type="dcterms:W3CDTF">2026-07-23T09:20:39Z</dcterms:modified>
</cp:coreProperties>
</file>