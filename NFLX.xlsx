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349CE9AF-C615-4133-89D3-19F55A2D2C8E}" xr6:coauthVersionLast="47" xr6:coauthVersionMax="47" xr10:uidLastSave="{00000000-0000-0000-0000-000000000000}"/>
  <bookViews>
    <workbookView xWindow="19095" yWindow="0" windowWidth="19410" windowHeight="20925" xr2:uid="{D63826A5-B078-46BA-BBB8-108F6999A7DC}"/>
  </bookViews>
  <sheets>
    <sheet name="Main" sheetId="1" r:id="rId1"/>
    <sheet name="Model" sheetId="2" r:id="rId2"/>
    <sheet name="Stream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2" l="1"/>
  <c r="P32" i="2"/>
  <c r="P31" i="2"/>
  <c r="P29" i="2"/>
  <c r="P26" i="2"/>
  <c r="P24" i="2"/>
  <c r="P22" i="2"/>
  <c r="P19" i="2"/>
  <c r="P15" i="2"/>
  <c r="I7" i="1"/>
  <c r="I6" i="1"/>
  <c r="O33" i="2"/>
  <c r="O32" i="2"/>
  <c r="O31" i="2"/>
  <c r="O29" i="2"/>
  <c r="O26" i="2"/>
  <c r="O24" i="2"/>
  <c r="O22" i="2"/>
  <c r="O19" i="2"/>
  <c r="O15" i="2"/>
  <c r="N13" i="2"/>
  <c r="N29" i="2" s="1"/>
  <c r="N23" i="2"/>
  <c r="N21" i="2"/>
  <c r="N20" i="2"/>
  <c r="N18" i="2"/>
  <c r="N17" i="2"/>
  <c r="N16" i="2"/>
  <c r="N14" i="2"/>
  <c r="N9" i="2"/>
  <c r="N7" i="2"/>
  <c r="N5" i="2"/>
  <c r="N3" i="2"/>
  <c r="W31" i="2"/>
  <c r="V31" i="2"/>
  <c r="U31" i="2"/>
  <c r="T31" i="2"/>
  <c r="Y29" i="2"/>
  <c r="X29" i="2"/>
  <c r="Z29" i="2"/>
  <c r="Y15" i="2"/>
  <c r="Y31" i="2" s="1"/>
  <c r="X15" i="2"/>
  <c r="X19" i="2" s="1"/>
  <c r="X22" i="2" s="1"/>
  <c r="Y19" i="2"/>
  <c r="Y32" i="2" s="1"/>
  <c r="W19" i="2"/>
  <c r="W22" i="2" s="1"/>
  <c r="V19" i="2"/>
  <c r="V22" i="2" s="1"/>
  <c r="U19" i="2"/>
  <c r="U22" i="2" s="1"/>
  <c r="T19" i="2"/>
  <c r="T32" i="2" s="1"/>
  <c r="Z15" i="2"/>
  <c r="Z31" i="2" s="1"/>
  <c r="M29" i="2"/>
  <c r="M15" i="2"/>
  <c r="M19" i="2" s="1"/>
  <c r="L29" i="2"/>
  <c r="L15" i="2"/>
  <c r="L31" i="2" s="1"/>
  <c r="K29" i="2"/>
  <c r="K15" i="2"/>
  <c r="K31" i="2" s="1"/>
  <c r="F12" i="2"/>
  <c r="J12" i="2"/>
  <c r="C10" i="3"/>
  <c r="D10" i="3" s="1"/>
  <c r="N15" i="2" l="1"/>
  <c r="N31" i="2" s="1"/>
  <c r="M31" i="2"/>
  <c r="X24" i="2"/>
  <c r="X26" i="2" s="1"/>
  <c r="X33" i="2"/>
  <c r="M32" i="2"/>
  <c r="M22" i="2"/>
  <c r="U33" i="2"/>
  <c r="U24" i="2"/>
  <c r="U26" i="2" s="1"/>
  <c r="V24" i="2"/>
  <c r="V26" i="2" s="1"/>
  <c r="V33" i="2"/>
  <c r="W33" i="2"/>
  <c r="W24" i="2"/>
  <c r="W26" i="2" s="1"/>
  <c r="K19" i="2"/>
  <c r="L19" i="2"/>
  <c r="T22" i="2"/>
  <c r="X31" i="2"/>
  <c r="Y22" i="2"/>
  <c r="U32" i="2"/>
  <c r="V32" i="2"/>
  <c r="W32" i="2"/>
  <c r="X32" i="2"/>
  <c r="Z19" i="2"/>
  <c r="N19" i="2"/>
  <c r="D4" i="3"/>
  <c r="D5" i="3"/>
  <c r="D6" i="3"/>
  <c r="D7" i="3"/>
  <c r="D8" i="3"/>
  <c r="D9" i="3"/>
  <c r="I11" i="2"/>
  <c r="I12" i="2" s="1"/>
  <c r="E11" i="2"/>
  <c r="E12" i="2" s="1"/>
  <c r="G11" i="2"/>
  <c r="G12" i="2" s="1"/>
  <c r="C11" i="2"/>
  <c r="G30" i="2" s="1"/>
  <c r="C15" i="2"/>
  <c r="C19" i="2" s="1"/>
  <c r="C22" i="2" s="1"/>
  <c r="C24" i="2" s="1"/>
  <c r="C26" i="2" s="1"/>
  <c r="H33" i="2"/>
  <c r="H32" i="2"/>
  <c r="J31" i="2"/>
  <c r="G31" i="2"/>
  <c r="D31" i="2"/>
  <c r="C31" i="2"/>
  <c r="H31" i="2"/>
  <c r="J30" i="2"/>
  <c r="I30" i="2"/>
  <c r="J29" i="2"/>
  <c r="I29" i="2"/>
  <c r="G29" i="2"/>
  <c r="H29" i="2"/>
  <c r="D11" i="2"/>
  <c r="D12" i="2" s="1"/>
  <c r="H11" i="2"/>
  <c r="H12" i="2" s="1"/>
  <c r="J15" i="2"/>
  <c r="J19" i="2" s="1"/>
  <c r="J22" i="2" s="1"/>
  <c r="J24" i="2" s="1"/>
  <c r="J26" i="2" s="1"/>
  <c r="I15" i="2"/>
  <c r="I19" i="2" s="1"/>
  <c r="I22" i="2" s="1"/>
  <c r="I24" i="2" s="1"/>
  <c r="I26" i="2" s="1"/>
  <c r="H15" i="2"/>
  <c r="H19" i="2" s="1"/>
  <c r="H22" i="2" s="1"/>
  <c r="H24" i="2" s="1"/>
  <c r="H26" i="2" s="1"/>
  <c r="G15" i="2"/>
  <c r="G19" i="2" s="1"/>
  <c r="G22" i="2" s="1"/>
  <c r="G24" i="2" s="1"/>
  <c r="G26" i="2" s="1"/>
  <c r="F15" i="2"/>
  <c r="F19" i="2" s="1"/>
  <c r="F22" i="2" s="1"/>
  <c r="F24" i="2" s="1"/>
  <c r="F26" i="2" s="1"/>
  <c r="E15" i="2"/>
  <c r="E19" i="2" s="1"/>
  <c r="E22" i="2" s="1"/>
  <c r="E24" i="2" s="1"/>
  <c r="E26" i="2" s="1"/>
  <c r="D15" i="2"/>
  <c r="D19" i="2" s="1"/>
  <c r="D22" i="2" s="1"/>
  <c r="D24" i="2" s="1"/>
  <c r="D26" i="2" s="1"/>
  <c r="I5" i="1"/>
  <c r="I8" i="1" s="1"/>
  <c r="D32" i="2" l="1"/>
  <c r="Y24" i="2"/>
  <c r="Y26" i="2" s="1"/>
  <c r="Y33" i="2"/>
  <c r="D33" i="2"/>
  <c r="T24" i="2"/>
  <c r="T33" i="2"/>
  <c r="K32" i="2"/>
  <c r="K22" i="2"/>
  <c r="Z32" i="2"/>
  <c r="Z22" i="2"/>
  <c r="L22" i="2"/>
  <c r="L32" i="2"/>
  <c r="C12" i="2"/>
  <c r="M24" i="2"/>
  <c r="M26" i="2" s="1"/>
  <c r="M33" i="2"/>
  <c r="H30" i="2"/>
  <c r="N32" i="2"/>
  <c r="N22" i="2"/>
  <c r="F32" i="2"/>
  <c r="F33" i="2"/>
  <c r="F31" i="2"/>
  <c r="J33" i="2"/>
  <c r="J32" i="2"/>
  <c r="E32" i="2"/>
  <c r="E33" i="2"/>
  <c r="E31" i="2"/>
  <c r="I33" i="2"/>
  <c r="I32" i="2"/>
  <c r="I31" i="2"/>
  <c r="C33" i="2"/>
  <c r="C32" i="2"/>
  <c r="G32" i="2"/>
  <c r="G33" i="2"/>
  <c r="L33" i="2" l="1"/>
  <c r="L24" i="2"/>
  <c r="L26" i="2" s="1"/>
  <c r="Z24" i="2"/>
  <c r="Z26" i="2" s="1"/>
  <c r="Z33" i="2"/>
  <c r="K33" i="2"/>
  <c r="K24" i="2"/>
  <c r="K26" i="2" s="1"/>
  <c r="N33" i="2"/>
  <c r="N24" i="2"/>
  <c r="N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tc={A532D4E1-5249-4F1A-AFFD-C45593DE81F8}</author>
    <author>tc={F5A97254-310E-4B9F-9DE0-974EA7388D2A}</author>
  </authors>
  <commentList>
    <comment ref="K13" authorId="0" shapeId="0" xr:uid="{A532D4E1-5249-4F1A-AFFD-C45593DE81F8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10.416</t>
      </text>
    </comment>
    <comment ref="L13" authorId="1" shapeId="0" xr:uid="{F5A97254-310E-4B9F-9DE0-974EA7388D2A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11.035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C8" authorId="0" shapeId="0" xr:uid="{64F614F3-188A-4D6B-A075-FD701993A851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  <comment ref="C9" authorId="0" shapeId="0" xr:uid="{2BEBA291-2E2D-478E-925C-6C2C92C39FF3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Estimate</t>
        </r>
      </text>
    </comment>
  </commentList>
</comments>
</file>

<file path=xl/sharedStrings.xml><?xml version="1.0" encoding="utf-8"?>
<sst xmlns="http://schemas.openxmlformats.org/spreadsheetml/2006/main" count="158" uniqueCount="90">
  <si>
    <t>Netflix</t>
  </si>
  <si>
    <t>numbers in mio USD</t>
  </si>
  <si>
    <t>SEC</t>
  </si>
  <si>
    <t>Price</t>
  </si>
  <si>
    <t>Shares</t>
  </si>
  <si>
    <t>MC</t>
  </si>
  <si>
    <t>Cash</t>
  </si>
  <si>
    <t>Debt</t>
  </si>
  <si>
    <t>EV</t>
  </si>
  <si>
    <t>NFLX</t>
  </si>
  <si>
    <t>Q224</t>
  </si>
  <si>
    <t>Main</t>
  </si>
  <si>
    <t>Revenue</t>
  </si>
  <si>
    <t>Q123</t>
  </si>
  <si>
    <t>Q223</t>
  </si>
  <si>
    <t>Q323</t>
  </si>
  <si>
    <t>Q423</t>
  </si>
  <si>
    <t>Q124</t>
  </si>
  <si>
    <t>Q324</t>
  </si>
  <si>
    <t>Q424</t>
  </si>
  <si>
    <t>COGS</t>
  </si>
  <si>
    <t>Gross Profit</t>
  </si>
  <si>
    <t>R&amp;D</t>
  </si>
  <si>
    <t>Marketing</t>
  </si>
  <si>
    <t>G&amp;A</t>
  </si>
  <si>
    <t>Operating Profit</t>
  </si>
  <si>
    <t>Interest Expense</t>
  </si>
  <si>
    <t>Other Income</t>
  </si>
  <si>
    <t>Pretax Income</t>
  </si>
  <si>
    <t>Income Tax Expense</t>
  </si>
  <si>
    <t>Net Income</t>
  </si>
  <si>
    <t>EPS</t>
  </si>
  <si>
    <t>Streaming Rev (UCAN)</t>
  </si>
  <si>
    <t>Supscription (UCAN)</t>
  </si>
  <si>
    <t>Streaming Rev (EMEA)</t>
  </si>
  <si>
    <t>Supscription (EMEA)</t>
  </si>
  <si>
    <t>Streaming Rev (LATAM)</t>
  </si>
  <si>
    <t>Supscription (LATAM)</t>
  </si>
  <si>
    <t>Streaming Rev (APAC)</t>
  </si>
  <si>
    <t>Supscription (APAC)</t>
  </si>
  <si>
    <t>Total Subscriptions</t>
  </si>
  <si>
    <t>ARPU</t>
  </si>
  <si>
    <t>Revenue Growth YoY</t>
  </si>
  <si>
    <t>Subscription Growth YoY</t>
  </si>
  <si>
    <t>Gross Margin</t>
  </si>
  <si>
    <t>Operating Margin</t>
  </si>
  <si>
    <t>Tax Rate</t>
  </si>
  <si>
    <t>Businessmodel</t>
  </si>
  <si>
    <t>x</t>
  </si>
  <si>
    <t>Segments</t>
  </si>
  <si>
    <t>% of Rev</t>
  </si>
  <si>
    <t>Products</t>
  </si>
  <si>
    <t>Notes:</t>
  </si>
  <si>
    <t>Supscriptions</t>
  </si>
  <si>
    <t>Ads</t>
  </si>
  <si>
    <t>Sports ?</t>
  </si>
  <si>
    <t>Netlix</t>
  </si>
  <si>
    <t>Disney +</t>
  </si>
  <si>
    <t>Paramount +</t>
  </si>
  <si>
    <t>Spotifty</t>
  </si>
  <si>
    <t>MAU</t>
  </si>
  <si>
    <t>Subscription</t>
  </si>
  <si>
    <t>Apple TV +</t>
  </si>
  <si>
    <t>Name</t>
  </si>
  <si>
    <t>Others</t>
  </si>
  <si>
    <t>Warner Bros</t>
  </si>
  <si>
    <t>Prime Video</t>
  </si>
  <si>
    <t>% Share</t>
  </si>
  <si>
    <t xml:space="preserve">Total </t>
  </si>
  <si>
    <t>IR</t>
  </si>
  <si>
    <t>Q125</t>
  </si>
  <si>
    <t>Q225</t>
  </si>
  <si>
    <t>Q325</t>
  </si>
  <si>
    <t>Q425</t>
  </si>
  <si>
    <t>n.a.</t>
  </si>
  <si>
    <t>Stock Split 1/10 on 17-11-2025</t>
  </si>
  <si>
    <t>https://about.netflix.com/en/news/netflix-to-acquire-warner-bros</t>
  </si>
  <si>
    <t>Deal with Open AI: 1 billion USD investment in Open AI, Disney Ips for Sora and GPT</t>
  </si>
  <si>
    <t>FY19</t>
  </si>
  <si>
    <t>FY20</t>
  </si>
  <si>
    <t>FY21</t>
  </si>
  <si>
    <t>FY22</t>
  </si>
  <si>
    <t>FY23</t>
  </si>
  <si>
    <t>FY24</t>
  </si>
  <si>
    <t>FY25</t>
  </si>
  <si>
    <t>05-12-2025 Acqusition of Warner Bros Discovery for 82.7 Billion USD EV (72 Billion USD Equity Value) -&gt; lost biding war to PARA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</si>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</sst>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;\(#,##0.0\)"/>
    <numFmt numFmtId="166" formatCode="#,##0.00;\(#,##0.00\)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13" fillId="0" borderId="0" xfId="2" applyFont="1"/>
    <xf numFmtId="0" fontId="7" fillId="0" borderId="0" xfId="0" applyFont="1"/>
    <xf numFmtId="0" fontId="12" fillId="0" borderId="0" xfId="0" applyFont="1"/>
    <xf numFmtId="0" fontId="14" fillId="0" borderId="10" xfId="0" applyFont="1" applyBorder="1"/>
    <xf numFmtId="9" fontId="7" fillId="0" borderId="0" xfId="1" applyFont="1"/>
    <xf numFmtId="0" fontId="7" fillId="0" borderId="10" xfId="0" applyFont="1" applyBorder="1"/>
    <xf numFmtId="9" fontId="7" fillId="0" borderId="10" xfId="1" applyFont="1" applyBorder="1"/>
    <xf numFmtId="9" fontId="12" fillId="0" borderId="0" xfId="1" applyFont="1"/>
    <xf numFmtId="0" fontId="15" fillId="0" borderId="0" xfId="0" applyFont="1"/>
    <xf numFmtId="0" fontId="7" fillId="0" borderId="0" xfId="0" applyFont="1" applyAlignment="1">
      <alignment horizontal="right"/>
    </xf>
    <xf numFmtId="164" fontId="7" fillId="0" borderId="0" xfId="0" applyNumberFormat="1" applyFont="1"/>
    <xf numFmtId="165" fontId="7" fillId="0" borderId="0" xfId="0" applyNumberFormat="1" applyFont="1"/>
    <xf numFmtId="164" fontId="7" fillId="0" borderId="0" xfId="0" applyNumberFormat="1" applyFont="1" applyAlignment="1">
      <alignment horizontal="right"/>
    </xf>
    <xf numFmtId="166" fontId="7" fillId="0" borderId="0" xfId="0" applyNumberFormat="1" applyFont="1"/>
    <xf numFmtId="164" fontId="12" fillId="0" borderId="0" xfId="0" applyNumberFormat="1" applyFont="1"/>
    <xf numFmtId="0" fontId="7" fillId="0" borderId="0" xfId="0" applyFont="1" applyAlignment="1">
      <alignment horizontal="center"/>
    </xf>
    <xf numFmtId="0" fontId="14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1" xfId="0" applyFont="1" applyBorder="1"/>
    <xf numFmtId="0" fontId="6" fillId="0" borderId="0" xfId="0" applyFont="1"/>
    <xf numFmtId="164" fontId="6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4D916832-52A5-4F68-A888-84FC7E878C30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3" dT="2025-04-18T11:20:13.03" personId="{4D916832-52A5-4F68-A888-84FC7E878C30}" id="{A532D4E1-5249-4F1A-AFFD-C45593DE81F8}">
    <text>Guidance 10.416</text>
  </threadedComment>
  <threadedComment ref="L13" dT="2025-04-18T11:20:37.64" personId="{4D916832-52A5-4F68-A888-84FC7E878C30}" id="{F5A97254-310E-4B9F-9DE0-974EA7388D2A}">
    <text>Guidance 11.035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r.netflix.net/financials/quarterly-earnings/default.aspx" TargetMode="External"/><Relationship Id="rId1" Type="http://schemas.openxmlformats.org/officeDocument/2006/relationships/hyperlink" Target="https://www.sec.gov/edgar/browse/?CIK=1065280&amp;owner=exclu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8007-01EE-4828-B035-097EAE631A0E}">
  <dimension ref="A1:J20"/>
  <sheetViews>
    <sheetView tabSelected="1" topLeftCell="C1" zoomScale="200" zoomScaleNormal="200" workbookViewId="0">
      <selection activeCell="J20" sqref="J20"/>
    </sheetView>
  </sheetViews>
  <sheetFormatPr defaultRowHeight="12.75" x14ac:dyDescent="0.2"/>
  <cols>
    <col min="1" max="1" width="4.42578125" style="2" customWidth="1"/>
    <col min="2" max="2" width="14.7109375" style="2" customWidth="1"/>
    <col min="3" max="3" width="9.140625" style="2"/>
    <col min="4" max="4" width="10.5703125" style="2" customWidth="1"/>
    <col min="5" max="8" width="9.140625" style="2"/>
    <col min="9" max="9" width="8.42578125" style="2" customWidth="1"/>
    <col min="10" max="16384" width="9.140625" style="2"/>
  </cols>
  <sheetData>
    <row r="1" spans="1:10" x14ac:dyDescent="0.2">
      <c r="A1" s="3" t="s">
        <v>0</v>
      </c>
    </row>
    <row r="2" spans="1:10" x14ac:dyDescent="0.2">
      <c r="A2" s="2" t="s">
        <v>1</v>
      </c>
    </row>
    <row r="3" spans="1:10" x14ac:dyDescent="0.2">
      <c r="H3" s="2" t="s">
        <v>3</v>
      </c>
      <c r="I3" s="12">
        <v>69.17</v>
      </c>
    </row>
    <row r="4" spans="1:10" x14ac:dyDescent="0.2">
      <c r="B4" s="1" t="s">
        <v>2</v>
      </c>
      <c r="C4" s="1" t="s">
        <v>69</v>
      </c>
      <c r="H4" s="2" t="s">
        <v>4</v>
      </c>
      <c r="I4" s="11">
        <v>4163.939676</v>
      </c>
      <c r="J4" s="35" t="s">
        <v>87</v>
      </c>
    </row>
    <row r="5" spans="1:10" x14ac:dyDescent="0.2">
      <c r="B5" s="2" t="s">
        <v>9</v>
      </c>
      <c r="H5" s="2" t="s">
        <v>5</v>
      </c>
      <c r="I5" s="11">
        <f>I4*I3</f>
        <v>288019.70738892001</v>
      </c>
    </row>
    <row r="6" spans="1:10" x14ac:dyDescent="0.2">
      <c r="H6" s="2" t="s">
        <v>6</v>
      </c>
      <c r="I6" s="11">
        <f>9099.232+28.678</f>
        <v>9127.91</v>
      </c>
      <c r="J6" s="35" t="s">
        <v>87</v>
      </c>
    </row>
    <row r="7" spans="1:10" x14ac:dyDescent="0.2">
      <c r="A7" s="16" t="s">
        <v>48</v>
      </c>
      <c r="B7" s="17" t="s">
        <v>47</v>
      </c>
      <c r="H7" s="2" t="s">
        <v>7</v>
      </c>
      <c r="I7" s="29">
        <f>11825.548+2483.758</f>
        <v>14309.306</v>
      </c>
      <c r="J7" s="35" t="s">
        <v>87</v>
      </c>
    </row>
    <row r="8" spans="1:10" x14ac:dyDescent="0.2">
      <c r="B8" s="18" t="s">
        <v>49</v>
      </c>
      <c r="C8" s="19" t="s">
        <v>50</v>
      </c>
      <c r="D8" s="19" t="s">
        <v>51</v>
      </c>
      <c r="E8" s="20"/>
      <c r="H8" s="2" t="s">
        <v>8</v>
      </c>
      <c r="I8" s="11">
        <f>I5-I6+I7</f>
        <v>293201.10338892002</v>
      </c>
    </row>
    <row r="9" spans="1:10" x14ac:dyDescent="0.2">
      <c r="B9" s="21" t="s">
        <v>53</v>
      </c>
      <c r="C9" s="22"/>
      <c r="D9" s="22"/>
      <c r="E9" s="23"/>
    </row>
    <row r="10" spans="1:10" x14ac:dyDescent="0.2">
      <c r="B10" s="24" t="s">
        <v>54</v>
      </c>
      <c r="E10" s="25"/>
    </row>
    <row r="11" spans="1:10" x14ac:dyDescent="0.2">
      <c r="B11" s="24" t="s">
        <v>55</v>
      </c>
      <c r="E11" s="25"/>
    </row>
    <row r="12" spans="1:10" x14ac:dyDescent="0.2">
      <c r="B12" s="26"/>
      <c r="C12" s="6"/>
      <c r="D12" s="6"/>
      <c r="E12" s="27"/>
    </row>
    <row r="14" spans="1:10" x14ac:dyDescent="0.2">
      <c r="B14" s="9" t="s">
        <v>52</v>
      </c>
    </row>
    <row r="16" spans="1:10" x14ac:dyDescent="0.2">
      <c r="B16" s="28" t="s">
        <v>75</v>
      </c>
    </row>
    <row r="18" spans="2:2" x14ac:dyDescent="0.2">
      <c r="B18" s="33" t="s">
        <v>85</v>
      </c>
    </row>
    <row r="19" spans="2:2" x14ac:dyDescent="0.2">
      <c r="B19" s="2" t="s">
        <v>76</v>
      </c>
    </row>
    <row r="20" spans="2:2" x14ac:dyDescent="0.2">
      <c r="B20" s="30" t="s">
        <v>77</v>
      </c>
    </row>
  </sheetData>
  <hyperlinks>
    <hyperlink ref="B4" r:id="rId1" xr:uid="{5B4F513D-BEEA-49C1-BABE-F49BE3F91AE8}"/>
    <hyperlink ref="C4" r:id="rId2" xr:uid="{110551A6-CE69-4D83-917E-2058C6380B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423B-D71A-4917-B45D-E61C9BF33B58}">
  <dimension ref="A1:BN667"/>
  <sheetViews>
    <sheetView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0" sqref="P10:P12"/>
    </sheetView>
  </sheetViews>
  <sheetFormatPr defaultRowHeight="12.75" x14ac:dyDescent="0.2"/>
  <cols>
    <col min="1" max="1" width="4.7109375" style="2" bestFit="1" customWidth="1"/>
    <col min="2" max="2" width="22.28515625" style="2" customWidth="1"/>
    <col min="3" max="16384" width="9.140625" style="2"/>
  </cols>
  <sheetData>
    <row r="1" spans="1:66" x14ac:dyDescent="0.2">
      <c r="A1" s="1" t="s">
        <v>11</v>
      </c>
    </row>
    <row r="2" spans="1:66" x14ac:dyDescent="0.2">
      <c r="C2" s="10" t="s">
        <v>13</v>
      </c>
      <c r="D2" s="10" t="s">
        <v>14</v>
      </c>
      <c r="E2" s="10" t="s">
        <v>15</v>
      </c>
      <c r="F2" s="10" t="s">
        <v>16</v>
      </c>
      <c r="G2" s="10" t="s">
        <v>17</v>
      </c>
      <c r="H2" s="10" t="s">
        <v>10</v>
      </c>
      <c r="I2" s="10" t="s">
        <v>18</v>
      </c>
      <c r="J2" s="10" t="s">
        <v>19</v>
      </c>
      <c r="K2" s="10" t="s">
        <v>70</v>
      </c>
      <c r="L2" s="10" t="s">
        <v>71</v>
      </c>
      <c r="M2" s="10" t="s">
        <v>72</v>
      </c>
      <c r="N2" s="10" t="s">
        <v>73</v>
      </c>
      <c r="O2" s="34" t="s">
        <v>86</v>
      </c>
      <c r="P2" s="34" t="s">
        <v>87</v>
      </c>
      <c r="Q2" s="34" t="s">
        <v>88</v>
      </c>
      <c r="R2" s="34" t="s">
        <v>89</v>
      </c>
      <c r="T2" s="31" t="s">
        <v>78</v>
      </c>
      <c r="U2" s="31" t="s">
        <v>79</v>
      </c>
      <c r="V2" s="31" t="s">
        <v>80</v>
      </c>
      <c r="W2" s="31" t="s">
        <v>81</v>
      </c>
      <c r="X2" s="31" t="s">
        <v>82</v>
      </c>
      <c r="Y2" s="31" t="s">
        <v>83</v>
      </c>
      <c r="Z2" s="31" t="s">
        <v>84</v>
      </c>
    </row>
    <row r="3" spans="1:66" x14ac:dyDescent="0.2">
      <c r="B3" s="2" t="s">
        <v>32</v>
      </c>
      <c r="C3" s="11">
        <v>3608.645</v>
      </c>
      <c r="D3" s="11">
        <v>3599.4479999999999</v>
      </c>
      <c r="E3" s="11">
        <v>3735.1329999999998</v>
      </c>
      <c r="F3" s="11">
        <v>3931</v>
      </c>
      <c r="G3" s="11">
        <v>4224.3149999999996</v>
      </c>
      <c r="H3" s="11">
        <v>4295.5600000000004</v>
      </c>
      <c r="I3" s="11">
        <v>4322.4759999999997</v>
      </c>
      <c r="J3" s="11">
        <v>4517</v>
      </c>
      <c r="K3" s="11">
        <v>4617</v>
      </c>
      <c r="L3" s="11">
        <v>4929</v>
      </c>
      <c r="M3" s="11">
        <v>5071.7809999999999</v>
      </c>
      <c r="N3" s="11">
        <f>+Z3-SUM(K3:M3)</f>
        <v>5339.3709999999992</v>
      </c>
      <c r="O3" s="11">
        <v>5245.2979999999998</v>
      </c>
      <c r="P3" s="11">
        <v>5431.6670000000004</v>
      </c>
      <c r="Q3" s="11"/>
      <c r="R3" s="11"/>
      <c r="S3" s="11"/>
      <c r="T3" s="11"/>
      <c r="U3" s="11"/>
      <c r="V3" s="11"/>
      <c r="W3" s="11"/>
      <c r="X3" s="11">
        <v>14873.782999999999</v>
      </c>
      <c r="Y3" s="11">
        <v>17359.368999999999</v>
      </c>
      <c r="Z3" s="11">
        <v>19957.151999999998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</row>
    <row r="4" spans="1:66" x14ac:dyDescent="0.2">
      <c r="B4" s="2" t="s">
        <v>33</v>
      </c>
      <c r="C4" s="12">
        <v>74.397999999999996</v>
      </c>
      <c r="D4" s="12">
        <v>75.570999999999998</v>
      </c>
      <c r="E4" s="12">
        <v>77.320999999999998</v>
      </c>
      <c r="F4" s="12">
        <v>80.13</v>
      </c>
      <c r="G4" s="12">
        <v>82.658000000000001</v>
      </c>
      <c r="H4" s="12">
        <v>84.108999999999995</v>
      </c>
      <c r="I4" s="12">
        <v>84.802999999999997</v>
      </c>
      <c r="J4" s="12">
        <v>89.63</v>
      </c>
      <c r="K4" s="13" t="s">
        <v>74</v>
      </c>
      <c r="L4" s="13" t="s">
        <v>74</v>
      </c>
      <c r="M4" s="13" t="s">
        <v>74</v>
      </c>
      <c r="N4" s="13" t="s">
        <v>74</v>
      </c>
      <c r="O4" s="13" t="s">
        <v>74</v>
      </c>
      <c r="P4" s="13" t="s">
        <v>74</v>
      </c>
      <c r="Q4" s="13"/>
      <c r="R4" s="13"/>
      <c r="S4" s="11"/>
      <c r="T4" s="11"/>
      <c r="U4" s="11"/>
      <c r="V4" s="11"/>
      <c r="W4" s="11"/>
      <c r="X4" s="13" t="s">
        <v>74</v>
      </c>
      <c r="Y4" s="13" t="s">
        <v>74</v>
      </c>
      <c r="Z4" s="13" t="s">
        <v>74</v>
      </c>
      <c r="AA4" s="13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</row>
    <row r="5" spans="1:66" x14ac:dyDescent="0.2">
      <c r="B5" s="2" t="s">
        <v>34</v>
      </c>
      <c r="C5" s="11">
        <v>2517.6410000000001</v>
      </c>
      <c r="D5" s="11">
        <v>2562.17</v>
      </c>
      <c r="E5" s="11">
        <v>2693.1460000000002</v>
      </c>
      <c r="F5" s="11">
        <v>2784</v>
      </c>
      <c r="G5" s="11">
        <v>2958.1930000000002</v>
      </c>
      <c r="H5" s="11">
        <v>3007.7719999999999</v>
      </c>
      <c r="I5" s="11">
        <v>3133.4659999999999</v>
      </c>
      <c r="J5" s="11">
        <v>3288</v>
      </c>
      <c r="K5" s="11">
        <v>3405</v>
      </c>
      <c r="L5" s="11">
        <v>3538</v>
      </c>
      <c r="M5" s="11">
        <v>3699.0520000000001</v>
      </c>
      <c r="N5" s="11">
        <f>+Z5-SUM(K5:M5)</f>
        <v>3872.594000000001</v>
      </c>
      <c r="O5" s="11">
        <v>3998.4189999999999</v>
      </c>
      <c r="P5" s="11">
        <v>4033.5149999999999</v>
      </c>
      <c r="Q5" s="11"/>
      <c r="R5" s="11"/>
      <c r="S5" s="11"/>
      <c r="T5" s="11"/>
      <c r="U5" s="11"/>
      <c r="V5" s="11"/>
      <c r="W5" s="11"/>
      <c r="X5" s="11">
        <v>10556.486999999999</v>
      </c>
      <c r="Y5" s="11">
        <v>12387.035</v>
      </c>
      <c r="Z5" s="11">
        <v>14514.646000000001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</row>
    <row r="6" spans="1:66" x14ac:dyDescent="0.2">
      <c r="B6" s="2" t="s">
        <v>35</v>
      </c>
      <c r="C6" s="12">
        <v>77.373000000000005</v>
      </c>
      <c r="D6" s="12">
        <v>79.807000000000002</v>
      </c>
      <c r="E6" s="12">
        <v>83.76</v>
      </c>
      <c r="F6" s="12">
        <v>88.81</v>
      </c>
      <c r="G6" s="12">
        <v>91.728999999999999</v>
      </c>
      <c r="H6" s="12">
        <v>93.963999999999999</v>
      </c>
      <c r="I6" s="12">
        <v>96.131</v>
      </c>
      <c r="J6" s="12">
        <v>101.13</v>
      </c>
      <c r="K6" s="13" t="s">
        <v>74</v>
      </c>
      <c r="L6" s="13" t="s">
        <v>74</v>
      </c>
      <c r="M6" s="13" t="s">
        <v>74</v>
      </c>
      <c r="N6" s="13" t="s">
        <v>74</v>
      </c>
      <c r="O6" s="13" t="s">
        <v>74</v>
      </c>
      <c r="P6" s="13" t="s">
        <v>74</v>
      </c>
      <c r="Q6" s="13"/>
      <c r="R6" s="13"/>
      <c r="S6" s="11"/>
      <c r="T6" s="11"/>
      <c r="U6" s="11"/>
      <c r="V6" s="11"/>
      <c r="W6" s="11"/>
      <c r="X6" s="13" t="s">
        <v>74</v>
      </c>
      <c r="Y6" s="13" t="s">
        <v>74</v>
      </c>
      <c r="Z6" s="13" t="s">
        <v>74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</row>
    <row r="7" spans="1:66" x14ac:dyDescent="0.2">
      <c r="B7" s="2" t="s">
        <v>36</v>
      </c>
      <c r="C7" s="11">
        <v>1070.192</v>
      </c>
      <c r="D7" s="11">
        <v>1077.4349999999999</v>
      </c>
      <c r="E7" s="11">
        <v>1142.8109999999999</v>
      </c>
      <c r="F7" s="11">
        <v>1156</v>
      </c>
      <c r="G7" s="11">
        <v>1165.008</v>
      </c>
      <c r="H7" s="11">
        <v>1204.145</v>
      </c>
      <c r="I7" s="11">
        <v>1240.8920000000001</v>
      </c>
      <c r="J7" s="11">
        <v>1230</v>
      </c>
      <c r="K7" s="11">
        <v>1262</v>
      </c>
      <c r="L7" s="11">
        <v>1307</v>
      </c>
      <c r="M7" s="11">
        <v>1370.913</v>
      </c>
      <c r="N7" s="11">
        <f>+Z7-SUM(K7:M7)</f>
        <v>1417.6079999999997</v>
      </c>
      <c r="O7" s="11">
        <v>1497.058</v>
      </c>
      <c r="P7" s="11">
        <v>1584.29</v>
      </c>
      <c r="Q7" s="11"/>
      <c r="R7" s="11"/>
      <c r="S7" s="11"/>
      <c r="T7" s="11"/>
      <c r="U7" s="11"/>
      <c r="V7" s="11"/>
      <c r="W7" s="11"/>
      <c r="X7" s="11">
        <v>4446.4610000000002</v>
      </c>
      <c r="Y7" s="11">
        <v>4839.8159999999998</v>
      </c>
      <c r="Z7" s="11">
        <v>5357.5209999999997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</row>
    <row r="8" spans="1:66" x14ac:dyDescent="0.2">
      <c r="B8" s="2" t="s">
        <v>37</v>
      </c>
      <c r="C8" s="12">
        <v>41.249000000000002</v>
      </c>
      <c r="D8" s="12">
        <v>42.466000000000001</v>
      </c>
      <c r="E8" s="12">
        <v>43.645000000000003</v>
      </c>
      <c r="F8" s="12">
        <v>46</v>
      </c>
      <c r="G8" s="12">
        <v>47.72</v>
      </c>
      <c r="H8" s="12">
        <v>49.25</v>
      </c>
      <c r="I8" s="12">
        <v>49.182000000000002</v>
      </c>
      <c r="J8" s="12">
        <v>53.33</v>
      </c>
      <c r="K8" s="13" t="s">
        <v>74</v>
      </c>
      <c r="L8" s="13" t="s">
        <v>74</v>
      </c>
      <c r="M8" s="13" t="s">
        <v>74</v>
      </c>
      <c r="N8" s="13" t="s">
        <v>74</v>
      </c>
      <c r="O8" s="13" t="s">
        <v>74</v>
      </c>
      <c r="P8" s="13" t="s">
        <v>74</v>
      </c>
      <c r="Q8" s="13"/>
      <c r="R8" s="13"/>
      <c r="S8" s="11"/>
      <c r="T8" s="11"/>
      <c r="U8" s="11"/>
      <c r="V8" s="11"/>
      <c r="W8" s="11"/>
      <c r="X8" s="13" t="s">
        <v>74</v>
      </c>
      <c r="Y8" s="13" t="s">
        <v>74</v>
      </c>
      <c r="Z8" s="13" t="s">
        <v>74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</row>
    <row r="9" spans="1:66" x14ac:dyDescent="0.2">
      <c r="B9" s="2" t="s">
        <v>38</v>
      </c>
      <c r="C9" s="11">
        <v>933.52300000000002</v>
      </c>
      <c r="D9" s="11">
        <v>919.27300000000002</v>
      </c>
      <c r="E9" s="11">
        <v>948.21600000000001</v>
      </c>
      <c r="F9" s="11">
        <v>963</v>
      </c>
      <c r="G9" s="11">
        <v>1022.924</v>
      </c>
      <c r="H9" s="11">
        <v>1051.8330000000001</v>
      </c>
      <c r="I9" s="11">
        <v>1127.8689999999999</v>
      </c>
      <c r="J9" s="11">
        <v>1212</v>
      </c>
      <c r="K9" s="11">
        <v>1259</v>
      </c>
      <c r="L9" s="11">
        <v>1305</v>
      </c>
      <c r="M9" s="11">
        <v>1368.5609999999999</v>
      </c>
      <c r="N9" s="11">
        <f>+Z9-SUM(K9:M9)</f>
        <v>1421.1559999999999</v>
      </c>
      <c r="O9" s="11">
        <v>1508.982</v>
      </c>
      <c r="P9" s="11">
        <v>1510.4659999999999</v>
      </c>
      <c r="Q9" s="11"/>
      <c r="R9" s="11"/>
      <c r="S9" s="11"/>
      <c r="T9" s="11"/>
      <c r="U9" s="11"/>
      <c r="V9" s="11"/>
      <c r="W9" s="11"/>
      <c r="X9" s="11">
        <v>3763.7269999999999</v>
      </c>
      <c r="Y9" s="11">
        <v>4414.7460000000001</v>
      </c>
      <c r="Z9" s="11">
        <v>5353.7169999999996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</row>
    <row r="10" spans="1:66" x14ac:dyDescent="0.2">
      <c r="B10" s="2" t="s">
        <v>39</v>
      </c>
      <c r="C10" s="12">
        <v>39.478000000000002</v>
      </c>
      <c r="D10" s="12">
        <v>40.545999999999999</v>
      </c>
      <c r="E10" s="12">
        <v>42.427</v>
      </c>
      <c r="F10" s="12">
        <v>45.34</v>
      </c>
      <c r="G10" s="12">
        <v>47.494999999999997</v>
      </c>
      <c r="H10" s="12">
        <v>50.323999999999998</v>
      </c>
      <c r="I10" s="12">
        <v>52.603999999999999</v>
      </c>
      <c r="J10" s="12">
        <v>57.54</v>
      </c>
      <c r="K10" s="13" t="s">
        <v>74</v>
      </c>
      <c r="L10" s="13" t="s">
        <v>74</v>
      </c>
      <c r="M10" s="13" t="s">
        <v>74</v>
      </c>
      <c r="N10" s="13" t="s">
        <v>74</v>
      </c>
      <c r="O10" s="13" t="s">
        <v>74</v>
      </c>
      <c r="P10" s="13" t="s">
        <v>74</v>
      </c>
      <c r="Q10" s="13"/>
      <c r="R10" s="13"/>
      <c r="S10" s="11"/>
      <c r="T10" s="11"/>
      <c r="U10" s="11"/>
      <c r="V10" s="11"/>
      <c r="W10" s="11"/>
      <c r="X10" s="13" t="s">
        <v>74</v>
      </c>
      <c r="Y10" s="13" t="s">
        <v>74</v>
      </c>
      <c r="Z10" s="13" t="s">
        <v>74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</row>
    <row r="11" spans="1:66" x14ac:dyDescent="0.2">
      <c r="B11" s="2" t="s">
        <v>40</v>
      </c>
      <c r="C11" s="12">
        <f>C4+C6+C8+C10</f>
        <v>232.49800000000002</v>
      </c>
      <c r="D11" s="12">
        <f>D4+D6+D8+D10</f>
        <v>238.39</v>
      </c>
      <c r="E11" s="12">
        <f>E4+E6+E8+E10</f>
        <v>247.15300000000002</v>
      </c>
      <c r="F11" s="12">
        <v>260.27999999999997</v>
      </c>
      <c r="G11" s="12">
        <f>G4+G6+G8+G10</f>
        <v>269.60199999999998</v>
      </c>
      <c r="H11" s="12">
        <f>H4+H6+H8+H10</f>
        <v>277.64699999999999</v>
      </c>
      <c r="I11" s="12">
        <f>I4+I6+I8+I10</f>
        <v>282.71999999999997</v>
      </c>
      <c r="J11" s="12">
        <v>301.63</v>
      </c>
      <c r="K11" s="13" t="s">
        <v>74</v>
      </c>
      <c r="L11" s="13" t="s">
        <v>74</v>
      </c>
      <c r="M11" s="13" t="s">
        <v>74</v>
      </c>
      <c r="N11" s="13" t="s">
        <v>74</v>
      </c>
      <c r="O11" s="13" t="s">
        <v>74</v>
      </c>
      <c r="P11" s="13" t="s">
        <v>74</v>
      </c>
      <c r="Q11" s="13"/>
      <c r="R11" s="13"/>
      <c r="S11" s="11"/>
      <c r="T11" s="11"/>
      <c r="U11" s="11"/>
      <c r="V11" s="11"/>
      <c r="W11" s="11"/>
      <c r="X11" s="13" t="s">
        <v>74</v>
      </c>
      <c r="Y11" s="13" t="s">
        <v>74</v>
      </c>
      <c r="Z11" s="13" t="s">
        <v>74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</row>
    <row r="12" spans="1:66" x14ac:dyDescent="0.2">
      <c r="B12" s="2" t="s">
        <v>41</v>
      </c>
      <c r="C12" s="14">
        <f t="shared" ref="C12:J12" si="0">C13/C11</f>
        <v>35.10354067561871</v>
      </c>
      <c r="D12" s="14">
        <f t="shared" si="0"/>
        <v>34.344146147069928</v>
      </c>
      <c r="E12" s="14">
        <f t="shared" si="0"/>
        <v>34.560244059347852</v>
      </c>
      <c r="F12" s="14">
        <f t="shared" si="0"/>
        <v>33.936529890886739</v>
      </c>
      <c r="G12" s="14">
        <f t="shared" si="0"/>
        <v>34.756567087781256</v>
      </c>
      <c r="H12" s="14">
        <f t="shared" si="0"/>
        <v>34.429725514772358</v>
      </c>
      <c r="I12" s="14">
        <f t="shared" si="0"/>
        <v>34.750647283531414</v>
      </c>
      <c r="J12" s="14">
        <f t="shared" si="0"/>
        <v>33.972085004807212</v>
      </c>
      <c r="K12" s="13" t="s">
        <v>74</v>
      </c>
      <c r="L12" s="13" t="s">
        <v>74</v>
      </c>
      <c r="M12" s="13" t="s">
        <v>74</v>
      </c>
      <c r="N12" s="13" t="s">
        <v>74</v>
      </c>
      <c r="O12" s="13" t="s">
        <v>74</v>
      </c>
      <c r="P12" s="13" t="s">
        <v>74</v>
      </c>
      <c r="Q12" s="13"/>
      <c r="R12" s="13"/>
      <c r="S12" s="11"/>
      <c r="T12" s="11"/>
      <c r="U12" s="11"/>
      <c r="V12" s="11"/>
      <c r="W12" s="11"/>
      <c r="X12" s="13" t="s">
        <v>74</v>
      </c>
      <c r="Y12" s="13" t="s">
        <v>74</v>
      </c>
      <c r="Z12" s="13" t="s">
        <v>74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</row>
    <row r="13" spans="1:66" x14ac:dyDescent="0.2">
      <c r="B13" s="3" t="s">
        <v>12</v>
      </c>
      <c r="C13" s="15">
        <v>8161.5029999999997</v>
      </c>
      <c r="D13" s="15">
        <v>8187.3010000000004</v>
      </c>
      <c r="E13" s="15">
        <v>8541.6679999999997</v>
      </c>
      <c r="F13" s="15">
        <v>8833</v>
      </c>
      <c r="G13" s="15">
        <v>9370.44</v>
      </c>
      <c r="H13" s="15">
        <v>9559.31</v>
      </c>
      <c r="I13" s="15">
        <v>9824.7029999999995</v>
      </c>
      <c r="J13" s="15">
        <v>10247</v>
      </c>
      <c r="K13" s="15">
        <v>10543</v>
      </c>
      <c r="L13" s="15">
        <v>11079.165999999999</v>
      </c>
      <c r="M13" s="15">
        <v>11510.307000000001</v>
      </c>
      <c r="N13" s="15">
        <f>+Z13-SUM(K13:M13)</f>
        <v>12050.563000000002</v>
      </c>
      <c r="O13" s="15">
        <v>12249.757</v>
      </c>
      <c r="P13" s="15">
        <v>12559.938</v>
      </c>
      <c r="Q13" s="15"/>
      <c r="R13" s="15"/>
      <c r="S13" s="11"/>
      <c r="T13" s="11"/>
      <c r="U13" s="15"/>
      <c r="V13" s="15"/>
      <c r="W13" s="15"/>
      <c r="X13" s="15">
        <v>33723.296999999999</v>
      </c>
      <c r="Y13" s="15">
        <v>39000.966</v>
      </c>
      <c r="Z13" s="15">
        <v>45183.036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</row>
    <row r="14" spans="1:66" x14ac:dyDescent="0.2">
      <c r="B14" s="2" t="s">
        <v>20</v>
      </c>
      <c r="C14" s="11">
        <v>4803.625</v>
      </c>
      <c r="D14" s="11">
        <v>4673.47</v>
      </c>
      <c r="E14" s="11">
        <v>4930.7780000000002</v>
      </c>
      <c r="F14" s="11">
        <v>5307.4849999999997</v>
      </c>
      <c r="G14" s="11">
        <v>4977.0730000000003</v>
      </c>
      <c r="H14" s="11">
        <v>5174.143</v>
      </c>
      <c r="I14" s="11">
        <v>5119.884</v>
      </c>
      <c r="J14" s="11">
        <v>5767.3639999999996</v>
      </c>
      <c r="K14" s="11">
        <v>5263.1469999999999</v>
      </c>
      <c r="L14" s="11">
        <v>5325.3109999999997</v>
      </c>
      <c r="M14" s="11">
        <v>6164.25</v>
      </c>
      <c r="N14" s="11">
        <f>+Z14-SUM(K14:M14)</f>
        <v>6522.6210000000028</v>
      </c>
      <c r="O14" s="11">
        <v>5888.2380000000003</v>
      </c>
      <c r="P14" s="11">
        <v>6036.9650000000001</v>
      </c>
      <c r="Q14" s="11"/>
      <c r="R14" s="11"/>
      <c r="S14" s="11"/>
      <c r="T14" s="11"/>
      <c r="U14" s="11"/>
      <c r="V14" s="11"/>
      <c r="W14" s="11"/>
      <c r="X14" s="11">
        <v>19715.367999999999</v>
      </c>
      <c r="Y14" s="11">
        <v>21038.464</v>
      </c>
      <c r="Z14" s="11">
        <v>23275.329000000002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</row>
    <row r="15" spans="1:66" x14ac:dyDescent="0.2">
      <c r="B15" s="2" t="s">
        <v>21</v>
      </c>
      <c r="C15" s="11">
        <f>C13-C14</f>
        <v>3357.8779999999997</v>
      </c>
      <c r="D15" s="11">
        <f>D13-D14</f>
        <v>3513.8310000000001</v>
      </c>
      <c r="E15" s="11">
        <f t="shared" ref="E15:P15" si="1">E13-E14</f>
        <v>3610.8899999999994</v>
      </c>
      <c r="F15" s="11">
        <f t="shared" si="1"/>
        <v>3525.5150000000003</v>
      </c>
      <c r="G15" s="11">
        <f t="shared" si="1"/>
        <v>4393.3670000000002</v>
      </c>
      <c r="H15" s="11">
        <f t="shared" si="1"/>
        <v>4385.1669999999995</v>
      </c>
      <c r="I15" s="11">
        <f t="shared" si="1"/>
        <v>4704.8189999999995</v>
      </c>
      <c r="J15" s="11">
        <f t="shared" si="1"/>
        <v>4479.6360000000004</v>
      </c>
      <c r="K15" s="11">
        <f t="shared" si="1"/>
        <v>5279.8530000000001</v>
      </c>
      <c r="L15" s="11">
        <f t="shared" si="1"/>
        <v>5753.8549999999996</v>
      </c>
      <c r="M15" s="11">
        <f t="shared" si="1"/>
        <v>5346.0570000000007</v>
      </c>
      <c r="N15" s="11">
        <f t="shared" si="1"/>
        <v>5527.9419999999991</v>
      </c>
      <c r="O15" s="11">
        <f t="shared" si="1"/>
        <v>6361.5189999999993</v>
      </c>
      <c r="P15" s="11">
        <f t="shared" si="1"/>
        <v>6522.973</v>
      </c>
      <c r="Q15" s="11"/>
      <c r="R15" s="11"/>
      <c r="S15" s="11"/>
      <c r="T15" s="11"/>
      <c r="U15" s="11"/>
      <c r="V15" s="11"/>
      <c r="W15" s="11"/>
      <c r="X15" s="11">
        <f t="shared" ref="X15:Y15" si="2">+X13-X14</f>
        <v>14007.929</v>
      </c>
      <c r="Y15" s="11">
        <f t="shared" si="2"/>
        <v>17962.502</v>
      </c>
      <c r="Z15" s="11">
        <f>+Z13-Z14</f>
        <v>21907.706999999999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</row>
    <row r="16" spans="1:66" x14ac:dyDescent="0.2">
      <c r="B16" s="2" t="s">
        <v>23</v>
      </c>
      <c r="C16" s="11">
        <v>555.36199999999997</v>
      </c>
      <c r="D16" s="11">
        <v>627.16800000000001</v>
      </c>
      <c r="E16" s="11">
        <v>558.73599999999999</v>
      </c>
      <c r="F16" s="11">
        <v>916.61699999999996</v>
      </c>
      <c r="G16" s="11">
        <v>654.34</v>
      </c>
      <c r="H16" s="11">
        <v>644.08399999999995</v>
      </c>
      <c r="I16" s="11">
        <v>642.92600000000004</v>
      </c>
      <c r="J16" s="11">
        <v>976.20399999999995</v>
      </c>
      <c r="K16" s="11">
        <v>688.37</v>
      </c>
      <c r="L16" s="11">
        <v>713.26499999999999</v>
      </c>
      <c r="M16" s="11">
        <v>786.29499999999996</v>
      </c>
      <c r="N16" s="11">
        <f>+Z16-SUM(K16:M16)</f>
        <v>1113.3760000000002</v>
      </c>
      <c r="O16" s="11">
        <v>842.21699999999998</v>
      </c>
      <c r="P16" s="11">
        <v>823.83799999999997</v>
      </c>
      <c r="Q16" s="11"/>
      <c r="R16" s="11"/>
      <c r="S16" s="11"/>
      <c r="T16" s="11"/>
      <c r="U16" s="11"/>
      <c r="V16" s="11"/>
      <c r="W16" s="11"/>
      <c r="X16" s="11">
        <v>2657.8829999999998</v>
      </c>
      <c r="Y16" s="11">
        <v>2917.5540000000001</v>
      </c>
      <c r="Z16" s="11">
        <v>3301.306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</row>
    <row r="17" spans="2:66" x14ac:dyDescent="0.2">
      <c r="B17" s="2" t="s">
        <v>22</v>
      </c>
      <c r="C17" s="11">
        <v>687.27499999999998</v>
      </c>
      <c r="D17" s="11">
        <v>657.98299999999995</v>
      </c>
      <c r="E17" s="11">
        <v>657.15899999999999</v>
      </c>
      <c r="F17" s="11">
        <v>673.34100000000001</v>
      </c>
      <c r="G17" s="11">
        <v>702.47299999999996</v>
      </c>
      <c r="H17" s="11">
        <v>711.25400000000002</v>
      </c>
      <c r="I17" s="11">
        <v>735.06299999999999</v>
      </c>
      <c r="J17" s="11">
        <v>776.505</v>
      </c>
      <c r="K17" s="11">
        <v>822.82299999999998</v>
      </c>
      <c r="L17" s="11">
        <v>824.68299999999999</v>
      </c>
      <c r="M17" s="11">
        <v>853.58399999999995</v>
      </c>
      <c r="N17" s="11">
        <f>+Z17-SUM(K17:M17)</f>
        <v>890.30000000000018</v>
      </c>
      <c r="O17" s="11">
        <v>959.69500000000005</v>
      </c>
      <c r="P17" s="11">
        <v>1007.675</v>
      </c>
      <c r="Q17" s="11"/>
      <c r="R17" s="11"/>
      <c r="S17" s="11"/>
      <c r="T17" s="11"/>
      <c r="U17" s="11"/>
      <c r="V17" s="11"/>
      <c r="W17" s="11"/>
      <c r="X17" s="11">
        <v>2675.7579999999998</v>
      </c>
      <c r="Y17" s="11">
        <v>2925.2950000000001</v>
      </c>
      <c r="Z17" s="11">
        <v>3391.39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</row>
    <row r="18" spans="2:66" x14ac:dyDescent="0.2">
      <c r="B18" s="2" t="s">
        <v>24</v>
      </c>
      <c r="C18" s="11">
        <v>400.92399999999998</v>
      </c>
      <c r="D18" s="11">
        <v>401.49700000000001</v>
      </c>
      <c r="E18" s="11">
        <v>478.59100000000001</v>
      </c>
      <c r="F18" s="11">
        <v>439.27300000000002</v>
      </c>
      <c r="G18" s="11">
        <v>404.02</v>
      </c>
      <c r="H18" s="11">
        <v>426.99200000000002</v>
      </c>
      <c r="I18" s="11">
        <v>417.35300000000001</v>
      </c>
      <c r="J18" s="11">
        <v>453.67399999999998</v>
      </c>
      <c r="K18" s="11">
        <v>421.46199999999999</v>
      </c>
      <c r="L18" s="11">
        <v>441.21300000000002</v>
      </c>
      <c r="M18" s="11">
        <v>457.93099999999998</v>
      </c>
      <c r="N18" s="11">
        <f>+Z18-SUM(K18:M18)</f>
        <v>567.80199999999991</v>
      </c>
      <c r="O18" s="11">
        <v>602.60900000000004</v>
      </c>
      <c r="P18" s="11">
        <v>498.85</v>
      </c>
      <c r="Q18" s="11"/>
      <c r="R18" s="11"/>
      <c r="S18" s="11"/>
      <c r="T18" s="11"/>
      <c r="U18" s="11"/>
      <c r="V18" s="11"/>
      <c r="W18" s="11"/>
      <c r="X18" s="11">
        <v>1720.2850000000001</v>
      </c>
      <c r="Y18" s="11">
        <v>1702.039</v>
      </c>
      <c r="Z18" s="11">
        <v>1888.4079999999999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</row>
    <row r="19" spans="2:66" x14ac:dyDescent="0.2">
      <c r="B19" s="2" t="s">
        <v>25</v>
      </c>
      <c r="C19" s="11">
        <f t="shared" ref="C19:G19" si="3">C15-SUM(C16:C18)</f>
        <v>1714.3169999999998</v>
      </c>
      <c r="D19" s="11">
        <f t="shared" si="3"/>
        <v>1827.1830000000002</v>
      </c>
      <c r="E19" s="11">
        <f t="shared" si="3"/>
        <v>1916.4039999999995</v>
      </c>
      <c r="F19" s="11">
        <f t="shared" si="3"/>
        <v>1496.2840000000001</v>
      </c>
      <c r="G19" s="11">
        <f t="shared" si="3"/>
        <v>2632.5340000000001</v>
      </c>
      <c r="H19" s="11">
        <f>H15-SUM(H16:H18)</f>
        <v>2602.8369999999995</v>
      </c>
      <c r="I19" s="11">
        <f t="shared" ref="I19:P19" si="4">I15-SUM(I16:I18)</f>
        <v>2909.4769999999994</v>
      </c>
      <c r="J19" s="11">
        <f t="shared" si="4"/>
        <v>2273.2530000000006</v>
      </c>
      <c r="K19" s="11">
        <f t="shared" si="4"/>
        <v>3347.1980000000003</v>
      </c>
      <c r="L19" s="11">
        <f t="shared" si="4"/>
        <v>3774.6939999999995</v>
      </c>
      <c r="M19" s="11">
        <f t="shared" si="4"/>
        <v>3248.2470000000008</v>
      </c>
      <c r="N19" s="11">
        <f t="shared" si="4"/>
        <v>2956.463999999999</v>
      </c>
      <c r="O19" s="11">
        <f t="shared" si="4"/>
        <v>3956.9979999999991</v>
      </c>
      <c r="P19" s="11">
        <f t="shared" si="4"/>
        <v>4192.6100000000006</v>
      </c>
      <c r="Q19" s="11"/>
      <c r="R19" s="11"/>
      <c r="S19" s="11"/>
      <c r="T19" s="11">
        <f t="shared" ref="T19:Z19" si="5">T15-SUM(T16:T18)</f>
        <v>0</v>
      </c>
      <c r="U19" s="11">
        <f t="shared" si="5"/>
        <v>0</v>
      </c>
      <c r="V19" s="11">
        <f t="shared" si="5"/>
        <v>0</v>
      </c>
      <c r="W19" s="11">
        <f t="shared" si="5"/>
        <v>0</v>
      </c>
      <c r="X19" s="11">
        <f t="shared" si="5"/>
        <v>6954.0030000000006</v>
      </c>
      <c r="Y19" s="11">
        <f t="shared" si="5"/>
        <v>10417.614000000001</v>
      </c>
      <c r="Z19" s="11">
        <f t="shared" si="5"/>
        <v>13326.602999999999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</row>
    <row r="20" spans="2:66" x14ac:dyDescent="0.2">
      <c r="B20" s="2" t="s">
        <v>26</v>
      </c>
      <c r="C20" s="11">
        <v>174.239</v>
      </c>
      <c r="D20" s="11">
        <v>174.81200000000001</v>
      </c>
      <c r="E20" s="11">
        <v>175.56299999999999</v>
      </c>
      <c r="F20" s="11">
        <v>175.21199999999999</v>
      </c>
      <c r="G20" s="11">
        <v>173.31399999999999</v>
      </c>
      <c r="H20" s="11">
        <v>167.98599999999999</v>
      </c>
      <c r="I20" s="11">
        <v>184.83</v>
      </c>
      <c r="J20" s="11">
        <v>192.60300000000001</v>
      </c>
      <c r="K20" s="11">
        <v>184.172</v>
      </c>
      <c r="L20" s="11">
        <v>182.649</v>
      </c>
      <c r="M20" s="11">
        <v>175.29400000000001</v>
      </c>
      <c r="N20" s="11">
        <f>+Z20-SUM(K20:M20)</f>
        <v>234.39499999999998</v>
      </c>
      <c r="O20" s="11">
        <v>262.077</v>
      </c>
      <c r="P20" s="11">
        <v>175.685</v>
      </c>
      <c r="Q20" s="11"/>
      <c r="R20" s="11"/>
      <c r="S20" s="11"/>
      <c r="T20" s="11"/>
      <c r="U20" s="11"/>
      <c r="V20" s="11"/>
      <c r="W20" s="11"/>
      <c r="X20" s="11">
        <v>699.82600000000002</v>
      </c>
      <c r="Y20" s="11">
        <v>718.73299999999995</v>
      </c>
      <c r="Z20" s="11">
        <v>776.51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</row>
    <row r="21" spans="2:66" x14ac:dyDescent="0.2">
      <c r="B21" s="2" t="s">
        <v>27</v>
      </c>
      <c r="C21" s="11">
        <v>71.203999999999994</v>
      </c>
      <c r="D21" s="11">
        <v>26.960999999999999</v>
      </c>
      <c r="E21" s="11">
        <v>168.21799999999999</v>
      </c>
      <c r="F21" s="11">
        <v>-172.74700000000001</v>
      </c>
      <c r="G21" s="11">
        <v>155.35900000000001</v>
      </c>
      <c r="H21" s="11">
        <v>79.004999999999995</v>
      </c>
      <c r="I21" s="11">
        <v>-21.693000000000001</v>
      </c>
      <c r="J21" s="11">
        <v>54.104999999999997</v>
      </c>
      <c r="K21" s="11">
        <v>50.899000000000001</v>
      </c>
      <c r="L21" s="11">
        <v>39.630000000000003</v>
      </c>
      <c r="M21" s="11">
        <v>36.457000000000001</v>
      </c>
      <c r="N21" s="11">
        <f>+Z21-SUM(K21:M21)</f>
        <v>45.473000000000013</v>
      </c>
      <c r="O21" s="11">
        <v>2852.1660000000002</v>
      </c>
      <c r="P21" s="11">
        <v>51.661000000000001</v>
      </c>
      <c r="Q21" s="11"/>
      <c r="R21" s="11"/>
      <c r="S21" s="11"/>
      <c r="T21" s="11"/>
      <c r="U21" s="11"/>
      <c r="V21" s="11"/>
      <c r="W21" s="11"/>
      <c r="X21" s="11">
        <v>-48.771999999999998</v>
      </c>
      <c r="Y21" s="11">
        <v>266.77600000000001</v>
      </c>
      <c r="Z21" s="11">
        <v>172.459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</row>
    <row r="22" spans="2:66" x14ac:dyDescent="0.2">
      <c r="B22" s="2" t="s">
        <v>28</v>
      </c>
      <c r="C22" s="11">
        <f t="shared" ref="C22:G22" si="6">C19-C20+C21</f>
        <v>1611.2819999999997</v>
      </c>
      <c r="D22" s="11">
        <f t="shared" si="6"/>
        <v>1679.3320000000001</v>
      </c>
      <c r="E22" s="11">
        <f t="shared" si="6"/>
        <v>1909.0589999999995</v>
      </c>
      <c r="F22" s="11">
        <f t="shared" si="6"/>
        <v>1148.325</v>
      </c>
      <c r="G22" s="11">
        <f t="shared" si="6"/>
        <v>2614.5790000000002</v>
      </c>
      <c r="H22" s="11">
        <f>H19-H20+H21</f>
        <v>2513.8559999999998</v>
      </c>
      <c r="I22" s="11">
        <f t="shared" ref="I22:P22" si="7">I19-I20+I21</f>
        <v>2702.9539999999993</v>
      </c>
      <c r="J22" s="11">
        <f t="shared" si="7"/>
        <v>2134.7550000000006</v>
      </c>
      <c r="K22" s="11">
        <f t="shared" si="7"/>
        <v>3213.9250000000002</v>
      </c>
      <c r="L22" s="11">
        <f t="shared" si="7"/>
        <v>3631.6749999999997</v>
      </c>
      <c r="M22" s="11">
        <f t="shared" si="7"/>
        <v>3109.4100000000008</v>
      </c>
      <c r="N22" s="11">
        <f t="shared" si="7"/>
        <v>2767.541999999999</v>
      </c>
      <c r="O22" s="11">
        <f t="shared" si="7"/>
        <v>6547.0869999999995</v>
      </c>
      <c r="P22" s="11">
        <f t="shared" si="7"/>
        <v>4068.5860000000007</v>
      </c>
      <c r="Q22" s="11"/>
      <c r="R22" s="11"/>
      <c r="S22" s="11"/>
      <c r="T22" s="11">
        <f t="shared" ref="T22:Z22" si="8">T19-T20+T21</f>
        <v>0</v>
      </c>
      <c r="U22" s="11">
        <f t="shared" si="8"/>
        <v>0</v>
      </c>
      <c r="V22" s="11">
        <f t="shared" si="8"/>
        <v>0</v>
      </c>
      <c r="W22" s="11">
        <f t="shared" si="8"/>
        <v>0</v>
      </c>
      <c r="X22" s="11">
        <f t="shared" si="8"/>
        <v>6205.4050000000007</v>
      </c>
      <c r="Y22" s="11">
        <f t="shared" si="8"/>
        <v>9965.6570000000011</v>
      </c>
      <c r="Z22" s="11">
        <f t="shared" si="8"/>
        <v>12722.552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</row>
    <row r="23" spans="2:66" x14ac:dyDescent="0.2">
      <c r="B23" s="2" t="s">
        <v>29</v>
      </c>
      <c r="C23" s="11">
        <v>163.75399999999999</v>
      </c>
      <c r="D23" s="11">
        <v>191.72200000000001</v>
      </c>
      <c r="E23" s="11">
        <v>231.62700000000001</v>
      </c>
      <c r="F23" s="11">
        <v>210.31200000000001</v>
      </c>
      <c r="G23" s="11">
        <v>282.37</v>
      </c>
      <c r="H23" s="11">
        <v>366.55</v>
      </c>
      <c r="I23" s="11">
        <v>339.44499999999999</v>
      </c>
      <c r="J23" s="11">
        <v>265.661</v>
      </c>
      <c r="K23" s="11">
        <v>323.375</v>
      </c>
      <c r="L23" s="11">
        <v>506.262</v>
      </c>
      <c r="M23" s="11">
        <v>562.49400000000003</v>
      </c>
      <c r="N23" s="11">
        <f>+Z23-SUM(K23:M23)</f>
        <v>349.22000000000025</v>
      </c>
      <c r="O23" s="11">
        <v>1264.2950000000001</v>
      </c>
      <c r="P23" s="11">
        <v>667.17200000000003</v>
      </c>
      <c r="Q23" s="11"/>
      <c r="R23" s="11"/>
      <c r="S23" s="11"/>
      <c r="T23" s="11"/>
      <c r="U23" s="11"/>
      <c r="V23" s="11"/>
      <c r="W23" s="11"/>
      <c r="X23" s="11">
        <v>797.41499999999996</v>
      </c>
      <c r="Y23" s="11">
        <v>1254.0260000000001</v>
      </c>
      <c r="Z23" s="11">
        <v>1741.3510000000001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</row>
    <row r="24" spans="2:66" x14ac:dyDescent="0.2">
      <c r="B24" s="2" t="s">
        <v>30</v>
      </c>
      <c r="C24" s="11">
        <f t="shared" ref="C24:G24" si="9">C22-C23</f>
        <v>1447.5279999999998</v>
      </c>
      <c r="D24" s="11">
        <f t="shared" si="9"/>
        <v>1487.6100000000001</v>
      </c>
      <c r="E24" s="11">
        <f t="shared" si="9"/>
        <v>1677.4319999999996</v>
      </c>
      <c r="F24" s="11">
        <f t="shared" si="9"/>
        <v>938.01300000000003</v>
      </c>
      <c r="G24" s="11">
        <f t="shared" si="9"/>
        <v>2332.2090000000003</v>
      </c>
      <c r="H24" s="11">
        <f>H22-H23</f>
        <v>2147.3059999999996</v>
      </c>
      <c r="I24" s="11">
        <f t="shared" ref="I24:K24" si="10">I22-I23</f>
        <v>2363.5089999999991</v>
      </c>
      <c r="J24" s="11">
        <f t="shared" si="10"/>
        <v>1869.0940000000005</v>
      </c>
      <c r="K24" s="11">
        <f t="shared" si="10"/>
        <v>2890.55</v>
      </c>
      <c r="L24" s="11">
        <f>+L22-L23</f>
        <v>3125.4129999999996</v>
      </c>
      <c r="M24" s="11">
        <f>+M22-M23</f>
        <v>2546.9160000000006</v>
      </c>
      <c r="N24" s="11">
        <f t="shared" ref="N24:P24" si="11">N22-N23</f>
        <v>2418.3219999999988</v>
      </c>
      <c r="O24" s="11">
        <f t="shared" si="11"/>
        <v>5282.7919999999995</v>
      </c>
      <c r="P24" s="11">
        <f t="shared" si="11"/>
        <v>3401.4140000000007</v>
      </c>
      <c r="Q24" s="11"/>
      <c r="R24" s="11"/>
      <c r="S24" s="11"/>
      <c r="T24" s="11">
        <f t="shared" ref="T24:Z24" si="12">+T22-T23</f>
        <v>0</v>
      </c>
      <c r="U24" s="11">
        <f t="shared" si="12"/>
        <v>0</v>
      </c>
      <c r="V24" s="11">
        <f t="shared" si="12"/>
        <v>0</v>
      </c>
      <c r="W24" s="11">
        <f t="shared" si="12"/>
        <v>0</v>
      </c>
      <c r="X24" s="11">
        <f t="shared" si="12"/>
        <v>5407.9900000000007</v>
      </c>
      <c r="Y24" s="11">
        <f t="shared" si="12"/>
        <v>8711.6310000000012</v>
      </c>
      <c r="Z24" s="11">
        <f t="shared" si="12"/>
        <v>10981.200999999999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</row>
    <row r="25" spans="2:66" x14ac:dyDescent="0.2"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</row>
    <row r="26" spans="2:66" x14ac:dyDescent="0.2">
      <c r="B26" s="2" t="s">
        <v>31</v>
      </c>
      <c r="C26" s="14">
        <f t="shared" ref="C26:G26" si="13">C24/C27</f>
        <v>3.2510892903666297</v>
      </c>
      <c r="D26" s="14">
        <f t="shared" si="13"/>
        <v>3.3513712008398651</v>
      </c>
      <c r="E26" s="14">
        <f t="shared" si="13"/>
        <v>3.7990745962399517</v>
      </c>
      <c r="F26" s="14">
        <f t="shared" si="13"/>
        <v>2.1517859805516113</v>
      </c>
      <c r="G26" s="14">
        <f t="shared" si="13"/>
        <v>5.3975074637228362</v>
      </c>
      <c r="H26" s="14">
        <f>H24/H27</f>
        <v>4.9929801309104427</v>
      </c>
      <c r="I26" s="14">
        <f t="shared" ref="I26:P26" si="14">I24/I27</f>
        <v>5.519135342647445</v>
      </c>
      <c r="J26" s="14">
        <f t="shared" si="14"/>
        <v>4.3699417370404676</v>
      </c>
      <c r="K26" s="14">
        <f t="shared" si="14"/>
        <v>6.7651602031502334</v>
      </c>
      <c r="L26" s="14">
        <f t="shared" si="14"/>
        <v>7.3502637514081233</v>
      </c>
      <c r="M26" s="14">
        <f t="shared" si="14"/>
        <v>6.000438208997422</v>
      </c>
      <c r="N26" s="14">
        <f t="shared" si="14"/>
        <v>5.6974755863401274</v>
      </c>
      <c r="O26" s="14">
        <f t="shared" si="14"/>
        <v>1.2510202385296723</v>
      </c>
      <c r="P26" s="14">
        <f t="shared" si="14"/>
        <v>0.81192838044896742</v>
      </c>
      <c r="Q26" s="14"/>
      <c r="R26" s="14"/>
      <c r="S26" s="11"/>
      <c r="T26" s="11"/>
      <c r="U26" s="14" t="e">
        <f t="shared" ref="U26:Y26" si="15">+U24/U27</f>
        <v>#DIV/0!</v>
      </c>
      <c r="V26" s="14" t="e">
        <f t="shared" si="15"/>
        <v>#DIV/0!</v>
      </c>
      <c r="W26" s="14" t="e">
        <f t="shared" si="15"/>
        <v>#DIV/0!</v>
      </c>
      <c r="X26" s="14">
        <f t="shared" si="15"/>
        <v>1.2247152894029321</v>
      </c>
      <c r="Y26" s="14">
        <f t="shared" si="15"/>
        <v>2.0282290124001476</v>
      </c>
      <c r="Z26" s="14">
        <f>+Z24/Z27</f>
        <v>2.5841087164832102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</row>
    <row r="27" spans="2:66" x14ac:dyDescent="0.2">
      <c r="B27" s="2" t="s">
        <v>4</v>
      </c>
      <c r="C27" s="11">
        <v>445.24400000000003</v>
      </c>
      <c r="D27" s="11">
        <v>443.88099999999997</v>
      </c>
      <c r="E27" s="11">
        <v>441.53699999999998</v>
      </c>
      <c r="F27" s="11">
        <v>435.923</v>
      </c>
      <c r="G27" s="11">
        <v>432.09</v>
      </c>
      <c r="H27" s="11">
        <v>430.065</v>
      </c>
      <c r="I27" s="11">
        <v>428.23899999999998</v>
      </c>
      <c r="J27" s="11">
        <v>427.71600000000001</v>
      </c>
      <c r="K27" s="11">
        <v>427.27</v>
      </c>
      <c r="L27" s="11">
        <v>425.21100000000001</v>
      </c>
      <c r="M27" s="11">
        <v>424.45499999999998</v>
      </c>
      <c r="N27" s="11">
        <v>424.45499999999998</v>
      </c>
      <c r="O27" s="11">
        <v>4222.7870000000003</v>
      </c>
      <c r="P27" s="36">
        <v>4189.3029999999999</v>
      </c>
      <c r="Q27" s="11"/>
      <c r="R27" s="11"/>
      <c r="S27" s="11"/>
      <c r="T27" s="11"/>
      <c r="U27" s="11"/>
      <c r="V27" s="11"/>
      <c r="W27" s="11"/>
      <c r="X27" s="11">
        <v>4415.7120000000004</v>
      </c>
      <c r="Y27" s="11">
        <v>4295.1909999999998</v>
      </c>
      <c r="Z27" s="11">
        <v>4249.5119999999997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</row>
    <row r="28" spans="2:66" x14ac:dyDescent="0.2"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</row>
    <row r="29" spans="2:66" x14ac:dyDescent="0.2">
      <c r="B29" s="3" t="s">
        <v>42</v>
      </c>
      <c r="C29" s="15"/>
      <c r="D29" s="15"/>
      <c r="E29" s="15"/>
      <c r="F29" s="15"/>
      <c r="G29" s="8">
        <f t="shared" ref="G29" si="16">G13/C13-1</f>
        <v>0.14812676047536844</v>
      </c>
      <c r="H29" s="8">
        <f>H13/D13-1</f>
        <v>0.16757769135396372</v>
      </c>
      <c r="I29" s="8">
        <f t="shared" ref="I29:P29" si="17">I13/E13-1</f>
        <v>0.15020895216250496</v>
      </c>
      <c r="J29" s="8">
        <f t="shared" si="17"/>
        <v>0.16008151250990599</v>
      </c>
      <c r="K29" s="8">
        <f t="shared" si="17"/>
        <v>0.12513393181109955</v>
      </c>
      <c r="L29" s="8">
        <f t="shared" si="17"/>
        <v>0.15899222851858563</v>
      </c>
      <c r="M29" s="8">
        <f t="shared" si="17"/>
        <v>0.17156793442000251</v>
      </c>
      <c r="N29" s="8">
        <f t="shared" si="17"/>
        <v>0.17600888064799469</v>
      </c>
      <c r="O29" s="8">
        <f t="shared" si="17"/>
        <v>0.16188532675708989</v>
      </c>
      <c r="P29" s="8">
        <f t="shared" si="17"/>
        <v>0.13365374252899542</v>
      </c>
      <c r="Q29" s="8"/>
      <c r="R29" s="8"/>
      <c r="S29" s="11"/>
      <c r="T29" s="11"/>
      <c r="U29" s="11"/>
      <c r="V29" s="11"/>
      <c r="W29" s="11"/>
      <c r="X29" s="8" t="e">
        <f t="shared" ref="X29:Y29" si="18">+X13/W13-1</f>
        <v>#DIV/0!</v>
      </c>
      <c r="Y29" s="8">
        <f t="shared" si="18"/>
        <v>0.15649919994477424</v>
      </c>
      <c r="Z29" s="8">
        <f>+Z13/Y13-1</f>
        <v>0.15851068919677536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</row>
    <row r="30" spans="2:66" x14ac:dyDescent="0.2">
      <c r="B30" s="2" t="s">
        <v>43</v>
      </c>
      <c r="C30" s="11"/>
      <c r="D30" s="11"/>
      <c r="E30" s="11"/>
      <c r="F30" s="11"/>
      <c r="G30" s="5">
        <f t="shared" ref="G30" si="19">G11/C11-1</f>
        <v>0.15958846957823281</v>
      </c>
      <c r="H30" s="5">
        <f>H11/D11-1</f>
        <v>0.16467553169176563</v>
      </c>
      <c r="I30" s="5">
        <f t="shared" ref="I30:J30" si="20">I11/E11-1</f>
        <v>0.14390681076094536</v>
      </c>
      <c r="J30" s="5">
        <f t="shared" si="20"/>
        <v>0.15886737359766423</v>
      </c>
      <c r="K30" s="13" t="s">
        <v>74</v>
      </c>
      <c r="L30" s="13" t="s">
        <v>74</v>
      </c>
      <c r="M30" s="13" t="s">
        <v>74</v>
      </c>
      <c r="N30" s="13" t="s">
        <v>74</v>
      </c>
      <c r="O30" s="13" t="s">
        <v>74</v>
      </c>
      <c r="P30" s="13" t="s">
        <v>74</v>
      </c>
      <c r="Q30" s="13"/>
      <c r="R30" s="13"/>
      <c r="S30" s="11"/>
      <c r="T30" s="11"/>
      <c r="U30" s="11"/>
      <c r="V30" s="11"/>
      <c r="W30" s="11"/>
      <c r="X30" s="32" t="s">
        <v>74</v>
      </c>
      <c r="Y30" s="32" t="s">
        <v>74</v>
      </c>
      <c r="Z30" s="32" t="s">
        <v>74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</row>
    <row r="31" spans="2:66" x14ac:dyDescent="0.2">
      <c r="B31" s="2" t="s">
        <v>44</v>
      </c>
      <c r="C31" s="5">
        <f t="shared" ref="C31:G31" si="21">C15/C13</f>
        <v>0.41142887529417066</v>
      </c>
      <c r="D31" s="5">
        <f t="shared" si="21"/>
        <v>0.42918062985591954</v>
      </c>
      <c r="E31" s="5">
        <f t="shared" si="21"/>
        <v>0.42273827547500087</v>
      </c>
      <c r="F31" s="5">
        <f t="shared" si="21"/>
        <v>0.39912996716857246</v>
      </c>
      <c r="G31" s="5">
        <f t="shared" si="21"/>
        <v>0.46885386385271127</v>
      </c>
      <c r="H31" s="5">
        <f>H15/H13</f>
        <v>0.45873258634775937</v>
      </c>
      <c r="I31" s="5">
        <f t="shared" ref="I31:J31" si="22">I15/I13</f>
        <v>0.47887646069301021</v>
      </c>
      <c r="J31" s="5">
        <f t="shared" si="22"/>
        <v>0.43716560944666738</v>
      </c>
      <c r="K31" s="5">
        <f t="shared" ref="K31:L31" si="23">K15/K13</f>
        <v>0.50079227923740877</v>
      </c>
      <c r="L31" s="5">
        <f t="shared" si="23"/>
        <v>0.51934008390162223</v>
      </c>
      <c r="M31" s="5">
        <f t="shared" ref="M31:N31" si="24">M15/M13</f>
        <v>0.4644582459877048</v>
      </c>
      <c r="N31" s="5">
        <f t="shared" si="24"/>
        <v>0.4587289407142221</v>
      </c>
      <c r="O31" s="5">
        <f t="shared" ref="O31:P31" si="25">O15/O13</f>
        <v>0.51931797504228039</v>
      </c>
      <c r="P31" s="5">
        <f t="shared" si="25"/>
        <v>0.51934754773471015</v>
      </c>
      <c r="Q31" s="5"/>
      <c r="R31" s="5"/>
      <c r="S31" s="11"/>
      <c r="T31" s="5" t="e">
        <f t="shared" ref="T31:Z31" si="26">T15/T13</f>
        <v>#DIV/0!</v>
      </c>
      <c r="U31" s="5" t="e">
        <f t="shared" si="26"/>
        <v>#DIV/0!</v>
      </c>
      <c r="V31" s="5" t="e">
        <f t="shared" si="26"/>
        <v>#DIV/0!</v>
      </c>
      <c r="W31" s="5" t="e">
        <f t="shared" si="26"/>
        <v>#DIV/0!</v>
      </c>
      <c r="X31" s="5">
        <f t="shared" si="26"/>
        <v>0.41537839553469524</v>
      </c>
      <c r="Y31" s="5">
        <f t="shared" si="26"/>
        <v>0.46056556650417324</v>
      </c>
      <c r="Z31" s="5">
        <f t="shared" si="26"/>
        <v>0.48486575802475951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</row>
    <row r="32" spans="2:66" x14ac:dyDescent="0.2">
      <c r="B32" s="2" t="s">
        <v>45</v>
      </c>
      <c r="C32" s="5">
        <f t="shared" ref="C32:G32" si="27">C19/C13</f>
        <v>0.21004917844176493</v>
      </c>
      <c r="D32" s="5">
        <f t="shared" si="27"/>
        <v>0.2231728136048742</v>
      </c>
      <c r="E32" s="5">
        <f t="shared" si="27"/>
        <v>0.22435945766096266</v>
      </c>
      <c r="F32" s="5">
        <f t="shared" si="27"/>
        <v>0.169397033850334</v>
      </c>
      <c r="G32" s="5">
        <f t="shared" si="27"/>
        <v>0.28094027601692129</v>
      </c>
      <c r="H32" s="5">
        <f>H19/H13</f>
        <v>0.27228293673915793</v>
      </c>
      <c r="I32" s="5">
        <f t="shared" ref="I32:J32" si="28">I19/I13</f>
        <v>0.29613892654057833</v>
      </c>
      <c r="J32" s="5">
        <f t="shared" si="28"/>
        <v>0.22184571093978731</v>
      </c>
      <c r="K32" s="5">
        <f t="shared" ref="K32:L32" si="29">K19/K13</f>
        <v>0.31748060324385852</v>
      </c>
      <c r="L32" s="5">
        <f t="shared" si="29"/>
        <v>0.34070199868834888</v>
      </c>
      <c r="M32" s="5">
        <f t="shared" ref="M32:N32" si="30">M19/M13</f>
        <v>0.28220333306487833</v>
      </c>
      <c r="N32" s="5">
        <f t="shared" si="30"/>
        <v>0.24533824685203492</v>
      </c>
      <c r="O32" s="5">
        <f t="shared" ref="O32:P32" si="31">O19/O13</f>
        <v>0.32302665269196762</v>
      </c>
      <c r="P32" s="5">
        <f t="shared" si="31"/>
        <v>0.33380817644163535</v>
      </c>
      <c r="Q32" s="5"/>
      <c r="R32" s="5"/>
      <c r="S32" s="11"/>
      <c r="T32" s="5" t="e">
        <f t="shared" ref="T32:Z32" si="32">T19/T13</f>
        <v>#DIV/0!</v>
      </c>
      <c r="U32" s="5" t="e">
        <f t="shared" si="32"/>
        <v>#DIV/0!</v>
      </c>
      <c r="V32" s="5" t="e">
        <f t="shared" si="32"/>
        <v>#DIV/0!</v>
      </c>
      <c r="W32" s="5" t="e">
        <f t="shared" si="32"/>
        <v>#DIV/0!</v>
      </c>
      <c r="X32" s="5">
        <f t="shared" si="32"/>
        <v>0.20620768485358951</v>
      </c>
      <c r="Y32" s="5">
        <f t="shared" si="32"/>
        <v>0.26711169154117881</v>
      </c>
      <c r="Z32" s="5">
        <f t="shared" si="32"/>
        <v>0.29494704605507249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</row>
    <row r="33" spans="2:66" x14ac:dyDescent="0.2">
      <c r="B33" s="2" t="s">
        <v>46</v>
      </c>
      <c r="C33" s="5">
        <f t="shared" ref="C33:G33" si="33">C23/C22</f>
        <v>0.10162963404295464</v>
      </c>
      <c r="D33" s="5">
        <f t="shared" si="33"/>
        <v>0.11416563252531363</v>
      </c>
      <c r="E33" s="5">
        <f t="shared" si="33"/>
        <v>0.12133045652334479</v>
      </c>
      <c r="F33" s="5">
        <f t="shared" si="33"/>
        <v>0.18314675723336163</v>
      </c>
      <c r="G33" s="5">
        <f t="shared" si="33"/>
        <v>0.10799826664254551</v>
      </c>
      <c r="H33" s="5">
        <f>H23/H22</f>
        <v>0.14581185238931746</v>
      </c>
      <c r="I33" s="5">
        <f t="shared" ref="I33:J33" si="34">I23/I22</f>
        <v>0.12558297329514304</v>
      </c>
      <c r="J33" s="5">
        <f t="shared" si="34"/>
        <v>0.12444566238280268</v>
      </c>
      <c r="K33" s="5">
        <f t="shared" ref="K33:L33" si="35">K23/K22</f>
        <v>0.10061684700171908</v>
      </c>
      <c r="L33" s="5">
        <f t="shared" si="35"/>
        <v>0.13940179118450854</v>
      </c>
      <c r="M33" s="5">
        <f t="shared" ref="M33:N33" si="36">M23/M22</f>
        <v>0.18090055669725122</v>
      </c>
      <c r="N33" s="5">
        <f t="shared" si="36"/>
        <v>0.12618417353738456</v>
      </c>
      <c r="O33" s="5">
        <f t="shared" ref="O33:P33" si="37">O23/O22</f>
        <v>0.19310801887923593</v>
      </c>
      <c r="P33" s="5">
        <f t="shared" si="37"/>
        <v>0.16398129472991352</v>
      </c>
      <c r="Q33" s="5"/>
      <c r="R33" s="5"/>
      <c r="S33" s="11"/>
      <c r="T33" s="5" t="e">
        <f t="shared" ref="T33:Z33" si="38">T23/T22</f>
        <v>#DIV/0!</v>
      </c>
      <c r="U33" s="5" t="e">
        <f t="shared" si="38"/>
        <v>#DIV/0!</v>
      </c>
      <c r="V33" s="5" t="e">
        <f t="shared" si="38"/>
        <v>#DIV/0!</v>
      </c>
      <c r="W33" s="5" t="e">
        <f t="shared" si="38"/>
        <v>#DIV/0!</v>
      </c>
      <c r="X33" s="5">
        <f t="shared" si="38"/>
        <v>0.12850329672277633</v>
      </c>
      <c r="Y33" s="5">
        <f t="shared" si="38"/>
        <v>0.12583475429668109</v>
      </c>
      <c r="Z33" s="5">
        <f t="shared" si="38"/>
        <v>0.1368712031988551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</row>
    <row r="34" spans="2:66" x14ac:dyDescent="0.2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</row>
    <row r="35" spans="2:66" x14ac:dyDescent="0.2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</row>
    <row r="36" spans="2:66" x14ac:dyDescent="0.2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</row>
    <row r="37" spans="2:66" x14ac:dyDescent="0.2"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</row>
    <row r="38" spans="2:66" x14ac:dyDescent="0.2"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</row>
    <row r="39" spans="2:66" x14ac:dyDescent="0.2"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</row>
    <row r="40" spans="2:66" x14ac:dyDescent="0.2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</row>
    <row r="41" spans="2:66" x14ac:dyDescent="0.2"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</row>
    <row r="42" spans="2:66" x14ac:dyDescent="0.2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</row>
    <row r="43" spans="2:66" x14ac:dyDescent="0.2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</row>
    <row r="44" spans="2:66" x14ac:dyDescent="0.2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</row>
    <row r="45" spans="2:66" x14ac:dyDescent="0.2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</row>
    <row r="46" spans="2:66" x14ac:dyDescent="0.2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</row>
    <row r="47" spans="2:66" x14ac:dyDescent="0.2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</row>
    <row r="48" spans="2:66" x14ac:dyDescent="0.2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</row>
    <row r="49" spans="3:66" x14ac:dyDescent="0.2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</row>
    <row r="50" spans="3:66" x14ac:dyDescent="0.2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</row>
    <row r="51" spans="3:66" x14ac:dyDescent="0.2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</row>
    <row r="52" spans="3:66" x14ac:dyDescent="0.2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</row>
    <row r="53" spans="3:66" x14ac:dyDescent="0.2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</row>
    <row r="54" spans="3:66" x14ac:dyDescent="0.2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</row>
    <row r="55" spans="3:66" x14ac:dyDescent="0.2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</row>
    <row r="56" spans="3:66" x14ac:dyDescent="0.2"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</row>
    <row r="57" spans="3:66" x14ac:dyDescent="0.2"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</row>
    <row r="58" spans="3:66" x14ac:dyDescent="0.2"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</row>
    <row r="59" spans="3:66" x14ac:dyDescent="0.2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</row>
    <row r="60" spans="3:66" x14ac:dyDescent="0.2"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</row>
    <row r="61" spans="3:66" x14ac:dyDescent="0.2"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</row>
    <row r="62" spans="3:66" x14ac:dyDescent="0.2"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</row>
    <row r="63" spans="3:66" x14ac:dyDescent="0.2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</row>
    <row r="64" spans="3:66" x14ac:dyDescent="0.2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</row>
    <row r="65" spans="3:66" x14ac:dyDescent="0.2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</row>
    <row r="66" spans="3:66" x14ac:dyDescent="0.2"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</row>
    <row r="67" spans="3:66" x14ac:dyDescent="0.2"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</row>
    <row r="68" spans="3:66" x14ac:dyDescent="0.2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</row>
    <row r="69" spans="3:66" x14ac:dyDescent="0.2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</row>
    <row r="70" spans="3:66" x14ac:dyDescent="0.2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</row>
    <row r="71" spans="3:66" x14ac:dyDescent="0.2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</row>
    <row r="72" spans="3:66" x14ac:dyDescent="0.2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</row>
    <row r="73" spans="3:66" x14ac:dyDescent="0.2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</row>
    <row r="74" spans="3:66" x14ac:dyDescent="0.2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</row>
    <row r="75" spans="3:66" x14ac:dyDescent="0.2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</row>
    <row r="76" spans="3:66" x14ac:dyDescent="0.2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</row>
    <row r="77" spans="3:66" x14ac:dyDescent="0.2"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</row>
    <row r="78" spans="3:66" x14ac:dyDescent="0.2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</row>
    <row r="79" spans="3:66" x14ac:dyDescent="0.2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</row>
    <row r="80" spans="3:66" x14ac:dyDescent="0.2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</row>
    <row r="81" spans="3:66" x14ac:dyDescent="0.2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</row>
    <row r="82" spans="3:66" x14ac:dyDescent="0.2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</row>
    <row r="83" spans="3:66" x14ac:dyDescent="0.2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</row>
    <row r="84" spans="3:66" x14ac:dyDescent="0.2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</row>
    <row r="85" spans="3:66" x14ac:dyDescent="0.2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</row>
    <row r="86" spans="3:66" x14ac:dyDescent="0.2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</row>
    <row r="87" spans="3:66" x14ac:dyDescent="0.2"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</row>
    <row r="88" spans="3:66" x14ac:dyDescent="0.2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</row>
    <row r="89" spans="3:66" x14ac:dyDescent="0.2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</row>
    <row r="90" spans="3:66" x14ac:dyDescent="0.2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</row>
    <row r="91" spans="3:66" x14ac:dyDescent="0.2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</row>
    <row r="92" spans="3:66" x14ac:dyDescent="0.2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</row>
    <row r="93" spans="3:66" x14ac:dyDescent="0.2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</row>
    <row r="94" spans="3:66" x14ac:dyDescent="0.2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</row>
    <row r="95" spans="3:66" x14ac:dyDescent="0.2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</row>
    <row r="96" spans="3:66" x14ac:dyDescent="0.2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</row>
    <row r="97" spans="3:66" x14ac:dyDescent="0.2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</row>
    <row r="98" spans="3:66" x14ac:dyDescent="0.2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</row>
    <row r="99" spans="3:66" x14ac:dyDescent="0.2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</row>
    <row r="100" spans="3:66" x14ac:dyDescent="0.2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</row>
    <row r="101" spans="3:66" x14ac:dyDescent="0.2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</row>
    <row r="102" spans="3:66" x14ac:dyDescent="0.2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</row>
    <row r="103" spans="3:66" x14ac:dyDescent="0.2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</row>
    <row r="104" spans="3:66" x14ac:dyDescent="0.2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</row>
    <row r="105" spans="3:66" x14ac:dyDescent="0.2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</row>
    <row r="106" spans="3:66" x14ac:dyDescent="0.2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</row>
    <row r="107" spans="3:66" x14ac:dyDescent="0.2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</row>
    <row r="108" spans="3:66" x14ac:dyDescent="0.2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</row>
    <row r="109" spans="3:66" x14ac:dyDescent="0.2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</row>
    <row r="110" spans="3:66" x14ac:dyDescent="0.2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</row>
    <row r="111" spans="3:66" x14ac:dyDescent="0.2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</row>
    <row r="112" spans="3:66" x14ac:dyDescent="0.2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</row>
    <row r="113" spans="3:66" x14ac:dyDescent="0.2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</row>
    <row r="114" spans="3:66" x14ac:dyDescent="0.2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</row>
    <row r="115" spans="3:66" x14ac:dyDescent="0.2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</row>
    <row r="116" spans="3:66" x14ac:dyDescent="0.2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</row>
    <row r="117" spans="3:66" x14ac:dyDescent="0.2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</row>
    <row r="118" spans="3:66" x14ac:dyDescent="0.2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</row>
    <row r="119" spans="3:66" x14ac:dyDescent="0.2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</row>
    <row r="120" spans="3:66" x14ac:dyDescent="0.2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</row>
    <row r="121" spans="3:66" x14ac:dyDescent="0.2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</row>
    <row r="122" spans="3:66" x14ac:dyDescent="0.2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</row>
    <row r="123" spans="3:66" x14ac:dyDescent="0.2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</row>
    <row r="124" spans="3:66" x14ac:dyDescent="0.2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</row>
    <row r="125" spans="3:66" x14ac:dyDescent="0.2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</row>
    <row r="126" spans="3:66" x14ac:dyDescent="0.2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</row>
    <row r="127" spans="3:66" x14ac:dyDescent="0.2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</row>
    <row r="128" spans="3:66" x14ac:dyDescent="0.2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</row>
    <row r="129" spans="3:66" x14ac:dyDescent="0.2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</row>
    <row r="130" spans="3:66" x14ac:dyDescent="0.2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</row>
    <row r="131" spans="3:66" x14ac:dyDescent="0.2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</row>
    <row r="132" spans="3:66" x14ac:dyDescent="0.2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</row>
    <row r="133" spans="3:66" x14ac:dyDescent="0.2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</row>
    <row r="134" spans="3:66" x14ac:dyDescent="0.2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</row>
    <row r="135" spans="3:66" x14ac:dyDescent="0.2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</row>
    <row r="136" spans="3:66" x14ac:dyDescent="0.2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</row>
    <row r="137" spans="3:66" x14ac:dyDescent="0.2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</row>
    <row r="138" spans="3:66" x14ac:dyDescent="0.2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</row>
    <row r="139" spans="3:66" x14ac:dyDescent="0.2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</row>
    <row r="140" spans="3:66" x14ac:dyDescent="0.2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</row>
    <row r="141" spans="3:66" x14ac:dyDescent="0.2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</row>
    <row r="142" spans="3:66" x14ac:dyDescent="0.2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</row>
    <row r="143" spans="3:66" x14ac:dyDescent="0.2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</row>
    <row r="144" spans="3:66" x14ac:dyDescent="0.2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</row>
    <row r="145" spans="3:66" x14ac:dyDescent="0.2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</row>
    <row r="146" spans="3:66" x14ac:dyDescent="0.2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</row>
    <row r="147" spans="3:66" x14ac:dyDescent="0.2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</row>
    <row r="148" spans="3:66" x14ac:dyDescent="0.2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</row>
    <row r="149" spans="3:66" x14ac:dyDescent="0.2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</row>
    <row r="150" spans="3:66" x14ac:dyDescent="0.2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</row>
    <row r="151" spans="3:66" x14ac:dyDescent="0.2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</row>
    <row r="152" spans="3:66" x14ac:dyDescent="0.2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</row>
    <row r="153" spans="3:66" x14ac:dyDescent="0.2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</row>
    <row r="154" spans="3:66" x14ac:dyDescent="0.2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</row>
    <row r="155" spans="3:66" x14ac:dyDescent="0.2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</row>
    <row r="156" spans="3:66" x14ac:dyDescent="0.2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</row>
    <row r="157" spans="3:66" x14ac:dyDescent="0.2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</row>
    <row r="158" spans="3:66" x14ac:dyDescent="0.2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</row>
    <row r="159" spans="3:66" x14ac:dyDescent="0.2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</row>
    <row r="160" spans="3:66" x14ac:dyDescent="0.2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</row>
    <row r="161" spans="3:66" x14ac:dyDescent="0.2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</row>
    <row r="162" spans="3:66" x14ac:dyDescent="0.2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</row>
    <row r="163" spans="3:66" x14ac:dyDescent="0.2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</row>
    <row r="164" spans="3:66" x14ac:dyDescent="0.2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</row>
    <row r="165" spans="3:66" x14ac:dyDescent="0.2"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</row>
    <row r="166" spans="3:66" x14ac:dyDescent="0.2"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</row>
    <row r="167" spans="3:66" x14ac:dyDescent="0.2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</row>
    <row r="168" spans="3:66" x14ac:dyDescent="0.2"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</row>
    <row r="169" spans="3:66" x14ac:dyDescent="0.2"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</row>
    <row r="170" spans="3:66" x14ac:dyDescent="0.2"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</row>
    <row r="171" spans="3:66" x14ac:dyDescent="0.2"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</row>
    <row r="172" spans="3:66" x14ac:dyDescent="0.2"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</row>
    <row r="173" spans="3:66" x14ac:dyDescent="0.2"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</row>
    <row r="174" spans="3:66" x14ac:dyDescent="0.2"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</row>
    <row r="175" spans="3:66" x14ac:dyDescent="0.2"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</row>
    <row r="176" spans="3:66" x14ac:dyDescent="0.2"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</row>
    <row r="177" spans="3:66" x14ac:dyDescent="0.2"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</row>
    <row r="178" spans="3:66" x14ac:dyDescent="0.2"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</row>
    <row r="179" spans="3:66" x14ac:dyDescent="0.2"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</row>
    <row r="180" spans="3:66" x14ac:dyDescent="0.2"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</row>
    <row r="181" spans="3:66" x14ac:dyDescent="0.2"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</row>
    <row r="182" spans="3:66" x14ac:dyDescent="0.2"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</row>
    <row r="183" spans="3:66" x14ac:dyDescent="0.2"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</row>
    <row r="184" spans="3:66" x14ac:dyDescent="0.2"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</row>
    <row r="185" spans="3:66" x14ac:dyDescent="0.2"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</row>
    <row r="186" spans="3:66" x14ac:dyDescent="0.2"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</row>
    <row r="187" spans="3:66" x14ac:dyDescent="0.2"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</row>
    <row r="188" spans="3:66" x14ac:dyDescent="0.2"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</row>
    <row r="189" spans="3:66" x14ac:dyDescent="0.2"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</row>
    <row r="190" spans="3:66" x14ac:dyDescent="0.2"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</row>
    <row r="191" spans="3:66" x14ac:dyDescent="0.2"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</row>
    <row r="192" spans="3:66" x14ac:dyDescent="0.2"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</row>
    <row r="193" spans="3:66" x14ac:dyDescent="0.2"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</row>
    <row r="194" spans="3:66" x14ac:dyDescent="0.2"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</row>
    <row r="195" spans="3:66" x14ac:dyDescent="0.2"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</row>
    <row r="196" spans="3:66" x14ac:dyDescent="0.2"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</row>
    <row r="197" spans="3:66" x14ac:dyDescent="0.2"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</row>
    <row r="198" spans="3:66" x14ac:dyDescent="0.2"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</row>
    <row r="199" spans="3:66" x14ac:dyDescent="0.2"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</row>
    <row r="200" spans="3:66" x14ac:dyDescent="0.2"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</row>
    <row r="201" spans="3:66" x14ac:dyDescent="0.2"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</row>
    <row r="202" spans="3:66" x14ac:dyDescent="0.2"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</row>
    <row r="203" spans="3:66" x14ac:dyDescent="0.2"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</row>
    <row r="204" spans="3:66" x14ac:dyDescent="0.2"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</row>
    <row r="205" spans="3:66" x14ac:dyDescent="0.2"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</row>
    <row r="206" spans="3:66" x14ac:dyDescent="0.2"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</row>
    <row r="207" spans="3:66" x14ac:dyDescent="0.2"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</row>
    <row r="208" spans="3:66" x14ac:dyDescent="0.2"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</row>
    <row r="209" spans="3:66" x14ac:dyDescent="0.2"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</row>
    <row r="210" spans="3:66" x14ac:dyDescent="0.2"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</row>
    <row r="211" spans="3:66" x14ac:dyDescent="0.2"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</row>
    <row r="212" spans="3:66" x14ac:dyDescent="0.2"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</row>
    <row r="213" spans="3:66" x14ac:dyDescent="0.2"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</row>
    <row r="214" spans="3:66" x14ac:dyDescent="0.2"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</row>
    <row r="215" spans="3:66" x14ac:dyDescent="0.2"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</row>
    <row r="216" spans="3:66" x14ac:dyDescent="0.2"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</row>
    <row r="217" spans="3:66" x14ac:dyDescent="0.2"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</row>
    <row r="218" spans="3:66" x14ac:dyDescent="0.2"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</row>
    <row r="219" spans="3:66" x14ac:dyDescent="0.2"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</row>
    <row r="220" spans="3:66" x14ac:dyDescent="0.2"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</row>
    <row r="221" spans="3:66" x14ac:dyDescent="0.2"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</row>
    <row r="222" spans="3:66" x14ac:dyDescent="0.2"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</row>
    <row r="223" spans="3:66" x14ac:dyDescent="0.2"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</row>
    <row r="224" spans="3:66" x14ac:dyDescent="0.2"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</row>
    <row r="225" spans="3:66" x14ac:dyDescent="0.2"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</row>
    <row r="226" spans="3:66" x14ac:dyDescent="0.2"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</row>
    <row r="227" spans="3:66" x14ac:dyDescent="0.2"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</row>
    <row r="228" spans="3:66" x14ac:dyDescent="0.2"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</row>
    <row r="229" spans="3:66" x14ac:dyDescent="0.2"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</row>
    <row r="230" spans="3:66" x14ac:dyDescent="0.2"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</row>
    <row r="231" spans="3:66" x14ac:dyDescent="0.2"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</row>
    <row r="232" spans="3:66" x14ac:dyDescent="0.2"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</row>
    <row r="233" spans="3:66" x14ac:dyDescent="0.2"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</row>
    <row r="234" spans="3:66" x14ac:dyDescent="0.2"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</row>
    <row r="235" spans="3:66" x14ac:dyDescent="0.2"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</row>
    <row r="236" spans="3:66" x14ac:dyDescent="0.2"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</row>
    <row r="237" spans="3:66" x14ac:dyDescent="0.2"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</row>
    <row r="238" spans="3:66" x14ac:dyDescent="0.2"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</row>
    <row r="239" spans="3:66" x14ac:dyDescent="0.2"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</row>
    <row r="240" spans="3:66" x14ac:dyDescent="0.2"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</row>
    <row r="241" spans="3:66" x14ac:dyDescent="0.2"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</row>
    <row r="242" spans="3:66" x14ac:dyDescent="0.2"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</row>
    <row r="243" spans="3:66" x14ac:dyDescent="0.2"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</row>
    <row r="244" spans="3:66" x14ac:dyDescent="0.2"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</row>
    <row r="245" spans="3:66" x14ac:dyDescent="0.2"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</row>
    <row r="246" spans="3:66" x14ac:dyDescent="0.2"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</row>
    <row r="247" spans="3:66" x14ac:dyDescent="0.2"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</row>
    <row r="248" spans="3:66" x14ac:dyDescent="0.2"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</row>
    <row r="249" spans="3:66" x14ac:dyDescent="0.2"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</row>
    <row r="250" spans="3:66" x14ac:dyDescent="0.2"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</row>
    <row r="251" spans="3:66" x14ac:dyDescent="0.2"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</row>
    <row r="252" spans="3:66" x14ac:dyDescent="0.2"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</row>
    <row r="253" spans="3:66" x14ac:dyDescent="0.2"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</row>
    <row r="254" spans="3:66" x14ac:dyDescent="0.2"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</row>
    <row r="255" spans="3:66" x14ac:dyDescent="0.2"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</row>
    <row r="256" spans="3:66" x14ac:dyDescent="0.2"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</row>
    <row r="257" spans="3:66" x14ac:dyDescent="0.2"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</row>
    <row r="258" spans="3:66" x14ac:dyDescent="0.2"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</row>
    <row r="259" spans="3:66" x14ac:dyDescent="0.2"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</row>
    <row r="260" spans="3:66" x14ac:dyDescent="0.2"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</row>
    <row r="261" spans="3:66" x14ac:dyDescent="0.2"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</row>
    <row r="262" spans="3:66" x14ac:dyDescent="0.2"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</row>
    <row r="263" spans="3:66" x14ac:dyDescent="0.2"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</row>
    <row r="264" spans="3:66" x14ac:dyDescent="0.2"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</row>
    <row r="265" spans="3:66" x14ac:dyDescent="0.2"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</row>
    <row r="266" spans="3:66" x14ac:dyDescent="0.2"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</row>
    <row r="267" spans="3:66" x14ac:dyDescent="0.2"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</row>
    <row r="268" spans="3:66" x14ac:dyDescent="0.2"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</row>
    <row r="269" spans="3:66" x14ac:dyDescent="0.2"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</row>
    <row r="270" spans="3:66" x14ac:dyDescent="0.2"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</row>
    <row r="271" spans="3:66" x14ac:dyDescent="0.2"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</row>
    <row r="272" spans="3:66" x14ac:dyDescent="0.2"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</row>
    <row r="273" spans="3:66" x14ac:dyDescent="0.2"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</row>
    <row r="274" spans="3:66" x14ac:dyDescent="0.2"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</row>
    <row r="275" spans="3:66" x14ac:dyDescent="0.2"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</row>
    <row r="276" spans="3:66" x14ac:dyDescent="0.2"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</row>
    <row r="277" spans="3:66" x14ac:dyDescent="0.2"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</row>
    <row r="278" spans="3:66" x14ac:dyDescent="0.2"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</row>
    <row r="279" spans="3:66" x14ac:dyDescent="0.2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</row>
    <row r="280" spans="3:66" x14ac:dyDescent="0.2"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</row>
    <row r="281" spans="3:66" x14ac:dyDescent="0.2"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</row>
    <row r="282" spans="3:66" x14ac:dyDescent="0.2"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</row>
    <row r="283" spans="3:66" x14ac:dyDescent="0.2"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</row>
    <row r="284" spans="3:66" x14ac:dyDescent="0.2"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</row>
    <row r="285" spans="3:66" x14ac:dyDescent="0.2"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</row>
    <row r="286" spans="3:66" x14ac:dyDescent="0.2"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</row>
    <row r="287" spans="3:66" x14ac:dyDescent="0.2"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</row>
    <row r="288" spans="3:66" x14ac:dyDescent="0.2"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</row>
    <row r="289" spans="3:66" x14ac:dyDescent="0.2"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</row>
    <row r="290" spans="3:66" x14ac:dyDescent="0.2"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</row>
    <row r="291" spans="3:66" x14ac:dyDescent="0.2"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</row>
    <row r="292" spans="3:66" x14ac:dyDescent="0.2"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</row>
    <row r="293" spans="3:66" x14ac:dyDescent="0.2"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</row>
    <row r="294" spans="3:66" x14ac:dyDescent="0.2"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</row>
    <row r="295" spans="3:66" x14ac:dyDescent="0.2"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</row>
    <row r="296" spans="3:66" x14ac:dyDescent="0.2"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</row>
    <row r="297" spans="3:66" x14ac:dyDescent="0.2"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</row>
    <row r="298" spans="3:66" x14ac:dyDescent="0.2"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</row>
    <row r="299" spans="3:66" x14ac:dyDescent="0.2"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</row>
    <row r="300" spans="3:66" x14ac:dyDescent="0.2"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</row>
    <row r="301" spans="3:66" x14ac:dyDescent="0.2"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</row>
    <row r="302" spans="3:66" x14ac:dyDescent="0.2"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</row>
    <row r="303" spans="3:66" x14ac:dyDescent="0.2"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</row>
    <row r="304" spans="3:66" x14ac:dyDescent="0.2"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</row>
    <row r="305" spans="3:66" x14ac:dyDescent="0.2"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</row>
    <row r="306" spans="3:66" x14ac:dyDescent="0.2"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</row>
    <row r="307" spans="3:66" x14ac:dyDescent="0.2"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</row>
    <row r="308" spans="3:66" x14ac:dyDescent="0.2"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</row>
    <row r="309" spans="3:66" x14ac:dyDescent="0.2"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</row>
    <row r="310" spans="3:66" x14ac:dyDescent="0.2"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</row>
    <row r="311" spans="3:66" x14ac:dyDescent="0.2"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</row>
    <row r="312" spans="3:66" x14ac:dyDescent="0.2"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</row>
    <row r="313" spans="3:66" x14ac:dyDescent="0.2"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</row>
    <row r="314" spans="3:66" x14ac:dyDescent="0.2"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</row>
    <row r="315" spans="3:66" x14ac:dyDescent="0.2"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</row>
    <row r="316" spans="3:66" x14ac:dyDescent="0.2"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</row>
    <row r="317" spans="3:66" x14ac:dyDescent="0.2"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</row>
    <row r="318" spans="3:66" x14ac:dyDescent="0.2"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</row>
    <row r="319" spans="3:66" x14ac:dyDescent="0.2"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</row>
    <row r="320" spans="3:66" x14ac:dyDescent="0.2"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</row>
    <row r="321" spans="3:66" x14ac:dyDescent="0.2"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</row>
    <row r="322" spans="3:66" x14ac:dyDescent="0.2"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</row>
    <row r="323" spans="3:66" x14ac:dyDescent="0.2"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</row>
    <row r="324" spans="3:66" x14ac:dyDescent="0.2"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</row>
    <row r="325" spans="3:66" x14ac:dyDescent="0.2"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</row>
    <row r="326" spans="3:66" x14ac:dyDescent="0.2"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</row>
    <row r="327" spans="3:66" x14ac:dyDescent="0.2"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</row>
    <row r="328" spans="3:66" x14ac:dyDescent="0.2"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</row>
    <row r="329" spans="3:66" x14ac:dyDescent="0.2"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</row>
    <row r="330" spans="3:66" x14ac:dyDescent="0.2"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</row>
    <row r="331" spans="3:66" x14ac:dyDescent="0.2"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</row>
    <row r="332" spans="3:66" x14ac:dyDescent="0.2"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</row>
    <row r="333" spans="3:66" x14ac:dyDescent="0.2"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</row>
    <row r="334" spans="3:66" x14ac:dyDescent="0.2"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</row>
    <row r="335" spans="3:66" x14ac:dyDescent="0.2"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</row>
    <row r="336" spans="3:66" x14ac:dyDescent="0.2"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</row>
    <row r="337" spans="3:66" x14ac:dyDescent="0.2"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</row>
    <row r="338" spans="3:66" x14ac:dyDescent="0.2"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</row>
    <row r="339" spans="3:66" x14ac:dyDescent="0.2"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</row>
    <row r="340" spans="3:66" x14ac:dyDescent="0.2"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</row>
    <row r="341" spans="3:66" x14ac:dyDescent="0.2"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</row>
    <row r="342" spans="3:66" x14ac:dyDescent="0.2"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</row>
    <row r="343" spans="3:66" x14ac:dyDescent="0.2"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</row>
    <row r="344" spans="3:66" x14ac:dyDescent="0.2"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</row>
    <row r="345" spans="3:66" x14ac:dyDescent="0.2"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</row>
    <row r="346" spans="3:66" x14ac:dyDescent="0.2"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</row>
    <row r="347" spans="3:66" x14ac:dyDescent="0.2"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</row>
    <row r="348" spans="3:66" x14ac:dyDescent="0.2"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</row>
    <row r="349" spans="3:66" x14ac:dyDescent="0.2"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</row>
    <row r="350" spans="3:66" x14ac:dyDescent="0.2"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</row>
    <row r="351" spans="3:66" x14ac:dyDescent="0.2"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</row>
    <row r="352" spans="3:66" x14ac:dyDescent="0.2"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</row>
    <row r="353" spans="3:66" x14ac:dyDescent="0.2"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</row>
    <row r="354" spans="3:66" x14ac:dyDescent="0.2"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</row>
    <row r="355" spans="3:66" x14ac:dyDescent="0.2"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</row>
    <row r="356" spans="3:66" x14ac:dyDescent="0.2"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</row>
    <row r="357" spans="3:66" x14ac:dyDescent="0.2"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</row>
    <row r="358" spans="3:66" x14ac:dyDescent="0.2"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</row>
    <row r="359" spans="3:66" x14ac:dyDescent="0.2"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</row>
    <row r="360" spans="3:66" x14ac:dyDescent="0.2"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</row>
    <row r="361" spans="3:66" x14ac:dyDescent="0.2"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</row>
    <row r="362" spans="3:66" x14ac:dyDescent="0.2"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</row>
    <row r="363" spans="3:66" x14ac:dyDescent="0.2"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</row>
    <row r="364" spans="3:66" x14ac:dyDescent="0.2"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</row>
    <row r="365" spans="3:66" x14ac:dyDescent="0.2"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</row>
    <row r="366" spans="3:66" x14ac:dyDescent="0.2"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</row>
    <row r="367" spans="3:66" x14ac:dyDescent="0.2"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</row>
    <row r="368" spans="3:66" x14ac:dyDescent="0.2"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</row>
    <row r="369" spans="3:66" x14ac:dyDescent="0.2"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</row>
    <row r="370" spans="3:66" x14ac:dyDescent="0.2"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</row>
    <row r="371" spans="3:66" x14ac:dyDescent="0.2"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</row>
    <row r="372" spans="3:66" x14ac:dyDescent="0.2"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</row>
    <row r="373" spans="3:66" x14ac:dyDescent="0.2"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</row>
    <row r="374" spans="3:66" x14ac:dyDescent="0.2"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</row>
    <row r="375" spans="3:66" x14ac:dyDescent="0.2"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</row>
    <row r="376" spans="3:66" x14ac:dyDescent="0.2"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</row>
    <row r="377" spans="3:66" x14ac:dyDescent="0.2"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</row>
    <row r="378" spans="3:66" x14ac:dyDescent="0.2"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</row>
    <row r="379" spans="3:66" x14ac:dyDescent="0.2"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</row>
    <row r="380" spans="3:66" x14ac:dyDescent="0.2"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</row>
    <row r="381" spans="3:66" x14ac:dyDescent="0.2"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</row>
    <row r="382" spans="3:66" x14ac:dyDescent="0.2"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</row>
    <row r="383" spans="3:66" x14ac:dyDescent="0.2"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</row>
    <row r="384" spans="3:66" x14ac:dyDescent="0.2"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</row>
    <row r="385" spans="3:66" x14ac:dyDescent="0.2"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</row>
    <row r="386" spans="3:66" x14ac:dyDescent="0.2"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</row>
    <row r="387" spans="3:66" x14ac:dyDescent="0.2"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</row>
    <row r="388" spans="3:66" x14ac:dyDescent="0.2"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</row>
    <row r="389" spans="3:66" x14ac:dyDescent="0.2"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</row>
    <row r="390" spans="3:66" x14ac:dyDescent="0.2"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</row>
    <row r="391" spans="3:66" x14ac:dyDescent="0.2"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</row>
    <row r="392" spans="3:66" x14ac:dyDescent="0.2"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</row>
    <row r="393" spans="3:66" x14ac:dyDescent="0.2"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</row>
    <row r="394" spans="3:66" x14ac:dyDescent="0.2"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</row>
    <row r="395" spans="3:66" x14ac:dyDescent="0.2"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</row>
    <row r="396" spans="3:66" x14ac:dyDescent="0.2"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</row>
    <row r="397" spans="3:66" x14ac:dyDescent="0.2"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</row>
    <row r="398" spans="3:66" x14ac:dyDescent="0.2"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</row>
    <row r="399" spans="3:66" x14ac:dyDescent="0.2"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</row>
    <row r="400" spans="3:66" x14ac:dyDescent="0.2"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</row>
    <row r="401" spans="3:66" x14ac:dyDescent="0.2"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</row>
    <row r="402" spans="3:66" x14ac:dyDescent="0.2"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</row>
    <row r="403" spans="3:66" x14ac:dyDescent="0.2"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</row>
    <row r="404" spans="3:66" x14ac:dyDescent="0.2"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</row>
    <row r="405" spans="3:66" x14ac:dyDescent="0.2"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</row>
    <row r="406" spans="3:66" x14ac:dyDescent="0.2"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 spans="3:66" x14ac:dyDescent="0.2"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 spans="3:66" x14ac:dyDescent="0.2"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 spans="3:66" x14ac:dyDescent="0.2"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 spans="3:66" x14ac:dyDescent="0.2"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 spans="3:66" x14ac:dyDescent="0.2"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 spans="3:66" x14ac:dyDescent="0.2"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 spans="3:66" x14ac:dyDescent="0.2"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 spans="3:66" x14ac:dyDescent="0.2"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 spans="3:66" x14ac:dyDescent="0.2"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 spans="3:66" x14ac:dyDescent="0.2"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 spans="3:23" x14ac:dyDescent="0.2"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 spans="3:23" x14ac:dyDescent="0.2"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 spans="3:23" x14ac:dyDescent="0.2"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 spans="3:23" x14ac:dyDescent="0.2"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 spans="3:23" x14ac:dyDescent="0.2"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 spans="3:23" x14ac:dyDescent="0.2"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 spans="3:23" x14ac:dyDescent="0.2"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 spans="3:23" x14ac:dyDescent="0.2"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 spans="3:23" x14ac:dyDescent="0.2"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 spans="3:23" x14ac:dyDescent="0.2"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 spans="3:23" x14ac:dyDescent="0.2"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 spans="3:23" x14ac:dyDescent="0.2"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 spans="3:23" x14ac:dyDescent="0.2"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 spans="3:23" x14ac:dyDescent="0.2"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 spans="3:23" x14ac:dyDescent="0.2"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 spans="3:23" x14ac:dyDescent="0.2"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 spans="3:23" x14ac:dyDescent="0.2"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 spans="3:23" x14ac:dyDescent="0.2"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 spans="3:23" x14ac:dyDescent="0.2"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 spans="3:23" x14ac:dyDescent="0.2"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 spans="3:23" x14ac:dyDescent="0.2"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 spans="3:23" x14ac:dyDescent="0.2"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 spans="3:23" x14ac:dyDescent="0.2"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 spans="3:23" x14ac:dyDescent="0.2"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 spans="3:23" x14ac:dyDescent="0.2"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 spans="3:23" x14ac:dyDescent="0.2"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 spans="3:23" x14ac:dyDescent="0.2"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 spans="3:23" x14ac:dyDescent="0.2"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 spans="3:23" x14ac:dyDescent="0.2"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 spans="3:23" x14ac:dyDescent="0.2"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 spans="3:23" x14ac:dyDescent="0.2"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 spans="3:23" x14ac:dyDescent="0.2"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 spans="3:23" x14ac:dyDescent="0.2"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 spans="3:23" x14ac:dyDescent="0.2"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 spans="3:23" x14ac:dyDescent="0.2"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 spans="3:23" x14ac:dyDescent="0.2"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 spans="3:23" x14ac:dyDescent="0.2"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 spans="3:23" x14ac:dyDescent="0.2"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 spans="3:23" x14ac:dyDescent="0.2"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 spans="3:23" x14ac:dyDescent="0.2"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 spans="3:23" x14ac:dyDescent="0.2"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 spans="3:23" x14ac:dyDescent="0.2"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 spans="3:23" x14ac:dyDescent="0.2"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 spans="3:23" x14ac:dyDescent="0.2"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 spans="3:23" x14ac:dyDescent="0.2"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 spans="3:23" x14ac:dyDescent="0.2"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 spans="3:23" x14ac:dyDescent="0.2"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 spans="3:23" x14ac:dyDescent="0.2"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 spans="3:23" x14ac:dyDescent="0.2"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 spans="3:23" x14ac:dyDescent="0.2"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 spans="3:23" x14ac:dyDescent="0.2"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 spans="3:23" x14ac:dyDescent="0.2"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 spans="3:23" x14ac:dyDescent="0.2"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 spans="3:23" x14ac:dyDescent="0.2"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 spans="3:23" x14ac:dyDescent="0.2"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 spans="3:23" x14ac:dyDescent="0.2"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 spans="3:23" x14ac:dyDescent="0.2"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 spans="3:23" x14ac:dyDescent="0.2"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 spans="3:23" x14ac:dyDescent="0.2"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 spans="3:23" x14ac:dyDescent="0.2"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 spans="3:23" x14ac:dyDescent="0.2"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 spans="3:23" x14ac:dyDescent="0.2"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 spans="3:23" x14ac:dyDescent="0.2"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 spans="3:23" x14ac:dyDescent="0.2"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 spans="3:23" x14ac:dyDescent="0.2"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 spans="3:23" x14ac:dyDescent="0.2"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 spans="3:23" x14ac:dyDescent="0.2"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 spans="3:23" x14ac:dyDescent="0.2"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 spans="3:23" x14ac:dyDescent="0.2"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 spans="3:23" x14ac:dyDescent="0.2"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 spans="3:23" x14ac:dyDescent="0.2"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 spans="3:23" x14ac:dyDescent="0.2"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 spans="3:23" x14ac:dyDescent="0.2"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 spans="3:23" x14ac:dyDescent="0.2"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 spans="3:23" x14ac:dyDescent="0.2"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 spans="3:23" x14ac:dyDescent="0.2"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 spans="3:23" x14ac:dyDescent="0.2"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 spans="3:23" x14ac:dyDescent="0.2"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 spans="3:23" x14ac:dyDescent="0.2"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 spans="3:23" x14ac:dyDescent="0.2"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 spans="3:23" x14ac:dyDescent="0.2"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 spans="3:23" x14ac:dyDescent="0.2"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 spans="3:23" x14ac:dyDescent="0.2"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 spans="3:23" x14ac:dyDescent="0.2"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3:23" x14ac:dyDescent="0.2"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3:23" x14ac:dyDescent="0.2"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3:23" x14ac:dyDescent="0.2"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3:23" x14ac:dyDescent="0.2"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3:23" x14ac:dyDescent="0.2"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3:23" x14ac:dyDescent="0.2"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3:23" x14ac:dyDescent="0.2"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3:23" x14ac:dyDescent="0.2"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3:23" x14ac:dyDescent="0.2"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3:23" x14ac:dyDescent="0.2"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3:23" x14ac:dyDescent="0.2"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3:23" x14ac:dyDescent="0.2"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3:22" x14ac:dyDescent="0.2"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3:22" x14ac:dyDescent="0.2"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3:22" x14ac:dyDescent="0.2"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3:22" x14ac:dyDescent="0.2"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3:22" x14ac:dyDescent="0.2"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3:22" x14ac:dyDescent="0.2"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3:22" x14ac:dyDescent="0.2"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3:22" x14ac:dyDescent="0.2"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3:22" x14ac:dyDescent="0.2"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3:22" x14ac:dyDescent="0.2"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3:22" x14ac:dyDescent="0.2"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3:22" x14ac:dyDescent="0.2"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3:22" x14ac:dyDescent="0.2"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3:22" x14ac:dyDescent="0.2"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3:22" x14ac:dyDescent="0.2"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3:22" x14ac:dyDescent="0.2"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3:22" x14ac:dyDescent="0.2"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3:22" x14ac:dyDescent="0.2"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3:22" x14ac:dyDescent="0.2"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3:22" x14ac:dyDescent="0.2"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3:22" x14ac:dyDescent="0.2"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3:22" x14ac:dyDescent="0.2"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3:22" x14ac:dyDescent="0.2"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3:22" x14ac:dyDescent="0.2"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3:22" x14ac:dyDescent="0.2"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3:22" x14ac:dyDescent="0.2"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3:22" x14ac:dyDescent="0.2"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3:22" x14ac:dyDescent="0.2"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3:22" x14ac:dyDescent="0.2"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3:22" x14ac:dyDescent="0.2"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3:22" x14ac:dyDescent="0.2"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3:22" x14ac:dyDescent="0.2"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3:22" x14ac:dyDescent="0.2"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3:22" x14ac:dyDescent="0.2"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3:22" x14ac:dyDescent="0.2"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3:22" x14ac:dyDescent="0.2"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3:22" x14ac:dyDescent="0.2"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3:22" x14ac:dyDescent="0.2"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3:22" x14ac:dyDescent="0.2"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3:22" x14ac:dyDescent="0.2"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3:22" x14ac:dyDescent="0.2"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3:22" x14ac:dyDescent="0.2"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3:22" x14ac:dyDescent="0.2"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3:22" x14ac:dyDescent="0.2"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3:22" x14ac:dyDescent="0.2"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3:22" x14ac:dyDescent="0.2"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3:22" x14ac:dyDescent="0.2"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3:22" x14ac:dyDescent="0.2"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3:22" x14ac:dyDescent="0.2"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3:22" x14ac:dyDescent="0.2"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3:22" x14ac:dyDescent="0.2"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3:22" x14ac:dyDescent="0.2"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3:22" x14ac:dyDescent="0.2"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3:22" x14ac:dyDescent="0.2"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3:22" x14ac:dyDescent="0.2"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3:22" x14ac:dyDescent="0.2"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3:22" x14ac:dyDescent="0.2"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3:22" x14ac:dyDescent="0.2"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3:22" x14ac:dyDescent="0.2"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3:22" x14ac:dyDescent="0.2"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3:22" x14ac:dyDescent="0.2"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3:22" x14ac:dyDescent="0.2"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3:22" x14ac:dyDescent="0.2"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3:22" x14ac:dyDescent="0.2"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3:22" x14ac:dyDescent="0.2"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3:22" x14ac:dyDescent="0.2"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3:22" x14ac:dyDescent="0.2"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3:22" x14ac:dyDescent="0.2"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3:22" x14ac:dyDescent="0.2"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3:22" x14ac:dyDescent="0.2"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3:22" x14ac:dyDescent="0.2"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3:22" x14ac:dyDescent="0.2"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3:22" x14ac:dyDescent="0.2"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3:22" x14ac:dyDescent="0.2"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3:22" x14ac:dyDescent="0.2"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3:22" x14ac:dyDescent="0.2"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3:22" x14ac:dyDescent="0.2"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3:22" x14ac:dyDescent="0.2"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3:22" x14ac:dyDescent="0.2"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3:22" x14ac:dyDescent="0.2"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3:22" x14ac:dyDescent="0.2"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3:22" x14ac:dyDescent="0.2"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3:22" x14ac:dyDescent="0.2"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3:22" x14ac:dyDescent="0.2"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3:22" x14ac:dyDescent="0.2"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3:22" x14ac:dyDescent="0.2"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3:22" x14ac:dyDescent="0.2"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3:22" x14ac:dyDescent="0.2"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3:22" x14ac:dyDescent="0.2"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3:22" x14ac:dyDescent="0.2"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3:22" x14ac:dyDescent="0.2"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3:22" x14ac:dyDescent="0.2"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3:22" x14ac:dyDescent="0.2"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3:22" x14ac:dyDescent="0.2"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3:22" x14ac:dyDescent="0.2"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3:22" x14ac:dyDescent="0.2"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3:22" x14ac:dyDescent="0.2"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3:22" x14ac:dyDescent="0.2"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3:22" x14ac:dyDescent="0.2"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3:22" x14ac:dyDescent="0.2"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3:22" x14ac:dyDescent="0.2"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3:22" x14ac:dyDescent="0.2"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3:22" x14ac:dyDescent="0.2"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3:22" x14ac:dyDescent="0.2"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3:22" x14ac:dyDescent="0.2"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3:22" x14ac:dyDescent="0.2"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3:22" x14ac:dyDescent="0.2"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3:22" x14ac:dyDescent="0.2"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3:22" x14ac:dyDescent="0.2"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3:22" x14ac:dyDescent="0.2"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3:22" x14ac:dyDescent="0.2"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3:22" x14ac:dyDescent="0.2"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3:22" x14ac:dyDescent="0.2"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3:22" x14ac:dyDescent="0.2"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3:22" x14ac:dyDescent="0.2"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3:22" x14ac:dyDescent="0.2"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3:22" x14ac:dyDescent="0.2"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3:22" x14ac:dyDescent="0.2"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3:22" x14ac:dyDescent="0.2"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3:22" x14ac:dyDescent="0.2"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3:22" x14ac:dyDescent="0.2"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3:22" x14ac:dyDescent="0.2"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3:22" x14ac:dyDescent="0.2"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3:22" x14ac:dyDescent="0.2"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3:22" x14ac:dyDescent="0.2"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3:22" x14ac:dyDescent="0.2"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3:22" x14ac:dyDescent="0.2"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3:22" x14ac:dyDescent="0.2"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3:22" x14ac:dyDescent="0.2"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3:22" x14ac:dyDescent="0.2"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3:22" x14ac:dyDescent="0.2"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3:22" x14ac:dyDescent="0.2"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3:22" x14ac:dyDescent="0.2"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3:22" x14ac:dyDescent="0.2"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3:22" x14ac:dyDescent="0.2"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3:22" x14ac:dyDescent="0.2"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3:22" x14ac:dyDescent="0.2"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3:22" x14ac:dyDescent="0.2"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3:22" x14ac:dyDescent="0.2"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3:22" x14ac:dyDescent="0.2"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3:22" x14ac:dyDescent="0.2"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3:22" x14ac:dyDescent="0.2"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3:22" x14ac:dyDescent="0.2"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3:22" x14ac:dyDescent="0.2"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3:22" x14ac:dyDescent="0.2"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3:22" x14ac:dyDescent="0.2"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3:22" x14ac:dyDescent="0.2"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3:22" x14ac:dyDescent="0.2"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3:22" x14ac:dyDescent="0.2"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3:22" x14ac:dyDescent="0.2"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3:22" x14ac:dyDescent="0.2"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3:22" x14ac:dyDescent="0.2"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3:22" x14ac:dyDescent="0.2"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3:22" x14ac:dyDescent="0.2"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3:22" x14ac:dyDescent="0.2"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</sheetData>
  <hyperlinks>
    <hyperlink ref="A1" location="Main!A1" display="Main" xr:uid="{B784DC28-A0A6-4398-AF85-C72C076B512D}"/>
  </hyperlink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D06B-D06B-4F74-A6A9-713B12E075E8}">
  <dimension ref="A1:F13"/>
  <sheetViews>
    <sheetView zoomScale="200" zoomScaleNormal="200" workbookViewId="0">
      <selection activeCell="C9" sqref="C9"/>
    </sheetView>
  </sheetViews>
  <sheetFormatPr defaultRowHeight="12.75" x14ac:dyDescent="0.2"/>
  <cols>
    <col min="1" max="1" width="5.42578125" style="2" bestFit="1" customWidth="1"/>
    <col min="2" max="2" width="18.5703125" style="2" bestFit="1" customWidth="1"/>
    <col min="3" max="3" width="12.140625" style="2" bestFit="1" customWidth="1"/>
    <col min="4" max="16384" width="9.140625" style="2"/>
  </cols>
  <sheetData>
    <row r="1" spans="1:6" x14ac:dyDescent="0.2">
      <c r="A1" s="1" t="s">
        <v>11</v>
      </c>
    </row>
    <row r="2" spans="1:6" x14ac:dyDescent="0.2">
      <c r="B2" s="3"/>
    </row>
    <row r="3" spans="1:6" x14ac:dyDescent="0.2">
      <c r="B3" s="4" t="s">
        <v>63</v>
      </c>
      <c r="C3" s="4" t="s">
        <v>61</v>
      </c>
      <c r="D3" s="4" t="s">
        <v>67</v>
      </c>
      <c r="E3" s="4" t="s">
        <v>60</v>
      </c>
      <c r="F3" s="4" t="s">
        <v>12</v>
      </c>
    </row>
    <row r="4" spans="1:6" x14ac:dyDescent="0.2">
      <c r="B4" s="2" t="s">
        <v>56</v>
      </c>
      <c r="C4" s="2">
        <v>282.7</v>
      </c>
      <c r="D4" s="5">
        <f>+C4/$C$10</f>
        <v>0.333254744783685</v>
      </c>
    </row>
    <row r="5" spans="1:6" x14ac:dyDescent="0.2">
      <c r="B5" s="2" t="s">
        <v>57</v>
      </c>
      <c r="C5" s="2">
        <v>158.19999999999999</v>
      </c>
      <c r="D5" s="5">
        <f t="shared" ref="D5:D10" si="0">+C5/$C$10</f>
        <v>0.18649062831545443</v>
      </c>
    </row>
    <row r="6" spans="1:6" x14ac:dyDescent="0.2">
      <c r="B6" s="2" t="s">
        <v>58</v>
      </c>
      <c r="C6" s="2">
        <v>71.900000000000006</v>
      </c>
      <c r="D6" s="5">
        <f t="shared" si="0"/>
        <v>8.4757750795709075E-2</v>
      </c>
    </row>
    <row r="7" spans="1:6" x14ac:dyDescent="0.2">
      <c r="B7" s="2" t="s">
        <v>65</v>
      </c>
      <c r="C7" s="2">
        <v>110.5</v>
      </c>
      <c r="D7" s="5">
        <f t="shared" si="0"/>
        <v>0.13026052104208419</v>
      </c>
    </row>
    <row r="8" spans="1:6" x14ac:dyDescent="0.2">
      <c r="B8" s="2" t="s">
        <v>62</v>
      </c>
      <c r="C8" s="2">
        <v>25</v>
      </c>
      <c r="D8" s="5">
        <f t="shared" si="0"/>
        <v>2.9470706118118591E-2</v>
      </c>
    </row>
    <row r="9" spans="1:6" x14ac:dyDescent="0.2">
      <c r="B9" s="6" t="s">
        <v>66</v>
      </c>
      <c r="C9" s="6">
        <v>200</v>
      </c>
      <c r="D9" s="7">
        <f t="shared" si="0"/>
        <v>0.23576564894494872</v>
      </c>
      <c r="E9" s="6"/>
      <c r="F9" s="6"/>
    </row>
    <row r="10" spans="1:6" x14ac:dyDescent="0.2">
      <c r="B10" s="3" t="s">
        <v>68</v>
      </c>
      <c r="C10" s="3">
        <f>+SUM(C4:C9)</f>
        <v>848.3</v>
      </c>
      <c r="D10" s="8">
        <f t="shared" si="0"/>
        <v>1</v>
      </c>
      <c r="E10" s="3"/>
      <c r="F10" s="3"/>
    </row>
    <row r="12" spans="1:6" x14ac:dyDescent="0.2">
      <c r="B12" s="9" t="s">
        <v>64</v>
      </c>
    </row>
    <row r="13" spans="1:6" x14ac:dyDescent="0.2">
      <c r="B13" s="2" t="s">
        <v>59</v>
      </c>
      <c r="C13" s="2">
        <v>252</v>
      </c>
    </row>
  </sheetData>
  <hyperlinks>
    <hyperlink ref="A1" location="Main!A1" display="Main" xr:uid="{CD919E26-85B8-449C-BC18-FF6FB9182236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Streaming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2024-09-30T07:35:24Z</dcterms:created>
  <dcterms:modified xsi:type="dcterms:W3CDTF">2026-07-18T16:14:12Z</dcterms:modified>
</cp:coreProperties>
</file>