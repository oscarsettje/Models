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AB5E3BC7-7AFC-4B72-941A-28415D673065}" xr6:coauthVersionLast="47" xr6:coauthVersionMax="47" xr10:uidLastSave="{00000000-0000-0000-0000-000000000000}"/>
  <bookViews>
    <workbookView xWindow="19095" yWindow="0" windowWidth="19410" windowHeight="20985" xr2:uid="{2536FD49-C228-45BB-BAA0-A0BFE1B4D82F}"/>
  </bookViews>
  <sheets>
    <sheet name="Main" sheetId="1" r:id="rId1"/>
    <sheet name="Model" sheetId="2" r:id="rId2"/>
    <sheet name="Rati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1" i="2" l="1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R3" i="2"/>
  <c r="AA116" i="2"/>
  <c r="AA114" i="2"/>
  <c r="AA113" i="2"/>
  <c r="Z114" i="2"/>
  <c r="Z113" i="2"/>
  <c r="Y114" i="2"/>
  <c r="AA112" i="2"/>
  <c r="AA110" i="2"/>
  <c r="AA103" i="2"/>
  <c r="AA95" i="2"/>
  <c r="AA94" i="2"/>
  <c r="AA79" i="2"/>
  <c r="AA76" i="2"/>
  <c r="AA73" i="2"/>
  <c r="AA74" i="2" s="1"/>
  <c r="AA66" i="2"/>
  <c r="AA57" i="2"/>
  <c r="AA56" i="2"/>
  <c r="AA49" i="2"/>
  <c r="H6" i="1"/>
  <c r="H5" i="1"/>
  <c r="AA42" i="2"/>
  <c r="AA41" i="2"/>
  <c r="AA40" i="2"/>
  <c r="AA39" i="2"/>
  <c r="AA38" i="2"/>
  <c r="AA37" i="2"/>
  <c r="AA36" i="2"/>
  <c r="AA35" i="2"/>
  <c r="AA34" i="2"/>
  <c r="AA31" i="2"/>
  <c r="AA29" i="2"/>
  <c r="AA27" i="2"/>
  <c r="AA25" i="2"/>
  <c r="AA21" i="2"/>
  <c r="Q42" i="2"/>
  <c r="Q41" i="2"/>
  <c r="Q40" i="2"/>
  <c r="Q39" i="2"/>
  <c r="Q38" i="2"/>
  <c r="Q37" i="2"/>
  <c r="Q36" i="2"/>
  <c r="Q35" i="2"/>
  <c r="Q34" i="2"/>
  <c r="Q31" i="2"/>
  <c r="Q29" i="2"/>
  <c r="Q27" i="2"/>
  <c r="Q25" i="2"/>
  <c r="Q21" i="2"/>
  <c r="Q18" i="2"/>
  <c r="P42" i="2"/>
  <c r="P41" i="2"/>
  <c r="P40" i="2"/>
  <c r="P39" i="2"/>
  <c r="P38" i="2"/>
  <c r="P37" i="2"/>
  <c r="P36" i="2"/>
  <c r="P35" i="2"/>
  <c r="P34" i="2"/>
  <c r="P31" i="2"/>
  <c r="P29" i="2"/>
  <c r="P27" i="2"/>
  <c r="P25" i="2"/>
  <c r="P21" i="2"/>
  <c r="P18" i="2"/>
  <c r="Y34" i="2"/>
  <c r="X34" i="2"/>
  <c r="W34" i="2"/>
  <c r="V34" i="2"/>
  <c r="U34" i="2"/>
  <c r="Z34" i="2"/>
  <c r="N34" i="2"/>
  <c r="M34" i="2"/>
  <c r="L34" i="2"/>
  <c r="K34" i="2"/>
  <c r="J34" i="2"/>
  <c r="I34" i="2"/>
  <c r="H34" i="2"/>
  <c r="G34" i="2"/>
  <c r="O34" i="2"/>
  <c r="O39" i="2"/>
  <c r="O38" i="2"/>
  <c r="O36" i="2"/>
  <c r="O35" i="2"/>
  <c r="O18" i="2"/>
  <c r="O21" i="2" s="1"/>
  <c r="N32" i="2"/>
  <c r="N28" i="2"/>
  <c r="N26" i="2"/>
  <c r="N24" i="2"/>
  <c r="N23" i="2"/>
  <c r="N22" i="2"/>
  <c r="N20" i="2"/>
  <c r="N19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Z110" i="2"/>
  <c r="Z103" i="2"/>
  <c r="Z94" i="2"/>
  <c r="Z73" i="2"/>
  <c r="Z66" i="2"/>
  <c r="Z56" i="2"/>
  <c r="Z49" i="2"/>
  <c r="Z57" i="2" s="1"/>
  <c r="Z39" i="2"/>
  <c r="Z38" i="2"/>
  <c r="Z36" i="2"/>
  <c r="Z35" i="2"/>
  <c r="Z18" i="2"/>
  <c r="Z21" i="2" s="1"/>
  <c r="K18" i="2"/>
  <c r="H4" i="1"/>
  <c r="O40" i="2" l="1"/>
  <c r="O25" i="2"/>
  <c r="Z74" i="2"/>
  <c r="Z76" i="2" s="1"/>
  <c r="Z25" i="2"/>
  <c r="Z40" i="2"/>
  <c r="U102" i="2"/>
  <c r="V102" i="2"/>
  <c r="T39" i="2"/>
  <c r="T38" i="2"/>
  <c r="U36" i="2"/>
  <c r="U38" i="2"/>
  <c r="U39" i="2"/>
  <c r="O27" i="2" l="1"/>
  <c r="O41" i="2"/>
  <c r="Z116" i="2"/>
  <c r="Z27" i="2"/>
  <c r="Z41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F28" i="2"/>
  <c r="F26" i="2"/>
  <c r="F24" i="2"/>
  <c r="F23" i="2"/>
  <c r="F22" i="2"/>
  <c r="F20" i="2"/>
  <c r="F19" i="2"/>
  <c r="F17" i="2"/>
  <c r="F16" i="2"/>
  <c r="I35" i="2" s="1"/>
  <c r="J28" i="2"/>
  <c r="J26" i="2"/>
  <c r="J24" i="2"/>
  <c r="J23" i="2"/>
  <c r="J22" i="2"/>
  <c r="J20" i="2"/>
  <c r="J19" i="2"/>
  <c r="J17" i="2"/>
  <c r="J36" i="2" s="1"/>
  <c r="J16" i="2"/>
  <c r="J35" i="2" s="1"/>
  <c r="J32" i="2"/>
  <c r="F32" i="2"/>
  <c r="E18" i="2"/>
  <c r="E21" i="2" s="1"/>
  <c r="N36" i="2"/>
  <c r="L36" i="2"/>
  <c r="K36" i="2"/>
  <c r="N35" i="2"/>
  <c r="L35" i="2"/>
  <c r="K35" i="2"/>
  <c r="H36" i="2"/>
  <c r="G36" i="2"/>
  <c r="H35" i="2"/>
  <c r="G35" i="2"/>
  <c r="N39" i="2"/>
  <c r="M39" i="2"/>
  <c r="L39" i="2"/>
  <c r="K39" i="2"/>
  <c r="I39" i="2"/>
  <c r="H39" i="2"/>
  <c r="G39" i="2"/>
  <c r="E39" i="2"/>
  <c r="D39" i="2"/>
  <c r="C39" i="2"/>
  <c r="N38" i="2"/>
  <c r="M38" i="2"/>
  <c r="L38" i="2"/>
  <c r="K38" i="2"/>
  <c r="I38" i="2"/>
  <c r="H38" i="2"/>
  <c r="G38" i="2"/>
  <c r="E38" i="2"/>
  <c r="D38" i="2"/>
  <c r="C38" i="2"/>
  <c r="X39" i="2"/>
  <c r="W39" i="2"/>
  <c r="V39" i="2"/>
  <c r="X38" i="2"/>
  <c r="W38" i="2"/>
  <c r="V38" i="2"/>
  <c r="Y39" i="2"/>
  <c r="Y38" i="2"/>
  <c r="N18" i="2"/>
  <c r="N21" i="2" s="1"/>
  <c r="N25" i="2" s="1"/>
  <c r="N27" i="2" s="1"/>
  <c r="N29" i="2" s="1"/>
  <c r="N31" i="2" s="1"/>
  <c r="M18" i="2"/>
  <c r="M21" i="2" s="1"/>
  <c r="M25" i="2" s="1"/>
  <c r="M27" i="2" s="1"/>
  <c r="M29" i="2" s="1"/>
  <c r="M31" i="2" s="1"/>
  <c r="L18" i="2"/>
  <c r="K21" i="2"/>
  <c r="K25" i="2" s="1"/>
  <c r="K27" i="2" s="1"/>
  <c r="K29" i="2" s="1"/>
  <c r="K31" i="2" s="1"/>
  <c r="I18" i="2"/>
  <c r="I21" i="2" s="1"/>
  <c r="I25" i="2" s="1"/>
  <c r="I27" i="2" s="1"/>
  <c r="I29" i="2" s="1"/>
  <c r="I31" i="2" s="1"/>
  <c r="H18" i="2"/>
  <c r="H21" i="2" s="1"/>
  <c r="H25" i="2" s="1"/>
  <c r="H27" i="2" s="1"/>
  <c r="H29" i="2" s="1"/>
  <c r="H31" i="2" s="1"/>
  <c r="G18" i="2"/>
  <c r="G21" i="2" s="1"/>
  <c r="G25" i="2" s="1"/>
  <c r="G27" i="2" s="1"/>
  <c r="G29" i="2" s="1"/>
  <c r="G31" i="2" s="1"/>
  <c r="D18" i="2"/>
  <c r="D21" i="2" s="1"/>
  <c r="D25" i="2" s="1"/>
  <c r="D27" i="2" s="1"/>
  <c r="D29" i="2" s="1"/>
  <c r="D31" i="2" s="1"/>
  <c r="C18" i="2"/>
  <c r="C21" i="2" s="1"/>
  <c r="C25" i="2" s="1"/>
  <c r="C27" i="2" s="1"/>
  <c r="C29" i="2" s="1"/>
  <c r="C31" i="2" s="1"/>
  <c r="X114" i="2"/>
  <c r="X110" i="2"/>
  <c r="W110" i="2"/>
  <c r="V110" i="2"/>
  <c r="U110" i="2"/>
  <c r="T110" i="2"/>
  <c r="Y110" i="2"/>
  <c r="X103" i="2"/>
  <c r="W103" i="2"/>
  <c r="V103" i="2"/>
  <c r="U103" i="2"/>
  <c r="T103" i="2"/>
  <c r="Y103" i="2"/>
  <c r="X94" i="2"/>
  <c r="W94" i="2"/>
  <c r="V94" i="2"/>
  <c r="U94" i="2"/>
  <c r="T94" i="2"/>
  <c r="Y94" i="2"/>
  <c r="X73" i="2"/>
  <c r="W73" i="2"/>
  <c r="V73" i="2"/>
  <c r="U73" i="2"/>
  <c r="T73" i="2"/>
  <c r="Y73" i="2"/>
  <c r="X66" i="2"/>
  <c r="W66" i="2"/>
  <c r="V66" i="2"/>
  <c r="U66" i="2"/>
  <c r="T66" i="2"/>
  <c r="Y66" i="2"/>
  <c r="W49" i="2"/>
  <c r="V49" i="2"/>
  <c r="U49" i="2"/>
  <c r="T49" i="2"/>
  <c r="X56" i="2"/>
  <c r="W56" i="2"/>
  <c r="V56" i="2"/>
  <c r="U56" i="2"/>
  <c r="T56" i="2"/>
  <c r="Y56" i="2"/>
  <c r="X49" i="2"/>
  <c r="Y49" i="2"/>
  <c r="X36" i="2"/>
  <c r="W36" i="2"/>
  <c r="V36" i="2"/>
  <c r="X35" i="2"/>
  <c r="W35" i="2"/>
  <c r="V35" i="2"/>
  <c r="U35" i="2"/>
  <c r="Y36" i="2"/>
  <c r="Y35" i="2"/>
  <c r="X18" i="2"/>
  <c r="W18" i="2"/>
  <c r="W21" i="2" s="1"/>
  <c r="W25" i="2" s="1"/>
  <c r="W27" i="2" s="1"/>
  <c r="V18" i="2"/>
  <c r="V21" i="2" s="1"/>
  <c r="V25" i="2" s="1"/>
  <c r="U18" i="2"/>
  <c r="T18" i="2"/>
  <c r="T21" i="2" s="1"/>
  <c r="T40" i="2" s="1"/>
  <c r="Y18" i="2"/>
  <c r="Z37" i="2" s="1"/>
  <c r="H7" i="1"/>
  <c r="L21" i="2" l="1"/>
  <c r="L25" i="2" s="1"/>
  <c r="L27" i="2" s="1"/>
  <c r="L29" i="2" s="1"/>
  <c r="L31" i="2" s="1"/>
  <c r="O37" i="2"/>
  <c r="O42" i="2"/>
  <c r="O29" i="2"/>
  <c r="O31" i="2" s="1"/>
  <c r="Z42" i="2"/>
  <c r="Z29" i="2"/>
  <c r="U37" i="2"/>
  <c r="Y21" i="2"/>
  <c r="C11" i="1"/>
  <c r="C10" i="1"/>
  <c r="C9" i="1"/>
  <c r="M35" i="2"/>
  <c r="F18" i="2"/>
  <c r="F21" i="2" s="1"/>
  <c r="F25" i="2" s="1"/>
  <c r="F27" i="2" s="1"/>
  <c r="F29" i="2" s="1"/>
  <c r="F31" i="2" s="1"/>
  <c r="J39" i="2"/>
  <c r="L41" i="2"/>
  <c r="J18" i="2"/>
  <c r="M37" i="2" s="1"/>
  <c r="M36" i="2"/>
  <c r="F38" i="2"/>
  <c r="N41" i="2"/>
  <c r="L37" i="2"/>
  <c r="I42" i="2"/>
  <c r="F39" i="2"/>
  <c r="I40" i="2"/>
  <c r="V116" i="2"/>
  <c r="M41" i="2"/>
  <c r="W74" i="2"/>
  <c r="W76" i="2" s="1"/>
  <c r="I36" i="2"/>
  <c r="K40" i="2"/>
  <c r="L40" i="2"/>
  <c r="N40" i="2"/>
  <c r="L42" i="2"/>
  <c r="N37" i="2"/>
  <c r="I41" i="2"/>
  <c r="M42" i="2"/>
  <c r="J38" i="2"/>
  <c r="M40" i="2"/>
  <c r="K42" i="2"/>
  <c r="U74" i="2"/>
  <c r="U76" i="2" s="1"/>
  <c r="K41" i="2"/>
  <c r="N42" i="2"/>
  <c r="C41" i="2"/>
  <c r="C40" i="2"/>
  <c r="C42" i="2"/>
  <c r="G42" i="2"/>
  <c r="G41" i="2"/>
  <c r="G40" i="2"/>
  <c r="G37" i="2"/>
  <c r="D41" i="2"/>
  <c r="D40" i="2"/>
  <c r="D42" i="2"/>
  <c r="E25" i="2"/>
  <c r="E40" i="2"/>
  <c r="H37" i="2"/>
  <c r="H42" i="2"/>
  <c r="H40" i="2"/>
  <c r="K37" i="2"/>
  <c r="H41" i="2"/>
  <c r="W116" i="2"/>
  <c r="T74" i="2"/>
  <c r="T76" i="2" s="1"/>
  <c r="T57" i="2"/>
  <c r="V74" i="2"/>
  <c r="V76" i="2" s="1"/>
  <c r="U57" i="2"/>
  <c r="V57" i="2"/>
  <c r="X74" i="2"/>
  <c r="X76" i="2" s="1"/>
  <c r="X57" i="2"/>
  <c r="Y74" i="2"/>
  <c r="Y76" i="2" s="1"/>
  <c r="Y57" i="2"/>
  <c r="V40" i="2"/>
  <c r="W40" i="2"/>
  <c r="V37" i="2"/>
  <c r="W37" i="2"/>
  <c r="X37" i="2"/>
  <c r="W57" i="2"/>
  <c r="U21" i="2"/>
  <c r="U40" i="2" s="1"/>
  <c r="W42" i="2"/>
  <c r="W29" i="2"/>
  <c r="V27" i="2"/>
  <c r="V41" i="2"/>
  <c r="X21" i="2"/>
  <c r="X40" i="2" s="1"/>
  <c r="W41" i="2"/>
  <c r="T25" i="2"/>
  <c r="T41" i="2" s="1"/>
  <c r="Y25" i="2"/>
  <c r="Y116" i="2" s="1"/>
  <c r="Y40" i="2"/>
  <c r="Y37" i="2"/>
  <c r="Z79" i="2" l="1"/>
  <c r="Z95" i="2" s="1"/>
  <c r="Z112" i="2" s="1"/>
  <c r="Z31" i="2"/>
  <c r="F40" i="2"/>
  <c r="I37" i="2"/>
  <c r="F41" i="2"/>
  <c r="J21" i="2"/>
  <c r="J25" i="2" s="1"/>
  <c r="J27" i="2" s="1"/>
  <c r="J42" i="2" s="1"/>
  <c r="F42" i="2"/>
  <c r="J37" i="2"/>
  <c r="J41" i="2"/>
  <c r="E27" i="2"/>
  <c r="E41" i="2"/>
  <c r="T27" i="2"/>
  <c r="T42" i="2" s="1"/>
  <c r="T116" i="2"/>
  <c r="W31" i="2"/>
  <c r="W79" i="2"/>
  <c r="W95" i="2" s="1"/>
  <c r="U25" i="2"/>
  <c r="X25" i="2"/>
  <c r="V42" i="2"/>
  <c r="V29" i="2"/>
  <c r="Y41" i="2"/>
  <c r="Y27" i="2"/>
  <c r="J29" i="2" l="1"/>
  <c r="J31" i="2" s="1"/>
  <c r="U116" i="2"/>
  <c r="U41" i="2"/>
  <c r="J40" i="2"/>
  <c r="E29" i="2"/>
  <c r="E31" i="2" s="1"/>
  <c r="E42" i="2"/>
  <c r="X27" i="2"/>
  <c r="X29" i="2" s="1"/>
  <c r="X116" i="2"/>
  <c r="W112" i="2"/>
  <c r="V31" i="2"/>
  <c r="V79" i="2"/>
  <c r="V95" i="2" s="1"/>
  <c r="T29" i="2"/>
  <c r="U27" i="2"/>
  <c r="U42" i="2" s="1"/>
  <c r="X41" i="2"/>
  <c r="Y42" i="2"/>
  <c r="Y29" i="2"/>
  <c r="I8" i="3" l="1"/>
  <c r="I4" i="3"/>
  <c r="X42" i="2"/>
  <c r="X31" i="2"/>
  <c r="X79" i="2"/>
  <c r="X95" i="2" s="1"/>
  <c r="T31" i="2"/>
  <c r="T79" i="2"/>
  <c r="T95" i="2" s="1"/>
  <c r="V112" i="2"/>
  <c r="Y31" i="2"/>
  <c r="Y79" i="2"/>
  <c r="Y95" i="2" s="1"/>
  <c r="U29" i="2"/>
  <c r="I9" i="3" l="1"/>
  <c r="T112" i="2"/>
  <c r="U31" i="2"/>
  <c r="U79" i="2"/>
  <c r="U95" i="2" s="1"/>
  <c r="X112" i="2"/>
  <c r="X113" i="2" s="1"/>
  <c r="W114" i="2" s="1"/>
  <c r="W113" i="2" s="1"/>
  <c r="V114" i="2" s="1"/>
  <c r="V113" i="2" s="1"/>
  <c r="U114" i="2" s="1"/>
  <c r="Y112" i="2"/>
  <c r="U112" i="2" l="1"/>
  <c r="U113" i="2" s="1"/>
  <c r="T114" i="2" s="1"/>
  <c r="T113" i="2" s="1"/>
</calcChain>
</file>

<file path=xl/sharedStrings.xml><?xml version="1.0" encoding="utf-8"?>
<sst xmlns="http://schemas.openxmlformats.org/spreadsheetml/2006/main" count="251" uniqueCount="218">
  <si>
    <t>Microsoft</t>
  </si>
  <si>
    <t>number in millions</t>
  </si>
  <si>
    <t>Price</t>
  </si>
  <si>
    <t>Shares</t>
  </si>
  <si>
    <t>MC</t>
  </si>
  <si>
    <t>Cash</t>
  </si>
  <si>
    <t>Debt</t>
  </si>
  <si>
    <t>EV</t>
  </si>
  <si>
    <t>SEC</t>
  </si>
  <si>
    <t>Main</t>
  </si>
  <si>
    <t>FY18</t>
  </si>
  <si>
    <t>FY19</t>
  </si>
  <si>
    <t>FY20</t>
  </si>
  <si>
    <t>FY21</t>
  </si>
  <si>
    <t>FY22</t>
  </si>
  <si>
    <t>FY23</t>
  </si>
  <si>
    <t>FY24</t>
  </si>
  <si>
    <t xml:space="preserve">Product </t>
  </si>
  <si>
    <t>Services and Other</t>
  </si>
  <si>
    <t>Revenue</t>
  </si>
  <si>
    <t>COGS Products</t>
  </si>
  <si>
    <t>COGS Services</t>
  </si>
  <si>
    <t>Gross Profit</t>
  </si>
  <si>
    <t>Operating Profit</t>
  </si>
  <si>
    <t>R&amp;D</t>
  </si>
  <si>
    <t>S&amp;M</t>
  </si>
  <si>
    <t>G&amp;A</t>
  </si>
  <si>
    <t>Other Income</t>
  </si>
  <si>
    <t>Pretax Income</t>
  </si>
  <si>
    <t>Tax Expense</t>
  </si>
  <si>
    <t>Net Income</t>
  </si>
  <si>
    <t>EPS</t>
  </si>
  <si>
    <t>Revenue YoY</t>
  </si>
  <si>
    <t>Products YoY</t>
  </si>
  <si>
    <t>Services YoY</t>
  </si>
  <si>
    <t>Gross Margin</t>
  </si>
  <si>
    <t>Operating Margin</t>
  </si>
  <si>
    <t>Tax Rate</t>
  </si>
  <si>
    <t>x</t>
  </si>
  <si>
    <t>Cash &amp; Cash Equivalents</t>
  </si>
  <si>
    <t>Short-term Investments</t>
  </si>
  <si>
    <t>Accounts Receivable</t>
  </si>
  <si>
    <t>Inventories</t>
  </si>
  <si>
    <t>Other</t>
  </si>
  <si>
    <t>Current Assets</t>
  </si>
  <si>
    <t>PP&amp;E</t>
  </si>
  <si>
    <t>Operating Lease Assets</t>
  </si>
  <si>
    <t>Equity &amp; other Investments</t>
  </si>
  <si>
    <t>Goodwill</t>
  </si>
  <si>
    <t xml:space="preserve">Intagibles </t>
  </si>
  <si>
    <t>Non-Current Assets</t>
  </si>
  <si>
    <t>Assets</t>
  </si>
  <si>
    <t>Accounts Payable</t>
  </si>
  <si>
    <t>Short-term Debt</t>
  </si>
  <si>
    <t>Current Portion of Debt</t>
  </si>
  <si>
    <t>Accrued Compensations</t>
  </si>
  <si>
    <t>Short-term Tax Payables</t>
  </si>
  <si>
    <t xml:space="preserve">Accrued Revenue </t>
  </si>
  <si>
    <t>Current Liabilites</t>
  </si>
  <si>
    <t>Tax Payables</t>
  </si>
  <si>
    <t>Deffered Taxes</t>
  </si>
  <si>
    <t>Operating Lease Liabilties</t>
  </si>
  <si>
    <t>Non-Current Liabilties</t>
  </si>
  <si>
    <t xml:space="preserve">Liabilities </t>
  </si>
  <si>
    <t>Equity</t>
  </si>
  <si>
    <t>Equity &amp; Liabilties</t>
  </si>
  <si>
    <t>Cashflow Statment</t>
  </si>
  <si>
    <t>D&amp;A</t>
  </si>
  <si>
    <t>SBC</t>
  </si>
  <si>
    <t>Gain/Loss on Derivatives</t>
  </si>
  <si>
    <t>Deferred Income Taxes</t>
  </si>
  <si>
    <t>Changes in WC:</t>
  </si>
  <si>
    <t>CFFO</t>
  </si>
  <si>
    <t>Accounts Receivables</t>
  </si>
  <si>
    <t>Other Current Assets</t>
  </si>
  <si>
    <t>Other Assets</t>
  </si>
  <si>
    <t>Accounts Payables</t>
  </si>
  <si>
    <t>Deferred Revenue</t>
  </si>
  <si>
    <t>Income Tax Payables</t>
  </si>
  <si>
    <t>Other Current Liabilties</t>
  </si>
  <si>
    <t>Other Liabilties</t>
  </si>
  <si>
    <t>Net Change in WC</t>
  </si>
  <si>
    <t>Issuance Short Term Debt</t>
  </si>
  <si>
    <t>Issuance of Debt</t>
  </si>
  <si>
    <t>Repayment of Debt</t>
  </si>
  <si>
    <t>Stock Issued</t>
  </si>
  <si>
    <t>Stock Buyback</t>
  </si>
  <si>
    <t xml:space="preserve">Dividend Paid </t>
  </si>
  <si>
    <t>CFFF</t>
  </si>
  <si>
    <t>CFFI</t>
  </si>
  <si>
    <t>CapEx</t>
  </si>
  <si>
    <t>Investments</t>
  </si>
  <si>
    <t>Acquistions</t>
  </si>
  <si>
    <t>Maturities of Investments</t>
  </si>
  <si>
    <t>Sale of Investments</t>
  </si>
  <si>
    <t xml:space="preserve">Other </t>
  </si>
  <si>
    <t>Foreign Currency Effetcts</t>
  </si>
  <si>
    <t>Change in Cash</t>
  </si>
  <si>
    <t>Cash BoP</t>
  </si>
  <si>
    <t>Cash EoP</t>
  </si>
  <si>
    <t>Notes:</t>
  </si>
  <si>
    <t>CEO: Satya Nadella</t>
  </si>
  <si>
    <t>GM Products</t>
  </si>
  <si>
    <t>GM Services</t>
  </si>
  <si>
    <t>FQ123</t>
  </si>
  <si>
    <t>FQ223</t>
  </si>
  <si>
    <t>FQ323</t>
  </si>
  <si>
    <t>FQ423</t>
  </si>
  <si>
    <t>FQ124</t>
  </si>
  <si>
    <t>FQ224</t>
  </si>
  <si>
    <t>FQ324</t>
  </si>
  <si>
    <t>FQ424</t>
  </si>
  <si>
    <t>FQ125</t>
  </si>
  <si>
    <t>FQ225</t>
  </si>
  <si>
    <t>FQ325</t>
  </si>
  <si>
    <t>FQ425</t>
  </si>
  <si>
    <t>Prodctivity &amp; Business Process</t>
  </si>
  <si>
    <t>Intellegent Cloud</t>
  </si>
  <si>
    <t>Personal Computing</t>
  </si>
  <si>
    <t>Windows</t>
  </si>
  <si>
    <t>LinkedIn</t>
  </si>
  <si>
    <t xml:space="preserve">Search &amp; news ads </t>
  </si>
  <si>
    <t>Enterprise &amp; Partner Services</t>
  </si>
  <si>
    <t>Dynamic Products &amp; Cloud</t>
  </si>
  <si>
    <t xml:space="preserve">Devices </t>
  </si>
  <si>
    <t>Bought LikedIn in 2016</t>
  </si>
  <si>
    <t>FY25</t>
  </si>
  <si>
    <t>Businessmodel</t>
  </si>
  <si>
    <t>Segment</t>
  </si>
  <si>
    <t>%of Rev</t>
  </si>
  <si>
    <t>Products</t>
  </si>
  <si>
    <t>Notes</t>
  </si>
  <si>
    <t>Efficency Ratios</t>
  </si>
  <si>
    <t>Return on Equity (ROE)</t>
  </si>
  <si>
    <t>Net Income/Book Value of Equity</t>
  </si>
  <si>
    <t>Return on Assets (ROA)</t>
  </si>
  <si>
    <t>EBIT/Total Assets</t>
  </si>
  <si>
    <t>Return on Capital Employed (ROCE)</t>
  </si>
  <si>
    <t>EBIT/(Long Term Assets + Working Capital (Exclusive of cash)-Accounts Payables)</t>
  </si>
  <si>
    <t>Return on Capital Invested (ROIC)</t>
  </si>
  <si>
    <t>(EBIT-Tax Expenses)/(Book Value of Equity + Book Value of Debt - Book Value of Cash)</t>
  </si>
  <si>
    <t>Retention Rate</t>
  </si>
  <si>
    <t>1 - Dividends/Net Income</t>
  </si>
  <si>
    <t>Expected Growth</t>
  </si>
  <si>
    <t>Retention rate * ROE</t>
  </si>
  <si>
    <t>Reinvestment Rate</t>
  </si>
  <si>
    <t>Net CapEx + Change in WC / EBIT * (1-t)</t>
  </si>
  <si>
    <t>Reinvestment rate * ROIC</t>
  </si>
  <si>
    <t>Financial Stabilty Ratios</t>
  </si>
  <si>
    <t>EK-Quote</t>
  </si>
  <si>
    <t>Book Value of Equity/Total of Balance Sheet</t>
  </si>
  <si>
    <t>Gearing</t>
  </si>
  <si>
    <t>(Debt - Cash (Net Debt))/Book Value of Equity</t>
  </si>
  <si>
    <t>Interest Coverage Ratio</t>
  </si>
  <si>
    <t>EBIT/Interest Expenses</t>
  </si>
  <si>
    <t>Net Debt / EBITDA</t>
  </si>
  <si>
    <t>Net Debt/EBITDA</t>
  </si>
  <si>
    <t>Goodwill-Anteil</t>
  </si>
  <si>
    <t>Goodwill/Balance Sheet Total</t>
  </si>
  <si>
    <t>WC Managment Ratios</t>
  </si>
  <si>
    <t>Debitorenlaufzeit</t>
  </si>
  <si>
    <t>Accounts Receivables/Revenue*360</t>
  </si>
  <si>
    <t>Kreditorenlaufzeit</t>
  </si>
  <si>
    <t>Accounts Payable/Revenue*360</t>
  </si>
  <si>
    <t>Liquidität 1.Grades</t>
  </si>
  <si>
    <t>Cash and Cash Equivalents/Short term liabilites</t>
  </si>
  <si>
    <t>Liquidität 2.Grades</t>
  </si>
  <si>
    <t>(Cash and Cash Equivalents + Accounts Receivables) /Short term liabilities</t>
  </si>
  <si>
    <t>Liquidität 3.Grades</t>
  </si>
  <si>
    <t>Short term assets/short term liabilites</t>
  </si>
  <si>
    <t>Vorratsintensität</t>
  </si>
  <si>
    <t>Inventory/Balance Sheet Total</t>
  </si>
  <si>
    <t>Umschlaghäufigkeit der Vorräte</t>
  </si>
  <si>
    <t>Cogs/Inventory</t>
  </si>
  <si>
    <t>Lagedauer</t>
  </si>
  <si>
    <t>360/Umschlaghäufigkeit der Vorräte</t>
  </si>
  <si>
    <t>Cash Conversion Cycle</t>
  </si>
  <si>
    <t>Cash Conversion Cycle = Debitorenlaufzeit + Lagedauer - Kreditorenlaufzeit</t>
  </si>
  <si>
    <t>Multiples</t>
  </si>
  <si>
    <t>Market Cap</t>
  </si>
  <si>
    <t>Net Debt</t>
  </si>
  <si>
    <t>Equitymultiples</t>
  </si>
  <si>
    <t>P/E Ratio</t>
  </si>
  <si>
    <t>Share Price/EPS</t>
  </si>
  <si>
    <t>PEG Ratio</t>
  </si>
  <si>
    <t>P/E Ratio / Growth</t>
  </si>
  <si>
    <t>P/B Ratio</t>
  </si>
  <si>
    <t>Market Cap/Book Vakue of Equity</t>
  </si>
  <si>
    <t>Entitymultiples</t>
  </si>
  <si>
    <t>EV/EBITDA</t>
  </si>
  <si>
    <t>EV/EBIT</t>
  </si>
  <si>
    <t>EV/FCF</t>
  </si>
  <si>
    <t>EV/Sales</t>
  </si>
  <si>
    <t>EV/Revenue</t>
  </si>
  <si>
    <t>Ratios</t>
  </si>
  <si>
    <t>Products: Microsoft 365, LinkedIn, Dynamics 365, Microsoft AI -&gt; Copilot, Office: Teams, Excel, Word etc</t>
  </si>
  <si>
    <t>Edge Browser</t>
  </si>
  <si>
    <t xml:space="preserve">Microsoft Cloud: Azure </t>
  </si>
  <si>
    <t>Microsoft 365, Office etc</t>
  </si>
  <si>
    <t>Cloud: Azur, AI etc</t>
  </si>
  <si>
    <t>Windows 11</t>
  </si>
  <si>
    <t>Windows, Surface</t>
  </si>
  <si>
    <t>Surface Product Family: Surface Laptop etc</t>
  </si>
  <si>
    <t>Xbox, Acquisition of Actvizison Blizzard: Game devolper</t>
  </si>
  <si>
    <t>Free Cash Flow</t>
  </si>
  <si>
    <t>Founded: 1975 Bill Gates</t>
  </si>
  <si>
    <t xml:space="preserve">Steve Ballmer CEO from 2000 to 2014 </t>
  </si>
  <si>
    <t>Server &amp; Cloud</t>
  </si>
  <si>
    <t>Office 365</t>
  </si>
  <si>
    <t>FQ126</t>
  </si>
  <si>
    <t>FQ226</t>
  </si>
  <si>
    <t>FQ326</t>
  </si>
  <si>
    <t>FQ426</t>
  </si>
  <si>
    <t>Cloud Growth</t>
  </si>
  <si>
    <t>IR</t>
  </si>
  <si>
    <t>Q426</t>
  </si>
  <si>
    <t>FY26</t>
  </si>
  <si>
    <t>XBOX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</si>
</sst>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;\(#,##0.0\)"/>
    <numFmt numFmtId="165" formatCode="#,##0;\(#,##0\)"/>
    <numFmt numFmtId="166" formatCode="#,##0.00;\(#,##0.00\)"/>
    <numFmt numFmtId="167" formatCode="#,##0.0;[Red]#,##0.0"/>
  </numFmts>
  <fonts count="1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37">
    <xf numFmtId="0" fontId="0" fillId="0" borderId="0" xfId="0"/>
    <xf numFmtId="0" fontId="6" fillId="0" borderId="0" xfId="0" applyFont="1"/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0" fontId="3" fillId="0" borderId="0" xfId="0" applyFont="1" applyAlignment="1">
      <alignment horizontal="right"/>
    </xf>
    <xf numFmtId="0" fontId="7" fillId="0" borderId="0" xfId="2" applyFont="1"/>
    <xf numFmtId="0" fontId="3" fillId="0" borderId="0" xfId="0" applyFont="1" applyAlignment="1">
      <alignment horizontal="center"/>
    </xf>
    <xf numFmtId="0" fontId="8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3" fillId="0" borderId="4" xfId="0" applyFont="1" applyBorder="1"/>
    <xf numFmtId="9" fontId="3" fillId="0" borderId="0" xfId="1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9" fillId="0" borderId="0" xfId="0" applyFont="1"/>
    <xf numFmtId="165" fontId="6" fillId="0" borderId="0" xfId="0" applyNumberFormat="1" applyFont="1"/>
    <xf numFmtId="166" fontId="3" fillId="0" borderId="0" xfId="0" applyNumberFormat="1" applyFont="1"/>
    <xf numFmtId="9" fontId="3" fillId="0" borderId="0" xfId="1" applyFont="1"/>
    <xf numFmtId="9" fontId="6" fillId="0" borderId="0" xfId="1" applyFont="1"/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67" fontId="3" fillId="0" borderId="0" xfId="0" applyNumberFormat="1" applyFont="1"/>
    <xf numFmtId="2" fontId="3" fillId="0" borderId="0" xfId="0" applyNumberFormat="1" applyFont="1"/>
    <xf numFmtId="9" fontId="3" fillId="0" borderId="0" xfId="0" applyNumberFormat="1" applyFont="1"/>
    <xf numFmtId="2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/>
    <xf numFmtId="0" fontId="1" fillId="0" borderId="0" xfId="0" applyFont="1" applyAlignment="1">
      <alignment horizontal="right"/>
    </xf>
    <xf numFmtId="0" fontId="1" fillId="0" borderId="0" xfId="0" applyFont="1"/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icrosoft.com/en-us/investor/default" TargetMode="External"/><Relationship Id="rId1" Type="http://schemas.openxmlformats.org/officeDocument/2006/relationships/hyperlink" Target="https://www.sec.gov/edgar/browse/?CIK=789019&amp;owner=exclud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91CD0-4B5B-46BB-BF54-99530B47ED35}">
  <dimension ref="A1:I23"/>
  <sheetViews>
    <sheetView tabSelected="1" topLeftCell="C1" zoomScale="200" zoomScaleNormal="200" workbookViewId="0">
      <selection activeCell="H7" sqref="H7"/>
    </sheetView>
  </sheetViews>
  <sheetFormatPr defaultRowHeight="12.75" x14ac:dyDescent="0.2"/>
  <cols>
    <col min="1" max="1" width="4.42578125" style="2" customWidth="1"/>
    <col min="2" max="2" width="25.85546875" style="2" customWidth="1"/>
    <col min="3" max="3" width="10.28515625" style="2" customWidth="1"/>
    <col min="4" max="4" width="20.85546875" style="2" bestFit="1" customWidth="1"/>
    <col min="5" max="7" width="9.140625" style="2"/>
    <col min="8" max="8" width="10.140625" style="2" bestFit="1" customWidth="1"/>
    <col min="9" max="16384" width="9.140625" style="2"/>
  </cols>
  <sheetData>
    <row r="1" spans="1:9" x14ac:dyDescent="0.2">
      <c r="A1" s="1" t="s">
        <v>0</v>
      </c>
    </row>
    <row r="2" spans="1:9" x14ac:dyDescent="0.2">
      <c r="A2" s="2" t="s">
        <v>1</v>
      </c>
      <c r="G2" s="2" t="s">
        <v>2</v>
      </c>
      <c r="H2" s="3">
        <v>455.3</v>
      </c>
    </row>
    <row r="3" spans="1:9" x14ac:dyDescent="0.2">
      <c r="G3" s="2" t="s">
        <v>3</v>
      </c>
      <c r="H3" s="4">
        <v>7425.5454909999999</v>
      </c>
      <c r="I3" s="35" t="s">
        <v>215</v>
      </c>
    </row>
    <row r="4" spans="1:9" x14ac:dyDescent="0.2">
      <c r="B4" s="6" t="s">
        <v>8</v>
      </c>
      <c r="G4" s="2" t="s">
        <v>4</v>
      </c>
      <c r="H4" s="4">
        <f>H3*H2</f>
        <v>3380850.8620523</v>
      </c>
    </row>
    <row r="5" spans="1:9" x14ac:dyDescent="0.2">
      <c r="B5" s="6" t="s">
        <v>214</v>
      </c>
      <c r="G5" s="2" t="s">
        <v>5</v>
      </c>
      <c r="H5" s="4">
        <f>20935+55908</f>
        <v>76843</v>
      </c>
      <c r="I5" s="35" t="s">
        <v>215</v>
      </c>
    </row>
    <row r="6" spans="1:9" x14ac:dyDescent="0.2">
      <c r="G6" s="2" t="s">
        <v>6</v>
      </c>
      <c r="H6" s="4">
        <f>9277+31067</f>
        <v>40344</v>
      </c>
      <c r="I6" s="35" t="s">
        <v>215</v>
      </c>
    </row>
    <row r="7" spans="1:9" x14ac:dyDescent="0.2">
      <c r="A7" s="7" t="s">
        <v>38</v>
      </c>
      <c r="B7" s="8" t="s">
        <v>127</v>
      </c>
      <c r="G7" s="2" t="s">
        <v>7</v>
      </c>
      <c r="H7" s="4">
        <f>H4-H5+H6</f>
        <v>3344351.8620523</v>
      </c>
    </row>
    <row r="8" spans="1:9" x14ac:dyDescent="0.2">
      <c r="B8" s="9" t="s">
        <v>128</v>
      </c>
      <c r="C8" s="10" t="s">
        <v>129</v>
      </c>
      <c r="D8" s="10" t="s">
        <v>130</v>
      </c>
      <c r="E8" s="11" t="s">
        <v>131</v>
      </c>
      <c r="H8" s="4"/>
    </row>
    <row r="9" spans="1:9" x14ac:dyDescent="0.2">
      <c r="B9" s="12" t="s">
        <v>116</v>
      </c>
      <c r="C9" s="13">
        <f>Model!Y13/Model!$Y$18</f>
        <v>0.43578299785412977</v>
      </c>
      <c r="D9" s="14" t="s">
        <v>198</v>
      </c>
      <c r="E9" s="15"/>
    </row>
    <row r="10" spans="1:9" x14ac:dyDescent="0.2">
      <c r="B10" s="16" t="s">
        <v>117</v>
      </c>
      <c r="C10" s="13">
        <f>Model!Y14/Model!$Y$18</f>
        <v>0.35681823744910696</v>
      </c>
      <c r="D10" s="2" t="s">
        <v>199</v>
      </c>
      <c r="E10" s="17"/>
      <c r="G10" s="2" t="s">
        <v>101</v>
      </c>
    </row>
    <row r="11" spans="1:9" x14ac:dyDescent="0.2">
      <c r="B11" s="16" t="s">
        <v>118</v>
      </c>
      <c r="C11" s="13">
        <f>Model!Y15/Model!$Y$18</f>
        <v>0.20739876469676324</v>
      </c>
      <c r="D11" s="2" t="s">
        <v>201</v>
      </c>
      <c r="E11" s="17"/>
      <c r="G11" s="2" t="s">
        <v>205</v>
      </c>
    </row>
    <row r="12" spans="1:9" x14ac:dyDescent="0.2">
      <c r="B12" s="18"/>
      <c r="C12" s="19"/>
      <c r="D12" s="19"/>
      <c r="E12" s="20"/>
      <c r="G12" s="2" t="s">
        <v>206</v>
      </c>
    </row>
    <row r="15" spans="1:9" x14ac:dyDescent="0.2">
      <c r="A15" s="7" t="s">
        <v>38</v>
      </c>
      <c r="B15" s="21" t="s">
        <v>100</v>
      </c>
    </row>
    <row r="16" spans="1:9" x14ac:dyDescent="0.2">
      <c r="B16" s="2" t="s">
        <v>125</v>
      </c>
    </row>
    <row r="17" spans="2:2" x14ac:dyDescent="0.2">
      <c r="B17" s="2" t="s">
        <v>195</v>
      </c>
    </row>
    <row r="18" spans="2:2" x14ac:dyDescent="0.2">
      <c r="B18" s="2" t="s">
        <v>196</v>
      </c>
    </row>
    <row r="19" spans="2:2" x14ac:dyDescent="0.2">
      <c r="B19" s="2" t="s">
        <v>197</v>
      </c>
    </row>
    <row r="20" spans="2:2" x14ac:dyDescent="0.2">
      <c r="B20" s="2" t="s">
        <v>118</v>
      </c>
    </row>
    <row r="21" spans="2:2" x14ac:dyDescent="0.2">
      <c r="B21" s="2" t="s">
        <v>200</v>
      </c>
    </row>
    <row r="22" spans="2:2" x14ac:dyDescent="0.2">
      <c r="B22" s="2" t="s">
        <v>202</v>
      </c>
    </row>
    <row r="23" spans="2:2" x14ac:dyDescent="0.2">
      <c r="B23" s="2" t="s">
        <v>203</v>
      </c>
    </row>
  </sheetData>
  <hyperlinks>
    <hyperlink ref="B4" r:id="rId1" xr:uid="{DA6CDF4D-BB31-47EE-8095-D8F09F0AB7A2}"/>
    <hyperlink ref="B5" r:id="rId2" xr:uid="{A33EEB00-3A7F-49CA-BDF7-A6DF09715CB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F6C03-6F29-43A9-8F69-00F6AF9954D6}">
  <dimension ref="A1:EB624"/>
  <sheetViews>
    <sheetView zoomScale="200" zoomScaleNormal="200" workbookViewId="0">
      <pane xSplit="2" ySplit="2" topLeftCell="Y3" activePane="bottomRight" state="frozen"/>
      <selection pane="topRight" activeCell="C1" sqref="C1"/>
      <selection pane="bottomLeft" activeCell="A3" sqref="A3"/>
      <selection pane="bottomRight" activeCell="AA32" sqref="AA32"/>
    </sheetView>
  </sheetViews>
  <sheetFormatPr defaultRowHeight="12.75" x14ac:dyDescent="0.2"/>
  <cols>
    <col min="1" max="1" width="4.7109375" style="2" bestFit="1" customWidth="1"/>
    <col min="2" max="2" width="27.140625" style="2" bestFit="1" customWidth="1"/>
    <col min="3" max="16384" width="9.140625" style="2"/>
  </cols>
  <sheetData>
    <row r="1" spans="1:36" x14ac:dyDescent="0.2">
      <c r="A1" s="6" t="s">
        <v>9</v>
      </c>
    </row>
    <row r="2" spans="1:36" x14ac:dyDescent="0.2">
      <c r="C2" s="5" t="s">
        <v>104</v>
      </c>
      <c r="D2" s="5" t="s">
        <v>105</v>
      </c>
      <c r="E2" s="5" t="s">
        <v>106</v>
      </c>
      <c r="F2" s="5" t="s">
        <v>107</v>
      </c>
      <c r="G2" s="5" t="s">
        <v>108</v>
      </c>
      <c r="H2" s="5" t="s">
        <v>109</v>
      </c>
      <c r="I2" s="5" t="s">
        <v>110</v>
      </c>
      <c r="J2" s="5" t="s">
        <v>111</v>
      </c>
      <c r="K2" s="5" t="s">
        <v>112</v>
      </c>
      <c r="L2" s="5" t="s">
        <v>113</v>
      </c>
      <c r="M2" s="5" t="s">
        <v>114</v>
      </c>
      <c r="N2" s="5" t="s">
        <v>115</v>
      </c>
      <c r="O2" s="33" t="s">
        <v>209</v>
      </c>
      <c r="P2" s="33" t="s">
        <v>210</v>
      </c>
      <c r="Q2" s="33" t="s">
        <v>211</v>
      </c>
      <c r="R2" s="33" t="s">
        <v>212</v>
      </c>
      <c r="S2" s="5"/>
      <c r="T2" s="5" t="s">
        <v>11</v>
      </c>
      <c r="U2" s="5" t="s">
        <v>12</v>
      </c>
      <c r="V2" s="5" t="s">
        <v>13</v>
      </c>
      <c r="W2" s="5" t="s">
        <v>14</v>
      </c>
      <c r="X2" s="5" t="s">
        <v>15</v>
      </c>
      <c r="Y2" s="5" t="s">
        <v>16</v>
      </c>
      <c r="Z2" s="5" t="s">
        <v>126</v>
      </c>
      <c r="AA2" s="35" t="s">
        <v>216</v>
      </c>
    </row>
    <row r="3" spans="1:36" x14ac:dyDescent="0.2">
      <c r="A3" s="7"/>
      <c r="B3" s="2" t="s">
        <v>207</v>
      </c>
      <c r="C3" s="4">
        <v>18388</v>
      </c>
      <c r="D3" s="4">
        <v>19594</v>
      </c>
      <c r="E3" s="4">
        <v>20025</v>
      </c>
      <c r="F3" s="4">
        <f t="shared" ref="F3:F17" si="0">X3-SUM(C3:E3)</f>
        <v>7000</v>
      </c>
      <c r="G3" s="4">
        <v>22308</v>
      </c>
      <c r="H3" s="4">
        <v>23953</v>
      </c>
      <c r="I3" s="4">
        <v>24832</v>
      </c>
      <c r="J3" s="4">
        <f t="shared" ref="J3:J17" si="1">+Y3-SUM(G3:I3)</f>
        <v>8735</v>
      </c>
      <c r="K3" s="4">
        <v>22155</v>
      </c>
      <c r="L3" s="4">
        <v>23641</v>
      </c>
      <c r="M3" s="4">
        <v>24761</v>
      </c>
      <c r="N3" s="4">
        <f>+Z3-SUM(K3:M3)</f>
        <v>27878</v>
      </c>
      <c r="O3" s="4">
        <v>28872</v>
      </c>
      <c r="P3" s="4">
        <v>30865</v>
      </c>
      <c r="Q3" s="4">
        <v>32592</v>
      </c>
      <c r="R3" s="4">
        <f>+AA3-SUM(O3:Q3)</f>
        <v>37096</v>
      </c>
      <c r="S3" s="4"/>
      <c r="T3" s="4">
        <v>32622</v>
      </c>
      <c r="U3" s="4">
        <v>41379</v>
      </c>
      <c r="V3" s="4">
        <v>52589</v>
      </c>
      <c r="W3" s="4">
        <v>67321</v>
      </c>
      <c r="X3" s="4">
        <v>65007</v>
      </c>
      <c r="Y3" s="4">
        <v>79828</v>
      </c>
      <c r="Z3" s="4">
        <v>98435</v>
      </c>
      <c r="AA3" s="4">
        <v>129425</v>
      </c>
      <c r="AB3" s="4"/>
      <c r="AC3" s="4"/>
      <c r="AD3" s="4"/>
      <c r="AE3" s="4"/>
      <c r="AF3" s="4"/>
      <c r="AG3" s="4"/>
      <c r="AH3" s="4"/>
      <c r="AI3" s="4"/>
      <c r="AJ3" s="4"/>
    </row>
    <row r="4" spans="1:36" x14ac:dyDescent="0.2">
      <c r="A4" s="7"/>
      <c r="B4" s="2" t="s">
        <v>208</v>
      </c>
      <c r="C4" s="4">
        <v>11577</v>
      </c>
      <c r="D4" s="4">
        <v>11867</v>
      </c>
      <c r="E4" s="4">
        <v>12468</v>
      </c>
      <c r="F4" s="4">
        <f t="shared" si="0"/>
        <v>31037</v>
      </c>
      <c r="G4" s="4">
        <v>13140</v>
      </c>
      <c r="H4" s="4">
        <v>13477</v>
      </c>
      <c r="I4" s="4">
        <v>13911</v>
      </c>
      <c r="J4" s="4">
        <f t="shared" si="1"/>
        <v>36441</v>
      </c>
      <c r="K4" s="4">
        <v>20449</v>
      </c>
      <c r="L4" s="4">
        <v>21117</v>
      </c>
      <c r="M4" s="4">
        <v>21883</v>
      </c>
      <c r="N4" s="4">
        <f t="shared" ref="N4:N28" si="2">+Z4-SUM(K4:M4)</f>
        <v>24318</v>
      </c>
      <c r="O4" s="4">
        <v>23966</v>
      </c>
      <c r="P4" s="4">
        <v>24524</v>
      </c>
      <c r="Q4" s="4">
        <v>25593</v>
      </c>
      <c r="R4" s="4">
        <f t="shared" ref="R4:R28" si="3">+AA4-SUM(O4:Q4)</f>
        <v>27914</v>
      </c>
      <c r="S4" s="4"/>
      <c r="T4" s="4">
        <v>31769</v>
      </c>
      <c r="U4" s="4">
        <v>35316</v>
      </c>
      <c r="V4" s="4">
        <v>39872</v>
      </c>
      <c r="W4" s="4">
        <v>44862</v>
      </c>
      <c r="X4" s="4">
        <v>66949</v>
      </c>
      <c r="Y4" s="4">
        <v>76969</v>
      </c>
      <c r="Z4" s="4">
        <v>87767</v>
      </c>
      <c r="AA4" s="4">
        <v>101997</v>
      </c>
      <c r="AB4" s="4"/>
      <c r="AC4" s="4"/>
      <c r="AD4" s="4"/>
      <c r="AE4" s="4"/>
      <c r="AF4" s="4"/>
      <c r="AG4" s="4"/>
      <c r="AH4" s="4"/>
      <c r="AI4" s="4"/>
      <c r="AJ4" s="4"/>
    </row>
    <row r="5" spans="1:36" x14ac:dyDescent="0.2">
      <c r="A5" s="7"/>
      <c r="B5" s="36" t="s">
        <v>217</v>
      </c>
      <c r="C5" s="4">
        <v>5313</v>
      </c>
      <c r="D5" s="4">
        <v>4758</v>
      </c>
      <c r="E5" s="4">
        <v>5328</v>
      </c>
      <c r="F5" s="4">
        <f t="shared" si="0"/>
        <v>67</v>
      </c>
      <c r="G5" s="4">
        <v>5567</v>
      </c>
      <c r="H5" s="4">
        <v>7111</v>
      </c>
      <c r="I5" s="4">
        <v>5929</v>
      </c>
      <c r="J5" s="4">
        <f t="shared" si="1"/>
        <v>2896</v>
      </c>
      <c r="K5" s="4">
        <v>5621</v>
      </c>
      <c r="L5" s="4">
        <v>6581</v>
      </c>
      <c r="M5" s="4">
        <v>5721</v>
      </c>
      <c r="N5" s="4">
        <f t="shared" si="2"/>
        <v>5532</v>
      </c>
      <c r="O5" s="4">
        <v>5508</v>
      </c>
      <c r="P5" s="4">
        <v>5958</v>
      </c>
      <c r="Q5" s="4">
        <v>5341</v>
      </c>
      <c r="R5" s="4">
        <f t="shared" si="3"/>
        <v>4983</v>
      </c>
      <c r="S5" s="4"/>
      <c r="T5" s="4">
        <v>11386</v>
      </c>
      <c r="U5" s="4">
        <v>11575</v>
      </c>
      <c r="V5" s="4">
        <v>15370</v>
      </c>
      <c r="W5" s="4">
        <v>16230</v>
      </c>
      <c r="X5" s="4">
        <v>15466</v>
      </c>
      <c r="Y5" s="4">
        <v>21503</v>
      </c>
      <c r="Z5" s="4">
        <v>23455</v>
      </c>
      <c r="AA5" s="4">
        <v>21790</v>
      </c>
      <c r="AB5" s="4"/>
      <c r="AC5" s="4"/>
      <c r="AD5" s="4"/>
      <c r="AE5" s="4"/>
      <c r="AF5" s="4"/>
      <c r="AG5" s="4"/>
      <c r="AH5" s="4"/>
      <c r="AI5" s="4"/>
      <c r="AJ5" s="4"/>
    </row>
    <row r="6" spans="1:36" x14ac:dyDescent="0.2">
      <c r="A6" s="7"/>
      <c r="B6" s="2" t="s">
        <v>119</v>
      </c>
      <c r="C6" s="4">
        <v>3610</v>
      </c>
      <c r="D6" s="4">
        <v>4808</v>
      </c>
      <c r="E6" s="4">
        <v>3607</v>
      </c>
      <c r="F6" s="4">
        <f t="shared" si="0"/>
        <v>5122</v>
      </c>
      <c r="G6" s="4">
        <v>3919</v>
      </c>
      <c r="H6" s="4">
        <v>5262</v>
      </c>
      <c r="I6" s="4">
        <v>5451</v>
      </c>
      <c r="J6" s="4">
        <f t="shared" si="1"/>
        <v>2394</v>
      </c>
      <c r="K6" s="4">
        <v>4329</v>
      </c>
      <c r="L6" s="4">
        <v>4587</v>
      </c>
      <c r="M6" s="4">
        <v>4311</v>
      </c>
      <c r="N6" s="4">
        <f t="shared" si="2"/>
        <v>4087</v>
      </c>
      <c r="O6" s="4">
        <v>4714</v>
      </c>
      <c r="P6" s="4">
        <v>5082</v>
      </c>
      <c r="Q6" s="4">
        <v>4832</v>
      </c>
      <c r="R6" s="4">
        <f t="shared" si="3"/>
        <v>2456</v>
      </c>
      <c r="S6" s="4"/>
      <c r="T6" s="4">
        <v>20395</v>
      </c>
      <c r="U6" s="4">
        <v>22294</v>
      </c>
      <c r="V6" s="4">
        <v>23227</v>
      </c>
      <c r="W6" s="4">
        <v>24761</v>
      </c>
      <c r="X6" s="4">
        <v>17147</v>
      </c>
      <c r="Y6" s="4">
        <v>17026</v>
      </c>
      <c r="Z6" s="4">
        <v>17314</v>
      </c>
      <c r="AA6" s="4">
        <v>17084</v>
      </c>
      <c r="AB6" s="4"/>
      <c r="AC6" s="4"/>
      <c r="AD6" s="4"/>
      <c r="AE6" s="4"/>
      <c r="AF6" s="4"/>
      <c r="AG6" s="4"/>
      <c r="AH6" s="4"/>
      <c r="AI6" s="4"/>
      <c r="AJ6" s="4"/>
    </row>
    <row r="7" spans="1:36" x14ac:dyDescent="0.2">
      <c r="A7" s="7"/>
      <c r="B7" s="2" t="s">
        <v>120</v>
      </c>
      <c r="C7" s="4">
        <v>3628</v>
      </c>
      <c r="D7" s="4">
        <v>3833</v>
      </c>
      <c r="E7" s="4">
        <v>3659</v>
      </c>
      <c r="F7" s="4">
        <f t="shared" si="0"/>
        <v>3869</v>
      </c>
      <c r="G7" s="4">
        <v>3913</v>
      </c>
      <c r="H7" s="4">
        <v>4195</v>
      </c>
      <c r="I7" s="4">
        <v>4013</v>
      </c>
      <c r="J7" s="4">
        <f t="shared" si="1"/>
        <v>4251</v>
      </c>
      <c r="K7" s="4">
        <v>4292</v>
      </c>
      <c r="L7" s="4">
        <v>4512</v>
      </c>
      <c r="M7" s="4">
        <v>4144</v>
      </c>
      <c r="N7" s="4">
        <f t="shared" si="2"/>
        <v>4864</v>
      </c>
      <c r="O7" s="4">
        <v>4551</v>
      </c>
      <c r="P7" s="4">
        <v>4479</v>
      </c>
      <c r="Q7" s="4">
        <v>4041</v>
      </c>
      <c r="R7" s="4">
        <f t="shared" si="3"/>
        <v>6746</v>
      </c>
      <c r="S7" s="4"/>
      <c r="T7" s="4">
        <v>6754</v>
      </c>
      <c r="U7" s="4">
        <v>8077</v>
      </c>
      <c r="V7" s="4">
        <v>10289</v>
      </c>
      <c r="W7" s="4">
        <v>13816</v>
      </c>
      <c r="X7" s="4">
        <v>14989</v>
      </c>
      <c r="Y7" s="4">
        <v>16372</v>
      </c>
      <c r="Z7" s="4">
        <v>17812</v>
      </c>
      <c r="AA7" s="4">
        <v>19817</v>
      </c>
      <c r="AB7" s="4"/>
      <c r="AC7" s="4"/>
      <c r="AD7" s="4"/>
      <c r="AE7" s="4"/>
      <c r="AF7" s="4"/>
      <c r="AG7" s="4"/>
      <c r="AH7" s="4"/>
      <c r="AI7" s="4"/>
      <c r="AJ7" s="4"/>
    </row>
    <row r="8" spans="1:36" x14ac:dyDescent="0.2">
      <c r="A8" s="7"/>
      <c r="B8" s="2" t="s">
        <v>121</v>
      </c>
      <c r="C8" s="4">
        <v>2913</v>
      </c>
      <c r="D8" s="4">
        <v>3209</v>
      </c>
      <c r="E8" s="4">
        <v>3036</v>
      </c>
      <c r="F8" s="4">
        <f t="shared" si="0"/>
        <v>2967</v>
      </c>
      <c r="G8" s="4">
        <v>3053</v>
      </c>
      <c r="H8" s="4">
        <v>3220</v>
      </c>
      <c r="I8" s="4">
        <v>3134</v>
      </c>
      <c r="J8" s="4">
        <f t="shared" si="1"/>
        <v>2899</v>
      </c>
      <c r="K8" s="4">
        <v>3225</v>
      </c>
      <c r="L8" s="4">
        <v>3558</v>
      </c>
      <c r="M8" s="4">
        <v>3504</v>
      </c>
      <c r="N8" s="4">
        <f t="shared" si="2"/>
        <v>3591</v>
      </c>
      <c r="O8" s="4">
        <v>3697</v>
      </c>
      <c r="P8" s="4">
        <v>3812</v>
      </c>
      <c r="Q8" s="4">
        <v>3808</v>
      </c>
      <c r="R8" s="4">
        <f t="shared" si="3"/>
        <v>3859</v>
      </c>
      <c r="S8" s="4"/>
      <c r="T8" s="4">
        <v>7628</v>
      </c>
      <c r="U8" s="4">
        <v>7740</v>
      </c>
      <c r="V8" s="4">
        <v>8528</v>
      </c>
      <c r="W8" s="4">
        <v>11591</v>
      </c>
      <c r="X8" s="4">
        <v>12125</v>
      </c>
      <c r="Y8" s="4">
        <v>12306</v>
      </c>
      <c r="Z8" s="4">
        <v>13878</v>
      </c>
      <c r="AA8" s="4">
        <v>15176</v>
      </c>
      <c r="AB8" s="4"/>
      <c r="AC8" s="4"/>
      <c r="AD8" s="4"/>
      <c r="AE8" s="4"/>
      <c r="AF8" s="4"/>
      <c r="AG8" s="4"/>
      <c r="AH8" s="4"/>
      <c r="AI8" s="4"/>
      <c r="AJ8" s="4"/>
    </row>
    <row r="9" spans="1:36" x14ac:dyDescent="0.2">
      <c r="A9" s="7"/>
      <c r="B9" s="2" t="s">
        <v>122</v>
      </c>
      <c r="C9" s="4">
        <v>1929</v>
      </c>
      <c r="D9" s="4">
        <v>1907</v>
      </c>
      <c r="E9" s="4">
        <v>2047</v>
      </c>
      <c r="F9" s="4">
        <f t="shared" si="0"/>
        <v>2017</v>
      </c>
      <c r="G9" s="4">
        <v>1944</v>
      </c>
      <c r="H9" s="4">
        <v>1917</v>
      </c>
      <c r="I9" s="4">
        <v>1861</v>
      </c>
      <c r="J9" s="4">
        <f t="shared" si="1"/>
        <v>1872</v>
      </c>
      <c r="K9" s="4">
        <v>1928</v>
      </c>
      <c r="L9" s="4">
        <v>1892</v>
      </c>
      <c r="M9" s="4">
        <v>1946</v>
      </c>
      <c r="N9" s="4">
        <f t="shared" si="2"/>
        <v>1994</v>
      </c>
      <c r="O9" s="4">
        <v>2204</v>
      </c>
      <c r="P9" s="4">
        <v>2305</v>
      </c>
      <c r="Q9" s="4">
        <v>2297</v>
      </c>
      <c r="R9" s="4">
        <f t="shared" si="3"/>
        <v>2369</v>
      </c>
      <c r="S9" s="4"/>
      <c r="T9" s="4">
        <v>6124</v>
      </c>
      <c r="U9" s="4">
        <v>6409</v>
      </c>
      <c r="V9" s="4">
        <v>6943</v>
      </c>
      <c r="W9" s="4">
        <v>7407</v>
      </c>
      <c r="X9" s="4">
        <v>7900</v>
      </c>
      <c r="Y9" s="4">
        <v>7594</v>
      </c>
      <c r="Z9" s="4">
        <v>7760</v>
      </c>
      <c r="AA9" s="4">
        <v>9175</v>
      </c>
      <c r="AB9" s="4"/>
      <c r="AC9" s="4"/>
      <c r="AD9" s="4"/>
      <c r="AE9" s="4"/>
      <c r="AF9" s="4"/>
      <c r="AG9" s="4"/>
      <c r="AH9" s="4"/>
      <c r="AI9" s="4"/>
      <c r="AJ9" s="4"/>
    </row>
    <row r="10" spans="1:36" x14ac:dyDescent="0.2">
      <c r="A10" s="7"/>
      <c r="B10" s="2" t="s">
        <v>123</v>
      </c>
      <c r="C10" s="4">
        <v>1260</v>
      </c>
      <c r="D10" s="4">
        <v>1302</v>
      </c>
      <c r="E10" s="4">
        <v>1389</v>
      </c>
      <c r="F10" s="4">
        <f t="shared" si="0"/>
        <v>1845</v>
      </c>
      <c r="G10" s="4">
        <v>1540</v>
      </c>
      <c r="H10" s="4">
        <v>1576</v>
      </c>
      <c r="I10" s="4">
        <v>1646</v>
      </c>
      <c r="J10" s="4">
        <f t="shared" si="1"/>
        <v>2069</v>
      </c>
      <c r="K10" s="4">
        <v>1849</v>
      </c>
      <c r="L10" s="4">
        <v>1913</v>
      </c>
      <c r="M10" s="4">
        <v>1929</v>
      </c>
      <c r="N10" s="4">
        <f t="shared" si="2"/>
        <v>2136</v>
      </c>
      <c r="O10" s="4">
        <v>2136</v>
      </c>
      <c r="P10" s="4">
        <v>2204</v>
      </c>
      <c r="Q10" s="4">
        <v>2292</v>
      </c>
      <c r="R10" s="4">
        <f t="shared" si="3"/>
        <v>2374</v>
      </c>
      <c r="S10" s="4"/>
      <c r="T10" s="4">
        <v>0</v>
      </c>
      <c r="U10" s="4">
        <v>0</v>
      </c>
      <c r="V10" s="4">
        <v>0</v>
      </c>
      <c r="W10" s="4">
        <v>0</v>
      </c>
      <c r="X10" s="4">
        <v>5796</v>
      </c>
      <c r="Y10" s="4">
        <v>6831</v>
      </c>
      <c r="Z10" s="4">
        <v>7827</v>
      </c>
      <c r="AA10" s="4">
        <v>9006</v>
      </c>
      <c r="AB10" s="4"/>
      <c r="AC10" s="4"/>
      <c r="AD10" s="4"/>
      <c r="AE10" s="4"/>
      <c r="AF10" s="4"/>
      <c r="AG10" s="4"/>
      <c r="AH10" s="4"/>
      <c r="AI10" s="4"/>
      <c r="AJ10" s="4"/>
    </row>
    <row r="11" spans="1:36" x14ac:dyDescent="0.2">
      <c r="A11" s="7"/>
      <c r="B11" s="2" t="s">
        <v>124</v>
      </c>
      <c r="C11" s="4">
        <v>1448</v>
      </c>
      <c r="D11" s="4">
        <v>1430</v>
      </c>
      <c r="E11" s="4">
        <v>1282</v>
      </c>
      <c r="F11" s="4">
        <f t="shared" si="0"/>
        <v>2257</v>
      </c>
      <c r="G11" s="4">
        <v>1125</v>
      </c>
      <c r="H11" s="4">
        <v>1298</v>
      </c>
      <c r="I11" s="4">
        <v>1067</v>
      </c>
      <c r="J11" s="4">
        <f t="shared" si="1"/>
        <v>3158</v>
      </c>
      <c r="K11" s="4">
        <v>1727</v>
      </c>
      <c r="L11" s="4">
        <v>1821</v>
      </c>
      <c r="M11" s="4">
        <v>1821</v>
      </c>
      <c r="N11" s="4">
        <f t="shared" si="2"/>
        <v>2035</v>
      </c>
      <c r="O11" s="4">
        <v>2022</v>
      </c>
      <c r="P11" s="4">
        <v>2038</v>
      </c>
      <c r="Q11" s="4">
        <v>2087</v>
      </c>
      <c r="R11" s="4">
        <f t="shared" si="3"/>
        <v>2113</v>
      </c>
      <c r="S11" s="4"/>
      <c r="T11" s="4">
        <v>6095</v>
      </c>
      <c r="U11" s="4">
        <v>6457</v>
      </c>
      <c r="V11" s="4">
        <v>6791</v>
      </c>
      <c r="W11" s="4">
        <v>6991</v>
      </c>
      <c r="X11" s="4">
        <v>6417</v>
      </c>
      <c r="Y11" s="4">
        <v>6648</v>
      </c>
      <c r="Z11" s="4">
        <v>7404</v>
      </c>
      <c r="AA11" s="4">
        <v>8260</v>
      </c>
      <c r="AB11" s="4"/>
      <c r="AC11" s="4"/>
      <c r="AD11" s="4"/>
      <c r="AE11" s="4"/>
      <c r="AF11" s="4"/>
      <c r="AG11" s="4"/>
      <c r="AH11" s="4"/>
      <c r="AI11" s="4"/>
      <c r="AJ11" s="4"/>
    </row>
    <row r="12" spans="1:36" x14ac:dyDescent="0.2">
      <c r="A12" s="7"/>
      <c r="B12" s="2" t="s">
        <v>43</v>
      </c>
      <c r="C12" s="4">
        <v>56</v>
      </c>
      <c r="D12" s="4">
        <v>39</v>
      </c>
      <c r="E12" s="4">
        <v>16</v>
      </c>
      <c r="F12" s="4">
        <f t="shared" si="0"/>
        <v>8</v>
      </c>
      <c r="G12" s="4">
        <v>8</v>
      </c>
      <c r="H12" s="4">
        <v>11</v>
      </c>
      <c r="I12" s="4">
        <v>14</v>
      </c>
      <c r="J12" s="4">
        <f t="shared" si="1"/>
        <v>12</v>
      </c>
      <c r="K12" s="4">
        <v>10</v>
      </c>
      <c r="L12" s="4">
        <v>10</v>
      </c>
      <c r="M12" s="4">
        <v>46</v>
      </c>
      <c r="N12" s="4">
        <f t="shared" si="2"/>
        <v>6</v>
      </c>
      <c r="O12" s="4">
        <v>3</v>
      </c>
      <c r="P12" s="4">
        <v>6</v>
      </c>
      <c r="Q12" s="4">
        <v>3</v>
      </c>
      <c r="R12" s="4">
        <f t="shared" si="3"/>
        <v>97</v>
      </c>
      <c r="S12" s="4"/>
      <c r="T12" s="4">
        <v>3070</v>
      </c>
      <c r="U12" s="4">
        <v>3768</v>
      </c>
      <c r="V12" s="4">
        <v>4479</v>
      </c>
      <c r="W12" s="4">
        <v>5291</v>
      </c>
      <c r="X12" s="4">
        <v>119</v>
      </c>
      <c r="Y12" s="4">
        <v>45</v>
      </c>
      <c r="Z12" s="4">
        <v>72</v>
      </c>
      <c r="AA12" s="4">
        <v>109</v>
      </c>
      <c r="AB12" s="4"/>
      <c r="AC12" s="4"/>
      <c r="AD12" s="4"/>
      <c r="AE12" s="4"/>
      <c r="AF12" s="4"/>
      <c r="AG12" s="4"/>
      <c r="AH12" s="4"/>
      <c r="AI12" s="4"/>
      <c r="AJ12" s="4"/>
    </row>
    <row r="13" spans="1:36" x14ac:dyDescent="0.2">
      <c r="A13" s="7"/>
      <c r="B13" s="2" t="s">
        <v>116</v>
      </c>
      <c r="C13" s="4">
        <v>16465</v>
      </c>
      <c r="D13" s="4">
        <v>17002</v>
      </c>
      <c r="E13" s="4">
        <v>17516</v>
      </c>
      <c r="F13" s="4">
        <f t="shared" si="0"/>
        <v>43168</v>
      </c>
      <c r="G13" s="4">
        <v>18592</v>
      </c>
      <c r="H13" s="4">
        <v>19249</v>
      </c>
      <c r="I13" s="4">
        <v>19570</v>
      </c>
      <c r="J13" s="4">
        <f t="shared" si="1"/>
        <v>49409</v>
      </c>
      <c r="K13" s="4">
        <v>28317</v>
      </c>
      <c r="L13" s="4">
        <v>29437</v>
      </c>
      <c r="M13" s="4">
        <v>29944</v>
      </c>
      <c r="N13" s="4">
        <f t="shared" si="2"/>
        <v>33112</v>
      </c>
      <c r="O13" s="4">
        <v>33020</v>
      </c>
      <c r="P13" s="4">
        <v>34116</v>
      </c>
      <c r="Q13" s="4">
        <v>35013</v>
      </c>
      <c r="R13" s="4">
        <f t="shared" si="3"/>
        <v>37847</v>
      </c>
      <c r="S13" s="4"/>
      <c r="T13" s="4">
        <v>41160</v>
      </c>
      <c r="U13" s="4">
        <v>46398</v>
      </c>
      <c r="V13" s="4">
        <v>53915</v>
      </c>
      <c r="W13" s="4">
        <v>63364</v>
      </c>
      <c r="X13" s="4">
        <v>94151</v>
      </c>
      <c r="Y13" s="4">
        <v>106820</v>
      </c>
      <c r="Z13" s="4">
        <v>120810</v>
      </c>
      <c r="AA13" s="4">
        <v>139996</v>
      </c>
      <c r="AB13" s="4"/>
      <c r="AC13" s="4"/>
      <c r="AD13" s="4"/>
      <c r="AE13" s="4"/>
      <c r="AF13" s="4"/>
      <c r="AG13" s="4"/>
      <c r="AH13" s="4"/>
      <c r="AI13" s="4"/>
      <c r="AJ13" s="4"/>
    </row>
    <row r="14" spans="1:36" x14ac:dyDescent="0.2">
      <c r="A14" s="7"/>
      <c r="B14" s="2" t="s">
        <v>117</v>
      </c>
      <c r="C14" s="4">
        <v>20325</v>
      </c>
      <c r="D14" s="4">
        <v>21508</v>
      </c>
      <c r="E14" s="4">
        <v>22081</v>
      </c>
      <c r="F14" s="4">
        <f t="shared" si="0"/>
        <v>9030</v>
      </c>
      <c r="G14" s="4">
        <v>24259</v>
      </c>
      <c r="H14" s="4">
        <v>25880</v>
      </c>
      <c r="I14" s="4">
        <v>26708</v>
      </c>
      <c r="J14" s="4">
        <f t="shared" si="1"/>
        <v>10617</v>
      </c>
      <c r="K14" s="4">
        <v>24092</v>
      </c>
      <c r="L14" s="4">
        <v>25544</v>
      </c>
      <c r="M14" s="4">
        <v>26751</v>
      </c>
      <c r="N14" s="4">
        <f t="shared" si="2"/>
        <v>29878</v>
      </c>
      <c r="O14" s="4">
        <v>30897</v>
      </c>
      <c r="P14" s="4">
        <v>32907</v>
      </c>
      <c r="Q14" s="4">
        <v>34681</v>
      </c>
      <c r="R14" s="4">
        <f t="shared" si="3"/>
        <v>39306</v>
      </c>
      <c r="S14" s="4"/>
      <c r="T14" s="4">
        <v>38985</v>
      </c>
      <c r="U14" s="4">
        <v>48366</v>
      </c>
      <c r="V14" s="4">
        <v>60080</v>
      </c>
      <c r="W14" s="4">
        <v>75251</v>
      </c>
      <c r="X14" s="4">
        <v>72944</v>
      </c>
      <c r="Y14" s="4">
        <v>87464</v>
      </c>
      <c r="Z14" s="4">
        <v>106265</v>
      </c>
      <c r="AA14" s="4">
        <v>137791</v>
      </c>
      <c r="AB14" s="4"/>
      <c r="AC14" s="4"/>
      <c r="AD14" s="4"/>
      <c r="AE14" s="4"/>
      <c r="AF14" s="4"/>
      <c r="AG14" s="4"/>
      <c r="AH14" s="4"/>
      <c r="AI14" s="4"/>
      <c r="AJ14" s="4"/>
    </row>
    <row r="15" spans="1:36" x14ac:dyDescent="0.2">
      <c r="A15" s="7"/>
      <c r="B15" s="2" t="s">
        <v>118</v>
      </c>
      <c r="C15" s="4">
        <v>13332</v>
      </c>
      <c r="D15" s="4">
        <v>14237</v>
      </c>
      <c r="E15" s="4">
        <v>13260</v>
      </c>
      <c r="F15" s="4">
        <f t="shared" si="0"/>
        <v>3991</v>
      </c>
      <c r="G15" s="4">
        <v>13666</v>
      </c>
      <c r="H15" s="4">
        <v>16891</v>
      </c>
      <c r="I15" s="4">
        <v>15580</v>
      </c>
      <c r="J15" s="4">
        <f t="shared" si="1"/>
        <v>4701</v>
      </c>
      <c r="K15" s="4">
        <v>13176</v>
      </c>
      <c r="L15" s="4">
        <v>14651</v>
      </c>
      <c r="M15" s="4">
        <v>13371</v>
      </c>
      <c r="N15" s="4">
        <f t="shared" si="2"/>
        <v>13271</v>
      </c>
      <c r="O15" s="4">
        <v>13756</v>
      </c>
      <c r="P15" s="4">
        <v>14250</v>
      </c>
      <c r="Q15" s="4">
        <v>13192</v>
      </c>
      <c r="R15" s="4">
        <f t="shared" si="3"/>
        <v>12854</v>
      </c>
      <c r="S15" s="4"/>
      <c r="T15" s="4">
        <v>45698</v>
      </c>
      <c r="U15" s="4">
        <v>48251</v>
      </c>
      <c r="V15" s="4">
        <v>54093</v>
      </c>
      <c r="W15" s="4">
        <v>59655</v>
      </c>
      <c r="X15" s="4">
        <v>44820</v>
      </c>
      <c r="Y15" s="4">
        <v>50838</v>
      </c>
      <c r="Z15" s="4">
        <v>54469</v>
      </c>
      <c r="AA15" s="4">
        <v>54052</v>
      </c>
      <c r="AB15" s="4"/>
      <c r="AC15" s="4"/>
      <c r="AD15" s="4"/>
      <c r="AE15" s="4"/>
      <c r="AF15" s="4"/>
      <c r="AG15" s="4"/>
      <c r="AH15" s="4"/>
      <c r="AI15" s="4"/>
      <c r="AJ15" s="4"/>
    </row>
    <row r="16" spans="1:36" x14ac:dyDescent="0.2">
      <c r="B16" s="2" t="s">
        <v>17</v>
      </c>
      <c r="C16" s="4">
        <v>15741</v>
      </c>
      <c r="D16" s="4">
        <v>16517</v>
      </c>
      <c r="E16" s="4">
        <v>15588</v>
      </c>
      <c r="F16" s="4">
        <f t="shared" si="0"/>
        <v>16853</v>
      </c>
      <c r="G16" s="4">
        <v>15535</v>
      </c>
      <c r="H16" s="4">
        <v>18941</v>
      </c>
      <c r="I16" s="4">
        <v>17080</v>
      </c>
      <c r="J16" s="4">
        <f t="shared" si="1"/>
        <v>13217</v>
      </c>
      <c r="K16" s="4">
        <v>15272</v>
      </c>
      <c r="L16" s="4">
        <v>16219</v>
      </c>
      <c r="M16" s="4">
        <v>15319</v>
      </c>
      <c r="N16" s="4">
        <f t="shared" si="2"/>
        <v>17136</v>
      </c>
      <c r="O16" s="4">
        <v>15922</v>
      </c>
      <c r="P16" s="4">
        <v>16451</v>
      </c>
      <c r="Q16" s="4">
        <v>15089</v>
      </c>
      <c r="R16" s="4">
        <f t="shared" si="3"/>
        <v>17234</v>
      </c>
      <c r="S16" s="4"/>
      <c r="T16" s="4">
        <v>66069</v>
      </c>
      <c r="U16" s="4">
        <v>68041</v>
      </c>
      <c r="V16" s="4">
        <v>71074</v>
      </c>
      <c r="W16" s="4">
        <v>72732</v>
      </c>
      <c r="X16" s="4">
        <v>64699</v>
      </c>
      <c r="Y16" s="4">
        <v>64773</v>
      </c>
      <c r="Z16" s="4">
        <v>63946</v>
      </c>
      <c r="AA16" s="4">
        <v>64696</v>
      </c>
      <c r="AB16" s="4"/>
      <c r="AC16" s="4"/>
      <c r="AD16" s="4"/>
      <c r="AE16" s="4"/>
      <c r="AF16" s="4"/>
      <c r="AG16" s="4"/>
      <c r="AH16" s="4"/>
      <c r="AI16" s="4"/>
      <c r="AJ16" s="4"/>
    </row>
    <row r="17" spans="2:70" x14ac:dyDescent="0.2">
      <c r="B17" s="2" t="s">
        <v>18</v>
      </c>
      <c r="C17" s="4">
        <v>34381</v>
      </c>
      <c r="D17" s="4">
        <v>36230</v>
      </c>
      <c r="E17" s="4">
        <v>37269</v>
      </c>
      <c r="F17" s="4">
        <f t="shared" si="0"/>
        <v>39336</v>
      </c>
      <c r="G17" s="4">
        <v>40982</v>
      </c>
      <c r="H17" s="4">
        <v>43079</v>
      </c>
      <c r="I17" s="4">
        <v>44778</v>
      </c>
      <c r="J17" s="4">
        <f t="shared" si="1"/>
        <v>51510</v>
      </c>
      <c r="K17" s="4">
        <v>50313</v>
      </c>
      <c r="L17" s="4">
        <v>53413</v>
      </c>
      <c r="M17" s="4">
        <v>54747</v>
      </c>
      <c r="N17" s="4">
        <f t="shared" si="2"/>
        <v>59305</v>
      </c>
      <c r="O17" s="4">
        <v>61751</v>
      </c>
      <c r="P17" s="4">
        <v>64822</v>
      </c>
      <c r="Q17" s="4">
        <v>67797</v>
      </c>
      <c r="R17" s="4">
        <f t="shared" si="3"/>
        <v>72773</v>
      </c>
      <c r="S17" s="4"/>
      <c r="T17" s="4">
        <v>59774</v>
      </c>
      <c r="U17" s="4">
        <v>74974</v>
      </c>
      <c r="V17" s="4">
        <v>97014</v>
      </c>
      <c r="W17" s="4">
        <v>125538</v>
      </c>
      <c r="X17" s="4">
        <v>147216</v>
      </c>
      <c r="Y17" s="4">
        <v>180349</v>
      </c>
      <c r="Z17" s="4">
        <v>217778</v>
      </c>
      <c r="AA17" s="4">
        <v>267143</v>
      </c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</row>
    <row r="18" spans="2:70" x14ac:dyDescent="0.2">
      <c r="B18" s="1" t="s">
        <v>19</v>
      </c>
      <c r="C18" s="22">
        <f t="shared" ref="C18:Q18" si="4">+C16+C17</f>
        <v>50122</v>
      </c>
      <c r="D18" s="22">
        <f t="shared" si="4"/>
        <v>52747</v>
      </c>
      <c r="E18" s="22">
        <f t="shared" ref="E18" si="5">+E16+E17</f>
        <v>52857</v>
      </c>
      <c r="F18" s="22">
        <f t="shared" si="4"/>
        <v>56189</v>
      </c>
      <c r="G18" s="22">
        <f t="shared" si="4"/>
        <v>56517</v>
      </c>
      <c r="H18" s="22">
        <f t="shared" si="4"/>
        <v>62020</v>
      </c>
      <c r="I18" s="22">
        <f t="shared" si="4"/>
        <v>61858</v>
      </c>
      <c r="J18" s="22">
        <f t="shared" si="4"/>
        <v>64727</v>
      </c>
      <c r="K18" s="22">
        <f>+K16+K17</f>
        <v>65585</v>
      </c>
      <c r="L18" s="22">
        <f t="shared" si="4"/>
        <v>69632</v>
      </c>
      <c r="M18" s="22">
        <f t="shared" si="4"/>
        <v>70066</v>
      </c>
      <c r="N18" s="22">
        <f t="shared" si="4"/>
        <v>76441</v>
      </c>
      <c r="O18" s="22">
        <f t="shared" si="4"/>
        <v>77673</v>
      </c>
      <c r="P18" s="22">
        <f t="shared" si="4"/>
        <v>81273</v>
      </c>
      <c r="Q18" s="22">
        <f t="shared" si="4"/>
        <v>82886</v>
      </c>
      <c r="R18" s="22">
        <f t="shared" si="3"/>
        <v>90007</v>
      </c>
      <c r="S18" s="4"/>
      <c r="T18" s="22">
        <f t="shared" ref="T18:X18" si="6">+T16+T17</f>
        <v>125843</v>
      </c>
      <c r="U18" s="22">
        <f t="shared" si="6"/>
        <v>143015</v>
      </c>
      <c r="V18" s="22">
        <f t="shared" si="6"/>
        <v>168088</v>
      </c>
      <c r="W18" s="22">
        <f t="shared" si="6"/>
        <v>198270</v>
      </c>
      <c r="X18" s="22">
        <f t="shared" si="6"/>
        <v>211915</v>
      </c>
      <c r="Y18" s="22">
        <f>+Y16+Y17</f>
        <v>245122</v>
      </c>
      <c r="Z18" s="22">
        <f>+Z16+Z17</f>
        <v>281724</v>
      </c>
      <c r="AA18" s="22">
        <v>331839</v>
      </c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</row>
    <row r="19" spans="2:70" x14ac:dyDescent="0.2">
      <c r="B19" s="2" t="s">
        <v>20</v>
      </c>
      <c r="C19" s="4">
        <v>4302</v>
      </c>
      <c r="D19" s="4">
        <v>5690</v>
      </c>
      <c r="E19" s="4">
        <v>3941</v>
      </c>
      <c r="F19" s="4">
        <f>X19-SUM(C19:E19)</f>
        <v>3871</v>
      </c>
      <c r="G19" s="4">
        <v>3531</v>
      </c>
      <c r="H19" s="4">
        <v>5964</v>
      </c>
      <c r="I19" s="4">
        <v>4339</v>
      </c>
      <c r="J19" s="4">
        <f>+Y19-SUM(G19:I19)</f>
        <v>1438</v>
      </c>
      <c r="K19" s="4">
        <v>3294</v>
      </c>
      <c r="L19" s="4">
        <v>3856</v>
      </c>
      <c r="M19" s="4">
        <v>3037</v>
      </c>
      <c r="N19" s="4">
        <f t="shared" si="2"/>
        <v>3314</v>
      </c>
      <c r="O19" s="4">
        <v>2922</v>
      </c>
      <c r="P19" s="4">
        <v>3505</v>
      </c>
      <c r="Q19" s="4">
        <v>2733</v>
      </c>
      <c r="R19" s="4">
        <f t="shared" si="3"/>
        <v>2938</v>
      </c>
      <c r="S19" s="4"/>
      <c r="T19" s="4">
        <v>16273</v>
      </c>
      <c r="U19" s="4">
        <v>16017</v>
      </c>
      <c r="V19" s="4">
        <v>18219</v>
      </c>
      <c r="W19" s="4">
        <v>19064</v>
      </c>
      <c r="X19" s="4">
        <v>17804</v>
      </c>
      <c r="Y19" s="4">
        <v>15272</v>
      </c>
      <c r="Z19" s="4">
        <v>13501</v>
      </c>
      <c r="AA19" s="4">
        <v>12098</v>
      </c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</row>
    <row r="20" spans="2:70" x14ac:dyDescent="0.2">
      <c r="B20" s="2" t="s">
        <v>21</v>
      </c>
      <c r="C20" s="4">
        <v>11150</v>
      </c>
      <c r="D20" s="4">
        <v>11798</v>
      </c>
      <c r="E20" s="4">
        <v>12187</v>
      </c>
      <c r="F20" s="4">
        <f>X20-SUM(C20:E20)</f>
        <v>12924</v>
      </c>
      <c r="G20" s="4">
        <v>12771</v>
      </c>
      <c r="H20" s="4">
        <v>13659</v>
      </c>
      <c r="I20" s="4">
        <v>14166</v>
      </c>
      <c r="J20" s="4">
        <f>+Y20-SUM(G20:I20)</f>
        <v>18246</v>
      </c>
      <c r="K20" s="4">
        <v>16805</v>
      </c>
      <c r="L20" s="4">
        <v>17943</v>
      </c>
      <c r="M20" s="4">
        <v>18882</v>
      </c>
      <c r="N20" s="4">
        <f t="shared" si="2"/>
        <v>20700</v>
      </c>
      <c r="O20" s="4">
        <v>21121</v>
      </c>
      <c r="P20" s="4">
        <v>22473</v>
      </c>
      <c r="Q20" s="4">
        <v>24095</v>
      </c>
      <c r="R20" s="4">
        <f t="shared" si="3"/>
        <v>26587</v>
      </c>
      <c r="S20" s="4"/>
      <c r="T20" s="4">
        <v>26637</v>
      </c>
      <c r="U20" s="4">
        <v>30061</v>
      </c>
      <c r="V20" s="4">
        <v>34013</v>
      </c>
      <c r="W20" s="4">
        <v>43586</v>
      </c>
      <c r="X20" s="4">
        <v>48059</v>
      </c>
      <c r="Y20" s="4">
        <v>58842</v>
      </c>
      <c r="Z20" s="4">
        <v>74330</v>
      </c>
      <c r="AA20" s="4">
        <v>94276</v>
      </c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</row>
    <row r="21" spans="2:70" x14ac:dyDescent="0.2">
      <c r="B21" s="2" t="s">
        <v>22</v>
      </c>
      <c r="C21" s="4">
        <f t="shared" ref="C21:R21" si="7">+C18-SUM(C19:C20)</f>
        <v>34670</v>
      </c>
      <c r="D21" s="4">
        <f t="shared" si="7"/>
        <v>35259</v>
      </c>
      <c r="E21" s="4">
        <f t="shared" ref="E21" si="8">+E18-SUM(E19:E20)</f>
        <v>36729</v>
      </c>
      <c r="F21" s="4">
        <f t="shared" si="7"/>
        <v>39394</v>
      </c>
      <c r="G21" s="4">
        <f t="shared" si="7"/>
        <v>40215</v>
      </c>
      <c r="H21" s="4">
        <f t="shared" si="7"/>
        <v>42397</v>
      </c>
      <c r="I21" s="4">
        <f t="shared" si="7"/>
        <v>43353</v>
      </c>
      <c r="J21" s="4">
        <f t="shared" si="7"/>
        <v>45043</v>
      </c>
      <c r="K21" s="4">
        <f t="shared" si="7"/>
        <v>45486</v>
      </c>
      <c r="L21" s="4">
        <f t="shared" si="7"/>
        <v>47833</v>
      </c>
      <c r="M21" s="4">
        <f t="shared" si="7"/>
        <v>48147</v>
      </c>
      <c r="N21" s="4">
        <f t="shared" si="7"/>
        <v>52427</v>
      </c>
      <c r="O21" s="4">
        <f t="shared" si="7"/>
        <v>53630</v>
      </c>
      <c r="P21" s="4">
        <f t="shared" si="7"/>
        <v>55295</v>
      </c>
      <c r="Q21" s="4">
        <f t="shared" si="7"/>
        <v>56058</v>
      </c>
      <c r="R21" s="4">
        <f t="shared" si="7"/>
        <v>60482</v>
      </c>
      <c r="S21" s="4"/>
      <c r="T21" s="4">
        <f t="shared" ref="T21:X21" si="9">+T18-SUM(T19:T20)</f>
        <v>82933</v>
      </c>
      <c r="U21" s="4">
        <f t="shared" si="9"/>
        <v>96937</v>
      </c>
      <c r="V21" s="4">
        <f t="shared" si="9"/>
        <v>115856</v>
      </c>
      <c r="W21" s="4">
        <f t="shared" si="9"/>
        <v>135620</v>
      </c>
      <c r="X21" s="4">
        <f t="shared" si="9"/>
        <v>146052</v>
      </c>
      <c r="Y21" s="4">
        <f>+Y18-SUM(Y19:Y20)</f>
        <v>171008</v>
      </c>
      <c r="Z21" s="4">
        <f>+Z18-SUM(Z19:Z20)</f>
        <v>193893</v>
      </c>
      <c r="AA21" s="4">
        <f>+AA18-SUM(AA19:AA20)</f>
        <v>225465</v>
      </c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</row>
    <row r="22" spans="2:70" x14ac:dyDescent="0.2">
      <c r="B22" s="2" t="s">
        <v>24</v>
      </c>
      <c r="C22" s="4">
        <v>6628</v>
      </c>
      <c r="D22" s="4">
        <v>6844</v>
      </c>
      <c r="E22" s="4">
        <v>6984</v>
      </c>
      <c r="F22" s="4">
        <f>X22-SUM(C22:E22)</f>
        <v>6739</v>
      </c>
      <c r="G22" s="4">
        <v>6659</v>
      </c>
      <c r="H22" s="4">
        <v>7142</v>
      </c>
      <c r="I22" s="4">
        <v>7653</v>
      </c>
      <c r="J22" s="4">
        <f>+Y22-SUM(G22:I22)</f>
        <v>8056</v>
      </c>
      <c r="K22" s="4">
        <v>7544</v>
      </c>
      <c r="L22" s="4">
        <v>7917</v>
      </c>
      <c r="M22" s="4">
        <v>8198</v>
      </c>
      <c r="N22" s="4">
        <f t="shared" si="2"/>
        <v>8829</v>
      </c>
      <c r="O22" s="4">
        <v>8146</v>
      </c>
      <c r="P22" s="4">
        <v>8504</v>
      </c>
      <c r="Q22" s="4">
        <v>8915</v>
      </c>
      <c r="R22" s="4">
        <f t="shared" si="3"/>
        <v>9997</v>
      </c>
      <c r="S22" s="4"/>
      <c r="T22" s="4">
        <v>16876</v>
      </c>
      <c r="U22" s="4">
        <v>19269</v>
      </c>
      <c r="V22" s="4">
        <v>20716</v>
      </c>
      <c r="W22" s="4">
        <v>24512</v>
      </c>
      <c r="X22" s="4">
        <v>27195</v>
      </c>
      <c r="Y22" s="4">
        <v>29510</v>
      </c>
      <c r="Z22" s="4">
        <v>32488</v>
      </c>
      <c r="AA22" s="4">
        <v>35562</v>
      </c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</row>
    <row r="23" spans="2:70" x14ac:dyDescent="0.2">
      <c r="B23" s="2" t="s">
        <v>25</v>
      </c>
      <c r="C23" s="4">
        <v>5126</v>
      </c>
      <c r="D23" s="4">
        <v>5679</v>
      </c>
      <c r="E23" s="4">
        <v>5750</v>
      </c>
      <c r="F23" s="4">
        <f>X23-SUM(C23:E23)</f>
        <v>6204</v>
      </c>
      <c r="G23" s="4">
        <v>5187</v>
      </c>
      <c r="H23" s="4">
        <v>6246</v>
      </c>
      <c r="I23" s="4">
        <v>6207</v>
      </c>
      <c r="J23" s="4">
        <f>+Y23-SUM(G23:I23)</f>
        <v>6816</v>
      </c>
      <c r="K23" s="4">
        <v>5717</v>
      </c>
      <c r="L23" s="4">
        <v>6440</v>
      </c>
      <c r="M23" s="4">
        <v>6212</v>
      </c>
      <c r="N23" s="4">
        <f t="shared" si="2"/>
        <v>7285</v>
      </c>
      <c r="O23" s="4">
        <v>5717</v>
      </c>
      <c r="P23" s="4">
        <v>6584</v>
      </c>
      <c r="Q23" s="4">
        <v>6814</v>
      </c>
      <c r="R23" s="4">
        <f t="shared" si="3"/>
        <v>7595</v>
      </c>
      <c r="S23" s="4"/>
      <c r="T23" s="4">
        <v>18213</v>
      </c>
      <c r="U23" s="4">
        <v>19598</v>
      </c>
      <c r="V23" s="4">
        <v>20117</v>
      </c>
      <c r="W23" s="4">
        <v>21825</v>
      </c>
      <c r="X23" s="4">
        <v>22759</v>
      </c>
      <c r="Y23" s="4">
        <v>24456</v>
      </c>
      <c r="Z23" s="4">
        <v>25654</v>
      </c>
      <c r="AA23" s="4">
        <v>26710</v>
      </c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</row>
    <row r="24" spans="2:70" x14ac:dyDescent="0.2">
      <c r="B24" s="2" t="s">
        <v>26</v>
      </c>
      <c r="C24" s="4">
        <v>1398</v>
      </c>
      <c r="D24" s="4">
        <v>2337</v>
      </c>
      <c r="E24" s="4">
        <v>1643</v>
      </c>
      <c r="F24" s="4">
        <f>X24-SUM(C24:E24)</f>
        <v>2197</v>
      </c>
      <c r="G24" s="4">
        <v>1474</v>
      </c>
      <c r="H24" s="4">
        <v>1977</v>
      </c>
      <c r="I24" s="4">
        <v>1912</v>
      </c>
      <c r="J24" s="4">
        <f>+Y24-SUM(G24:I24)</f>
        <v>2246</v>
      </c>
      <c r="K24" s="4">
        <v>1673</v>
      </c>
      <c r="L24" s="4">
        <v>1823</v>
      </c>
      <c r="M24" s="4">
        <v>1737</v>
      </c>
      <c r="N24" s="4">
        <f t="shared" si="2"/>
        <v>1990</v>
      </c>
      <c r="O24" s="4">
        <v>1806</v>
      </c>
      <c r="P24" s="4">
        <v>1932</v>
      </c>
      <c r="Q24" s="4">
        <v>1931</v>
      </c>
      <c r="R24" s="4">
        <f t="shared" si="3"/>
        <v>2287</v>
      </c>
      <c r="S24" s="4"/>
      <c r="T24" s="4">
        <v>4885</v>
      </c>
      <c r="U24" s="4">
        <v>5111</v>
      </c>
      <c r="V24" s="4">
        <v>5107</v>
      </c>
      <c r="W24" s="4">
        <v>5900</v>
      </c>
      <c r="X24" s="4">
        <v>7575</v>
      </c>
      <c r="Y24" s="4">
        <v>7609</v>
      </c>
      <c r="Z24" s="4">
        <v>7223</v>
      </c>
      <c r="AA24" s="4">
        <v>7956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</row>
    <row r="25" spans="2:70" x14ac:dyDescent="0.2">
      <c r="B25" s="2" t="s">
        <v>23</v>
      </c>
      <c r="C25" s="4">
        <f t="shared" ref="C25:R25" si="10">+C21-SUM(C22:C24)</f>
        <v>21518</v>
      </c>
      <c r="D25" s="4">
        <f t="shared" si="10"/>
        <v>20399</v>
      </c>
      <c r="E25" s="4">
        <f t="shared" ref="E25" si="11">+E21-SUM(E22:E24)</f>
        <v>22352</v>
      </c>
      <c r="F25" s="4">
        <f t="shared" si="10"/>
        <v>24254</v>
      </c>
      <c r="G25" s="4">
        <f t="shared" si="10"/>
        <v>26895</v>
      </c>
      <c r="H25" s="4">
        <f t="shared" si="10"/>
        <v>27032</v>
      </c>
      <c r="I25" s="4">
        <f t="shared" si="10"/>
        <v>27581</v>
      </c>
      <c r="J25" s="4">
        <f t="shared" si="10"/>
        <v>27925</v>
      </c>
      <c r="K25" s="4">
        <f t="shared" si="10"/>
        <v>30552</v>
      </c>
      <c r="L25" s="4">
        <f t="shared" si="10"/>
        <v>31653</v>
      </c>
      <c r="M25" s="4">
        <f t="shared" si="10"/>
        <v>32000</v>
      </c>
      <c r="N25" s="4">
        <f t="shared" si="10"/>
        <v>34323</v>
      </c>
      <c r="O25" s="4">
        <f t="shared" si="10"/>
        <v>37961</v>
      </c>
      <c r="P25" s="4">
        <f t="shared" si="10"/>
        <v>38275</v>
      </c>
      <c r="Q25" s="4">
        <f t="shared" si="10"/>
        <v>38398</v>
      </c>
      <c r="R25" s="4">
        <f t="shared" si="10"/>
        <v>40603</v>
      </c>
      <c r="S25" s="4"/>
      <c r="T25" s="4">
        <f t="shared" ref="T25:X25" si="12">+T21-SUM(T22:T24)</f>
        <v>42959</v>
      </c>
      <c r="U25" s="4">
        <f t="shared" si="12"/>
        <v>52959</v>
      </c>
      <c r="V25" s="4">
        <f t="shared" si="12"/>
        <v>69916</v>
      </c>
      <c r="W25" s="4">
        <f t="shared" si="12"/>
        <v>83383</v>
      </c>
      <c r="X25" s="4">
        <f t="shared" si="12"/>
        <v>88523</v>
      </c>
      <c r="Y25" s="4">
        <f>+Y21-SUM(Y22:Y24)</f>
        <v>109433</v>
      </c>
      <c r="Z25" s="4">
        <f>+Z21-SUM(Z22:Z24)</f>
        <v>128528</v>
      </c>
      <c r="AA25" s="4">
        <f>+AA21-SUM(AA22:AA24)</f>
        <v>155237</v>
      </c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</row>
    <row r="26" spans="2:70" x14ac:dyDescent="0.2">
      <c r="B26" s="2" t="s">
        <v>27</v>
      </c>
      <c r="C26" s="4">
        <v>54</v>
      </c>
      <c r="D26" s="4">
        <v>-60</v>
      </c>
      <c r="E26" s="4">
        <v>321</v>
      </c>
      <c r="F26" s="4">
        <f>X26-SUM(C26:E26)</f>
        <v>473</v>
      </c>
      <c r="G26" s="4">
        <v>389</v>
      </c>
      <c r="H26" s="4">
        <v>-506</v>
      </c>
      <c r="I26" s="4">
        <v>-854</v>
      </c>
      <c r="J26" s="4">
        <f>+Y26-SUM(G26:I26)</f>
        <v>-675</v>
      </c>
      <c r="K26" s="4">
        <v>-283</v>
      </c>
      <c r="L26" s="4">
        <v>-2288</v>
      </c>
      <c r="M26" s="4">
        <v>-623</v>
      </c>
      <c r="N26" s="4">
        <f t="shared" si="2"/>
        <v>-1707</v>
      </c>
      <c r="O26" s="4">
        <v>-3660</v>
      </c>
      <c r="P26" s="4">
        <v>9971</v>
      </c>
      <c r="Q26" s="4">
        <v>942</v>
      </c>
      <c r="R26" s="4">
        <f t="shared" si="3"/>
        <v>3444</v>
      </c>
      <c r="S26" s="4"/>
      <c r="T26" s="4">
        <v>729</v>
      </c>
      <c r="U26" s="4">
        <v>77</v>
      </c>
      <c r="V26" s="4">
        <v>1186</v>
      </c>
      <c r="W26" s="4">
        <v>333</v>
      </c>
      <c r="X26" s="4">
        <v>788</v>
      </c>
      <c r="Y26" s="4">
        <v>-1646</v>
      </c>
      <c r="Z26" s="4">
        <v>-4901</v>
      </c>
      <c r="AA26" s="4">
        <v>10697</v>
      </c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</row>
    <row r="27" spans="2:70" x14ac:dyDescent="0.2">
      <c r="B27" s="2" t="s">
        <v>28</v>
      </c>
      <c r="C27" s="4">
        <f t="shared" ref="C27:R27" si="13">C25+C26</f>
        <v>21572</v>
      </c>
      <c r="D27" s="4">
        <f t="shared" si="13"/>
        <v>20339</v>
      </c>
      <c r="E27" s="4">
        <f t="shared" ref="E27" si="14">E25+E26</f>
        <v>22673</v>
      </c>
      <c r="F27" s="4">
        <f t="shared" si="13"/>
        <v>24727</v>
      </c>
      <c r="G27" s="4">
        <f t="shared" si="13"/>
        <v>27284</v>
      </c>
      <c r="H27" s="4">
        <f t="shared" si="13"/>
        <v>26526</v>
      </c>
      <c r="I27" s="4">
        <f t="shared" si="13"/>
        <v>26727</v>
      </c>
      <c r="J27" s="4">
        <f t="shared" si="13"/>
        <v>27250</v>
      </c>
      <c r="K27" s="4">
        <f t="shared" si="13"/>
        <v>30269</v>
      </c>
      <c r="L27" s="4">
        <f t="shared" si="13"/>
        <v>29365</v>
      </c>
      <c r="M27" s="4">
        <f t="shared" si="13"/>
        <v>31377</v>
      </c>
      <c r="N27" s="4">
        <f t="shared" si="13"/>
        <v>32616</v>
      </c>
      <c r="O27" s="4">
        <f t="shared" si="13"/>
        <v>34301</v>
      </c>
      <c r="P27" s="4">
        <f t="shared" si="13"/>
        <v>48246</v>
      </c>
      <c r="Q27" s="4">
        <f t="shared" si="13"/>
        <v>39340</v>
      </c>
      <c r="R27" s="4">
        <f t="shared" si="13"/>
        <v>44047</v>
      </c>
      <c r="S27" s="4"/>
      <c r="T27" s="4">
        <f t="shared" ref="T27:X27" si="15">T25+T26</f>
        <v>43688</v>
      </c>
      <c r="U27" s="4">
        <f t="shared" si="15"/>
        <v>53036</v>
      </c>
      <c r="V27" s="4">
        <f t="shared" si="15"/>
        <v>71102</v>
      </c>
      <c r="W27" s="4">
        <f t="shared" si="15"/>
        <v>83716</v>
      </c>
      <c r="X27" s="4">
        <f t="shared" si="15"/>
        <v>89311</v>
      </c>
      <c r="Y27" s="4">
        <f>Y25+Y26</f>
        <v>107787</v>
      </c>
      <c r="Z27" s="4">
        <f>Z25+Z26</f>
        <v>123627</v>
      </c>
      <c r="AA27" s="4">
        <f>AA25+AA26</f>
        <v>165934</v>
      </c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</row>
    <row r="28" spans="2:70" x14ac:dyDescent="0.2">
      <c r="B28" s="2" t="s">
        <v>29</v>
      </c>
      <c r="C28" s="4">
        <v>4016</v>
      </c>
      <c r="D28" s="4">
        <v>3914</v>
      </c>
      <c r="E28" s="4">
        <v>4374</v>
      </c>
      <c r="F28" s="4">
        <f>X28-SUM(C28:E28)</f>
        <v>4646</v>
      </c>
      <c r="G28" s="4">
        <v>4994</v>
      </c>
      <c r="H28" s="4">
        <v>4656</v>
      </c>
      <c r="I28" s="4">
        <v>4788</v>
      </c>
      <c r="J28" s="4">
        <f>+Y28-SUM(G28:I28)</f>
        <v>5213</v>
      </c>
      <c r="K28" s="4">
        <v>5602</v>
      </c>
      <c r="L28" s="4">
        <v>5257</v>
      </c>
      <c r="M28" s="4">
        <v>5553</v>
      </c>
      <c r="N28" s="4">
        <f t="shared" si="2"/>
        <v>5383</v>
      </c>
      <c r="O28" s="4">
        <v>6554</v>
      </c>
      <c r="P28" s="4">
        <v>9788</v>
      </c>
      <c r="Q28" s="4">
        <v>7562</v>
      </c>
      <c r="R28" s="4">
        <f t="shared" si="3"/>
        <v>8281</v>
      </c>
      <c r="S28" s="4"/>
      <c r="T28" s="4">
        <v>4448</v>
      </c>
      <c r="U28" s="4">
        <v>8755</v>
      </c>
      <c r="V28" s="4">
        <v>9831</v>
      </c>
      <c r="W28" s="4">
        <v>10978</v>
      </c>
      <c r="X28" s="4">
        <v>16950</v>
      </c>
      <c r="Y28" s="4">
        <v>19651</v>
      </c>
      <c r="Z28" s="4">
        <v>21795</v>
      </c>
      <c r="AA28" s="4">
        <v>32185</v>
      </c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</row>
    <row r="29" spans="2:70" x14ac:dyDescent="0.2">
      <c r="B29" s="2" t="s">
        <v>30</v>
      </c>
      <c r="C29" s="4">
        <f t="shared" ref="C29:R29" si="16">+C27-C28</f>
        <v>17556</v>
      </c>
      <c r="D29" s="4">
        <f t="shared" si="16"/>
        <v>16425</v>
      </c>
      <c r="E29" s="4">
        <f t="shared" ref="E29" si="17">+E27-E28</f>
        <v>18299</v>
      </c>
      <c r="F29" s="4">
        <f t="shared" si="16"/>
        <v>20081</v>
      </c>
      <c r="G29" s="4">
        <f t="shared" si="16"/>
        <v>22290</v>
      </c>
      <c r="H29" s="4">
        <f t="shared" si="16"/>
        <v>21870</v>
      </c>
      <c r="I29" s="4">
        <f t="shared" si="16"/>
        <v>21939</v>
      </c>
      <c r="J29" s="4">
        <f t="shared" si="16"/>
        <v>22037</v>
      </c>
      <c r="K29" s="4">
        <f t="shared" si="16"/>
        <v>24667</v>
      </c>
      <c r="L29" s="4">
        <f t="shared" si="16"/>
        <v>24108</v>
      </c>
      <c r="M29" s="4">
        <f t="shared" si="16"/>
        <v>25824</v>
      </c>
      <c r="N29" s="4">
        <f t="shared" si="16"/>
        <v>27233</v>
      </c>
      <c r="O29" s="4">
        <f t="shared" si="16"/>
        <v>27747</v>
      </c>
      <c r="P29" s="4">
        <f t="shared" si="16"/>
        <v>38458</v>
      </c>
      <c r="Q29" s="4">
        <f t="shared" si="16"/>
        <v>31778</v>
      </c>
      <c r="R29" s="4">
        <f t="shared" si="16"/>
        <v>35766</v>
      </c>
      <c r="S29" s="4"/>
      <c r="T29" s="4">
        <f t="shared" ref="T29:X29" si="18">+T27-T28</f>
        <v>39240</v>
      </c>
      <c r="U29" s="4">
        <f t="shared" si="18"/>
        <v>44281</v>
      </c>
      <c r="V29" s="4">
        <f t="shared" si="18"/>
        <v>61271</v>
      </c>
      <c r="W29" s="4">
        <f t="shared" si="18"/>
        <v>72738</v>
      </c>
      <c r="X29" s="4">
        <f t="shared" si="18"/>
        <v>72361</v>
      </c>
      <c r="Y29" s="4">
        <f>+Y27-Y28</f>
        <v>88136</v>
      </c>
      <c r="Z29" s="4">
        <f>+Z27-Z28</f>
        <v>101832</v>
      </c>
      <c r="AA29" s="4">
        <f>+AA27-AA28</f>
        <v>133749</v>
      </c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</row>
    <row r="30" spans="2:70" x14ac:dyDescent="0.2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</row>
    <row r="31" spans="2:70" x14ac:dyDescent="0.2">
      <c r="B31" s="2" t="s">
        <v>31</v>
      </c>
      <c r="C31" s="23">
        <f t="shared" ref="C31:R31" si="19">C29/C32</f>
        <v>2.3542979750569932</v>
      </c>
      <c r="D31" s="23">
        <f t="shared" si="19"/>
        <v>2.2044020936787008</v>
      </c>
      <c r="E31" s="23">
        <f t="shared" si="19"/>
        <v>2.4592124714420103</v>
      </c>
      <c r="F31" s="23">
        <f t="shared" si="19"/>
        <v>2.6968842331453131</v>
      </c>
      <c r="G31" s="23">
        <f t="shared" si="19"/>
        <v>3.0004038228563736</v>
      </c>
      <c r="H31" s="23">
        <f t="shared" si="19"/>
        <v>2.9426803013993541</v>
      </c>
      <c r="I31" s="23">
        <f t="shared" si="19"/>
        <v>2.952361727896649</v>
      </c>
      <c r="J31" s="23">
        <f t="shared" si="19"/>
        <v>2.9655497241286501</v>
      </c>
      <c r="K31" s="23">
        <f t="shared" si="19"/>
        <v>3.3185793084891699</v>
      </c>
      <c r="L31" s="23">
        <f t="shared" si="19"/>
        <v>3.2425016812373908</v>
      </c>
      <c r="M31" s="23">
        <f t="shared" si="19"/>
        <v>3.4737691686844228</v>
      </c>
      <c r="N31" s="23">
        <f t="shared" si="19"/>
        <v>3.6637965828064041</v>
      </c>
      <c r="O31" s="23">
        <f t="shared" si="19"/>
        <v>3.7329476658146103</v>
      </c>
      <c r="P31" s="23">
        <f t="shared" si="19"/>
        <v>5.1753465213295655</v>
      </c>
      <c r="Q31" s="23">
        <f t="shared" si="19"/>
        <v>4.2792889846485318</v>
      </c>
      <c r="R31" s="23">
        <f t="shared" si="19"/>
        <v>4.8163210342041474</v>
      </c>
      <c r="S31" s="4"/>
      <c r="T31" s="23">
        <f t="shared" ref="T31:X31" si="20">T29/T32</f>
        <v>5.114036230939659</v>
      </c>
      <c r="U31" s="23">
        <f t="shared" si="20"/>
        <v>5.8187910643889618</v>
      </c>
      <c r="V31" s="23">
        <f t="shared" si="20"/>
        <v>8.1185901682787858</v>
      </c>
      <c r="W31" s="23">
        <f t="shared" si="20"/>
        <v>9.7035752401280675</v>
      </c>
      <c r="X31" s="23">
        <f t="shared" si="20"/>
        <v>9.7181036798280953</v>
      </c>
      <c r="Y31" s="23">
        <f>Y29/Y32</f>
        <v>11.860584039833132</v>
      </c>
      <c r="Z31" s="23">
        <f>Z29/Z32</f>
        <v>13.699986546481904</v>
      </c>
      <c r="AA31" s="23">
        <f>AA29/AA32</f>
        <v>18.003634405707363</v>
      </c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</row>
    <row r="32" spans="2:70" x14ac:dyDescent="0.2">
      <c r="B32" s="2" t="s">
        <v>3</v>
      </c>
      <c r="C32" s="4">
        <v>7457</v>
      </c>
      <c r="D32" s="4">
        <v>7451</v>
      </c>
      <c r="E32" s="4">
        <v>7441</v>
      </c>
      <c r="F32" s="4">
        <f>X32</f>
        <v>7446</v>
      </c>
      <c r="G32" s="4">
        <v>7429</v>
      </c>
      <c r="H32" s="4">
        <v>7432</v>
      </c>
      <c r="I32" s="4">
        <v>7431</v>
      </c>
      <c r="J32" s="4">
        <f>Y32</f>
        <v>7431</v>
      </c>
      <c r="K32" s="4">
        <v>7433</v>
      </c>
      <c r="L32" s="4">
        <v>7435</v>
      </c>
      <c r="M32" s="4">
        <v>7434</v>
      </c>
      <c r="N32" s="4">
        <f>+Z32</f>
        <v>7433</v>
      </c>
      <c r="O32" s="4">
        <v>7433</v>
      </c>
      <c r="P32" s="4">
        <v>7431</v>
      </c>
      <c r="Q32" s="4">
        <v>7426</v>
      </c>
      <c r="R32" s="4">
        <v>7426</v>
      </c>
      <c r="S32" s="4"/>
      <c r="T32" s="4">
        <v>7673</v>
      </c>
      <c r="U32" s="4">
        <v>7610</v>
      </c>
      <c r="V32" s="4">
        <v>7547</v>
      </c>
      <c r="W32" s="4">
        <v>7496</v>
      </c>
      <c r="X32" s="4">
        <v>7446</v>
      </c>
      <c r="Y32" s="4">
        <v>7431</v>
      </c>
      <c r="Z32" s="4">
        <v>7433</v>
      </c>
      <c r="AA32" s="4">
        <v>7429</v>
      </c>
    </row>
    <row r="33" spans="2:132" x14ac:dyDescent="0.2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2:132" x14ac:dyDescent="0.2">
      <c r="B34" s="34" t="s">
        <v>213</v>
      </c>
      <c r="C34" s="4"/>
      <c r="D34" s="4"/>
      <c r="E34" s="4"/>
      <c r="F34" s="4"/>
      <c r="G34" s="24">
        <f t="shared" ref="G34:N34" si="21">+G14/C14-1</f>
        <v>0.19355473554735547</v>
      </c>
      <c r="H34" s="24">
        <f t="shared" si="21"/>
        <v>0.20327320066951837</v>
      </c>
      <c r="I34" s="24">
        <f t="shared" si="21"/>
        <v>0.20954666908201625</v>
      </c>
      <c r="J34" s="24">
        <f t="shared" si="21"/>
        <v>0.17574750830564789</v>
      </c>
      <c r="K34" s="24">
        <f t="shared" si="21"/>
        <v>-6.8840430355744386E-3</v>
      </c>
      <c r="L34" s="24">
        <f t="shared" si="21"/>
        <v>-1.2982998454404981E-2</v>
      </c>
      <c r="M34" s="24">
        <f t="shared" si="21"/>
        <v>1.6100044930358326E-3</v>
      </c>
      <c r="N34" s="24">
        <f t="shared" si="21"/>
        <v>1.8141659602524252</v>
      </c>
      <c r="O34" s="24">
        <f>+O14/K14-1</f>
        <v>0.28245890752116876</v>
      </c>
      <c r="P34" s="24">
        <f>+P14/L14-1</f>
        <v>0.28824772940808008</v>
      </c>
      <c r="Q34" s="24">
        <f>+Q14/M14-1</f>
        <v>0.29643751635452875</v>
      </c>
      <c r="R34" s="4"/>
      <c r="S34" s="4"/>
      <c r="T34" s="4"/>
      <c r="U34" s="24">
        <f t="shared" ref="U34:Y34" si="22">+U14/T14-1</f>
        <v>0.24063101192766445</v>
      </c>
      <c r="V34" s="24">
        <f t="shared" si="22"/>
        <v>0.24219493032295425</v>
      </c>
      <c r="W34" s="24">
        <f t="shared" si="22"/>
        <v>0.25251331557922763</v>
      </c>
      <c r="X34" s="24">
        <f t="shared" si="22"/>
        <v>-3.0657399901662385E-2</v>
      </c>
      <c r="Y34" s="24">
        <f t="shared" si="22"/>
        <v>0.19905681070410175</v>
      </c>
      <c r="Z34" s="24">
        <f>+Z14/Y14-1</f>
        <v>0.21495701088447827</v>
      </c>
      <c r="AA34" s="24">
        <f>+AA14/Z14-1</f>
        <v>0.29667341081259124</v>
      </c>
    </row>
    <row r="35" spans="2:132" x14ac:dyDescent="0.2">
      <c r="B35" s="2" t="s">
        <v>33</v>
      </c>
      <c r="C35" s="4"/>
      <c r="D35" s="4"/>
      <c r="E35" s="4"/>
      <c r="F35" s="4"/>
      <c r="G35" s="24">
        <f t="shared" ref="G35:Q37" si="23">G16/D16-1</f>
        <v>-5.9453895985953853E-2</v>
      </c>
      <c r="H35" s="24">
        <f t="shared" si="23"/>
        <v>0.21510136002052871</v>
      </c>
      <c r="I35" s="24">
        <f t="shared" si="23"/>
        <v>1.3469411974129208E-2</v>
      </c>
      <c r="J35" s="24">
        <f t="shared" si="23"/>
        <v>-0.1492114579980689</v>
      </c>
      <c r="K35" s="24">
        <f t="shared" si="23"/>
        <v>-0.19370677366559319</v>
      </c>
      <c r="L35" s="24">
        <f t="shared" si="23"/>
        <v>-5.040983606557381E-2</v>
      </c>
      <c r="M35" s="24">
        <f t="shared" si="23"/>
        <v>0.1590376030869336</v>
      </c>
      <c r="N35" s="24">
        <f t="shared" si="23"/>
        <v>0.1220534311157675</v>
      </c>
      <c r="O35" s="24">
        <f t="shared" si="23"/>
        <v>-1.8311856464640286E-2</v>
      </c>
      <c r="P35" s="24">
        <f t="shared" si="23"/>
        <v>7.3895162869638931E-2</v>
      </c>
      <c r="Q35" s="24">
        <f t="shared" si="23"/>
        <v>-0.11945611577964521</v>
      </c>
      <c r="R35" s="24"/>
      <c r="S35" s="4"/>
      <c r="T35" s="24"/>
      <c r="U35" s="24">
        <f t="shared" ref="U35:AA37" si="24">U16/T16-1</f>
        <v>2.984758358685613E-2</v>
      </c>
      <c r="V35" s="24">
        <f t="shared" si="24"/>
        <v>4.457606443173967E-2</v>
      </c>
      <c r="W35" s="24">
        <f t="shared" si="24"/>
        <v>2.3327799195205001E-2</v>
      </c>
      <c r="X35" s="24">
        <f t="shared" si="24"/>
        <v>-0.11044657097288679</v>
      </c>
      <c r="Y35" s="24">
        <f t="shared" si="24"/>
        <v>1.1437580178983442E-3</v>
      </c>
      <c r="Z35" s="24">
        <f t="shared" si="24"/>
        <v>-1.2767665539653916E-2</v>
      </c>
      <c r="AA35" s="24">
        <f t="shared" si="24"/>
        <v>1.1728646045100488E-2</v>
      </c>
    </row>
    <row r="36" spans="2:132" x14ac:dyDescent="0.2">
      <c r="B36" s="2" t="s">
        <v>34</v>
      </c>
      <c r="C36" s="4"/>
      <c r="D36" s="4"/>
      <c r="E36" s="4"/>
      <c r="F36" s="4"/>
      <c r="G36" s="24">
        <f t="shared" si="23"/>
        <v>0.13116202042506209</v>
      </c>
      <c r="H36" s="24">
        <f t="shared" si="23"/>
        <v>0.15589363814430213</v>
      </c>
      <c r="I36" s="24">
        <f t="shared" si="23"/>
        <v>0.13834655277608299</v>
      </c>
      <c r="J36" s="24">
        <f t="shared" si="23"/>
        <v>0.25689327021619257</v>
      </c>
      <c r="K36" s="24">
        <f t="shared" si="23"/>
        <v>0.16792404651918558</v>
      </c>
      <c r="L36" s="24">
        <f t="shared" si="23"/>
        <v>0.19284023404350359</v>
      </c>
      <c r="M36" s="24">
        <f t="shared" si="23"/>
        <v>6.2842166569598179E-2</v>
      </c>
      <c r="N36" s="24">
        <f t="shared" si="23"/>
        <v>0.17872120525510304</v>
      </c>
      <c r="O36" s="24">
        <f t="shared" si="23"/>
        <v>0.15610431917323497</v>
      </c>
      <c r="P36" s="24">
        <f t="shared" si="23"/>
        <v>0.1840283485853107</v>
      </c>
      <c r="Q36" s="24">
        <f t="shared" si="23"/>
        <v>0.14319197369530401</v>
      </c>
      <c r="R36" s="24"/>
      <c r="S36" s="4"/>
      <c r="T36" s="24"/>
      <c r="U36" s="24">
        <f t="shared" si="24"/>
        <v>0.25429116338207258</v>
      </c>
      <c r="V36" s="24">
        <f t="shared" si="24"/>
        <v>0.29396857577293467</v>
      </c>
      <c r="W36" s="24">
        <f t="shared" si="24"/>
        <v>0.29401941987754343</v>
      </c>
      <c r="X36" s="24">
        <f t="shared" si="24"/>
        <v>0.17268078191463943</v>
      </c>
      <c r="Y36" s="24">
        <f t="shared" si="24"/>
        <v>0.2250638517552439</v>
      </c>
      <c r="Z36" s="24">
        <f t="shared" si="24"/>
        <v>0.20753649867756407</v>
      </c>
      <c r="AA36" s="24">
        <f t="shared" si="24"/>
        <v>0.22667578910633757</v>
      </c>
    </row>
    <row r="37" spans="2:132" x14ac:dyDescent="0.2">
      <c r="B37" s="1" t="s">
        <v>32</v>
      </c>
      <c r="C37" s="22"/>
      <c r="D37" s="22"/>
      <c r="E37" s="22"/>
      <c r="F37" s="22"/>
      <c r="G37" s="25">
        <f t="shared" si="23"/>
        <v>7.1473259142700085E-2</v>
      </c>
      <c r="H37" s="25">
        <f t="shared" si="23"/>
        <v>0.17335452257979078</v>
      </c>
      <c r="I37" s="25">
        <f t="shared" si="23"/>
        <v>0.10089163359376396</v>
      </c>
      <c r="J37" s="25">
        <f t="shared" si="23"/>
        <v>0.14526602615142337</v>
      </c>
      <c r="K37" s="25">
        <f t="shared" si="23"/>
        <v>5.7481457594324326E-2</v>
      </c>
      <c r="L37" s="25">
        <f t="shared" si="23"/>
        <v>0.1256749329108604</v>
      </c>
      <c r="M37" s="25">
        <f t="shared" si="23"/>
        <v>8.2484898110525728E-2</v>
      </c>
      <c r="N37" s="25">
        <f t="shared" si="23"/>
        <v>0.16552565373179839</v>
      </c>
      <c r="O37" s="25">
        <f t="shared" si="23"/>
        <v>0.115478515625</v>
      </c>
      <c r="P37" s="25">
        <f t="shared" si="23"/>
        <v>0.15994919076299485</v>
      </c>
      <c r="Q37" s="25">
        <f t="shared" si="23"/>
        <v>8.4313392027838496E-2</v>
      </c>
      <c r="R37" s="25"/>
      <c r="S37" s="22"/>
      <c r="T37" s="25"/>
      <c r="U37" s="25">
        <f t="shared" si="24"/>
        <v>0.13645574247276371</v>
      </c>
      <c r="V37" s="25">
        <f t="shared" si="24"/>
        <v>0.17531727441177503</v>
      </c>
      <c r="W37" s="25">
        <f t="shared" si="24"/>
        <v>0.17956070629670173</v>
      </c>
      <c r="X37" s="25">
        <f t="shared" si="24"/>
        <v>6.8820295556564215E-2</v>
      </c>
      <c r="Y37" s="25">
        <f t="shared" si="24"/>
        <v>0.1566996201307127</v>
      </c>
      <c r="Z37" s="25">
        <f t="shared" si="24"/>
        <v>0.14932156232406713</v>
      </c>
      <c r="AA37" s="25">
        <f t="shared" si="24"/>
        <v>0.17788686799846665</v>
      </c>
    </row>
    <row r="38" spans="2:132" x14ac:dyDescent="0.2">
      <c r="B38" s="2" t="s">
        <v>102</v>
      </c>
      <c r="C38" s="24">
        <f t="shared" ref="C38:N38" si="25">(C16-C19)/C16</f>
        <v>0.72670097198399086</v>
      </c>
      <c r="D38" s="24">
        <f t="shared" si="25"/>
        <v>0.65550644790216139</v>
      </c>
      <c r="E38" s="24">
        <f t="shared" si="25"/>
        <v>0.74717731588401337</v>
      </c>
      <c r="F38" s="24">
        <f t="shared" si="25"/>
        <v>0.77030795704028954</v>
      </c>
      <c r="G38" s="24">
        <f t="shared" si="25"/>
        <v>0.77270679111683294</v>
      </c>
      <c r="H38" s="24">
        <f t="shared" si="25"/>
        <v>0.68512750118789922</v>
      </c>
      <c r="I38" s="24">
        <f t="shared" si="25"/>
        <v>0.74596018735363001</v>
      </c>
      <c r="J38" s="24">
        <f t="shared" si="25"/>
        <v>0.89120072633729286</v>
      </c>
      <c r="K38" s="24">
        <f t="shared" si="25"/>
        <v>0.78431115767417492</v>
      </c>
      <c r="L38" s="24">
        <f t="shared" si="25"/>
        <v>0.76225414637153954</v>
      </c>
      <c r="M38" s="24">
        <f t="shared" si="25"/>
        <v>0.80174946145309745</v>
      </c>
      <c r="N38" s="24">
        <f t="shared" si="25"/>
        <v>0.8066059757236228</v>
      </c>
      <c r="O38" s="24">
        <f t="shared" ref="O38:P38" si="26">(O16-O19)/O16</f>
        <v>0.81648034166561989</v>
      </c>
      <c r="P38" s="24">
        <f t="shared" si="26"/>
        <v>0.78694304297611084</v>
      </c>
      <c r="Q38" s="24">
        <f t="shared" ref="Q38" si="27">(Q16-Q19)/Q16</f>
        <v>0.81887467691695937</v>
      </c>
      <c r="R38" s="24"/>
      <c r="S38" s="4"/>
      <c r="T38" s="24">
        <f t="shared" ref="T38" si="28">(T16-T19)/T16</f>
        <v>0.75369689264254036</v>
      </c>
      <c r="U38" s="24">
        <f t="shared" ref="U38:X38" si="29">(U16-U19)/U16</f>
        <v>0.76459781602269217</v>
      </c>
      <c r="V38" s="24">
        <f t="shared" si="29"/>
        <v>0.74366153586402906</v>
      </c>
      <c r="W38" s="24">
        <f t="shared" si="29"/>
        <v>0.73788703734257277</v>
      </c>
      <c r="X38" s="24">
        <f t="shared" si="29"/>
        <v>0.72481800336944935</v>
      </c>
      <c r="Y38" s="24">
        <f>(Y16-Y19)/Y16</f>
        <v>0.76422274713229277</v>
      </c>
      <c r="Z38" s="24">
        <f>(Z16-Z19)/Z16</f>
        <v>0.78886873299346327</v>
      </c>
      <c r="AA38" s="24">
        <f>(AA16-AA19)/AA16</f>
        <v>0.81300234944973415</v>
      </c>
    </row>
    <row r="39" spans="2:132" x14ac:dyDescent="0.2">
      <c r="B39" s="2" t="s">
        <v>103</v>
      </c>
      <c r="C39" s="24">
        <f t="shared" ref="C39:N39" si="30">(C17-C20)/C17</f>
        <v>0.67569296995433525</v>
      </c>
      <c r="D39" s="24">
        <f t="shared" si="30"/>
        <v>0.67435826662986476</v>
      </c>
      <c r="E39" s="24">
        <f t="shared" si="30"/>
        <v>0.67299900721779493</v>
      </c>
      <c r="F39" s="24">
        <f t="shared" si="30"/>
        <v>0.67144600366076879</v>
      </c>
      <c r="G39" s="24">
        <f t="shared" si="30"/>
        <v>0.68837538431506518</v>
      </c>
      <c r="H39" s="24">
        <f t="shared" si="30"/>
        <v>0.68293135866663568</v>
      </c>
      <c r="I39" s="24">
        <f t="shared" si="30"/>
        <v>0.68363928714993971</v>
      </c>
      <c r="J39" s="24">
        <f t="shared" si="30"/>
        <v>0.64577751892836344</v>
      </c>
      <c r="K39" s="24">
        <f t="shared" si="30"/>
        <v>0.66599089698487468</v>
      </c>
      <c r="L39" s="24">
        <f t="shared" si="30"/>
        <v>0.66407054462396797</v>
      </c>
      <c r="M39" s="24">
        <f t="shared" si="30"/>
        <v>0.65510438928160453</v>
      </c>
      <c r="N39" s="24">
        <f t="shared" si="30"/>
        <v>0.65095691762920493</v>
      </c>
      <c r="O39" s="24">
        <f t="shared" ref="O39:P39" si="31">(O17-O20)/O17</f>
        <v>0.65796505319751908</v>
      </c>
      <c r="P39" s="24">
        <f t="shared" si="31"/>
        <v>0.65331214711054886</v>
      </c>
      <c r="Q39" s="24">
        <f t="shared" ref="Q39" si="32">(Q17-Q20)/Q17</f>
        <v>0.64460079354543709</v>
      </c>
      <c r="R39" s="24"/>
      <c r="S39" s="4"/>
      <c r="T39" s="24">
        <f t="shared" ref="T39" si="33">(T17-T20)/T17</f>
        <v>0.55437146585471941</v>
      </c>
      <c r="U39" s="24">
        <f t="shared" ref="U39:X39" si="34">(U17-U20)/U17</f>
        <v>0.59904766985888447</v>
      </c>
      <c r="V39" s="24">
        <f t="shared" si="34"/>
        <v>0.64940111736450412</v>
      </c>
      <c r="W39" s="24">
        <f t="shared" si="34"/>
        <v>0.65280632159186858</v>
      </c>
      <c r="X39" s="24">
        <f t="shared" si="34"/>
        <v>0.67354771220519505</v>
      </c>
      <c r="Y39" s="24">
        <f>(Y17-Y20)/Y17</f>
        <v>0.67373259624394921</v>
      </c>
      <c r="Z39" s="24">
        <f>(Z17-Z20)/Z17</f>
        <v>0.65868912378660838</v>
      </c>
      <c r="AA39" s="24">
        <f>(AA17-AA20)/AA17</f>
        <v>0.64709537588482569</v>
      </c>
    </row>
    <row r="40" spans="2:132" x14ac:dyDescent="0.2">
      <c r="B40" s="2" t="s">
        <v>35</v>
      </c>
      <c r="C40" s="24">
        <f t="shared" ref="C40:N40" si="35">C21/C18</f>
        <v>0.69171222217788597</v>
      </c>
      <c r="D40" s="24">
        <f t="shared" si="35"/>
        <v>0.66845507801391546</v>
      </c>
      <c r="E40" s="24">
        <f t="shared" si="35"/>
        <v>0.69487485101311086</v>
      </c>
      <c r="F40" s="24">
        <f t="shared" si="35"/>
        <v>0.70109807969531401</v>
      </c>
      <c r="G40" s="24">
        <f t="shared" si="35"/>
        <v>0.71155581506449384</v>
      </c>
      <c r="H40" s="24">
        <f t="shared" si="35"/>
        <v>0.68360206385037081</v>
      </c>
      <c r="I40" s="24">
        <f t="shared" si="35"/>
        <v>0.70084710142584628</v>
      </c>
      <c r="J40" s="24">
        <f t="shared" si="35"/>
        <v>0.69589197707293715</v>
      </c>
      <c r="K40" s="24">
        <f t="shared" si="35"/>
        <v>0.69354273080734929</v>
      </c>
      <c r="L40" s="24">
        <f t="shared" si="35"/>
        <v>0.68693991268382348</v>
      </c>
      <c r="M40" s="24">
        <f t="shared" si="35"/>
        <v>0.6871663859789342</v>
      </c>
      <c r="N40" s="24">
        <f t="shared" si="35"/>
        <v>0.68584921704320978</v>
      </c>
      <c r="O40" s="24">
        <f t="shared" ref="O40:P40" si="36">O21/O18</f>
        <v>0.69045871795862135</v>
      </c>
      <c r="P40" s="24">
        <f t="shared" si="36"/>
        <v>0.68036125158416694</v>
      </c>
      <c r="Q40" s="24">
        <f t="shared" ref="Q40" si="37">Q21/Q18</f>
        <v>0.67632652076345823</v>
      </c>
      <c r="R40" s="24"/>
      <c r="S40" s="4"/>
      <c r="T40" s="24">
        <f t="shared" ref="T40" si="38">T21/T18</f>
        <v>0.65901957200638894</v>
      </c>
      <c r="U40" s="24">
        <f t="shared" ref="U40:X40" si="39">U21/U18</f>
        <v>0.67781001992797962</v>
      </c>
      <c r="V40" s="24">
        <f t="shared" si="39"/>
        <v>0.68925800771024703</v>
      </c>
      <c r="W40" s="24">
        <f t="shared" si="39"/>
        <v>0.68401674484289099</v>
      </c>
      <c r="X40" s="24">
        <f t="shared" si="39"/>
        <v>0.68920085883491022</v>
      </c>
      <c r="Y40" s="24">
        <f>Y21/Y18</f>
        <v>0.69764443827971379</v>
      </c>
      <c r="Z40" s="24">
        <f>Z21/Z18</f>
        <v>0.68823742386165188</v>
      </c>
      <c r="AA40" s="24">
        <f>AA21/AA18</f>
        <v>0.67944093370580316</v>
      </c>
    </row>
    <row r="41" spans="2:132" x14ac:dyDescent="0.2">
      <c r="B41" s="2" t="s">
        <v>36</v>
      </c>
      <c r="C41" s="24">
        <f t="shared" ref="C41:N41" si="40">C25/C18</f>
        <v>0.42931247755476637</v>
      </c>
      <c r="D41" s="24">
        <f t="shared" si="40"/>
        <v>0.3867328947617874</v>
      </c>
      <c r="E41" s="24">
        <f t="shared" si="40"/>
        <v>0.42287681858599618</v>
      </c>
      <c r="F41" s="24">
        <f t="shared" si="40"/>
        <v>0.4316503230169606</v>
      </c>
      <c r="G41" s="24">
        <f t="shared" si="40"/>
        <v>0.47587451563246458</v>
      </c>
      <c r="H41" s="24">
        <f t="shared" si="40"/>
        <v>0.43585940019348596</v>
      </c>
      <c r="I41" s="24">
        <f t="shared" si="40"/>
        <v>0.44587603866921011</v>
      </c>
      <c r="J41" s="24">
        <f t="shared" si="40"/>
        <v>0.43142737960974553</v>
      </c>
      <c r="K41" s="24">
        <f t="shared" si="40"/>
        <v>0.46583822520393381</v>
      </c>
      <c r="L41" s="24">
        <f t="shared" si="40"/>
        <v>0.45457548253676472</v>
      </c>
      <c r="M41" s="24">
        <f t="shared" si="40"/>
        <v>0.45671224274255701</v>
      </c>
      <c r="N41" s="24">
        <f t="shared" si="40"/>
        <v>0.44901296424693554</v>
      </c>
      <c r="O41" s="24">
        <f t="shared" ref="O41:P41" si="41">O25/O18</f>
        <v>0.48872838695557014</v>
      </c>
      <c r="P41" s="24">
        <f t="shared" si="41"/>
        <v>0.47094360980891564</v>
      </c>
      <c r="Q41" s="24">
        <f t="shared" ref="Q41" si="42">Q25/Q18</f>
        <v>0.46326279468185216</v>
      </c>
      <c r="R41" s="24"/>
      <c r="S41" s="4"/>
      <c r="T41" s="24">
        <f t="shared" ref="T41" si="43">T25/T18</f>
        <v>0.3413698020549415</v>
      </c>
      <c r="U41" s="24">
        <f t="shared" ref="U41:X41" si="44">U25/U18</f>
        <v>0.37030381428521486</v>
      </c>
      <c r="V41" s="24">
        <f t="shared" si="44"/>
        <v>0.41594878872971303</v>
      </c>
      <c r="W41" s="24">
        <f t="shared" si="44"/>
        <v>0.4205527815604983</v>
      </c>
      <c r="X41" s="24">
        <f t="shared" si="44"/>
        <v>0.41772880636104098</v>
      </c>
      <c r="Y41" s="24">
        <f>Y25/Y18</f>
        <v>0.44644299573273716</v>
      </c>
      <c r="Z41" s="24">
        <f>Z25/Z18</f>
        <v>0.45621956240859851</v>
      </c>
      <c r="AA41" s="24">
        <f>AA25/AA18</f>
        <v>0.46780818408927222</v>
      </c>
    </row>
    <row r="42" spans="2:132" x14ac:dyDescent="0.2">
      <c r="B42" s="2" t="s">
        <v>37</v>
      </c>
      <c r="C42" s="24">
        <f t="shared" ref="C42:N42" si="45">C28/C27</f>
        <v>0.18616725384758021</v>
      </c>
      <c r="D42" s="24">
        <f t="shared" si="45"/>
        <v>0.19243817296818919</v>
      </c>
      <c r="E42" s="24">
        <f t="shared" si="45"/>
        <v>0.19291668504388479</v>
      </c>
      <c r="F42" s="24">
        <f t="shared" si="45"/>
        <v>0.18789177821814212</v>
      </c>
      <c r="G42" s="24">
        <f t="shared" si="45"/>
        <v>0.18303767775985927</v>
      </c>
      <c r="H42" s="24">
        <f t="shared" si="45"/>
        <v>0.17552589911784663</v>
      </c>
      <c r="I42" s="24">
        <f t="shared" si="45"/>
        <v>0.17914468514984846</v>
      </c>
      <c r="J42" s="24">
        <f t="shared" si="45"/>
        <v>0.19130275229357799</v>
      </c>
      <c r="K42" s="24">
        <f t="shared" si="45"/>
        <v>0.18507383791998414</v>
      </c>
      <c r="L42" s="24">
        <f t="shared" si="45"/>
        <v>0.17902264600715137</v>
      </c>
      <c r="M42" s="24">
        <f t="shared" si="45"/>
        <v>0.17697676642126398</v>
      </c>
      <c r="N42" s="24">
        <f t="shared" si="45"/>
        <v>0.16504169732646554</v>
      </c>
      <c r="O42" s="24">
        <f t="shared" ref="O42:P42" si="46">O28/O27</f>
        <v>0.19107314655549401</v>
      </c>
      <c r="P42" s="24">
        <f t="shared" si="46"/>
        <v>0.20287692243916594</v>
      </c>
      <c r="Q42" s="24">
        <f t="shared" ref="Q42" si="47">Q28/Q27</f>
        <v>0.19222165734621249</v>
      </c>
      <c r="R42" s="24"/>
      <c r="S42" s="4"/>
      <c r="T42" s="24">
        <f t="shared" ref="T42" si="48">T28/T27</f>
        <v>0.10181285478850027</v>
      </c>
      <c r="U42" s="24">
        <f t="shared" ref="U42:X42" si="49">U28/U27</f>
        <v>0.16507655177615205</v>
      </c>
      <c r="V42" s="24">
        <f t="shared" si="49"/>
        <v>0.13826615285083402</v>
      </c>
      <c r="W42" s="24">
        <f t="shared" si="49"/>
        <v>0.13113383343685794</v>
      </c>
      <c r="X42" s="24">
        <f t="shared" si="49"/>
        <v>0.18978625253328257</v>
      </c>
      <c r="Y42" s="24">
        <f>Y28/Y27</f>
        <v>0.18231326597827197</v>
      </c>
      <c r="Z42" s="24">
        <f>Z28/Z27</f>
        <v>0.17629644009803683</v>
      </c>
      <c r="AA42" s="24">
        <f>AA28/AA27</f>
        <v>0.19396265985271252</v>
      </c>
    </row>
    <row r="43" spans="2:132" x14ac:dyDescent="0.2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2:132" x14ac:dyDescent="0.2">
      <c r="B44" s="2" t="s">
        <v>39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>
        <v>11356</v>
      </c>
      <c r="U44" s="4">
        <v>13576</v>
      </c>
      <c r="V44" s="4">
        <v>14224</v>
      </c>
      <c r="W44" s="4">
        <v>13931</v>
      </c>
      <c r="X44" s="4">
        <v>34704</v>
      </c>
      <c r="Y44" s="4">
        <v>18315</v>
      </c>
      <c r="Z44" s="4">
        <v>30242</v>
      </c>
      <c r="AA44" s="4">
        <v>20935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</row>
    <row r="45" spans="2:132" x14ac:dyDescent="0.2">
      <c r="B45" s="2" t="s">
        <v>40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>
        <v>122463</v>
      </c>
      <c r="U45" s="4">
        <v>122951</v>
      </c>
      <c r="V45" s="4">
        <v>116110</v>
      </c>
      <c r="W45" s="4">
        <v>90826</v>
      </c>
      <c r="X45" s="4">
        <v>76558</v>
      </c>
      <c r="Y45" s="4">
        <v>57228</v>
      </c>
      <c r="Z45" s="4">
        <v>64323</v>
      </c>
      <c r="AA45" s="4">
        <v>55908</v>
      </c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</row>
    <row r="46" spans="2:132" x14ac:dyDescent="0.2">
      <c r="B46" s="2" t="s">
        <v>41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>
        <v>29524</v>
      </c>
      <c r="U46" s="4">
        <v>32011</v>
      </c>
      <c r="V46" s="4">
        <v>38043</v>
      </c>
      <c r="W46" s="4">
        <v>44261</v>
      </c>
      <c r="X46" s="4">
        <v>48688</v>
      </c>
      <c r="Y46" s="4">
        <v>56924</v>
      </c>
      <c r="Z46" s="4">
        <v>69905</v>
      </c>
      <c r="AA46" s="4">
        <v>80876</v>
      </c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</row>
    <row r="47" spans="2:132" x14ac:dyDescent="0.2">
      <c r="B47" s="2" t="s">
        <v>42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>
        <v>2063</v>
      </c>
      <c r="U47" s="4">
        <v>1895</v>
      </c>
      <c r="V47" s="4">
        <v>2636</v>
      </c>
      <c r="W47" s="4">
        <v>3742</v>
      </c>
      <c r="X47" s="4">
        <v>2500</v>
      </c>
      <c r="Y47" s="4">
        <v>1246</v>
      </c>
      <c r="Z47" s="4">
        <v>938</v>
      </c>
      <c r="AA47" s="4">
        <v>1397</v>
      </c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</row>
    <row r="48" spans="2:132" x14ac:dyDescent="0.2">
      <c r="B48" s="2" t="s">
        <v>43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>
        <v>10146</v>
      </c>
      <c r="U48" s="4">
        <v>11482</v>
      </c>
      <c r="V48" s="4">
        <v>13393</v>
      </c>
      <c r="W48" s="4">
        <v>16924</v>
      </c>
      <c r="X48" s="4">
        <v>21807</v>
      </c>
      <c r="Y48" s="4">
        <v>26021</v>
      </c>
      <c r="Z48" s="4">
        <v>25723</v>
      </c>
      <c r="AA48" s="4">
        <v>48594</v>
      </c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</row>
    <row r="49" spans="2:132" x14ac:dyDescent="0.2">
      <c r="B49" s="2" t="s">
        <v>44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>
        <f t="shared" ref="T49:W49" si="50">+SUM(T44:T48)</f>
        <v>175552</v>
      </c>
      <c r="U49" s="4">
        <f t="shared" si="50"/>
        <v>181915</v>
      </c>
      <c r="V49" s="4">
        <f t="shared" si="50"/>
        <v>184406</v>
      </c>
      <c r="W49" s="4">
        <f t="shared" si="50"/>
        <v>169684</v>
      </c>
      <c r="X49" s="4">
        <f>+SUM(X44:X48)</f>
        <v>184257</v>
      </c>
      <c r="Y49" s="4">
        <f>+SUM(Y44:Y48)</f>
        <v>159734</v>
      </c>
      <c r="Z49" s="4">
        <f>+SUM(Z44:Z48)</f>
        <v>191131</v>
      </c>
      <c r="AA49" s="4">
        <f>+SUM(AA44:AA48)</f>
        <v>207710</v>
      </c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</row>
    <row r="50" spans="2:132" x14ac:dyDescent="0.2">
      <c r="B50" s="2" t="s">
        <v>45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>
        <v>36477</v>
      </c>
      <c r="U50" s="4">
        <v>44151</v>
      </c>
      <c r="V50" s="4">
        <v>59715</v>
      </c>
      <c r="W50" s="4">
        <v>74398</v>
      </c>
      <c r="X50" s="4">
        <v>95641</v>
      </c>
      <c r="Y50" s="4">
        <v>135591</v>
      </c>
      <c r="Z50" s="4">
        <v>204966</v>
      </c>
      <c r="AA50" s="4">
        <v>313076</v>
      </c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</row>
    <row r="51" spans="2:132" x14ac:dyDescent="0.2">
      <c r="B51" s="2" t="s">
        <v>46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>
        <v>7379</v>
      </c>
      <c r="U51" s="4">
        <v>8753</v>
      </c>
      <c r="V51" s="4">
        <v>11088</v>
      </c>
      <c r="W51" s="4">
        <v>13148</v>
      </c>
      <c r="X51" s="4">
        <v>14346</v>
      </c>
      <c r="Y51" s="4">
        <v>18961</v>
      </c>
      <c r="Z51" s="4">
        <v>24823</v>
      </c>
      <c r="AA51" s="4">
        <v>24177</v>
      </c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</row>
    <row r="52" spans="2:132" x14ac:dyDescent="0.2">
      <c r="B52" s="2" t="s">
        <v>47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>
        <v>2649</v>
      </c>
      <c r="U52" s="4">
        <v>2965</v>
      </c>
      <c r="V52" s="4">
        <v>5984</v>
      </c>
      <c r="W52" s="4">
        <v>6891</v>
      </c>
      <c r="X52" s="4">
        <v>9879</v>
      </c>
      <c r="Y52" s="4">
        <v>14600</v>
      </c>
      <c r="Z52" s="4">
        <v>15405</v>
      </c>
      <c r="AA52" s="4">
        <v>36348</v>
      </c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</row>
    <row r="53" spans="2:132" x14ac:dyDescent="0.2">
      <c r="B53" s="2" t="s">
        <v>48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>
        <v>42026</v>
      </c>
      <c r="U53" s="4">
        <v>43351</v>
      </c>
      <c r="V53" s="4">
        <v>49711</v>
      </c>
      <c r="W53" s="4">
        <v>67524</v>
      </c>
      <c r="X53" s="4">
        <v>67886</v>
      </c>
      <c r="Y53" s="4">
        <v>119220</v>
      </c>
      <c r="Z53" s="4">
        <v>119509</v>
      </c>
      <c r="AA53" s="4">
        <v>119651</v>
      </c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</row>
    <row r="54" spans="2:132" x14ac:dyDescent="0.2">
      <c r="B54" s="2" t="s">
        <v>49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>
        <v>7750</v>
      </c>
      <c r="U54" s="4">
        <v>7038</v>
      </c>
      <c r="V54" s="4">
        <v>7800</v>
      </c>
      <c r="W54" s="4">
        <v>11298</v>
      </c>
      <c r="X54" s="4">
        <v>9366</v>
      </c>
      <c r="Y54" s="4">
        <v>27597</v>
      </c>
      <c r="Z54" s="4">
        <v>22604</v>
      </c>
      <c r="AA54" s="4">
        <v>18609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</row>
    <row r="55" spans="2:132" x14ac:dyDescent="0.2">
      <c r="B55" s="2" t="s">
        <v>43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>
        <v>14723</v>
      </c>
      <c r="U55" s="4">
        <v>13138</v>
      </c>
      <c r="V55" s="4">
        <v>15075</v>
      </c>
      <c r="W55" s="4">
        <v>21897</v>
      </c>
      <c r="X55" s="4">
        <v>30601</v>
      </c>
      <c r="Y55" s="4">
        <v>36460</v>
      </c>
      <c r="Z55" s="4">
        <v>40565</v>
      </c>
      <c r="AA55" s="4">
        <v>38805</v>
      </c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</row>
    <row r="56" spans="2:132" x14ac:dyDescent="0.2">
      <c r="B56" s="2" t="s">
        <v>50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>
        <f t="shared" ref="T56:X56" si="51">+SUM(T50:T55)</f>
        <v>111004</v>
      </c>
      <c r="U56" s="4">
        <f t="shared" si="51"/>
        <v>119396</v>
      </c>
      <c r="V56" s="4">
        <f t="shared" si="51"/>
        <v>149373</v>
      </c>
      <c r="W56" s="4">
        <f t="shared" si="51"/>
        <v>195156</v>
      </c>
      <c r="X56" s="4">
        <f t="shared" si="51"/>
        <v>227719</v>
      </c>
      <c r="Y56" s="4">
        <f>+SUM(Y50:Y55)</f>
        <v>352429</v>
      </c>
      <c r="Z56" s="4">
        <f>+SUM(Z50:Z55)</f>
        <v>427872</v>
      </c>
      <c r="AA56" s="4">
        <f>+SUM(AA50:AA55)</f>
        <v>550666</v>
      </c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</row>
    <row r="57" spans="2:132" x14ac:dyDescent="0.2">
      <c r="B57" s="1" t="s">
        <v>51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>
        <f t="shared" ref="T57:AA57" si="52">+T49+T56</f>
        <v>286556</v>
      </c>
      <c r="U57" s="22">
        <f t="shared" si="52"/>
        <v>301311</v>
      </c>
      <c r="V57" s="22">
        <f t="shared" si="52"/>
        <v>333779</v>
      </c>
      <c r="W57" s="22">
        <f t="shared" si="52"/>
        <v>364840</v>
      </c>
      <c r="X57" s="22">
        <f t="shared" si="52"/>
        <v>411976</v>
      </c>
      <c r="Y57" s="22">
        <f t="shared" si="52"/>
        <v>512163</v>
      </c>
      <c r="Z57" s="22">
        <f t="shared" si="52"/>
        <v>619003</v>
      </c>
      <c r="AA57" s="22">
        <f t="shared" si="52"/>
        <v>758376</v>
      </c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</row>
    <row r="58" spans="2:132" x14ac:dyDescent="0.2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</row>
    <row r="59" spans="2:132" x14ac:dyDescent="0.2">
      <c r="B59" s="2" t="s">
        <v>52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>
        <v>9382</v>
      </c>
      <c r="U59" s="4">
        <v>12530</v>
      </c>
      <c r="V59" s="4">
        <v>15163</v>
      </c>
      <c r="W59" s="4">
        <v>19000</v>
      </c>
      <c r="X59" s="4">
        <v>18095</v>
      </c>
      <c r="Y59" s="4">
        <v>21996</v>
      </c>
      <c r="Z59" s="4">
        <v>27724</v>
      </c>
      <c r="AA59" s="4">
        <v>42416</v>
      </c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</row>
    <row r="60" spans="2:132" x14ac:dyDescent="0.2">
      <c r="B60" s="2" t="s">
        <v>53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6693</v>
      </c>
      <c r="Z60" s="4">
        <v>0</v>
      </c>
      <c r="AA60" s="4">
        <v>0</v>
      </c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</row>
    <row r="61" spans="2:132" x14ac:dyDescent="0.2">
      <c r="B61" s="2" t="s">
        <v>54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>
        <v>5516</v>
      </c>
      <c r="U61" s="4">
        <v>3749</v>
      </c>
      <c r="V61" s="4">
        <v>8072</v>
      </c>
      <c r="W61" s="4">
        <v>2749</v>
      </c>
      <c r="X61" s="4">
        <v>5247</v>
      </c>
      <c r="Y61" s="4">
        <v>2249</v>
      </c>
      <c r="Z61" s="4">
        <v>2999</v>
      </c>
      <c r="AA61" s="4">
        <v>9227</v>
      </c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</row>
    <row r="62" spans="2:132" x14ac:dyDescent="0.2">
      <c r="B62" s="2" t="s">
        <v>55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>
        <v>6830</v>
      </c>
      <c r="U62" s="4">
        <v>7874</v>
      </c>
      <c r="V62" s="4">
        <v>10057</v>
      </c>
      <c r="W62" s="4">
        <v>10661</v>
      </c>
      <c r="X62" s="4">
        <v>11009</v>
      </c>
      <c r="Y62" s="4">
        <v>12564</v>
      </c>
      <c r="Z62" s="4">
        <v>13709</v>
      </c>
      <c r="AA62" s="4">
        <v>14945</v>
      </c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</row>
    <row r="63" spans="2:132" x14ac:dyDescent="0.2">
      <c r="B63" s="2" t="s">
        <v>56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>
        <v>5665</v>
      </c>
      <c r="U63" s="4">
        <v>2130</v>
      </c>
      <c r="V63" s="4">
        <v>2174</v>
      </c>
      <c r="W63" s="4">
        <v>4067</v>
      </c>
      <c r="X63" s="4">
        <v>4152</v>
      </c>
      <c r="Y63" s="4">
        <v>5017</v>
      </c>
      <c r="Z63" s="4">
        <v>7211</v>
      </c>
      <c r="AA63" s="4">
        <v>2534</v>
      </c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</row>
    <row r="64" spans="2:132" x14ac:dyDescent="0.2">
      <c r="B64" s="2" t="s">
        <v>57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>
        <v>32676</v>
      </c>
      <c r="U64" s="4">
        <v>36000</v>
      </c>
      <c r="V64" s="4">
        <v>41525</v>
      </c>
      <c r="W64" s="4">
        <v>45538</v>
      </c>
      <c r="X64" s="4">
        <v>50901</v>
      </c>
      <c r="Y64" s="4">
        <v>57582</v>
      </c>
      <c r="Z64" s="4">
        <v>64555</v>
      </c>
      <c r="AA64" s="4">
        <v>72965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</row>
    <row r="65" spans="1:132" x14ac:dyDescent="0.2">
      <c r="B65" s="2" t="s">
        <v>43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>
        <v>9351</v>
      </c>
      <c r="U65" s="4">
        <v>10027</v>
      </c>
      <c r="V65" s="4">
        <v>11666</v>
      </c>
      <c r="W65" s="4">
        <v>13067</v>
      </c>
      <c r="X65" s="4">
        <v>14745</v>
      </c>
      <c r="Y65" s="4">
        <v>19185</v>
      </c>
      <c r="Z65" s="4">
        <v>25020</v>
      </c>
      <c r="AA65" s="4">
        <v>26738</v>
      </c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</row>
    <row r="66" spans="1:132" x14ac:dyDescent="0.2">
      <c r="B66" s="2" t="s">
        <v>58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>
        <f t="shared" ref="T66:X66" si="53">+SUM(T59:T65)</f>
        <v>69420</v>
      </c>
      <c r="U66" s="4">
        <f t="shared" si="53"/>
        <v>72310</v>
      </c>
      <c r="V66" s="4">
        <f t="shared" si="53"/>
        <v>88657</v>
      </c>
      <c r="W66" s="4">
        <f t="shared" si="53"/>
        <v>95082</v>
      </c>
      <c r="X66" s="4">
        <f t="shared" si="53"/>
        <v>104149</v>
      </c>
      <c r="Y66" s="4">
        <f>+SUM(Y59:Y65)</f>
        <v>125286</v>
      </c>
      <c r="Z66" s="4">
        <f>+SUM(Z59:Z65)</f>
        <v>141218</v>
      </c>
      <c r="AA66" s="4">
        <f>+SUM(AA59:AA65)</f>
        <v>168825</v>
      </c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</row>
    <row r="67" spans="1:132" x14ac:dyDescent="0.2">
      <c r="B67" s="2" t="s">
        <v>6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>
        <v>66662</v>
      </c>
      <c r="U67" s="4">
        <v>59578</v>
      </c>
      <c r="V67" s="4">
        <v>50047</v>
      </c>
      <c r="W67" s="4">
        <v>47032</v>
      </c>
      <c r="X67" s="4">
        <v>41990</v>
      </c>
      <c r="Y67" s="4">
        <v>42688</v>
      </c>
      <c r="Z67" s="4">
        <v>40152</v>
      </c>
      <c r="AA67" s="4">
        <v>31067</v>
      </c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</row>
    <row r="68" spans="1:132" x14ac:dyDescent="0.2">
      <c r="B68" s="2" t="s">
        <v>59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>
        <v>29612</v>
      </c>
      <c r="U68" s="4">
        <v>29432</v>
      </c>
      <c r="V68" s="4">
        <v>27190</v>
      </c>
      <c r="W68" s="4">
        <v>26069</v>
      </c>
      <c r="X68" s="4">
        <v>25560</v>
      </c>
      <c r="Y68" s="4">
        <v>27931</v>
      </c>
      <c r="Z68" s="4">
        <v>25986</v>
      </c>
      <c r="AA68" s="4">
        <v>28647</v>
      </c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</row>
    <row r="69" spans="1:132" x14ac:dyDescent="0.2">
      <c r="B69" s="2" t="s">
        <v>57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>
        <v>4530</v>
      </c>
      <c r="U69" s="4">
        <v>3180</v>
      </c>
      <c r="V69" s="4">
        <v>2616</v>
      </c>
      <c r="W69" s="4">
        <v>2870</v>
      </c>
      <c r="X69" s="4">
        <v>2912</v>
      </c>
      <c r="Y69" s="4">
        <v>2602</v>
      </c>
      <c r="Z69" s="4">
        <v>2710</v>
      </c>
      <c r="AA69" s="4">
        <v>2747</v>
      </c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</row>
    <row r="70" spans="1:132" x14ac:dyDescent="0.2">
      <c r="B70" s="2" t="s">
        <v>60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>
        <v>233</v>
      </c>
      <c r="U70" s="4">
        <v>204</v>
      </c>
      <c r="V70" s="4">
        <v>198</v>
      </c>
      <c r="W70" s="4">
        <v>230</v>
      </c>
      <c r="X70" s="4">
        <v>433</v>
      </c>
      <c r="Y70" s="4">
        <v>2618</v>
      </c>
      <c r="Z70" s="4">
        <v>2835</v>
      </c>
      <c r="AA70" s="4">
        <v>3054</v>
      </c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</row>
    <row r="71" spans="1:132" x14ac:dyDescent="0.2">
      <c r="B71" s="2" t="s">
        <v>61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>
        <v>6188</v>
      </c>
      <c r="U71" s="4">
        <v>7671</v>
      </c>
      <c r="V71" s="4">
        <v>9629</v>
      </c>
      <c r="W71" s="4">
        <v>11489</v>
      </c>
      <c r="X71" s="4">
        <v>12728</v>
      </c>
      <c r="Y71" s="4">
        <v>15497</v>
      </c>
      <c r="Z71" s="4">
        <v>17437</v>
      </c>
      <c r="AA71" s="4">
        <v>16532</v>
      </c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</row>
    <row r="72" spans="1:132" x14ac:dyDescent="0.2">
      <c r="B72" s="2" t="s">
        <v>43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>
        <v>7581</v>
      </c>
      <c r="U72" s="4">
        <v>10632</v>
      </c>
      <c r="V72" s="4">
        <v>13427</v>
      </c>
      <c r="W72" s="4">
        <v>15526</v>
      </c>
      <c r="X72" s="4">
        <v>17981</v>
      </c>
      <c r="Y72" s="4">
        <v>27064</v>
      </c>
      <c r="Z72" s="4">
        <v>45186</v>
      </c>
      <c r="AA72" s="4">
        <v>65117</v>
      </c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</row>
    <row r="73" spans="1:132" x14ac:dyDescent="0.2">
      <c r="B73" s="2" t="s">
        <v>62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>
        <f t="shared" ref="T73:X73" si="54">+SUM(T67:T72)</f>
        <v>114806</v>
      </c>
      <c r="U73" s="4">
        <f t="shared" si="54"/>
        <v>110697</v>
      </c>
      <c r="V73" s="4">
        <f t="shared" si="54"/>
        <v>103107</v>
      </c>
      <c r="W73" s="4">
        <f t="shared" si="54"/>
        <v>103216</v>
      </c>
      <c r="X73" s="4">
        <f t="shared" si="54"/>
        <v>101604</v>
      </c>
      <c r="Y73" s="4">
        <f>+SUM(Y67:Y72)</f>
        <v>118400</v>
      </c>
      <c r="Z73" s="4">
        <f>+SUM(Z67:Z72)</f>
        <v>134306</v>
      </c>
      <c r="AA73" s="4">
        <f>+SUM(AA67:AA72)</f>
        <v>147164</v>
      </c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</row>
    <row r="74" spans="1:132" x14ac:dyDescent="0.2">
      <c r="B74" s="1" t="s">
        <v>63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22">
        <f t="shared" ref="T74:X74" si="55">+T73+T66</f>
        <v>184226</v>
      </c>
      <c r="U74" s="22">
        <f t="shared" si="55"/>
        <v>183007</v>
      </c>
      <c r="V74" s="22">
        <f t="shared" si="55"/>
        <v>191764</v>
      </c>
      <c r="W74" s="22">
        <f t="shared" si="55"/>
        <v>198298</v>
      </c>
      <c r="X74" s="22">
        <f t="shared" si="55"/>
        <v>205753</v>
      </c>
      <c r="Y74" s="22">
        <f>+Y73+Y66</f>
        <v>243686</v>
      </c>
      <c r="Z74" s="22">
        <f>+Z73+Z66</f>
        <v>275524</v>
      </c>
      <c r="AA74" s="22">
        <f>+AA73+AA66</f>
        <v>315989</v>
      </c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</row>
    <row r="75" spans="1:132" x14ac:dyDescent="0.2">
      <c r="B75" s="2" t="s">
        <v>64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>
        <v>102330</v>
      </c>
      <c r="U75" s="4">
        <v>118304</v>
      </c>
      <c r="V75" s="4">
        <v>141988</v>
      </c>
      <c r="W75" s="4">
        <v>166542</v>
      </c>
      <c r="X75" s="4">
        <v>206223</v>
      </c>
      <c r="Y75" s="4">
        <v>268477</v>
      </c>
      <c r="Z75" s="4">
        <v>343479</v>
      </c>
      <c r="AA75" s="4">
        <v>442387</v>
      </c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</row>
    <row r="76" spans="1:132" x14ac:dyDescent="0.2">
      <c r="B76" s="1" t="s">
        <v>65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22">
        <f t="shared" ref="T76:W76" si="56">+T74+T75</f>
        <v>286556</v>
      </c>
      <c r="U76" s="22">
        <f t="shared" si="56"/>
        <v>301311</v>
      </c>
      <c r="V76" s="22">
        <f t="shared" si="56"/>
        <v>333752</v>
      </c>
      <c r="W76" s="22">
        <f t="shared" si="56"/>
        <v>364840</v>
      </c>
      <c r="X76" s="22">
        <f>+X74+X75</f>
        <v>411976</v>
      </c>
      <c r="Y76" s="22">
        <f>+Y74+Y75</f>
        <v>512163</v>
      </c>
      <c r="Z76" s="22">
        <f>+Z74+Z75</f>
        <v>619003</v>
      </c>
      <c r="AA76" s="22">
        <f>+AA74+AA75</f>
        <v>758376</v>
      </c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</row>
    <row r="77" spans="1:132" x14ac:dyDescent="0.2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</row>
    <row r="78" spans="1:132" x14ac:dyDescent="0.2">
      <c r="A78" s="7" t="s">
        <v>38</v>
      </c>
      <c r="B78" s="21" t="s">
        <v>66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</row>
    <row r="79" spans="1:132" x14ac:dyDescent="0.2">
      <c r="B79" s="2" t="s">
        <v>30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>
        <f t="shared" ref="T79:AA79" si="57">T29</f>
        <v>39240</v>
      </c>
      <c r="U79" s="4">
        <f t="shared" si="57"/>
        <v>44281</v>
      </c>
      <c r="V79" s="4">
        <f t="shared" si="57"/>
        <v>61271</v>
      </c>
      <c r="W79" s="4">
        <f t="shared" si="57"/>
        <v>72738</v>
      </c>
      <c r="X79" s="4">
        <f t="shared" si="57"/>
        <v>72361</v>
      </c>
      <c r="Y79" s="4">
        <f t="shared" si="57"/>
        <v>88136</v>
      </c>
      <c r="Z79" s="4">
        <f t="shared" si="57"/>
        <v>101832</v>
      </c>
      <c r="AA79" s="4">
        <f t="shared" si="57"/>
        <v>133749</v>
      </c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</row>
    <row r="80" spans="1:132" x14ac:dyDescent="0.2">
      <c r="B80" s="2" t="s">
        <v>67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>
        <v>11682</v>
      </c>
      <c r="U80" s="4">
        <v>12796</v>
      </c>
      <c r="V80" s="4">
        <v>11686</v>
      </c>
      <c r="W80" s="4">
        <v>14460</v>
      </c>
      <c r="X80" s="4">
        <v>13861</v>
      </c>
      <c r="Y80" s="4">
        <v>22287</v>
      </c>
      <c r="Z80" s="4">
        <v>34153</v>
      </c>
      <c r="AA80" s="4">
        <v>38534</v>
      </c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</row>
    <row r="81" spans="2:132" x14ac:dyDescent="0.2">
      <c r="B81" s="2" t="s">
        <v>68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>
        <v>4652</v>
      </c>
      <c r="U81" s="4">
        <v>5289</v>
      </c>
      <c r="V81" s="4">
        <v>6118</v>
      </c>
      <c r="W81" s="4">
        <v>7502</v>
      </c>
      <c r="X81" s="4">
        <v>9611</v>
      </c>
      <c r="Y81" s="4">
        <v>10734</v>
      </c>
      <c r="Z81" s="4">
        <v>11974</v>
      </c>
      <c r="AA81" s="4">
        <v>12405</v>
      </c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</row>
    <row r="82" spans="2:132" x14ac:dyDescent="0.2">
      <c r="B82" s="2" t="s">
        <v>69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>
        <v>-792</v>
      </c>
      <c r="U82" s="4">
        <v>-219</v>
      </c>
      <c r="V82" s="4">
        <v>-1249</v>
      </c>
      <c r="W82" s="4">
        <v>-409</v>
      </c>
      <c r="X82" s="4">
        <v>196</v>
      </c>
      <c r="Y82" s="4">
        <v>305</v>
      </c>
      <c r="Z82" s="4">
        <v>609</v>
      </c>
      <c r="AA82" s="4">
        <v>-11047</v>
      </c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</row>
    <row r="83" spans="2:132" x14ac:dyDescent="0.2">
      <c r="B83" s="2" t="s">
        <v>70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>
        <v>-6463</v>
      </c>
      <c r="U83" s="4">
        <v>11</v>
      </c>
      <c r="V83" s="4">
        <v>-150</v>
      </c>
      <c r="W83" s="4">
        <v>-5702</v>
      </c>
      <c r="X83" s="4">
        <v>-6059</v>
      </c>
      <c r="Y83" s="4">
        <v>-4738</v>
      </c>
      <c r="Z83" s="4">
        <v>-7056</v>
      </c>
      <c r="AA83" s="4">
        <v>14189</v>
      </c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</row>
    <row r="84" spans="2:132" x14ac:dyDescent="0.2">
      <c r="B84" s="21" t="s">
        <v>71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</row>
    <row r="85" spans="2:132" x14ac:dyDescent="0.2">
      <c r="B85" s="26" t="s">
        <v>73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>
        <v>-2812</v>
      </c>
      <c r="U85" s="4">
        <v>-2577</v>
      </c>
      <c r="V85" s="4">
        <v>-6481</v>
      </c>
      <c r="W85" s="4">
        <v>-6834</v>
      </c>
      <c r="X85" s="4">
        <v>-4087</v>
      </c>
      <c r="Y85" s="4">
        <v>-7191</v>
      </c>
      <c r="Z85" s="4">
        <v>-10581</v>
      </c>
      <c r="AA85" s="4">
        <v>-12737</v>
      </c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</row>
    <row r="86" spans="2:132" x14ac:dyDescent="0.2">
      <c r="B86" s="26" t="s">
        <v>42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>
        <v>597</v>
      </c>
      <c r="U86" s="4">
        <v>168</v>
      </c>
      <c r="V86" s="4">
        <v>-737</v>
      </c>
      <c r="W86" s="4">
        <v>-1123</v>
      </c>
      <c r="X86" s="4">
        <v>1242</v>
      </c>
      <c r="Y86" s="4">
        <v>1284</v>
      </c>
      <c r="Z86" s="4">
        <v>309</v>
      </c>
      <c r="AA86" s="4">
        <v>-461</v>
      </c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</row>
    <row r="87" spans="2:132" x14ac:dyDescent="0.2">
      <c r="B87" s="26" t="s">
        <v>74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>
        <v>-1718</v>
      </c>
      <c r="U87" s="4">
        <v>-2330</v>
      </c>
      <c r="V87" s="4">
        <v>-932</v>
      </c>
      <c r="W87" s="4">
        <v>-709</v>
      </c>
      <c r="X87" s="4">
        <v>-1991</v>
      </c>
      <c r="Y87" s="4">
        <v>-1648</v>
      </c>
      <c r="Z87" s="4">
        <v>-3044</v>
      </c>
      <c r="AA87" s="4">
        <v>-2627</v>
      </c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</row>
    <row r="88" spans="2:132" x14ac:dyDescent="0.2">
      <c r="B88" s="26" t="s">
        <v>75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>
        <v>-1834</v>
      </c>
      <c r="U88" s="4">
        <v>-1037</v>
      </c>
      <c r="V88" s="4">
        <v>-3459</v>
      </c>
      <c r="W88" s="4">
        <v>-2805</v>
      </c>
      <c r="X88" s="4">
        <v>-2833</v>
      </c>
      <c r="Y88" s="4">
        <v>-6817</v>
      </c>
      <c r="Z88" s="4">
        <v>-2950</v>
      </c>
      <c r="AA88" s="4">
        <v>-3964</v>
      </c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</row>
    <row r="89" spans="2:132" x14ac:dyDescent="0.2">
      <c r="B89" s="26" t="s">
        <v>76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>
        <v>232</v>
      </c>
      <c r="U89" s="4">
        <v>3018</v>
      </c>
      <c r="V89" s="4">
        <v>2798</v>
      </c>
      <c r="W89" s="4">
        <v>2943</v>
      </c>
      <c r="X89" s="4">
        <v>-2721</v>
      </c>
      <c r="Y89" s="4">
        <v>3545</v>
      </c>
      <c r="Z89" s="4">
        <v>569</v>
      </c>
      <c r="AA89" s="4">
        <v>5268</v>
      </c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</row>
    <row r="90" spans="2:132" x14ac:dyDescent="0.2">
      <c r="B90" s="26" t="s">
        <v>77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>
        <v>4462</v>
      </c>
      <c r="U90" s="4">
        <v>2212</v>
      </c>
      <c r="V90" s="4">
        <v>4633</v>
      </c>
      <c r="W90" s="4">
        <v>5109</v>
      </c>
      <c r="X90" s="4">
        <v>5535</v>
      </c>
      <c r="Y90" s="4">
        <v>5348</v>
      </c>
      <c r="Z90" s="4">
        <v>5438</v>
      </c>
      <c r="AA90" s="4">
        <v>9361</v>
      </c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</row>
    <row r="91" spans="2:132" x14ac:dyDescent="0.2">
      <c r="B91" s="26" t="s">
        <v>78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>
        <v>2929</v>
      </c>
      <c r="U91" s="4">
        <v>-3631</v>
      </c>
      <c r="V91" s="4">
        <v>-2309</v>
      </c>
      <c r="W91" s="4">
        <v>696</v>
      </c>
      <c r="X91" s="4">
        <v>-358</v>
      </c>
      <c r="Y91" s="4">
        <v>1687</v>
      </c>
      <c r="Z91" s="4">
        <v>-38</v>
      </c>
      <c r="AA91" s="4">
        <v>-1875</v>
      </c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</row>
    <row r="92" spans="2:132" x14ac:dyDescent="0.2">
      <c r="B92" s="26" t="s">
        <v>79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>
        <v>1419</v>
      </c>
      <c r="U92" s="4">
        <v>1346</v>
      </c>
      <c r="V92" s="4">
        <v>4149</v>
      </c>
      <c r="W92" s="4">
        <v>2344</v>
      </c>
      <c r="X92" s="4">
        <v>2272</v>
      </c>
      <c r="Y92" s="4">
        <v>4867</v>
      </c>
      <c r="Z92" s="4">
        <v>5922</v>
      </c>
      <c r="AA92" s="4">
        <v>6847</v>
      </c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</row>
    <row r="93" spans="2:132" x14ac:dyDescent="0.2">
      <c r="B93" s="26" t="s">
        <v>80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>
        <v>591</v>
      </c>
      <c r="U93" s="4">
        <v>1348</v>
      </c>
      <c r="V93" s="4">
        <v>1402</v>
      </c>
      <c r="W93" s="4">
        <v>825</v>
      </c>
      <c r="X93" s="4">
        <v>553</v>
      </c>
      <c r="Y93" s="4">
        <v>749</v>
      </c>
      <c r="Z93" s="4">
        <v>-975</v>
      </c>
      <c r="AA93" s="4">
        <v>-4707</v>
      </c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</row>
    <row r="94" spans="2:132" x14ac:dyDescent="0.2">
      <c r="B94" s="27" t="s">
        <v>81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>
        <f t="shared" ref="T94:X94" si="58">+SUM(T85:T93)</f>
        <v>3866</v>
      </c>
      <c r="U94" s="4">
        <f t="shared" si="58"/>
        <v>-1483</v>
      </c>
      <c r="V94" s="4">
        <f t="shared" si="58"/>
        <v>-936</v>
      </c>
      <c r="W94" s="4">
        <f t="shared" si="58"/>
        <v>446</v>
      </c>
      <c r="X94" s="4">
        <f t="shared" si="58"/>
        <v>-2388</v>
      </c>
      <c r="Y94" s="4">
        <f>+SUM(Y85:Y93)</f>
        <v>1824</v>
      </c>
      <c r="Z94" s="4">
        <f>+SUM(Z85:Z93)</f>
        <v>-5350</v>
      </c>
      <c r="AA94" s="4">
        <f>+SUM(AA85:AA93)</f>
        <v>-4895</v>
      </c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</row>
    <row r="95" spans="2:132" x14ac:dyDescent="0.2">
      <c r="B95" s="1" t="s">
        <v>72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22">
        <v>37044</v>
      </c>
      <c r="N95" s="4"/>
      <c r="O95" s="4"/>
      <c r="P95" s="4"/>
      <c r="Q95" s="22">
        <v>46679</v>
      </c>
      <c r="R95" s="4"/>
      <c r="S95" s="4"/>
      <c r="T95" s="22">
        <f t="shared" ref="T95:X95" si="59">+T79+SUM(T80:T83,T94)</f>
        <v>52185</v>
      </c>
      <c r="U95" s="22">
        <f t="shared" si="59"/>
        <v>60675</v>
      </c>
      <c r="V95" s="22">
        <f t="shared" si="59"/>
        <v>76740</v>
      </c>
      <c r="W95" s="22">
        <f t="shared" si="59"/>
        <v>89035</v>
      </c>
      <c r="X95" s="22">
        <f t="shared" si="59"/>
        <v>87582</v>
      </c>
      <c r="Y95" s="22">
        <f>+Y79+SUM(Y80:Y83,Y94)</f>
        <v>118548</v>
      </c>
      <c r="Z95" s="22">
        <f>+Z79+SUM(Z80:Z83,Z94)</f>
        <v>136162</v>
      </c>
      <c r="AA95" s="22">
        <f>+AA79+SUM(AA80:AA83,AA94)</f>
        <v>182935</v>
      </c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</row>
    <row r="96" spans="2:132" x14ac:dyDescent="0.2">
      <c r="B96" s="27" t="s">
        <v>82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5250</v>
      </c>
      <c r="Z96" s="4">
        <v>-5746</v>
      </c>
      <c r="AA96" s="4">
        <v>0</v>
      </c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</row>
    <row r="97" spans="2:132" x14ac:dyDescent="0.2">
      <c r="B97" s="27" t="s">
        <v>83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24395</v>
      </c>
      <c r="Z97" s="4">
        <v>0</v>
      </c>
      <c r="AA97" s="4">
        <v>0</v>
      </c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</row>
    <row r="98" spans="2:132" x14ac:dyDescent="0.2">
      <c r="B98" s="27" t="s">
        <v>84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>
        <v>-4000</v>
      </c>
      <c r="U98" s="4">
        <v>-5518</v>
      </c>
      <c r="V98" s="4">
        <v>-3750</v>
      </c>
      <c r="W98" s="4">
        <v>-9023</v>
      </c>
      <c r="X98" s="4">
        <v>-2750</v>
      </c>
      <c r="Y98" s="4">
        <v>-29070</v>
      </c>
      <c r="Z98" s="4">
        <v>-3216</v>
      </c>
      <c r="AA98" s="4">
        <v>-3000</v>
      </c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</row>
    <row r="99" spans="2:132" x14ac:dyDescent="0.2">
      <c r="B99" s="27" t="s">
        <v>85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>
        <v>1142</v>
      </c>
      <c r="U99" s="4">
        <v>1343</v>
      </c>
      <c r="V99" s="4">
        <v>1693</v>
      </c>
      <c r="W99" s="4">
        <v>1841</v>
      </c>
      <c r="X99" s="4">
        <v>1866</v>
      </c>
      <c r="Y99" s="4">
        <v>2002</v>
      </c>
      <c r="Z99" s="4">
        <v>2056</v>
      </c>
      <c r="AA99" s="4">
        <v>2009</v>
      </c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</row>
    <row r="100" spans="2:132" x14ac:dyDescent="0.2">
      <c r="B100" s="27" t="s">
        <v>86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>
        <v>-19543</v>
      </c>
      <c r="U100" s="4">
        <v>-22968</v>
      </c>
      <c r="V100" s="4">
        <v>-27385</v>
      </c>
      <c r="W100" s="4">
        <v>-32696</v>
      </c>
      <c r="X100" s="4">
        <v>-22245</v>
      </c>
      <c r="Y100" s="4">
        <v>-17254</v>
      </c>
      <c r="Z100" s="4">
        <v>-18420</v>
      </c>
      <c r="AA100" s="4">
        <v>-22271</v>
      </c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</row>
    <row r="101" spans="2:132" x14ac:dyDescent="0.2">
      <c r="B101" s="27" t="s">
        <v>87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>
        <v>-13811</v>
      </c>
      <c r="U101" s="4">
        <v>-15137</v>
      </c>
      <c r="V101" s="4">
        <v>-16521</v>
      </c>
      <c r="W101" s="4">
        <v>-18135</v>
      </c>
      <c r="X101" s="4">
        <v>-19800</v>
      </c>
      <c r="Y101" s="4">
        <v>-21771</v>
      </c>
      <c r="Z101" s="4">
        <v>-24082</v>
      </c>
      <c r="AA101" s="4">
        <v>-26445</v>
      </c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</row>
    <row r="102" spans="2:132" x14ac:dyDescent="0.2">
      <c r="B102" s="27" t="s">
        <v>43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>
        <v>-675</v>
      </c>
      <c r="U102" s="4">
        <f>-334-3417</f>
        <v>-3751</v>
      </c>
      <c r="V102" s="4">
        <f>-769-1754</f>
        <v>-2523</v>
      </c>
      <c r="W102" s="4">
        <v>-863</v>
      </c>
      <c r="X102" s="4">
        <v>-1006</v>
      </c>
      <c r="Y102" s="4">
        <v>-1309</v>
      </c>
      <c r="Z102" s="4">
        <v>-2291</v>
      </c>
      <c r="AA102" s="4">
        <v>-2839</v>
      </c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</row>
    <row r="103" spans="2:132" x14ac:dyDescent="0.2">
      <c r="B103" s="28" t="s">
        <v>88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22">
        <f t="shared" ref="T103:X103" si="60">+SUM(T96:T102)</f>
        <v>-36887</v>
      </c>
      <c r="U103" s="22">
        <f t="shared" si="60"/>
        <v>-46031</v>
      </c>
      <c r="V103" s="22">
        <f t="shared" si="60"/>
        <v>-48486</v>
      </c>
      <c r="W103" s="22">
        <f t="shared" si="60"/>
        <v>-58876</v>
      </c>
      <c r="X103" s="22">
        <f t="shared" si="60"/>
        <v>-43935</v>
      </c>
      <c r="Y103" s="22">
        <f>+SUM(Y96:Y102)</f>
        <v>-37757</v>
      </c>
      <c r="Z103" s="22">
        <f>+SUM(Z96:Z102)</f>
        <v>-51699</v>
      </c>
      <c r="AA103" s="22">
        <f>+SUM(AA96:AA102)</f>
        <v>-52546</v>
      </c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</row>
    <row r="104" spans="2:132" x14ac:dyDescent="0.2">
      <c r="B104" s="27" t="s">
        <v>90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>
        <v>-16745</v>
      </c>
      <c r="N104" s="4"/>
      <c r="O104" s="4"/>
      <c r="P104" s="4"/>
      <c r="Q104" s="4">
        <v>-30876</v>
      </c>
      <c r="R104" s="4"/>
      <c r="S104" s="4"/>
      <c r="T104" s="4">
        <v>-13925</v>
      </c>
      <c r="U104" s="4">
        <v>-15441</v>
      </c>
      <c r="V104" s="4">
        <v>-20622</v>
      </c>
      <c r="W104" s="4">
        <v>-23886</v>
      </c>
      <c r="X104" s="4">
        <v>-28017</v>
      </c>
      <c r="Y104" s="4">
        <v>-44477</v>
      </c>
      <c r="Z104" s="4">
        <v>-64551</v>
      </c>
      <c r="AA104" s="4">
        <v>-115948</v>
      </c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</row>
    <row r="105" spans="2:132" x14ac:dyDescent="0.2">
      <c r="B105" s="27" t="s">
        <v>92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>
        <v>-2388</v>
      </c>
      <c r="U105" s="4">
        <v>-2521</v>
      </c>
      <c r="V105" s="4">
        <v>-8909</v>
      </c>
      <c r="W105" s="4">
        <v>-22038</v>
      </c>
      <c r="X105" s="4">
        <v>-1670</v>
      </c>
      <c r="Y105" s="4">
        <v>-69132</v>
      </c>
      <c r="Z105" s="4">
        <v>-5978</v>
      </c>
      <c r="AA105" s="4">
        <v>-1743</v>
      </c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</row>
    <row r="106" spans="2:132" x14ac:dyDescent="0.2">
      <c r="B106" s="27" t="s">
        <v>91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>
        <v>-57697</v>
      </c>
      <c r="U106" s="4">
        <v>-77190</v>
      </c>
      <c r="V106" s="4">
        <v>-62924</v>
      </c>
      <c r="W106" s="4">
        <v>-26456</v>
      </c>
      <c r="X106" s="4">
        <v>-37651</v>
      </c>
      <c r="Y106" s="4">
        <v>-17732</v>
      </c>
      <c r="Z106" s="4">
        <v>-29775</v>
      </c>
      <c r="AA106" s="4">
        <v>-58351</v>
      </c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</row>
    <row r="107" spans="2:132" x14ac:dyDescent="0.2">
      <c r="B107" s="27" t="s">
        <v>93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>
        <v>20043</v>
      </c>
      <c r="U107" s="4">
        <v>66449</v>
      </c>
      <c r="V107" s="4">
        <v>51792</v>
      </c>
      <c r="W107" s="4">
        <v>16451</v>
      </c>
      <c r="X107" s="4">
        <v>33510</v>
      </c>
      <c r="Y107" s="4">
        <v>24775</v>
      </c>
      <c r="Z107" s="4">
        <v>16079</v>
      </c>
      <c r="AA107" s="4">
        <v>34605</v>
      </c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</row>
    <row r="108" spans="2:132" x14ac:dyDescent="0.2">
      <c r="B108" s="27" t="s">
        <v>94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>
        <v>38194</v>
      </c>
      <c r="U108" s="4">
        <v>17721</v>
      </c>
      <c r="V108" s="4">
        <v>14008</v>
      </c>
      <c r="W108" s="4">
        <v>28443</v>
      </c>
      <c r="X108" s="4">
        <v>14354</v>
      </c>
      <c r="Y108" s="4">
        <v>10894</v>
      </c>
      <c r="Z108" s="4">
        <v>9309</v>
      </c>
      <c r="AA108" s="4">
        <v>21798</v>
      </c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</row>
    <row r="109" spans="2:132" x14ac:dyDescent="0.2">
      <c r="B109" s="27" t="s">
        <v>95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>
        <v>0</v>
      </c>
      <c r="U109" s="4">
        <v>-1241</v>
      </c>
      <c r="V109" s="4">
        <v>-922</v>
      </c>
      <c r="W109" s="4">
        <v>-2825</v>
      </c>
      <c r="X109" s="4">
        <v>3116</v>
      </c>
      <c r="Y109" s="4">
        <v>-1298</v>
      </c>
      <c r="Z109" s="4">
        <v>2317</v>
      </c>
      <c r="AA109" s="4">
        <v>-19861</v>
      </c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</row>
    <row r="110" spans="2:132" x14ac:dyDescent="0.2">
      <c r="B110" s="1" t="s">
        <v>89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22">
        <f t="shared" ref="T110:X110" si="61">+SUM(T104:T109)</f>
        <v>-15773</v>
      </c>
      <c r="U110" s="22">
        <f t="shared" si="61"/>
        <v>-12223</v>
      </c>
      <c r="V110" s="22">
        <f t="shared" si="61"/>
        <v>-27577</v>
      </c>
      <c r="W110" s="22">
        <f t="shared" si="61"/>
        <v>-30311</v>
      </c>
      <c r="X110" s="22">
        <f t="shared" si="61"/>
        <v>-16358</v>
      </c>
      <c r="Y110" s="22">
        <f>+SUM(Y104:Y109)</f>
        <v>-96970</v>
      </c>
      <c r="Z110" s="22">
        <f>+SUM(Z104:Z109)</f>
        <v>-72599</v>
      </c>
      <c r="AA110" s="22">
        <f>+SUM(AA104:AA109)</f>
        <v>-139500</v>
      </c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</row>
    <row r="111" spans="2:132" x14ac:dyDescent="0.2">
      <c r="B111" s="27" t="s">
        <v>96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>
        <v>-141</v>
      </c>
      <c r="X111" s="4">
        <v>-194</v>
      </c>
      <c r="Y111" s="4">
        <v>-210</v>
      </c>
      <c r="Z111" s="4">
        <v>63</v>
      </c>
      <c r="AA111" s="4">
        <v>-196</v>
      </c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</row>
    <row r="112" spans="2:132" x14ac:dyDescent="0.2">
      <c r="B112" s="28" t="s">
        <v>97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22">
        <f t="shared" ref="T112:X112" si="62">+T111+T110+T103+T95</f>
        <v>-475</v>
      </c>
      <c r="U112" s="22">
        <f t="shared" si="62"/>
        <v>2421</v>
      </c>
      <c r="V112" s="22">
        <f t="shared" si="62"/>
        <v>677</v>
      </c>
      <c r="W112" s="22">
        <f t="shared" si="62"/>
        <v>-293</v>
      </c>
      <c r="X112" s="22">
        <f t="shared" si="62"/>
        <v>27095</v>
      </c>
      <c r="Y112" s="22">
        <f>+Y111+Y110+Y103+Y95</f>
        <v>-16389</v>
      </c>
      <c r="Z112" s="22">
        <f>+Z111+Z110+Z103+Z95</f>
        <v>11927</v>
      </c>
      <c r="AA112" s="22">
        <f>+AA111+AA110+AA103+AA95</f>
        <v>-9307</v>
      </c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</row>
    <row r="113" spans="2:132" x14ac:dyDescent="0.2">
      <c r="B113" s="27" t="s">
        <v>98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>
        <f>T114-T112</f>
        <v>5279</v>
      </c>
      <c r="U113" s="4">
        <f>U114-U112</f>
        <v>4804</v>
      </c>
      <c r="V113" s="4">
        <f>V114-V112</f>
        <v>7225</v>
      </c>
      <c r="W113" s="4">
        <f>W114-W112</f>
        <v>7902</v>
      </c>
      <c r="X113" s="4">
        <f>X114-X112</f>
        <v>7609</v>
      </c>
      <c r="Y113" s="4">
        <v>34704</v>
      </c>
      <c r="Z113" s="4">
        <f>+Y114</f>
        <v>18315</v>
      </c>
      <c r="AA113" s="4">
        <f>+Z114</f>
        <v>30242</v>
      </c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</row>
    <row r="114" spans="2:132" x14ac:dyDescent="0.2">
      <c r="B114" s="27" t="s">
        <v>99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>
        <f>U113</f>
        <v>4804</v>
      </c>
      <c r="U114" s="4">
        <f>V113</f>
        <v>7225</v>
      </c>
      <c r="V114" s="4">
        <f>W113</f>
        <v>7902</v>
      </c>
      <c r="W114" s="4">
        <f>X113</f>
        <v>7609</v>
      </c>
      <c r="X114" s="4">
        <f>Y113</f>
        <v>34704</v>
      </c>
      <c r="Y114" s="4">
        <f>+Y112+Y113</f>
        <v>18315</v>
      </c>
      <c r="Z114" s="4">
        <f>+Z112+Z113</f>
        <v>30242</v>
      </c>
      <c r="AA114" s="4">
        <f>+AA112+AA113</f>
        <v>20935</v>
      </c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</row>
    <row r="115" spans="2:132" x14ac:dyDescent="0.2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</row>
    <row r="116" spans="2:132" x14ac:dyDescent="0.2">
      <c r="B116" s="28" t="s">
        <v>204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>
        <f t="shared" ref="T116:AA116" si="63">T25+T80+T94+T104</f>
        <v>44582</v>
      </c>
      <c r="U116" s="22">
        <f t="shared" si="63"/>
        <v>48831</v>
      </c>
      <c r="V116" s="22">
        <f t="shared" si="63"/>
        <v>60044</v>
      </c>
      <c r="W116" s="22">
        <f t="shared" si="63"/>
        <v>74403</v>
      </c>
      <c r="X116" s="22">
        <f t="shared" si="63"/>
        <v>71979</v>
      </c>
      <c r="Y116" s="22">
        <f t="shared" si="63"/>
        <v>89067</v>
      </c>
      <c r="Z116" s="22">
        <f t="shared" si="63"/>
        <v>92780</v>
      </c>
      <c r="AA116" s="22">
        <f t="shared" si="63"/>
        <v>72928</v>
      </c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</row>
    <row r="117" spans="2:132" x14ac:dyDescent="0.2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</row>
    <row r="118" spans="2:132" x14ac:dyDescent="0.2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</row>
    <row r="119" spans="2:132" x14ac:dyDescent="0.2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</row>
    <row r="120" spans="2:132" x14ac:dyDescent="0.2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</row>
    <row r="121" spans="2:132" x14ac:dyDescent="0.2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</row>
    <row r="122" spans="2:132" x14ac:dyDescent="0.2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</row>
    <row r="123" spans="2:132" x14ac:dyDescent="0.2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</row>
    <row r="124" spans="2:132" x14ac:dyDescent="0.2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</row>
    <row r="125" spans="2:132" x14ac:dyDescent="0.2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</row>
    <row r="126" spans="2:132" x14ac:dyDescent="0.2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</row>
    <row r="127" spans="2:132" x14ac:dyDescent="0.2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</row>
    <row r="128" spans="2:132" x14ac:dyDescent="0.2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</row>
    <row r="129" spans="3:132" x14ac:dyDescent="0.2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</row>
    <row r="130" spans="3:132" x14ac:dyDescent="0.2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</row>
    <row r="131" spans="3:132" x14ac:dyDescent="0.2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</row>
    <row r="132" spans="3:132" x14ac:dyDescent="0.2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</row>
    <row r="133" spans="3:132" x14ac:dyDescent="0.2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</row>
    <row r="134" spans="3:132" x14ac:dyDescent="0.2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</row>
    <row r="135" spans="3:132" x14ac:dyDescent="0.2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</row>
    <row r="136" spans="3:132" x14ac:dyDescent="0.2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</row>
    <row r="137" spans="3:132" x14ac:dyDescent="0.2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</row>
    <row r="138" spans="3:132" x14ac:dyDescent="0.2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</row>
    <row r="139" spans="3:132" x14ac:dyDescent="0.2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</row>
    <row r="140" spans="3:132" x14ac:dyDescent="0.2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</row>
    <row r="141" spans="3:132" x14ac:dyDescent="0.2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</row>
    <row r="142" spans="3:132" x14ac:dyDescent="0.2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</row>
    <row r="143" spans="3:132" x14ac:dyDescent="0.2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</row>
    <row r="144" spans="3:132" x14ac:dyDescent="0.2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</row>
    <row r="145" spans="3:132" x14ac:dyDescent="0.2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</row>
    <row r="146" spans="3:132" x14ac:dyDescent="0.2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</row>
    <row r="147" spans="3:132" x14ac:dyDescent="0.2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</row>
    <row r="148" spans="3:132" x14ac:dyDescent="0.2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</row>
    <row r="149" spans="3:132" x14ac:dyDescent="0.2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</row>
    <row r="150" spans="3:132" x14ac:dyDescent="0.2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</row>
    <row r="151" spans="3:132" x14ac:dyDescent="0.2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</row>
    <row r="152" spans="3:132" x14ac:dyDescent="0.2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</row>
    <row r="153" spans="3:132" x14ac:dyDescent="0.2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</row>
    <row r="154" spans="3:132" x14ac:dyDescent="0.2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</row>
    <row r="155" spans="3:132" x14ac:dyDescent="0.2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</row>
    <row r="156" spans="3:132" x14ac:dyDescent="0.2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</row>
    <row r="157" spans="3:132" x14ac:dyDescent="0.2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</row>
    <row r="158" spans="3:132" x14ac:dyDescent="0.2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</row>
    <row r="159" spans="3:132" x14ac:dyDescent="0.2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</row>
    <row r="160" spans="3:132" x14ac:dyDescent="0.2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</row>
    <row r="161" spans="3:132" x14ac:dyDescent="0.2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</row>
    <row r="162" spans="3:132" x14ac:dyDescent="0.2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</row>
    <row r="163" spans="3:132" x14ac:dyDescent="0.2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</row>
    <row r="164" spans="3:132" x14ac:dyDescent="0.2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</row>
    <row r="165" spans="3:132" x14ac:dyDescent="0.2"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</row>
    <row r="166" spans="3:132" x14ac:dyDescent="0.2"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</row>
    <row r="167" spans="3:132" x14ac:dyDescent="0.2"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</row>
    <row r="168" spans="3:132" x14ac:dyDescent="0.2"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</row>
    <row r="169" spans="3:132" x14ac:dyDescent="0.2"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</row>
    <row r="170" spans="3:132" x14ac:dyDescent="0.2"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</row>
    <row r="171" spans="3:132" x14ac:dyDescent="0.2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</row>
    <row r="172" spans="3:132" x14ac:dyDescent="0.2"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</row>
    <row r="173" spans="3:132" x14ac:dyDescent="0.2"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</row>
    <row r="174" spans="3:132" x14ac:dyDescent="0.2"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</row>
    <row r="175" spans="3:132" x14ac:dyDescent="0.2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</row>
    <row r="176" spans="3:132" x14ac:dyDescent="0.2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</row>
    <row r="177" spans="3:132" x14ac:dyDescent="0.2"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</row>
    <row r="178" spans="3:132" x14ac:dyDescent="0.2"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</row>
    <row r="179" spans="3:132" x14ac:dyDescent="0.2"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</row>
    <row r="180" spans="3:132" x14ac:dyDescent="0.2"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</row>
    <row r="181" spans="3:132" x14ac:dyDescent="0.2"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</row>
    <row r="182" spans="3:132" x14ac:dyDescent="0.2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</row>
    <row r="183" spans="3:132" x14ac:dyDescent="0.2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</row>
    <row r="184" spans="3:132" x14ac:dyDescent="0.2"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</row>
    <row r="185" spans="3:132" x14ac:dyDescent="0.2"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</row>
    <row r="186" spans="3:132" x14ac:dyDescent="0.2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</row>
    <row r="187" spans="3:132" x14ac:dyDescent="0.2"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</row>
    <row r="188" spans="3:132" x14ac:dyDescent="0.2"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</row>
    <row r="189" spans="3:132" x14ac:dyDescent="0.2"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</row>
    <row r="190" spans="3:132" x14ac:dyDescent="0.2"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</row>
    <row r="191" spans="3:132" x14ac:dyDescent="0.2"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</row>
    <row r="192" spans="3:132" x14ac:dyDescent="0.2"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</row>
    <row r="193" spans="3:132" x14ac:dyDescent="0.2"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</row>
    <row r="194" spans="3:132" x14ac:dyDescent="0.2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</row>
    <row r="195" spans="3:132" x14ac:dyDescent="0.2"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</row>
    <row r="196" spans="3:132" x14ac:dyDescent="0.2"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</row>
    <row r="197" spans="3:132" x14ac:dyDescent="0.2"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</row>
    <row r="198" spans="3:132" x14ac:dyDescent="0.2"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</row>
    <row r="199" spans="3:132" x14ac:dyDescent="0.2"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</row>
    <row r="200" spans="3:132" x14ac:dyDescent="0.2"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</row>
    <row r="201" spans="3:132" x14ac:dyDescent="0.2"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</row>
    <row r="202" spans="3:132" x14ac:dyDescent="0.2"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</row>
    <row r="203" spans="3:132" x14ac:dyDescent="0.2"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</row>
    <row r="204" spans="3:132" x14ac:dyDescent="0.2"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</row>
    <row r="205" spans="3:132" x14ac:dyDescent="0.2"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</row>
    <row r="206" spans="3:132" x14ac:dyDescent="0.2"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</row>
    <row r="207" spans="3:132" x14ac:dyDescent="0.2"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</row>
    <row r="208" spans="3:132" x14ac:dyDescent="0.2"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</row>
    <row r="209" spans="3:132" x14ac:dyDescent="0.2"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</row>
    <row r="210" spans="3:132" x14ac:dyDescent="0.2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</row>
    <row r="211" spans="3:132" x14ac:dyDescent="0.2"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</row>
    <row r="212" spans="3:132" x14ac:dyDescent="0.2"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</row>
    <row r="213" spans="3:132" x14ac:dyDescent="0.2"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</row>
    <row r="214" spans="3:132" x14ac:dyDescent="0.2"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</row>
    <row r="215" spans="3:132" x14ac:dyDescent="0.2"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</row>
    <row r="216" spans="3:132" x14ac:dyDescent="0.2"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</row>
    <row r="217" spans="3:132" x14ac:dyDescent="0.2"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</row>
    <row r="218" spans="3:132" x14ac:dyDescent="0.2"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</row>
    <row r="219" spans="3:132" x14ac:dyDescent="0.2"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</row>
    <row r="220" spans="3:132" x14ac:dyDescent="0.2"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</row>
    <row r="221" spans="3:132" x14ac:dyDescent="0.2"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</row>
    <row r="222" spans="3:132" x14ac:dyDescent="0.2"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</row>
    <row r="223" spans="3:132" x14ac:dyDescent="0.2"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</row>
    <row r="224" spans="3:132" x14ac:dyDescent="0.2"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</row>
    <row r="225" spans="3:132" x14ac:dyDescent="0.2"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</row>
    <row r="226" spans="3:132" x14ac:dyDescent="0.2"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</row>
    <row r="227" spans="3:132" x14ac:dyDescent="0.2"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</row>
    <row r="228" spans="3:132" x14ac:dyDescent="0.2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</row>
    <row r="229" spans="3:132" x14ac:dyDescent="0.2"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</row>
    <row r="230" spans="3:132" x14ac:dyDescent="0.2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</row>
    <row r="231" spans="3:132" x14ac:dyDescent="0.2"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</row>
    <row r="232" spans="3:132" x14ac:dyDescent="0.2"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</row>
    <row r="233" spans="3:132" x14ac:dyDescent="0.2"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</row>
    <row r="234" spans="3:132" x14ac:dyDescent="0.2"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</row>
    <row r="235" spans="3:132" x14ac:dyDescent="0.2"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</row>
    <row r="236" spans="3:132" x14ac:dyDescent="0.2"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</row>
    <row r="237" spans="3:132" x14ac:dyDescent="0.2"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</row>
    <row r="238" spans="3:132" x14ac:dyDescent="0.2"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</row>
    <row r="239" spans="3:132" x14ac:dyDescent="0.2"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</row>
    <row r="240" spans="3:132" x14ac:dyDescent="0.2"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</row>
    <row r="241" spans="3:132" x14ac:dyDescent="0.2"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</row>
    <row r="242" spans="3:132" x14ac:dyDescent="0.2"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</row>
    <row r="243" spans="3:132" x14ac:dyDescent="0.2"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</row>
    <row r="244" spans="3:132" x14ac:dyDescent="0.2"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</row>
    <row r="245" spans="3:132" x14ac:dyDescent="0.2"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</row>
    <row r="246" spans="3:132" x14ac:dyDescent="0.2"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</row>
    <row r="247" spans="3:132" x14ac:dyDescent="0.2"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</row>
    <row r="248" spans="3:132" x14ac:dyDescent="0.2"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</row>
    <row r="249" spans="3:132" x14ac:dyDescent="0.2"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</row>
    <row r="250" spans="3:132" x14ac:dyDescent="0.2"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</row>
    <row r="251" spans="3:132" x14ac:dyDescent="0.2"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</row>
    <row r="252" spans="3:132" x14ac:dyDescent="0.2"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</row>
    <row r="253" spans="3:132" x14ac:dyDescent="0.2"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</row>
    <row r="254" spans="3:132" x14ac:dyDescent="0.2"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</row>
    <row r="255" spans="3:132" x14ac:dyDescent="0.2"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</row>
    <row r="256" spans="3:132" x14ac:dyDescent="0.2"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</row>
    <row r="257" spans="3:132" x14ac:dyDescent="0.2"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</row>
    <row r="258" spans="3:132" x14ac:dyDescent="0.2"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</row>
    <row r="259" spans="3:132" x14ac:dyDescent="0.2"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</row>
    <row r="260" spans="3:132" x14ac:dyDescent="0.2"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</row>
    <row r="261" spans="3:132" x14ac:dyDescent="0.2"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</row>
    <row r="262" spans="3:132" x14ac:dyDescent="0.2"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</row>
    <row r="263" spans="3:132" x14ac:dyDescent="0.2"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</row>
    <row r="264" spans="3:132" x14ac:dyDescent="0.2"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</row>
    <row r="265" spans="3:132" x14ac:dyDescent="0.2"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</row>
    <row r="266" spans="3:132" x14ac:dyDescent="0.2"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3:132" x14ac:dyDescent="0.2"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3:132" x14ac:dyDescent="0.2"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3:132" x14ac:dyDescent="0.2"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3:132" x14ac:dyDescent="0.2"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3:132" x14ac:dyDescent="0.2"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3:132" x14ac:dyDescent="0.2"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3:25" x14ac:dyDescent="0.2"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3:25" x14ac:dyDescent="0.2"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3:25" x14ac:dyDescent="0.2"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3:25" x14ac:dyDescent="0.2"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3:25" x14ac:dyDescent="0.2"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3:25" x14ac:dyDescent="0.2"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3:25" x14ac:dyDescent="0.2"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3:25" x14ac:dyDescent="0.2"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3:25" x14ac:dyDescent="0.2"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3:25" x14ac:dyDescent="0.2"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3:25" x14ac:dyDescent="0.2"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3:25" x14ac:dyDescent="0.2"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3:25" x14ac:dyDescent="0.2"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3:25" x14ac:dyDescent="0.2"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3:25" x14ac:dyDescent="0.2"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3:25" x14ac:dyDescent="0.2"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3:25" x14ac:dyDescent="0.2"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3:25" x14ac:dyDescent="0.2"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3:25" x14ac:dyDescent="0.2"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3:25" x14ac:dyDescent="0.2"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3:25" x14ac:dyDescent="0.2"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3:25" x14ac:dyDescent="0.2"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3:25" x14ac:dyDescent="0.2"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3:25" x14ac:dyDescent="0.2"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3:25" x14ac:dyDescent="0.2"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3:25" x14ac:dyDescent="0.2"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3:25" x14ac:dyDescent="0.2"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3:25" x14ac:dyDescent="0.2"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3:25" x14ac:dyDescent="0.2"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3:25" x14ac:dyDescent="0.2"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3:25" x14ac:dyDescent="0.2"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3:25" x14ac:dyDescent="0.2"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3:25" x14ac:dyDescent="0.2"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3:25" x14ac:dyDescent="0.2"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3:25" x14ac:dyDescent="0.2"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3:25" x14ac:dyDescent="0.2"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3:25" x14ac:dyDescent="0.2"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3:25" x14ac:dyDescent="0.2"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3:25" x14ac:dyDescent="0.2"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3:25" x14ac:dyDescent="0.2"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3:25" x14ac:dyDescent="0.2"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3:25" x14ac:dyDescent="0.2"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3:25" x14ac:dyDescent="0.2"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3:25" x14ac:dyDescent="0.2"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3:25" x14ac:dyDescent="0.2"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3:25" x14ac:dyDescent="0.2"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3:25" x14ac:dyDescent="0.2"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3:25" x14ac:dyDescent="0.2"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3:25" x14ac:dyDescent="0.2"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3:25" x14ac:dyDescent="0.2"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3:25" x14ac:dyDescent="0.2"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3:25" x14ac:dyDescent="0.2"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3:25" x14ac:dyDescent="0.2"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3:25" x14ac:dyDescent="0.2"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3:25" x14ac:dyDescent="0.2"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3:25" x14ac:dyDescent="0.2"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3:25" x14ac:dyDescent="0.2"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3:25" x14ac:dyDescent="0.2"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3:25" x14ac:dyDescent="0.2"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3:25" x14ac:dyDescent="0.2"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3:25" x14ac:dyDescent="0.2"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3:25" x14ac:dyDescent="0.2"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3:25" x14ac:dyDescent="0.2"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3:25" x14ac:dyDescent="0.2"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3:25" x14ac:dyDescent="0.2"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3:25" x14ac:dyDescent="0.2"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3:25" x14ac:dyDescent="0.2"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3:25" x14ac:dyDescent="0.2"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3:25" x14ac:dyDescent="0.2"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3:25" x14ac:dyDescent="0.2"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3:25" x14ac:dyDescent="0.2"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3:25" x14ac:dyDescent="0.2"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3:25" x14ac:dyDescent="0.2"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3:25" x14ac:dyDescent="0.2"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3:25" x14ac:dyDescent="0.2"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3:25" x14ac:dyDescent="0.2"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3:25" x14ac:dyDescent="0.2"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3:25" x14ac:dyDescent="0.2"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3:25" x14ac:dyDescent="0.2"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3:25" x14ac:dyDescent="0.2"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3:25" x14ac:dyDescent="0.2"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3:25" x14ac:dyDescent="0.2"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3:25" x14ac:dyDescent="0.2"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3:25" x14ac:dyDescent="0.2"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3:25" x14ac:dyDescent="0.2"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3:25" x14ac:dyDescent="0.2"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3:25" x14ac:dyDescent="0.2"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3:25" x14ac:dyDescent="0.2"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3:25" x14ac:dyDescent="0.2"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3:25" x14ac:dyDescent="0.2"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3:25" x14ac:dyDescent="0.2"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3:25" x14ac:dyDescent="0.2"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3:25" x14ac:dyDescent="0.2"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3:25" x14ac:dyDescent="0.2"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3:25" x14ac:dyDescent="0.2"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3:25" x14ac:dyDescent="0.2"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3:25" x14ac:dyDescent="0.2"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3:25" x14ac:dyDescent="0.2"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3:25" x14ac:dyDescent="0.2"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3:25" x14ac:dyDescent="0.2"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3:25" x14ac:dyDescent="0.2"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3:25" x14ac:dyDescent="0.2"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3:25" x14ac:dyDescent="0.2"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3:25" x14ac:dyDescent="0.2"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3:25" x14ac:dyDescent="0.2"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3:25" x14ac:dyDescent="0.2"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3:25" x14ac:dyDescent="0.2"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3:25" x14ac:dyDescent="0.2"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3:25" x14ac:dyDescent="0.2"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3:25" x14ac:dyDescent="0.2"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3:25" x14ac:dyDescent="0.2"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3:25" x14ac:dyDescent="0.2"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3:25" x14ac:dyDescent="0.2"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3:25" x14ac:dyDescent="0.2"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3:25" x14ac:dyDescent="0.2"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3:25" x14ac:dyDescent="0.2"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3:25" x14ac:dyDescent="0.2"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3:25" x14ac:dyDescent="0.2"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3:25" x14ac:dyDescent="0.2"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3:25" x14ac:dyDescent="0.2"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3:25" x14ac:dyDescent="0.2"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3:25" x14ac:dyDescent="0.2"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3:25" x14ac:dyDescent="0.2"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3:25" x14ac:dyDescent="0.2"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3:25" x14ac:dyDescent="0.2"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3:25" x14ac:dyDescent="0.2"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3:25" x14ac:dyDescent="0.2"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3:25" x14ac:dyDescent="0.2"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3:25" x14ac:dyDescent="0.2"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3:25" x14ac:dyDescent="0.2"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3:25" x14ac:dyDescent="0.2"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3:25" x14ac:dyDescent="0.2"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3:25" x14ac:dyDescent="0.2"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3:25" x14ac:dyDescent="0.2"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3:25" x14ac:dyDescent="0.2"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3:25" x14ac:dyDescent="0.2"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3:25" x14ac:dyDescent="0.2"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3:25" x14ac:dyDescent="0.2"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3:25" x14ac:dyDescent="0.2"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3:25" x14ac:dyDescent="0.2"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3:25" x14ac:dyDescent="0.2"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3:25" x14ac:dyDescent="0.2"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3:25" x14ac:dyDescent="0.2"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3:25" x14ac:dyDescent="0.2"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3:25" x14ac:dyDescent="0.2"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3:25" x14ac:dyDescent="0.2"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3:25" x14ac:dyDescent="0.2"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3:25" x14ac:dyDescent="0.2"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3:25" x14ac:dyDescent="0.2"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3:25" x14ac:dyDescent="0.2"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3:25" x14ac:dyDescent="0.2"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3:25" x14ac:dyDescent="0.2"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3:25" x14ac:dyDescent="0.2"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3:25" x14ac:dyDescent="0.2"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3:25" x14ac:dyDescent="0.2"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3:25" x14ac:dyDescent="0.2"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3:25" x14ac:dyDescent="0.2"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3:25" x14ac:dyDescent="0.2"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3:25" x14ac:dyDescent="0.2"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3:25" x14ac:dyDescent="0.2"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3:25" x14ac:dyDescent="0.2"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3:25" x14ac:dyDescent="0.2"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3:25" x14ac:dyDescent="0.2"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3:25" x14ac:dyDescent="0.2"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3:25" x14ac:dyDescent="0.2"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3:25" x14ac:dyDescent="0.2"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3:25" x14ac:dyDescent="0.2"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3:25" x14ac:dyDescent="0.2"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3:25" x14ac:dyDescent="0.2"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3:25" x14ac:dyDescent="0.2"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3:25" x14ac:dyDescent="0.2"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3:25" x14ac:dyDescent="0.2"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3:25" x14ac:dyDescent="0.2"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3:25" x14ac:dyDescent="0.2"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3:25" x14ac:dyDescent="0.2"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3:25" x14ac:dyDescent="0.2"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3:25" x14ac:dyDescent="0.2"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3:25" x14ac:dyDescent="0.2"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3:25" x14ac:dyDescent="0.2"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3:25" x14ac:dyDescent="0.2"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3:25" x14ac:dyDescent="0.2"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3:25" x14ac:dyDescent="0.2"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3:25" x14ac:dyDescent="0.2"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3:25" x14ac:dyDescent="0.2"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3:25" x14ac:dyDescent="0.2"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3:25" x14ac:dyDescent="0.2"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3:25" x14ac:dyDescent="0.2"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3:25" x14ac:dyDescent="0.2"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3:25" x14ac:dyDescent="0.2"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3:25" x14ac:dyDescent="0.2"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3:25" x14ac:dyDescent="0.2"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3:25" x14ac:dyDescent="0.2"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3:25" x14ac:dyDescent="0.2"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3:25" x14ac:dyDescent="0.2"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3:25" x14ac:dyDescent="0.2"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3:25" x14ac:dyDescent="0.2"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3:25" x14ac:dyDescent="0.2"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3:25" x14ac:dyDescent="0.2"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3:25" x14ac:dyDescent="0.2"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3:25" x14ac:dyDescent="0.2"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3:25" x14ac:dyDescent="0.2"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3:25" x14ac:dyDescent="0.2"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3:25" x14ac:dyDescent="0.2"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3:25" x14ac:dyDescent="0.2"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3:25" x14ac:dyDescent="0.2"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3:25" x14ac:dyDescent="0.2"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3:25" x14ac:dyDescent="0.2"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3:25" x14ac:dyDescent="0.2"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3:25" x14ac:dyDescent="0.2"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3:25" x14ac:dyDescent="0.2"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3:25" x14ac:dyDescent="0.2"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3:25" x14ac:dyDescent="0.2"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3:25" x14ac:dyDescent="0.2"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3:25" x14ac:dyDescent="0.2"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3:25" x14ac:dyDescent="0.2"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3:25" x14ac:dyDescent="0.2"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3:25" x14ac:dyDescent="0.2"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3:25" x14ac:dyDescent="0.2"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3:25" x14ac:dyDescent="0.2"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3:25" x14ac:dyDescent="0.2"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3:25" x14ac:dyDescent="0.2"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3:25" x14ac:dyDescent="0.2"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3:25" x14ac:dyDescent="0.2"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3:25" x14ac:dyDescent="0.2"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3:25" x14ac:dyDescent="0.2"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3:25" x14ac:dyDescent="0.2"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3:25" x14ac:dyDescent="0.2"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3:25" x14ac:dyDescent="0.2"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3:25" x14ac:dyDescent="0.2"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3:25" x14ac:dyDescent="0.2"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3:25" x14ac:dyDescent="0.2"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3:25" x14ac:dyDescent="0.2"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3:25" x14ac:dyDescent="0.2"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3:25" x14ac:dyDescent="0.2"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3:25" x14ac:dyDescent="0.2"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3:25" x14ac:dyDescent="0.2"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3:25" x14ac:dyDescent="0.2"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3:25" x14ac:dyDescent="0.2"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3:25" x14ac:dyDescent="0.2"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3:25" x14ac:dyDescent="0.2"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3:25" x14ac:dyDescent="0.2"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3:25" x14ac:dyDescent="0.2"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3:25" x14ac:dyDescent="0.2"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3:25" x14ac:dyDescent="0.2"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3:25" x14ac:dyDescent="0.2"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3:25" x14ac:dyDescent="0.2"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3:25" x14ac:dyDescent="0.2"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3:25" x14ac:dyDescent="0.2"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3:25" x14ac:dyDescent="0.2"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3:25" x14ac:dyDescent="0.2"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3:25" x14ac:dyDescent="0.2"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3:25" x14ac:dyDescent="0.2"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3:25" x14ac:dyDescent="0.2"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3:25" x14ac:dyDescent="0.2"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3:25" x14ac:dyDescent="0.2"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3:25" x14ac:dyDescent="0.2"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3:25" x14ac:dyDescent="0.2"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3:25" x14ac:dyDescent="0.2"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3:25" x14ac:dyDescent="0.2"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3:25" x14ac:dyDescent="0.2"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3:25" x14ac:dyDescent="0.2"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3:25" x14ac:dyDescent="0.2"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3:25" x14ac:dyDescent="0.2"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3:25" x14ac:dyDescent="0.2"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3:25" x14ac:dyDescent="0.2"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3:25" x14ac:dyDescent="0.2"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3:25" x14ac:dyDescent="0.2"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3:25" x14ac:dyDescent="0.2"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3:25" x14ac:dyDescent="0.2"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3:25" x14ac:dyDescent="0.2"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3:25" x14ac:dyDescent="0.2"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3:25" x14ac:dyDescent="0.2"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3:25" x14ac:dyDescent="0.2"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3:25" x14ac:dyDescent="0.2"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3:25" x14ac:dyDescent="0.2"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3:25" x14ac:dyDescent="0.2"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3:25" x14ac:dyDescent="0.2"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3:25" x14ac:dyDescent="0.2"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3:25" x14ac:dyDescent="0.2"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3:25" x14ac:dyDescent="0.2"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3:25" x14ac:dyDescent="0.2"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3:25" x14ac:dyDescent="0.2"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3:25" x14ac:dyDescent="0.2"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3:25" x14ac:dyDescent="0.2"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3:25" x14ac:dyDescent="0.2"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3:25" x14ac:dyDescent="0.2"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3:25" x14ac:dyDescent="0.2"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3:25" x14ac:dyDescent="0.2"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3:25" x14ac:dyDescent="0.2"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3:25" x14ac:dyDescent="0.2"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3:25" x14ac:dyDescent="0.2"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3:25" x14ac:dyDescent="0.2"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3:25" x14ac:dyDescent="0.2"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3:25" x14ac:dyDescent="0.2"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3:25" x14ac:dyDescent="0.2"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3:25" x14ac:dyDescent="0.2"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3:25" x14ac:dyDescent="0.2"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3:25" x14ac:dyDescent="0.2"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3:25" x14ac:dyDescent="0.2"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3:25" x14ac:dyDescent="0.2"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3:25" x14ac:dyDescent="0.2"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3:25" x14ac:dyDescent="0.2"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3:25" x14ac:dyDescent="0.2"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3:25" x14ac:dyDescent="0.2"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3:25" x14ac:dyDescent="0.2"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3:25" x14ac:dyDescent="0.2"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3:25" x14ac:dyDescent="0.2"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3:25" x14ac:dyDescent="0.2"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3:25" x14ac:dyDescent="0.2"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3:25" x14ac:dyDescent="0.2"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3:25" x14ac:dyDescent="0.2"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3:25" x14ac:dyDescent="0.2"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3:25" x14ac:dyDescent="0.2"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3:25" x14ac:dyDescent="0.2"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3:25" x14ac:dyDescent="0.2"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3:25" x14ac:dyDescent="0.2"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3:25" x14ac:dyDescent="0.2"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3:25" x14ac:dyDescent="0.2"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3:25" x14ac:dyDescent="0.2"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3:25" x14ac:dyDescent="0.2"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3:25" x14ac:dyDescent="0.2"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3:25" x14ac:dyDescent="0.2"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3:25" x14ac:dyDescent="0.2"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3:25" x14ac:dyDescent="0.2"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3:25" x14ac:dyDescent="0.2"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3:25" x14ac:dyDescent="0.2"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3:25" x14ac:dyDescent="0.2"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3:25" x14ac:dyDescent="0.2"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3:25" x14ac:dyDescent="0.2"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3:25" x14ac:dyDescent="0.2"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3:25" x14ac:dyDescent="0.2"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3:25" x14ac:dyDescent="0.2"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3:25" x14ac:dyDescent="0.2"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3:25" x14ac:dyDescent="0.2"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3:25" x14ac:dyDescent="0.2"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3:25" x14ac:dyDescent="0.2"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3:25" x14ac:dyDescent="0.2"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3:25" x14ac:dyDescent="0.2"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3:25" x14ac:dyDescent="0.2"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3:25" x14ac:dyDescent="0.2"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3:25" x14ac:dyDescent="0.2"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3:25" x14ac:dyDescent="0.2"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3:25" x14ac:dyDescent="0.2"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3:25" x14ac:dyDescent="0.2"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3:25" x14ac:dyDescent="0.2"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3:25" x14ac:dyDescent="0.2"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3:25" x14ac:dyDescent="0.2"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3:25" x14ac:dyDescent="0.2"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3:25" x14ac:dyDescent="0.2"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3:25" x14ac:dyDescent="0.2"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3:25" x14ac:dyDescent="0.2"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3:25" x14ac:dyDescent="0.2"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</sheetData>
  <hyperlinks>
    <hyperlink ref="A1" location="Main!A1" display="Main" xr:uid="{B15DC469-744A-4CB4-AE1C-68502572AF5B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B61D0-2618-4BEF-BC56-1ABB7D5B5028}">
  <dimension ref="A1:N4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7" sqref="D7:D8"/>
    </sheetView>
  </sheetViews>
  <sheetFormatPr defaultRowHeight="12.75" x14ac:dyDescent="0.2"/>
  <cols>
    <col min="1" max="1" width="4.7109375" style="2" bestFit="1" customWidth="1"/>
    <col min="2" max="2" width="31.85546875" style="2" bestFit="1" customWidth="1"/>
    <col min="3" max="16384" width="9.140625" style="2"/>
  </cols>
  <sheetData>
    <row r="1" spans="1:14" x14ac:dyDescent="0.2">
      <c r="A1" s="6" t="s">
        <v>9</v>
      </c>
    </row>
    <row r="2" spans="1:14" x14ac:dyDescent="0.2">
      <c r="B2" s="8" t="s">
        <v>194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126</v>
      </c>
    </row>
    <row r="3" spans="1:14" x14ac:dyDescent="0.2">
      <c r="B3" s="8" t="s">
        <v>132</v>
      </c>
    </row>
    <row r="4" spans="1:14" x14ac:dyDescent="0.2">
      <c r="B4" s="2" t="s">
        <v>133</v>
      </c>
      <c r="D4" s="29"/>
      <c r="E4" s="29"/>
      <c r="F4" s="29"/>
      <c r="G4" s="29"/>
      <c r="H4" s="29"/>
      <c r="I4" s="24">
        <f>+Model!Y29/AVERAGE(Model!X75:Y75)</f>
        <v>0.37133347377290921</v>
      </c>
      <c r="K4" s="30"/>
      <c r="L4" s="30"/>
      <c r="N4" s="2" t="s">
        <v>134</v>
      </c>
    </row>
    <row r="5" spans="1:14" x14ac:dyDescent="0.2">
      <c r="B5" s="2" t="s">
        <v>135</v>
      </c>
      <c r="D5" s="24"/>
      <c r="E5" s="24"/>
      <c r="F5" s="24"/>
      <c r="G5" s="24"/>
      <c r="H5" s="24"/>
      <c r="I5" s="24"/>
      <c r="K5" s="31"/>
      <c r="L5" s="31"/>
      <c r="N5" s="2" t="s">
        <v>136</v>
      </c>
    </row>
    <row r="6" spans="1:14" x14ac:dyDescent="0.2">
      <c r="B6" s="2" t="s">
        <v>137</v>
      </c>
      <c r="D6" s="24"/>
      <c r="E6" s="24"/>
      <c r="F6" s="24"/>
      <c r="G6" s="24"/>
      <c r="H6" s="24"/>
      <c r="I6" s="24"/>
      <c r="K6" s="31"/>
      <c r="L6" s="31"/>
      <c r="N6" s="2" t="s">
        <v>138</v>
      </c>
    </row>
    <row r="7" spans="1:14" x14ac:dyDescent="0.2">
      <c r="B7" s="2" t="s">
        <v>139</v>
      </c>
      <c r="D7" s="24"/>
      <c r="E7" s="24"/>
      <c r="F7" s="24"/>
      <c r="G7" s="24"/>
      <c r="H7" s="24"/>
      <c r="I7" s="24"/>
      <c r="K7" s="31"/>
      <c r="L7" s="31"/>
      <c r="N7" s="2" t="s">
        <v>140</v>
      </c>
    </row>
    <row r="8" spans="1:14" x14ac:dyDescent="0.2">
      <c r="B8" s="2" t="s">
        <v>141</v>
      </c>
      <c r="D8" s="24"/>
      <c r="E8" s="24"/>
      <c r="F8" s="24"/>
      <c r="G8" s="24"/>
      <c r="H8" s="24"/>
      <c r="I8" s="24">
        <f>1-((-Model!Y101-Model!Y100)/Model!Y29)</f>
        <v>0.55721838976127802</v>
      </c>
      <c r="K8" s="31"/>
      <c r="L8" s="31"/>
      <c r="N8" s="2" t="s">
        <v>142</v>
      </c>
    </row>
    <row r="9" spans="1:14" x14ac:dyDescent="0.2">
      <c r="B9" s="2" t="s">
        <v>143</v>
      </c>
      <c r="D9" s="31"/>
      <c r="E9" s="31"/>
      <c r="F9" s="31"/>
      <c r="G9" s="31"/>
      <c r="H9" s="31"/>
      <c r="I9" s="31">
        <f>+I8*I4</f>
        <v>0.20691384032020224</v>
      </c>
      <c r="K9" s="31"/>
      <c r="L9" s="31"/>
      <c r="N9" s="2" t="s">
        <v>144</v>
      </c>
    </row>
    <row r="10" spans="1:14" x14ac:dyDescent="0.2">
      <c r="B10" s="2" t="s">
        <v>145</v>
      </c>
      <c r="D10" s="24"/>
      <c r="E10" s="24"/>
      <c r="F10" s="24"/>
      <c r="G10" s="24"/>
      <c r="H10" s="24"/>
      <c r="I10" s="24"/>
      <c r="K10" s="31"/>
      <c r="L10" s="31"/>
      <c r="N10" s="2" t="s">
        <v>146</v>
      </c>
    </row>
    <row r="11" spans="1:14" x14ac:dyDescent="0.2">
      <c r="B11" s="2" t="s">
        <v>143</v>
      </c>
      <c r="D11" s="31"/>
      <c r="E11" s="31"/>
      <c r="F11" s="31"/>
      <c r="G11" s="31"/>
      <c r="H11" s="31"/>
      <c r="I11" s="31"/>
      <c r="K11" s="31"/>
      <c r="L11" s="31"/>
      <c r="N11" s="2" t="s">
        <v>147</v>
      </c>
    </row>
    <row r="14" spans="1:14" x14ac:dyDescent="0.2">
      <c r="B14" s="8" t="s">
        <v>148</v>
      </c>
    </row>
    <row r="15" spans="1:14" x14ac:dyDescent="0.2">
      <c r="B15" s="2" t="s">
        <v>149</v>
      </c>
      <c r="D15" s="24"/>
      <c r="E15" s="24"/>
      <c r="F15" s="24"/>
      <c r="G15" s="24"/>
      <c r="H15" s="24"/>
      <c r="I15" s="24"/>
      <c r="K15" s="31"/>
      <c r="L15" s="31"/>
      <c r="N15" s="2" t="s">
        <v>150</v>
      </c>
    </row>
    <row r="16" spans="1:14" x14ac:dyDescent="0.2">
      <c r="B16" s="2" t="s">
        <v>151</v>
      </c>
      <c r="D16" s="24"/>
      <c r="E16" s="24"/>
      <c r="F16" s="24"/>
      <c r="G16" s="24"/>
      <c r="H16" s="24"/>
      <c r="I16" s="24"/>
      <c r="K16" s="31"/>
      <c r="L16" s="31"/>
      <c r="N16" s="2" t="s">
        <v>152</v>
      </c>
    </row>
    <row r="17" spans="2:14" x14ac:dyDescent="0.2">
      <c r="B17" s="2" t="s">
        <v>153</v>
      </c>
      <c r="D17" s="24"/>
      <c r="E17" s="24"/>
      <c r="F17" s="24"/>
      <c r="G17" s="24"/>
      <c r="H17" s="24"/>
      <c r="I17" s="24"/>
      <c r="K17" s="31"/>
      <c r="L17" s="31"/>
      <c r="N17" s="2" t="s">
        <v>154</v>
      </c>
    </row>
    <row r="18" spans="2:14" x14ac:dyDescent="0.2">
      <c r="B18" s="2" t="s">
        <v>155</v>
      </c>
      <c r="D18" s="24"/>
      <c r="E18" s="24"/>
      <c r="F18" s="24"/>
      <c r="G18" s="24"/>
      <c r="H18" s="24"/>
      <c r="I18" s="24"/>
      <c r="K18" s="31"/>
      <c r="L18" s="31"/>
      <c r="N18" s="2" t="s">
        <v>156</v>
      </c>
    </row>
    <row r="19" spans="2:14" x14ac:dyDescent="0.2">
      <c r="B19" s="2" t="s">
        <v>157</v>
      </c>
      <c r="D19" s="24"/>
      <c r="E19" s="24"/>
      <c r="F19" s="24"/>
      <c r="G19" s="24"/>
      <c r="H19" s="24"/>
      <c r="I19" s="24"/>
      <c r="K19" s="31"/>
      <c r="L19" s="31"/>
      <c r="N19" s="2" t="s">
        <v>158</v>
      </c>
    </row>
    <row r="21" spans="2:14" x14ac:dyDescent="0.2">
      <c r="B21" s="8" t="s">
        <v>159</v>
      </c>
    </row>
    <row r="22" spans="2:14" x14ac:dyDescent="0.2">
      <c r="B22" s="2" t="s">
        <v>160</v>
      </c>
      <c r="D22" s="30"/>
      <c r="E22" s="30"/>
      <c r="F22" s="30"/>
      <c r="G22" s="30"/>
      <c r="H22" s="30"/>
      <c r="I22" s="30"/>
      <c r="K22" s="30"/>
      <c r="L22" s="30"/>
      <c r="N22" s="2" t="s">
        <v>161</v>
      </c>
    </row>
    <row r="23" spans="2:14" x14ac:dyDescent="0.2">
      <c r="B23" s="2" t="s">
        <v>162</v>
      </c>
      <c r="D23" s="30"/>
      <c r="E23" s="30"/>
      <c r="F23" s="30"/>
      <c r="G23" s="30"/>
      <c r="H23" s="30"/>
      <c r="I23" s="30"/>
      <c r="K23" s="30"/>
      <c r="L23" s="30"/>
      <c r="N23" s="2" t="s">
        <v>163</v>
      </c>
    </row>
    <row r="24" spans="2:14" x14ac:dyDescent="0.2">
      <c r="B24" s="2" t="s">
        <v>164</v>
      </c>
      <c r="D24" s="24"/>
      <c r="E24" s="24"/>
      <c r="F24" s="24"/>
      <c r="G24" s="24"/>
      <c r="H24" s="24"/>
      <c r="I24" s="24"/>
      <c r="K24" s="31"/>
      <c r="L24" s="31"/>
      <c r="N24" s="2" t="s">
        <v>165</v>
      </c>
    </row>
    <row r="25" spans="2:14" x14ac:dyDescent="0.2">
      <c r="B25" s="2" t="s">
        <v>166</v>
      </c>
      <c r="D25" s="24"/>
      <c r="E25" s="24"/>
      <c r="F25" s="24"/>
      <c r="G25" s="24"/>
      <c r="H25" s="24"/>
      <c r="I25" s="24"/>
      <c r="K25" s="31"/>
      <c r="L25" s="31"/>
      <c r="N25" s="2" t="s">
        <v>167</v>
      </c>
    </row>
    <row r="26" spans="2:14" x14ac:dyDescent="0.2">
      <c r="B26" s="2" t="s">
        <v>168</v>
      </c>
      <c r="D26" s="24"/>
      <c r="E26" s="24"/>
      <c r="F26" s="24"/>
      <c r="G26" s="24"/>
      <c r="H26" s="24"/>
      <c r="I26" s="24"/>
      <c r="K26" s="31"/>
      <c r="L26" s="31"/>
      <c r="N26" s="2" t="s">
        <v>169</v>
      </c>
    </row>
    <row r="27" spans="2:14" x14ac:dyDescent="0.2">
      <c r="B27" s="2" t="s">
        <v>170</v>
      </c>
      <c r="D27" s="24"/>
      <c r="E27" s="24"/>
      <c r="F27" s="24"/>
      <c r="G27" s="24"/>
      <c r="H27" s="24"/>
      <c r="I27" s="24"/>
      <c r="K27" s="31"/>
      <c r="L27" s="31"/>
      <c r="N27" s="2" t="s">
        <v>171</v>
      </c>
    </row>
    <row r="28" spans="2:14" x14ac:dyDescent="0.2">
      <c r="B28" s="2" t="s">
        <v>172</v>
      </c>
      <c r="D28" s="30"/>
      <c r="E28" s="30"/>
      <c r="F28" s="30"/>
      <c r="G28" s="30"/>
      <c r="H28" s="30"/>
      <c r="I28" s="30"/>
      <c r="K28" s="30"/>
      <c r="L28" s="30"/>
      <c r="N28" s="2" t="s">
        <v>173</v>
      </c>
    </row>
    <row r="29" spans="2:14" x14ac:dyDescent="0.2">
      <c r="B29" s="2" t="s">
        <v>174</v>
      </c>
      <c r="D29" s="30"/>
      <c r="E29" s="30"/>
      <c r="F29" s="30"/>
      <c r="G29" s="30"/>
      <c r="H29" s="30"/>
      <c r="I29" s="30"/>
      <c r="K29" s="30"/>
      <c r="L29" s="30"/>
      <c r="N29" s="2" t="s">
        <v>175</v>
      </c>
    </row>
    <row r="30" spans="2:14" x14ac:dyDescent="0.2">
      <c r="B30" s="2" t="s">
        <v>176</v>
      </c>
      <c r="D30" s="30"/>
      <c r="E30" s="30"/>
      <c r="F30" s="30"/>
      <c r="G30" s="30"/>
      <c r="H30" s="30"/>
      <c r="I30" s="30"/>
      <c r="K30" s="30"/>
      <c r="L30" s="30"/>
      <c r="N30" s="2" t="s">
        <v>177</v>
      </c>
    </row>
    <row r="32" spans="2:14" x14ac:dyDescent="0.2">
      <c r="B32" s="8" t="s">
        <v>178</v>
      </c>
    </row>
    <row r="33" spans="2:14" x14ac:dyDescent="0.2">
      <c r="B33" s="2" t="s">
        <v>2</v>
      </c>
    </row>
    <row r="34" spans="2:14" x14ac:dyDescent="0.2">
      <c r="B34" s="2" t="s">
        <v>3</v>
      </c>
    </row>
    <row r="35" spans="2:14" x14ac:dyDescent="0.2">
      <c r="B35" s="2" t="s">
        <v>179</v>
      </c>
      <c r="D35" s="29"/>
      <c r="E35" s="29"/>
      <c r="F35" s="29"/>
      <c r="G35" s="29"/>
      <c r="H35" s="29"/>
      <c r="I35" s="29"/>
    </row>
    <row r="36" spans="2:14" x14ac:dyDescent="0.2">
      <c r="B36" s="2" t="s">
        <v>180</v>
      </c>
      <c r="D36" s="29"/>
      <c r="E36" s="29"/>
      <c r="F36" s="29"/>
      <c r="G36" s="29"/>
      <c r="H36" s="29"/>
      <c r="I36" s="29"/>
    </row>
    <row r="37" spans="2:14" x14ac:dyDescent="0.2">
      <c r="B37" s="2" t="s">
        <v>7</v>
      </c>
      <c r="D37" s="29"/>
      <c r="E37" s="29"/>
      <c r="F37" s="29"/>
      <c r="G37" s="29"/>
      <c r="H37" s="29"/>
      <c r="I37" s="29"/>
    </row>
    <row r="38" spans="2:14" x14ac:dyDescent="0.2">
      <c r="D38" s="29"/>
      <c r="E38" s="29"/>
      <c r="F38" s="29"/>
      <c r="G38" s="29"/>
      <c r="H38" s="29"/>
      <c r="I38" s="29"/>
    </row>
    <row r="39" spans="2:14" x14ac:dyDescent="0.2">
      <c r="B39" s="21" t="s">
        <v>181</v>
      </c>
      <c r="D39" s="29"/>
      <c r="E39" s="29"/>
      <c r="F39" s="29"/>
      <c r="G39" s="29"/>
      <c r="H39" s="29"/>
      <c r="I39" s="29"/>
    </row>
    <row r="40" spans="2:14" x14ac:dyDescent="0.2">
      <c r="B40" s="2" t="s">
        <v>182</v>
      </c>
      <c r="D40" s="30"/>
      <c r="E40" s="30"/>
      <c r="F40" s="30"/>
      <c r="G40" s="30"/>
      <c r="H40" s="30"/>
      <c r="I40" s="30"/>
      <c r="K40" s="30"/>
      <c r="L40" s="30"/>
      <c r="N40" s="2" t="s">
        <v>183</v>
      </c>
    </row>
    <row r="41" spans="2:14" x14ac:dyDescent="0.2">
      <c r="B41" s="2" t="s">
        <v>184</v>
      </c>
      <c r="D41" s="32"/>
      <c r="E41" s="30"/>
      <c r="F41" s="30"/>
      <c r="G41" s="30"/>
      <c r="H41" s="30"/>
      <c r="I41" s="30"/>
      <c r="K41" s="30"/>
      <c r="L41" s="30"/>
      <c r="N41" s="2" t="s">
        <v>185</v>
      </c>
    </row>
    <row r="42" spans="2:14" x14ac:dyDescent="0.2">
      <c r="B42" s="2" t="s">
        <v>186</v>
      </c>
      <c r="D42" s="30"/>
      <c r="E42" s="30"/>
      <c r="F42" s="30"/>
      <c r="G42" s="30"/>
      <c r="H42" s="30"/>
      <c r="I42" s="30"/>
      <c r="K42" s="30"/>
      <c r="L42" s="30"/>
      <c r="N42" s="2" t="s">
        <v>187</v>
      </c>
    </row>
    <row r="43" spans="2:14" x14ac:dyDescent="0.2">
      <c r="B43" s="21" t="s">
        <v>188</v>
      </c>
      <c r="K43" s="30"/>
      <c r="L43" s="30"/>
    </row>
    <row r="44" spans="2:14" x14ac:dyDescent="0.2">
      <c r="B44" s="2" t="s">
        <v>189</v>
      </c>
      <c r="D44" s="30"/>
      <c r="E44" s="30"/>
      <c r="F44" s="30"/>
      <c r="G44" s="30"/>
      <c r="H44" s="30"/>
      <c r="I44" s="30"/>
      <c r="K44" s="30"/>
      <c r="L44" s="30"/>
      <c r="N44" s="2" t="s">
        <v>189</v>
      </c>
    </row>
    <row r="45" spans="2:14" x14ac:dyDescent="0.2">
      <c r="B45" s="2" t="s">
        <v>190</v>
      </c>
      <c r="D45" s="30"/>
      <c r="E45" s="30"/>
      <c r="F45" s="30"/>
      <c r="G45" s="30"/>
      <c r="H45" s="30"/>
      <c r="I45" s="30"/>
      <c r="K45" s="30"/>
      <c r="L45" s="30"/>
      <c r="N45" s="2" t="s">
        <v>190</v>
      </c>
    </row>
    <row r="46" spans="2:14" x14ac:dyDescent="0.2">
      <c r="B46" s="2" t="s">
        <v>191</v>
      </c>
      <c r="D46" s="30"/>
      <c r="E46" s="30"/>
      <c r="F46" s="30"/>
      <c r="G46" s="30"/>
      <c r="H46" s="30"/>
      <c r="I46" s="30"/>
      <c r="K46" s="30"/>
      <c r="L46" s="30"/>
      <c r="N46" s="2" t="s">
        <v>191</v>
      </c>
    </row>
    <row r="47" spans="2:14" x14ac:dyDescent="0.2">
      <c r="B47" s="2" t="s">
        <v>192</v>
      </c>
      <c r="D47" s="30"/>
      <c r="E47" s="30"/>
      <c r="F47" s="30"/>
      <c r="G47" s="30"/>
      <c r="H47" s="30"/>
      <c r="I47" s="30"/>
      <c r="K47" s="30"/>
      <c r="L47" s="30"/>
      <c r="N47" s="2" t="s">
        <v>193</v>
      </c>
    </row>
  </sheetData>
  <hyperlinks>
    <hyperlink ref="A1" location="Main!A1" display="Main" xr:uid="{C8705A2E-6A72-48DD-B334-5F81A94550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Ratios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2024-09-13T14:52:12Z</dcterms:created>
  <dcterms:modified xsi:type="dcterms:W3CDTF">2026-07-30T16:40:46Z</dcterms:modified>
</cp:coreProperties>
</file>