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9D8F8737-E137-4E11-9B43-0179698506D6}" xr6:coauthVersionLast="47" xr6:coauthVersionMax="47" xr10:uidLastSave="{00000000-0000-0000-0000-000000000000}"/>
  <bookViews>
    <workbookView xWindow="19095" yWindow="0" windowWidth="19410" windowHeight="20985" xr2:uid="{B4A2DA43-8CB3-429C-8ADF-8B01DC37EDD6}"/>
  </bookViews>
  <sheets>
    <sheet name="Main" sheetId="1" r:id="rId1"/>
    <sheet name="Mod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2" l="1"/>
  <c r="J17" i="2"/>
  <c r="J22" i="2" s="1"/>
  <c r="J26" i="2" s="1"/>
  <c r="J28" i="2" s="1"/>
  <c r="I17" i="2"/>
  <c r="I22" i="2" s="1"/>
  <c r="I26" i="2" s="1"/>
  <c r="I28" i="2" s="1"/>
  <c r="H17" i="2"/>
  <c r="H22" i="2" s="1"/>
  <c r="H26" i="2" s="1"/>
  <c r="H28" i="2" s="1"/>
  <c r="F17" i="2"/>
  <c r="F22" i="2" s="1"/>
  <c r="F26" i="2" s="1"/>
  <c r="F28" i="2" s="1"/>
  <c r="E17" i="2"/>
  <c r="E22" i="2" s="1"/>
  <c r="E26" i="2" s="1"/>
  <c r="E28" i="2" s="1"/>
  <c r="D17" i="2"/>
  <c r="D22" i="2" s="1"/>
  <c r="D26" i="2" s="1"/>
  <c r="D28" i="2" s="1"/>
  <c r="C17" i="2"/>
  <c r="C22" i="2" s="1"/>
  <c r="G25" i="2"/>
  <c r="G23" i="2"/>
  <c r="G17" i="2"/>
  <c r="G22" i="2" s="1"/>
  <c r="L25" i="2"/>
  <c r="L23" i="2"/>
  <c r="M25" i="2"/>
  <c r="M23" i="2"/>
  <c r="N25" i="2"/>
  <c r="N23" i="2"/>
  <c r="M17" i="2"/>
  <c r="M22" i="2" s="1"/>
  <c r="M26" i="2" s="1"/>
  <c r="M28" i="2" s="1"/>
  <c r="L17" i="2"/>
  <c r="L22" i="2" s="1"/>
  <c r="N17" i="2"/>
  <c r="N22" i="2" s="1"/>
  <c r="J8" i="1"/>
  <c r="J6" i="1"/>
  <c r="J5" i="1"/>
  <c r="J3" i="1"/>
  <c r="G26" i="2" l="1"/>
  <c r="G28" i="2" s="1"/>
  <c r="N26" i="2"/>
  <c r="N28" i="2" s="1"/>
  <c r="C26" i="2"/>
  <c r="C28" i="2" s="1"/>
  <c r="L26" i="2"/>
  <c r="L28" i="2" s="1"/>
</calcChain>
</file>

<file path=xl/sharedStrings.xml><?xml version="1.0" encoding="utf-8"?>
<sst xmlns="http://schemas.openxmlformats.org/spreadsheetml/2006/main" count="62" uniqueCount="58">
  <si>
    <t>SHEIN</t>
  </si>
  <si>
    <t>Price HKD</t>
  </si>
  <si>
    <t>Shares</t>
  </si>
  <si>
    <t>MC</t>
  </si>
  <si>
    <t>Cash</t>
  </si>
  <si>
    <t>Debt</t>
  </si>
  <si>
    <t>EV</t>
  </si>
  <si>
    <t>IR</t>
  </si>
  <si>
    <t>0625.HK</t>
  </si>
  <si>
    <t>Notes</t>
  </si>
  <si>
    <t>IPO Propectus:</t>
  </si>
  <si>
    <t>https://ea-cdn.eurolandir.com/press-releases-attachments/4170968/HKEX-EPS_20260824_12295410_0.htm</t>
  </si>
  <si>
    <t>numbers in mio USD</t>
  </si>
  <si>
    <t>Price USD</t>
  </si>
  <si>
    <t>HKD/USD</t>
  </si>
  <si>
    <t>Q226</t>
  </si>
  <si>
    <t>Main</t>
  </si>
  <si>
    <t>Q125</t>
  </si>
  <si>
    <t>Q225</t>
  </si>
  <si>
    <t>Q325</t>
  </si>
  <si>
    <t>Q425</t>
  </si>
  <si>
    <t>Q126</t>
  </si>
  <si>
    <t>Q326</t>
  </si>
  <si>
    <t>Q426</t>
  </si>
  <si>
    <t>FY23</t>
  </si>
  <si>
    <t>FY24</t>
  </si>
  <si>
    <t>FY25</t>
  </si>
  <si>
    <t>FY26</t>
  </si>
  <si>
    <t>Revenue</t>
  </si>
  <si>
    <t>Net Income</t>
  </si>
  <si>
    <t>Cost of Sales</t>
  </si>
  <si>
    <t>Gross Profit</t>
  </si>
  <si>
    <t>Fulfilment</t>
  </si>
  <si>
    <t>Marketing</t>
  </si>
  <si>
    <t>R&amp;D</t>
  </si>
  <si>
    <t>G&amp;A</t>
  </si>
  <si>
    <t>Operating Income</t>
  </si>
  <si>
    <t>Subsidaries &amp; Preferred S</t>
  </si>
  <si>
    <t>Interest Income</t>
  </si>
  <si>
    <t>FX and other</t>
  </si>
  <si>
    <t>Pretax Income</t>
  </si>
  <si>
    <t>Tax Expense</t>
  </si>
  <si>
    <t>EPS</t>
  </si>
  <si>
    <t>US Revenue</t>
  </si>
  <si>
    <t>Europe Revenue</t>
  </si>
  <si>
    <t>ROW Revenue</t>
  </si>
  <si>
    <t>IPO 30-08-2026</t>
  </si>
  <si>
    <t>273 Active Costumers</t>
  </si>
  <si>
    <t>CAGR 21,2% 2023-2025</t>
  </si>
  <si>
    <t>2 million + apparel style</t>
  </si>
  <si>
    <t>Apparel</t>
  </si>
  <si>
    <t>Other</t>
  </si>
  <si>
    <t>Product</t>
  </si>
  <si>
    <t>Service</t>
  </si>
  <si>
    <t>Active Costumers</t>
  </si>
  <si>
    <t>Order Frequency</t>
  </si>
  <si>
    <t>Total Orders</t>
  </si>
  <si>
    <t>Fulfilment per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</si>
</sst>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;\(#,##0.0\)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3" fillId="0" borderId="0" xfId="1"/>
    <xf numFmtId="164" fontId="1" fillId="0" borderId="0" xfId="0" applyNumberFormat="1" applyFont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157162</xdr:rowOff>
    </xdr:from>
    <xdr:to>
      <xdr:col>0</xdr:col>
      <xdr:colOff>0</xdr:colOff>
      <xdr:row>35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EEFA5C-096D-5B0F-14B5-16B2B1513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757657" flipH="1">
          <a:off x="0" y="4043362"/>
          <a:ext cx="0" cy="1738313"/>
        </a:xfrm>
        <a:prstGeom prst="rect">
          <a:avLst/>
        </a:prstGeom>
      </xdr:spPr>
    </xdr:pic>
    <xdr:clientData/>
  </xdr:twoCellAnchor>
  <xdr:twoCellAnchor editAs="oneCell">
    <xdr:from>
      <xdr:col>4</xdr:col>
      <xdr:colOff>261940</xdr:colOff>
      <xdr:row>15</xdr:row>
      <xdr:rowOff>76200</xdr:rowOff>
    </xdr:from>
    <xdr:to>
      <xdr:col>6</xdr:col>
      <xdr:colOff>528638</xdr:colOff>
      <xdr:row>23</xdr:row>
      <xdr:rowOff>148352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C92E9E-AF11-57E5-43BB-D71601D3D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7915" y="2505075"/>
          <a:ext cx="1485898" cy="1367552"/>
        </a:xfrm>
        <a:prstGeom prst="rect">
          <a:avLst/>
        </a:prstGeom>
      </xdr:spPr>
    </xdr:pic>
    <xdr:clientData/>
  </xdr:twoCellAnchor>
  <xdr:twoCellAnchor editAs="oneCell">
    <xdr:from>
      <xdr:col>0</xdr:col>
      <xdr:colOff>90487</xdr:colOff>
      <xdr:row>25</xdr:row>
      <xdr:rowOff>95251</xdr:rowOff>
    </xdr:from>
    <xdr:to>
      <xdr:col>6</xdr:col>
      <xdr:colOff>310089</xdr:colOff>
      <xdr:row>34</xdr:row>
      <xdr:rowOff>90488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A94845-7D07-E841-F1DD-59119494D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487" y="4143376"/>
          <a:ext cx="3524777" cy="14525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ir.shein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BF0EB-6C83-4C63-954F-5B0CFA2A6B95}">
  <dimension ref="A1:K20"/>
  <sheetViews>
    <sheetView tabSelected="1" zoomScale="200" zoomScaleNormal="200" workbookViewId="0">
      <selection activeCell="B4" sqref="B4"/>
    </sheetView>
  </sheetViews>
  <sheetFormatPr defaultRowHeight="12.75" x14ac:dyDescent="0.2"/>
  <cols>
    <col min="1" max="1" width="3.85546875" customWidth="1"/>
    <col min="9" max="9" width="10.140625" bestFit="1" customWidth="1"/>
  </cols>
  <sheetData>
    <row r="1" spans="1:11" x14ac:dyDescent="0.2">
      <c r="A1" s="1" t="s">
        <v>0</v>
      </c>
    </row>
    <row r="2" spans="1:11" x14ac:dyDescent="0.2">
      <c r="A2" t="s">
        <v>12</v>
      </c>
      <c r="I2" t="s">
        <v>1</v>
      </c>
      <c r="J2">
        <v>48.5</v>
      </c>
    </row>
    <row r="3" spans="1:11" x14ac:dyDescent="0.2">
      <c r="I3" t="s">
        <v>13</v>
      </c>
      <c r="J3">
        <f>+J2*J10</f>
        <v>6.3050000000000006</v>
      </c>
    </row>
    <row r="4" spans="1:11" x14ac:dyDescent="0.2">
      <c r="B4" s="5" t="s">
        <v>7</v>
      </c>
      <c r="I4" t="s">
        <v>2</v>
      </c>
      <c r="J4" s="3">
        <v>4246.2026089999999</v>
      </c>
      <c r="K4" s="4" t="s">
        <v>15</v>
      </c>
    </row>
    <row r="5" spans="1:11" x14ac:dyDescent="0.2">
      <c r="B5" t="s">
        <v>8</v>
      </c>
      <c r="I5" t="s">
        <v>3</v>
      </c>
      <c r="J5" s="3">
        <f>+J3*J4</f>
        <v>26772.307449745003</v>
      </c>
    </row>
    <row r="6" spans="1:11" x14ac:dyDescent="0.2">
      <c r="I6" t="s">
        <v>4</v>
      </c>
      <c r="J6" s="3">
        <f>3665+11545</f>
        <v>15210</v>
      </c>
      <c r="K6" s="4" t="s">
        <v>15</v>
      </c>
    </row>
    <row r="7" spans="1:11" x14ac:dyDescent="0.2">
      <c r="I7" t="s">
        <v>5</v>
      </c>
      <c r="J7" s="3">
        <v>0</v>
      </c>
      <c r="K7" s="4" t="s">
        <v>15</v>
      </c>
    </row>
    <row r="8" spans="1:11" x14ac:dyDescent="0.2">
      <c r="I8" t="s">
        <v>6</v>
      </c>
      <c r="J8" s="3">
        <f>+J5-J6</f>
        <v>11562.307449745003</v>
      </c>
    </row>
    <row r="10" spans="1:11" x14ac:dyDescent="0.2">
      <c r="I10" t="s">
        <v>14</v>
      </c>
      <c r="J10">
        <v>0.13</v>
      </c>
    </row>
    <row r="12" spans="1:11" x14ac:dyDescent="0.2">
      <c r="B12" s="2" t="s">
        <v>9</v>
      </c>
    </row>
    <row r="13" spans="1:11" x14ac:dyDescent="0.2">
      <c r="B13" t="s">
        <v>10</v>
      </c>
    </row>
    <row r="14" spans="1:11" x14ac:dyDescent="0.2">
      <c r="B14" t="s">
        <v>11</v>
      </c>
    </row>
    <row r="15" spans="1:11" x14ac:dyDescent="0.2">
      <c r="B15" t="s">
        <v>46</v>
      </c>
    </row>
    <row r="18" spans="2:2" x14ac:dyDescent="0.2">
      <c r="B18" t="s">
        <v>47</v>
      </c>
    </row>
    <row r="19" spans="2:2" x14ac:dyDescent="0.2">
      <c r="B19" t="s">
        <v>48</v>
      </c>
    </row>
    <row r="20" spans="2:2" x14ac:dyDescent="0.2">
      <c r="B20" t="s">
        <v>49</v>
      </c>
    </row>
  </sheetData>
  <hyperlinks>
    <hyperlink ref="B4" r:id="rId1" xr:uid="{9053B4CF-260E-4A7C-9786-04BE66414248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0DB7-8B5F-49B5-892E-A8C09D9F2686}">
  <dimension ref="A1:CY329"/>
  <sheetViews>
    <sheetView zoomScale="200" zoomScaleNormal="2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7" sqref="C7"/>
    </sheetView>
  </sheetViews>
  <sheetFormatPr defaultRowHeight="12.75" x14ac:dyDescent="0.2"/>
  <cols>
    <col min="1" max="1" width="5" bestFit="1" customWidth="1"/>
    <col min="2" max="2" width="23.28515625" customWidth="1"/>
  </cols>
  <sheetData>
    <row r="1" spans="1:103" x14ac:dyDescent="0.2">
      <c r="A1" s="5" t="s">
        <v>16</v>
      </c>
    </row>
    <row r="2" spans="1:103" x14ac:dyDescent="0.2"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15</v>
      </c>
      <c r="I2" s="4" t="s">
        <v>22</v>
      </c>
      <c r="J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</row>
    <row r="3" spans="1:103" x14ac:dyDescent="0.2">
      <c r="B3" t="s">
        <v>54</v>
      </c>
      <c r="C3" s="3">
        <v>241</v>
      </c>
      <c r="D3" s="3"/>
      <c r="E3" s="3"/>
      <c r="F3" s="3"/>
      <c r="G3" s="3">
        <v>281</v>
      </c>
      <c r="H3" s="3"/>
      <c r="I3" s="3"/>
      <c r="J3" s="3"/>
      <c r="K3" s="3"/>
      <c r="L3" s="3">
        <v>186</v>
      </c>
      <c r="M3" s="3">
        <v>230</v>
      </c>
      <c r="N3" s="3">
        <v>273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</row>
    <row r="4" spans="1:103" x14ac:dyDescent="0.2">
      <c r="B4" t="s">
        <v>55</v>
      </c>
      <c r="C4" s="7">
        <v>4</v>
      </c>
      <c r="D4" s="7"/>
      <c r="E4" s="7"/>
      <c r="F4" s="7"/>
      <c r="G4" s="7">
        <v>3.9</v>
      </c>
      <c r="H4" s="7"/>
      <c r="I4" s="3"/>
      <c r="J4" s="3"/>
      <c r="K4" s="3"/>
      <c r="L4" s="7">
        <v>3.8</v>
      </c>
      <c r="M4" s="7">
        <v>4</v>
      </c>
      <c r="N4" s="7">
        <v>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</row>
    <row r="5" spans="1:103" x14ac:dyDescent="0.2">
      <c r="B5" t="s">
        <v>56</v>
      </c>
      <c r="C5" s="3">
        <v>970</v>
      </c>
      <c r="D5" s="3"/>
      <c r="E5" s="3"/>
      <c r="F5" s="3"/>
      <c r="G5" s="3">
        <v>1090</v>
      </c>
      <c r="H5" s="3"/>
      <c r="I5" s="3"/>
      <c r="J5" s="3"/>
      <c r="K5" s="3"/>
      <c r="L5" s="3">
        <v>715</v>
      </c>
      <c r="M5" s="3">
        <v>919</v>
      </c>
      <c r="N5" s="3">
        <v>1078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</row>
    <row r="6" spans="1:103" x14ac:dyDescent="0.2">
      <c r="B6" t="s">
        <v>57</v>
      </c>
      <c r="C6" s="7">
        <v>17.7</v>
      </c>
      <c r="D6" s="7"/>
      <c r="E6" s="7"/>
      <c r="F6" s="7"/>
      <c r="G6" s="7">
        <v>17.899999999999999</v>
      </c>
      <c r="H6" s="7"/>
      <c r="I6" s="7"/>
      <c r="J6" s="7"/>
      <c r="K6" s="7"/>
      <c r="L6" s="7">
        <v>18.899999999999999</v>
      </c>
      <c r="M6" s="7">
        <v>18.3</v>
      </c>
      <c r="N6" s="7">
        <v>17.7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</row>
    <row r="7" spans="1:103" x14ac:dyDescent="0.2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</row>
    <row r="8" spans="1:103" x14ac:dyDescent="0.2">
      <c r="B8" t="s">
        <v>50</v>
      </c>
      <c r="C8" s="3">
        <v>5548</v>
      </c>
      <c r="D8" s="3"/>
      <c r="E8" s="3"/>
      <c r="F8" s="3"/>
      <c r="G8" s="3">
        <v>5562</v>
      </c>
      <c r="H8" s="3"/>
      <c r="I8" s="3"/>
      <c r="J8" s="3"/>
      <c r="K8" s="3"/>
      <c r="L8" s="3">
        <v>22080</v>
      </c>
      <c r="M8" s="3">
        <v>25068</v>
      </c>
      <c r="N8" s="3">
        <v>26707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</row>
    <row r="9" spans="1:103" x14ac:dyDescent="0.2">
      <c r="B9" t="s">
        <v>51</v>
      </c>
      <c r="C9" s="3">
        <v>3404</v>
      </c>
      <c r="D9" s="3"/>
      <c r="E9" s="3"/>
      <c r="F9" s="3"/>
      <c r="G9" s="3">
        <v>3490</v>
      </c>
      <c r="H9" s="3"/>
      <c r="I9" s="3"/>
      <c r="J9" s="3"/>
      <c r="K9" s="3"/>
      <c r="L9" s="3">
        <v>10023</v>
      </c>
      <c r="M9" s="3">
        <v>13680</v>
      </c>
      <c r="N9" s="3">
        <v>15140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</row>
    <row r="10" spans="1:103" x14ac:dyDescent="0.2">
      <c r="B10" t="s">
        <v>52</v>
      </c>
      <c r="C10" s="3">
        <v>7765</v>
      </c>
      <c r="D10" s="3"/>
      <c r="E10" s="3"/>
      <c r="F10" s="3"/>
      <c r="G10" s="3">
        <v>7757</v>
      </c>
      <c r="H10" s="3"/>
      <c r="I10" s="3"/>
      <c r="J10" s="3"/>
      <c r="K10" s="3"/>
      <c r="L10" s="3">
        <v>31235</v>
      </c>
      <c r="M10" s="3">
        <v>35351</v>
      </c>
      <c r="N10" s="3">
        <v>37107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</row>
    <row r="11" spans="1:103" x14ac:dyDescent="0.2">
      <c r="B11" t="s">
        <v>53</v>
      </c>
      <c r="C11" s="3">
        <v>1187</v>
      </c>
      <c r="D11" s="3"/>
      <c r="E11" s="3"/>
      <c r="F11" s="3"/>
      <c r="G11" s="3">
        <v>1295</v>
      </c>
      <c r="H11" s="3"/>
      <c r="I11" s="3"/>
      <c r="J11" s="3"/>
      <c r="K11" s="3"/>
      <c r="L11" s="3">
        <v>868</v>
      </c>
      <c r="M11" s="3">
        <v>3397</v>
      </c>
      <c r="N11" s="3">
        <v>4740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</row>
    <row r="12" spans="1:103" x14ac:dyDescent="0.2">
      <c r="B12" t="s">
        <v>43</v>
      </c>
      <c r="C12" s="3">
        <v>2380</v>
      </c>
      <c r="D12" s="3"/>
      <c r="E12" s="3"/>
      <c r="F12" s="3"/>
      <c r="G12" s="3">
        <v>2040</v>
      </c>
      <c r="H12" s="3"/>
      <c r="I12" s="3"/>
      <c r="J12" s="3"/>
      <c r="K12" s="3"/>
      <c r="L12" s="3">
        <v>9454</v>
      </c>
      <c r="M12" s="3">
        <v>10464</v>
      </c>
      <c r="N12" s="3">
        <v>10101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</row>
    <row r="13" spans="1:103" x14ac:dyDescent="0.2">
      <c r="B13" t="s">
        <v>44</v>
      </c>
      <c r="C13" s="3">
        <v>2843</v>
      </c>
      <c r="D13" s="3"/>
      <c r="E13" s="3"/>
      <c r="F13" s="3"/>
      <c r="G13" s="3">
        <v>2908</v>
      </c>
      <c r="H13" s="3"/>
      <c r="I13" s="3"/>
      <c r="J13" s="3"/>
      <c r="K13" s="3"/>
      <c r="L13" s="3">
        <v>10214</v>
      </c>
      <c r="M13" s="3">
        <v>13603</v>
      </c>
      <c r="N13" s="3">
        <v>14802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</row>
    <row r="14" spans="1:103" x14ac:dyDescent="0.2">
      <c r="B14" t="s">
        <v>45</v>
      </c>
      <c r="C14" s="3">
        <v>3729</v>
      </c>
      <c r="D14" s="3"/>
      <c r="E14" s="3"/>
      <c r="F14" s="3"/>
      <c r="G14" s="3">
        <v>4104</v>
      </c>
      <c r="H14" s="3"/>
      <c r="I14" s="3"/>
      <c r="J14" s="3"/>
      <c r="K14" s="3"/>
      <c r="L14" s="3">
        <v>12435</v>
      </c>
      <c r="M14" s="3">
        <v>14681</v>
      </c>
      <c r="N14" s="3">
        <v>16944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</row>
    <row r="15" spans="1:103" x14ac:dyDescent="0.2">
      <c r="B15" s="1" t="s">
        <v>28</v>
      </c>
      <c r="C15" s="6">
        <v>8952</v>
      </c>
      <c r="D15" s="6"/>
      <c r="E15" s="6"/>
      <c r="F15" s="6"/>
      <c r="G15" s="6">
        <v>9052</v>
      </c>
      <c r="H15" s="6"/>
      <c r="I15" s="6"/>
      <c r="J15" s="6"/>
      <c r="K15" s="6"/>
      <c r="L15" s="6">
        <v>32103</v>
      </c>
      <c r="M15" s="6">
        <v>38748</v>
      </c>
      <c r="N15" s="6">
        <v>41847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</row>
    <row r="16" spans="1:103" x14ac:dyDescent="0.2">
      <c r="B16" t="s">
        <v>30</v>
      </c>
      <c r="C16" s="3">
        <v>3339</v>
      </c>
      <c r="D16" s="3"/>
      <c r="E16" s="3"/>
      <c r="F16" s="3"/>
      <c r="G16" s="3">
        <v>2679</v>
      </c>
      <c r="H16" s="3"/>
      <c r="I16" s="3"/>
      <c r="J16" s="3"/>
      <c r="K16" s="3"/>
      <c r="L16" s="3">
        <v>12777</v>
      </c>
      <c r="M16" s="3">
        <v>15249</v>
      </c>
      <c r="N16" s="3">
        <v>13433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</row>
    <row r="17" spans="2:103" x14ac:dyDescent="0.2">
      <c r="B17" t="s">
        <v>31</v>
      </c>
      <c r="C17" s="3">
        <f t="shared" ref="C17:F17" si="0">+C15-C16</f>
        <v>5613</v>
      </c>
      <c r="D17" s="3">
        <f t="shared" si="0"/>
        <v>0</v>
      </c>
      <c r="E17" s="3">
        <f t="shared" si="0"/>
        <v>0</v>
      </c>
      <c r="F17" s="3">
        <f t="shared" si="0"/>
        <v>0</v>
      </c>
      <c r="G17" s="3">
        <f>+G15-G16</f>
        <v>6373</v>
      </c>
      <c r="H17" s="3">
        <f t="shared" ref="H17:J17" si="1">+H15-H16</f>
        <v>0</v>
      </c>
      <c r="I17" s="3">
        <f t="shared" si="1"/>
        <v>0</v>
      </c>
      <c r="J17" s="3">
        <f t="shared" si="1"/>
        <v>0</v>
      </c>
      <c r="K17" s="3"/>
      <c r="L17" s="3">
        <f t="shared" ref="L17:M17" si="2">+L15-L16</f>
        <v>19326</v>
      </c>
      <c r="M17" s="3">
        <f t="shared" si="2"/>
        <v>23499</v>
      </c>
      <c r="N17" s="3">
        <f>+N15-N16</f>
        <v>28414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</row>
    <row r="18" spans="2:103" x14ac:dyDescent="0.2">
      <c r="B18" t="s">
        <v>32</v>
      </c>
      <c r="C18" s="3">
        <v>3831</v>
      </c>
      <c r="D18" s="3"/>
      <c r="E18" s="3"/>
      <c r="F18" s="3"/>
      <c r="G18" s="3">
        <v>4322</v>
      </c>
      <c r="H18" s="3"/>
      <c r="I18" s="3"/>
      <c r="J18" s="3"/>
      <c r="K18" s="3"/>
      <c r="L18" s="3">
        <v>13501</v>
      </c>
      <c r="M18" s="3">
        <v>16847</v>
      </c>
      <c r="N18" s="3">
        <v>19072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</row>
    <row r="19" spans="2:103" x14ac:dyDescent="0.2">
      <c r="B19" t="s">
        <v>33</v>
      </c>
      <c r="C19" s="3">
        <v>1088</v>
      </c>
      <c r="D19" s="3"/>
      <c r="E19" s="3"/>
      <c r="F19" s="3"/>
      <c r="G19" s="3">
        <v>1430</v>
      </c>
      <c r="H19" s="3"/>
      <c r="I19" s="3"/>
      <c r="J19" s="3"/>
      <c r="K19" s="3"/>
      <c r="L19" s="3">
        <v>3453</v>
      </c>
      <c r="M19" s="3">
        <v>4159</v>
      </c>
      <c r="N19" s="3">
        <v>6191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</row>
    <row r="20" spans="2:103" x14ac:dyDescent="0.2">
      <c r="B20" t="s">
        <v>34</v>
      </c>
      <c r="C20" s="3">
        <v>220</v>
      </c>
      <c r="D20" s="3"/>
      <c r="E20" s="3"/>
      <c r="F20" s="3"/>
      <c r="G20" s="3">
        <v>241</v>
      </c>
      <c r="H20" s="3"/>
      <c r="I20" s="3"/>
      <c r="J20" s="3"/>
      <c r="K20" s="3"/>
      <c r="L20" s="3">
        <v>668</v>
      </c>
      <c r="M20" s="3">
        <v>849</v>
      </c>
      <c r="N20" s="3">
        <v>896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</row>
    <row r="21" spans="2:103" x14ac:dyDescent="0.2">
      <c r="B21" t="s">
        <v>35</v>
      </c>
      <c r="C21" s="3">
        <v>126</v>
      </c>
      <c r="D21" s="3"/>
      <c r="E21" s="3"/>
      <c r="F21" s="3"/>
      <c r="G21" s="3">
        <v>122</v>
      </c>
      <c r="H21" s="3"/>
      <c r="I21" s="3"/>
      <c r="J21" s="3"/>
      <c r="K21" s="3"/>
      <c r="L21" s="3">
        <v>328</v>
      </c>
      <c r="M21" s="3">
        <v>678</v>
      </c>
      <c r="N21" s="3">
        <v>548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</row>
    <row r="22" spans="2:103" x14ac:dyDescent="0.2">
      <c r="B22" t="s">
        <v>36</v>
      </c>
      <c r="C22" s="3">
        <f t="shared" ref="C22" si="3">+C17-SUM(C18:C21)</f>
        <v>348</v>
      </c>
      <c r="D22" s="3">
        <f t="shared" ref="D22" si="4">+D17-SUM(D18:D21)</f>
        <v>0</v>
      </c>
      <c r="E22" s="3">
        <f t="shared" ref="E22" si="5">+E17-SUM(E18:E21)</f>
        <v>0</v>
      </c>
      <c r="F22" s="3">
        <f t="shared" ref="F22" si="6">+F17-SUM(F18:F21)</f>
        <v>0</v>
      </c>
      <c r="G22" s="3">
        <f t="shared" ref="G22" si="7">+G17-SUM(G18:G21)</f>
        <v>258</v>
      </c>
      <c r="H22" s="3">
        <f t="shared" ref="H22" si="8">+H17-SUM(H18:H21)</f>
        <v>0</v>
      </c>
      <c r="I22" s="3">
        <f t="shared" ref="I22" si="9">+I17-SUM(I18:I21)</f>
        <v>0</v>
      </c>
      <c r="J22" s="3">
        <f t="shared" ref="J22" si="10">+J17-SUM(J18:J21)</f>
        <v>0</v>
      </c>
      <c r="K22" s="3"/>
      <c r="L22" s="3">
        <f t="shared" ref="L22:M22" si="11">+L17-SUM(L18:L21)</f>
        <v>1376</v>
      </c>
      <c r="M22" s="3">
        <f t="shared" si="11"/>
        <v>966</v>
      </c>
      <c r="N22" s="3">
        <f>+N17-SUM(N18:N21)</f>
        <v>1707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</row>
    <row r="23" spans="2:103" x14ac:dyDescent="0.2">
      <c r="B23" t="s">
        <v>37</v>
      </c>
      <c r="C23" s="3">
        <v>-21</v>
      </c>
      <c r="D23" s="3"/>
      <c r="E23" s="3"/>
      <c r="F23" s="3"/>
      <c r="G23" s="3">
        <f>-328-16</f>
        <v>-344</v>
      </c>
      <c r="H23" s="3"/>
      <c r="I23" s="3"/>
      <c r="J23" s="3"/>
      <c r="K23" s="3"/>
      <c r="L23" s="3">
        <f>1231-36</f>
        <v>1195</v>
      </c>
      <c r="M23" s="3">
        <f>2431-171</f>
        <v>2260</v>
      </c>
      <c r="N23" s="3">
        <f>328+3</f>
        <v>331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</row>
    <row r="24" spans="2:103" x14ac:dyDescent="0.2">
      <c r="B24" t="s">
        <v>38</v>
      </c>
      <c r="C24" s="3">
        <v>135</v>
      </c>
      <c r="D24" s="3"/>
      <c r="E24" s="3"/>
      <c r="F24" s="3"/>
      <c r="G24" s="3">
        <v>150</v>
      </c>
      <c r="H24" s="3"/>
      <c r="I24" s="3"/>
      <c r="J24" s="3"/>
      <c r="K24" s="3"/>
      <c r="L24" s="3">
        <v>472</v>
      </c>
      <c r="M24" s="3">
        <v>597</v>
      </c>
      <c r="N24" s="3">
        <v>621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</row>
    <row r="25" spans="2:103" x14ac:dyDescent="0.2">
      <c r="B25" t="s">
        <v>39</v>
      </c>
      <c r="C25" s="3">
        <f>47-14</f>
        <v>33</v>
      </c>
      <c r="D25" s="3"/>
      <c r="E25" s="3"/>
      <c r="F25" s="3"/>
      <c r="G25" s="3">
        <f>-72-12</f>
        <v>-84</v>
      </c>
      <c r="H25" s="3"/>
      <c r="I25" s="3"/>
      <c r="J25" s="3"/>
      <c r="K25" s="3"/>
      <c r="L25" s="3">
        <f>-34-14</f>
        <v>-48</v>
      </c>
      <c r="M25" s="3">
        <f>-55+1</f>
        <v>-54</v>
      </c>
      <c r="N25" s="3">
        <f>-95-50</f>
        <v>-145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</row>
    <row r="26" spans="2:103" x14ac:dyDescent="0.2">
      <c r="B26" t="s">
        <v>40</v>
      </c>
      <c r="C26" s="3">
        <f t="shared" ref="C26" si="12">+C22+C23+C24+C25</f>
        <v>495</v>
      </c>
      <c r="D26" s="3">
        <f t="shared" ref="D26" si="13">+D22+D23+D24+D25</f>
        <v>0</v>
      </c>
      <c r="E26" s="3">
        <f t="shared" ref="E26" si="14">+E22+E23+E24+E25</f>
        <v>0</v>
      </c>
      <c r="F26" s="3">
        <f t="shared" ref="F26" si="15">+F22+F23+F24+F25</f>
        <v>0</v>
      </c>
      <c r="G26" s="3">
        <f t="shared" ref="G26" si="16">+G22+G23+G24+G25</f>
        <v>-20</v>
      </c>
      <c r="H26" s="3">
        <f t="shared" ref="H26" si="17">+H22+H23+H24+H25</f>
        <v>0</v>
      </c>
      <c r="I26" s="3">
        <f t="shared" ref="I26" si="18">+I22+I23+I24+I25</f>
        <v>0</v>
      </c>
      <c r="J26" s="3">
        <f t="shared" ref="J26" si="19">+J22+J23+J24+J25</f>
        <v>0</v>
      </c>
      <c r="K26" s="3"/>
      <c r="L26" s="3">
        <f t="shared" ref="L26:M26" si="20">+L22+L23+L24+L25</f>
        <v>2995</v>
      </c>
      <c r="M26" s="3">
        <f t="shared" si="20"/>
        <v>3769</v>
      </c>
      <c r="N26" s="3">
        <f>+N22+N23+N24+N25</f>
        <v>2514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</row>
    <row r="27" spans="2:103" x14ac:dyDescent="0.2">
      <c r="B27" t="s">
        <v>41</v>
      </c>
      <c r="C27" s="3">
        <v>100</v>
      </c>
      <c r="D27" s="3"/>
      <c r="E27" s="3"/>
      <c r="F27" s="3"/>
      <c r="G27" s="3">
        <v>79</v>
      </c>
      <c r="H27" s="3"/>
      <c r="I27" s="3"/>
      <c r="J27" s="3"/>
      <c r="K27" s="3"/>
      <c r="L27" s="3">
        <v>206</v>
      </c>
      <c r="M27" s="3">
        <v>404</v>
      </c>
      <c r="N27" s="3">
        <v>450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</row>
    <row r="28" spans="2:103" x14ac:dyDescent="0.2">
      <c r="B28" t="s">
        <v>29</v>
      </c>
      <c r="C28" s="3">
        <f t="shared" ref="C28:F28" si="21">+C26-C27</f>
        <v>395</v>
      </c>
      <c r="D28" s="3">
        <f t="shared" si="21"/>
        <v>0</v>
      </c>
      <c r="E28" s="3">
        <f t="shared" si="21"/>
        <v>0</v>
      </c>
      <c r="F28" s="3">
        <f t="shared" si="21"/>
        <v>0</v>
      </c>
      <c r="G28" s="3">
        <f>+G26-G27</f>
        <v>-99</v>
      </c>
      <c r="H28" s="3">
        <f t="shared" ref="H28:J28" si="22">+H26-H27</f>
        <v>0</v>
      </c>
      <c r="I28" s="3">
        <f t="shared" si="22"/>
        <v>0</v>
      </c>
      <c r="J28" s="3">
        <f t="shared" si="22"/>
        <v>0</v>
      </c>
      <c r="K28" s="3"/>
      <c r="L28" s="3">
        <f t="shared" ref="L28:M28" si="23">+L26-L27</f>
        <v>2789</v>
      </c>
      <c r="M28" s="3">
        <f t="shared" si="23"/>
        <v>3365</v>
      </c>
      <c r="N28" s="3">
        <f>+N26-N27</f>
        <v>2064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</row>
    <row r="29" spans="2:103" x14ac:dyDescent="0.2"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</row>
    <row r="30" spans="2:103" x14ac:dyDescent="0.2">
      <c r="B30" t="s">
        <v>42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</row>
    <row r="31" spans="2:103" x14ac:dyDescent="0.2">
      <c r="B31" t="s">
        <v>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</row>
    <row r="32" spans="2:103" x14ac:dyDescent="0.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</row>
    <row r="33" spans="3:103" x14ac:dyDescent="0.2"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</row>
    <row r="34" spans="3:103" x14ac:dyDescent="0.2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</row>
    <row r="35" spans="3:103" x14ac:dyDescent="0.2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</row>
    <row r="36" spans="3:103" x14ac:dyDescent="0.2"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</row>
    <row r="37" spans="3:103" x14ac:dyDescent="0.2"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</row>
    <row r="38" spans="3:103" x14ac:dyDescent="0.2"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</row>
    <row r="39" spans="3:103" x14ac:dyDescent="0.2"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</row>
    <row r="40" spans="3:103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</row>
    <row r="41" spans="3:103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</row>
    <row r="42" spans="3:103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</row>
    <row r="43" spans="3:103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</row>
    <row r="44" spans="3:103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</row>
    <row r="45" spans="3:103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</row>
    <row r="46" spans="3:103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</row>
    <row r="47" spans="3:103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</row>
    <row r="48" spans="3:103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</row>
    <row r="49" spans="3:103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</row>
    <row r="50" spans="3:103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</row>
    <row r="51" spans="3:103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</row>
    <row r="52" spans="3:103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</row>
    <row r="53" spans="3:103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</row>
    <row r="54" spans="3:103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</row>
    <row r="55" spans="3:103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</row>
    <row r="56" spans="3:103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</row>
    <row r="57" spans="3:103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</row>
    <row r="58" spans="3:103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</row>
    <row r="59" spans="3:103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</row>
    <row r="60" spans="3:103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</row>
    <row r="61" spans="3:103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</row>
    <row r="62" spans="3:103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</row>
    <row r="63" spans="3:103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</row>
    <row r="64" spans="3:103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</row>
    <row r="65" spans="3:103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</row>
    <row r="66" spans="3:103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</row>
    <row r="67" spans="3:103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</row>
    <row r="68" spans="3:103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</row>
    <row r="69" spans="3:103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</row>
    <row r="70" spans="3:103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</row>
    <row r="71" spans="3:103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</row>
    <row r="72" spans="3:103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</row>
    <row r="73" spans="3:103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</row>
    <row r="74" spans="3:103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</row>
    <row r="75" spans="3:103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</row>
    <row r="76" spans="3:103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</row>
    <row r="77" spans="3:103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</row>
    <row r="78" spans="3:103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</row>
    <row r="79" spans="3:103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</row>
    <row r="80" spans="3:103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</row>
    <row r="81" spans="3:103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</row>
    <row r="82" spans="3:103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</row>
    <row r="83" spans="3:103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</row>
    <row r="84" spans="3:103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</row>
    <row r="85" spans="3:103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</row>
    <row r="86" spans="3:103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</row>
    <row r="87" spans="3:103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</row>
    <row r="88" spans="3:103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</row>
    <row r="89" spans="3:103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</row>
    <row r="90" spans="3:103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</row>
    <row r="91" spans="3:103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</row>
    <row r="92" spans="3:103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</row>
    <row r="93" spans="3:103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</row>
    <row r="94" spans="3:103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</row>
    <row r="95" spans="3:103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</row>
    <row r="96" spans="3:103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</row>
    <row r="97" spans="3:103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</row>
    <row r="98" spans="3:103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</row>
    <row r="99" spans="3:103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</row>
    <row r="100" spans="3:103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</row>
    <row r="101" spans="3:103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</row>
    <row r="102" spans="3:103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</row>
    <row r="103" spans="3:103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</row>
    <row r="104" spans="3:103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</row>
    <row r="105" spans="3:103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</row>
    <row r="106" spans="3:103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</row>
    <row r="107" spans="3:103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</row>
    <row r="108" spans="3:103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</row>
    <row r="109" spans="3:103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</row>
    <row r="110" spans="3:103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</row>
    <row r="111" spans="3:103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</row>
    <row r="112" spans="3:103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</row>
    <row r="113" spans="3:103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</row>
    <row r="114" spans="3:103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</row>
    <row r="115" spans="3:103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</row>
    <row r="116" spans="3:103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</row>
    <row r="117" spans="3:103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</row>
    <row r="118" spans="3:103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</row>
    <row r="119" spans="3:103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</row>
    <row r="120" spans="3:103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</row>
    <row r="121" spans="3:103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</row>
    <row r="122" spans="3:103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</row>
    <row r="123" spans="3:103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</row>
    <row r="124" spans="3:103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</row>
    <row r="125" spans="3:103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</row>
    <row r="126" spans="3:103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</row>
    <row r="127" spans="3:103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</row>
    <row r="128" spans="3:103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</row>
    <row r="129" spans="3:103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</row>
    <row r="130" spans="3:103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</row>
    <row r="131" spans="3:103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</row>
    <row r="132" spans="3:103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</row>
    <row r="133" spans="3:103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</row>
    <row r="134" spans="3:103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</row>
    <row r="135" spans="3:103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</row>
    <row r="136" spans="3:103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</row>
    <row r="137" spans="3:103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</row>
    <row r="138" spans="3:103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</row>
    <row r="139" spans="3:103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</row>
    <row r="140" spans="3:103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</row>
    <row r="141" spans="3:103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spans="3:103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</row>
    <row r="143" spans="3:103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</row>
    <row r="144" spans="3:103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</row>
    <row r="145" spans="3:103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</row>
    <row r="146" spans="3:103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</row>
    <row r="147" spans="3:103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</row>
    <row r="148" spans="3:103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</row>
    <row r="149" spans="3:103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</row>
    <row r="150" spans="3:103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</row>
    <row r="151" spans="3:103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</row>
    <row r="152" spans="3:103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</row>
    <row r="153" spans="3:103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</row>
    <row r="154" spans="3:103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</row>
    <row r="155" spans="3:103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</row>
    <row r="156" spans="3:103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</row>
    <row r="157" spans="3:103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</row>
    <row r="158" spans="3:103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</row>
    <row r="159" spans="3:103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</row>
    <row r="160" spans="3:103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</row>
    <row r="161" spans="3:103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</row>
    <row r="162" spans="3:103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</row>
    <row r="163" spans="3:103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</row>
    <row r="164" spans="3:103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</row>
    <row r="165" spans="3:103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</row>
    <row r="166" spans="3:103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</row>
    <row r="167" spans="3:103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</row>
    <row r="168" spans="3:103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</row>
    <row r="169" spans="3:103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</row>
    <row r="170" spans="3:103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</row>
    <row r="171" spans="3:103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</row>
    <row r="172" spans="3:103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</row>
    <row r="173" spans="3:103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</row>
    <row r="174" spans="3:103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</row>
    <row r="175" spans="3:103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</row>
    <row r="176" spans="3:103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</row>
    <row r="177" spans="3:103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</row>
    <row r="178" spans="3:103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</row>
    <row r="179" spans="3:103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</row>
    <row r="180" spans="3:103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</row>
    <row r="181" spans="3:103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</row>
    <row r="182" spans="3:103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</row>
    <row r="183" spans="3:103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</row>
    <row r="184" spans="3:103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</row>
    <row r="185" spans="3:103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</row>
    <row r="186" spans="3:103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</row>
    <row r="187" spans="3:103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</row>
    <row r="188" spans="3:103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</row>
    <row r="189" spans="3:103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</row>
    <row r="190" spans="3:103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spans="3:103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</row>
    <row r="192" spans="3:103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</row>
    <row r="193" spans="3:103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</row>
    <row r="194" spans="3:103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</row>
    <row r="195" spans="3:103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</row>
    <row r="196" spans="3:103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</row>
    <row r="197" spans="3:103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</row>
    <row r="198" spans="3:103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</row>
    <row r="199" spans="3:103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</row>
    <row r="200" spans="3:103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</row>
    <row r="201" spans="3:103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</row>
    <row r="202" spans="3:103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</row>
    <row r="203" spans="3:103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</row>
    <row r="204" spans="3:103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</row>
    <row r="205" spans="3:103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</row>
    <row r="206" spans="3:103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</row>
    <row r="207" spans="3:103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</row>
    <row r="208" spans="3:103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</row>
    <row r="209" spans="3:103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</row>
    <row r="210" spans="3:103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</row>
    <row r="211" spans="3:103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</row>
    <row r="212" spans="3:103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</row>
    <row r="213" spans="3:103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</row>
    <row r="214" spans="3:103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</row>
    <row r="215" spans="3:103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</row>
    <row r="216" spans="3:103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</row>
    <row r="217" spans="3:103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</row>
    <row r="218" spans="3:103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</row>
    <row r="219" spans="3:103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</row>
    <row r="220" spans="3:103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</row>
    <row r="221" spans="3:103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</row>
    <row r="222" spans="3:103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</row>
    <row r="223" spans="3:103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</row>
    <row r="224" spans="3:103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</row>
    <row r="225" spans="3:103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</row>
    <row r="226" spans="3:103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</row>
    <row r="227" spans="3:103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</row>
    <row r="228" spans="3:103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</row>
    <row r="229" spans="3:103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</row>
    <row r="230" spans="3:103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</row>
    <row r="231" spans="3:103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</row>
    <row r="232" spans="3:103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</row>
    <row r="233" spans="3:103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</row>
    <row r="234" spans="3:103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</row>
    <row r="235" spans="3:103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</row>
    <row r="236" spans="3:103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</row>
    <row r="237" spans="3:103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</row>
    <row r="238" spans="3:103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</row>
    <row r="239" spans="3:103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spans="3:103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</row>
    <row r="241" spans="3:103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</row>
    <row r="242" spans="3:103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</row>
    <row r="243" spans="3:103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</row>
    <row r="244" spans="3:103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</row>
    <row r="245" spans="3:103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</row>
    <row r="246" spans="3:103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</row>
    <row r="247" spans="3:103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</row>
    <row r="248" spans="3:103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</row>
    <row r="249" spans="3:103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</row>
    <row r="250" spans="3:103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</row>
    <row r="251" spans="3:103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</row>
    <row r="252" spans="3:103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</row>
    <row r="253" spans="3:103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</row>
    <row r="254" spans="3:103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</row>
    <row r="255" spans="3:103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</row>
    <row r="256" spans="3:103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</row>
    <row r="257" spans="3:103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</row>
    <row r="258" spans="3:103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</row>
    <row r="259" spans="3:103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</row>
    <row r="260" spans="3:103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</row>
    <row r="261" spans="3:103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</row>
    <row r="262" spans="3:103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</row>
    <row r="263" spans="3:103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</row>
    <row r="264" spans="3:103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</row>
    <row r="265" spans="3:103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</row>
    <row r="266" spans="3:103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</row>
    <row r="267" spans="3:103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</row>
    <row r="268" spans="3:103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</row>
    <row r="269" spans="3:103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</row>
    <row r="270" spans="3:103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</row>
    <row r="271" spans="3:103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</row>
    <row r="272" spans="3:103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</row>
    <row r="273" spans="3:103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</row>
    <row r="274" spans="3:103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</row>
    <row r="275" spans="3:103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</row>
    <row r="276" spans="3:103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</row>
    <row r="277" spans="3:103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</row>
    <row r="278" spans="3:103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</row>
    <row r="279" spans="3:103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</row>
    <row r="280" spans="3:103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</row>
    <row r="281" spans="3:103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</row>
    <row r="282" spans="3:103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</row>
    <row r="283" spans="3:103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</row>
    <row r="284" spans="3:103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</row>
    <row r="285" spans="3:103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</row>
    <row r="286" spans="3:103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</row>
    <row r="287" spans="3:103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</row>
    <row r="288" spans="3:103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spans="3:103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</row>
    <row r="290" spans="3:103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</row>
    <row r="291" spans="3:103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</row>
    <row r="292" spans="3:103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</row>
    <row r="293" spans="3:103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</row>
    <row r="294" spans="3:103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</row>
    <row r="295" spans="3:103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</row>
    <row r="296" spans="3:103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</row>
    <row r="297" spans="3:103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</row>
    <row r="298" spans="3:103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</row>
    <row r="299" spans="3:103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</row>
    <row r="300" spans="3:103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</row>
    <row r="301" spans="3:103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</row>
    <row r="302" spans="3:103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</row>
    <row r="303" spans="3:103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</row>
    <row r="304" spans="3:103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</row>
    <row r="305" spans="3:103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</row>
    <row r="306" spans="3:103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</row>
    <row r="307" spans="3:103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</row>
    <row r="308" spans="3:103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</row>
    <row r="309" spans="3:103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</row>
    <row r="310" spans="3:103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</row>
    <row r="311" spans="3:103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</row>
    <row r="312" spans="3:103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</row>
    <row r="313" spans="3:103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</row>
    <row r="314" spans="3:103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</row>
    <row r="315" spans="3:103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</row>
    <row r="316" spans="3:103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</row>
    <row r="317" spans="3:103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</row>
    <row r="318" spans="3:103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</row>
    <row r="319" spans="3:103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</row>
    <row r="320" spans="3:103" x14ac:dyDescent="0.2"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</row>
    <row r="321" spans="3:103" x14ac:dyDescent="0.2"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</row>
    <row r="322" spans="3:103" x14ac:dyDescent="0.2"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</row>
    <row r="323" spans="3:103" x14ac:dyDescent="0.2"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</row>
    <row r="324" spans="3:103" x14ac:dyDescent="0.2"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</row>
    <row r="325" spans="3:103" x14ac:dyDescent="0.2"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</row>
    <row r="326" spans="3:103" x14ac:dyDescent="0.2"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</row>
    <row r="327" spans="3:103" x14ac:dyDescent="0.2"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</row>
    <row r="328" spans="3:103" x14ac:dyDescent="0.2"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</row>
    <row r="329" spans="3:103" x14ac:dyDescent="0.2"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</row>
  </sheetData>
  <hyperlinks>
    <hyperlink ref="A1" location="Main!A1" display="Main" xr:uid="{D87F07C4-4467-4F58-9E37-D8A3445715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2026-09-01T09:25:03Z</dcterms:created>
  <dcterms:modified xsi:type="dcterms:W3CDTF">2026-09-01T10:09:16Z</dcterms:modified>
</cp:coreProperties>
</file>