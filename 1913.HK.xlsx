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.Finance\Anaylsen\Models\"/>
    </mc:Choice>
  </mc:AlternateContent>
  <xr:revisionPtr revIDLastSave="0" documentId="13_ncr:1_{08E65B23-4469-4201-8A35-3025264C4C0F}" xr6:coauthVersionLast="47" xr6:coauthVersionMax="47" xr10:uidLastSave="{00000000-0000-0000-0000-000000000000}"/>
  <bookViews>
    <workbookView xWindow="-105" yWindow="0" windowWidth="19410" windowHeight="20985" activeTab="1" xr2:uid="{139B0E69-D4C6-42BA-824B-D7880A74E282}"/>
  </bookViews>
  <sheets>
    <sheet name="Main" sheetId="1" r:id="rId1"/>
    <sheet name="Quarters" sheetId="6" r:id="rId2"/>
    <sheet name="Model" sheetId="2" r:id="rId3"/>
    <sheet name="Ratios" sheetId="3" r:id="rId4"/>
    <sheet name="DCF" sheetId="4" r:id="rId5"/>
    <sheet name="WACC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3" i="6" l="1"/>
  <c r="L22" i="6"/>
  <c r="L21" i="6"/>
  <c r="L19" i="6"/>
  <c r="L18" i="6"/>
  <c r="L16" i="6"/>
  <c r="L15" i="6"/>
  <c r="L14" i="6"/>
  <c r="L13" i="6"/>
  <c r="L12" i="6"/>
  <c r="L11" i="6"/>
  <c r="L10" i="6"/>
  <c r="L9" i="6"/>
  <c r="L8" i="6"/>
  <c r="L7" i="6"/>
  <c r="L6" i="6"/>
  <c r="L5" i="6"/>
  <c r="L4" i="6"/>
  <c r="L3" i="6"/>
  <c r="K41" i="2"/>
  <c r="K9" i="2"/>
  <c r="H7" i="1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7" i="2"/>
  <c r="K46" i="2"/>
  <c r="K45" i="2"/>
  <c r="K44" i="2"/>
  <c r="K39" i="2"/>
  <c r="K37" i="2"/>
  <c r="K35" i="2"/>
  <c r="K34" i="2"/>
  <c r="K31" i="2"/>
  <c r="K32" i="2"/>
  <c r="K27" i="2"/>
  <c r="L27" i="2"/>
  <c r="K22" i="6"/>
  <c r="K21" i="6"/>
  <c r="K19" i="6"/>
  <c r="K18" i="6"/>
  <c r="G22" i="6"/>
  <c r="G21" i="6"/>
  <c r="G19" i="6"/>
  <c r="G18" i="6"/>
  <c r="J45" i="3"/>
  <c r="J46" i="3" s="1"/>
  <c r="J43" i="3"/>
  <c r="J42" i="3"/>
  <c r="J47" i="3" s="1"/>
  <c r="J22" i="3"/>
  <c r="J7" i="3"/>
  <c r="J5" i="3"/>
  <c r="J4" i="3"/>
  <c r="D15" i="6"/>
  <c r="D14" i="6"/>
  <c r="D13" i="6"/>
  <c r="D12" i="6"/>
  <c r="D11" i="6"/>
  <c r="D10" i="6"/>
  <c r="D9" i="6"/>
  <c r="D8" i="6"/>
  <c r="D7" i="6"/>
  <c r="D6" i="6"/>
  <c r="D4" i="6"/>
  <c r="D3" i="6"/>
  <c r="H15" i="6"/>
  <c r="H14" i="6"/>
  <c r="H13" i="6"/>
  <c r="H12" i="6"/>
  <c r="H11" i="6"/>
  <c r="H10" i="6"/>
  <c r="H9" i="6"/>
  <c r="H8" i="6"/>
  <c r="H7" i="6"/>
  <c r="H22" i="6" s="1"/>
  <c r="H6" i="6"/>
  <c r="H21" i="6" s="1"/>
  <c r="H5" i="6"/>
  <c r="H4" i="6"/>
  <c r="H19" i="6" s="1"/>
  <c r="H3" i="6"/>
  <c r="H18" i="6" s="1"/>
  <c r="J42" i="2"/>
  <c r="J38" i="2"/>
  <c r="J36" i="2"/>
  <c r="J34" i="2"/>
  <c r="J30" i="2"/>
  <c r="J29" i="2"/>
  <c r="J28" i="2"/>
  <c r="J26" i="2"/>
  <c r="J24" i="2"/>
  <c r="J23" i="2"/>
  <c r="J22" i="2"/>
  <c r="J21" i="2"/>
  <c r="J20" i="2"/>
  <c r="J19" i="2"/>
  <c r="J18" i="2"/>
  <c r="J17" i="2"/>
  <c r="J8" i="6" s="1"/>
  <c r="J16" i="2"/>
  <c r="J7" i="6" s="1"/>
  <c r="J15" i="2"/>
  <c r="J6" i="6" s="1"/>
  <c r="J14" i="2"/>
  <c r="J5" i="6" s="1"/>
  <c r="J13" i="2"/>
  <c r="J4" i="6" s="1"/>
  <c r="J12" i="2"/>
  <c r="J3" i="6" s="1"/>
  <c r="J10" i="2"/>
  <c r="J8" i="2"/>
  <c r="J7" i="2"/>
  <c r="J6" i="2"/>
  <c r="J5" i="2"/>
  <c r="J4" i="2"/>
  <c r="J3" i="2"/>
  <c r="U9" i="2"/>
  <c r="U129" i="2"/>
  <c r="U133" i="2" s="1"/>
  <c r="U125" i="2"/>
  <c r="U115" i="2"/>
  <c r="U118" i="2" s="1"/>
  <c r="U97" i="2"/>
  <c r="U86" i="2"/>
  <c r="U89" i="2" s="1"/>
  <c r="U73" i="2"/>
  <c r="U80" i="2" s="1"/>
  <c r="J11" i="3" s="1"/>
  <c r="J24" i="3" s="1"/>
  <c r="U71" i="2"/>
  <c r="U60" i="2"/>
  <c r="U58" i="2"/>
  <c r="U57" i="2"/>
  <c r="U56" i="2"/>
  <c r="U55" i="2"/>
  <c r="U54" i="2"/>
  <c r="U53" i="2"/>
  <c r="U52" i="2"/>
  <c r="U51" i="2"/>
  <c r="U50" i="2"/>
  <c r="U49" i="2"/>
  <c r="U47" i="2"/>
  <c r="U46" i="2"/>
  <c r="U45" i="2"/>
  <c r="U33" i="2"/>
  <c r="U31" i="2"/>
  <c r="U27" i="2"/>
  <c r="U32" i="2" s="1"/>
  <c r="E15" i="6"/>
  <c r="E14" i="6"/>
  <c r="E13" i="6"/>
  <c r="E11" i="6"/>
  <c r="E10" i="6"/>
  <c r="E9" i="6"/>
  <c r="E8" i="6"/>
  <c r="E7" i="6"/>
  <c r="E6" i="6"/>
  <c r="I21" i="6" s="1"/>
  <c r="E4" i="6"/>
  <c r="I19" i="6" s="1"/>
  <c r="E3" i="6"/>
  <c r="I18" i="6" s="1"/>
  <c r="I15" i="6"/>
  <c r="J15" i="6" s="1"/>
  <c r="I14" i="6"/>
  <c r="J14" i="6" s="1"/>
  <c r="I13" i="6"/>
  <c r="I12" i="6"/>
  <c r="I11" i="6"/>
  <c r="I10" i="6"/>
  <c r="I9" i="6"/>
  <c r="I8" i="6"/>
  <c r="I7" i="6"/>
  <c r="I22" i="6" s="1"/>
  <c r="I6" i="6"/>
  <c r="I4" i="6"/>
  <c r="I3" i="6"/>
  <c r="I33" i="2"/>
  <c r="I31" i="2"/>
  <c r="J31" i="2" s="1"/>
  <c r="G16" i="6"/>
  <c r="K23" i="6" s="1"/>
  <c r="C16" i="6"/>
  <c r="H45" i="3"/>
  <c r="H46" i="3" s="1"/>
  <c r="G45" i="3"/>
  <c r="G46" i="3" s="1"/>
  <c r="F45" i="3"/>
  <c r="F46" i="3" s="1"/>
  <c r="I45" i="3"/>
  <c r="I46" i="3" s="1"/>
  <c r="H16" i="6" l="1"/>
  <c r="D16" i="6"/>
  <c r="J9" i="6"/>
  <c r="J33" i="2"/>
  <c r="J10" i="6"/>
  <c r="J12" i="6"/>
  <c r="J13" i="6"/>
  <c r="J11" i="6"/>
  <c r="H23" i="6"/>
  <c r="J12" i="3"/>
  <c r="J16" i="3" s="1"/>
  <c r="J13" i="3"/>
  <c r="J14" i="3" s="1"/>
  <c r="G23" i="6"/>
  <c r="J16" i="6"/>
  <c r="I16" i="6"/>
  <c r="U81" i="2"/>
  <c r="U98" i="2"/>
  <c r="U100" i="2" s="1"/>
  <c r="J44" i="3" s="1"/>
  <c r="U35" i="2"/>
  <c r="U61" i="2"/>
  <c r="U135" i="2"/>
  <c r="E16" i="6"/>
  <c r="H12" i="3"/>
  <c r="G12" i="3"/>
  <c r="F12" i="3"/>
  <c r="H13" i="3"/>
  <c r="H14" i="3" s="1"/>
  <c r="G13" i="3"/>
  <c r="G14" i="3" s="1"/>
  <c r="F13" i="3"/>
  <c r="F14" i="3" s="1"/>
  <c r="I13" i="3"/>
  <c r="I14" i="3" s="1"/>
  <c r="I12" i="3"/>
  <c r="H7" i="3"/>
  <c r="G7" i="3"/>
  <c r="F7" i="3"/>
  <c r="I7" i="3"/>
  <c r="J6" i="3"/>
  <c r="J8" i="3" s="1"/>
  <c r="I4" i="3"/>
  <c r="H4" i="3"/>
  <c r="G4" i="3"/>
  <c r="F4" i="3"/>
  <c r="E4" i="3"/>
  <c r="D4" i="3"/>
  <c r="C4" i="3"/>
  <c r="H5" i="3"/>
  <c r="H6" i="3" s="1"/>
  <c r="H8" i="3" s="1"/>
  <c r="G5" i="3"/>
  <c r="G6" i="3" s="1"/>
  <c r="F5" i="3"/>
  <c r="F6" i="3" s="1"/>
  <c r="E5" i="3"/>
  <c r="E6" i="3" s="1"/>
  <c r="D5" i="3"/>
  <c r="D6" i="3" s="1"/>
  <c r="C5" i="3"/>
  <c r="C6" i="3" s="1"/>
  <c r="I5" i="3"/>
  <c r="I6" i="3" s="1"/>
  <c r="I8" i="3" s="1"/>
  <c r="I51" i="4"/>
  <c r="H51" i="4"/>
  <c r="G51" i="4"/>
  <c r="L49" i="4"/>
  <c r="K49" i="4"/>
  <c r="J49" i="4"/>
  <c r="I49" i="4"/>
  <c r="H49" i="4"/>
  <c r="G49" i="4"/>
  <c r="L46" i="4"/>
  <c r="K46" i="4"/>
  <c r="J46" i="4"/>
  <c r="I46" i="4"/>
  <c r="H46" i="4"/>
  <c r="G46" i="4"/>
  <c r="L43" i="4"/>
  <c r="K43" i="4"/>
  <c r="J43" i="4"/>
  <c r="I43" i="4"/>
  <c r="H43" i="4"/>
  <c r="G43" i="4"/>
  <c r="L40" i="4"/>
  <c r="L51" i="4" s="1"/>
  <c r="K40" i="4"/>
  <c r="K51" i="4" s="1"/>
  <c r="J40" i="4"/>
  <c r="J51" i="4" s="1"/>
  <c r="I40" i="4"/>
  <c r="H40" i="4"/>
  <c r="G40" i="4"/>
  <c r="L38" i="4"/>
  <c r="K38" i="4"/>
  <c r="J38" i="4"/>
  <c r="I38" i="4"/>
  <c r="H38" i="4"/>
  <c r="G38" i="4"/>
  <c r="V32" i="4" a="1"/>
  <c r="V32" i="4" s="1"/>
  <c r="U32" i="4" a="1"/>
  <c r="U32" i="4" s="1"/>
  <c r="T32" i="4" a="1"/>
  <c r="T32" i="4" s="1"/>
  <c r="S32" i="4" a="1"/>
  <c r="S32" i="4" s="1"/>
  <c r="R32" i="4" a="1"/>
  <c r="R32" i="4" s="1"/>
  <c r="Q32" i="4" a="1"/>
  <c r="Q32" i="4" s="1"/>
  <c r="P32" i="4" a="1"/>
  <c r="P32" i="4" s="1"/>
  <c r="O32" i="4" a="1"/>
  <c r="O32" i="4" s="1"/>
  <c r="N32" i="4" a="1"/>
  <c r="N32" i="4" s="1"/>
  <c r="M32" i="4" a="1"/>
  <c r="M32" i="4" s="1"/>
  <c r="L32" i="4"/>
  <c r="K32" i="4"/>
  <c r="J32" i="4"/>
  <c r="I32" i="4"/>
  <c r="H32" i="4"/>
  <c r="G32" i="4"/>
  <c r="V26" i="4" a="1"/>
  <c r="V26" i="4" s="1"/>
  <c r="U26" i="4" a="1"/>
  <c r="U26" i="4" s="1"/>
  <c r="T26" i="4" a="1"/>
  <c r="T26" i="4" s="1"/>
  <c r="S26" i="4" a="1"/>
  <c r="S26" i="4" s="1"/>
  <c r="R26" i="4" a="1"/>
  <c r="R26" i="4" s="1"/>
  <c r="Q26" i="4" a="1"/>
  <c r="Q26" i="4" s="1"/>
  <c r="P26" i="4" a="1"/>
  <c r="P26" i="4" s="1"/>
  <c r="O26" i="4" a="1"/>
  <c r="O26" i="4" s="1"/>
  <c r="N26" i="4" a="1"/>
  <c r="N26" i="4" s="1"/>
  <c r="M26" i="4" a="1"/>
  <c r="M26" i="4" s="1"/>
  <c r="M25" i="4" s="1"/>
  <c r="L26" i="4"/>
  <c r="K26" i="4"/>
  <c r="J26" i="4"/>
  <c r="I26" i="4"/>
  <c r="H26" i="4"/>
  <c r="H24" i="4"/>
  <c r="I24" i="4" s="1"/>
  <c r="J24" i="4" s="1"/>
  <c r="K24" i="4" s="1"/>
  <c r="L24" i="4" s="1"/>
  <c r="M24" i="4" s="1"/>
  <c r="N24" i="4" s="1"/>
  <c r="O24" i="4" s="1"/>
  <c r="P24" i="4" s="1"/>
  <c r="Q24" i="4" s="1"/>
  <c r="R24" i="4" s="1"/>
  <c r="S24" i="4" s="1"/>
  <c r="T24" i="4" s="1"/>
  <c r="U24" i="4" s="1"/>
  <c r="V24" i="4" s="1"/>
  <c r="E20" i="4"/>
  <c r="E19" i="4"/>
  <c r="E18" i="4"/>
  <c r="O4" i="4"/>
  <c r="O5" i="4" s="1"/>
  <c r="E4" i="4"/>
  <c r="M53" i="4" s="1"/>
  <c r="N53" i="4" s="1"/>
  <c r="O53" i="4" s="1"/>
  <c r="P53" i="4" s="1"/>
  <c r="Q53" i="4" s="1"/>
  <c r="R53" i="4" s="1"/>
  <c r="S53" i="4" s="1"/>
  <c r="T53" i="4" s="1"/>
  <c r="U53" i="4" s="1"/>
  <c r="V53" i="4" s="1"/>
  <c r="O3" i="4"/>
  <c r="I47" i="5"/>
  <c r="F37" i="5"/>
  <c r="F32" i="5"/>
  <c r="F20" i="5"/>
  <c r="F8" i="5"/>
  <c r="F22" i="5" s="1"/>
  <c r="D2" i="3"/>
  <c r="E2" i="3" s="1"/>
  <c r="F2" i="3" s="1"/>
  <c r="G2" i="3" s="1"/>
  <c r="H2" i="3" s="1"/>
  <c r="I2" i="3" s="1"/>
  <c r="J2" i="3" s="1"/>
  <c r="I23" i="6" l="1"/>
  <c r="G16" i="3"/>
  <c r="F8" i="3"/>
  <c r="H16" i="3"/>
  <c r="G8" i="3"/>
  <c r="I16" i="3"/>
  <c r="U37" i="2"/>
  <c r="U39" i="2" s="1"/>
  <c r="U62" i="2"/>
  <c r="J15" i="3" s="1"/>
  <c r="M31" i="4"/>
  <c r="M37" i="4" s="1"/>
  <c r="N25" i="4"/>
  <c r="N31" i="4" s="1"/>
  <c r="M45" i="4"/>
  <c r="M48" i="4"/>
  <c r="M42" i="4"/>
  <c r="F41" i="5"/>
  <c r="U41" i="2" l="1"/>
  <c r="J23" i="3"/>
  <c r="J25" i="3"/>
  <c r="J17" i="3"/>
  <c r="J18" i="3"/>
  <c r="M40" i="4"/>
  <c r="M51" i="4" s="1"/>
  <c r="M52" i="4" s="1"/>
  <c r="N37" i="4"/>
  <c r="N40" i="4" s="1"/>
  <c r="N45" i="4"/>
  <c r="N48" i="4"/>
  <c r="N42" i="4"/>
  <c r="O25" i="4"/>
  <c r="N51" i="4" l="1"/>
  <c r="N52" i="4" s="1"/>
  <c r="O45" i="4"/>
  <c r="O48" i="4"/>
  <c r="O42" i="4"/>
  <c r="P25" i="4"/>
  <c r="O31" i="4"/>
  <c r="O37" i="4" l="1"/>
  <c r="O40" i="4" s="1"/>
  <c r="O51" i="4" s="1"/>
  <c r="O52" i="4" s="1"/>
  <c r="P42" i="4"/>
  <c r="P48" i="4"/>
  <c r="P45" i="4"/>
  <c r="Q25" i="4"/>
  <c r="P31" i="4"/>
  <c r="Q48" i="4" l="1"/>
  <c r="Q42" i="4"/>
  <c r="R25" i="4"/>
  <c r="Q45" i="4"/>
  <c r="Q31" i="4"/>
  <c r="P37" i="4"/>
  <c r="P40" i="4" s="1"/>
  <c r="P51" i="4" s="1"/>
  <c r="P52" i="4" s="1"/>
  <c r="Q37" i="4" l="1"/>
  <c r="Q40" i="4" s="1"/>
  <c r="Q51" i="4" s="1"/>
  <c r="Q52" i="4" s="1"/>
  <c r="R42" i="4"/>
  <c r="R48" i="4"/>
  <c r="S25" i="4"/>
  <c r="R45" i="4"/>
  <c r="R31" i="4"/>
  <c r="R37" i="4" l="1"/>
  <c r="R40" i="4" s="1"/>
  <c r="R51" i="4" s="1"/>
  <c r="R52" i="4" s="1"/>
  <c r="S48" i="4"/>
  <c r="S42" i="4"/>
  <c r="T25" i="4"/>
  <c r="S45" i="4"/>
  <c r="S31" i="4"/>
  <c r="T48" i="4" l="1"/>
  <c r="T42" i="4"/>
  <c r="U25" i="4"/>
  <c r="T45" i="4"/>
  <c r="T31" i="4"/>
  <c r="S37" i="4"/>
  <c r="S40" i="4" s="1"/>
  <c r="S51" i="4" s="1"/>
  <c r="S52" i="4" s="1"/>
  <c r="T37" i="4" l="1"/>
  <c r="T40" i="4" s="1"/>
  <c r="T51" i="4" s="1"/>
  <c r="T52" i="4" s="1"/>
  <c r="U48" i="4"/>
  <c r="U42" i="4"/>
  <c r="V25" i="4"/>
  <c r="U45" i="4"/>
  <c r="U31" i="4"/>
  <c r="U37" i="4" l="1"/>
  <c r="U40" i="4" s="1"/>
  <c r="U51" i="4" s="1"/>
  <c r="U52" i="4" s="1"/>
  <c r="V48" i="4"/>
  <c r="V42" i="4"/>
  <c r="V45" i="4"/>
  <c r="V31" i="4"/>
  <c r="V37" i="4" l="1"/>
  <c r="V40" i="4" s="1"/>
  <c r="V51" i="4" l="1"/>
  <c r="V52" i="4" s="1"/>
  <c r="V54" i="4" s="1"/>
  <c r="V55" i="4"/>
  <c r="V56" i="4" s="1"/>
  <c r="V57" i="4" l="1"/>
  <c r="V60" i="4" s="1"/>
  <c r="V62" i="4" s="1"/>
  <c r="J4" i="4" s="1"/>
  <c r="C69" i="4" l="1"/>
  <c r="N69" i="4"/>
  <c r="J5" i="4"/>
  <c r="Q124" i="2"/>
  <c r="Q121" i="2"/>
  <c r="Q125" i="2" s="1"/>
  <c r="R124" i="2"/>
  <c r="R121" i="2"/>
  <c r="R125" i="2" s="1"/>
  <c r="S137" i="2"/>
  <c r="S132" i="2"/>
  <c r="S133" i="2" s="1"/>
  <c r="R133" i="2"/>
  <c r="Q133" i="2"/>
  <c r="P133" i="2"/>
  <c r="O133" i="2"/>
  <c r="N133" i="2"/>
  <c r="T133" i="2"/>
  <c r="S125" i="2"/>
  <c r="P125" i="2"/>
  <c r="O125" i="2"/>
  <c r="N125" i="2"/>
  <c r="T125" i="2"/>
  <c r="S115" i="2"/>
  <c r="R115" i="2"/>
  <c r="Q115" i="2"/>
  <c r="P115" i="2"/>
  <c r="O115" i="2"/>
  <c r="N115" i="2"/>
  <c r="T115" i="2"/>
  <c r="S97" i="2"/>
  <c r="R97" i="2"/>
  <c r="Q97" i="2"/>
  <c r="P97" i="2"/>
  <c r="O97" i="2"/>
  <c r="N97" i="2"/>
  <c r="T97" i="2"/>
  <c r="S89" i="2"/>
  <c r="R89" i="2"/>
  <c r="Q89" i="2"/>
  <c r="P89" i="2"/>
  <c r="O89" i="2"/>
  <c r="O98" i="2" s="1"/>
  <c r="O100" i="2" s="1"/>
  <c r="N89" i="2"/>
  <c r="N98" i="2" s="1"/>
  <c r="N100" i="2" s="1"/>
  <c r="T89" i="2"/>
  <c r="S80" i="2"/>
  <c r="H11" i="3" s="1"/>
  <c r="R80" i="2"/>
  <c r="G11" i="3" s="1"/>
  <c r="Q80" i="2"/>
  <c r="P80" i="2"/>
  <c r="O80" i="2"/>
  <c r="N80" i="2"/>
  <c r="S71" i="2"/>
  <c r="R71" i="2"/>
  <c r="Q71" i="2"/>
  <c r="P71" i="2"/>
  <c r="O71" i="2"/>
  <c r="N71" i="2"/>
  <c r="T80" i="2"/>
  <c r="T71" i="2"/>
  <c r="F38" i="2"/>
  <c r="F36" i="2"/>
  <c r="F34" i="2"/>
  <c r="F33" i="2"/>
  <c r="F31" i="2"/>
  <c r="F30" i="2"/>
  <c r="F29" i="2"/>
  <c r="F28" i="2"/>
  <c r="F26" i="2"/>
  <c r="F24" i="2"/>
  <c r="F58" i="2" s="1"/>
  <c r="F23" i="2"/>
  <c r="F57" i="2" s="1"/>
  <c r="F22" i="2"/>
  <c r="F25" i="2" s="1"/>
  <c r="F21" i="2"/>
  <c r="F20" i="2"/>
  <c r="F54" i="2" s="1"/>
  <c r="F19" i="2"/>
  <c r="F53" i="2" s="1"/>
  <c r="F18" i="2"/>
  <c r="F52" i="2" s="1"/>
  <c r="F17" i="2"/>
  <c r="F51" i="2" s="1"/>
  <c r="F16" i="2"/>
  <c r="F50" i="2" s="1"/>
  <c r="F15" i="2"/>
  <c r="F49" i="2" s="1"/>
  <c r="F13" i="2"/>
  <c r="F12" i="2"/>
  <c r="F46" i="2" s="1"/>
  <c r="I45" i="2"/>
  <c r="G45" i="2"/>
  <c r="E45" i="2"/>
  <c r="H38" i="2"/>
  <c r="H36" i="2"/>
  <c r="H34" i="2"/>
  <c r="H33" i="2"/>
  <c r="H31" i="2"/>
  <c r="H30" i="2"/>
  <c r="H29" i="2"/>
  <c r="H28" i="2"/>
  <c r="H26" i="2"/>
  <c r="H24" i="2"/>
  <c r="H23" i="2"/>
  <c r="H22" i="2"/>
  <c r="H21" i="2"/>
  <c r="H20" i="2"/>
  <c r="H19" i="2"/>
  <c r="H18" i="2"/>
  <c r="H17" i="2"/>
  <c r="H16" i="2"/>
  <c r="F7" i="6" s="1"/>
  <c r="J22" i="6" s="1"/>
  <c r="H15" i="2"/>
  <c r="F6" i="6" s="1"/>
  <c r="J21" i="6" s="1"/>
  <c r="H13" i="2"/>
  <c r="F4" i="6" s="1"/>
  <c r="J19" i="6" s="1"/>
  <c r="H12" i="2"/>
  <c r="D10" i="2"/>
  <c r="D8" i="2"/>
  <c r="D7" i="2"/>
  <c r="D6" i="2"/>
  <c r="D5" i="2"/>
  <c r="D3" i="2"/>
  <c r="F10" i="2"/>
  <c r="F45" i="2" s="1"/>
  <c r="F8" i="2"/>
  <c r="F7" i="2"/>
  <c r="F6" i="2"/>
  <c r="F5" i="2"/>
  <c r="F3" i="2"/>
  <c r="F9" i="2" s="1"/>
  <c r="H10" i="2"/>
  <c r="H45" i="2" s="1"/>
  <c r="H8" i="2"/>
  <c r="H7" i="2"/>
  <c r="H6" i="2"/>
  <c r="H5" i="2"/>
  <c r="H3" i="2"/>
  <c r="H3" i="1"/>
  <c r="H5" i="1" s="1"/>
  <c r="T58" i="2"/>
  <c r="T57" i="2"/>
  <c r="T56" i="2"/>
  <c r="T55" i="2"/>
  <c r="T54" i="2"/>
  <c r="T53" i="2"/>
  <c r="T52" i="2"/>
  <c r="T51" i="2"/>
  <c r="T50" i="2"/>
  <c r="T49" i="2"/>
  <c r="T47" i="2"/>
  <c r="T46" i="2"/>
  <c r="T45" i="2"/>
  <c r="R58" i="2"/>
  <c r="Q58" i="2"/>
  <c r="P58" i="2"/>
  <c r="O58" i="2"/>
  <c r="R57" i="2"/>
  <c r="Q57" i="2"/>
  <c r="P57" i="2"/>
  <c r="O57" i="2"/>
  <c r="R56" i="2"/>
  <c r="Q56" i="2"/>
  <c r="P56" i="2"/>
  <c r="O56" i="2"/>
  <c r="R55" i="2"/>
  <c r="Q55" i="2"/>
  <c r="P55" i="2"/>
  <c r="R54" i="2"/>
  <c r="Q54" i="2"/>
  <c r="P54" i="2"/>
  <c r="O54" i="2"/>
  <c r="R53" i="2"/>
  <c r="Q53" i="2"/>
  <c r="P53" i="2"/>
  <c r="O53" i="2"/>
  <c r="R52" i="2"/>
  <c r="Q52" i="2"/>
  <c r="P52" i="2"/>
  <c r="O52" i="2"/>
  <c r="R51" i="2"/>
  <c r="Q51" i="2"/>
  <c r="P51" i="2"/>
  <c r="O51" i="2"/>
  <c r="R50" i="2"/>
  <c r="Q50" i="2"/>
  <c r="P50" i="2"/>
  <c r="O50" i="2"/>
  <c r="R49" i="2"/>
  <c r="Q49" i="2"/>
  <c r="P49" i="2"/>
  <c r="O49" i="2"/>
  <c r="R47" i="2"/>
  <c r="Q47" i="2"/>
  <c r="P47" i="2"/>
  <c r="O47" i="2"/>
  <c r="R46" i="2"/>
  <c r="Q46" i="2"/>
  <c r="P46" i="2"/>
  <c r="O46" i="2"/>
  <c r="R45" i="2"/>
  <c r="Q45" i="2"/>
  <c r="P45" i="2"/>
  <c r="O45" i="2"/>
  <c r="S58" i="2"/>
  <c r="S57" i="2"/>
  <c r="S56" i="2"/>
  <c r="S55" i="2"/>
  <c r="S54" i="2"/>
  <c r="S53" i="2"/>
  <c r="S52" i="2"/>
  <c r="S51" i="2"/>
  <c r="S50" i="2"/>
  <c r="S49" i="2"/>
  <c r="S47" i="2"/>
  <c r="S46" i="2"/>
  <c r="S45" i="2"/>
  <c r="N21" i="2"/>
  <c r="O55" i="2" s="1"/>
  <c r="T9" i="2"/>
  <c r="U44" i="2" s="1"/>
  <c r="S9" i="2"/>
  <c r="R9" i="2"/>
  <c r="Q9" i="2"/>
  <c r="P9" i="2"/>
  <c r="O9" i="2"/>
  <c r="N9" i="2"/>
  <c r="T25" i="2"/>
  <c r="S25" i="2"/>
  <c r="R25" i="2"/>
  <c r="Q25" i="2"/>
  <c r="P25" i="2"/>
  <c r="O25" i="2"/>
  <c r="N25" i="2"/>
  <c r="G25" i="2"/>
  <c r="G27" i="2" s="1"/>
  <c r="G32" i="2" s="1"/>
  <c r="J61" i="2"/>
  <c r="J60" i="2"/>
  <c r="I58" i="2"/>
  <c r="I57" i="2"/>
  <c r="I56" i="2"/>
  <c r="I55" i="2"/>
  <c r="I54" i="2"/>
  <c r="I53" i="2"/>
  <c r="I52" i="2"/>
  <c r="I51" i="2"/>
  <c r="I50" i="2"/>
  <c r="I49" i="2"/>
  <c r="I47" i="2"/>
  <c r="I46" i="2"/>
  <c r="E58" i="2"/>
  <c r="E57" i="2"/>
  <c r="E56" i="2"/>
  <c r="E55" i="2"/>
  <c r="E54" i="2"/>
  <c r="E53" i="2"/>
  <c r="E52" i="2"/>
  <c r="E51" i="2"/>
  <c r="E50" i="2"/>
  <c r="E49" i="2"/>
  <c r="E47" i="2"/>
  <c r="E46" i="2"/>
  <c r="G58" i="2"/>
  <c r="G57" i="2"/>
  <c r="G56" i="2"/>
  <c r="G55" i="2"/>
  <c r="G54" i="2"/>
  <c r="G53" i="2"/>
  <c r="G52" i="2"/>
  <c r="G51" i="2"/>
  <c r="G50" i="2"/>
  <c r="G49" i="2"/>
  <c r="G47" i="2"/>
  <c r="G46" i="2"/>
  <c r="G9" i="2"/>
  <c r="J9" i="2"/>
  <c r="I9" i="2"/>
  <c r="I44" i="2" s="1"/>
  <c r="E9" i="2"/>
  <c r="C9" i="2"/>
  <c r="J25" i="2"/>
  <c r="J27" i="2" s="1"/>
  <c r="J32" i="2" s="1"/>
  <c r="J35" i="2" s="1"/>
  <c r="J37" i="2" s="1"/>
  <c r="J39" i="2" s="1"/>
  <c r="J41" i="2" s="1"/>
  <c r="I25" i="2"/>
  <c r="I27" i="2" s="1"/>
  <c r="E25" i="2"/>
  <c r="E27" i="2" s="1"/>
  <c r="E32" i="2" s="1"/>
  <c r="E35" i="2" s="1"/>
  <c r="E37" i="2" s="1"/>
  <c r="D25" i="2"/>
  <c r="D27" i="2" s="1"/>
  <c r="D32" i="2" s="1"/>
  <c r="D35" i="2" s="1"/>
  <c r="D37" i="2" s="1"/>
  <c r="D39" i="2" s="1"/>
  <c r="D41" i="2" s="1"/>
  <c r="C25" i="2"/>
  <c r="C27" i="2" s="1"/>
  <c r="C32" i="2" s="1"/>
  <c r="C35" i="2" s="1"/>
  <c r="C37" i="2" s="1"/>
  <c r="C39" i="2" s="1"/>
  <c r="C41" i="2" s="1"/>
  <c r="J51" i="2" l="1"/>
  <c r="F8" i="6"/>
  <c r="J57" i="2"/>
  <c r="F14" i="6"/>
  <c r="J55" i="2"/>
  <c r="J46" i="2"/>
  <c r="F3" i="6"/>
  <c r="J18" i="6" s="1"/>
  <c r="J54" i="2"/>
  <c r="F11" i="6"/>
  <c r="J52" i="2"/>
  <c r="F9" i="6"/>
  <c r="J53" i="2"/>
  <c r="F10" i="6"/>
  <c r="J56" i="2"/>
  <c r="F13" i="6"/>
  <c r="J58" i="2"/>
  <c r="F15" i="6"/>
  <c r="O59" i="2"/>
  <c r="N81" i="2"/>
  <c r="F56" i="2"/>
  <c r="R81" i="2"/>
  <c r="S44" i="2"/>
  <c r="H46" i="2"/>
  <c r="N27" i="2"/>
  <c r="N32" i="2" s="1"/>
  <c r="C22" i="3"/>
  <c r="G44" i="2"/>
  <c r="I43" i="3"/>
  <c r="I42" i="3"/>
  <c r="I47" i="3" s="1"/>
  <c r="U59" i="2"/>
  <c r="I22" i="3"/>
  <c r="Q81" i="2"/>
  <c r="F11" i="3"/>
  <c r="O44" i="2"/>
  <c r="P27" i="2"/>
  <c r="P60" i="2" s="1"/>
  <c r="E22" i="3"/>
  <c r="Q27" i="2"/>
  <c r="Q32" i="2" s="1"/>
  <c r="F42" i="3"/>
  <c r="F43" i="3"/>
  <c r="F22" i="3"/>
  <c r="Q59" i="2"/>
  <c r="F55" i="2"/>
  <c r="E12" i="6"/>
  <c r="F12" i="6" s="1"/>
  <c r="H47" i="2"/>
  <c r="R27" i="2"/>
  <c r="R60" i="2" s="1"/>
  <c r="G42" i="3"/>
  <c r="G43" i="3"/>
  <c r="G22" i="3"/>
  <c r="S59" i="2"/>
  <c r="H43" i="3"/>
  <c r="H22" i="3"/>
  <c r="H42" i="3"/>
  <c r="H47" i="3" s="1"/>
  <c r="P44" i="2"/>
  <c r="P59" i="2"/>
  <c r="Q44" i="2"/>
  <c r="R59" i="2"/>
  <c r="I32" i="2"/>
  <c r="I61" i="2" s="1"/>
  <c r="T81" i="2"/>
  <c r="I11" i="3"/>
  <c r="E44" i="2"/>
  <c r="O27" i="2"/>
  <c r="O60" i="2" s="1"/>
  <c r="D22" i="3"/>
  <c r="R44" i="2"/>
  <c r="T98" i="2"/>
  <c r="T100" i="2" s="1"/>
  <c r="I44" i="3" s="1"/>
  <c r="I60" i="2"/>
  <c r="P98" i="2"/>
  <c r="P100" i="2" s="1"/>
  <c r="O81" i="2"/>
  <c r="P81" i="2"/>
  <c r="R32" i="2"/>
  <c r="D9" i="2"/>
  <c r="F44" i="2" s="1"/>
  <c r="Q98" i="2"/>
  <c r="Q100" i="2" s="1"/>
  <c r="F44" i="3" s="1"/>
  <c r="S98" i="2"/>
  <c r="S100" i="2" s="1"/>
  <c r="H44" i="3" s="1"/>
  <c r="R98" i="2"/>
  <c r="R100" i="2" s="1"/>
  <c r="G44" i="3" s="1"/>
  <c r="J45" i="2"/>
  <c r="T59" i="2"/>
  <c r="F47" i="2"/>
  <c r="H53" i="2"/>
  <c r="H54" i="2"/>
  <c r="T44" i="2"/>
  <c r="S27" i="2"/>
  <c r="S81" i="2"/>
  <c r="H9" i="2"/>
  <c r="H25" i="2"/>
  <c r="H27" i="2" s="1"/>
  <c r="H32" i="2" s="1"/>
  <c r="H35" i="2" s="1"/>
  <c r="H37" i="2" s="1"/>
  <c r="H39" i="2" s="1"/>
  <c r="H41" i="2" s="1"/>
  <c r="E39" i="2"/>
  <c r="E41" i="2" s="1"/>
  <c r="F27" i="2"/>
  <c r="F32" i="2" s="1"/>
  <c r="F35" i="2" s="1"/>
  <c r="H49" i="2"/>
  <c r="H50" i="2"/>
  <c r="H55" i="2"/>
  <c r="H57" i="2"/>
  <c r="H58" i="2"/>
  <c r="H51" i="2"/>
  <c r="H52" i="2"/>
  <c r="H56" i="2"/>
  <c r="J47" i="2"/>
  <c r="J49" i="2"/>
  <c r="J50" i="2"/>
  <c r="T27" i="2"/>
  <c r="T60" i="2" s="1"/>
  <c r="H8" i="1"/>
  <c r="G35" i="2"/>
  <c r="G61" i="2"/>
  <c r="G59" i="2"/>
  <c r="J62" i="2"/>
  <c r="E59" i="2"/>
  <c r="F59" i="2"/>
  <c r="C60" i="2"/>
  <c r="D60" i="2"/>
  <c r="E62" i="2"/>
  <c r="E60" i="2"/>
  <c r="C61" i="2"/>
  <c r="H59" i="2"/>
  <c r="D61" i="2"/>
  <c r="I59" i="2"/>
  <c r="E61" i="2"/>
  <c r="C62" i="2"/>
  <c r="D62" i="2"/>
  <c r="G60" i="2"/>
  <c r="F16" i="6" l="1"/>
  <c r="J23" i="6" s="1"/>
  <c r="F60" i="2"/>
  <c r="H60" i="2"/>
  <c r="P32" i="2"/>
  <c r="Q35" i="2"/>
  <c r="F24" i="3"/>
  <c r="Q61" i="2"/>
  <c r="O32" i="2"/>
  <c r="I35" i="2"/>
  <c r="N35" i="2"/>
  <c r="C24" i="3"/>
  <c r="G24" i="3"/>
  <c r="G47" i="3"/>
  <c r="Q60" i="2"/>
  <c r="F47" i="3"/>
  <c r="H44" i="2"/>
  <c r="J44" i="2"/>
  <c r="S60" i="2"/>
  <c r="S32" i="2"/>
  <c r="P35" i="2"/>
  <c r="P61" i="2"/>
  <c r="F37" i="2"/>
  <c r="F39" i="2" s="1"/>
  <c r="F41" i="2" s="1"/>
  <c r="O35" i="2"/>
  <c r="O61" i="2"/>
  <c r="R35" i="2"/>
  <c r="R61" i="2"/>
  <c r="J59" i="2"/>
  <c r="F62" i="2"/>
  <c r="F61" i="2"/>
  <c r="H62" i="2"/>
  <c r="H61" i="2"/>
  <c r="T32" i="2"/>
  <c r="G37" i="2"/>
  <c r="G39" i="2" s="1"/>
  <c r="G41" i="2" s="1"/>
  <c r="G62" i="2"/>
  <c r="N37" i="2" l="1"/>
  <c r="N39" i="2" s="1"/>
  <c r="N41" i="2" s="1"/>
  <c r="N102" i="2"/>
  <c r="N118" i="2" s="1"/>
  <c r="N135" i="2" s="1"/>
  <c r="I37" i="2"/>
  <c r="I39" i="2" s="1"/>
  <c r="I41" i="2" s="1"/>
  <c r="I62" i="2"/>
  <c r="H24" i="3"/>
  <c r="I24" i="3"/>
  <c r="D24" i="3"/>
  <c r="Q37" i="2"/>
  <c r="Q39" i="2" s="1"/>
  <c r="Q102" i="2"/>
  <c r="Q118" i="2" s="1"/>
  <c r="Q135" i="2" s="1"/>
  <c r="Q62" i="2"/>
  <c r="F15" i="3" s="1"/>
  <c r="F25" i="3" s="1"/>
  <c r="E24" i="3"/>
  <c r="T61" i="2"/>
  <c r="T35" i="2"/>
  <c r="R37" i="2"/>
  <c r="R39" i="2" s="1"/>
  <c r="R102" i="2"/>
  <c r="R118" i="2" s="1"/>
  <c r="R135" i="2" s="1"/>
  <c r="R62" i="2"/>
  <c r="G15" i="3" s="1"/>
  <c r="O37" i="2"/>
  <c r="O39" i="2" s="1"/>
  <c r="O41" i="2" s="1"/>
  <c r="O102" i="2"/>
  <c r="O118" i="2" s="1"/>
  <c r="O135" i="2" s="1"/>
  <c r="O62" i="2"/>
  <c r="D15" i="3" s="1"/>
  <c r="P37" i="2"/>
  <c r="P39" i="2" s="1"/>
  <c r="P102" i="2"/>
  <c r="P118" i="2" s="1"/>
  <c r="P135" i="2" s="1"/>
  <c r="P62" i="2"/>
  <c r="E15" i="3" s="1"/>
  <c r="S35" i="2"/>
  <c r="S61" i="2"/>
  <c r="G25" i="3" l="1"/>
  <c r="G17" i="3"/>
  <c r="G18" i="3"/>
  <c r="P41" i="2"/>
  <c r="E23" i="3"/>
  <c r="R41" i="2"/>
  <c r="G23" i="3"/>
  <c r="Q41" i="2"/>
  <c r="F23" i="3"/>
  <c r="S37" i="2"/>
  <c r="S39" i="2" s="1"/>
  <c r="S102" i="2"/>
  <c r="S118" i="2" s="1"/>
  <c r="S135" i="2" s="1"/>
  <c r="S136" i="2" s="1"/>
  <c r="R137" i="2" s="1"/>
  <c r="R136" i="2" s="1"/>
  <c r="Q137" i="2" s="1"/>
  <c r="Q136" i="2" s="1"/>
  <c r="S62" i="2"/>
  <c r="H15" i="3" s="1"/>
  <c r="T37" i="2"/>
  <c r="T39" i="2" s="1"/>
  <c r="T62" i="2"/>
  <c r="I15" i="3" s="1"/>
  <c r="T102" i="2"/>
  <c r="T118" i="2" s="1"/>
  <c r="T135" i="2" s="1"/>
  <c r="T137" i="2" s="1"/>
  <c r="U136" i="2" s="1"/>
  <c r="U137" i="2" s="1"/>
  <c r="I25" i="3" l="1"/>
  <c r="I17" i="3"/>
  <c r="I18" i="3"/>
  <c r="T41" i="2"/>
  <c r="I23" i="3"/>
  <c r="S41" i="2"/>
  <c r="H23" i="3"/>
  <c r="H25" i="3"/>
  <c r="H17" i="3"/>
  <c r="H18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tc={CA5F36ED-4096-4A2D-9ED5-2E7D640A07B1}</author>
    <author>tc={C9B0904E-C219-425D-B01C-3ED30DACFA2D}</author>
    <author>tc={66A965BD-CB5C-4179-91D5-12FF8A001EA9}</author>
  </authors>
  <commentList>
    <comment ref="U31" authorId="0" shapeId="0" xr:uid="{CA5F36ED-4096-4A2D-9ED5-2E7D640A07B1}">
      <text>
        <t>[Threaded comment]
Your version of Excel allows you to read this threaded comment; however, any edits to it will get removed if the file is opened in a newer version of Excel. Learn more: https://go.microsoft.com/fwlink/?linkid=870924
Comment:
    24,606 Non-recurring expenses</t>
      </text>
    </comment>
    <comment ref="U73" authorId="1" shapeId="0" xr:uid="{C9B0904E-C219-425D-B01C-3ED30DACFA2D}">
      <text>
        <t>[Threaded comment]
Your version of Excel allows you to read this threaded comment; however, any edits to it will get removed if the file is opened in a newer version of Excel. Learn more: https://go.microsoft.com/fwlink/?linkid=870924
Comment:
    Increase in Goodwill Versace Acquisition</t>
      </text>
    </comment>
    <comment ref="U123" authorId="2" shapeId="0" xr:uid="{66A965BD-CB5C-4179-91D5-12FF8A001EA9}">
      <text>
        <t>[Threaded comment]
Your version of Excel allows you to read this threaded comment; however, any edits to it will get removed if the file is opened in a newer version of Excel. Learn more: https://go.microsoft.com/fwlink/?linkid=870924
Comment:
    Versace Acquisition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<sst xmlns="http://schemas.openxmlformats.org/spreadsheetml/2006/main" count="512" uniqueCount="394">
  <si>
    <t xml:space="preserve">Prada </t>
  </si>
  <si>
    <t>Shares</t>
  </si>
  <si>
    <t>MC</t>
  </si>
  <si>
    <t xml:space="preserve">Cash </t>
  </si>
  <si>
    <t>Debt</t>
  </si>
  <si>
    <t>EV</t>
  </si>
  <si>
    <t>Main</t>
  </si>
  <si>
    <t>Busines Model</t>
  </si>
  <si>
    <t>Brands</t>
  </si>
  <si>
    <t>Products</t>
  </si>
  <si>
    <t>Costumers</t>
  </si>
  <si>
    <t>Prada</t>
  </si>
  <si>
    <t>Chruchs</t>
  </si>
  <si>
    <t>Car Shoe</t>
  </si>
  <si>
    <t>Marchesi 1824</t>
  </si>
  <si>
    <t>FY18</t>
  </si>
  <si>
    <t>FY19</t>
  </si>
  <si>
    <t>FY20</t>
  </si>
  <si>
    <t>FY21</t>
  </si>
  <si>
    <t>FY22</t>
  </si>
  <si>
    <t>FY23</t>
  </si>
  <si>
    <t>FY24</t>
  </si>
  <si>
    <t>Revenue</t>
  </si>
  <si>
    <t>COGS</t>
  </si>
  <si>
    <t>Gross Profit</t>
  </si>
  <si>
    <t xml:space="preserve">Interest Income </t>
  </si>
  <si>
    <t>Other Income</t>
  </si>
  <si>
    <t>Pretax Income</t>
  </si>
  <si>
    <t>Income Tax Expense</t>
  </si>
  <si>
    <t>Net Income</t>
  </si>
  <si>
    <t>Minorities</t>
  </si>
  <si>
    <t>Net Income to Group</t>
  </si>
  <si>
    <t>EPS</t>
  </si>
  <si>
    <t>numbers in mio EUR</t>
  </si>
  <si>
    <t>1913.HK</t>
  </si>
  <si>
    <t>IR</t>
  </si>
  <si>
    <t>H122</t>
  </si>
  <si>
    <t>H222</t>
  </si>
  <si>
    <t>H123</t>
  </si>
  <si>
    <t>H223</t>
  </si>
  <si>
    <t>H124</t>
  </si>
  <si>
    <t>H224</t>
  </si>
  <si>
    <t>H125</t>
  </si>
  <si>
    <t>H225</t>
  </si>
  <si>
    <t>Retail Revenue</t>
  </si>
  <si>
    <t>Wholesale Revenue</t>
  </si>
  <si>
    <t>Royalties Revenue</t>
  </si>
  <si>
    <t>Operating Income</t>
  </si>
  <si>
    <t>Selling</t>
  </si>
  <si>
    <t>Marketing</t>
  </si>
  <si>
    <t>Product Development</t>
  </si>
  <si>
    <t>G&amp;A</t>
  </si>
  <si>
    <t>Miu Miu</t>
  </si>
  <si>
    <t>Church's</t>
  </si>
  <si>
    <t>Other</t>
  </si>
  <si>
    <t>Prada Stores</t>
  </si>
  <si>
    <t>Miu Miu Stores</t>
  </si>
  <si>
    <t>Church's Stores</t>
  </si>
  <si>
    <t>Car Shoe Stores</t>
  </si>
  <si>
    <t>Marchesi 1824 Stores</t>
  </si>
  <si>
    <t>Total Stores</t>
  </si>
  <si>
    <t>Franchises</t>
  </si>
  <si>
    <t>Asia Pacific</t>
  </si>
  <si>
    <t>Europe</t>
  </si>
  <si>
    <t>America</t>
  </si>
  <si>
    <t>Japan</t>
  </si>
  <si>
    <t>Middle East</t>
  </si>
  <si>
    <t>Store Growth</t>
  </si>
  <si>
    <t>Franchise Growth</t>
  </si>
  <si>
    <t>Revenue Growth</t>
  </si>
  <si>
    <t>Retail Growth</t>
  </si>
  <si>
    <t>Wholesale Growth</t>
  </si>
  <si>
    <t>Royalties Growth</t>
  </si>
  <si>
    <t>Middle East Growth</t>
  </si>
  <si>
    <t>Asia Pacific Growth</t>
  </si>
  <si>
    <t>Europe Grwoth</t>
  </si>
  <si>
    <t>America Growth</t>
  </si>
  <si>
    <t>Japan Growth</t>
  </si>
  <si>
    <t>Prada Growth</t>
  </si>
  <si>
    <t>Miu Miu Growth</t>
  </si>
  <si>
    <t>Church's Growth</t>
  </si>
  <si>
    <t>Other Growth</t>
  </si>
  <si>
    <t>Gross Margin</t>
  </si>
  <si>
    <t xml:space="preserve">Operating Margin </t>
  </si>
  <si>
    <t>Tax Rate</t>
  </si>
  <si>
    <t>Notes</t>
  </si>
  <si>
    <t>Close to a deal with Capri to acquire Versace for 1.6 Billion USD</t>
  </si>
  <si>
    <t>Emplyoe Count: 14.876</t>
  </si>
  <si>
    <t>Factories: 26 (23 in italy)</t>
  </si>
  <si>
    <t>Founded 1913 by Mario Prada</t>
  </si>
  <si>
    <t>History</t>
  </si>
  <si>
    <t>1913 founded by Mario Prada -&gt; store selling leather goodsin Milans Galleria Vitoorie Emanuele II.</t>
  </si>
  <si>
    <t>1919 Prada obtained title of Official supplier to the Italian Royal Family</t>
  </si>
  <si>
    <t>1975 Mario Prada's granddaughter Miuccia Prada began collobaration with the entrepreneur Patrizio Bertelli</t>
  </si>
  <si>
    <t>1977 Bertelli founded IPI S.p.A. -&gt;distributed Prada leather goods</t>
  </si>
  <si>
    <t xml:space="preserve">1979 First women's footwear collection </t>
  </si>
  <si>
    <t>1983 Second Store in Milan -&gt; showcasing a special shade of light green "Prada Green"</t>
  </si>
  <si>
    <t>1988 Prada's fist woman clothing collection in Milan</t>
  </si>
  <si>
    <t>1993 debut in menswear and established a new women's brand Miu Miu</t>
  </si>
  <si>
    <t>1999 Prada group acquired the class English footwear brand Church's</t>
  </si>
  <si>
    <t>2003 licensing agreement with Luxottica to produce Prada and Miu Miu eyewear</t>
  </si>
  <si>
    <t>2007 launch of the Prada phone by LG</t>
  </si>
  <si>
    <t>2011 Prada S.p.A. was listed on the Hong Kong Stock Exchange</t>
  </si>
  <si>
    <t>2015 first Miu Miu fregrance in partnerhsip with Coty</t>
  </si>
  <si>
    <t>2020 Raf Simons joined Miuccia Prada as co-creative director</t>
  </si>
  <si>
    <t>2023 entrance in cosmetic industy in collaboration with L´Oréal</t>
  </si>
  <si>
    <t>1997 foundation of Prada sailing team and ist Linea Rossa activewear collection</t>
  </si>
  <si>
    <t>Luna Rossa</t>
  </si>
  <si>
    <t xml:space="preserve">woman </t>
  </si>
  <si>
    <t>men &amp; woman</t>
  </si>
  <si>
    <t>shpes</t>
  </si>
  <si>
    <t>loafers and other shoes</t>
  </si>
  <si>
    <t>Italian sailing team</t>
  </si>
  <si>
    <t>patisserie</t>
  </si>
  <si>
    <t>Creative Director Miuccia Prada &amp; Co Crative Director. Raf Simon</t>
  </si>
  <si>
    <t>CEO: Andrea Guerra</t>
  </si>
  <si>
    <t>leather products, clothing, shoes</t>
  </si>
  <si>
    <t>clothing</t>
  </si>
  <si>
    <t>Q424</t>
  </si>
  <si>
    <t>Price EUR</t>
  </si>
  <si>
    <t>Price HKD</t>
  </si>
  <si>
    <t>HKD/EUR</t>
  </si>
  <si>
    <t>CFO: Andrea Bonini</t>
  </si>
  <si>
    <t>Cash</t>
  </si>
  <si>
    <t>Trade Receivables</t>
  </si>
  <si>
    <t>Inventories</t>
  </si>
  <si>
    <t>Financial instruments</t>
  </si>
  <si>
    <t>Receivables from subsidaries</t>
  </si>
  <si>
    <t>Other Current Assets</t>
  </si>
  <si>
    <t>Total Current Assets</t>
  </si>
  <si>
    <t>PP&amp;E</t>
  </si>
  <si>
    <t>Inangibles</t>
  </si>
  <si>
    <t>Leases</t>
  </si>
  <si>
    <t>Equity Investments</t>
  </si>
  <si>
    <t>Deferred Tax Assets</t>
  </si>
  <si>
    <t>Total Non-current Assets</t>
  </si>
  <si>
    <t>Total Assets</t>
  </si>
  <si>
    <t>Other Non-current Assets</t>
  </si>
  <si>
    <t>Lease Liabilites</t>
  </si>
  <si>
    <t>Financial Payables/Overdrafts</t>
  </si>
  <si>
    <t>Payables to subsidaries</t>
  </si>
  <si>
    <t>Trade Paybles</t>
  </si>
  <si>
    <t>Tax Payables</t>
  </si>
  <si>
    <t>Other Current Liabilties</t>
  </si>
  <si>
    <t>Total Current Liabilies</t>
  </si>
  <si>
    <t>Financial Payables</t>
  </si>
  <si>
    <t>Employee Benefits</t>
  </si>
  <si>
    <t>Provisions</t>
  </si>
  <si>
    <t>Deffered Tax Liabilties</t>
  </si>
  <si>
    <t>Other Non-current Liabilties</t>
  </si>
  <si>
    <t>Total Non-current Liabilties</t>
  </si>
  <si>
    <t>Total Liabilties</t>
  </si>
  <si>
    <t>Equity</t>
  </si>
  <si>
    <t>Total Equity &amp; Liabilties</t>
  </si>
  <si>
    <t>Depreciation of Leases</t>
  </si>
  <si>
    <t>D&amp;A of PP&amp;E &amp; Intangibles</t>
  </si>
  <si>
    <t>Impairment of Assets</t>
  </si>
  <si>
    <t>Impairment of Leases</t>
  </si>
  <si>
    <t>Non-cash financial expenses</t>
  </si>
  <si>
    <t>Interest on Leases</t>
  </si>
  <si>
    <t>Other non-cash expenses</t>
  </si>
  <si>
    <t>Change in other nc- A/L</t>
  </si>
  <si>
    <t>Change in Trade Receivables</t>
  </si>
  <si>
    <t>Change in Inventories</t>
  </si>
  <si>
    <t>Change in Trade Payables</t>
  </si>
  <si>
    <t>Change in other c - A/L</t>
  </si>
  <si>
    <t>Change in WC</t>
  </si>
  <si>
    <t>Interest paid</t>
  </si>
  <si>
    <t>Tax Epense</t>
  </si>
  <si>
    <t>CFFO</t>
  </si>
  <si>
    <t>CFFI</t>
  </si>
  <si>
    <t>CapEx</t>
  </si>
  <si>
    <t>Sale of Assets</t>
  </si>
  <si>
    <t>Sale of Equity Investments</t>
  </si>
  <si>
    <t>Pruchase of Equity Investments</t>
  </si>
  <si>
    <t>Dividends Equity Investments</t>
  </si>
  <si>
    <t>Pruchase of minority share</t>
  </si>
  <si>
    <t>Dividends to Shareholder</t>
  </si>
  <si>
    <t>Dividends to minority Interest</t>
  </si>
  <si>
    <t>Repayment of Borrowings</t>
  </si>
  <si>
    <t>Iussance of Borrowings</t>
  </si>
  <si>
    <t>Change in current borrowings</t>
  </si>
  <si>
    <t>CFFF</t>
  </si>
  <si>
    <t>FX effexts</t>
  </si>
  <si>
    <t>Change in Cash</t>
  </si>
  <si>
    <t>Cash BOP</t>
  </si>
  <si>
    <t>Cash EOP</t>
  </si>
  <si>
    <t>Repayment of Leases</t>
  </si>
  <si>
    <t>Ratios</t>
  </si>
  <si>
    <t>Shares o/s</t>
  </si>
  <si>
    <t>Market Cap</t>
  </si>
  <si>
    <t>Net Debt</t>
  </si>
  <si>
    <t>x</t>
  </si>
  <si>
    <t>Value Driver</t>
  </si>
  <si>
    <t>Capital Emloyed</t>
  </si>
  <si>
    <t>=Long Term Assets + Working Capital (Exclusive of cash)-Accounts Payables</t>
  </si>
  <si>
    <t>Invested Capital</t>
  </si>
  <si>
    <t>=Net Working Capital + PP&amp;E + Other Net Operating Assets (net of Liabilties) + (Intangibles)</t>
  </si>
  <si>
    <t>Invested Capital (exl. Intangibles)</t>
  </si>
  <si>
    <t>Total Funds Invested</t>
  </si>
  <si>
    <t>Invested Capital + Non-Operating Assets</t>
  </si>
  <si>
    <t>NOPAT</t>
  </si>
  <si>
    <t>EBITA * (1-Marginal Tax Rate)</t>
  </si>
  <si>
    <t>Net Investment</t>
  </si>
  <si>
    <t>=Invested Capital (t+1)-Invested Capital (t)</t>
  </si>
  <si>
    <t>FCF</t>
  </si>
  <si>
    <t>=NOPAT + non-cash Expenses - Investments in Invested Capital</t>
  </si>
  <si>
    <t>Investment Rate</t>
  </si>
  <si>
    <t>=Net Investment/NOPAT</t>
  </si>
  <si>
    <t>Economic Profit</t>
  </si>
  <si>
    <t>=Invested Capital *(ROIC-WACC)</t>
  </si>
  <si>
    <t>Efficency-Ratios</t>
  </si>
  <si>
    <t>Capital Turnover</t>
  </si>
  <si>
    <t>Return on Equity (ROE)</t>
  </si>
  <si>
    <t>=Net Income/Book Value of Equity</t>
  </si>
  <si>
    <t>Return on Capital Employed (ROCE)</t>
  </si>
  <si>
    <t>=EBIT/Capital Employed</t>
  </si>
  <si>
    <t>Return on Capital Invested (ROIC)</t>
  </si>
  <si>
    <t>=NOPAT/Invested Capital</t>
  </si>
  <si>
    <t>ROIC without Intangibles</t>
  </si>
  <si>
    <t>=NOPAT/(Invested Capital exclusive of Intangibles)</t>
  </si>
  <si>
    <t>Decomposed ROIC</t>
  </si>
  <si>
    <t>= ROIC = (1-operating cash tax)* (EBITA/Revenues) * (Revenue/Invested Capital)</t>
  </si>
  <si>
    <t>Retention Rate</t>
  </si>
  <si>
    <t>=1 - Dividends/Net Income</t>
  </si>
  <si>
    <t>Reinvestment Rate</t>
  </si>
  <si>
    <t>=Net CapEx + Change in WC / EBIT * (1-t)</t>
  </si>
  <si>
    <t>Epected Growth in Net Income</t>
  </si>
  <si>
    <t>=ROE * Retention Rate</t>
  </si>
  <si>
    <t>Expected Growth in NOPAT</t>
  </si>
  <si>
    <t>=ROIC * Reinvestment Rate</t>
  </si>
  <si>
    <t>Finacial Stability Ratios</t>
  </si>
  <si>
    <t>Equity/Debt Ratio</t>
  </si>
  <si>
    <t>=Book Value of Equtiy/Book Value of Debt</t>
  </si>
  <si>
    <t>Gearing</t>
  </si>
  <si>
    <t>=(Debt - Cash (Net Debt))/Book Value of Equity</t>
  </si>
  <si>
    <t>Interest Coverage Ratio</t>
  </si>
  <si>
    <t>=EBIT/Interest Expenses</t>
  </si>
  <si>
    <t>Net Debt / EBITDA</t>
  </si>
  <si>
    <t>=Net Debt/EBITDA</t>
  </si>
  <si>
    <t>Cash Burn Rate</t>
  </si>
  <si>
    <t>=Book Value of Equity/Absolute value of Loss</t>
  </si>
  <si>
    <t>WC-Managment Ratios</t>
  </si>
  <si>
    <t>Debitor-Duration</t>
  </si>
  <si>
    <t>=Accounts Receivables/Revenue*360</t>
  </si>
  <si>
    <t>Creditor-Duration</t>
  </si>
  <si>
    <t>=Accounts Payable/Revenue*360</t>
  </si>
  <si>
    <t>Inventory Intensity</t>
  </si>
  <si>
    <t>=Inventory/Balance Sheet Total</t>
  </si>
  <si>
    <t>Invetory Turnover</t>
  </si>
  <si>
    <t>=Cogs/Inventory</t>
  </si>
  <si>
    <t>Storage-Duration</t>
  </si>
  <si>
    <t>=360/Inventory Turnover</t>
  </si>
  <si>
    <t>Cash Conversion Cycle</t>
  </si>
  <si>
    <t>=Debitor Duration + Storage Duration - Creditor Duration</t>
  </si>
  <si>
    <t>Multipliers</t>
  </si>
  <si>
    <t>Equitymultiples</t>
  </si>
  <si>
    <t>P/E Ratio</t>
  </si>
  <si>
    <t>=Share Price/EPS</t>
  </si>
  <si>
    <t>PEG Ratio</t>
  </si>
  <si>
    <t>=P/E Ratio / Growth</t>
  </si>
  <si>
    <t>P/B Ratio</t>
  </si>
  <si>
    <t>=Market Cap/Book Vakue of Equity</t>
  </si>
  <si>
    <t>P/TB Ratio</t>
  </si>
  <si>
    <t>=Market Cap / Tangible Book Value</t>
  </si>
  <si>
    <t>P/Cf Ratio</t>
  </si>
  <si>
    <t>=Share Price/Cashflow per share</t>
  </si>
  <si>
    <t>P/R Ratio</t>
  </si>
  <si>
    <t>=Share Price/Revenue per Share</t>
  </si>
  <si>
    <t>Entitymultiples</t>
  </si>
  <si>
    <t>EV/EBITDA</t>
  </si>
  <si>
    <t>=EV/EBITDA</t>
  </si>
  <si>
    <t>EV/EBIT</t>
  </si>
  <si>
    <t>=EV/EBIT</t>
  </si>
  <si>
    <t>EV/FCF</t>
  </si>
  <si>
    <t>=EV/FCF</t>
  </si>
  <si>
    <t>EV/Sales</t>
  </si>
  <si>
    <t>=EV/Revenue</t>
  </si>
  <si>
    <t>Cost of Capital</t>
  </si>
  <si>
    <t>Cost of Equity (CAPM)</t>
  </si>
  <si>
    <t>Riskfree Rate</t>
  </si>
  <si>
    <t>Expected Inflation</t>
  </si>
  <si>
    <t>=(1+Nominal Rate)/(1+Real Rate)-1</t>
  </si>
  <si>
    <t>Average Real Interest Rate</t>
  </si>
  <si>
    <t>= Average Interest Rate of the Past</t>
  </si>
  <si>
    <t>=Goverment Bond or Expected Inflation + Average Real Interest Rate</t>
  </si>
  <si>
    <t>Adjustments for Industry/Company Risk</t>
  </si>
  <si>
    <t xml:space="preserve">Raw Beta </t>
  </si>
  <si>
    <t>=Raw beta slope of regression line aginst total market -&gt; Ri= alpha + beta*Rm + standard error</t>
  </si>
  <si>
    <t>Debt to Value Ratio</t>
  </si>
  <si>
    <t>Value of Debt/Enterpries Value</t>
  </si>
  <si>
    <t>Unlevered Beta</t>
  </si>
  <si>
    <t>= Raw Beta* Debt-to-Equity Ratio (Book Value)</t>
  </si>
  <si>
    <t>Unlevered Industry Beta</t>
  </si>
  <si>
    <t>=Median of Peer Group</t>
  </si>
  <si>
    <t>Levered Industry Beta</t>
  </si>
  <si>
    <t>=Unlevered Industry Beta * Market Value of Debt to Market Value of Equity</t>
  </si>
  <si>
    <t>Expected Equity Risk Premium</t>
  </si>
  <si>
    <t>Estimated Future Market Return</t>
  </si>
  <si>
    <t>= 1/P/E * (1.g/ROE) + g , g = real growth in GDP, P/E =&gt; P/E ratio for S&amp;P500 or MSCI World Index, ROE = Average ROE in S&amp;P500 or MSCI World</t>
  </si>
  <si>
    <t>=&gt; ER(i)=rf+beta(i)*(Er(m)-rf)</t>
  </si>
  <si>
    <t>Cost of Debt</t>
  </si>
  <si>
    <t>Yield to Maturity on Trading Bonds</t>
  </si>
  <si>
    <t>=&gt; Price = Coupon/(1+YTM)+Coupon(1+YTM)^2 + … + (Face Value + Coupon)/(1+YTM)^n =&gt; solve for YTM</t>
  </si>
  <si>
    <t>or</t>
  </si>
  <si>
    <t>Credit Default Spread</t>
  </si>
  <si>
    <t>Country Rsik Premium</t>
  </si>
  <si>
    <t>Capital Structure</t>
  </si>
  <si>
    <t>Market Value of Debt</t>
  </si>
  <si>
    <t xml:space="preserve">Market Value of Equity </t>
  </si>
  <si>
    <t>Total  Enterprise Value</t>
  </si>
  <si>
    <t>Marginal Tax Rate</t>
  </si>
  <si>
    <t>WACC</t>
  </si>
  <si>
    <t>=&gt; WACC = (D/D+E)*kd * (1-t) + (E/D+E) * ke</t>
  </si>
  <si>
    <t>Change</t>
  </si>
  <si>
    <t>DCF</t>
  </si>
  <si>
    <t>Ticker</t>
  </si>
  <si>
    <t>Share Price</t>
  </si>
  <si>
    <t>Date</t>
  </si>
  <si>
    <t>Fair Share Price</t>
  </si>
  <si>
    <t>Scneario DCF Price</t>
  </si>
  <si>
    <t>End of FY</t>
  </si>
  <si>
    <t>Implied Upside</t>
  </si>
  <si>
    <t>Assumptions</t>
  </si>
  <si>
    <t>Switches</t>
  </si>
  <si>
    <t>Conservative Case</t>
  </si>
  <si>
    <t>Base Case</t>
  </si>
  <si>
    <t>Optimistic Case</t>
  </si>
  <si>
    <t>Assuptions</t>
  </si>
  <si>
    <t>Year</t>
  </si>
  <si>
    <t>Metic</t>
  </si>
  <si>
    <t xml:space="preserve">Revenue </t>
  </si>
  <si>
    <t>EBIT</t>
  </si>
  <si>
    <t>Implied Share Price</t>
  </si>
  <si>
    <t>TGR</t>
  </si>
  <si>
    <t>Probability</t>
  </si>
  <si>
    <t>ROIC</t>
  </si>
  <si>
    <t>Implied Share Price * p</t>
  </si>
  <si>
    <t>Valuation</t>
  </si>
  <si>
    <t>RONIC</t>
  </si>
  <si>
    <t>Model</t>
  </si>
  <si>
    <t>Growth (%)</t>
  </si>
  <si>
    <t xml:space="preserve">Base Case </t>
  </si>
  <si>
    <t>Optimisitic Case</t>
  </si>
  <si>
    <t>% of Sales</t>
  </si>
  <si>
    <t>Taxes</t>
  </si>
  <si>
    <t>Tax Rate (%)</t>
  </si>
  <si>
    <t>Nopat</t>
  </si>
  <si>
    <t>D&amp;A and other non-cash Expenses</t>
  </si>
  <si>
    <t>Unlevered Free Cashflow</t>
  </si>
  <si>
    <t>Present Value of unlevered FC</t>
  </si>
  <si>
    <t>Discount Period</t>
  </si>
  <si>
    <t>Sum of Present Value</t>
  </si>
  <si>
    <t>Terminal Value</t>
  </si>
  <si>
    <t>=&gt; CV(t) = NOPAT(t+1)*(1-g/RONIC)/(WACC - g) =&gt; equal pertuity formula: CV = FCF*(1+g) /(WACC-g)</t>
  </si>
  <si>
    <t>Present Value of TV</t>
  </si>
  <si>
    <t>Enterprise Value</t>
  </si>
  <si>
    <t>(+) Cash and other non-operating assets</t>
  </si>
  <si>
    <t>(-) Debt and other non-equity claims</t>
  </si>
  <si>
    <t>Equity Value</t>
  </si>
  <si>
    <t xml:space="preserve">Number of Shares </t>
  </si>
  <si>
    <t>Sensitivity Analysis</t>
  </si>
  <si>
    <t>ROINC</t>
  </si>
  <si>
    <t>Revenue / Equity</t>
  </si>
  <si>
    <t>10-04-25: Acquistion of Versace for 1.25 Billion EUR</t>
  </si>
  <si>
    <t>Q125</t>
  </si>
  <si>
    <t>Q124</t>
  </si>
  <si>
    <t>Q224</t>
  </si>
  <si>
    <t>Q324</t>
  </si>
  <si>
    <t>Q225</t>
  </si>
  <si>
    <t>Q325</t>
  </si>
  <si>
    <t>Q425</t>
  </si>
  <si>
    <t>Retail Sales</t>
  </si>
  <si>
    <t>Wholesale Sales</t>
  </si>
  <si>
    <t>Royalties</t>
  </si>
  <si>
    <t>APAC Retail</t>
  </si>
  <si>
    <t>Europe Retail</t>
  </si>
  <si>
    <t>Americas Retail</t>
  </si>
  <si>
    <t>Japan Retail</t>
  </si>
  <si>
    <t>Middle East Retail</t>
  </si>
  <si>
    <t>MiuMiu</t>
  </si>
  <si>
    <t>Chuchs</t>
  </si>
  <si>
    <t>FY25</t>
  </si>
  <si>
    <t>Versace</t>
  </si>
  <si>
    <t>n.a.</t>
  </si>
  <si>
    <t>Q126</t>
  </si>
  <si>
    <t>Q226</t>
  </si>
  <si>
    <t>Q326</t>
  </si>
  <si>
    <t>Q426</t>
  </si>
  <si>
    <t>MiuMiu Growth</t>
  </si>
  <si>
    <t>Versace Growth</t>
  </si>
  <si>
    <t>Chuchs Growth</t>
  </si>
  <si>
    <t>H126</t>
  </si>
  <si>
    <t>H226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</si>
</sst>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#,##0.0;\(#,##0.0\)"/>
    <numFmt numFmtId="165" formatCode="#,##0;\(#,##0\)"/>
    <numFmt numFmtId="166" formatCode="#,##0.00;\(#,##0.00\)"/>
    <numFmt numFmtId="167" formatCode="0.0%"/>
    <numFmt numFmtId="168" formatCode="#,##0.0"/>
    <numFmt numFmtId="169" formatCode="\F\Y#,##0"/>
    <numFmt numFmtId="170" formatCode="#,##0.0;[Red]#,##0.0"/>
    <numFmt numFmtId="171" formatCode="&quot;FY&quot;0&quot;A&quot;"/>
    <numFmt numFmtId="172" formatCode="0.0"/>
  </numFmts>
  <fonts count="20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u/>
      <sz val="11"/>
      <color theme="1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0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sz val="10"/>
      <color theme="1"/>
      <name val="Aptos Narrow"/>
      <family val="2"/>
      <scheme val="minor"/>
    </font>
    <font>
      <u/>
      <sz val="10"/>
      <color theme="1"/>
      <name val="Arial"/>
      <family val="2"/>
    </font>
    <font>
      <u/>
      <sz val="10"/>
      <color theme="10"/>
      <name val="Arial"/>
      <family val="2"/>
    </font>
    <font>
      <b/>
      <u/>
      <sz val="10"/>
      <color theme="1"/>
      <name val="Arial"/>
      <family val="2"/>
    </font>
    <font>
      <b/>
      <u/>
      <sz val="10"/>
      <name val="Arial"/>
      <family val="2"/>
    </font>
    <font>
      <sz val="10"/>
      <name val="Arial"/>
      <family val="2"/>
    </font>
    <font>
      <i/>
      <sz val="10"/>
      <color theme="1"/>
      <name val="Arial"/>
      <family val="2"/>
    </font>
    <font>
      <sz val="10"/>
      <color theme="0" tint="-0.1499984740745262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  <fill>
      <patternFill patternType="solid">
        <fgColor rgb="FFF1E9D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7" fillId="0" borderId="0" applyNumberFormat="0" applyFill="0" applyBorder="0" applyAlignment="0" applyProtection="0"/>
    <xf numFmtId="9" fontId="8" fillId="0" borderId="0" applyFont="0" applyFill="0" applyBorder="0" applyAlignment="0" applyProtection="0"/>
  </cellStyleXfs>
  <cellXfs count="103">
    <xf numFmtId="0" fontId="0" fillId="0" borderId="0" xfId="0"/>
    <xf numFmtId="0" fontId="10" fillId="0" borderId="0" xfId="0" applyFont="1"/>
    <xf numFmtId="0" fontId="6" fillId="0" borderId="0" xfId="0" applyFont="1"/>
    <xf numFmtId="0" fontId="12" fillId="0" borderId="0" xfId="0" applyFont="1"/>
    <xf numFmtId="165" fontId="6" fillId="0" borderId="0" xfId="0" applyNumberFormat="1" applyFont="1"/>
    <xf numFmtId="0" fontId="6" fillId="0" borderId="0" xfId="0" applyFont="1" applyAlignment="1">
      <alignment horizontal="right"/>
    </xf>
    <xf numFmtId="0" fontId="13" fillId="0" borderId="0" xfId="0" applyFont="1"/>
    <xf numFmtId="0" fontId="14" fillId="0" borderId="0" xfId="1" applyFont="1"/>
    <xf numFmtId="164" fontId="6" fillId="0" borderId="0" xfId="0" applyNumberFormat="1" applyFont="1"/>
    <xf numFmtId="0" fontId="15" fillId="0" borderId="0" xfId="0" applyFont="1"/>
    <xf numFmtId="0" fontId="10" fillId="0" borderId="1" xfId="0" applyFont="1" applyBorder="1"/>
    <xf numFmtId="0" fontId="10" fillId="0" borderId="2" xfId="0" applyFont="1" applyBorder="1"/>
    <xf numFmtId="0" fontId="10" fillId="0" borderId="3" xfId="0" applyFont="1" applyBorder="1"/>
    <xf numFmtId="0" fontId="6" fillId="0" borderId="4" xfId="0" applyFont="1" applyBorder="1"/>
    <xf numFmtId="0" fontId="6" fillId="0" borderId="5" xfId="0" applyFont="1" applyBorder="1"/>
    <xf numFmtId="0" fontId="6" fillId="0" borderId="6" xfId="0" applyFont="1" applyBorder="1"/>
    <xf numFmtId="0" fontId="6" fillId="0" borderId="7" xfId="0" applyFont="1" applyBorder="1"/>
    <xf numFmtId="0" fontId="6" fillId="0" borderId="8" xfId="0" applyFont="1" applyBorder="1"/>
    <xf numFmtId="0" fontId="6" fillId="0" borderId="9" xfId="0" applyFont="1" applyBorder="1"/>
    <xf numFmtId="0" fontId="6" fillId="0" borderId="10" xfId="0" applyFont="1" applyBorder="1"/>
    <xf numFmtId="0" fontId="6" fillId="0" borderId="11" xfId="0" applyFont="1" applyBorder="1"/>
    <xf numFmtId="165" fontId="12" fillId="0" borderId="0" xfId="0" applyNumberFormat="1" applyFont="1"/>
    <xf numFmtId="165" fontId="10" fillId="0" borderId="0" xfId="0" applyNumberFormat="1" applyFont="1"/>
    <xf numFmtId="164" fontId="12" fillId="0" borderId="0" xfId="0" applyNumberFormat="1" applyFont="1"/>
    <xf numFmtId="165" fontId="6" fillId="0" borderId="0" xfId="0" applyNumberFormat="1" applyFont="1" applyAlignment="1">
      <alignment horizontal="right"/>
    </xf>
    <xf numFmtId="164" fontId="6" fillId="0" borderId="0" xfId="0" applyNumberFormat="1" applyFont="1" applyAlignment="1">
      <alignment horizontal="right"/>
    </xf>
    <xf numFmtId="164" fontId="10" fillId="0" borderId="0" xfId="0" applyNumberFormat="1" applyFont="1"/>
    <xf numFmtId="166" fontId="6" fillId="0" borderId="0" xfId="0" applyNumberFormat="1" applyFont="1"/>
    <xf numFmtId="9" fontId="6" fillId="0" borderId="0" xfId="2" applyFont="1"/>
    <xf numFmtId="167" fontId="6" fillId="0" borderId="0" xfId="2" applyNumberFormat="1" applyFont="1"/>
    <xf numFmtId="9" fontId="10" fillId="0" borderId="0" xfId="2" applyFont="1"/>
    <xf numFmtId="167" fontId="10" fillId="0" borderId="0" xfId="2" applyNumberFormat="1" applyFont="1"/>
    <xf numFmtId="0" fontId="16" fillId="0" borderId="0" xfId="0" applyFont="1"/>
    <xf numFmtId="169" fontId="17" fillId="0" borderId="0" xfId="0" applyNumberFormat="1" applyFont="1" applyAlignment="1">
      <alignment horizontal="right"/>
    </xf>
    <xf numFmtId="0" fontId="17" fillId="0" borderId="0" xfId="0" applyFont="1"/>
    <xf numFmtId="0" fontId="6" fillId="0" borderId="0" xfId="0" applyFont="1" applyAlignment="1">
      <alignment horizontal="center"/>
    </xf>
    <xf numFmtId="0" fontId="6" fillId="0" borderId="0" xfId="0" quotePrefix="1" applyFont="1"/>
    <xf numFmtId="0" fontId="14" fillId="0" borderId="10" xfId="1" applyFont="1" applyBorder="1"/>
    <xf numFmtId="0" fontId="10" fillId="0" borderId="10" xfId="0" applyFont="1" applyBorder="1"/>
    <xf numFmtId="0" fontId="6" fillId="0" borderId="12" xfId="0" applyFont="1" applyBorder="1"/>
    <xf numFmtId="0" fontId="6" fillId="3" borderId="13" xfId="0" applyFont="1" applyFill="1" applyBorder="1" applyAlignment="1">
      <alignment horizontal="center"/>
    </xf>
    <xf numFmtId="14" fontId="6" fillId="3" borderId="13" xfId="0" applyNumberFormat="1" applyFont="1" applyFill="1" applyBorder="1" applyAlignment="1">
      <alignment horizontal="center"/>
    </xf>
    <xf numFmtId="2" fontId="6" fillId="3" borderId="13" xfId="0" applyNumberFormat="1" applyFont="1" applyFill="1" applyBorder="1" applyAlignment="1">
      <alignment horizontal="center"/>
    </xf>
    <xf numFmtId="168" fontId="6" fillId="3" borderId="14" xfId="2" applyNumberFormat="1" applyFont="1" applyFill="1" applyBorder="1" applyAlignment="1">
      <alignment horizontal="center"/>
    </xf>
    <xf numFmtId="0" fontId="6" fillId="3" borderId="14" xfId="0" applyFont="1" applyFill="1" applyBorder="1" applyAlignment="1">
      <alignment horizontal="center"/>
    </xf>
    <xf numFmtId="9" fontId="6" fillId="3" borderId="14" xfId="2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9" fillId="2" borderId="0" xfId="0" applyFont="1" applyFill="1"/>
    <xf numFmtId="0" fontId="9" fillId="4" borderId="0" xfId="0" applyFont="1" applyFill="1"/>
    <xf numFmtId="0" fontId="11" fillId="4" borderId="0" xfId="0" applyFont="1" applyFill="1"/>
    <xf numFmtId="167" fontId="6" fillId="3" borderId="14" xfId="2" applyNumberFormat="1" applyFont="1" applyFill="1" applyBorder="1" applyAlignment="1">
      <alignment horizontal="center"/>
    </xf>
    <xf numFmtId="171" fontId="9" fillId="2" borderId="0" xfId="0" applyNumberFormat="1" applyFont="1" applyFill="1"/>
    <xf numFmtId="0" fontId="18" fillId="0" borderId="0" xfId="0" applyFont="1" applyAlignment="1">
      <alignment horizontal="left" indent="1"/>
    </xf>
    <xf numFmtId="0" fontId="6" fillId="0" borderId="0" xfId="0" applyFont="1" applyAlignment="1">
      <alignment horizontal="left" indent="1"/>
    </xf>
    <xf numFmtId="0" fontId="18" fillId="0" borderId="0" xfId="0" applyFont="1"/>
    <xf numFmtId="9" fontId="18" fillId="0" borderId="0" xfId="2" applyFont="1"/>
    <xf numFmtId="167" fontId="6" fillId="3" borderId="14" xfId="2" applyNumberFormat="1" applyFont="1" applyFill="1" applyBorder="1" applyAlignment="1">
      <alignment horizontal="right"/>
    </xf>
    <xf numFmtId="0" fontId="10" fillId="5" borderId="1" xfId="0" applyFont="1" applyFill="1" applyBorder="1"/>
    <xf numFmtId="0" fontId="10" fillId="5" borderId="2" xfId="0" applyFont="1" applyFill="1" applyBorder="1"/>
    <xf numFmtId="165" fontId="10" fillId="5" borderId="2" xfId="0" applyNumberFormat="1" applyFont="1" applyFill="1" applyBorder="1"/>
    <xf numFmtId="165" fontId="10" fillId="5" borderId="3" xfId="0" applyNumberFormat="1" applyFont="1" applyFill="1" applyBorder="1"/>
    <xf numFmtId="167" fontId="18" fillId="0" borderId="0" xfId="2" applyNumberFormat="1" applyFont="1"/>
    <xf numFmtId="167" fontId="18" fillId="0" borderId="0" xfId="0" applyNumberFormat="1" applyFont="1"/>
    <xf numFmtId="170" fontId="10" fillId="5" borderId="4" xfId="0" applyNumberFormat="1" applyFont="1" applyFill="1" applyBorder="1"/>
    <xf numFmtId="170" fontId="10" fillId="5" borderId="5" xfId="0" applyNumberFormat="1" applyFont="1" applyFill="1" applyBorder="1"/>
    <xf numFmtId="165" fontId="10" fillId="5" borderId="5" xfId="0" applyNumberFormat="1" applyFont="1" applyFill="1" applyBorder="1"/>
    <xf numFmtId="165" fontId="10" fillId="5" borderId="6" xfId="0" applyNumberFormat="1" applyFont="1" applyFill="1" applyBorder="1"/>
    <xf numFmtId="170" fontId="10" fillId="5" borderId="9" xfId="0" applyNumberFormat="1" applyFont="1" applyFill="1" applyBorder="1"/>
    <xf numFmtId="170" fontId="10" fillId="5" borderId="10" xfId="0" applyNumberFormat="1" applyFont="1" applyFill="1" applyBorder="1"/>
    <xf numFmtId="165" fontId="10" fillId="5" borderId="10" xfId="0" applyNumberFormat="1" applyFont="1" applyFill="1" applyBorder="1"/>
    <xf numFmtId="165" fontId="10" fillId="5" borderId="11" xfId="0" applyNumberFormat="1" applyFont="1" applyFill="1" applyBorder="1"/>
    <xf numFmtId="170" fontId="6" fillId="0" borderId="0" xfId="0" applyNumberFormat="1" applyFont="1"/>
    <xf numFmtId="170" fontId="6" fillId="0" borderId="10" xfId="0" applyNumberFormat="1" applyFont="1" applyBorder="1"/>
    <xf numFmtId="170" fontId="6" fillId="0" borderId="10" xfId="0" applyNumberFormat="1" applyFont="1" applyBorder="1" applyAlignment="1">
      <alignment horizontal="right"/>
    </xf>
    <xf numFmtId="0" fontId="6" fillId="0" borderId="2" xfId="0" applyFont="1" applyBorder="1"/>
    <xf numFmtId="170" fontId="6" fillId="0" borderId="2" xfId="0" applyNumberFormat="1" applyFont="1" applyBorder="1"/>
    <xf numFmtId="170" fontId="6" fillId="0" borderId="2" xfId="0" applyNumberFormat="1" applyFont="1" applyBorder="1" applyAlignment="1">
      <alignment horizontal="right"/>
    </xf>
    <xf numFmtId="170" fontId="6" fillId="0" borderId="0" xfId="0" applyNumberFormat="1" applyFont="1" applyAlignment="1">
      <alignment horizontal="right"/>
    </xf>
    <xf numFmtId="0" fontId="6" fillId="6" borderId="4" xfId="0" applyFont="1" applyFill="1" applyBorder="1"/>
    <xf numFmtId="2" fontId="19" fillId="6" borderId="5" xfId="0" applyNumberFormat="1" applyFont="1" applyFill="1" applyBorder="1"/>
    <xf numFmtId="167" fontId="9" fillId="6" borderId="5" xfId="0" applyNumberFormat="1" applyFont="1" applyFill="1" applyBorder="1"/>
    <xf numFmtId="167" fontId="9" fillId="6" borderId="0" xfId="0" applyNumberFormat="1" applyFont="1" applyFill="1"/>
    <xf numFmtId="172" fontId="6" fillId="0" borderId="0" xfId="0" applyNumberFormat="1" applyFont="1"/>
    <xf numFmtId="172" fontId="10" fillId="0" borderId="0" xfId="0" applyNumberFormat="1" applyFont="1"/>
    <xf numFmtId="0" fontId="6" fillId="0" borderId="1" xfId="0" applyFont="1" applyBorder="1"/>
    <xf numFmtId="0" fontId="6" fillId="0" borderId="3" xfId="0" applyFont="1" applyBorder="1"/>
    <xf numFmtId="165" fontId="5" fillId="0" borderId="0" xfId="0" applyNumberFormat="1" applyFont="1"/>
    <xf numFmtId="0" fontId="4" fillId="0" borderId="0" xfId="0" applyFont="1" applyAlignment="1">
      <alignment horizontal="right"/>
    </xf>
    <xf numFmtId="0" fontId="4" fillId="0" borderId="0" xfId="0" applyFont="1"/>
    <xf numFmtId="164" fontId="4" fillId="0" borderId="0" xfId="0" applyNumberFormat="1" applyFont="1" applyAlignment="1">
      <alignment horizontal="right"/>
    </xf>
    <xf numFmtId="165" fontId="4" fillId="0" borderId="0" xfId="0" applyNumberFormat="1" applyFont="1" applyAlignment="1">
      <alignment horizontal="right"/>
    </xf>
    <xf numFmtId="165" fontId="3" fillId="0" borderId="0" xfId="0" applyNumberFormat="1" applyFont="1" applyAlignment="1">
      <alignment horizontal="right"/>
    </xf>
    <xf numFmtId="0" fontId="3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0" fontId="10" fillId="6" borderId="5" xfId="0" applyFont="1" applyFill="1" applyBorder="1" applyAlignment="1">
      <alignment horizontal="center"/>
    </xf>
    <xf numFmtId="0" fontId="10" fillId="6" borderId="6" xfId="0" applyFont="1" applyFill="1" applyBorder="1" applyAlignment="1">
      <alignment horizontal="center"/>
    </xf>
    <xf numFmtId="0" fontId="10" fillId="6" borderId="2" xfId="0" applyFont="1" applyFill="1" applyBorder="1" applyAlignment="1">
      <alignment horizontal="center"/>
    </xf>
    <xf numFmtId="0" fontId="10" fillId="6" borderId="3" xfId="0" applyFont="1" applyFill="1" applyBorder="1" applyAlignment="1">
      <alignment horizontal="center"/>
    </xf>
    <xf numFmtId="0" fontId="10" fillId="6" borderId="15" xfId="0" applyFont="1" applyFill="1" applyBorder="1" applyAlignment="1">
      <alignment horizontal="center" vertical="center" textRotation="90"/>
    </xf>
    <xf numFmtId="0" fontId="10" fillId="6" borderId="16" xfId="0" applyFont="1" applyFill="1" applyBorder="1" applyAlignment="1">
      <alignment horizontal="center" vertical="center" textRotation="90"/>
    </xf>
    <xf numFmtId="0" fontId="1" fillId="0" borderId="0" xfId="0" applyFont="1" applyAlignment="1">
      <alignment horizontal="right"/>
    </xf>
    <xf numFmtId="9" fontId="1" fillId="0" borderId="0" xfId="2" applyFont="1" applyAlignment="1">
      <alignment horizontal="right"/>
    </xf>
  </cellXfs>
  <cellStyles count="3">
    <cellStyle name="Hyperlink" xfId="1" builtinId="8"/>
    <cellStyle name="Normal" xfId="0" builtinId="0"/>
    <cellStyle name="Per cent" xfId="2" builtinId="5"/>
  </cellStyles>
  <dxfs count="4"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Oscar Settje" id="{E1BEDD4E-2143-410E-A73B-1EA58469123F}" userId="7ff36870b9739543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U31" dT="2026-03-06T10:03:45.99" personId="{E1BEDD4E-2143-410E-A73B-1EA58469123F}" id="{CA5F36ED-4096-4A2D-9ED5-2E7D640A07B1}">
    <text>24,606 Non-recurring expenses</text>
  </threadedComment>
  <threadedComment ref="U73" dT="2026-03-06T10:10:24.85" personId="{E1BEDD4E-2143-410E-A73B-1EA58469123F}" id="{C9B0904E-C219-425D-B01C-3ED30DACFA2D}">
    <text>Increase in Goodwill Versace Acquisition</text>
  </threadedComment>
  <threadedComment ref="U123" dT="2026-03-06T10:16:11.92" personId="{E1BEDD4E-2143-410E-A73B-1EA58469123F}" id="{66A965BD-CB5C-4179-91D5-12FF8A001EA9}">
    <text>Versace Acquisition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pradagroup.com/en/investors/investor-relations.htm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90F8B-85CE-4E9E-B0DA-DDDF938814DF}">
  <dimension ref="A1:AB41"/>
  <sheetViews>
    <sheetView topLeftCell="D1" zoomScale="200" zoomScaleNormal="200" workbookViewId="0">
      <selection activeCell="H4" sqref="H4"/>
    </sheetView>
  </sheetViews>
  <sheetFormatPr defaultRowHeight="13.5" x14ac:dyDescent="0.25"/>
  <cols>
    <col min="1" max="1" width="5.28515625" style="3" customWidth="1"/>
    <col min="2" max="2" width="14.28515625" style="3" customWidth="1"/>
    <col min="3" max="3" width="28.7109375" style="3" customWidth="1"/>
    <col min="4" max="4" width="13" style="3" customWidth="1"/>
    <col min="5" max="6" width="9.140625" style="3"/>
    <col min="7" max="7" width="9.7109375" style="3" customWidth="1"/>
    <col min="8" max="9" width="9.140625" style="3"/>
    <col min="10" max="10" width="9.5703125" style="3" customWidth="1"/>
    <col min="11" max="16384" width="9.140625" style="3"/>
  </cols>
  <sheetData>
    <row r="1" spans="1:28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x14ac:dyDescent="0.25">
      <c r="A2" s="2" t="s">
        <v>33</v>
      </c>
      <c r="B2" s="2"/>
      <c r="C2" s="2"/>
      <c r="D2" s="2"/>
      <c r="E2" s="2"/>
      <c r="F2" s="2"/>
      <c r="G2" s="2" t="s">
        <v>120</v>
      </c>
      <c r="H2" s="2">
        <v>43.26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28" x14ac:dyDescent="0.25">
      <c r="A3" s="2"/>
      <c r="B3" s="2"/>
      <c r="C3" s="2"/>
      <c r="D3" s="2"/>
      <c r="E3" s="2"/>
      <c r="F3" s="2"/>
      <c r="G3" s="2" t="s">
        <v>119</v>
      </c>
      <c r="H3" s="2">
        <f>+H2*H10</f>
        <v>5.1911999999999994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28" x14ac:dyDescent="0.25">
      <c r="A4" s="2"/>
      <c r="B4" s="2" t="s">
        <v>34</v>
      </c>
      <c r="C4" s="2"/>
      <c r="D4" s="2"/>
      <c r="E4" s="2"/>
      <c r="F4" s="2"/>
      <c r="G4" s="2" t="s">
        <v>1</v>
      </c>
      <c r="H4" s="4">
        <v>2558.8240000000001</v>
      </c>
      <c r="I4" s="101" t="s">
        <v>386</v>
      </c>
      <c r="J4" s="6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1:28" x14ac:dyDescent="0.25">
      <c r="A5" s="2"/>
      <c r="B5" s="7" t="s">
        <v>35</v>
      </c>
      <c r="C5" s="2"/>
      <c r="D5" s="2"/>
      <c r="E5" s="2"/>
      <c r="F5" s="2"/>
      <c r="G5" s="2" t="s">
        <v>2</v>
      </c>
      <c r="H5" s="8">
        <f>+H3*H4</f>
        <v>13283.367148799998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1:28" x14ac:dyDescent="0.25">
      <c r="A6" s="2"/>
      <c r="B6" s="2"/>
      <c r="C6" s="2"/>
      <c r="D6" s="2"/>
      <c r="E6" s="2"/>
      <c r="F6" s="2"/>
      <c r="G6" s="2" t="s">
        <v>3</v>
      </c>
      <c r="H6" s="8">
        <v>1020.558</v>
      </c>
      <c r="I6" s="101" t="s">
        <v>386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spans="1:28" x14ac:dyDescent="0.25">
      <c r="A7" s="2"/>
      <c r="B7" s="9" t="s">
        <v>7</v>
      </c>
      <c r="C7" s="2"/>
      <c r="D7" s="2"/>
      <c r="E7" s="2"/>
      <c r="F7" s="2"/>
      <c r="G7" s="2" t="s">
        <v>4</v>
      </c>
      <c r="H7" s="8">
        <f>124.16+1595.655</f>
        <v>1719.8150000000001</v>
      </c>
      <c r="I7" s="101" t="s">
        <v>386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28" x14ac:dyDescent="0.25">
      <c r="A8" s="2"/>
      <c r="B8" s="10" t="s">
        <v>8</v>
      </c>
      <c r="C8" s="11" t="s">
        <v>9</v>
      </c>
      <c r="D8" s="11" t="s">
        <v>10</v>
      </c>
      <c r="E8" s="12"/>
      <c r="F8" s="2"/>
      <c r="G8" s="2" t="s">
        <v>5</v>
      </c>
      <c r="H8" s="8">
        <f>+H5-H6+H7</f>
        <v>13982.6241488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28" x14ac:dyDescent="0.25">
      <c r="A9" s="2"/>
      <c r="B9" s="13" t="s">
        <v>11</v>
      </c>
      <c r="C9" s="14" t="s">
        <v>116</v>
      </c>
      <c r="D9" s="14" t="s">
        <v>109</v>
      </c>
      <c r="E9" s="15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28" x14ac:dyDescent="0.25">
      <c r="A10" s="2"/>
      <c r="B10" s="16" t="s">
        <v>52</v>
      </c>
      <c r="C10" s="2" t="s">
        <v>117</v>
      </c>
      <c r="D10" s="2" t="s">
        <v>108</v>
      </c>
      <c r="E10" s="17"/>
      <c r="F10" s="2"/>
      <c r="G10" s="2" t="s">
        <v>121</v>
      </c>
      <c r="H10" s="2">
        <v>0.12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 spans="1:28" x14ac:dyDescent="0.25">
      <c r="A11" s="2"/>
      <c r="B11" s="16" t="s">
        <v>12</v>
      </c>
      <c r="C11" s="2" t="s">
        <v>110</v>
      </c>
      <c r="D11" s="2"/>
      <c r="E11" s="17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 spans="1:28" x14ac:dyDescent="0.25">
      <c r="A12" s="2"/>
      <c r="B12" s="16" t="s">
        <v>13</v>
      </c>
      <c r="C12" s="2" t="s">
        <v>111</v>
      </c>
      <c r="D12" s="2"/>
      <c r="E12" s="17"/>
      <c r="F12" s="2"/>
      <c r="G12" s="2" t="s">
        <v>115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 spans="1:28" x14ac:dyDescent="0.25">
      <c r="A13" s="2"/>
      <c r="B13" s="16" t="s">
        <v>14</v>
      </c>
      <c r="C13" s="2" t="s">
        <v>113</v>
      </c>
      <c r="D13" s="2"/>
      <c r="E13" s="17"/>
      <c r="F13" s="2"/>
      <c r="G13" s="2" t="s">
        <v>114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 spans="1:28" x14ac:dyDescent="0.25">
      <c r="A14" s="2"/>
      <c r="B14" s="18" t="s">
        <v>107</v>
      </c>
      <c r="C14" s="19" t="s">
        <v>112</v>
      </c>
      <c r="D14" s="19"/>
      <c r="E14" s="20"/>
      <c r="F14" s="2"/>
      <c r="G14" s="2" t="s">
        <v>122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 spans="1:28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 spans="1:28" x14ac:dyDescent="0.25">
      <c r="A16" s="2"/>
      <c r="B16" s="6" t="s">
        <v>85</v>
      </c>
      <c r="C16" s="2"/>
      <c r="D16" s="2"/>
      <c r="E16" s="2"/>
      <c r="F16" s="2"/>
      <c r="G16" s="2" t="s">
        <v>89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 spans="1:28" x14ac:dyDescent="0.25">
      <c r="A17" s="2"/>
      <c r="B17" s="2" t="s">
        <v>86</v>
      </c>
      <c r="C17" s="2"/>
      <c r="D17" s="2"/>
      <c r="E17" s="2"/>
      <c r="F17" s="2"/>
      <c r="G17" s="2" t="s">
        <v>87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 spans="1:28" x14ac:dyDescent="0.25">
      <c r="A18" s="2"/>
      <c r="B18" s="2" t="s">
        <v>364</v>
      </c>
      <c r="C18" s="2"/>
      <c r="D18" s="2"/>
      <c r="E18" s="2"/>
      <c r="F18" s="2"/>
      <c r="G18" s="2" t="s">
        <v>88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 spans="1:28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 spans="1:28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 spans="1:28" x14ac:dyDescent="0.25">
      <c r="A21" s="2"/>
      <c r="B21" s="6" t="s">
        <v>90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spans="1:28" x14ac:dyDescent="0.25">
      <c r="A22" s="2"/>
      <c r="B22" s="2" t="s">
        <v>91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spans="1:28" x14ac:dyDescent="0.25">
      <c r="A23" s="2"/>
      <c r="B23" s="2" t="s">
        <v>92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spans="1:28" x14ac:dyDescent="0.25">
      <c r="A24" s="2"/>
      <c r="B24" s="2" t="s">
        <v>93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spans="1:28" x14ac:dyDescent="0.25">
      <c r="A25" s="2"/>
      <c r="B25" s="2" t="s">
        <v>94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 spans="1:28" x14ac:dyDescent="0.25">
      <c r="A26" s="2"/>
      <c r="B26" s="2" t="s">
        <v>95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spans="1:28" x14ac:dyDescent="0.25">
      <c r="A27" s="2"/>
      <c r="B27" s="2" t="s">
        <v>96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spans="1:28" x14ac:dyDescent="0.25">
      <c r="A28" s="2"/>
      <c r="B28" s="2" t="s">
        <v>97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spans="1:28" x14ac:dyDescent="0.25">
      <c r="A29" s="2"/>
      <c r="B29" s="2" t="s">
        <v>98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spans="1:28" x14ac:dyDescent="0.25">
      <c r="A30" s="2"/>
      <c r="B30" s="2" t="s">
        <v>106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spans="1:28" x14ac:dyDescent="0.25">
      <c r="A31" s="2"/>
      <c r="B31" s="2" t="s">
        <v>99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spans="1:28" x14ac:dyDescent="0.25">
      <c r="A32" s="2"/>
      <c r="B32" s="2" t="s">
        <v>100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spans="1:28" x14ac:dyDescent="0.25">
      <c r="A33" s="2"/>
      <c r="B33" s="2" t="s">
        <v>101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spans="1:28" x14ac:dyDescent="0.25">
      <c r="A34" s="2"/>
      <c r="B34" s="2" t="s">
        <v>102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spans="1:28" x14ac:dyDescent="0.25">
      <c r="A35" s="2"/>
      <c r="B35" s="2" t="s">
        <v>103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spans="1:28" x14ac:dyDescent="0.25">
      <c r="A36" s="2"/>
      <c r="B36" s="2" t="s">
        <v>104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spans="1:28" x14ac:dyDescent="0.25">
      <c r="A37" s="2"/>
      <c r="B37" s="2" t="s">
        <v>105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spans="1:28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spans="1:28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spans="1:28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spans="1:28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</sheetData>
  <hyperlinks>
    <hyperlink ref="B5" r:id="rId1" display="Investors" xr:uid="{AD20AEB2-4F32-49E3-B1F8-BAC495EB90A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73A2C-A229-4768-A965-623A6F5437DC}">
  <dimension ref="A1:AG224"/>
  <sheetViews>
    <sheetView tabSelected="1" zoomScale="200" zoomScaleNormal="200" workbookViewId="0">
      <pane xSplit="2" ySplit="2" topLeftCell="J3" activePane="bottomRight" state="frozen"/>
      <selection pane="topRight" activeCell="C1" sqref="C1"/>
      <selection pane="bottomLeft" activeCell="A3" sqref="A3"/>
      <selection pane="bottomRight" activeCell="M20" sqref="M20"/>
    </sheetView>
  </sheetViews>
  <sheetFormatPr defaultRowHeight="13.5" x14ac:dyDescent="0.25"/>
  <cols>
    <col min="1" max="1" width="5.42578125" style="3" bestFit="1" customWidth="1"/>
    <col min="2" max="2" width="34.85546875" style="3" customWidth="1"/>
    <col min="3" max="16384" width="9.140625" style="3"/>
  </cols>
  <sheetData>
    <row r="1" spans="1:33" x14ac:dyDescent="0.25">
      <c r="A1" s="7" t="s">
        <v>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spans="1:33" x14ac:dyDescent="0.25">
      <c r="A2" s="2"/>
      <c r="B2" s="2"/>
      <c r="C2" s="5" t="s">
        <v>366</v>
      </c>
      <c r="D2" s="5" t="s">
        <v>367</v>
      </c>
      <c r="E2" s="5" t="s">
        <v>368</v>
      </c>
      <c r="F2" s="5" t="s">
        <v>118</v>
      </c>
      <c r="G2" s="5" t="s">
        <v>365</v>
      </c>
      <c r="H2" s="5" t="s">
        <v>369</v>
      </c>
      <c r="I2" s="5" t="s">
        <v>370</v>
      </c>
      <c r="J2" s="5" t="s">
        <v>371</v>
      </c>
      <c r="K2" s="94" t="s">
        <v>385</v>
      </c>
      <c r="L2" s="94" t="s">
        <v>386</v>
      </c>
      <c r="M2" s="94" t="s">
        <v>387</v>
      </c>
      <c r="N2" s="94" t="s">
        <v>388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 spans="1:33" x14ac:dyDescent="0.25">
      <c r="A3" s="2"/>
      <c r="B3" s="2" t="s">
        <v>11</v>
      </c>
      <c r="C3" s="24">
        <v>826</v>
      </c>
      <c r="D3" s="24">
        <f>+Model!G12-Quarters!C3</f>
        <v>882</v>
      </c>
      <c r="E3" s="4">
        <f>2533.606-Model!G12</f>
        <v>825.60600000000022</v>
      </c>
      <c r="F3" s="24">
        <f>+Model!H12-Quarters!E3</f>
        <v>1029.77</v>
      </c>
      <c r="G3" s="24">
        <v>827</v>
      </c>
      <c r="H3" s="24">
        <f>+Model!I12-Quarters!G3</f>
        <v>819.78800000000001</v>
      </c>
      <c r="I3" s="4">
        <f>2428.359-Model!I12</f>
        <v>781.57099999999991</v>
      </c>
      <c r="J3" s="24">
        <f>+Model!J12-Quarters!I3</f>
        <v>964.50199999999995</v>
      </c>
      <c r="K3" s="4">
        <v>771.40800000000002</v>
      </c>
      <c r="L3" s="4">
        <f>+Model!K12-Quarters!K3</f>
        <v>849.55000000000007</v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</row>
    <row r="4" spans="1:33" x14ac:dyDescent="0.25">
      <c r="A4" s="2"/>
      <c r="B4" s="2" t="s">
        <v>380</v>
      </c>
      <c r="C4" s="24">
        <v>233</v>
      </c>
      <c r="D4" s="24">
        <f>+Model!G13-Quarters!C4</f>
        <v>297</v>
      </c>
      <c r="E4" s="4">
        <f>854.339-Model!G13</f>
        <v>324.33900000000006</v>
      </c>
      <c r="F4" s="24">
        <f>+Model!H13-Quarters!E4</f>
        <v>373.71400000000006</v>
      </c>
      <c r="G4" s="24">
        <v>377</v>
      </c>
      <c r="H4" s="24">
        <f>+Model!I13-Quarters!G4</f>
        <v>403.14</v>
      </c>
      <c r="I4" s="4">
        <f>1178.237-Model!I13</f>
        <v>398.09700000000009</v>
      </c>
      <c r="J4" s="24">
        <f>+Model!J13-Quarters!I4</f>
        <v>416.34399999999982</v>
      </c>
      <c r="K4" s="4">
        <v>358.08800000000002</v>
      </c>
      <c r="L4" s="4">
        <f>+Model!K13-Quarters!K4</f>
        <v>405.18799999999993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 spans="1:33" x14ac:dyDescent="0.25">
      <c r="A5" s="2"/>
      <c r="B5" s="92" t="s">
        <v>383</v>
      </c>
      <c r="C5" s="24">
        <v>0</v>
      </c>
      <c r="D5" s="24">
        <v>0</v>
      </c>
      <c r="E5" s="24">
        <v>0</v>
      </c>
      <c r="F5" s="24">
        <v>0</v>
      </c>
      <c r="G5" s="24">
        <v>0</v>
      </c>
      <c r="H5" s="24">
        <f>+Model!I14-Quarters!G5</f>
        <v>0</v>
      </c>
      <c r="I5" s="24">
        <v>0</v>
      </c>
      <c r="J5" s="24">
        <f>+Model!J14-Quarters!I5</f>
        <v>51.343000000000004</v>
      </c>
      <c r="K5" s="4">
        <v>101.94499999999999</v>
      </c>
      <c r="L5" s="4">
        <f>+Model!K14-Quarters!K5</f>
        <v>117.55200000000002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</row>
    <row r="6" spans="1:33" x14ac:dyDescent="0.25">
      <c r="A6" s="2"/>
      <c r="B6" s="2" t="s">
        <v>381</v>
      </c>
      <c r="C6" s="24">
        <v>7</v>
      </c>
      <c r="D6" s="24">
        <f>+Model!G15-Quarters!C6</f>
        <v>8</v>
      </c>
      <c r="E6" s="4">
        <f>21.513-Model!G15</f>
        <v>6.5130000000000017</v>
      </c>
      <c r="F6" s="24">
        <f>+Model!H15-Quarters!E6</f>
        <v>10.145999999999997</v>
      </c>
      <c r="G6" s="24">
        <v>7</v>
      </c>
      <c r="H6" s="24">
        <f>+Model!I15-Quarters!G6</f>
        <v>8.3699999999999992</v>
      </c>
      <c r="I6" s="4">
        <f>22.823-Model!I15</f>
        <v>7.4530000000000012</v>
      </c>
      <c r="J6" s="24">
        <f>+Model!J15-Quarters!I6</f>
        <v>10.865000000000004</v>
      </c>
      <c r="K6" s="4">
        <v>7.1749999999999998</v>
      </c>
      <c r="L6" s="4">
        <f>+Model!K15-Quarters!K6</f>
        <v>8.5910000000000011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</row>
    <row r="7" spans="1:33" x14ac:dyDescent="0.25">
      <c r="A7" s="2"/>
      <c r="B7" s="2" t="s">
        <v>54</v>
      </c>
      <c r="C7" s="24">
        <v>5</v>
      </c>
      <c r="D7" s="24">
        <f>+Model!G16-Quarters!C7</f>
        <v>5</v>
      </c>
      <c r="E7" s="4">
        <f>15.281-Model!G16</f>
        <v>5.2810000000000006</v>
      </c>
      <c r="F7" s="24">
        <f>+Model!H16-Quarters!E7</f>
        <v>10.839</v>
      </c>
      <c r="G7" s="24">
        <v>5</v>
      </c>
      <c r="H7" s="24">
        <f>+Model!I16-Quarters!G7</f>
        <v>6.0830000000000002</v>
      </c>
      <c r="I7" s="4">
        <f>17.108-Model!I16</f>
        <v>6.0250000000000004</v>
      </c>
      <c r="J7" s="24">
        <f>+Model!J16-Quarters!I7</f>
        <v>12.209000000000001</v>
      </c>
      <c r="K7" s="4">
        <v>6.02</v>
      </c>
      <c r="L7" s="4">
        <f>+Model!K16-Quarters!K7</f>
        <v>7.0010000000000012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</row>
    <row r="8" spans="1:33" x14ac:dyDescent="0.25">
      <c r="A8" s="2"/>
      <c r="B8" s="2" t="s">
        <v>375</v>
      </c>
      <c r="C8" s="4">
        <v>396</v>
      </c>
      <c r="D8" s="24">
        <f>+Model!G17-Quarters!C8</f>
        <v>378.43499999999995</v>
      </c>
      <c r="E8" s="4">
        <f>1139.067-Model!G17</f>
        <v>364.63200000000006</v>
      </c>
      <c r="F8" s="24">
        <f>+Model!H17-Quarters!E8</f>
        <v>465.346</v>
      </c>
      <c r="G8" s="4">
        <v>438</v>
      </c>
      <c r="H8" s="24">
        <f>+Model!I17-Quarters!G8</f>
        <v>400.37099999999998</v>
      </c>
      <c r="I8" s="4">
        <f>1216.493-Model!I17</f>
        <v>378.12199999999996</v>
      </c>
      <c r="J8" s="24">
        <f>+Model!J17-Quarters!I8</f>
        <v>482.95500000000015</v>
      </c>
      <c r="K8" s="4">
        <v>461</v>
      </c>
      <c r="L8" s="4">
        <f>+Model!K17-Quarters!K8</f>
        <v>461.28300000000002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21"/>
      <c r="AG8" s="21"/>
    </row>
    <row r="9" spans="1:33" x14ac:dyDescent="0.25">
      <c r="A9" s="2"/>
      <c r="B9" s="2" t="s">
        <v>376</v>
      </c>
      <c r="C9" s="4">
        <v>295</v>
      </c>
      <c r="D9" s="24">
        <f>+Model!G18-Quarters!C9</f>
        <v>387.19200000000001</v>
      </c>
      <c r="E9" s="4">
        <f>1089.344-Model!G18</f>
        <v>407.15200000000004</v>
      </c>
      <c r="F9" s="24">
        <f>+Model!H18-Quarters!E9</f>
        <v>442.27800000000002</v>
      </c>
      <c r="G9" s="4">
        <v>334</v>
      </c>
      <c r="H9" s="24">
        <f>+Model!I18-Quarters!G9</f>
        <v>393.56200000000001</v>
      </c>
      <c r="I9" s="4">
        <f>1137.093-Model!I18</f>
        <v>409.53100000000006</v>
      </c>
      <c r="J9" s="24">
        <f>+Model!J18-Quarters!I9</f>
        <v>425.70399999999995</v>
      </c>
      <c r="K9" s="4">
        <v>333</v>
      </c>
      <c r="L9" s="4">
        <f>+Model!K18-Quarters!K9</f>
        <v>419.14599999999996</v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21"/>
      <c r="AG9" s="21"/>
    </row>
    <row r="10" spans="1:33" x14ac:dyDescent="0.25">
      <c r="A10" s="2"/>
      <c r="B10" s="2" t="s">
        <v>377</v>
      </c>
      <c r="C10" s="4">
        <v>181</v>
      </c>
      <c r="D10" s="24">
        <f>+Model!G19-Quarters!C10</f>
        <v>205.96100000000001</v>
      </c>
      <c r="E10" s="4">
        <f>575.567-Model!G19</f>
        <v>188.60599999999999</v>
      </c>
      <c r="F10" s="24">
        <f>+Model!H19-Quarters!E10</f>
        <v>254.24199999999996</v>
      </c>
      <c r="G10" s="4">
        <v>201</v>
      </c>
      <c r="H10" s="24">
        <f>+Model!I19-Quarters!G10</f>
        <v>223.08999999999997</v>
      </c>
      <c r="I10" s="4">
        <f>636.754-Model!I19</f>
        <v>212.66400000000004</v>
      </c>
      <c r="J10" s="24">
        <f>+Model!J19-Quarters!I10</f>
        <v>295.29300000000001</v>
      </c>
      <c r="K10" s="4">
        <v>256</v>
      </c>
      <c r="L10" s="4">
        <f>+Model!K19-Quarters!K10</f>
        <v>215.99</v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21"/>
      <c r="AG10" s="21"/>
    </row>
    <row r="11" spans="1:33" x14ac:dyDescent="0.25">
      <c r="A11" s="2"/>
      <c r="B11" s="2" t="s">
        <v>378</v>
      </c>
      <c r="C11" s="4">
        <v>145</v>
      </c>
      <c r="D11" s="24">
        <f>+Model!G20-Quarters!C11</f>
        <v>163.61200000000002</v>
      </c>
      <c r="E11" s="86">
        <f>466.361-Model!G20</f>
        <v>157.74899999999997</v>
      </c>
      <c r="F11" s="24">
        <f>+Model!H20-Quarters!E11</f>
        <v>190.07000000000005</v>
      </c>
      <c r="G11" s="4">
        <v>172</v>
      </c>
      <c r="H11" s="24">
        <f>+Model!I20-Quarters!G11</f>
        <v>153.94499999999999</v>
      </c>
      <c r="I11" s="4">
        <f>474.16-Model!I20</f>
        <v>148.21500000000003</v>
      </c>
      <c r="J11" s="24">
        <f>+Model!J20-Quarters!I11</f>
        <v>181.94099999999997</v>
      </c>
      <c r="K11" s="4">
        <v>145</v>
      </c>
      <c r="L11" s="4">
        <f>+Model!K20-Quarters!K11</f>
        <v>143.30700000000002</v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21"/>
      <c r="AG11" s="21"/>
    </row>
    <row r="12" spans="1:33" x14ac:dyDescent="0.25">
      <c r="A12" s="2"/>
      <c r="B12" s="2" t="s">
        <v>379</v>
      </c>
      <c r="C12" s="4">
        <v>54</v>
      </c>
      <c r="D12" s="24">
        <f>+Model!G21-Quarters!C12</f>
        <v>56.391000000000005</v>
      </c>
      <c r="E12" s="4">
        <f>154.4-Model!F21</f>
        <v>66.614000000000004</v>
      </c>
      <c r="F12" s="24">
        <f>+Model!H21-Quarters!E12</f>
        <v>49.927999999999983</v>
      </c>
      <c r="G12" s="4">
        <v>70</v>
      </c>
      <c r="H12" s="24">
        <f>+Model!I21-Quarters!G12</f>
        <v>67.413000000000011</v>
      </c>
      <c r="I12" s="4">
        <f>182.027-Model!I21</f>
        <v>44.613999999999976</v>
      </c>
      <c r="J12" s="24">
        <f>+Model!J21-Quarters!I12</f>
        <v>69.37</v>
      </c>
      <c r="K12" s="4">
        <v>49</v>
      </c>
      <c r="L12" s="4">
        <f>+Model!K21-Quarters!K12</f>
        <v>48.792000000000002</v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21"/>
      <c r="AG12" s="21"/>
    </row>
    <row r="13" spans="1:33" x14ac:dyDescent="0.25">
      <c r="A13" s="2"/>
      <c r="B13" s="2" t="s">
        <v>372</v>
      </c>
      <c r="C13" s="4">
        <v>1071</v>
      </c>
      <c r="D13" s="24">
        <f>+Model!G22-Quarters!C13</f>
        <v>1191.5909999999999</v>
      </c>
      <c r="E13" s="4">
        <f>3424.739-Model!G22</f>
        <v>1162.1480000000001</v>
      </c>
      <c r="F13" s="24">
        <f>+Model!H22-Quarters!E13</f>
        <v>1424.4689999999996</v>
      </c>
      <c r="G13" s="4">
        <v>1216</v>
      </c>
      <c r="H13" s="24">
        <f>+Model!I22-Quarters!G13</f>
        <v>1237.3809999999999</v>
      </c>
      <c r="I13" s="4">
        <f>3646.527-Model!I22</f>
        <v>1193.1460000000002</v>
      </c>
      <c r="J13" s="24">
        <f>+Model!J22-Quarters!I13</f>
        <v>1455.2629999999999</v>
      </c>
      <c r="K13" s="4">
        <v>1244.636</v>
      </c>
      <c r="L13" s="4">
        <f>+Model!K22-Quarters!K13</f>
        <v>1387.8820000000001</v>
      </c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21"/>
      <c r="AG13" s="21"/>
    </row>
    <row r="14" spans="1:33" x14ac:dyDescent="0.25">
      <c r="A14" s="2"/>
      <c r="B14" s="2" t="s">
        <v>373</v>
      </c>
      <c r="C14" s="4">
        <v>90</v>
      </c>
      <c r="D14" s="24">
        <f>+Model!G23-Quarters!C14</f>
        <v>135.21299999999999</v>
      </c>
      <c r="E14" s="4">
        <f>313.851-Model!G23</f>
        <v>88.638000000000005</v>
      </c>
      <c r="F14" s="24">
        <f>+Model!H23-Quarters!E14</f>
        <v>146.96699999999998</v>
      </c>
      <c r="G14" s="4">
        <v>96</v>
      </c>
      <c r="H14" s="24">
        <f>+Model!I23-Quarters!G14</f>
        <v>123.762</v>
      </c>
      <c r="I14" s="4">
        <f>322.329-Model!I23</f>
        <v>102.56700000000001</v>
      </c>
      <c r="J14" s="24">
        <f>+Model!J23-Quarters!I14</f>
        <v>148.39299999999997</v>
      </c>
      <c r="K14" s="4">
        <v>129.39699999999999</v>
      </c>
      <c r="L14" s="4">
        <f>+Model!K23-Quarters!K14</f>
        <v>170.05599999999998</v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21"/>
      <c r="AG14" s="21"/>
    </row>
    <row r="15" spans="1:33" x14ac:dyDescent="0.25">
      <c r="A15" s="2"/>
      <c r="B15" s="2" t="s">
        <v>374</v>
      </c>
      <c r="C15" s="4">
        <v>25</v>
      </c>
      <c r="D15" s="24">
        <f>+Model!G24-Quarters!C15</f>
        <v>35.83</v>
      </c>
      <c r="E15" s="4">
        <f>90.547-Model!G24</f>
        <v>29.716999999999999</v>
      </c>
      <c r="F15" s="24">
        <f>+Model!H24-Quarters!E15</f>
        <v>30.984000000000009</v>
      </c>
      <c r="G15" s="4">
        <v>29</v>
      </c>
      <c r="H15" s="24">
        <f>+Model!I24-Quarters!G15</f>
        <v>37.891999999999996</v>
      </c>
      <c r="I15" s="4">
        <f>100.884-Model!I24</f>
        <v>33.992000000000004</v>
      </c>
      <c r="J15" s="24">
        <f>+Model!J24-Quarters!I15</f>
        <v>44.214999999999989</v>
      </c>
      <c r="K15" s="4">
        <v>53.665999999999997</v>
      </c>
      <c r="L15" s="4">
        <f>+Model!K24-Quarters!K15</f>
        <v>62.37700000000001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21"/>
      <c r="AG15" s="21"/>
    </row>
    <row r="16" spans="1:33" x14ac:dyDescent="0.25">
      <c r="A16" s="2"/>
      <c r="B16" s="1" t="s">
        <v>22</v>
      </c>
      <c r="C16" s="22">
        <f>+SUM(C13:C15)</f>
        <v>1186</v>
      </c>
      <c r="D16" s="22">
        <f t="shared" ref="D16:J16" si="0">+SUM(D13:D15)</f>
        <v>1362.6339999999998</v>
      </c>
      <c r="E16" s="22">
        <f t="shared" si="0"/>
        <v>1280.5030000000002</v>
      </c>
      <c r="F16" s="22">
        <f t="shared" si="0"/>
        <v>1602.4199999999996</v>
      </c>
      <c r="G16" s="22">
        <f t="shared" si="0"/>
        <v>1341</v>
      </c>
      <c r="H16" s="22">
        <f t="shared" si="0"/>
        <v>1399.0349999999999</v>
      </c>
      <c r="I16" s="22">
        <f t="shared" si="0"/>
        <v>1329.7050000000002</v>
      </c>
      <c r="J16" s="22">
        <f t="shared" si="0"/>
        <v>1647.8709999999999</v>
      </c>
      <c r="K16" s="22">
        <v>1427.6990000000001</v>
      </c>
      <c r="L16" s="22">
        <f>+Model!K25-Quarters!K16</f>
        <v>1620.3150000000001</v>
      </c>
      <c r="M16" s="22"/>
      <c r="N16" s="22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21"/>
      <c r="AG16" s="21"/>
    </row>
    <row r="17" spans="1:33" x14ac:dyDescent="0.25">
      <c r="A17" s="2"/>
      <c r="B17" s="2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21"/>
      <c r="AG17" s="21"/>
    </row>
    <row r="18" spans="1:33" x14ac:dyDescent="0.25">
      <c r="A18" s="2"/>
      <c r="B18" s="93" t="s">
        <v>78</v>
      </c>
      <c r="C18" s="4"/>
      <c r="D18" s="4"/>
      <c r="E18" s="4"/>
      <c r="F18" s="4"/>
      <c r="G18" s="28">
        <f t="shared" ref="G18:I22" si="1">+G3/C3-1</f>
        <v>1.210653753026536E-3</v>
      </c>
      <c r="H18" s="28">
        <f t="shared" si="1"/>
        <v>-7.0535147392290276E-2</v>
      </c>
      <c r="I18" s="28">
        <f t="shared" si="1"/>
        <v>-5.3336579433773901E-2</v>
      </c>
      <c r="J18" s="28">
        <f>+J3/F3-1</f>
        <v>-6.3381143362109982E-2</v>
      </c>
      <c r="K18" s="28">
        <f>+K3/G3-1</f>
        <v>-6.7221281741233319E-2</v>
      </c>
      <c r="L18" s="28">
        <f>+L3/H3-1</f>
        <v>3.6304507994749935E-2</v>
      </c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21"/>
      <c r="AG18" s="21"/>
    </row>
    <row r="19" spans="1:33" x14ac:dyDescent="0.25">
      <c r="A19" s="2"/>
      <c r="B19" s="93" t="s">
        <v>389</v>
      </c>
      <c r="C19" s="4"/>
      <c r="D19" s="4"/>
      <c r="E19" s="4"/>
      <c r="F19" s="4"/>
      <c r="G19" s="28">
        <f t="shared" si="1"/>
        <v>0.61802575107296143</v>
      </c>
      <c r="H19" s="28">
        <f t="shared" si="1"/>
        <v>0.35737373737373734</v>
      </c>
      <c r="I19" s="28">
        <f t="shared" si="1"/>
        <v>0.22741020968801173</v>
      </c>
      <c r="J19" s="28">
        <f t="shared" ref="J19:L22" si="2">+J4/F4-1</f>
        <v>0.11407118812781913</v>
      </c>
      <c r="K19" s="28">
        <f t="shared" si="2"/>
        <v>-5.0164456233421695E-2</v>
      </c>
      <c r="L19" s="28">
        <f t="shared" si="2"/>
        <v>5.0801210497593008E-3</v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21"/>
      <c r="AG19" s="21"/>
    </row>
    <row r="20" spans="1:33" x14ac:dyDescent="0.25">
      <c r="A20" s="2"/>
      <c r="B20" s="93" t="s">
        <v>390</v>
      </c>
      <c r="C20" s="4"/>
      <c r="D20" s="4"/>
      <c r="E20" s="4"/>
      <c r="F20" s="4"/>
      <c r="G20" s="102" t="s">
        <v>384</v>
      </c>
      <c r="H20" s="102" t="s">
        <v>384</v>
      </c>
      <c r="I20" s="102" t="s">
        <v>384</v>
      </c>
      <c r="J20" s="102" t="s">
        <v>384</v>
      </c>
      <c r="K20" s="102" t="s">
        <v>384</v>
      </c>
      <c r="L20" s="102" t="s">
        <v>384</v>
      </c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21"/>
      <c r="AG20" s="21"/>
    </row>
    <row r="21" spans="1:33" x14ac:dyDescent="0.25">
      <c r="A21" s="2"/>
      <c r="B21" s="93" t="s">
        <v>391</v>
      </c>
      <c r="C21" s="4"/>
      <c r="D21" s="4"/>
      <c r="E21" s="4"/>
      <c r="F21" s="4"/>
      <c r="G21" s="28">
        <f t="shared" si="1"/>
        <v>0</v>
      </c>
      <c r="H21" s="28">
        <f t="shared" si="1"/>
        <v>4.6249999999999902E-2</v>
      </c>
      <c r="I21" s="28">
        <f t="shared" si="1"/>
        <v>0.14432673115307826</v>
      </c>
      <c r="J21" s="28">
        <f t="shared" si="2"/>
        <v>7.0865365661344937E-2</v>
      </c>
      <c r="K21" s="28">
        <f t="shared" si="2"/>
        <v>2.4999999999999911E-2</v>
      </c>
      <c r="L21" s="28">
        <f t="shared" si="2"/>
        <v>2.6403823178017038E-2</v>
      </c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21"/>
      <c r="AG21" s="21"/>
    </row>
    <row r="22" spans="1:33" x14ac:dyDescent="0.25">
      <c r="A22" s="2"/>
      <c r="B22" s="93" t="s">
        <v>81</v>
      </c>
      <c r="C22" s="4"/>
      <c r="D22" s="4"/>
      <c r="E22" s="4"/>
      <c r="F22" s="4"/>
      <c r="G22" s="28">
        <f t="shared" si="1"/>
        <v>0</v>
      </c>
      <c r="H22" s="28">
        <f t="shared" si="1"/>
        <v>0.21660000000000013</v>
      </c>
      <c r="I22" s="28">
        <f t="shared" si="1"/>
        <v>0.14088240863472823</v>
      </c>
      <c r="J22" s="28">
        <f t="shared" si="2"/>
        <v>0.12639542393209724</v>
      </c>
      <c r="K22" s="28">
        <f t="shared" si="2"/>
        <v>0.20399999999999996</v>
      </c>
      <c r="L22" s="28">
        <f t="shared" si="2"/>
        <v>0.15091237876048025</v>
      </c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21"/>
      <c r="AG22" s="21"/>
    </row>
    <row r="23" spans="1:33" x14ac:dyDescent="0.25">
      <c r="A23" s="2"/>
      <c r="B23" s="93" t="s">
        <v>69</v>
      </c>
      <c r="C23" s="4"/>
      <c r="D23" s="4"/>
      <c r="E23" s="4"/>
      <c r="F23" s="4"/>
      <c r="G23" s="30">
        <f t="shared" ref="G23:I23" si="3">+G16/C16-1</f>
        <v>0.13069139966273191</v>
      </c>
      <c r="H23" s="30">
        <f t="shared" si="3"/>
        <v>2.6713703019299428E-2</v>
      </c>
      <c r="I23" s="30">
        <f t="shared" si="3"/>
        <v>3.8423963083257018E-2</v>
      </c>
      <c r="J23" s="30">
        <f>+J16/F16-1</f>
        <v>2.8363974488586186E-2</v>
      </c>
      <c r="K23" s="30">
        <f>+K16/G16-1</f>
        <v>6.4652498135719716E-2</v>
      </c>
      <c r="L23" s="30">
        <f>+L16/H16-1</f>
        <v>0.15816616453484023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21"/>
      <c r="AG23" s="21"/>
    </row>
    <row r="24" spans="1:33" x14ac:dyDescent="0.25">
      <c r="A24" s="2"/>
      <c r="B24" s="2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21"/>
      <c r="AG24" s="21"/>
    </row>
    <row r="25" spans="1:33" x14ac:dyDescent="0.25">
      <c r="A25" s="2"/>
      <c r="B25" s="2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21"/>
      <c r="AG25" s="21"/>
    </row>
    <row r="26" spans="1:33" x14ac:dyDescent="0.25">
      <c r="A26" s="2"/>
      <c r="B26" s="2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21"/>
      <c r="AG26" s="21"/>
    </row>
    <row r="27" spans="1:33" x14ac:dyDescent="0.25">
      <c r="A27" s="2"/>
      <c r="B27" s="2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21"/>
      <c r="AG27" s="21"/>
    </row>
    <row r="28" spans="1:33" x14ac:dyDescent="0.25">
      <c r="A28" s="2"/>
      <c r="B28" s="2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21"/>
      <c r="AG28" s="21"/>
    </row>
    <row r="29" spans="1:33" x14ac:dyDescent="0.25">
      <c r="A29" s="2"/>
      <c r="B29" s="2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21"/>
      <c r="AG29" s="21"/>
    </row>
    <row r="30" spans="1:33" x14ac:dyDescent="0.25">
      <c r="A30" s="2"/>
      <c r="B30" s="2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21"/>
      <c r="AG30" s="21"/>
    </row>
    <row r="31" spans="1:33" x14ac:dyDescent="0.25">
      <c r="A31" s="2"/>
      <c r="B31" s="2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21"/>
      <c r="AG31" s="21"/>
    </row>
    <row r="32" spans="1:33" x14ac:dyDescent="0.25">
      <c r="A32" s="2"/>
      <c r="B32" s="2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21"/>
      <c r="AG32" s="21"/>
    </row>
    <row r="33" spans="1:33" x14ac:dyDescent="0.25">
      <c r="A33" s="2"/>
      <c r="B33" s="2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21"/>
      <c r="AG33" s="21"/>
    </row>
    <row r="34" spans="1:33" x14ac:dyDescent="0.25">
      <c r="A34" s="2"/>
      <c r="B34" s="2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21"/>
      <c r="AG34" s="21"/>
    </row>
    <row r="35" spans="1:33" x14ac:dyDescent="0.25">
      <c r="A35" s="2"/>
      <c r="B35" s="2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21"/>
      <c r="AG35" s="21"/>
    </row>
    <row r="36" spans="1:33" x14ac:dyDescent="0.25">
      <c r="A36" s="2"/>
      <c r="B36" s="2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21"/>
      <c r="AG36" s="21"/>
    </row>
    <row r="37" spans="1:33" x14ac:dyDescent="0.25">
      <c r="A37" s="2"/>
      <c r="B37" s="2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21"/>
      <c r="AG37" s="21"/>
    </row>
    <row r="38" spans="1:33" x14ac:dyDescent="0.25">
      <c r="A38" s="2"/>
      <c r="B38" s="2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21"/>
      <c r="AG38" s="21"/>
    </row>
    <row r="39" spans="1:33" x14ac:dyDescent="0.25">
      <c r="A39" s="2"/>
      <c r="B39" s="2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21"/>
      <c r="AG39" s="21"/>
    </row>
    <row r="40" spans="1:33" x14ac:dyDescent="0.25">
      <c r="A40" s="2"/>
      <c r="B40" s="2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21"/>
      <c r="AG40" s="21"/>
    </row>
    <row r="41" spans="1:33" x14ac:dyDescent="0.25">
      <c r="A41" s="2"/>
      <c r="B41" s="2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21"/>
      <c r="AG41" s="21"/>
    </row>
    <row r="42" spans="1:33" x14ac:dyDescent="0.25">
      <c r="A42" s="2"/>
      <c r="B42" s="2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21"/>
      <c r="AG42" s="21"/>
    </row>
    <row r="43" spans="1:33" x14ac:dyDescent="0.25">
      <c r="A43" s="2"/>
      <c r="B43" s="2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21"/>
      <c r="AG43" s="21"/>
    </row>
    <row r="44" spans="1:33" x14ac:dyDescent="0.25">
      <c r="A44" s="2"/>
      <c r="B44" s="2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21"/>
      <c r="AG44" s="21"/>
    </row>
    <row r="45" spans="1:33" x14ac:dyDescent="0.25">
      <c r="A45" s="2"/>
      <c r="B45" s="2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21"/>
      <c r="AG45" s="21"/>
    </row>
    <row r="46" spans="1:33" x14ac:dyDescent="0.25">
      <c r="A46" s="2"/>
      <c r="B46" s="2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21"/>
      <c r="AG46" s="21"/>
    </row>
    <row r="47" spans="1:33" x14ac:dyDescent="0.25">
      <c r="A47" s="2"/>
      <c r="B47" s="2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21"/>
      <c r="AG47" s="21"/>
    </row>
    <row r="48" spans="1:33" x14ac:dyDescent="0.25">
      <c r="A48" s="2"/>
      <c r="B48" s="2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21"/>
      <c r="AG48" s="21"/>
    </row>
    <row r="49" spans="1:33" x14ac:dyDescent="0.25">
      <c r="A49" s="2"/>
      <c r="B49" s="2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21"/>
      <c r="AG49" s="21"/>
    </row>
    <row r="50" spans="1:33" x14ac:dyDescent="0.25">
      <c r="A50" s="2"/>
      <c r="B50" s="2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21"/>
      <c r="AG50" s="21"/>
    </row>
    <row r="51" spans="1:33" x14ac:dyDescent="0.25">
      <c r="A51" s="2"/>
      <c r="B51" s="2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21"/>
      <c r="AG51" s="21"/>
    </row>
    <row r="52" spans="1:33" x14ac:dyDescent="0.25">
      <c r="A52" s="2"/>
      <c r="B52" s="2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21"/>
      <c r="AG52" s="21"/>
    </row>
    <row r="53" spans="1:33" x14ac:dyDescent="0.25">
      <c r="A53" s="2"/>
      <c r="B53" s="2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21"/>
      <c r="AG53" s="21"/>
    </row>
    <row r="54" spans="1:33" x14ac:dyDescent="0.25">
      <c r="A54" s="2"/>
      <c r="B54" s="2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21"/>
      <c r="AG54" s="21"/>
    </row>
    <row r="55" spans="1:33" x14ac:dyDescent="0.25">
      <c r="A55" s="2"/>
      <c r="B55" s="2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21"/>
      <c r="AG55" s="21"/>
    </row>
    <row r="56" spans="1:33" x14ac:dyDescent="0.25">
      <c r="A56" s="2"/>
      <c r="B56" s="2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21"/>
      <c r="AG56" s="21"/>
    </row>
    <row r="57" spans="1:33" x14ac:dyDescent="0.25">
      <c r="A57" s="2"/>
      <c r="B57" s="2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21"/>
      <c r="AG57" s="21"/>
    </row>
    <row r="58" spans="1:33" x14ac:dyDescent="0.25">
      <c r="A58" s="2"/>
      <c r="B58" s="2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21"/>
      <c r="AG58" s="21"/>
    </row>
    <row r="59" spans="1:33" x14ac:dyDescent="0.25">
      <c r="A59" s="2"/>
      <c r="B59" s="2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21"/>
      <c r="AG59" s="21"/>
    </row>
    <row r="60" spans="1:33" x14ac:dyDescent="0.25">
      <c r="A60" s="2"/>
      <c r="B60" s="2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21"/>
      <c r="AG60" s="21"/>
    </row>
    <row r="61" spans="1:33" x14ac:dyDescent="0.25">
      <c r="A61" s="2"/>
      <c r="B61" s="2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21"/>
      <c r="AG61" s="21"/>
    </row>
    <row r="62" spans="1:33" x14ac:dyDescent="0.25">
      <c r="A62" s="2"/>
      <c r="B62" s="2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21"/>
      <c r="AG62" s="21"/>
    </row>
    <row r="63" spans="1:33" x14ac:dyDescent="0.25">
      <c r="A63" s="2"/>
      <c r="B63" s="2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21"/>
      <c r="AG63" s="21"/>
    </row>
    <row r="64" spans="1:33" x14ac:dyDescent="0.25">
      <c r="A64" s="2"/>
      <c r="B64" s="2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21"/>
      <c r="AG64" s="21"/>
    </row>
    <row r="65" spans="1:33" x14ac:dyDescent="0.25">
      <c r="A65" s="2"/>
      <c r="B65" s="2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21"/>
      <c r="AG65" s="21"/>
    </row>
    <row r="66" spans="1:33" x14ac:dyDescent="0.25">
      <c r="A66" s="2"/>
      <c r="B66" s="2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21"/>
      <c r="AG66" s="21"/>
    </row>
    <row r="67" spans="1:33" x14ac:dyDescent="0.25">
      <c r="A67" s="2"/>
      <c r="B67" s="2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21"/>
      <c r="AG67" s="21"/>
    </row>
    <row r="68" spans="1:33" x14ac:dyDescent="0.25">
      <c r="A68" s="2"/>
      <c r="B68" s="2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21"/>
      <c r="AG68" s="21"/>
    </row>
    <row r="69" spans="1:33" x14ac:dyDescent="0.25">
      <c r="A69" s="2"/>
      <c r="B69" s="2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21"/>
      <c r="AG69" s="21"/>
    </row>
    <row r="70" spans="1:33" x14ac:dyDescent="0.25">
      <c r="A70" s="2"/>
      <c r="B70" s="2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21"/>
      <c r="AG70" s="21"/>
    </row>
    <row r="71" spans="1:33" x14ac:dyDescent="0.25">
      <c r="A71" s="2"/>
      <c r="B71" s="2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21"/>
      <c r="AG71" s="21"/>
    </row>
    <row r="72" spans="1:33" x14ac:dyDescent="0.25">
      <c r="A72" s="2"/>
      <c r="B72" s="2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21"/>
      <c r="AG72" s="21"/>
    </row>
    <row r="73" spans="1:33" x14ac:dyDescent="0.25">
      <c r="A73" s="2"/>
      <c r="B73" s="2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21"/>
      <c r="AG73" s="21"/>
    </row>
    <row r="74" spans="1:33" x14ac:dyDescent="0.25">
      <c r="A74" s="2"/>
      <c r="B74" s="2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21"/>
      <c r="AG74" s="21"/>
    </row>
    <row r="75" spans="1:33" x14ac:dyDescent="0.25">
      <c r="A75" s="2"/>
      <c r="B75" s="2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21"/>
      <c r="AG75" s="21"/>
    </row>
    <row r="76" spans="1:33" x14ac:dyDescent="0.25">
      <c r="A76" s="2"/>
      <c r="B76" s="2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21"/>
      <c r="AG76" s="21"/>
    </row>
    <row r="77" spans="1:33" x14ac:dyDescent="0.25">
      <c r="A77" s="2"/>
      <c r="B77" s="2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21"/>
      <c r="AG77" s="21"/>
    </row>
    <row r="78" spans="1:33" x14ac:dyDescent="0.25">
      <c r="A78" s="2"/>
      <c r="B78" s="2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21"/>
      <c r="AG78" s="21"/>
    </row>
    <row r="79" spans="1:33" x14ac:dyDescent="0.25">
      <c r="A79" s="2"/>
      <c r="B79" s="2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21"/>
      <c r="AG79" s="21"/>
    </row>
    <row r="80" spans="1:33" x14ac:dyDescent="0.25">
      <c r="A80" s="2"/>
      <c r="B80" s="2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21"/>
      <c r="AG80" s="21"/>
    </row>
    <row r="81" spans="1:33" x14ac:dyDescent="0.25">
      <c r="A81" s="2"/>
      <c r="B81" s="2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23"/>
      <c r="AG81" s="23"/>
    </row>
    <row r="82" spans="1:33" x14ac:dyDescent="0.25">
      <c r="A82" s="2"/>
      <c r="B82" s="2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23"/>
      <c r="AG82" s="23"/>
    </row>
    <row r="83" spans="1:33" x14ac:dyDescent="0.25">
      <c r="A83" s="2"/>
      <c r="B83" s="2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23"/>
      <c r="AG83" s="23"/>
    </row>
    <row r="84" spans="1:33" x14ac:dyDescent="0.25">
      <c r="A84" s="2"/>
      <c r="B84" s="2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23"/>
      <c r="AG84" s="23"/>
    </row>
    <row r="85" spans="1:33" x14ac:dyDescent="0.25">
      <c r="A85" s="2"/>
      <c r="B85" s="2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23"/>
      <c r="AG85" s="23"/>
    </row>
    <row r="86" spans="1:33" x14ac:dyDescent="0.25">
      <c r="A86" s="2"/>
      <c r="B86" s="2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23"/>
      <c r="AG86" s="23"/>
    </row>
    <row r="87" spans="1:33" x14ac:dyDescent="0.25">
      <c r="A87" s="2"/>
      <c r="B87" s="2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23"/>
      <c r="AG87" s="23"/>
    </row>
    <row r="88" spans="1:33" x14ac:dyDescent="0.25">
      <c r="A88" s="2"/>
      <c r="B88" s="2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23"/>
      <c r="AG88" s="23"/>
    </row>
    <row r="89" spans="1:33" x14ac:dyDescent="0.25">
      <c r="A89" s="2"/>
      <c r="B89" s="2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23"/>
      <c r="AG89" s="23"/>
    </row>
    <row r="90" spans="1:33" x14ac:dyDescent="0.25">
      <c r="A90" s="2"/>
      <c r="B90" s="2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23"/>
      <c r="AG90" s="23"/>
    </row>
    <row r="91" spans="1:33" x14ac:dyDescent="0.25">
      <c r="A91" s="2"/>
      <c r="B91" s="2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23"/>
      <c r="AG91" s="23"/>
    </row>
    <row r="92" spans="1:33" x14ac:dyDescent="0.25">
      <c r="A92" s="2"/>
      <c r="B92" s="2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23"/>
      <c r="AG92" s="23"/>
    </row>
    <row r="93" spans="1:33" x14ac:dyDescent="0.25">
      <c r="A93" s="2"/>
      <c r="B93" s="2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23"/>
      <c r="AG93" s="23"/>
    </row>
    <row r="94" spans="1:33" x14ac:dyDescent="0.25">
      <c r="A94" s="2"/>
      <c r="B94" s="2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23"/>
      <c r="AG94" s="23"/>
    </row>
    <row r="95" spans="1:33" x14ac:dyDescent="0.25">
      <c r="A95" s="2"/>
      <c r="B95" s="2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23"/>
      <c r="AG95" s="23"/>
    </row>
    <row r="96" spans="1:33" x14ac:dyDescent="0.25">
      <c r="A96" s="2"/>
      <c r="B96" s="2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23"/>
      <c r="AG96" s="23"/>
    </row>
    <row r="97" spans="1:33" x14ac:dyDescent="0.25">
      <c r="A97" s="2"/>
      <c r="B97" s="2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23"/>
      <c r="AG97" s="23"/>
    </row>
    <row r="98" spans="1:33" x14ac:dyDescent="0.25">
      <c r="A98" s="2"/>
      <c r="B98" s="2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23"/>
      <c r="AG98" s="23"/>
    </row>
    <row r="99" spans="1:33" x14ac:dyDescent="0.25">
      <c r="A99" s="2"/>
      <c r="B99" s="2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23"/>
      <c r="AG99" s="23"/>
    </row>
    <row r="100" spans="1:33" x14ac:dyDescent="0.25">
      <c r="A100" s="2"/>
      <c r="B100" s="2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23"/>
      <c r="AG100" s="23"/>
    </row>
    <row r="101" spans="1:33" x14ac:dyDescent="0.25">
      <c r="A101" s="2"/>
      <c r="B101" s="2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23"/>
      <c r="AG101" s="23"/>
    </row>
    <row r="102" spans="1:33" x14ac:dyDescent="0.25">
      <c r="A102" s="2"/>
      <c r="B102" s="2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23"/>
      <c r="AG102" s="23"/>
    </row>
    <row r="103" spans="1:33" x14ac:dyDescent="0.25">
      <c r="A103" s="2"/>
      <c r="B103" s="2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23"/>
      <c r="AG103" s="23"/>
    </row>
    <row r="104" spans="1:33" x14ac:dyDescent="0.25">
      <c r="A104" s="2"/>
      <c r="B104" s="2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23"/>
      <c r="AG104" s="23"/>
    </row>
    <row r="105" spans="1:33" x14ac:dyDescent="0.25">
      <c r="A105" s="2"/>
      <c r="B105" s="2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23"/>
      <c r="AG105" s="23"/>
    </row>
    <row r="106" spans="1:33" x14ac:dyDescent="0.25">
      <c r="A106" s="2"/>
      <c r="B106" s="2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23"/>
      <c r="AG106" s="23"/>
    </row>
    <row r="107" spans="1:33" x14ac:dyDescent="0.25">
      <c r="A107" s="2"/>
      <c r="B107" s="2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23"/>
      <c r="AG107" s="23"/>
    </row>
    <row r="108" spans="1:33" x14ac:dyDescent="0.25">
      <c r="A108" s="2"/>
      <c r="B108" s="2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23"/>
      <c r="AG108" s="23"/>
    </row>
    <row r="109" spans="1:33" x14ac:dyDescent="0.25">
      <c r="A109" s="2"/>
      <c r="B109" s="2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23"/>
      <c r="AG109" s="23"/>
    </row>
    <row r="110" spans="1:33" x14ac:dyDescent="0.25">
      <c r="A110" s="2"/>
      <c r="B110" s="2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23"/>
      <c r="AG110" s="23"/>
    </row>
    <row r="111" spans="1:33" x14ac:dyDescent="0.25">
      <c r="A111" s="2"/>
      <c r="B111" s="2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23"/>
      <c r="AG111" s="23"/>
    </row>
    <row r="112" spans="1:33" x14ac:dyDescent="0.25">
      <c r="A112" s="2"/>
      <c r="B112" s="2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23"/>
      <c r="AG112" s="23"/>
    </row>
    <row r="113" spans="1:33" x14ac:dyDescent="0.25">
      <c r="A113" s="2"/>
      <c r="B113" s="2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23"/>
      <c r="AG113" s="23"/>
    </row>
    <row r="114" spans="1:33" x14ac:dyDescent="0.25">
      <c r="A114" s="2"/>
      <c r="B114" s="2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23"/>
      <c r="AG114" s="23"/>
    </row>
    <row r="115" spans="1:33" x14ac:dyDescent="0.25">
      <c r="A115" s="2"/>
      <c r="B115" s="2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23"/>
      <c r="AG115" s="23"/>
    </row>
    <row r="116" spans="1:33" x14ac:dyDescent="0.25">
      <c r="A116" s="2"/>
      <c r="B116" s="2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23"/>
      <c r="AG116" s="23"/>
    </row>
    <row r="117" spans="1:33" x14ac:dyDescent="0.25">
      <c r="A117" s="2"/>
      <c r="B117" s="2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23"/>
      <c r="AG117" s="23"/>
    </row>
    <row r="118" spans="1:33" x14ac:dyDescent="0.25">
      <c r="A118" s="2"/>
      <c r="B118" s="2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23"/>
      <c r="AG118" s="23"/>
    </row>
    <row r="119" spans="1:33" x14ac:dyDescent="0.25">
      <c r="A119" s="2"/>
      <c r="B119" s="2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23"/>
      <c r="AG119" s="23"/>
    </row>
    <row r="120" spans="1:33" x14ac:dyDescent="0.25">
      <c r="A120" s="2"/>
      <c r="B120" s="2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23"/>
      <c r="AG120" s="23"/>
    </row>
    <row r="121" spans="1:33" x14ac:dyDescent="0.25">
      <c r="A121" s="2"/>
      <c r="B121" s="2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23"/>
      <c r="AG121" s="23"/>
    </row>
    <row r="122" spans="1:33" x14ac:dyDescent="0.25">
      <c r="A122" s="2"/>
      <c r="B122" s="2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23"/>
      <c r="AG122" s="23"/>
    </row>
    <row r="123" spans="1:33" x14ac:dyDescent="0.25">
      <c r="A123" s="2"/>
      <c r="B123" s="2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23"/>
      <c r="AG123" s="23"/>
    </row>
    <row r="124" spans="1:33" x14ac:dyDescent="0.25">
      <c r="A124" s="2"/>
      <c r="B124" s="2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23"/>
      <c r="AG124" s="23"/>
    </row>
    <row r="125" spans="1:33" x14ac:dyDescent="0.25">
      <c r="A125" s="2"/>
      <c r="B125" s="2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23"/>
      <c r="AG125" s="23"/>
    </row>
    <row r="126" spans="1:33" x14ac:dyDescent="0.25">
      <c r="A126" s="2"/>
      <c r="B126" s="2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23"/>
      <c r="AG126" s="23"/>
    </row>
    <row r="127" spans="1:33" x14ac:dyDescent="0.25">
      <c r="A127" s="2"/>
      <c r="B127" s="2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23"/>
      <c r="AG127" s="23"/>
    </row>
    <row r="128" spans="1:33" x14ac:dyDescent="0.25">
      <c r="A128" s="2"/>
      <c r="B128" s="2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23"/>
      <c r="AG128" s="23"/>
    </row>
    <row r="129" spans="1:33" x14ac:dyDescent="0.25">
      <c r="A129" s="2"/>
      <c r="B129" s="2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23"/>
      <c r="AG129" s="23"/>
    </row>
    <row r="130" spans="1:33" x14ac:dyDescent="0.25">
      <c r="A130" s="2"/>
      <c r="B130" s="2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23"/>
      <c r="AG130" s="23"/>
    </row>
    <row r="131" spans="1:33" x14ac:dyDescent="0.25">
      <c r="A131" s="2"/>
      <c r="B131" s="2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23"/>
      <c r="AG131" s="23"/>
    </row>
    <row r="132" spans="1:33" x14ac:dyDescent="0.25">
      <c r="A132" s="2"/>
      <c r="B132" s="2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23"/>
      <c r="AG132" s="23"/>
    </row>
    <row r="133" spans="1:33" x14ac:dyDescent="0.25">
      <c r="A133" s="2"/>
      <c r="B133" s="2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23"/>
      <c r="AG133" s="23"/>
    </row>
    <row r="134" spans="1:33" x14ac:dyDescent="0.25">
      <c r="A134" s="2"/>
      <c r="B134" s="2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23"/>
      <c r="AG134" s="23"/>
    </row>
    <row r="135" spans="1:33" x14ac:dyDescent="0.25">
      <c r="A135" s="2"/>
      <c r="B135" s="2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23"/>
      <c r="AG135" s="23"/>
    </row>
    <row r="136" spans="1:33" x14ac:dyDescent="0.25">
      <c r="A136" s="2"/>
      <c r="B136" s="2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23"/>
      <c r="AG136" s="23"/>
    </row>
    <row r="137" spans="1:33" x14ac:dyDescent="0.25">
      <c r="A137" s="2"/>
      <c r="B137" s="2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23"/>
      <c r="AG137" s="23"/>
    </row>
    <row r="138" spans="1:33" x14ac:dyDescent="0.25">
      <c r="A138" s="2"/>
      <c r="B138" s="2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23"/>
      <c r="AG138" s="23"/>
    </row>
    <row r="139" spans="1:33" x14ac:dyDescent="0.25">
      <c r="A139" s="2"/>
      <c r="B139" s="2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23"/>
      <c r="AG139" s="23"/>
    </row>
    <row r="140" spans="1:33" x14ac:dyDescent="0.25">
      <c r="A140" s="2"/>
      <c r="B140" s="2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23"/>
      <c r="AG140" s="23"/>
    </row>
    <row r="141" spans="1:33" x14ac:dyDescent="0.25">
      <c r="A141" s="2"/>
      <c r="B141" s="2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23"/>
      <c r="AG141" s="23"/>
    </row>
    <row r="142" spans="1:33" x14ac:dyDescent="0.25">
      <c r="A142" s="2"/>
      <c r="B142" s="2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23"/>
      <c r="AG142" s="23"/>
    </row>
    <row r="143" spans="1:33" x14ac:dyDescent="0.25">
      <c r="A143" s="2"/>
      <c r="B143" s="2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23"/>
      <c r="AG143" s="23"/>
    </row>
    <row r="144" spans="1:33" x14ac:dyDescent="0.25">
      <c r="A144" s="2"/>
      <c r="B144" s="2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23"/>
      <c r="AG144" s="23"/>
    </row>
    <row r="145" spans="1:33" x14ac:dyDescent="0.25">
      <c r="A145" s="2"/>
      <c r="B145" s="2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23"/>
      <c r="AG145" s="23"/>
    </row>
    <row r="146" spans="1:33" x14ac:dyDescent="0.25">
      <c r="A146" s="2"/>
      <c r="B146" s="2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23"/>
      <c r="AG146" s="23"/>
    </row>
    <row r="147" spans="1:33" x14ac:dyDescent="0.25">
      <c r="A147" s="2"/>
      <c r="B147" s="2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23"/>
      <c r="AG147" s="23"/>
    </row>
    <row r="148" spans="1:33" x14ac:dyDescent="0.25">
      <c r="A148" s="2"/>
      <c r="B148" s="2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23"/>
      <c r="AG148" s="23"/>
    </row>
    <row r="149" spans="1:33" x14ac:dyDescent="0.25">
      <c r="A149" s="2"/>
      <c r="B149" s="2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23"/>
      <c r="AG149" s="23"/>
    </row>
    <row r="150" spans="1:33" x14ac:dyDescent="0.25">
      <c r="A150" s="2"/>
      <c r="B150" s="2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23"/>
      <c r="AG150" s="23"/>
    </row>
    <row r="151" spans="1:33" x14ac:dyDescent="0.25">
      <c r="A151" s="2"/>
      <c r="B151" s="2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23"/>
      <c r="AG151" s="23"/>
    </row>
    <row r="152" spans="1:33" x14ac:dyDescent="0.25">
      <c r="A152" s="2"/>
      <c r="B152" s="2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23"/>
      <c r="AG152" s="23"/>
    </row>
    <row r="153" spans="1:33" x14ac:dyDescent="0.25">
      <c r="A153" s="2"/>
      <c r="B153" s="2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23"/>
      <c r="AG153" s="23"/>
    </row>
    <row r="154" spans="1:33" x14ac:dyDescent="0.25">
      <c r="A154" s="2"/>
      <c r="B154" s="2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23"/>
      <c r="AG154" s="23"/>
    </row>
    <row r="155" spans="1:33" x14ac:dyDescent="0.25">
      <c r="A155" s="2"/>
      <c r="B155" s="2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23"/>
      <c r="AG155" s="23"/>
    </row>
    <row r="156" spans="1:33" x14ac:dyDescent="0.25">
      <c r="A156" s="2"/>
      <c r="B156" s="2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23"/>
      <c r="AG156" s="23"/>
    </row>
    <row r="157" spans="1:33" x14ac:dyDescent="0.25">
      <c r="A157" s="2"/>
      <c r="B157" s="2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23"/>
      <c r="AG157" s="23"/>
    </row>
    <row r="158" spans="1:33" x14ac:dyDescent="0.25">
      <c r="A158" s="2"/>
      <c r="B158" s="2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23"/>
      <c r="AG158" s="23"/>
    </row>
    <row r="159" spans="1:33" x14ac:dyDescent="0.25">
      <c r="A159" s="2"/>
      <c r="B159" s="2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23"/>
      <c r="AG159" s="23"/>
    </row>
    <row r="160" spans="1:33" x14ac:dyDescent="0.25">
      <c r="A160" s="2"/>
      <c r="B160" s="2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23"/>
      <c r="AG160" s="23"/>
    </row>
    <row r="161" spans="1:33" x14ac:dyDescent="0.25">
      <c r="A161" s="2"/>
      <c r="B161" s="2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23"/>
      <c r="AG161" s="23"/>
    </row>
    <row r="162" spans="1:33" x14ac:dyDescent="0.25">
      <c r="A162" s="2"/>
      <c r="B162" s="2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23"/>
      <c r="AG162" s="23"/>
    </row>
    <row r="163" spans="1:33" x14ac:dyDescent="0.25">
      <c r="A163" s="2"/>
      <c r="B163" s="2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23"/>
      <c r="AG163" s="23"/>
    </row>
    <row r="164" spans="1:33" x14ac:dyDescent="0.25">
      <c r="A164" s="2"/>
      <c r="B164" s="2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23"/>
      <c r="AG164" s="23"/>
    </row>
    <row r="165" spans="1:33" x14ac:dyDescent="0.25">
      <c r="A165" s="2"/>
      <c r="B165" s="2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23"/>
      <c r="AG165" s="23"/>
    </row>
    <row r="166" spans="1:33" x14ac:dyDescent="0.25">
      <c r="A166" s="2"/>
      <c r="B166" s="2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23"/>
      <c r="AG166" s="23"/>
    </row>
    <row r="167" spans="1:33" x14ac:dyDescent="0.25">
      <c r="A167" s="2"/>
      <c r="B167" s="2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23"/>
      <c r="AG167" s="23"/>
    </row>
    <row r="168" spans="1:33" x14ac:dyDescent="0.25">
      <c r="A168" s="2"/>
      <c r="B168" s="2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23"/>
      <c r="AG168" s="23"/>
    </row>
    <row r="169" spans="1:33" x14ac:dyDescent="0.25">
      <c r="A169" s="2"/>
      <c r="B169" s="2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23"/>
      <c r="AG169" s="23"/>
    </row>
    <row r="170" spans="1:33" x14ac:dyDescent="0.25">
      <c r="A170" s="2"/>
      <c r="B170" s="2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23"/>
      <c r="AG170" s="23"/>
    </row>
    <row r="171" spans="1:33" x14ac:dyDescent="0.25">
      <c r="A171" s="2"/>
      <c r="B171" s="2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23"/>
      <c r="AG171" s="23"/>
    </row>
    <row r="172" spans="1:33" x14ac:dyDescent="0.25">
      <c r="A172" s="2"/>
      <c r="B172" s="2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23"/>
      <c r="AG172" s="23"/>
    </row>
    <row r="173" spans="1:33" x14ac:dyDescent="0.25">
      <c r="A173" s="2"/>
      <c r="B173" s="2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23"/>
      <c r="AG173" s="23"/>
    </row>
    <row r="174" spans="1:33" x14ac:dyDescent="0.25">
      <c r="A174" s="2"/>
      <c r="B174" s="2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23"/>
      <c r="AG174" s="23"/>
    </row>
    <row r="175" spans="1:33" x14ac:dyDescent="0.25">
      <c r="A175" s="2"/>
      <c r="B175" s="2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23"/>
      <c r="AG175" s="23"/>
    </row>
    <row r="176" spans="1:33" x14ac:dyDescent="0.25">
      <c r="A176" s="2"/>
      <c r="B176" s="2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23"/>
      <c r="AG176" s="23"/>
    </row>
    <row r="177" spans="1:33" x14ac:dyDescent="0.25">
      <c r="A177" s="2"/>
      <c r="B177" s="2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23"/>
      <c r="AG177" s="23"/>
    </row>
    <row r="178" spans="1:33" x14ac:dyDescent="0.25">
      <c r="A178" s="2"/>
      <c r="B178" s="2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23"/>
      <c r="AG178" s="23"/>
    </row>
    <row r="179" spans="1:33" x14ac:dyDescent="0.25">
      <c r="A179" s="2"/>
      <c r="B179" s="2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23"/>
      <c r="AG179" s="23"/>
    </row>
    <row r="180" spans="1:33" x14ac:dyDescent="0.25">
      <c r="A180" s="2"/>
      <c r="B180" s="2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23"/>
      <c r="AG180" s="23"/>
    </row>
    <row r="181" spans="1:33" x14ac:dyDescent="0.25">
      <c r="A181" s="2"/>
      <c r="B181" s="2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23"/>
      <c r="AG181" s="23"/>
    </row>
    <row r="182" spans="1:33" x14ac:dyDescent="0.25">
      <c r="A182" s="2"/>
      <c r="B182" s="2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23"/>
      <c r="AG182" s="23"/>
    </row>
    <row r="183" spans="1:33" x14ac:dyDescent="0.25">
      <c r="A183" s="2"/>
      <c r="B183" s="2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23"/>
      <c r="AG183" s="23"/>
    </row>
    <row r="184" spans="1:33" x14ac:dyDescent="0.25">
      <c r="A184" s="2"/>
      <c r="B184" s="2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23"/>
      <c r="AG184" s="23"/>
    </row>
    <row r="185" spans="1:33" x14ac:dyDescent="0.25">
      <c r="A185" s="2"/>
      <c r="B185" s="2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23"/>
      <c r="AG185" s="23"/>
    </row>
    <row r="186" spans="1:33" x14ac:dyDescent="0.25">
      <c r="A186" s="2"/>
      <c r="B186" s="2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23"/>
      <c r="AG186" s="23"/>
    </row>
    <row r="187" spans="1:33" x14ac:dyDescent="0.25">
      <c r="A187" s="2"/>
      <c r="B187" s="2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23"/>
      <c r="AG187" s="23"/>
    </row>
    <row r="188" spans="1:33" x14ac:dyDescent="0.25">
      <c r="A188" s="2"/>
      <c r="B188" s="2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23"/>
      <c r="AG188" s="23"/>
    </row>
    <row r="189" spans="1:33" x14ac:dyDescent="0.25">
      <c r="A189" s="2"/>
      <c r="B189" s="2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23"/>
      <c r="AG189" s="23"/>
    </row>
    <row r="190" spans="1:33" x14ac:dyDescent="0.25">
      <c r="A190" s="2"/>
      <c r="B190" s="2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23"/>
      <c r="AG190" s="23"/>
    </row>
    <row r="191" spans="1:33" x14ac:dyDescent="0.25">
      <c r="A191" s="2"/>
      <c r="B191" s="2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23"/>
      <c r="AG191" s="23"/>
    </row>
    <row r="192" spans="1:33" x14ac:dyDescent="0.25">
      <c r="A192" s="2"/>
      <c r="B192" s="2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23"/>
      <c r="AG192" s="23"/>
    </row>
    <row r="193" spans="1:33" x14ac:dyDescent="0.25">
      <c r="A193" s="2"/>
      <c r="B193" s="2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23"/>
      <c r="AG193" s="23"/>
    </row>
    <row r="194" spans="1:33" x14ac:dyDescent="0.25">
      <c r="A194" s="2"/>
      <c r="B194" s="2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23"/>
      <c r="AG194" s="23"/>
    </row>
    <row r="195" spans="1:33" x14ac:dyDescent="0.25">
      <c r="A195" s="2"/>
      <c r="B195" s="2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23"/>
      <c r="AG195" s="23"/>
    </row>
    <row r="196" spans="1:33" x14ac:dyDescent="0.25">
      <c r="A196" s="2"/>
      <c r="B196" s="2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23"/>
      <c r="AG196" s="23"/>
    </row>
    <row r="197" spans="1:33" x14ac:dyDescent="0.25">
      <c r="A197" s="2"/>
      <c r="B197" s="2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23"/>
      <c r="AG197" s="23"/>
    </row>
    <row r="198" spans="1:33" x14ac:dyDescent="0.25">
      <c r="A198" s="2"/>
      <c r="B198" s="2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23"/>
      <c r="AG198" s="23"/>
    </row>
    <row r="199" spans="1:33" x14ac:dyDescent="0.25">
      <c r="A199" s="2"/>
      <c r="B199" s="2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23"/>
      <c r="AG199" s="23"/>
    </row>
    <row r="200" spans="1:33" x14ac:dyDescent="0.25">
      <c r="A200" s="2"/>
      <c r="B200" s="2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23"/>
      <c r="AG200" s="23"/>
    </row>
    <row r="201" spans="1:33" x14ac:dyDescent="0.25">
      <c r="A201" s="2"/>
      <c r="B201" s="2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23"/>
      <c r="AG201" s="23"/>
    </row>
    <row r="202" spans="1:33" x14ac:dyDescent="0.25">
      <c r="A202" s="2"/>
      <c r="B202" s="2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23"/>
      <c r="AG202" s="23"/>
    </row>
    <row r="203" spans="1:33" x14ac:dyDescent="0.25">
      <c r="A203" s="2"/>
      <c r="B203" s="2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23"/>
      <c r="AG203" s="23"/>
    </row>
    <row r="204" spans="1:33" x14ac:dyDescent="0.25">
      <c r="A204" s="2"/>
      <c r="B204" s="2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23"/>
      <c r="AG204" s="23"/>
    </row>
    <row r="205" spans="1:33" x14ac:dyDescent="0.25">
      <c r="A205" s="2"/>
      <c r="B205" s="2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23"/>
      <c r="AG205" s="23"/>
    </row>
    <row r="206" spans="1:33" x14ac:dyDescent="0.25">
      <c r="A206" s="2"/>
      <c r="B206" s="2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23"/>
      <c r="AG206" s="23"/>
    </row>
    <row r="207" spans="1:33" x14ac:dyDescent="0.25">
      <c r="A207" s="2"/>
      <c r="B207" s="2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23"/>
      <c r="AG207" s="23"/>
    </row>
    <row r="208" spans="1:33" x14ac:dyDescent="0.25">
      <c r="A208" s="2"/>
      <c r="B208" s="2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23"/>
      <c r="AG208" s="23"/>
    </row>
    <row r="209" spans="1:33" x14ac:dyDescent="0.25">
      <c r="A209" s="2"/>
      <c r="B209" s="2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23"/>
      <c r="AG209" s="23"/>
    </row>
    <row r="210" spans="1:33" x14ac:dyDescent="0.25">
      <c r="A210" s="2"/>
      <c r="B210" s="2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23"/>
      <c r="AG210" s="23"/>
    </row>
    <row r="211" spans="1:33" x14ac:dyDescent="0.25">
      <c r="A211" s="2"/>
      <c r="B211" s="2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23"/>
      <c r="AG211" s="23"/>
    </row>
    <row r="212" spans="1:33" x14ac:dyDescent="0.25">
      <c r="A212" s="2"/>
      <c r="B212" s="2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23"/>
      <c r="AG212" s="23"/>
    </row>
    <row r="213" spans="1:33" x14ac:dyDescent="0.25">
      <c r="A213" s="2"/>
      <c r="B213" s="2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23"/>
      <c r="AG213" s="23"/>
    </row>
    <row r="214" spans="1:33" x14ac:dyDescent="0.25">
      <c r="A214" s="2"/>
      <c r="B214" s="2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23"/>
      <c r="AG214" s="23"/>
    </row>
    <row r="215" spans="1:33" x14ac:dyDescent="0.25">
      <c r="A215" s="2"/>
      <c r="B215" s="2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23"/>
      <c r="AG215" s="23"/>
    </row>
    <row r="216" spans="1:33" x14ac:dyDescent="0.25">
      <c r="A216" s="2"/>
      <c r="B216" s="2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23"/>
      <c r="AG216" s="23"/>
    </row>
    <row r="217" spans="1:33" x14ac:dyDescent="0.25"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  <c r="AF217" s="23"/>
      <c r="AG217" s="23"/>
    </row>
    <row r="218" spans="1:33" x14ac:dyDescent="0.25"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  <c r="AG218" s="23"/>
    </row>
    <row r="219" spans="1:33" x14ac:dyDescent="0.25"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  <c r="AF219" s="23"/>
      <c r="AG219" s="23"/>
    </row>
    <row r="220" spans="1:33" x14ac:dyDescent="0.25"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  <c r="AF220" s="23"/>
      <c r="AG220" s="23"/>
    </row>
    <row r="221" spans="1:33" x14ac:dyDescent="0.25"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  <c r="AF221" s="23"/>
      <c r="AG221" s="23"/>
    </row>
    <row r="222" spans="1:33" x14ac:dyDescent="0.25"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</row>
    <row r="223" spans="1:33" x14ac:dyDescent="0.25"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  <c r="AF223" s="23"/>
      <c r="AG223" s="23"/>
    </row>
    <row r="224" spans="1:33" x14ac:dyDescent="0.25"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  <c r="AF224" s="23"/>
      <c r="AG224" s="23"/>
    </row>
  </sheetData>
  <hyperlinks>
    <hyperlink ref="A1" location="Main!A1" display="Main" xr:uid="{1BEDD07B-5AEF-4804-88A7-EE82904B87FC}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75E9E-6EDC-4F7B-A93D-2DF5215DDAD2}">
  <dimension ref="A1:CZ373"/>
  <sheetViews>
    <sheetView zoomScale="200" zoomScaleNormal="200" workbookViewId="0">
      <pane xSplit="2" ySplit="2" topLeftCell="H11" activePane="bottomRight" state="frozen"/>
      <selection pane="topRight" activeCell="C1" sqref="C1"/>
      <selection pane="bottomLeft" activeCell="A3" sqref="A3"/>
      <selection pane="bottomRight" activeCell="K42" sqref="K42"/>
    </sheetView>
  </sheetViews>
  <sheetFormatPr defaultRowHeight="13.5" x14ac:dyDescent="0.25"/>
  <cols>
    <col min="1" max="1" width="4.7109375" style="3" bestFit="1" customWidth="1"/>
    <col min="2" max="2" width="27.42578125" style="3" bestFit="1" customWidth="1"/>
    <col min="3" max="20" width="9.140625" style="3"/>
    <col min="21" max="21" width="10.85546875" style="3" bestFit="1" customWidth="1"/>
    <col min="22" max="16384" width="9.140625" style="3"/>
  </cols>
  <sheetData>
    <row r="1" spans="1:40" x14ac:dyDescent="0.25">
      <c r="A1" s="7" t="s">
        <v>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</row>
    <row r="2" spans="1:40" x14ac:dyDescent="0.25">
      <c r="A2" s="2"/>
      <c r="B2" s="2"/>
      <c r="C2" s="5" t="s">
        <v>36</v>
      </c>
      <c r="D2" s="5" t="s">
        <v>37</v>
      </c>
      <c r="E2" s="5" t="s">
        <v>38</v>
      </c>
      <c r="F2" s="5" t="s">
        <v>39</v>
      </c>
      <c r="G2" s="5" t="s">
        <v>40</v>
      </c>
      <c r="H2" s="5" t="s">
        <v>41</v>
      </c>
      <c r="I2" s="5" t="s">
        <v>42</v>
      </c>
      <c r="J2" s="5" t="s">
        <v>43</v>
      </c>
      <c r="K2" s="101" t="s">
        <v>392</v>
      </c>
      <c r="L2" s="101" t="s">
        <v>393</v>
      </c>
      <c r="M2" s="5"/>
      <c r="N2" s="5" t="s">
        <v>15</v>
      </c>
      <c r="O2" s="5" t="s">
        <v>16</v>
      </c>
      <c r="P2" s="5" t="s">
        <v>17</v>
      </c>
      <c r="Q2" s="5" t="s">
        <v>18</v>
      </c>
      <c r="R2" s="5" t="s">
        <v>19</v>
      </c>
      <c r="S2" s="5" t="s">
        <v>20</v>
      </c>
      <c r="T2" s="5" t="s">
        <v>21</v>
      </c>
      <c r="U2" s="87" t="s">
        <v>382</v>
      </c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</row>
    <row r="3" spans="1:40" x14ac:dyDescent="0.25">
      <c r="A3" s="2"/>
      <c r="B3" s="2" t="s">
        <v>55</v>
      </c>
      <c r="C3" s="24"/>
      <c r="D3" s="24">
        <f>+R3</f>
        <v>422</v>
      </c>
      <c r="E3" s="24">
        <v>428</v>
      </c>
      <c r="F3" s="24">
        <f>+S3</f>
        <v>428</v>
      </c>
      <c r="G3" s="24">
        <v>417</v>
      </c>
      <c r="H3" s="24">
        <f>+T3</f>
        <v>425</v>
      </c>
      <c r="I3" s="24">
        <v>426</v>
      </c>
      <c r="J3" s="91">
        <f t="shared" ref="J3:J8" si="0">+U3</f>
        <v>423</v>
      </c>
      <c r="K3" s="91">
        <v>416</v>
      </c>
      <c r="L3" s="91"/>
      <c r="M3" s="24"/>
      <c r="N3" s="24">
        <v>398</v>
      </c>
      <c r="O3" s="24">
        <v>410</v>
      </c>
      <c r="P3" s="24">
        <v>410</v>
      </c>
      <c r="Q3" s="24">
        <v>420</v>
      </c>
      <c r="R3" s="24">
        <v>422</v>
      </c>
      <c r="S3" s="24">
        <v>428</v>
      </c>
      <c r="T3" s="24">
        <v>425</v>
      </c>
      <c r="U3" s="4">
        <v>423</v>
      </c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21"/>
      <c r="AK3" s="21"/>
      <c r="AL3" s="21"/>
    </row>
    <row r="4" spans="1:40" x14ac:dyDescent="0.25">
      <c r="A4" s="2"/>
      <c r="B4" s="88" t="s">
        <v>383</v>
      </c>
      <c r="C4" s="24">
        <v>0</v>
      </c>
      <c r="D4" s="24">
        <v>0</v>
      </c>
      <c r="E4" s="24">
        <v>0</v>
      </c>
      <c r="F4" s="24">
        <v>0</v>
      </c>
      <c r="G4" s="24">
        <v>0</v>
      </c>
      <c r="H4" s="24">
        <v>0</v>
      </c>
      <c r="I4" s="24">
        <v>0</v>
      </c>
      <c r="J4" s="91">
        <f t="shared" si="0"/>
        <v>220</v>
      </c>
      <c r="K4" s="91">
        <v>210</v>
      </c>
      <c r="L4" s="91"/>
      <c r="M4" s="24"/>
      <c r="N4" s="24">
        <v>0</v>
      </c>
      <c r="O4" s="24">
        <v>0</v>
      </c>
      <c r="P4" s="24">
        <v>0</v>
      </c>
      <c r="Q4" s="24">
        <v>0</v>
      </c>
      <c r="R4" s="24">
        <v>0</v>
      </c>
      <c r="S4" s="24">
        <v>0</v>
      </c>
      <c r="T4" s="24">
        <v>0</v>
      </c>
      <c r="U4" s="24">
        <v>220</v>
      </c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21"/>
      <c r="AK4" s="21"/>
      <c r="AL4" s="21"/>
    </row>
    <row r="5" spans="1:40" x14ac:dyDescent="0.25">
      <c r="A5" s="2"/>
      <c r="B5" s="2" t="s">
        <v>56</v>
      </c>
      <c r="C5" s="24"/>
      <c r="D5" s="24">
        <f t="shared" ref="D5:D10" si="1">+R5</f>
        <v>145</v>
      </c>
      <c r="E5" s="24">
        <v>141</v>
      </c>
      <c r="F5" s="24">
        <f t="shared" ref="F5:F8" si="2">+S5</f>
        <v>141</v>
      </c>
      <c r="G5" s="24">
        <v>139</v>
      </c>
      <c r="H5" s="24">
        <f t="shared" ref="H5:H10" si="3">+T5</f>
        <v>147</v>
      </c>
      <c r="I5" s="24">
        <v>156</v>
      </c>
      <c r="J5" s="91">
        <f t="shared" si="0"/>
        <v>162</v>
      </c>
      <c r="K5" s="91">
        <v>168</v>
      </c>
      <c r="L5" s="91"/>
      <c r="M5" s="24"/>
      <c r="N5" s="24">
        <v>166</v>
      </c>
      <c r="O5" s="24">
        <v>160</v>
      </c>
      <c r="P5" s="24">
        <v>152</v>
      </c>
      <c r="Q5" s="24">
        <v>146</v>
      </c>
      <c r="R5" s="24">
        <v>145</v>
      </c>
      <c r="S5" s="24">
        <v>141</v>
      </c>
      <c r="T5" s="24">
        <v>147</v>
      </c>
      <c r="U5" s="4">
        <v>162</v>
      </c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21"/>
      <c r="AK5" s="21"/>
      <c r="AL5" s="21"/>
    </row>
    <row r="6" spans="1:40" x14ac:dyDescent="0.25">
      <c r="A6" s="2"/>
      <c r="B6" s="2" t="s">
        <v>57</v>
      </c>
      <c r="C6" s="24"/>
      <c r="D6" s="24">
        <f t="shared" si="1"/>
        <v>37</v>
      </c>
      <c r="E6" s="24">
        <v>28</v>
      </c>
      <c r="F6" s="24">
        <f t="shared" si="2"/>
        <v>28</v>
      </c>
      <c r="G6" s="24">
        <v>28</v>
      </c>
      <c r="H6" s="24">
        <f t="shared" si="3"/>
        <v>28</v>
      </c>
      <c r="I6" s="24">
        <v>28</v>
      </c>
      <c r="J6" s="91">
        <f t="shared" si="0"/>
        <v>27</v>
      </c>
      <c r="K6" s="91">
        <v>26</v>
      </c>
      <c r="L6" s="91"/>
      <c r="M6" s="24"/>
      <c r="N6" s="24">
        <v>63</v>
      </c>
      <c r="O6" s="24">
        <v>62</v>
      </c>
      <c r="P6" s="24">
        <v>62</v>
      </c>
      <c r="Q6" s="24">
        <v>61</v>
      </c>
      <c r="R6" s="24">
        <v>37</v>
      </c>
      <c r="S6" s="24">
        <v>28</v>
      </c>
      <c r="T6" s="24">
        <v>28</v>
      </c>
      <c r="U6" s="4">
        <v>27</v>
      </c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21"/>
      <c r="AK6" s="21"/>
      <c r="AL6" s="21"/>
    </row>
    <row r="7" spans="1:40" x14ac:dyDescent="0.25">
      <c r="A7" s="2"/>
      <c r="B7" s="2" t="s">
        <v>58</v>
      </c>
      <c r="C7" s="24"/>
      <c r="D7" s="24">
        <f t="shared" si="1"/>
        <v>2</v>
      </c>
      <c r="E7" s="24">
        <v>2</v>
      </c>
      <c r="F7" s="24">
        <f t="shared" si="2"/>
        <v>2</v>
      </c>
      <c r="G7" s="24">
        <v>2</v>
      </c>
      <c r="H7" s="24">
        <f t="shared" si="3"/>
        <v>2</v>
      </c>
      <c r="I7" s="24">
        <v>2</v>
      </c>
      <c r="J7" s="91">
        <f t="shared" si="0"/>
        <v>2</v>
      </c>
      <c r="K7" s="91">
        <v>2</v>
      </c>
      <c r="L7" s="91"/>
      <c r="M7" s="24"/>
      <c r="N7" s="24">
        <v>4</v>
      </c>
      <c r="O7" s="24">
        <v>3</v>
      </c>
      <c r="P7" s="24">
        <v>3</v>
      </c>
      <c r="Q7" s="24">
        <v>2</v>
      </c>
      <c r="R7" s="24">
        <v>2</v>
      </c>
      <c r="S7" s="24">
        <v>2</v>
      </c>
      <c r="T7" s="24">
        <v>2</v>
      </c>
      <c r="U7" s="4">
        <v>2</v>
      </c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21"/>
      <c r="AK7" s="21"/>
      <c r="AL7" s="21"/>
    </row>
    <row r="8" spans="1:40" x14ac:dyDescent="0.25">
      <c r="A8" s="2"/>
      <c r="B8" s="2" t="s">
        <v>59</v>
      </c>
      <c r="C8" s="24"/>
      <c r="D8" s="24">
        <f t="shared" si="1"/>
        <v>6</v>
      </c>
      <c r="E8" s="24">
        <v>7</v>
      </c>
      <c r="F8" s="24">
        <f t="shared" si="2"/>
        <v>7</v>
      </c>
      <c r="G8" s="24">
        <v>7</v>
      </c>
      <c r="H8" s="24">
        <f t="shared" si="3"/>
        <v>7</v>
      </c>
      <c r="I8" s="24">
        <v>8</v>
      </c>
      <c r="J8" s="91">
        <f t="shared" si="0"/>
        <v>9</v>
      </c>
      <c r="K8" s="91">
        <v>10</v>
      </c>
      <c r="L8" s="91"/>
      <c r="M8" s="24"/>
      <c r="N8" s="24">
        <v>5</v>
      </c>
      <c r="O8" s="24">
        <v>6</v>
      </c>
      <c r="P8" s="24">
        <v>6</v>
      </c>
      <c r="Q8" s="24">
        <v>6</v>
      </c>
      <c r="R8" s="24">
        <v>6</v>
      </c>
      <c r="S8" s="24">
        <v>7</v>
      </c>
      <c r="T8" s="24">
        <v>7</v>
      </c>
      <c r="U8" s="4">
        <v>9</v>
      </c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21"/>
      <c r="AK8" s="21"/>
      <c r="AL8" s="21"/>
    </row>
    <row r="9" spans="1:40" x14ac:dyDescent="0.25">
      <c r="A9" s="2"/>
      <c r="B9" s="2" t="s">
        <v>60</v>
      </c>
      <c r="C9" s="24">
        <f t="shared" ref="C9:U9" si="4">+SUM(C3:C8)</f>
        <v>0</v>
      </c>
      <c r="D9" s="24">
        <f t="shared" si="4"/>
        <v>612</v>
      </c>
      <c r="E9" s="24">
        <f t="shared" si="4"/>
        <v>606</v>
      </c>
      <c r="F9" s="24">
        <f t="shared" si="4"/>
        <v>606</v>
      </c>
      <c r="G9" s="24">
        <f t="shared" si="4"/>
        <v>593</v>
      </c>
      <c r="H9" s="24">
        <f t="shared" si="4"/>
        <v>609</v>
      </c>
      <c r="I9" s="24">
        <f t="shared" si="4"/>
        <v>620</v>
      </c>
      <c r="J9" s="24">
        <f t="shared" si="4"/>
        <v>843</v>
      </c>
      <c r="K9" s="24">
        <f t="shared" si="4"/>
        <v>832</v>
      </c>
      <c r="L9" s="24"/>
      <c r="M9" s="24"/>
      <c r="N9" s="24">
        <f t="shared" si="4"/>
        <v>636</v>
      </c>
      <c r="O9" s="24">
        <f t="shared" si="4"/>
        <v>641</v>
      </c>
      <c r="P9" s="24">
        <f t="shared" si="4"/>
        <v>633</v>
      </c>
      <c r="Q9" s="24">
        <f t="shared" si="4"/>
        <v>635</v>
      </c>
      <c r="R9" s="24">
        <f t="shared" si="4"/>
        <v>612</v>
      </c>
      <c r="S9" s="24">
        <f t="shared" si="4"/>
        <v>606</v>
      </c>
      <c r="T9" s="24">
        <f t="shared" si="4"/>
        <v>609</v>
      </c>
      <c r="U9" s="24">
        <f t="shared" si="4"/>
        <v>843</v>
      </c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21"/>
      <c r="AK9" s="21"/>
      <c r="AL9" s="21"/>
    </row>
    <row r="10" spans="1:40" x14ac:dyDescent="0.25">
      <c r="A10" s="2"/>
      <c r="B10" s="2" t="s">
        <v>61</v>
      </c>
      <c r="C10" s="24"/>
      <c r="D10" s="24">
        <f t="shared" si="1"/>
        <v>26</v>
      </c>
      <c r="E10" s="24">
        <v>25</v>
      </c>
      <c r="F10" s="24">
        <f>+S10</f>
        <v>25</v>
      </c>
      <c r="G10" s="24">
        <v>24</v>
      </c>
      <c r="H10" s="24">
        <f t="shared" si="3"/>
        <v>23</v>
      </c>
      <c r="I10" s="24">
        <v>22</v>
      </c>
      <c r="J10" s="91">
        <f>+U10</f>
        <v>22</v>
      </c>
      <c r="K10" s="91">
        <v>22</v>
      </c>
      <c r="L10" s="91"/>
      <c r="M10" s="24"/>
      <c r="N10" s="24">
        <v>34</v>
      </c>
      <c r="O10" s="24">
        <v>25</v>
      </c>
      <c r="P10" s="24">
        <v>26</v>
      </c>
      <c r="Q10" s="24">
        <v>26</v>
      </c>
      <c r="R10" s="24">
        <v>26</v>
      </c>
      <c r="S10" s="24">
        <v>25</v>
      </c>
      <c r="T10" s="24">
        <v>23</v>
      </c>
      <c r="U10" s="4">
        <v>22</v>
      </c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21"/>
      <c r="AK10" s="21"/>
      <c r="AL10" s="21"/>
    </row>
    <row r="11" spans="1:40" x14ac:dyDescent="0.25">
      <c r="A11" s="2"/>
      <c r="B11" s="2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21"/>
      <c r="AK11" s="21"/>
      <c r="AL11" s="21"/>
    </row>
    <row r="12" spans="1:40" x14ac:dyDescent="0.25">
      <c r="A12" s="2"/>
      <c r="B12" s="2" t="s">
        <v>11</v>
      </c>
      <c r="C12" s="25"/>
      <c r="D12" s="25"/>
      <c r="E12" s="25">
        <v>1668</v>
      </c>
      <c r="F12" s="25">
        <f>+S12-E12</f>
        <v>2244.3090000000002</v>
      </c>
      <c r="G12" s="25">
        <v>1708</v>
      </c>
      <c r="H12" s="25">
        <f>+T12-G12</f>
        <v>1855.3760000000002</v>
      </c>
      <c r="I12" s="25">
        <v>1646.788</v>
      </c>
      <c r="J12" s="25">
        <f t="shared" ref="J12:J24" si="5">+U12-I12</f>
        <v>1746.0729999999999</v>
      </c>
      <c r="K12" s="25">
        <v>1620.9580000000001</v>
      </c>
      <c r="L12" s="25"/>
      <c r="M12" s="25"/>
      <c r="N12" s="25">
        <v>2558.1080000000002</v>
      </c>
      <c r="O12" s="25">
        <v>2643.348</v>
      </c>
      <c r="P12" s="25">
        <v>2012.62</v>
      </c>
      <c r="Q12" s="25">
        <v>2857.6930000000002</v>
      </c>
      <c r="R12" s="25">
        <v>3647.8049999999998</v>
      </c>
      <c r="S12" s="25">
        <v>3912.3090000000002</v>
      </c>
      <c r="T12" s="25">
        <v>3563.3760000000002</v>
      </c>
      <c r="U12" s="25">
        <v>3392.8609999999999</v>
      </c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</row>
    <row r="13" spans="1:40" x14ac:dyDescent="0.25">
      <c r="A13" s="2"/>
      <c r="B13" s="2" t="s">
        <v>52</v>
      </c>
      <c r="C13" s="25"/>
      <c r="D13" s="25"/>
      <c r="E13" s="25">
        <v>285</v>
      </c>
      <c r="F13" s="25">
        <f t="shared" ref="F13:F24" si="6">+S13-E13</f>
        <v>468.23400000000004</v>
      </c>
      <c r="G13" s="25">
        <v>530</v>
      </c>
      <c r="H13" s="25">
        <f t="shared" ref="H13:H38" si="7">+T13-G13</f>
        <v>698.05300000000011</v>
      </c>
      <c r="I13" s="25">
        <v>780.14</v>
      </c>
      <c r="J13" s="25">
        <f t="shared" si="5"/>
        <v>814.44099999999992</v>
      </c>
      <c r="K13" s="25">
        <v>763.27599999999995</v>
      </c>
      <c r="L13" s="25"/>
      <c r="M13" s="25"/>
      <c r="N13" s="25">
        <v>453.476</v>
      </c>
      <c r="O13" s="25">
        <v>450.49099999999999</v>
      </c>
      <c r="P13" s="25">
        <v>329.49700000000001</v>
      </c>
      <c r="Q13" s="25">
        <v>401.21899999999999</v>
      </c>
      <c r="R13" s="25">
        <v>488.952</v>
      </c>
      <c r="S13" s="25">
        <v>753.23400000000004</v>
      </c>
      <c r="T13" s="25">
        <v>1228.0530000000001</v>
      </c>
      <c r="U13" s="25">
        <v>1594.5809999999999</v>
      </c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</row>
    <row r="14" spans="1:40" x14ac:dyDescent="0.25">
      <c r="A14" s="2"/>
      <c r="B14" s="88" t="s">
        <v>383</v>
      </c>
      <c r="C14" s="89">
        <v>0</v>
      </c>
      <c r="D14" s="89">
        <v>0</v>
      </c>
      <c r="E14" s="89">
        <v>0</v>
      </c>
      <c r="F14" s="89">
        <v>0</v>
      </c>
      <c r="G14" s="89">
        <v>0</v>
      </c>
      <c r="H14" s="89">
        <v>0</v>
      </c>
      <c r="I14" s="89">
        <v>0</v>
      </c>
      <c r="J14" s="25">
        <f t="shared" si="5"/>
        <v>51.343000000000004</v>
      </c>
      <c r="K14" s="25">
        <v>219.49700000000001</v>
      </c>
      <c r="L14" s="25"/>
      <c r="M14" s="25"/>
      <c r="N14" s="89">
        <v>0</v>
      </c>
      <c r="O14" s="89">
        <v>0</v>
      </c>
      <c r="P14" s="89">
        <v>0</v>
      </c>
      <c r="Q14" s="89">
        <v>0</v>
      </c>
      <c r="R14" s="89">
        <v>0</v>
      </c>
      <c r="S14" s="89">
        <v>0</v>
      </c>
      <c r="T14" s="89">
        <v>0</v>
      </c>
      <c r="U14" s="25">
        <v>51.343000000000004</v>
      </c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</row>
    <row r="15" spans="1:40" x14ac:dyDescent="0.25">
      <c r="A15" s="2"/>
      <c r="B15" s="2" t="s">
        <v>53</v>
      </c>
      <c r="C15" s="25"/>
      <c r="D15" s="25"/>
      <c r="E15" s="25">
        <v>13</v>
      </c>
      <c r="F15" s="25">
        <f t="shared" si="6"/>
        <v>22.790999999999997</v>
      </c>
      <c r="G15" s="25">
        <v>15</v>
      </c>
      <c r="H15" s="25">
        <f t="shared" si="7"/>
        <v>16.658999999999999</v>
      </c>
      <c r="I15" s="25">
        <v>15.37</v>
      </c>
      <c r="J15" s="25">
        <f t="shared" si="5"/>
        <v>18.318000000000005</v>
      </c>
      <c r="K15" s="25">
        <v>15.766</v>
      </c>
      <c r="L15" s="25"/>
      <c r="M15" s="25"/>
      <c r="N15" s="25">
        <v>69.078999999999994</v>
      </c>
      <c r="O15" s="25">
        <v>69.801000000000002</v>
      </c>
      <c r="P15" s="25">
        <v>36.963999999999999</v>
      </c>
      <c r="Q15" s="25">
        <v>39.551000000000002</v>
      </c>
      <c r="R15" s="25">
        <v>41.970999999999997</v>
      </c>
      <c r="S15" s="25">
        <v>35.790999999999997</v>
      </c>
      <c r="T15" s="25">
        <v>31.658999999999999</v>
      </c>
      <c r="U15" s="25">
        <v>33.688000000000002</v>
      </c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</row>
    <row r="16" spans="1:40" x14ac:dyDescent="0.25">
      <c r="A16" s="2"/>
      <c r="B16" s="2" t="s">
        <v>54</v>
      </c>
      <c r="C16" s="25"/>
      <c r="D16" s="25"/>
      <c r="E16" s="25">
        <v>9</v>
      </c>
      <c r="F16" s="25">
        <f t="shared" si="6"/>
        <v>16.077000000000002</v>
      </c>
      <c r="G16" s="25">
        <v>10</v>
      </c>
      <c r="H16" s="25">
        <f t="shared" si="7"/>
        <v>16.12</v>
      </c>
      <c r="I16" s="25">
        <v>11.083</v>
      </c>
      <c r="J16" s="25">
        <f t="shared" si="5"/>
        <v>18.234000000000002</v>
      </c>
      <c r="K16" s="25">
        <v>13.021000000000001</v>
      </c>
      <c r="L16" s="25"/>
      <c r="M16" s="25"/>
      <c r="N16" s="25">
        <v>17.405000000000001</v>
      </c>
      <c r="O16" s="25">
        <v>19.699000000000002</v>
      </c>
      <c r="P16" s="25">
        <v>11.785</v>
      </c>
      <c r="Q16" s="25">
        <v>18.157</v>
      </c>
      <c r="R16" s="25">
        <v>21.946000000000002</v>
      </c>
      <c r="S16" s="25">
        <v>25.077000000000002</v>
      </c>
      <c r="T16" s="25">
        <v>26.12</v>
      </c>
      <c r="U16" s="25">
        <v>29.317</v>
      </c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21"/>
      <c r="AK16" s="21"/>
      <c r="AL16" s="21"/>
      <c r="AM16" s="21"/>
      <c r="AN16" s="21"/>
    </row>
    <row r="17" spans="1:40" x14ac:dyDescent="0.25">
      <c r="A17" s="2"/>
      <c r="B17" s="2" t="s">
        <v>62</v>
      </c>
      <c r="C17" s="25"/>
      <c r="D17" s="25"/>
      <c r="E17" s="25">
        <v>715.72400000000005</v>
      </c>
      <c r="F17" s="25">
        <f t="shared" si="6"/>
        <v>730.27599999999995</v>
      </c>
      <c r="G17" s="25">
        <v>774.43499999999995</v>
      </c>
      <c r="H17" s="25">
        <f t="shared" si="7"/>
        <v>829.97800000000007</v>
      </c>
      <c r="I17" s="25">
        <v>838.37099999999998</v>
      </c>
      <c r="J17" s="25">
        <f t="shared" si="5"/>
        <v>861.07700000000011</v>
      </c>
      <c r="K17" s="25">
        <v>922.28300000000002</v>
      </c>
      <c r="L17" s="25"/>
      <c r="M17" s="25"/>
      <c r="N17" s="25">
        <v>1189.827</v>
      </c>
      <c r="O17" s="25">
        <v>1228.4369999999999</v>
      </c>
      <c r="P17" s="25">
        <v>741.13099999999997</v>
      </c>
      <c r="Q17" s="25">
        <v>970.63599999999997</v>
      </c>
      <c r="R17" s="25">
        <v>1232</v>
      </c>
      <c r="S17" s="25">
        <v>1446</v>
      </c>
      <c r="T17" s="25">
        <v>1604.413</v>
      </c>
      <c r="U17" s="25">
        <v>1699.4480000000001</v>
      </c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21"/>
      <c r="AK17" s="21"/>
      <c r="AL17" s="21"/>
      <c r="AM17" s="21"/>
      <c r="AN17" s="21"/>
    </row>
    <row r="18" spans="1:40" x14ac:dyDescent="0.25">
      <c r="A18" s="2"/>
      <c r="B18" s="2" t="s">
        <v>63</v>
      </c>
      <c r="C18" s="25"/>
      <c r="D18" s="25"/>
      <c r="E18" s="25">
        <v>582.11199999999997</v>
      </c>
      <c r="F18" s="25">
        <f t="shared" si="6"/>
        <v>729.88800000000003</v>
      </c>
      <c r="G18" s="25">
        <v>682.19200000000001</v>
      </c>
      <c r="H18" s="25">
        <f t="shared" si="7"/>
        <v>849.43000000000006</v>
      </c>
      <c r="I18" s="25">
        <v>727.56200000000001</v>
      </c>
      <c r="J18" s="25">
        <f t="shared" si="5"/>
        <v>835.23500000000001</v>
      </c>
      <c r="K18" s="25">
        <v>752.14599999999996</v>
      </c>
      <c r="L18" s="25"/>
      <c r="M18" s="25"/>
      <c r="N18" s="25">
        <v>1035.0609999999999</v>
      </c>
      <c r="O18" s="25">
        <v>1017.593</v>
      </c>
      <c r="P18" s="25">
        <v>963.84500000000003</v>
      </c>
      <c r="Q18" s="25">
        <v>1272.5340000000001</v>
      </c>
      <c r="R18" s="25">
        <v>1187</v>
      </c>
      <c r="S18" s="25">
        <v>1312</v>
      </c>
      <c r="T18" s="25">
        <v>1531.6220000000001</v>
      </c>
      <c r="U18" s="25">
        <v>1562.797</v>
      </c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21"/>
      <c r="AK18" s="21"/>
      <c r="AL18" s="21"/>
      <c r="AM18" s="21"/>
      <c r="AN18" s="21"/>
    </row>
    <row r="19" spans="1:40" x14ac:dyDescent="0.25">
      <c r="A19" s="2"/>
      <c r="B19" s="2" t="s">
        <v>64</v>
      </c>
      <c r="C19" s="25"/>
      <c r="D19" s="25"/>
      <c r="E19" s="25">
        <v>361.07299999999998</v>
      </c>
      <c r="F19" s="25">
        <f t="shared" si="6"/>
        <v>405.92700000000002</v>
      </c>
      <c r="G19" s="25">
        <v>386.96100000000001</v>
      </c>
      <c r="H19" s="25">
        <f t="shared" si="7"/>
        <v>442.84799999999996</v>
      </c>
      <c r="I19" s="25">
        <v>424.09</v>
      </c>
      <c r="J19" s="25">
        <f t="shared" si="5"/>
        <v>507.95700000000005</v>
      </c>
      <c r="K19" s="25">
        <v>471.99</v>
      </c>
      <c r="L19" s="25"/>
      <c r="M19" s="25"/>
      <c r="N19" s="25">
        <v>426.18400000000003</v>
      </c>
      <c r="O19" s="25">
        <v>455.40199999999999</v>
      </c>
      <c r="P19" s="25">
        <v>324.47899999999998</v>
      </c>
      <c r="Q19" s="25">
        <v>636.96299999999997</v>
      </c>
      <c r="R19" s="25">
        <v>782</v>
      </c>
      <c r="S19" s="25">
        <v>767</v>
      </c>
      <c r="T19" s="25">
        <v>829.80899999999997</v>
      </c>
      <c r="U19" s="25">
        <v>932.04700000000003</v>
      </c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21"/>
      <c r="AK19" s="21"/>
      <c r="AL19" s="21"/>
      <c r="AM19" s="21"/>
      <c r="AN19" s="21"/>
    </row>
    <row r="20" spans="1:40" x14ac:dyDescent="0.25">
      <c r="A20" s="2"/>
      <c r="B20" s="2" t="s">
        <v>65</v>
      </c>
      <c r="C20" s="25"/>
      <c r="D20" s="25"/>
      <c r="E20" s="25">
        <v>223.58699999999999</v>
      </c>
      <c r="F20" s="25">
        <f t="shared" si="6"/>
        <v>260.41300000000001</v>
      </c>
      <c r="G20" s="25">
        <v>308.61200000000002</v>
      </c>
      <c r="H20" s="25">
        <f t="shared" si="7"/>
        <v>347.81900000000002</v>
      </c>
      <c r="I20" s="25">
        <v>325.94499999999999</v>
      </c>
      <c r="J20" s="25">
        <f t="shared" si="5"/>
        <v>330.15600000000001</v>
      </c>
      <c r="K20" s="25">
        <v>288.30700000000002</v>
      </c>
      <c r="L20" s="25"/>
      <c r="M20" s="25"/>
      <c r="N20" s="25">
        <v>350.31299999999999</v>
      </c>
      <c r="O20" s="25">
        <v>386.05500000000001</v>
      </c>
      <c r="P20" s="25">
        <v>280.23200000000003</v>
      </c>
      <c r="Q20" s="25">
        <v>309.70400000000001</v>
      </c>
      <c r="R20" s="25">
        <v>369</v>
      </c>
      <c r="S20" s="25">
        <v>484</v>
      </c>
      <c r="T20" s="25">
        <v>656.43100000000004</v>
      </c>
      <c r="U20" s="25">
        <v>656.101</v>
      </c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21"/>
      <c r="AK20" s="21"/>
      <c r="AL20" s="21"/>
      <c r="AM20" s="21"/>
      <c r="AN20" s="21"/>
    </row>
    <row r="21" spans="1:40" x14ac:dyDescent="0.25">
      <c r="A21" s="2"/>
      <c r="B21" s="2" t="s">
        <v>66</v>
      </c>
      <c r="C21" s="25"/>
      <c r="D21" s="25"/>
      <c r="E21" s="25">
        <v>92.213999999999999</v>
      </c>
      <c r="F21" s="25">
        <f t="shared" si="6"/>
        <v>87.786000000000001</v>
      </c>
      <c r="G21" s="25">
        <v>110.39100000000001</v>
      </c>
      <c r="H21" s="25">
        <f t="shared" si="7"/>
        <v>116.54199999999999</v>
      </c>
      <c r="I21" s="25">
        <v>137.41300000000001</v>
      </c>
      <c r="J21" s="25">
        <f t="shared" si="5"/>
        <v>113.98399999999998</v>
      </c>
      <c r="K21" s="25">
        <v>97.792000000000002</v>
      </c>
      <c r="L21" s="25"/>
      <c r="M21" s="25"/>
      <c r="N21" s="25">
        <f>95.601+1.082</f>
        <v>96.682999999999993</v>
      </c>
      <c r="O21" s="25">
        <v>95.480999999999995</v>
      </c>
      <c r="P21" s="25">
        <v>81.179000000000002</v>
      </c>
      <c r="Q21" s="25">
        <v>126.782</v>
      </c>
      <c r="R21" s="25">
        <v>167</v>
      </c>
      <c r="S21" s="25">
        <v>180</v>
      </c>
      <c r="T21" s="25">
        <v>226.93299999999999</v>
      </c>
      <c r="U21" s="25">
        <v>251.39699999999999</v>
      </c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21"/>
      <c r="AK21" s="21"/>
      <c r="AL21" s="21"/>
      <c r="AM21" s="21"/>
      <c r="AN21" s="21"/>
    </row>
    <row r="22" spans="1:40" x14ac:dyDescent="0.25">
      <c r="A22" s="2"/>
      <c r="B22" s="2" t="s">
        <v>44</v>
      </c>
      <c r="C22" s="25"/>
      <c r="D22" s="25"/>
      <c r="E22" s="25">
        <v>1974.71</v>
      </c>
      <c r="F22" s="25">
        <f t="shared" si="6"/>
        <v>2214.9660000000003</v>
      </c>
      <c r="G22" s="25">
        <v>2262.5909999999999</v>
      </c>
      <c r="H22" s="25">
        <f t="shared" si="7"/>
        <v>2586.6169999999997</v>
      </c>
      <c r="I22" s="25">
        <v>2453.3809999999999</v>
      </c>
      <c r="J22" s="25">
        <f t="shared" si="5"/>
        <v>2648.4090000000001</v>
      </c>
      <c r="K22" s="25">
        <v>2632.518</v>
      </c>
      <c r="L22" s="8"/>
      <c r="M22" s="25"/>
      <c r="N22" s="25">
        <v>2532.0039999999999</v>
      </c>
      <c r="O22" s="25">
        <v>2636.0970000000002</v>
      </c>
      <c r="P22" s="25">
        <v>2115.37</v>
      </c>
      <c r="Q22" s="25">
        <v>2930.8560000000002</v>
      </c>
      <c r="R22" s="25">
        <v>3736.971</v>
      </c>
      <c r="S22" s="25">
        <v>4189.6760000000004</v>
      </c>
      <c r="T22" s="25">
        <v>4849.2079999999996</v>
      </c>
      <c r="U22" s="8">
        <v>5101.79</v>
      </c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21"/>
      <c r="AK22" s="21"/>
      <c r="AL22" s="21"/>
      <c r="AM22" s="21"/>
      <c r="AN22" s="21"/>
    </row>
    <row r="23" spans="1:40" x14ac:dyDescent="0.25">
      <c r="A23" s="2"/>
      <c r="B23" s="2" t="s">
        <v>45</v>
      </c>
      <c r="C23" s="25"/>
      <c r="D23" s="25"/>
      <c r="E23" s="25">
        <v>210.18600000000001</v>
      </c>
      <c r="F23" s="25">
        <f t="shared" si="6"/>
        <v>223.02</v>
      </c>
      <c r="G23" s="25">
        <v>225.21299999999999</v>
      </c>
      <c r="H23" s="25">
        <f t="shared" si="7"/>
        <v>235.60499999999999</v>
      </c>
      <c r="I23" s="25">
        <v>219.762</v>
      </c>
      <c r="J23" s="25">
        <f t="shared" si="5"/>
        <v>250.95999999999998</v>
      </c>
      <c r="K23" s="25">
        <v>299.45299999999997</v>
      </c>
      <c r="L23" s="25"/>
      <c r="M23" s="25"/>
      <c r="N23" s="25">
        <v>566.06399999999996</v>
      </c>
      <c r="O23" s="25">
        <v>547.24199999999996</v>
      </c>
      <c r="P23" s="25">
        <v>275.49599999999998</v>
      </c>
      <c r="Q23" s="25">
        <v>385.76400000000001</v>
      </c>
      <c r="R23" s="25">
        <v>387.62099999999998</v>
      </c>
      <c r="S23" s="25">
        <v>433.20600000000002</v>
      </c>
      <c r="T23" s="25">
        <v>460.81799999999998</v>
      </c>
      <c r="U23" s="8">
        <v>470.72199999999998</v>
      </c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21"/>
      <c r="AK23" s="21"/>
      <c r="AL23" s="21"/>
      <c r="AM23" s="21"/>
      <c r="AN23" s="21"/>
    </row>
    <row r="24" spans="1:40" x14ac:dyDescent="0.25">
      <c r="A24" s="2"/>
      <c r="B24" s="2" t="s">
        <v>46</v>
      </c>
      <c r="C24" s="25"/>
      <c r="D24" s="25"/>
      <c r="E24" s="25">
        <v>47.482999999999997</v>
      </c>
      <c r="F24" s="25">
        <f t="shared" si="6"/>
        <v>56.045999999999999</v>
      </c>
      <c r="G24" s="25">
        <v>60.83</v>
      </c>
      <c r="H24" s="25">
        <f t="shared" si="7"/>
        <v>60.701000000000008</v>
      </c>
      <c r="I24" s="25">
        <v>66.891999999999996</v>
      </c>
      <c r="J24" s="25">
        <f t="shared" si="5"/>
        <v>78.206999999999994</v>
      </c>
      <c r="K24" s="25">
        <v>116.04300000000001</v>
      </c>
      <c r="L24" s="25"/>
      <c r="M24" s="25"/>
      <c r="N24" s="25">
        <v>44.08</v>
      </c>
      <c r="O24" s="25">
        <v>42.255000000000003</v>
      </c>
      <c r="P24" s="25">
        <v>31.873000000000001</v>
      </c>
      <c r="Q24" s="25">
        <v>49.046999999999997</v>
      </c>
      <c r="R24" s="25">
        <v>76.081999999999994</v>
      </c>
      <c r="S24" s="25">
        <v>103.529</v>
      </c>
      <c r="T24" s="25">
        <v>121.53100000000001</v>
      </c>
      <c r="U24" s="8">
        <v>145.09899999999999</v>
      </c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21"/>
      <c r="AK24" s="21"/>
      <c r="AL24" s="21"/>
      <c r="AM24" s="21"/>
      <c r="AN24" s="21"/>
    </row>
    <row r="25" spans="1:40" x14ac:dyDescent="0.25">
      <c r="A25" s="2"/>
      <c r="B25" s="1" t="s">
        <v>22</v>
      </c>
      <c r="C25" s="26">
        <f t="shared" ref="C25:F25" si="8">+SUM(C22:C24)</f>
        <v>0</v>
      </c>
      <c r="D25" s="26">
        <f t="shared" si="8"/>
        <v>0</v>
      </c>
      <c r="E25" s="26">
        <f t="shared" si="8"/>
        <v>2232.3790000000004</v>
      </c>
      <c r="F25" s="26">
        <f t="shared" si="8"/>
        <v>2494.0320000000002</v>
      </c>
      <c r="G25" s="26">
        <f>+SUM(G22:G24)</f>
        <v>2548.634</v>
      </c>
      <c r="H25" s="26">
        <f t="shared" ref="H25:T25" si="9">+SUM(H22:H24)</f>
        <v>2882.9229999999998</v>
      </c>
      <c r="I25" s="26">
        <f t="shared" si="9"/>
        <v>2740.0349999999999</v>
      </c>
      <c r="J25" s="26">
        <f t="shared" si="9"/>
        <v>2977.576</v>
      </c>
      <c r="K25" s="26">
        <v>3048.0140000000001</v>
      </c>
      <c r="L25" s="26"/>
      <c r="M25" s="26"/>
      <c r="N25" s="26">
        <f t="shared" si="9"/>
        <v>3142.1479999999997</v>
      </c>
      <c r="O25" s="26">
        <f t="shared" si="9"/>
        <v>3225.5940000000001</v>
      </c>
      <c r="P25" s="26">
        <f t="shared" si="9"/>
        <v>2422.739</v>
      </c>
      <c r="Q25" s="26">
        <f t="shared" si="9"/>
        <v>3365.6670000000004</v>
      </c>
      <c r="R25" s="26">
        <f t="shared" si="9"/>
        <v>4200.674</v>
      </c>
      <c r="S25" s="26">
        <f t="shared" si="9"/>
        <v>4726.4110000000001</v>
      </c>
      <c r="T25" s="26">
        <f t="shared" si="9"/>
        <v>5431.5569999999998</v>
      </c>
      <c r="U25" s="26">
        <v>5717.5209999999997</v>
      </c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21"/>
      <c r="AK25" s="21"/>
      <c r="AL25" s="21"/>
      <c r="AM25" s="21"/>
      <c r="AN25" s="21"/>
    </row>
    <row r="26" spans="1:40" x14ac:dyDescent="0.25">
      <c r="A26" s="2"/>
      <c r="B26" s="2" t="s">
        <v>23</v>
      </c>
      <c r="C26" s="8"/>
      <c r="D26" s="8"/>
      <c r="E26" s="8">
        <v>438.98399999999998</v>
      </c>
      <c r="F26" s="25">
        <f>+S26-E26</f>
        <v>485.65600000000001</v>
      </c>
      <c r="G26" s="8">
        <v>514.673</v>
      </c>
      <c r="H26" s="25">
        <f t="shared" si="7"/>
        <v>580.19200000000001</v>
      </c>
      <c r="I26" s="8">
        <v>545.45299999999997</v>
      </c>
      <c r="J26" s="25">
        <f>+U26-I26</f>
        <v>579.99099999999999</v>
      </c>
      <c r="K26" s="25">
        <v>660.298</v>
      </c>
      <c r="L26" s="25"/>
      <c r="M26" s="8"/>
      <c r="N26" s="8">
        <v>879.56799999999998</v>
      </c>
      <c r="O26" s="8">
        <v>905.98199999999997</v>
      </c>
      <c r="P26" s="8">
        <v>679.36099999999999</v>
      </c>
      <c r="Q26" s="8">
        <v>818.30899999999997</v>
      </c>
      <c r="R26" s="8">
        <v>888.58</v>
      </c>
      <c r="S26" s="8">
        <v>924.64</v>
      </c>
      <c r="T26" s="8">
        <v>1094.865</v>
      </c>
      <c r="U26" s="8">
        <v>1125.444</v>
      </c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21"/>
      <c r="AK26" s="21"/>
      <c r="AL26" s="21"/>
      <c r="AM26" s="21"/>
      <c r="AN26" s="21"/>
    </row>
    <row r="27" spans="1:40" x14ac:dyDescent="0.25">
      <c r="A27" s="2"/>
      <c r="B27" s="2" t="s">
        <v>24</v>
      </c>
      <c r="C27" s="8">
        <f t="shared" ref="C27:L27" si="10">C25-C26</f>
        <v>0</v>
      </c>
      <c r="D27" s="8">
        <f t="shared" si="10"/>
        <v>0</v>
      </c>
      <c r="E27" s="8">
        <f t="shared" si="10"/>
        <v>1793.3950000000004</v>
      </c>
      <c r="F27" s="8">
        <f t="shared" si="10"/>
        <v>2008.3760000000002</v>
      </c>
      <c r="G27" s="8">
        <f t="shared" si="10"/>
        <v>2033.961</v>
      </c>
      <c r="H27" s="8">
        <f t="shared" si="10"/>
        <v>2302.7309999999998</v>
      </c>
      <c r="I27" s="8">
        <f t="shared" si="10"/>
        <v>2194.5819999999999</v>
      </c>
      <c r="J27" s="8">
        <f t="shared" si="10"/>
        <v>2397.585</v>
      </c>
      <c r="K27" s="8">
        <f t="shared" ref="K27" si="11">K25-K26</f>
        <v>2387.7160000000003</v>
      </c>
      <c r="L27" s="8">
        <f t="shared" si="10"/>
        <v>0</v>
      </c>
      <c r="M27" s="8"/>
      <c r="N27" s="8">
        <f t="shared" ref="N27:R27" si="12">+N25-N26</f>
        <v>2262.58</v>
      </c>
      <c r="O27" s="8">
        <f t="shared" si="12"/>
        <v>2319.6120000000001</v>
      </c>
      <c r="P27" s="8">
        <f t="shared" si="12"/>
        <v>1743.3780000000002</v>
      </c>
      <c r="Q27" s="8">
        <f t="shared" si="12"/>
        <v>2547.3580000000002</v>
      </c>
      <c r="R27" s="8">
        <f t="shared" si="12"/>
        <v>3312.0940000000001</v>
      </c>
      <c r="S27" s="8">
        <f>+S25-S26</f>
        <v>3801.7710000000002</v>
      </c>
      <c r="T27" s="8">
        <f t="shared" ref="T27:U27" si="13">+T25-T26</f>
        <v>4336.692</v>
      </c>
      <c r="U27" s="8">
        <f t="shared" si="13"/>
        <v>4592.0769999999993</v>
      </c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21"/>
      <c r="AK27" s="21"/>
      <c r="AL27" s="21"/>
      <c r="AM27" s="21"/>
      <c r="AN27" s="21"/>
    </row>
    <row r="28" spans="1:40" x14ac:dyDescent="0.25">
      <c r="A28" s="2"/>
      <c r="B28" s="2" t="s">
        <v>48</v>
      </c>
      <c r="C28" s="8"/>
      <c r="D28" s="8"/>
      <c r="E28" s="8">
        <v>894.58699999999999</v>
      </c>
      <c r="F28" s="25">
        <f>+S28-E28</f>
        <v>978.03899999999999</v>
      </c>
      <c r="G28" s="8">
        <v>978.47</v>
      </c>
      <c r="H28" s="25">
        <f t="shared" si="7"/>
        <v>1104.2819999999999</v>
      </c>
      <c r="I28" s="8">
        <v>1064.2929999999999</v>
      </c>
      <c r="J28" s="25">
        <f>+U28-I28</f>
        <v>1141.8970000000002</v>
      </c>
      <c r="K28" s="25">
        <v>1242.125</v>
      </c>
      <c r="L28" s="25"/>
      <c r="M28" s="8"/>
      <c r="N28" s="8">
        <v>1414.153</v>
      </c>
      <c r="O28" s="8">
        <v>1470.1010000000001</v>
      </c>
      <c r="P28" s="8">
        <v>1259.827</v>
      </c>
      <c r="Q28" s="8">
        <v>1421.1690000000001</v>
      </c>
      <c r="R28" s="8">
        <v>1704.3630000000001</v>
      </c>
      <c r="S28" s="8">
        <v>1872.626</v>
      </c>
      <c r="T28" s="8">
        <v>2082.752</v>
      </c>
      <c r="U28" s="8">
        <v>2206.19</v>
      </c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21"/>
      <c r="AK28" s="21"/>
      <c r="AL28" s="21"/>
      <c r="AM28" s="21"/>
      <c r="AN28" s="21"/>
    </row>
    <row r="29" spans="1:40" x14ac:dyDescent="0.25">
      <c r="A29" s="2"/>
      <c r="B29" s="2" t="s">
        <v>49</v>
      </c>
      <c r="C29" s="8"/>
      <c r="D29" s="8"/>
      <c r="E29" s="8">
        <v>187.274</v>
      </c>
      <c r="F29" s="25">
        <f>+S29-E29</f>
        <v>233.01400000000001</v>
      </c>
      <c r="G29" s="8">
        <v>219.25</v>
      </c>
      <c r="H29" s="25">
        <f t="shared" si="7"/>
        <v>253.84500000000003</v>
      </c>
      <c r="I29" s="8">
        <v>254.35900000000001</v>
      </c>
      <c r="J29" s="25">
        <f>+U29-I29</f>
        <v>282.83899999999994</v>
      </c>
      <c r="K29" s="25">
        <v>307.322</v>
      </c>
      <c r="L29" s="25"/>
      <c r="M29" s="8"/>
      <c r="N29" s="8">
        <v>207.27799999999999</v>
      </c>
      <c r="O29" s="8">
        <v>231.011</v>
      </c>
      <c r="P29" s="8">
        <v>206.84800000000001</v>
      </c>
      <c r="Q29" s="8">
        <v>294.25099999999998</v>
      </c>
      <c r="R29" s="8">
        <v>359.11399999999998</v>
      </c>
      <c r="S29" s="8">
        <v>420.28800000000001</v>
      </c>
      <c r="T29" s="8">
        <v>473.09500000000003</v>
      </c>
      <c r="U29" s="8">
        <v>537.19799999999998</v>
      </c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21"/>
      <c r="AK29" s="21"/>
      <c r="AL29" s="21"/>
      <c r="AM29" s="21"/>
      <c r="AN29" s="21"/>
    </row>
    <row r="30" spans="1:40" x14ac:dyDescent="0.25">
      <c r="A30" s="2"/>
      <c r="B30" s="2" t="s">
        <v>50</v>
      </c>
      <c r="C30" s="8"/>
      <c r="D30" s="8"/>
      <c r="E30" s="8">
        <v>72.489000000000004</v>
      </c>
      <c r="F30" s="25">
        <f>+S30-E30</f>
        <v>78.12700000000001</v>
      </c>
      <c r="G30" s="8">
        <v>81.659000000000006</v>
      </c>
      <c r="H30" s="25">
        <f t="shared" si="7"/>
        <v>76.424999999999997</v>
      </c>
      <c r="I30" s="8">
        <v>79.894999999999996</v>
      </c>
      <c r="J30" s="25">
        <f>+U30-I30</f>
        <v>80.366</v>
      </c>
      <c r="K30" s="25">
        <v>90.945999999999998</v>
      </c>
      <c r="L30" s="25"/>
      <c r="M30" s="8"/>
      <c r="N30" s="8">
        <v>125.179</v>
      </c>
      <c r="O30" s="8">
        <v>127.378</v>
      </c>
      <c r="P30" s="8">
        <v>102.232</v>
      </c>
      <c r="Q30" s="8">
        <v>115.319</v>
      </c>
      <c r="R30" s="8">
        <v>137.46899999999999</v>
      </c>
      <c r="S30" s="8">
        <v>150.61600000000001</v>
      </c>
      <c r="T30" s="8">
        <v>158.084</v>
      </c>
      <c r="U30" s="8">
        <v>160.261</v>
      </c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21"/>
      <c r="AK30" s="21"/>
      <c r="AL30" s="21"/>
      <c r="AM30" s="21"/>
      <c r="AN30" s="21"/>
    </row>
    <row r="31" spans="1:40" x14ac:dyDescent="0.25">
      <c r="A31" s="2"/>
      <c r="B31" s="2" t="s">
        <v>51</v>
      </c>
      <c r="C31" s="8"/>
      <c r="D31" s="8"/>
      <c r="E31" s="8">
        <v>147.626</v>
      </c>
      <c r="F31" s="25">
        <f>+S31-E31</f>
        <v>148.92299999999997</v>
      </c>
      <c r="G31" s="8">
        <v>179.46299999999999</v>
      </c>
      <c r="H31" s="25">
        <f t="shared" si="7"/>
        <v>163.74800000000002</v>
      </c>
      <c r="I31" s="8">
        <f>177.49+11.251</f>
        <v>188.74100000000001</v>
      </c>
      <c r="J31" s="25">
        <f>+U31-I31</f>
        <v>200.64699999999996</v>
      </c>
      <c r="K31" s="25">
        <f>217.171+7.153</f>
        <v>224.32399999999998</v>
      </c>
      <c r="L31" s="25"/>
      <c r="M31" s="8"/>
      <c r="N31" s="8">
        <v>192.13800000000001</v>
      </c>
      <c r="O31" s="8">
        <v>184.34299999999999</v>
      </c>
      <c r="P31" s="8">
        <v>154.41</v>
      </c>
      <c r="Q31" s="8">
        <v>227.13499999999999</v>
      </c>
      <c r="R31" s="8">
        <v>265.97199999999998</v>
      </c>
      <c r="S31" s="8">
        <v>296.54899999999998</v>
      </c>
      <c r="T31" s="8">
        <v>343.21100000000001</v>
      </c>
      <c r="U31" s="8">
        <f>364.782+24.606</f>
        <v>389.38799999999998</v>
      </c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21"/>
      <c r="AK31" s="21"/>
      <c r="AL31" s="21"/>
      <c r="AM31" s="21"/>
      <c r="AN31" s="21"/>
    </row>
    <row r="32" spans="1:40" x14ac:dyDescent="0.25">
      <c r="A32" s="2"/>
      <c r="B32" s="2" t="s">
        <v>47</v>
      </c>
      <c r="C32" s="8">
        <f t="shared" ref="C32:F32" si="14">+C27-SUM(C28:C31)</f>
        <v>0</v>
      </c>
      <c r="D32" s="8">
        <f t="shared" si="14"/>
        <v>0</v>
      </c>
      <c r="E32" s="8">
        <f t="shared" si="14"/>
        <v>491.41900000000055</v>
      </c>
      <c r="F32" s="8">
        <f t="shared" si="14"/>
        <v>570.27300000000037</v>
      </c>
      <c r="G32" s="8">
        <f>+G27-SUM(G28:G31)</f>
        <v>575.11899999999991</v>
      </c>
      <c r="H32" s="8">
        <f t="shared" ref="H32:U32" si="15">+H27-SUM(H28:H31)</f>
        <v>704.43099999999981</v>
      </c>
      <c r="I32" s="8">
        <f t="shared" si="15"/>
        <v>607.2940000000001</v>
      </c>
      <c r="J32" s="8">
        <f t="shared" si="15"/>
        <v>691.83600000000001</v>
      </c>
      <c r="K32" s="8">
        <f t="shared" si="15"/>
        <v>522.99900000000025</v>
      </c>
      <c r="L32" s="8"/>
      <c r="M32" s="8"/>
      <c r="N32" s="8">
        <f t="shared" si="15"/>
        <v>323.83199999999988</v>
      </c>
      <c r="O32" s="8">
        <f t="shared" si="15"/>
        <v>306.779</v>
      </c>
      <c r="P32" s="8">
        <f t="shared" si="15"/>
        <v>20.061000000000149</v>
      </c>
      <c r="Q32" s="8">
        <f t="shared" si="15"/>
        <v>489.48400000000038</v>
      </c>
      <c r="R32" s="8">
        <f t="shared" si="15"/>
        <v>845.17600000000039</v>
      </c>
      <c r="S32" s="8">
        <f t="shared" si="15"/>
        <v>1061.6920000000005</v>
      </c>
      <c r="T32" s="8">
        <f t="shared" si="15"/>
        <v>1279.5500000000002</v>
      </c>
      <c r="U32" s="8">
        <f t="shared" si="15"/>
        <v>1299.0399999999995</v>
      </c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21"/>
      <c r="AK32" s="21"/>
      <c r="AL32" s="21"/>
      <c r="AM32" s="21"/>
      <c r="AN32" s="21"/>
    </row>
    <row r="33" spans="1:40" x14ac:dyDescent="0.25">
      <c r="A33" s="2"/>
      <c r="B33" s="2" t="s">
        <v>25</v>
      </c>
      <c r="C33" s="8"/>
      <c r="D33" s="8"/>
      <c r="E33" s="8">
        <v>-46.408000000000001</v>
      </c>
      <c r="F33" s="25">
        <f>+S33-E33</f>
        <v>-43.820999999999998</v>
      </c>
      <c r="G33" s="8">
        <v>-38.090000000000003</v>
      </c>
      <c r="H33" s="25">
        <f t="shared" si="7"/>
        <v>-52.736999999999995</v>
      </c>
      <c r="I33" s="8">
        <f>-7.397-41.982</f>
        <v>-49.378999999999998</v>
      </c>
      <c r="J33" s="25">
        <f>+U33-I33</f>
        <v>-48.376999999999988</v>
      </c>
      <c r="K33" s="25">
        <v>-37.637</v>
      </c>
      <c r="L33" s="25"/>
      <c r="M33" s="8"/>
      <c r="N33" s="8">
        <v>-21.308</v>
      </c>
      <c r="O33" s="8">
        <v>-72.019000000000005</v>
      </c>
      <c r="P33" s="8">
        <v>-71.873000000000005</v>
      </c>
      <c r="Q33" s="8">
        <v>-67.828999999999994</v>
      </c>
      <c r="R33" s="8">
        <v>-65.015000000000001</v>
      </c>
      <c r="S33" s="8">
        <v>-90.228999999999999</v>
      </c>
      <c r="T33" s="8">
        <v>-90.826999999999998</v>
      </c>
      <c r="U33" s="8">
        <f>-87.764-34.531+24.539</f>
        <v>-97.755999999999986</v>
      </c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21"/>
      <c r="AK33" s="21"/>
      <c r="AL33" s="21"/>
      <c r="AM33" s="21"/>
      <c r="AN33" s="21"/>
    </row>
    <row r="34" spans="1:40" x14ac:dyDescent="0.25">
      <c r="A34" s="2"/>
      <c r="B34" s="2" t="s">
        <v>26</v>
      </c>
      <c r="C34" s="8"/>
      <c r="D34" s="8"/>
      <c r="E34" s="8">
        <v>0</v>
      </c>
      <c r="F34" s="25">
        <f>+S34-E34</f>
        <v>0</v>
      </c>
      <c r="G34" s="8">
        <v>0</v>
      </c>
      <c r="H34" s="25">
        <f t="shared" si="7"/>
        <v>0</v>
      </c>
      <c r="I34" s="8">
        <v>0</v>
      </c>
      <c r="J34" s="25">
        <f>+U34-I34</f>
        <v>0</v>
      </c>
      <c r="K34" s="25">
        <f>15.957-52.018</f>
        <v>-36.061</v>
      </c>
      <c r="L34" s="25"/>
      <c r="M34" s="8"/>
      <c r="N34" s="8">
        <v>0</v>
      </c>
      <c r="O34" s="8">
        <v>0</v>
      </c>
      <c r="P34" s="8">
        <v>0</v>
      </c>
      <c r="Q34" s="8">
        <v>0</v>
      </c>
      <c r="R34" s="8">
        <v>-69.186000000000007</v>
      </c>
      <c r="S34" s="8">
        <v>0</v>
      </c>
      <c r="T34" s="8">
        <v>0</v>
      </c>
      <c r="U34" s="8">
        <v>0</v>
      </c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21"/>
      <c r="AK34" s="21"/>
      <c r="AL34" s="21"/>
      <c r="AM34" s="21"/>
      <c r="AN34" s="21"/>
    </row>
    <row r="35" spans="1:40" x14ac:dyDescent="0.25">
      <c r="A35" s="2"/>
      <c r="B35" s="2" t="s">
        <v>27</v>
      </c>
      <c r="C35" s="8">
        <f t="shared" ref="C35:F35" si="16">+C32+C33+C34</f>
        <v>0</v>
      </c>
      <c r="D35" s="8">
        <f t="shared" si="16"/>
        <v>0</v>
      </c>
      <c r="E35" s="8">
        <f t="shared" si="16"/>
        <v>445.01100000000054</v>
      </c>
      <c r="F35" s="8">
        <f t="shared" si="16"/>
        <v>526.45200000000034</v>
      </c>
      <c r="G35" s="8">
        <f>+G32+G33+G34</f>
        <v>537.02899999999988</v>
      </c>
      <c r="H35" s="8">
        <f t="shared" ref="H35:U35" si="17">+H32+H33+H34</f>
        <v>651.69399999999985</v>
      </c>
      <c r="I35" s="8">
        <f t="shared" si="17"/>
        <v>557.91500000000008</v>
      </c>
      <c r="J35" s="8">
        <f t="shared" si="17"/>
        <v>643.45900000000006</v>
      </c>
      <c r="K35" s="8">
        <f t="shared" si="17"/>
        <v>449.30100000000027</v>
      </c>
      <c r="L35" s="8"/>
      <c r="M35" s="8"/>
      <c r="N35" s="8">
        <f t="shared" si="17"/>
        <v>302.52399999999989</v>
      </c>
      <c r="O35" s="8">
        <f t="shared" si="17"/>
        <v>234.76</v>
      </c>
      <c r="P35" s="8">
        <f t="shared" si="17"/>
        <v>-51.811999999999856</v>
      </c>
      <c r="Q35" s="8">
        <f t="shared" si="17"/>
        <v>421.65500000000037</v>
      </c>
      <c r="R35" s="8">
        <f t="shared" si="17"/>
        <v>710.97500000000036</v>
      </c>
      <c r="S35" s="8">
        <f t="shared" si="17"/>
        <v>971.46300000000042</v>
      </c>
      <c r="T35" s="8">
        <f t="shared" si="17"/>
        <v>1188.7230000000002</v>
      </c>
      <c r="U35" s="8">
        <f t="shared" si="17"/>
        <v>1201.2839999999994</v>
      </c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21"/>
      <c r="AK35" s="21"/>
      <c r="AL35" s="21"/>
      <c r="AM35" s="21"/>
      <c r="AN35" s="21"/>
    </row>
    <row r="36" spans="1:40" x14ac:dyDescent="0.25">
      <c r="A36" s="2"/>
      <c r="B36" s="2" t="s">
        <v>28</v>
      </c>
      <c r="C36" s="8"/>
      <c r="D36" s="8"/>
      <c r="E36" s="8">
        <v>138.381</v>
      </c>
      <c r="F36" s="25">
        <f>+S36-E36</f>
        <v>159.69000000000003</v>
      </c>
      <c r="G36" s="8">
        <v>151.316</v>
      </c>
      <c r="H36" s="25">
        <f t="shared" si="7"/>
        <v>194.00699999999998</v>
      </c>
      <c r="I36" s="8">
        <v>170.923</v>
      </c>
      <c r="J36" s="25">
        <f>+U36-I36</f>
        <v>175.43900000000002</v>
      </c>
      <c r="K36" s="25">
        <v>121.26900000000001</v>
      </c>
      <c r="L36" s="25"/>
      <c r="M36" s="8"/>
      <c r="N36" s="8">
        <v>94.355999999999995</v>
      </c>
      <c r="O36" s="8">
        <v>-22.963999999999999</v>
      </c>
      <c r="P36" s="8">
        <v>2.556</v>
      </c>
      <c r="Q36" s="8">
        <v>126.55200000000001</v>
      </c>
      <c r="R36" s="8">
        <v>241.82</v>
      </c>
      <c r="S36" s="8">
        <v>298.07100000000003</v>
      </c>
      <c r="T36" s="8">
        <v>345.32299999999998</v>
      </c>
      <c r="U36" s="8">
        <v>346.36200000000002</v>
      </c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21"/>
      <c r="AK36" s="21"/>
      <c r="AL36" s="21"/>
      <c r="AM36" s="21"/>
      <c r="AN36" s="21"/>
    </row>
    <row r="37" spans="1:40" x14ac:dyDescent="0.25">
      <c r="A37" s="2"/>
      <c r="B37" s="2" t="s">
        <v>29</v>
      </c>
      <c r="C37" s="8">
        <f t="shared" ref="C37:F37" si="18">+C35-C36</f>
        <v>0</v>
      </c>
      <c r="D37" s="8">
        <f t="shared" si="18"/>
        <v>0</v>
      </c>
      <c r="E37" s="8">
        <f t="shared" si="18"/>
        <v>306.63000000000056</v>
      </c>
      <c r="F37" s="8">
        <f t="shared" si="18"/>
        <v>366.76200000000028</v>
      </c>
      <c r="G37" s="8">
        <f>+G35-G36</f>
        <v>385.71299999999985</v>
      </c>
      <c r="H37" s="8">
        <f t="shared" ref="H37" si="19">+H35-H36</f>
        <v>457.6869999999999</v>
      </c>
      <c r="I37" s="8">
        <f t="shared" ref="I37" si="20">+I35-I36</f>
        <v>386.99200000000008</v>
      </c>
      <c r="J37" s="8">
        <f t="shared" ref="J37:U37" si="21">+J35-J36</f>
        <v>468.02000000000004</v>
      </c>
      <c r="K37" s="8">
        <f t="shared" si="21"/>
        <v>328.03200000000027</v>
      </c>
      <c r="L37" s="8"/>
      <c r="M37" s="8"/>
      <c r="N37" s="8">
        <f t="shared" si="21"/>
        <v>208.16799999999989</v>
      </c>
      <c r="O37" s="8">
        <f t="shared" si="21"/>
        <v>257.72399999999999</v>
      </c>
      <c r="P37" s="8">
        <f t="shared" si="21"/>
        <v>-54.367999999999853</v>
      </c>
      <c r="Q37" s="8">
        <f t="shared" si="21"/>
        <v>295.10300000000035</v>
      </c>
      <c r="R37" s="8">
        <f t="shared" si="21"/>
        <v>469.15500000000037</v>
      </c>
      <c r="S37" s="8">
        <f t="shared" si="21"/>
        <v>673.39200000000039</v>
      </c>
      <c r="T37" s="8">
        <f t="shared" si="21"/>
        <v>843.4000000000002</v>
      </c>
      <c r="U37" s="8">
        <f t="shared" si="21"/>
        <v>854.92199999999934</v>
      </c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21"/>
      <c r="AK37" s="21"/>
      <c r="AL37" s="21"/>
      <c r="AM37" s="21"/>
      <c r="AN37" s="21"/>
    </row>
    <row r="38" spans="1:40" x14ac:dyDescent="0.25">
      <c r="A38" s="2"/>
      <c r="B38" s="2" t="s">
        <v>30</v>
      </c>
      <c r="C38" s="8"/>
      <c r="D38" s="8"/>
      <c r="E38" s="8">
        <v>1.462</v>
      </c>
      <c r="F38" s="25">
        <f>+S38-E38</f>
        <v>0.90400000000000014</v>
      </c>
      <c r="G38" s="8">
        <v>2.214</v>
      </c>
      <c r="H38" s="25">
        <f t="shared" si="7"/>
        <v>2.2790000000000004</v>
      </c>
      <c r="I38" s="8">
        <v>1.109</v>
      </c>
      <c r="J38" s="25">
        <f>+U38-I38</f>
        <v>1.8770000000000002</v>
      </c>
      <c r="K38" s="25">
        <v>1.175</v>
      </c>
      <c r="L38" s="25"/>
      <c r="M38" s="8"/>
      <c r="N38" s="8">
        <v>2.7389999999999999</v>
      </c>
      <c r="O38" s="8">
        <v>1.9359999999999999</v>
      </c>
      <c r="P38" s="8">
        <v>-0.22900000000000001</v>
      </c>
      <c r="Q38" s="8">
        <v>0.84899999999999998</v>
      </c>
      <c r="R38" s="8">
        <v>3.9620000000000002</v>
      </c>
      <c r="S38" s="8">
        <v>2.3660000000000001</v>
      </c>
      <c r="T38" s="8">
        <v>4.4930000000000003</v>
      </c>
      <c r="U38" s="8">
        <v>2.9860000000000002</v>
      </c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21"/>
      <c r="AK38" s="21"/>
      <c r="AL38" s="21"/>
      <c r="AM38" s="21"/>
      <c r="AN38" s="21"/>
    </row>
    <row r="39" spans="1:40" x14ac:dyDescent="0.25">
      <c r="A39" s="2"/>
      <c r="B39" s="2" t="s">
        <v>31</v>
      </c>
      <c r="C39" s="8">
        <f t="shared" ref="C39:F39" si="22">+C37-C38</f>
        <v>0</v>
      </c>
      <c r="D39" s="8">
        <f t="shared" si="22"/>
        <v>0</v>
      </c>
      <c r="E39" s="8">
        <f t="shared" si="22"/>
        <v>305.16800000000057</v>
      </c>
      <c r="F39" s="8">
        <f t="shared" si="22"/>
        <v>365.85800000000029</v>
      </c>
      <c r="G39" s="8">
        <f>+G37-G38</f>
        <v>383.49899999999985</v>
      </c>
      <c r="H39" s="8">
        <f t="shared" ref="H39" si="23">+H37-H38</f>
        <v>455.4079999999999</v>
      </c>
      <c r="I39" s="8">
        <f t="shared" ref="I39" si="24">+I37-I38</f>
        <v>385.8830000000001</v>
      </c>
      <c r="J39" s="8">
        <f t="shared" ref="J39:U39" si="25">+J37-J38</f>
        <v>466.14300000000003</v>
      </c>
      <c r="K39" s="8">
        <f t="shared" si="25"/>
        <v>326.85700000000026</v>
      </c>
      <c r="L39" s="8"/>
      <c r="M39" s="8"/>
      <c r="N39" s="8">
        <f t="shared" si="25"/>
        <v>205.42899999999989</v>
      </c>
      <c r="O39" s="8">
        <f t="shared" si="25"/>
        <v>255.78799999999998</v>
      </c>
      <c r="P39" s="8">
        <f t="shared" si="25"/>
        <v>-54.138999999999854</v>
      </c>
      <c r="Q39" s="8">
        <f t="shared" si="25"/>
        <v>294.25400000000036</v>
      </c>
      <c r="R39" s="8">
        <f t="shared" si="25"/>
        <v>465.19300000000038</v>
      </c>
      <c r="S39" s="8">
        <f t="shared" si="25"/>
        <v>671.02600000000041</v>
      </c>
      <c r="T39" s="8">
        <f t="shared" si="25"/>
        <v>838.90700000000015</v>
      </c>
      <c r="U39" s="8">
        <f t="shared" si="25"/>
        <v>851.93599999999935</v>
      </c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21"/>
      <c r="AK39" s="21"/>
      <c r="AL39" s="21"/>
      <c r="AM39" s="21"/>
      <c r="AN39" s="21"/>
    </row>
    <row r="40" spans="1:40" x14ac:dyDescent="0.25">
      <c r="A40" s="2"/>
      <c r="B40" s="2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21"/>
      <c r="AK40" s="21"/>
      <c r="AL40" s="21"/>
      <c r="AM40" s="21"/>
      <c r="AN40" s="21"/>
    </row>
    <row r="41" spans="1:40" x14ac:dyDescent="0.25">
      <c r="A41" s="2"/>
      <c r="B41" s="2" t="s">
        <v>1</v>
      </c>
      <c r="C41" s="27">
        <f t="shared" ref="C41:F41" si="26">+C39/C42</f>
        <v>0</v>
      </c>
      <c r="D41" s="27">
        <f t="shared" si="26"/>
        <v>0</v>
      </c>
      <c r="E41" s="27">
        <f t="shared" si="26"/>
        <v>0.11926103553820058</v>
      </c>
      <c r="F41" s="27">
        <f t="shared" si="26"/>
        <v>0.14297896221076567</v>
      </c>
      <c r="G41" s="27">
        <f>+G39/G42</f>
        <v>0.14987314485091582</v>
      </c>
      <c r="H41" s="27">
        <f t="shared" ref="H41:K41" si="27">+H39/H42</f>
        <v>0.17797550749875721</v>
      </c>
      <c r="I41" s="27">
        <f>+I39/I42</f>
        <v>0.15080482284049238</v>
      </c>
      <c r="J41" s="27">
        <f t="shared" si="27"/>
        <v>0.18217079408353212</v>
      </c>
      <c r="K41" s="27">
        <f t="shared" si="27"/>
        <v>0.12773719489890678</v>
      </c>
      <c r="L41" s="27"/>
      <c r="M41" s="4"/>
      <c r="N41" s="27">
        <f t="shared" ref="N41:R41" si="28">+N39/N42</f>
        <v>8.0282582936536423E-2</v>
      </c>
      <c r="O41" s="27">
        <f t="shared" si="28"/>
        <v>9.9963108052761734E-2</v>
      </c>
      <c r="P41" s="27">
        <f t="shared" si="28"/>
        <v>-2.1157766223859027E-2</v>
      </c>
      <c r="Q41" s="27">
        <f t="shared" si="28"/>
        <v>0.11499579494330221</v>
      </c>
      <c r="R41" s="27">
        <f t="shared" si="28"/>
        <v>0.18179952978399466</v>
      </c>
      <c r="S41" s="27">
        <f>+S39/S42</f>
        <v>0.26223999774896606</v>
      </c>
      <c r="T41" s="27">
        <f>+T39/T42</f>
        <v>0.3278486523496732</v>
      </c>
      <c r="U41" s="27">
        <f>+U39/U42</f>
        <v>0.33294044451669957</v>
      </c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21"/>
      <c r="AK41" s="21"/>
      <c r="AL41" s="21"/>
      <c r="AM41" s="21"/>
      <c r="AN41" s="21"/>
    </row>
    <row r="42" spans="1:40" x14ac:dyDescent="0.25">
      <c r="A42" s="2"/>
      <c r="B42" s="2" t="s">
        <v>32</v>
      </c>
      <c r="C42" s="4">
        <v>2558.8240000000001</v>
      </c>
      <c r="D42" s="4">
        <v>2558.8240000000001</v>
      </c>
      <c r="E42" s="4">
        <v>2558.8240000000001</v>
      </c>
      <c r="F42" s="4">
        <v>2558.8240000000001</v>
      </c>
      <c r="G42" s="4">
        <v>2558.8240000000001</v>
      </c>
      <c r="H42" s="4">
        <v>2558.8240000000001</v>
      </c>
      <c r="I42" s="4">
        <v>2558.8240000000001</v>
      </c>
      <c r="J42" s="4">
        <f>+U42</f>
        <v>2558.8240000000001</v>
      </c>
      <c r="K42" s="4">
        <v>2558.8240000000001</v>
      </c>
      <c r="L42" s="4"/>
      <c r="M42" s="4"/>
      <c r="N42" s="4">
        <v>2558.8240000000001</v>
      </c>
      <c r="O42" s="4">
        <v>2558.8240000000001</v>
      </c>
      <c r="P42" s="4">
        <v>2558.8240000000001</v>
      </c>
      <c r="Q42" s="4">
        <v>2558.8240000000001</v>
      </c>
      <c r="R42" s="4">
        <v>2558.8240000000001</v>
      </c>
      <c r="S42" s="4">
        <v>2558.8240000000001</v>
      </c>
      <c r="T42" s="4">
        <v>2558.8240000000001</v>
      </c>
      <c r="U42" s="4">
        <v>2558.8240000000001</v>
      </c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21"/>
      <c r="AK42" s="21"/>
      <c r="AL42" s="21"/>
      <c r="AM42" s="21"/>
      <c r="AN42" s="21"/>
    </row>
    <row r="43" spans="1:40" x14ac:dyDescent="0.25">
      <c r="A43" s="2"/>
      <c r="B43" s="2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21"/>
      <c r="AK43" s="21"/>
      <c r="AL43" s="21"/>
      <c r="AM43" s="21"/>
      <c r="AN43" s="21"/>
    </row>
    <row r="44" spans="1:40" x14ac:dyDescent="0.25">
      <c r="A44" s="2"/>
      <c r="B44" s="2" t="s">
        <v>67</v>
      </c>
      <c r="C44" s="28"/>
      <c r="D44" s="28"/>
      <c r="E44" s="28" t="e">
        <f t="shared" ref="E44:K45" si="29">+E9/C9-1</f>
        <v>#DIV/0!</v>
      </c>
      <c r="F44" s="28">
        <f t="shared" si="29"/>
        <v>-9.8039215686274161E-3</v>
      </c>
      <c r="G44" s="28">
        <f t="shared" si="29"/>
        <v>-2.1452145214521434E-2</v>
      </c>
      <c r="H44" s="28">
        <f t="shared" si="29"/>
        <v>4.9504950495049549E-3</v>
      </c>
      <c r="I44" s="28">
        <f t="shared" si="29"/>
        <v>4.5531197301855064E-2</v>
      </c>
      <c r="J44" s="28">
        <f t="shared" si="29"/>
        <v>0.38423645320197042</v>
      </c>
      <c r="K44" s="28">
        <f t="shared" si="29"/>
        <v>0.34193548387096784</v>
      </c>
      <c r="L44" s="28"/>
      <c r="M44" s="4"/>
      <c r="N44" s="4"/>
      <c r="O44" s="29">
        <f t="shared" ref="O44:U45" si="30">+O9/N9-1</f>
        <v>7.8616352201257289E-3</v>
      </c>
      <c r="P44" s="29">
        <f t="shared" si="30"/>
        <v>-1.2480499219968744E-2</v>
      </c>
      <c r="Q44" s="29">
        <f t="shared" si="30"/>
        <v>3.1595576619274368E-3</v>
      </c>
      <c r="R44" s="29">
        <f t="shared" si="30"/>
        <v>-3.622047244094484E-2</v>
      </c>
      <c r="S44" s="29">
        <f t="shared" si="30"/>
        <v>-9.8039215686274161E-3</v>
      </c>
      <c r="T44" s="29">
        <f t="shared" si="30"/>
        <v>4.9504950495049549E-3</v>
      </c>
      <c r="U44" s="29">
        <f t="shared" si="30"/>
        <v>0.38423645320197042</v>
      </c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21"/>
      <c r="AK44" s="21"/>
      <c r="AL44" s="21"/>
      <c r="AM44" s="21"/>
      <c r="AN44" s="21"/>
    </row>
    <row r="45" spans="1:40" x14ac:dyDescent="0.25">
      <c r="A45" s="2"/>
      <c r="B45" s="2" t="s">
        <v>68</v>
      </c>
      <c r="C45" s="28"/>
      <c r="D45" s="28"/>
      <c r="E45" s="28" t="e">
        <f t="shared" si="29"/>
        <v>#DIV/0!</v>
      </c>
      <c r="F45" s="28">
        <f t="shared" si="29"/>
        <v>-3.8461538461538436E-2</v>
      </c>
      <c r="G45" s="28">
        <f t="shared" si="29"/>
        <v>-4.0000000000000036E-2</v>
      </c>
      <c r="H45" s="28">
        <f t="shared" si="29"/>
        <v>-7.999999999999996E-2</v>
      </c>
      <c r="I45" s="28">
        <f t="shared" si="29"/>
        <v>-8.333333333333337E-2</v>
      </c>
      <c r="J45" s="28">
        <f t="shared" si="29"/>
        <v>-4.3478260869565188E-2</v>
      </c>
      <c r="K45" s="28">
        <f t="shared" si="29"/>
        <v>0</v>
      </c>
      <c r="L45" s="28"/>
      <c r="M45" s="4"/>
      <c r="N45" s="4"/>
      <c r="O45" s="29">
        <f t="shared" si="30"/>
        <v>-0.26470588235294112</v>
      </c>
      <c r="P45" s="29">
        <f t="shared" si="30"/>
        <v>4.0000000000000036E-2</v>
      </c>
      <c r="Q45" s="29">
        <f t="shared" si="30"/>
        <v>0</v>
      </c>
      <c r="R45" s="29">
        <f t="shared" si="30"/>
        <v>0</v>
      </c>
      <c r="S45" s="29">
        <f t="shared" si="30"/>
        <v>-3.8461538461538436E-2</v>
      </c>
      <c r="T45" s="29">
        <f t="shared" si="30"/>
        <v>-7.999999999999996E-2</v>
      </c>
      <c r="U45" s="29">
        <f t="shared" si="30"/>
        <v>-4.3478260869565188E-2</v>
      </c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21"/>
      <c r="AK45" s="21"/>
      <c r="AL45" s="21"/>
      <c r="AM45" s="21"/>
      <c r="AN45" s="21"/>
    </row>
    <row r="46" spans="1:40" x14ac:dyDescent="0.25">
      <c r="A46" s="2"/>
      <c r="B46" s="2" t="s">
        <v>78</v>
      </c>
      <c r="C46" s="4"/>
      <c r="D46" s="4"/>
      <c r="E46" s="28" t="e">
        <f t="shared" ref="E46:K47" si="31">+E12/C12-1</f>
        <v>#DIV/0!</v>
      </c>
      <c r="F46" s="28" t="e">
        <f t="shared" si="31"/>
        <v>#DIV/0!</v>
      </c>
      <c r="G46" s="28">
        <f t="shared" si="31"/>
        <v>2.3980815347721895E-2</v>
      </c>
      <c r="H46" s="28">
        <f t="shared" si="31"/>
        <v>-0.17329743809787335</v>
      </c>
      <c r="I46" s="28">
        <f t="shared" si="31"/>
        <v>-3.5838407494145241E-2</v>
      </c>
      <c r="J46" s="28">
        <f t="shared" si="31"/>
        <v>-5.8911509041833177E-2</v>
      </c>
      <c r="K46" s="28">
        <f t="shared" si="31"/>
        <v>-1.5685079075145048E-2</v>
      </c>
      <c r="L46" s="28"/>
      <c r="M46" s="4"/>
      <c r="N46" s="4"/>
      <c r="O46" s="29">
        <f t="shared" ref="O46:U47" si="32">+O12/N12-1</f>
        <v>3.3321501672329612E-2</v>
      </c>
      <c r="P46" s="29">
        <f t="shared" si="32"/>
        <v>-0.23860952095599974</v>
      </c>
      <c r="Q46" s="29">
        <f t="shared" si="32"/>
        <v>0.41988701294829633</v>
      </c>
      <c r="R46" s="29">
        <f t="shared" si="32"/>
        <v>0.27648596262789593</v>
      </c>
      <c r="S46" s="29">
        <f t="shared" si="32"/>
        <v>7.2510454917409373E-2</v>
      </c>
      <c r="T46" s="29">
        <f t="shared" si="32"/>
        <v>-8.9188507349496127E-2</v>
      </c>
      <c r="U46" s="29">
        <f t="shared" si="32"/>
        <v>-4.7852093071289792E-2</v>
      </c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21"/>
      <c r="AK46" s="21"/>
      <c r="AL46" s="21"/>
      <c r="AM46" s="21"/>
      <c r="AN46" s="21"/>
    </row>
    <row r="47" spans="1:40" x14ac:dyDescent="0.25">
      <c r="A47" s="2"/>
      <c r="B47" s="2" t="s">
        <v>79</v>
      </c>
      <c r="C47" s="4"/>
      <c r="D47" s="4"/>
      <c r="E47" s="28" t="e">
        <f t="shared" si="31"/>
        <v>#DIV/0!</v>
      </c>
      <c r="F47" s="28" t="e">
        <f t="shared" si="31"/>
        <v>#DIV/0!</v>
      </c>
      <c r="G47" s="28">
        <f t="shared" si="31"/>
        <v>0.85964912280701755</v>
      </c>
      <c r="H47" s="28">
        <f t="shared" si="31"/>
        <v>0.49082082890178858</v>
      </c>
      <c r="I47" s="28">
        <f t="shared" si="31"/>
        <v>0.47196226415094333</v>
      </c>
      <c r="J47" s="28">
        <f t="shared" si="31"/>
        <v>0.16673232548244865</v>
      </c>
      <c r="K47" s="28">
        <f t="shared" si="31"/>
        <v>-2.1616632912041522E-2</v>
      </c>
      <c r="L47" s="28"/>
      <c r="M47" s="4"/>
      <c r="N47" s="4"/>
      <c r="O47" s="29">
        <f t="shared" si="32"/>
        <v>-6.5824872760631425E-3</v>
      </c>
      <c r="P47" s="29">
        <f t="shared" si="32"/>
        <v>-0.26858250220315161</v>
      </c>
      <c r="Q47" s="29">
        <f t="shared" si="32"/>
        <v>0.21767117758280041</v>
      </c>
      <c r="R47" s="29">
        <f t="shared" si="32"/>
        <v>0.21866611501449329</v>
      </c>
      <c r="S47" s="29">
        <f t="shared" si="32"/>
        <v>0.54050704363618518</v>
      </c>
      <c r="T47" s="29">
        <f t="shared" si="32"/>
        <v>0.63037382805343367</v>
      </c>
      <c r="U47" s="29">
        <f t="shared" si="32"/>
        <v>0.29846268849960045</v>
      </c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21"/>
      <c r="AK47" s="21"/>
      <c r="AL47" s="21"/>
      <c r="AM47" s="21"/>
      <c r="AN47" s="21"/>
    </row>
    <row r="48" spans="1:40" x14ac:dyDescent="0.25">
      <c r="A48" s="2"/>
      <c r="B48" s="88" t="s">
        <v>383</v>
      </c>
      <c r="C48" s="90" t="s">
        <v>384</v>
      </c>
      <c r="D48" s="90" t="s">
        <v>384</v>
      </c>
      <c r="E48" s="90" t="s">
        <v>384</v>
      </c>
      <c r="F48" s="90" t="s">
        <v>384</v>
      </c>
      <c r="G48" s="90" t="s">
        <v>384</v>
      </c>
      <c r="H48" s="90" t="s">
        <v>384</v>
      </c>
      <c r="I48" s="90" t="s">
        <v>384</v>
      </c>
      <c r="J48" s="90" t="s">
        <v>384</v>
      </c>
      <c r="K48" s="90" t="s">
        <v>384</v>
      </c>
      <c r="L48" s="90"/>
      <c r="M48" s="4"/>
      <c r="N48" s="90" t="s">
        <v>384</v>
      </c>
      <c r="O48" s="90" t="s">
        <v>384</v>
      </c>
      <c r="P48" s="90" t="s">
        <v>384</v>
      </c>
      <c r="Q48" s="90" t="s">
        <v>384</v>
      </c>
      <c r="R48" s="90" t="s">
        <v>384</v>
      </c>
      <c r="S48" s="90" t="s">
        <v>384</v>
      </c>
      <c r="T48" s="90" t="s">
        <v>384</v>
      </c>
      <c r="U48" s="90" t="s">
        <v>384</v>
      </c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21"/>
      <c r="AK48" s="21"/>
      <c r="AL48" s="21"/>
      <c r="AM48" s="21"/>
      <c r="AN48" s="21"/>
    </row>
    <row r="49" spans="1:40" x14ac:dyDescent="0.25">
      <c r="A49" s="2"/>
      <c r="B49" s="2" t="s">
        <v>80</v>
      </c>
      <c r="C49" s="4"/>
      <c r="D49" s="4"/>
      <c r="E49" s="28" t="e">
        <f t="shared" ref="E49:E59" si="33">+E15/C15-1</f>
        <v>#DIV/0!</v>
      </c>
      <c r="F49" s="28" t="e">
        <f t="shared" ref="F49:F59" si="34">+F15/D15-1</f>
        <v>#DIV/0!</v>
      </c>
      <c r="G49" s="28">
        <f t="shared" ref="G49:G59" si="35">+G15/E15-1</f>
        <v>0.15384615384615374</v>
      </c>
      <c r="H49" s="28">
        <f t="shared" ref="H49:H59" si="36">+H15/F15-1</f>
        <v>-0.26905357377912331</v>
      </c>
      <c r="I49" s="28">
        <f t="shared" ref="I49:I59" si="37">+I15/G15-1</f>
        <v>2.4666666666666615E-2</v>
      </c>
      <c r="J49" s="28">
        <f t="shared" ref="J49:K59" si="38">+J15/H15-1</f>
        <v>9.9585809472357623E-2</v>
      </c>
      <c r="K49" s="28">
        <f t="shared" si="38"/>
        <v>2.5764476252439827E-2</v>
      </c>
      <c r="L49" s="28"/>
      <c r="M49" s="4"/>
      <c r="N49" s="4"/>
      <c r="O49" s="29">
        <f t="shared" ref="O49:U59" si="39">+O15/N15-1</f>
        <v>1.0451801560532159E-2</v>
      </c>
      <c r="P49" s="29">
        <f t="shared" si="39"/>
        <v>-0.47043738628386411</v>
      </c>
      <c r="Q49" s="29">
        <f t="shared" si="39"/>
        <v>6.9987014392381974E-2</v>
      </c>
      <c r="R49" s="29">
        <f t="shared" si="39"/>
        <v>6.1186822077823333E-2</v>
      </c>
      <c r="S49" s="29">
        <f t="shared" si="39"/>
        <v>-0.14724452598222582</v>
      </c>
      <c r="T49" s="29">
        <f t="shared" si="39"/>
        <v>-0.11544801765807045</v>
      </c>
      <c r="U49" s="29">
        <f t="shared" si="39"/>
        <v>6.4089200543289593E-2</v>
      </c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21"/>
      <c r="AK49" s="21"/>
      <c r="AL49" s="21"/>
      <c r="AM49" s="21"/>
      <c r="AN49" s="21"/>
    </row>
    <row r="50" spans="1:40" x14ac:dyDescent="0.25">
      <c r="A50" s="2"/>
      <c r="B50" s="2" t="s">
        <v>81</v>
      </c>
      <c r="C50" s="4"/>
      <c r="D50" s="4"/>
      <c r="E50" s="28" t="e">
        <f t="shared" si="33"/>
        <v>#DIV/0!</v>
      </c>
      <c r="F50" s="28" t="e">
        <f t="shared" si="34"/>
        <v>#DIV/0!</v>
      </c>
      <c r="G50" s="28">
        <f t="shared" si="35"/>
        <v>0.11111111111111116</v>
      </c>
      <c r="H50" s="28">
        <f t="shared" si="36"/>
        <v>2.6746283510605817E-3</v>
      </c>
      <c r="I50" s="28">
        <f t="shared" si="37"/>
        <v>0.10830000000000006</v>
      </c>
      <c r="J50" s="28">
        <f t="shared" si="38"/>
        <v>0.13114143920595533</v>
      </c>
      <c r="K50" s="28">
        <f t="shared" si="38"/>
        <v>0.17486240187674817</v>
      </c>
      <c r="L50" s="28"/>
      <c r="M50" s="4"/>
      <c r="N50" s="4"/>
      <c r="O50" s="29">
        <f t="shared" si="39"/>
        <v>0.13180120654984195</v>
      </c>
      <c r="P50" s="29">
        <f t="shared" si="39"/>
        <v>-0.40174628153713388</v>
      </c>
      <c r="Q50" s="29">
        <f t="shared" si="39"/>
        <v>0.5406873143826898</v>
      </c>
      <c r="R50" s="29">
        <f t="shared" si="39"/>
        <v>0.20867984799250983</v>
      </c>
      <c r="S50" s="29">
        <f t="shared" si="39"/>
        <v>0.14266836781190184</v>
      </c>
      <c r="T50" s="29">
        <f t="shared" si="39"/>
        <v>4.1591896957371199E-2</v>
      </c>
      <c r="U50" s="29">
        <f t="shared" si="39"/>
        <v>0.12239663093414999</v>
      </c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21"/>
      <c r="AK50" s="21"/>
      <c r="AL50" s="21"/>
      <c r="AM50" s="21"/>
      <c r="AN50" s="21"/>
    </row>
    <row r="51" spans="1:40" x14ac:dyDescent="0.25">
      <c r="A51" s="2"/>
      <c r="B51" s="2" t="s">
        <v>74</v>
      </c>
      <c r="C51" s="4"/>
      <c r="D51" s="4"/>
      <c r="E51" s="28" t="e">
        <f t="shared" si="33"/>
        <v>#DIV/0!</v>
      </c>
      <c r="F51" s="28" t="e">
        <f t="shared" si="34"/>
        <v>#DIV/0!</v>
      </c>
      <c r="G51" s="28">
        <f t="shared" si="35"/>
        <v>8.2030223941072178E-2</v>
      </c>
      <c r="H51" s="28">
        <f t="shared" si="36"/>
        <v>0.13652646396704826</v>
      </c>
      <c r="I51" s="28">
        <f t="shared" si="37"/>
        <v>8.2558252145112254E-2</v>
      </c>
      <c r="J51" s="28">
        <f t="shared" si="38"/>
        <v>3.7469667870714707E-2</v>
      </c>
      <c r="K51" s="28">
        <f t="shared" si="38"/>
        <v>0.10008933992230173</v>
      </c>
      <c r="L51" s="28"/>
      <c r="M51" s="4"/>
      <c r="N51" s="4"/>
      <c r="O51" s="29">
        <f t="shared" si="39"/>
        <v>3.2450095686179514E-2</v>
      </c>
      <c r="P51" s="29">
        <f t="shared" si="39"/>
        <v>-0.39668782363279509</v>
      </c>
      <c r="Q51" s="29">
        <f t="shared" si="39"/>
        <v>0.30966860109751182</v>
      </c>
      <c r="R51" s="29">
        <f t="shared" si="39"/>
        <v>0.26927086982143678</v>
      </c>
      <c r="S51" s="29">
        <f t="shared" si="39"/>
        <v>0.17370129870129869</v>
      </c>
      <c r="T51" s="29">
        <f t="shared" si="39"/>
        <v>0.1095525587828492</v>
      </c>
      <c r="U51" s="29">
        <f t="shared" si="39"/>
        <v>5.9233501598404015E-2</v>
      </c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21"/>
      <c r="AK51" s="21"/>
      <c r="AL51" s="21"/>
      <c r="AM51" s="21"/>
      <c r="AN51" s="21"/>
    </row>
    <row r="52" spans="1:40" x14ac:dyDescent="0.25">
      <c r="A52" s="2"/>
      <c r="B52" s="2" t="s">
        <v>75</v>
      </c>
      <c r="C52" s="4"/>
      <c r="D52" s="4"/>
      <c r="E52" s="28" t="e">
        <f t="shared" si="33"/>
        <v>#DIV/0!</v>
      </c>
      <c r="F52" s="28" t="e">
        <f t="shared" si="34"/>
        <v>#DIV/0!</v>
      </c>
      <c r="G52" s="28">
        <f t="shared" si="35"/>
        <v>0.17192567753284593</v>
      </c>
      <c r="H52" s="28">
        <f t="shared" si="36"/>
        <v>0.16378129247226969</v>
      </c>
      <c r="I52" s="28">
        <f t="shared" si="37"/>
        <v>6.6506203532143537E-2</v>
      </c>
      <c r="J52" s="28">
        <f t="shared" si="38"/>
        <v>-1.671120633836809E-2</v>
      </c>
      <c r="K52" s="28">
        <f t="shared" si="38"/>
        <v>3.3789560202429403E-2</v>
      </c>
      <c r="L52" s="28"/>
      <c r="M52" s="4"/>
      <c r="N52" s="4"/>
      <c r="O52" s="29">
        <f t="shared" si="39"/>
        <v>-1.6876300044151971E-2</v>
      </c>
      <c r="P52" s="29">
        <f t="shared" si="39"/>
        <v>-5.2818759563007966E-2</v>
      </c>
      <c r="Q52" s="29">
        <f t="shared" si="39"/>
        <v>0.32026830040099807</v>
      </c>
      <c r="R52" s="29">
        <f t="shared" si="39"/>
        <v>-6.7215492866988358E-2</v>
      </c>
      <c r="S52" s="29">
        <f t="shared" si="39"/>
        <v>0.10530749789384997</v>
      </c>
      <c r="T52" s="29">
        <f t="shared" si="39"/>
        <v>0.16739481707317072</v>
      </c>
      <c r="U52" s="29">
        <f t="shared" si="39"/>
        <v>2.0354238839609184E-2</v>
      </c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21"/>
      <c r="AK52" s="21"/>
      <c r="AL52" s="21"/>
      <c r="AM52" s="21"/>
      <c r="AN52" s="21"/>
    </row>
    <row r="53" spans="1:40" x14ac:dyDescent="0.25">
      <c r="A53" s="2"/>
      <c r="B53" s="2" t="s">
        <v>76</v>
      </c>
      <c r="C53" s="4"/>
      <c r="D53" s="4"/>
      <c r="E53" s="28" t="e">
        <f t="shared" si="33"/>
        <v>#DIV/0!</v>
      </c>
      <c r="F53" s="28" t="e">
        <f t="shared" si="34"/>
        <v>#DIV/0!</v>
      </c>
      <c r="G53" s="28">
        <f t="shared" si="35"/>
        <v>7.169741298850929E-2</v>
      </c>
      <c r="H53" s="28">
        <f t="shared" si="36"/>
        <v>9.0954777583161395E-2</v>
      </c>
      <c r="I53" s="28">
        <f t="shared" si="37"/>
        <v>9.5950237879269373E-2</v>
      </c>
      <c r="J53" s="28">
        <f t="shared" si="38"/>
        <v>0.14702335790158272</v>
      </c>
      <c r="K53" s="28">
        <f t="shared" si="38"/>
        <v>0.11294772336060754</v>
      </c>
      <c r="L53" s="28"/>
      <c r="M53" s="4"/>
      <c r="N53" s="4"/>
      <c r="O53" s="29">
        <f t="shared" si="39"/>
        <v>6.8557242881009062E-2</v>
      </c>
      <c r="P53" s="29">
        <f t="shared" si="39"/>
        <v>-0.28748885599975404</v>
      </c>
      <c r="Q53" s="29">
        <f t="shared" si="39"/>
        <v>0.96303304682275281</v>
      </c>
      <c r="R53" s="29">
        <f t="shared" si="39"/>
        <v>0.227700824066704</v>
      </c>
      <c r="S53" s="29">
        <f t="shared" si="39"/>
        <v>-1.9181585677749413E-2</v>
      </c>
      <c r="T53" s="29">
        <f t="shared" si="39"/>
        <v>8.1889178617992053E-2</v>
      </c>
      <c r="U53" s="29">
        <f t="shared" si="39"/>
        <v>0.12320666563028371</v>
      </c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21"/>
      <c r="AK53" s="21"/>
      <c r="AL53" s="21"/>
      <c r="AM53" s="21"/>
      <c r="AN53" s="21"/>
    </row>
    <row r="54" spans="1:40" x14ac:dyDescent="0.25">
      <c r="A54" s="2"/>
      <c r="B54" s="2" t="s">
        <v>77</v>
      </c>
      <c r="C54" s="8"/>
      <c r="D54" s="8"/>
      <c r="E54" s="28" t="e">
        <f t="shared" si="33"/>
        <v>#DIV/0!</v>
      </c>
      <c r="F54" s="28" t="e">
        <f t="shared" si="34"/>
        <v>#DIV/0!</v>
      </c>
      <c r="G54" s="28">
        <f t="shared" si="35"/>
        <v>0.38027702862867718</v>
      </c>
      <c r="H54" s="28">
        <f t="shared" si="36"/>
        <v>0.33564376586422329</v>
      </c>
      <c r="I54" s="28">
        <f t="shared" si="37"/>
        <v>5.6164374684069207E-2</v>
      </c>
      <c r="J54" s="28">
        <f t="shared" si="38"/>
        <v>-5.0782159686503681E-2</v>
      </c>
      <c r="K54" s="28">
        <f t="shared" si="38"/>
        <v>-0.11547346945036729</v>
      </c>
      <c r="L54" s="28"/>
      <c r="M54" s="8"/>
      <c r="N54" s="8"/>
      <c r="O54" s="29">
        <f t="shared" si="39"/>
        <v>0.10202875714004334</v>
      </c>
      <c r="P54" s="29">
        <f t="shared" si="39"/>
        <v>-0.27411379207625852</v>
      </c>
      <c r="Q54" s="29">
        <f t="shared" si="39"/>
        <v>0.10517000199834414</v>
      </c>
      <c r="R54" s="29">
        <f t="shared" si="39"/>
        <v>0.1914602329966677</v>
      </c>
      <c r="S54" s="29">
        <f t="shared" si="39"/>
        <v>0.31165311653116534</v>
      </c>
      <c r="T54" s="29">
        <f t="shared" si="39"/>
        <v>0.35626239669421489</v>
      </c>
      <c r="U54" s="29">
        <f t="shared" si="39"/>
        <v>-5.027184883102942E-4</v>
      </c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</row>
    <row r="55" spans="1:40" x14ac:dyDescent="0.25">
      <c r="A55" s="2"/>
      <c r="B55" s="2" t="s">
        <v>73</v>
      </c>
      <c r="C55" s="8"/>
      <c r="D55" s="8"/>
      <c r="E55" s="28" t="e">
        <f t="shared" si="33"/>
        <v>#DIV/0!</v>
      </c>
      <c r="F55" s="28" t="e">
        <f t="shared" si="34"/>
        <v>#DIV/0!</v>
      </c>
      <c r="G55" s="28">
        <f t="shared" si="35"/>
        <v>0.19711757433795318</v>
      </c>
      <c r="H55" s="28">
        <f t="shared" si="36"/>
        <v>0.32756931629189157</v>
      </c>
      <c r="I55" s="28">
        <f t="shared" si="37"/>
        <v>0.24478444800753696</v>
      </c>
      <c r="J55" s="28">
        <f t="shared" si="38"/>
        <v>-2.1949168540097208E-2</v>
      </c>
      <c r="K55" s="28">
        <f t="shared" si="38"/>
        <v>-0.28833516479517951</v>
      </c>
      <c r="L55" s="28"/>
      <c r="M55" s="8"/>
      <c r="N55" s="8"/>
      <c r="O55" s="29">
        <f t="shared" si="39"/>
        <v>-1.2432382114746066E-2</v>
      </c>
      <c r="P55" s="29">
        <f t="shared" si="39"/>
        <v>-0.14978896324923274</v>
      </c>
      <c r="Q55" s="29">
        <f t="shared" si="39"/>
        <v>0.56175858288473601</v>
      </c>
      <c r="R55" s="29">
        <f t="shared" si="39"/>
        <v>0.31722168762127123</v>
      </c>
      <c r="S55" s="29">
        <f t="shared" si="39"/>
        <v>7.7844311377245567E-2</v>
      </c>
      <c r="T55" s="29">
        <f t="shared" si="39"/>
        <v>0.26073888888888885</v>
      </c>
      <c r="U55" s="29">
        <f t="shared" si="39"/>
        <v>0.10780274354104513</v>
      </c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</row>
    <row r="56" spans="1:40" x14ac:dyDescent="0.25">
      <c r="A56" s="2"/>
      <c r="B56" s="2" t="s">
        <v>70</v>
      </c>
      <c r="C56" s="8"/>
      <c r="D56" s="8"/>
      <c r="E56" s="28" t="e">
        <f t="shared" si="33"/>
        <v>#DIV/0!</v>
      </c>
      <c r="F56" s="28" t="e">
        <f t="shared" si="34"/>
        <v>#DIV/0!</v>
      </c>
      <c r="G56" s="28">
        <f t="shared" si="35"/>
        <v>0.14578393789467814</v>
      </c>
      <c r="H56" s="28">
        <f t="shared" si="36"/>
        <v>0.16779083742143186</v>
      </c>
      <c r="I56" s="28">
        <f t="shared" si="37"/>
        <v>8.432368024092729E-2</v>
      </c>
      <c r="J56" s="28">
        <f t="shared" si="38"/>
        <v>2.388911848951758E-2</v>
      </c>
      <c r="K56" s="28">
        <f t="shared" si="38"/>
        <v>7.3016380252394653E-2</v>
      </c>
      <c r="L56" s="28"/>
      <c r="M56" s="8"/>
      <c r="N56" s="8"/>
      <c r="O56" s="29">
        <f t="shared" si="39"/>
        <v>4.1110914516722774E-2</v>
      </c>
      <c r="P56" s="29">
        <f t="shared" si="39"/>
        <v>-0.19753711642629246</v>
      </c>
      <c r="Q56" s="29">
        <f t="shared" si="39"/>
        <v>0.38550513621730498</v>
      </c>
      <c r="R56" s="29">
        <f t="shared" si="39"/>
        <v>0.27504421916327515</v>
      </c>
      <c r="S56" s="29">
        <f t="shared" si="39"/>
        <v>0.12114222989688717</v>
      </c>
      <c r="T56" s="29">
        <f t="shared" si="39"/>
        <v>0.15741837793662317</v>
      </c>
      <c r="U56" s="29">
        <f t="shared" si="39"/>
        <v>5.2087268683875809E-2</v>
      </c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</row>
    <row r="57" spans="1:40" x14ac:dyDescent="0.25">
      <c r="A57" s="2"/>
      <c r="B57" s="2" t="s">
        <v>71</v>
      </c>
      <c r="C57" s="8"/>
      <c r="D57" s="8"/>
      <c r="E57" s="28" t="e">
        <f t="shared" si="33"/>
        <v>#DIV/0!</v>
      </c>
      <c r="F57" s="28" t="e">
        <f t="shared" si="34"/>
        <v>#DIV/0!</v>
      </c>
      <c r="G57" s="28">
        <f t="shared" si="35"/>
        <v>7.1493819759641308E-2</v>
      </c>
      <c r="H57" s="28">
        <f t="shared" si="36"/>
        <v>5.6429916599407992E-2</v>
      </c>
      <c r="I57" s="28">
        <f t="shared" si="37"/>
        <v>-2.4203753779755144E-2</v>
      </c>
      <c r="J57" s="28">
        <f t="shared" si="38"/>
        <v>6.5172640648543112E-2</v>
      </c>
      <c r="K57" s="28">
        <f t="shared" si="38"/>
        <v>0.36262411153884644</v>
      </c>
      <c r="L57" s="28"/>
      <c r="M57" s="8"/>
      <c r="N57" s="8"/>
      <c r="O57" s="29">
        <f t="shared" si="39"/>
        <v>-3.3250657169507369E-2</v>
      </c>
      <c r="P57" s="29">
        <f t="shared" si="39"/>
        <v>-0.49657372789369236</v>
      </c>
      <c r="Q57" s="29">
        <f t="shared" si="39"/>
        <v>0.40025263524697285</v>
      </c>
      <c r="R57" s="29">
        <f t="shared" si="39"/>
        <v>4.8138239960182627E-3</v>
      </c>
      <c r="S57" s="29">
        <f t="shared" si="39"/>
        <v>0.11760198750841688</v>
      </c>
      <c r="T57" s="29">
        <f t="shared" si="39"/>
        <v>6.373872938047942E-2</v>
      </c>
      <c r="U57" s="29">
        <f t="shared" si="39"/>
        <v>2.1492216015867482E-2</v>
      </c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</row>
    <row r="58" spans="1:40" x14ac:dyDescent="0.25">
      <c r="A58" s="2"/>
      <c r="B58" s="2" t="s">
        <v>72</v>
      </c>
      <c r="C58" s="8"/>
      <c r="D58" s="8"/>
      <c r="E58" s="28" t="e">
        <f t="shared" si="33"/>
        <v>#DIV/0!</v>
      </c>
      <c r="F58" s="28" t="e">
        <f t="shared" si="34"/>
        <v>#DIV/0!</v>
      </c>
      <c r="G58" s="28">
        <f t="shared" si="35"/>
        <v>0.2810900743423963</v>
      </c>
      <c r="H58" s="28">
        <f t="shared" si="36"/>
        <v>8.3056774792135135E-2</v>
      </c>
      <c r="I58" s="28">
        <f t="shared" si="37"/>
        <v>9.9654775604142598E-2</v>
      </c>
      <c r="J58" s="28">
        <f t="shared" si="38"/>
        <v>0.2883972257458689</v>
      </c>
      <c r="K58" s="28">
        <f t="shared" si="38"/>
        <v>0.7347814387370688</v>
      </c>
      <c r="L58" s="28"/>
      <c r="M58" s="8"/>
      <c r="N58" s="8"/>
      <c r="O58" s="29">
        <f t="shared" si="39"/>
        <v>-4.1401996370235894E-2</v>
      </c>
      <c r="P58" s="29">
        <f t="shared" si="39"/>
        <v>-0.24569873387764762</v>
      </c>
      <c r="Q58" s="29">
        <f t="shared" si="39"/>
        <v>0.53882596555077944</v>
      </c>
      <c r="R58" s="29">
        <f t="shared" si="39"/>
        <v>0.55120598609497007</v>
      </c>
      <c r="S58" s="29">
        <f t="shared" si="39"/>
        <v>0.36075550064404194</v>
      </c>
      <c r="T58" s="29">
        <f t="shared" si="39"/>
        <v>0.17388364612813811</v>
      </c>
      <c r="U58" s="29">
        <f t="shared" si="39"/>
        <v>0.19392582962371718</v>
      </c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</row>
    <row r="59" spans="1:40" x14ac:dyDescent="0.25">
      <c r="A59" s="2"/>
      <c r="B59" s="1" t="s">
        <v>69</v>
      </c>
      <c r="C59" s="26"/>
      <c r="D59" s="26"/>
      <c r="E59" s="30" t="e">
        <f t="shared" si="33"/>
        <v>#DIV/0!</v>
      </c>
      <c r="F59" s="30" t="e">
        <f t="shared" si="34"/>
        <v>#DIV/0!</v>
      </c>
      <c r="G59" s="30">
        <f t="shared" si="35"/>
        <v>0.14166725273799807</v>
      </c>
      <c r="H59" s="30">
        <f t="shared" si="36"/>
        <v>0.15592863283229708</v>
      </c>
      <c r="I59" s="30">
        <f t="shared" si="37"/>
        <v>7.5099445428413736E-2</v>
      </c>
      <c r="J59" s="30">
        <f t="shared" si="38"/>
        <v>3.2832302492990628E-2</v>
      </c>
      <c r="K59" s="30">
        <f t="shared" si="38"/>
        <v>0.11239965912844196</v>
      </c>
      <c r="L59" s="30"/>
      <c r="M59" s="26"/>
      <c r="N59" s="26"/>
      <c r="O59" s="31">
        <f t="shared" si="39"/>
        <v>2.6556992223154552E-2</v>
      </c>
      <c r="P59" s="31">
        <f t="shared" si="39"/>
        <v>-0.24890144264901282</v>
      </c>
      <c r="Q59" s="31">
        <f t="shared" si="39"/>
        <v>0.38919916672823618</v>
      </c>
      <c r="R59" s="31">
        <f t="shared" si="39"/>
        <v>0.24809554837124392</v>
      </c>
      <c r="S59" s="31">
        <f t="shared" si="39"/>
        <v>0.1251553917299939</v>
      </c>
      <c r="T59" s="31">
        <f t="shared" si="39"/>
        <v>0.149192696107046</v>
      </c>
      <c r="U59" s="31">
        <f t="shared" si="39"/>
        <v>5.2648623589883981E-2</v>
      </c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</row>
    <row r="60" spans="1:40" x14ac:dyDescent="0.25">
      <c r="A60" s="2"/>
      <c r="B60" s="2" t="s">
        <v>82</v>
      </c>
      <c r="C60" s="28" t="e">
        <f t="shared" ref="C60:F60" si="40">+C27/C25</f>
        <v>#DIV/0!</v>
      </c>
      <c r="D60" s="28" t="e">
        <f t="shared" si="40"/>
        <v>#DIV/0!</v>
      </c>
      <c r="E60" s="28">
        <f t="shared" si="40"/>
        <v>0.80335597136507741</v>
      </c>
      <c r="F60" s="28">
        <f t="shared" si="40"/>
        <v>0.80527274710188168</v>
      </c>
      <c r="G60" s="28">
        <f>+G27/G25</f>
        <v>0.79805927410526578</v>
      </c>
      <c r="H60" s="28">
        <f t="shared" ref="H60:J60" si="41">+H27/H25</f>
        <v>0.79874870053761404</v>
      </c>
      <c r="I60" s="28">
        <f t="shared" si="41"/>
        <v>0.80093210488187194</v>
      </c>
      <c r="J60" s="28">
        <f t="shared" si="41"/>
        <v>0.80521370403307924</v>
      </c>
      <c r="K60" s="28">
        <f t="shared" ref="K60" si="42">+K27/K25</f>
        <v>0.78336779293008507</v>
      </c>
      <c r="L60" s="28"/>
      <c r="M60" s="8"/>
      <c r="N60" s="8"/>
      <c r="O60" s="29">
        <f t="shared" ref="O60:T60" si="43">+O27/O25</f>
        <v>0.71912708170960138</v>
      </c>
      <c r="P60" s="29">
        <f t="shared" si="43"/>
        <v>0.71958968753959884</v>
      </c>
      <c r="Q60" s="29">
        <f t="shared" si="43"/>
        <v>0.75686572676381825</v>
      </c>
      <c r="R60" s="29">
        <f t="shared" si="43"/>
        <v>0.78846727929851257</v>
      </c>
      <c r="S60" s="29">
        <f t="shared" si="43"/>
        <v>0.80436741536019618</v>
      </c>
      <c r="T60" s="29">
        <f t="shared" si="43"/>
        <v>0.79842520293904684</v>
      </c>
      <c r="U60" s="29">
        <f t="shared" ref="U60" si="44">+U27/U25</f>
        <v>0.80315874659664555</v>
      </c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</row>
    <row r="61" spans="1:40" x14ac:dyDescent="0.25">
      <c r="A61" s="2"/>
      <c r="B61" s="2" t="s">
        <v>83</v>
      </c>
      <c r="C61" s="28" t="e">
        <f t="shared" ref="C61:F61" si="45">+C32/C25</f>
        <v>#DIV/0!</v>
      </c>
      <c r="D61" s="28" t="e">
        <f t="shared" si="45"/>
        <v>#DIV/0!</v>
      </c>
      <c r="E61" s="28">
        <f t="shared" si="45"/>
        <v>0.22013242375062678</v>
      </c>
      <c r="F61" s="28">
        <f t="shared" si="45"/>
        <v>0.22865504532419806</v>
      </c>
      <c r="G61" s="28">
        <f>+G32/G25</f>
        <v>0.22565774450156434</v>
      </c>
      <c r="H61" s="28">
        <f t="shared" ref="H61:J61" si="46">+H32/H25</f>
        <v>0.24434610289626185</v>
      </c>
      <c r="I61" s="28">
        <f t="shared" si="46"/>
        <v>0.22163731485181765</v>
      </c>
      <c r="J61" s="28">
        <f t="shared" si="46"/>
        <v>0.23234872930195569</v>
      </c>
      <c r="K61" s="28">
        <f t="shared" ref="K61" si="47">+K32/K25</f>
        <v>0.17158681029680317</v>
      </c>
      <c r="L61" s="28"/>
      <c r="M61" s="8"/>
      <c r="N61" s="8"/>
      <c r="O61" s="29">
        <f t="shared" ref="O61:T61" si="48">+O32/O25</f>
        <v>9.5107753796665043E-2</v>
      </c>
      <c r="P61" s="29">
        <f t="shared" si="48"/>
        <v>8.2802976300790747E-3</v>
      </c>
      <c r="Q61" s="29">
        <f t="shared" si="48"/>
        <v>0.14543447108700899</v>
      </c>
      <c r="R61" s="29">
        <f t="shared" si="48"/>
        <v>0.20120009312791243</v>
      </c>
      <c r="S61" s="29">
        <f t="shared" si="48"/>
        <v>0.22462963969912911</v>
      </c>
      <c r="T61" s="29">
        <f t="shared" si="48"/>
        <v>0.23557701778698084</v>
      </c>
      <c r="U61" s="29">
        <f t="shared" ref="U61" si="49">+U32/U25</f>
        <v>0.22720336313587647</v>
      </c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</row>
    <row r="62" spans="1:40" x14ac:dyDescent="0.25">
      <c r="A62" s="2"/>
      <c r="B62" s="2" t="s">
        <v>84</v>
      </c>
      <c r="C62" s="28" t="e">
        <f t="shared" ref="C62:F62" si="50">+C36/C35</f>
        <v>#DIV/0!</v>
      </c>
      <c r="D62" s="28" t="e">
        <f t="shared" si="50"/>
        <v>#DIV/0!</v>
      </c>
      <c r="E62" s="28">
        <f t="shared" si="50"/>
        <v>0.3109608526530801</v>
      </c>
      <c r="F62" s="28">
        <f t="shared" si="50"/>
        <v>0.30333249754963398</v>
      </c>
      <c r="G62" s="28">
        <f>+G36/G35</f>
        <v>0.28176504434583616</v>
      </c>
      <c r="H62" s="28">
        <f t="shared" ref="H62:J62" si="51">+H36/H35</f>
        <v>0.29769646490530838</v>
      </c>
      <c r="I62" s="28">
        <f t="shared" si="51"/>
        <v>0.30636028785746927</v>
      </c>
      <c r="J62" s="28">
        <f t="shared" si="51"/>
        <v>0.2726498502624099</v>
      </c>
      <c r="K62" s="28">
        <f t="shared" ref="K62" si="52">+K36/K35</f>
        <v>0.2699059205298896</v>
      </c>
      <c r="L62" s="28"/>
      <c r="M62" s="8"/>
      <c r="N62" s="8"/>
      <c r="O62" s="29">
        <f t="shared" ref="O62:T62" si="53">+O36/O35</f>
        <v>-9.7819049241778838E-2</v>
      </c>
      <c r="P62" s="29">
        <f t="shared" si="53"/>
        <v>-4.9332201034509519E-2</v>
      </c>
      <c r="Q62" s="29">
        <f t="shared" si="53"/>
        <v>0.30013162419513556</v>
      </c>
      <c r="R62" s="29">
        <f t="shared" si="53"/>
        <v>0.34012447695066617</v>
      </c>
      <c r="S62" s="29">
        <f t="shared" si="53"/>
        <v>0.30682691981063603</v>
      </c>
      <c r="T62" s="29">
        <f t="shared" si="53"/>
        <v>0.29049913226209967</v>
      </c>
      <c r="U62" s="29">
        <f t="shared" ref="U62" si="54">+U36/U35</f>
        <v>0.28832649065499932</v>
      </c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</row>
    <row r="63" spans="1:40" x14ac:dyDescent="0.25">
      <c r="A63" s="2"/>
      <c r="B63" s="2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</row>
    <row r="64" spans="1:40" x14ac:dyDescent="0.25">
      <c r="A64" s="2"/>
      <c r="B64" s="2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</row>
    <row r="65" spans="1:104" x14ac:dyDescent="0.25">
      <c r="A65" s="2"/>
      <c r="B65" s="2" t="s">
        <v>123</v>
      </c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>
        <v>70.695600999999996</v>
      </c>
      <c r="P65" s="8">
        <v>103.29467</v>
      </c>
      <c r="Q65" s="8">
        <v>981.78599999999994</v>
      </c>
      <c r="R65" s="8">
        <v>1091.6220000000001</v>
      </c>
      <c r="S65" s="8">
        <v>689.51900000000001</v>
      </c>
      <c r="T65" s="8">
        <v>1011.563</v>
      </c>
      <c r="U65" s="8">
        <v>1261.6759999999999</v>
      </c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  <c r="BP65" s="8"/>
      <c r="BQ65" s="8"/>
      <c r="BR65" s="8"/>
      <c r="BS65" s="8"/>
      <c r="BT65" s="8"/>
      <c r="BU65" s="8"/>
      <c r="BV65" s="8"/>
      <c r="BW65" s="8"/>
      <c r="BX65" s="8"/>
      <c r="BY65" s="8"/>
      <c r="BZ65" s="8"/>
      <c r="CA65" s="8"/>
      <c r="CB65" s="8"/>
      <c r="CC65" s="8"/>
      <c r="CD65" s="8"/>
      <c r="CE65" s="8"/>
      <c r="CF65" s="8"/>
      <c r="CG65" s="8"/>
      <c r="CH65" s="8"/>
      <c r="CI65" s="8"/>
      <c r="CJ65" s="8"/>
      <c r="CK65" s="8"/>
      <c r="CL65" s="8"/>
      <c r="CM65" s="8"/>
      <c r="CN65" s="8"/>
      <c r="CO65" s="8"/>
      <c r="CP65" s="8"/>
      <c r="CQ65" s="8"/>
      <c r="CR65" s="8"/>
      <c r="CS65" s="8"/>
      <c r="CT65" s="8"/>
      <c r="CU65" s="8"/>
      <c r="CV65" s="8"/>
      <c r="CW65" s="8"/>
      <c r="CX65" s="8"/>
      <c r="CY65" s="8"/>
      <c r="CZ65" s="8"/>
    </row>
    <row r="66" spans="1:104" x14ac:dyDescent="0.25">
      <c r="A66" s="2"/>
      <c r="B66" s="2" t="s">
        <v>124</v>
      </c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>
        <v>776.68537900000001</v>
      </c>
      <c r="P66" s="8">
        <v>526.65229899999997</v>
      </c>
      <c r="Q66" s="8">
        <v>329.54700000000003</v>
      </c>
      <c r="R66" s="8">
        <v>331.91500000000002</v>
      </c>
      <c r="S66" s="8">
        <v>405.15100000000001</v>
      </c>
      <c r="T66" s="8">
        <v>423.733</v>
      </c>
      <c r="U66" s="8">
        <v>468.46600000000001</v>
      </c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  <c r="BP66" s="8"/>
      <c r="BQ66" s="8"/>
      <c r="BR66" s="8"/>
      <c r="BS66" s="8"/>
      <c r="BT66" s="8"/>
      <c r="BU66" s="8"/>
      <c r="BV66" s="8"/>
      <c r="BW66" s="8"/>
      <c r="BX66" s="8"/>
      <c r="BY66" s="8"/>
      <c r="BZ66" s="8"/>
      <c r="CA66" s="8"/>
      <c r="CB66" s="8"/>
      <c r="CC66" s="8"/>
      <c r="CD66" s="8"/>
      <c r="CE66" s="8"/>
      <c r="CF66" s="8"/>
      <c r="CG66" s="8"/>
      <c r="CH66" s="8"/>
      <c r="CI66" s="8"/>
      <c r="CJ66" s="8"/>
      <c r="CK66" s="8"/>
      <c r="CL66" s="8"/>
      <c r="CM66" s="8"/>
      <c r="CN66" s="8"/>
      <c r="CO66" s="8"/>
      <c r="CP66" s="8"/>
      <c r="CQ66" s="8"/>
      <c r="CR66" s="8"/>
      <c r="CS66" s="8"/>
      <c r="CT66" s="8"/>
      <c r="CU66" s="8"/>
      <c r="CV66" s="8"/>
      <c r="CW66" s="8"/>
      <c r="CX66" s="8"/>
      <c r="CY66" s="8"/>
      <c r="CZ66" s="8"/>
    </row>
    <row r="67" spans="1:104" x14ac:dyDescent="0.25">
      <c r="A67" s="2"/>
      <c r="B67" s="2" t="s">
        <v>125</v>
      </c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>
        <v>319.43339400000002</v>
      </c>
      <c r="P67" s="8">
        <v>295.69391300000001</v>
      </c>
      <c r="Q67" s="8">
        <v>662.654</v>
      </c>
      <c r="R67" s="8">
        <v>760.45699999999999</v>
      </c>
      <c r="S67" s="8">
        <v>782.97799999999995</v>
      </c>
      <c r="T67" s="8">
        <v>866.16</v>
      </c>
      <c r="U67" s="8">
        <v>1059.0419999999999</v>
      </c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  <c r="BP67" s="8"/>
      <c r="BQ67" s="8"/>
      <c r="BR67" s="8"/>
      <c r="BS67" s="8"/>
      <c r="BT67" s="8"/>
      <c r="BU67" s="8"/>
      <c r="BV67" s="8"/>
      <c r="BW67" s="8"/>
      <c r="BX67" s="8"/>
      <c r="BY67" s="8"/>
      <c r="BZ67" s="8"/>
      <c r="CA67" s="8"/>
      <c r="CB67" s="8"/>
      <c r="CC67" s="8"/>
      <c r="CD67" s="8"/>
      <c r="CE67" s="8"/>
      <c r="CF67" s="8"/>
      <c r="CG67" s="8"/>
      <c r="CH67" s="8"/>
      <c r="CI67" s="8"/>
      <c r="CJ67" s="8"/>
      <c r="CK67" s="8"/>
      <c r="CL67" s="8"/>
      <c r="CM67" s="8"/>
      <c r="CN67" s="8"/>
      <c r="CO67" s="8"/>
      <c r="CP67" s="8"/>
      <c r="CQ67" s="8"/>
      <c r="CR67" s="8"/>
      <c r="CS67" s="8"/>
      <c r="CT67" s="8"/>
      <c r="CU67" s="8"/>
      <c r="CV67" s="8"/>
      <c r="CW67" s="8"/>
      <c r="CX67" s="8"/>
      <c r="CY67" s="8"/>
      <c r="CZ67" s="8"/>
    </row>
    <row r="68" spans="1:104" x14ac:dyDescent="0.25">
      <c r="A68" s="2"/>
      <c r="B68" s="2" t="s">
        <v>126</v>
      </c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>
        <v>4.7504770000000001</v>
      </c>
      <c r="P68" s="8">
        <v>12.445912999999999</v>
      </c>
      <c r="Q68" s="8">
        <v>1.762</v>
      </c>
      <c r="R68" s="8">
        <v>22.483000000000001</v>
      </c>
      <c r="S68" s="8">
        <v>17.55</v>
      </c>
      <c r="T68" s="8">
        <v>12.487</v>
      </c>
      <c r="U68" s="8">
        <v>20.591999999999999</v>
      </c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  <c r="BP68" s="8"/>
      <c r="BQ68" s="8"/>
      <c r="BR68" s="8"/>
      <c r="BS68" s="8"/>
      <c r="BT68" s="8"/>
      <c r="BU68" s="8"/>
      <c r="BV68" s="8"/>
      <c r="BW68" s="8"/>
      <c r="BX68" s="8"/>
      <c r="BY68" s="8"/>
      <c r="BZ68" s="8"/>
      <c r="CA68" s="8"/>
      <c r="CB68" s="8"/>
      <c r="CC68" s="8"/>
      <c r="CD68" s="8"/>
      <c r="CE68" s="8"/>
      <c r="CF68" s="8"/>
      <c r="CG68" s="8"/>
      <c r="CH68" s="8"/>
      <c r="CI68" s="8"/>
      <c r="CJ68" s="8"/>
      <c r="CK68" s="8"/>
      <c r="CL68" s="8"/>
      <c r="CM68" s="8"/>
      <c r="CN68" s="8"/>
      <c r="CO68" s="8"/>
      <c r="CP68" s="8"/>
      <c r="CQ68" s="8"/>
      <c r="CR68" s="8"/>
      <c r="CS68" s="8"/>
      <c r="CT68" s="8"/>
      <c r="CU68" s="8"/>
      <c r="CV68" s="8"/>
      <c r="CW68" s="8"/>
      <c r="CX68" s="8"/>
      <c r="CY68" s="8"/>
      <c r="CZ68" s="8"/>
    </row>
    <row r="69" spans="1:104" x14ac:dyDescent="0.25">
      <c r="A69" s="2"/>
      <c r="B69" s="2" t="s">
        <v>127</v>
      </c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>
        <v>250.52749499999999</v>
      </c>
      <c r="P69" s="8">
        <v>265.62678299999999</v>
      </c>
      <c r="Q69" s="8">
        <v>22.866</v>
      </c>
      <c r="R69" s="8">
        <v>2.3730000000000002</v>
      </c>
      <c r="S69" s="8">
        <v>0.13800000000000001</v>
      </c>
      <c r="T69" s="8">
        <v>0.14099999999999999</v>
      </c>
      <c r="U69" s="8">
        <v>0.185</v>
      </c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  <c r="BU69" s="8"/>
      <c r="BV69" s="8"/>
      <c r="BW69" s="8"/>
      <c r="BX69" s="8"/>
      <c r="BY69" s="8"/>
      <c r="BZ69" s="8"/>
      <c r="CA69" s="8"/>
      <c r="CB69" s="8"/>
      <c r="CC69" s="8"/>
      <c r="CD69" s="8"/>
      <c r="CE69" s="8"/>
      <c r="CF69" s="8"/>
      <c r="CG69" s="8"/>
      <c r="CH69" s="8"/>
      <c r="CI69" s="8"/>
      <c r="CJ69" s="8"/>
      <c r="CK69" s="8"/>
      <c r="CL69" s="8"/>
      <c r="CM69" s="8"/>
      <c r="CN69" s="8"/>
      <c r="CO69" s="8"/>
      <c r="CP69" s="8"/>
      <c r="CQ69" s="8"/>
      <c r="CR69" s="8"/>
      <c r="CS69" s="8"/>
      <c r="CT69" s="8"/>
      <c r="CU69" s="8"/>
      <c r="CV69" s="8"/>
      <c r="CW69" s="8"/>
      <c r="CX69" s="8"/>
      <c r="CY69" s="8"/>
      <c r="CZ69" s="8"/>
    </row>
    <row r="70" spans="1:104" x14ac:dyDescent="0.25">
      <c r="A70" s="2"/>
      <c r="B70" s="2" t="s">
        <v>128</v>
      </c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>
        <v>143.948556</v>
      </c>
      <c r="P70" s="8">
        <v>143.15350699999999</v>
      </c>
      <c r="Q70" s="8">
        <v>171.22</v>
      </c>
      <c r="R70" s="8">
        <v>215.917</v>
      </c>
      <c r="S70" s="8">
        <v>267.41199999999998</v>
      </c>
      <c r="T70" s="8">
        <v>245.32400000000001</v>
      </c>
      <c r="U70" s="8">
        <v>232.28899999999999</v>
      </c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  <c r="BP70" s="8"/>
      <c r="BQ70" s="8"/>
      <c r="BR70" s="8"/>
      <c r="BS70" s="8"/>
      <c r="BT70" s="8"/>
      <c r="BU70" s="8"/>
      <c r="BV70" s="8"/>
      <c r="BW70" s="8"/>
      <c r="BX70" s="8"/>
      <c r="BY70" s="8"/>
      <c r="BZ70" s="8"/>
      <c r="CA70" s="8"/>
      <c r="CB70" s="8"/>
      <c r="CC70" s="8"/>
      <c r="CD70" s="8"/>
      <c r="CE70" s="8"/>
      <c r="CF70" s="8"/>
      <c r="CG70" s="8"/>
      <c r="CH70" s="8"/>
      <c r="CI70" s="8"/>
      <c r="CJ70" s="8"/>
      <c r="CK70" s="8"/>
      <c r="CL70" s="8"/>
      <c r="CM70" s="8"/>
      <c r="CN70" s="8"/>
      <c r="CO70" s="8"/>
      <c r="CP70" s="8"/>
      <c r="CQ70" s="8"/>
      <c r="CR70" s="8"/>
      <c r="CS70" s="8"/>
      <c r="CT70" s="8"/>
      <c r="CU70" s="8"/>
      <c r="CV70" s="8"/>
      <c r="CW70" s="8"/>
      <c r="CX70" s="8"/>
      <c r="CY70" s="8"/>
      <c r="CZ70" s="8"/>
    </row>
    <row r="71" spans="1:104" x14ac:dyDescent="0.25">
      <c r="A71" s="2"/>
      <c r="B71" s="2" t="s">
        <v>129</v>
      </c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>
        <f t="shared" ref="N71:S71" si="55">+SUM(N65:N70)</f>
        <v>0</v>
      </c>
      <c r="O71" s="8">
        <f t="shared" si="55"/>
        <v>1566.0409020000002</v>
      </c>
      <c r="P71" s="8">
        <f t="shared" si="55"/>
        <v>1346.8670849999999</v>
      </c>
      <c r="Q71" s="8">
        <f t="shared" si="55"/>
        <v>2169.835</v>
      </c>
      <c r="R71" s="8">
        <f t="shared" si="55"/>
        <v>2424.7670000000003</v>
      </c>
      <c r="S71" s="8">
        <f t="shared" si="55"/>
        <v>2162.748</v>
      </c>
      <c r="T71" s="8">
        <f>+SUM(T65:T70)</f>
        <v>2559.4080000000004</v>
      </c>
      <c r="U71" s="8">
        <f>+SUM(U65:U70)</f>
        <v>3042.25</v>
      </c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  <c r="BP71" s="8"/>
      <c r="BQ71" s="8"/>
      <c r="BR71" s="8"/>
      <c r="BS71" s="8"/>
      <c r="BT71" s="8"/>
      <c r="BU71" s="8"/>
      <c r="BV71" s="8"/>
      <c r="BW71" s="8"/>
      <c r="BX71" s="8"/>
      <c r="BY71" s="8"/>
      <c r="BZ71" s="8"/>
      <c r="CA71" s="8"/>
      <c r="CB71" s="8"/>
      <c r="CC71" s="8"/>
      <c r="CD71" s="8"/>
      <c r="CE71" s="8"/>
      <c r="CF71" s="8"/>
      <c r="CG71" s="8"/>
      <c r="CH71" s="8"/>
      <c r="CI71" s="8"/>
      <c r="CJ71" s="8"/>
      <c r="CK71" s="8"/>
      <c r="CL71" s="8"/>
      <c r="CM71" s="8"/>
      <c r="CN71" s="8"/>
      <c r="CO71" s="8"/>
      <c r="CP71" s="8"/>
      <c r="CQ71" s="8"/>
      <c r="CR71" s="8"/>
      <c r="CS71" s="8"/>
      <c r="CT71" s="8"/>
      <c r="CU71" s="8"/>
      <c r="CV71" s="8"/>
      <c r="CW71" s="8"/>
      <c r="CX71" s="8"/>
      <c r="CY71" s="8"/>
      <c r="CZ71" s="8"/>
    </row>
    <row r="72" spans="1:104" x14ac:dyDescent="0.25">
      <c r="A72" s="2"/>
      <c r="B72" s="2" t="s">
        <v>130</v>
      </c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>
        <v>805.67626099999995</v>
      </c>
      <c r="P72" s="8">
        <v>791.07644300000004</v>
      </c>
      <c r="Q72" s="8">
        <v>1564.8530000000001</v>
      </c>
      <c r="R72" s="8">
        <v>1577.125</v>
      </c>
      <c r="S72" s="8">
        <v>2032.876</v>
      </c>
      <c r="T72" s="8">
        <v>2255.0549999999998</v>
      </c>
      <c r="U72" s="8">
        <v>2459.1550000000002</v>
      </c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  <c r="BP72" s="8"/>
      <c r="BQ72" s="8"/>
      <c r="BR72" s="8"/>
      <c r="BS72" s="8"/>
      <c r="BT72" s="8"/>
      <c r="BU72" s="8"/>
      <c r="BV72" s="8"/>
      <c r="BW72" s="8"/>
      <c r="BX72" s="8"/>
      <c r="BY72" s="8"/>
      <c r="BZ72" s="8"/>
      <c r="CA72" s="8"/>
      <c r="CB72" s="8"/>
      <c r="CC72" s="8"/>
      <c r="CD72" s="8"/>
      <c r="CE72" s="8"/>
      <c r="CF72" s="8"/>
      <c r="CG72" s="8"/>
      <c r="CH72" s="8"/>
      <c r="CI72" s="8"/>
      <c r="CJ72" s="8"/>
      <c r="CK72" s="8"/>
      <c r="CL72" s="8"/>
      <c r="CM72" s="8"/>
      <c r="CN72" s="8"/>
      <c r="CO72" s="8"/>
      <c r="CP72" s="8"/>
      <c r="CQ72" s="8"/>
      <c r="CR72" s="8"/>
      <c r="CS72" s="8"/>
      <c r="CT72" s="8"/>
      <c r="CU72" s="8"/>
      <c r="CV72" s="8"/>
      <c r="CW72" s="8"/>
      <c r="CX72" s="8"/>
      <c r="CY72" s="8"/>
      <c r="CZ72" s="8"/>
    </row>
    <row r="73" spans="1:104" x14ac:dyDescent="0.25">
      <c r="A73" s="2"/>
      <c r="B73" s="2" t="s">
        <v>131</v>
      </c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>
        <v>194.60827900000001</v>
      </c>
      <c r="P73" s="8">
        <v>200.496905</v>
      </c>
      <c r="Q73" s="8">
        <v>829.40499999999997</v>
      </c>
      <c r="R73" s="8">
        <v>817.80899999999997</v>
      </c>
      <c r="S73" s="8">
        <v>846.024</v>
      </c>
      <c r="T73" s="8">
        <v>867.92</v>
      </c>
      <c r="U73" s="8">
        <f>1517.902+382.085</f>
        <v>1899.9870000000001</v>
      </c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  <c r="BP73" s="8"/>
      <c r="BQ73" s="8"/>
      <c r="BR73" s="8"/>
      <c r="BS73" s="8"/>
      <c r="BT73" s="8"/>
      <c r="BU73" s="8"/>
      <c r="BV73" s="8"/>
      <c r="BW73" s="8"/>
      <c r="BX73" s="8"/>
      <c r="BY73" s="8"/>
      <c r="BZ73" s="8"/>
      <c r="CA73" s="8"/>
      <c r="CB73" s="8"/>
      <c r="CC73" s="8"/>
      <c r="CD73" s="8"/>
      <c r="CE73" s="8"/>
      <c r="CF73" s="8"/>
      <c r="CG73" s="8"/>
      <c r="CH73" s="8"/>
      <c r="CI73" s="8"/>
      <c r="CJ73" s="8"/>
      <c r="CK73" s="8"/>
      <c r="CL73" s="8"/>
      <c r="CM73" s="8"/>
      <c r="CN73" s="8"/>
      <c r="CO73" s="8"/>
      <c r="CP73" s="8"/>
      <c r="CQ73" s="8"/>
      <c r="CR73" s="8"/>
      <c r="CS73" s="8"/>
      <c r="CT73" s="8"/>
      <c r="CU73" s="8"/>
      <c r="CV73" s="8"/>
      <c r="CW73" s="8"/>
      <c r="CX73" s="8"/>
      <c r="CY73" s="8"/>
      <c r="CZ73" s="8"/>
    </row>
    <row r="74" spans="1:104" x14ac:dyDescent="0.25">
      <c r="A74" s="2"/>
      <c r="B74" s="2" t="s">
        <v>132</v>
      </c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>
        <v>274.31798900000001</v>
      </c>
      <c r="P74" s="8">
        <v>294.41953100000001</v>
      </c>
      <c r="Q74" s="8">
        <v>1956.289</v>
      </c>
      <c r="R74" s="8">
        <v>2011.4739999999999</v>
      </c>
      <c r="S74" s="8">
        <v>2024.5519999999999</v>
      </c>
      <c r="T74" s="8">
        <v>2278.9549999999999</v>
      </c>
      <c r="U74" s="8">
        <v>2983.62</v>
      </c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  <c r="BP74" s="8"/>
      <c r="BQ74" s="8"/>
      <c r="BR74" s="8"/>
      <c r="BS74" s="8"/>
      <c r="BT74" s="8"/>
      <c r="BU74" s="8"/>
      <c r="BV74" s="8"/>
      <c r="BW74" s="8"/>
      <c r="BX74" s="8"/>
      <c r="BY74" s="8"/>
      <c r="BZ74" s="8"/>
      <c r="CA74" s="8"/>
      <c r="CB74" s="8"/>
      <c r="CC74" s="8"/>
      <c r="CD74" s="8"/>
      <c r="CE74" s="8"/>
      <c r="CF74" s="8"/>
      <c r="CG74" s="8"/>
      <c r="CH74" s="8"/>
      <c r="CI74" s="8"/>
      <c r="CJ74" s="8"/>
      <c r="CK74" s="8"/>
      <c r="CL74" s="8"/>
      <c r="CM74" s="8"/>
      <c r="CN74" s="8"/>
      <c r="CO74" s="8"/>
      <c r="CP74" s="8"/>
      <c r="CQ74" s="8"/>
      <c r="CR74" s="8"/>
      <c r="CS74" s="8"/>
      <c r="CT74" s="8"/>
      <c r="CU74" s="8"/>
      <c r="CV74" s="8"/>
      <c r="CW74" s="8"/>
      <c r="CX74" s="8"/>
      <c r="CY74" s="8"/>
      <c r="CZ74" s="8"/>
    </row>
    <row r="75" spans="1:104" x14ac:dyDescent="0.25">
      <c r="A75" s="2"/>
      <c r="B75" s="2" t="s">
        <v>133</v>
      </c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>
        <v>978.43616599999996</v>
      </c>
      <c r="P75" s="8">
        <v>903.27193499999998</v>
      </c>
      <c r="Q75" s="8">
        <v>5.6959999999999997</v>
      </c>
      <c r="R75" s="8">
        <v>26.974</v>
      </c>
      <c r="S75" s="8">
        <v>41.61</v>
      </c>
      <c r="T75" s="8">
        <v>37.624000000000002</v>
      </c>
      <c r="U75" s="8">
        <v>67.522999999999996</v>
      </c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  <c r="BP75" s="8"/>
      <c r="BQ75" s="8"/>
      <c r="BR75" s="8"/>
      <c r="BS75" s="8"/>
      <c r="BT75" s="8"/>
      <c r="BU75" s="8"/>
      <c r="BV75" s="8"/>
      <c r="BW75" s="8"/>
      <c r="BX75" s="8"/>
      <c r="BY75" s="8"/>
      <c r="BZ75" s="8"/>
      <c r="CA75" s="8"/>
      <c r="CB75" s="8"/>
      <c r="CC75" s="8"/>
      <c r="CD75" s="8"/>
      <c r="CE75" s="8"/>
      <c r="CF75" s="8"/>
      <c r="CG75" s="8"/>
      <c r="CH75" s="8"/>
      <c r="CI75" s="8"/>
      <c r="CJ75" s="8"/>
      <c r="CK75" s="8"/>
      <c r="CL75" s="8"/>
      <c r="CM75" s="8"/>
      <c r="CN75" s="8"/>
      <c r="CO75" s="8"/>
      <c r="CP75" s="8"/>
      <c r="CQ75" s="8"/>
      <c r="CR75" s="8"/>
      <c r="CS75" s="8"/>
      <c r="CT75" s="8"/>
      <c r="CU75" s="8"/>
      <c r="CV75" s="8"/>
      <c r="CW75" s="8"/>
      <c r="CX75" s="8"/>
      <c r="CY75" s="8"/>
      <c r="CZ75" s="8"/>
    </row>
    <row r="76" spans="1:104" x14ac:dyDescent="0.25">
      <c r="A76" s="2"/>
      <c r="B76" s="2" t="s">
        <v>134</v>
      </c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>
        <v>30.83362</v>
      </c>
      <c r="P76" s="8">
        <v>43.922789999999999</v>
      </c>
      <c r="Q76" s="8">
        <v>287.46199999999999</v>
      </c>
      <c r="R76" s="8">
        <v>373.09</v>
      </c>
      <c r="S76" s="8">
        <v>374.84699999999998</v>
      </c>
      <c r="T76" s="8">
        <v>408.971</v>
      </c>
      <c r="U76" s="8">
        <v>391.99700000000001</v>
      </c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  <c r="BP76" s="8"/>
      <c r="BQ76" s="8"/>
      <c r="BR76" s="8"/>
      <c r="BS76" s="8"/>
      <c r="BT76" s="8"/>
      <c r="BU76" s="8"/>
      <c r="BV76" s="8"/>
      <c r="BW76" s="8"/>
      <c r="BX76" s="8"/>
      <c r="BY76" s="8"/>
      <c r="BZ76" s="8"/>
      <c r="CA76" s="8"/>
      <c r="CB76" s="8"/>
      <c r="CC76" s="8"/>
      <c r="CD76" s="8"/>
      <c r="CE76" s="8"/>
      <c r="CF76" s="8"/>
      <c r="CG76" s="8"/>
      <c r="CH76" s="8"/>
      <c r="CI76" s="8"/>
      <c r="CJ76" s="8"/>
      <c r="CK76" s="8"/>
      <c r="CL76" s="8"/>
      <c r="CM76" s="8"/>
      <c r="CN76" s="8"/>
      <c r="CO76" s="8"/>
      <c r="CP76" s="8"/>
      <c r="CQ76" s="8"/>
      <c r="CR76" s="8"/>
      <c r="CS76" s="8"/>
      <c r="CT76" s="8"/>
      <c r="CU76" s="8"/>
      <c r="CV76" s="8"/>
      <c r="CW76" s="8"/>
      <c r="CX76" s="8"/>
      <c r="CY76" s="8"/>
      <c r="CZ76" s="8"/>
    </row>
    <row r="77" spans="1:104" x14ac:dyDescent="0.25">
      <c r="A77" s="2"/>
      <c r="B77" s="2" t="s">
        <v>137</v>
      </c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>
        <v>80.801574000000002</v>
      </c>
      <c r="P77" s="8">
        <v>74.457072999999994</v>
      </c>
      <c r="Q77" s="8">
        <v>144.346</v>
      </c>
      <c r="R77" s="8">
        <v>139.40199999999999</v>
      </c>
      <c r="S77" s="8">
        <v>131.50399999999999</v>
      </c>
      <c r="T77" s="8">
        <v>139.08600000000001</v>
      </c>
      <c r="U77" s="8">
        <v>157.827</v>
      </c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  <c r="BP77" s="8"/>
      <c r="BQ77" s="8"/>
      <c r="BR77" s="8"/>
      <c r="BS77" s="8"/>
      <c r="BT77" s="8"/>
      <c r="BU77" s="8"/>
      <c r="BV77" s="8"/>
      <c r="BW77" s="8"/>
      <c r="BX77" s="8"/>
      <c r="BY77" s="8"/>
      <c r="BZ77" s="8"/>
      <c r="CA77" s="8"/>
      <c r="CB77" s="8"/>
      <c r="CC77" s="8"/>
      <c r="CD77" s="8"/>
      <c r="CE77" s="8"/>
      <c r="CF77" s="8"/>
      <c r="CG77" s="8"/>
      <c r="CH77" s="8"/>
      <c r="CI77" s="8"/>
      <c r="CJ77" s="8"/>
      <c r="CK77" s="8"/>
      <c r="CL77" s="8"/>
      <c r="CM77" s="8"/>
      <c r="CN77" s="8"/>
      <c r="CO77" s="8"/>
      <c r="CP77" s="8"/>
      <c r="CQ77" s="8"/>
      <c r="CR77" s="8"/>
      <c r="CS77" s="8"/>
      <c r="CT77" s="8"/>
      <c r="CU77" s="8"/>
      <c r="CV77" s="8"/>
      <c r="CW77" s="8"/>
      <c r="CX77" s="8"/>
      <c r="CY77" s="8"/>
      <c r="CZ77" s="8"/>
    </row>
    <row r="78" spans="1:104" x14ac:dyDescent="0.25">
      <c r="A78" s="2"/>
      <c r="B78" s="2" t="s">
        <v>126</v>
      </c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>
        <v>6.1032830000000002</v>
      </c>
      <c r="P78" s="8">
        <v>6.7682270000000004</v>
      </c>
      <c r="Q78" s="8">
        <v>0</v>
      </c>
      <c r="R78" s="8">
        <v>5.8120000000000003</v>
      </c>
      <c r="S78" s="8">
        <v>0.89</v>
      </c>
      <c r="T78" s="8">
        <v>2.5710000000000002</v>
      </c>
      <c r="U78" s="8">
        <v>5.7610000000000001</v>
      </c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  <c r="BP78" s="8"/>
      <c r="BQ78" s="8"/>
      <c r="BR78" s="8"/>
      <c r="BS78" s="8"/>
      <c r="BT78" s="8"/>
      <c r="BU78" s="8"/>
      <c r="BV78" s="8"/>
      <c r="BW78" s="8"/>
      <c r="BX78" s="8"/>
      <c r="BY78" s="8"/>
      <c r="BZ78" s="8"/>
      <c r="CA78" s="8"/>
      <c r="CB78" s="8"/>
      <c r="CC78" s="8"/>
      <c r="CD78" s="8"/>
      <c r="CE78" s="8"/>
      <c r="CF78" s="8"/>
      <c r="CG78" s="8"/>
      <c r="CH78" s="8"/>
      <c r="CI78" s="8"/>
      <c r="CJ78" s="8"/>
      <c r="CK78" s="8"/>
      <c r="CL78" s="8"/>
      <c r="CM78" s="8"/>
      <c r="CN78" s="8"/>
      <c r="CO78" s="8"/>
      <c r="CP78" s="8"/>
      <c r="CQ78" s="8"/>
      <c r="CR78" s="8"/>
      <c r="CS78" s="8"/>
      <c r="CT78" s="8"/>
      <c r="CU78" s="8"/>
      <c r="CV78" s="8"/>
      <c r="CW78" s="8"/>
      <c r="CX78" s="8"/>
      <c r="CY78" s="8"/>
      <c r="CZ78" s="8"/>
    </row>
    <row r="79" spans="1:104" x14ac:dyDescent="0.25">
      <c r="A79" s="2"/>
      <c r="B79" s="2" t="s">
        <v>127</v>
      </c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>
        <v>201.51002600000001</v>
      </c>
      <c r="P79" s="8">
        <v>201.29836499999999</v>
      </c>
      <c r="Q79" s="8">
        <v>1.125</v>
      </c>
      <c r="R79" s="8">
        <v>1.125</v>
      </c>
      <c r="S79" s="8">
        <v>0</v>
      </c>
      <c r="T79" s="8">
        <v>0.36899999999999999</v>
      </c>
      <c r="U79" s="8">
        <v>4.8170000000000002</v>
      </c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  <c r="BP79" s="8"/>
      <c r="BQ79" s="8"/>
      <c r="BR79" s="8"/>
      <c r="BS79" s="8"/>
      <c r="BT79" s="8"/>
      <c r="BU79" s="8"/>
      <c r="BV79" s="8"/>
      <c r="BW79" s="8"/>
      <c r="BX79" s="8"/>
      <c r="BY79" s="8"/>
      <c r="BZ79" s="8"/>
      <c r="CA79" s="8"/>
      <c r="CB79" s="8"/>
      <c r="CC79" s="8"/>
      <c r="CD79" s="8"/>
      <c r="CE79" s="8"/>
      <c r="CF79" s="8"/>
      <c r="CG79" s="8"/>
      <c r="CH79" s="8"/>
      <c r="CI79" s="8"/>
      <c r="CJ79" s="8"/>
      <c r="CK79" s="8"/>
      <c r="CL79" s="8"/>
      <c r="CM79" s="8"/>
      <c r="CN79" s="8"/>
      <c r="CO79" s="8"/>
      <c r="CP79" s="8"/>
      <c r="CQ79" s="8"/>
      <c r="CR79" s="8"/>
      <c r="CS79" s="8"/>
      <c r="CT79" s="8"/>
      <c r="CU79" s="8"/>
      <c r="CV79" s="8"/>
      <c r="CW79" s="8"/>
      <c r="CX79" s="8"/>
      <c r="CY79" s="8"/>
      <c r="CZ79" s="8"/>
    </row>
    <row r="80" spans="1:104" x14ac:dyDescent="0.25">
      <c r="A80" s="2"/>
      <c r="B80" s="2" t="s">
        <v>135</v>
      </c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>
        <f t="shared" ref="N80:S80" si="56">+SUM(N72:N79)</f>
        <v>0</v>
      </c>
      <c r="O80" s="8">
        <f t="shared" si="56"/>
        <v>2572.287198</v>
      </c>
      <c r="P80" s="8">
        <f t="shared" si="56"/>
        <v>2515.7112690000004</v>
      </c>
      <c r="Q80" s="8">
        <f t="shared" si="56"/>
        <v>4789.1759999999995</v>
      </c>
      <c r="R80" s="8">
        <f t="shared" si="56"/>
        <v>4952.8110000000006</v>
      </c>
      <c r="S80" s="8">
        <f t="shared" si="56"/>
        <v>5452.3029999999999</v>
      </c>
      <c r="T80" s="8">
        <f>+SUM(T72:T79)</f>
        <v>5990.5509999999995</v>
      </c>
      <c r="U80" s="8">
        <f>+SUM(U72:U79)</f>
        <v>7970.6870000000008</v>
      </c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  <c r="BP80" s="8"/>
      <c r="BQ80" s="8"/>
      <c r="BR80" s="8"/>
      <c r="BS80" s="8"/>
      <c r="BT80" s="8"/>
      <c r="BU80" s="8"/>
      <c r="BV80" s="8"/>
      <c r="BW80" s="8"/>
      <c r="BX80" s="8"/>
      <c r="BY80" s="8"/>
      <c r="BZ80" s="8"/>
      <c r="CA80" s="8"/>
      <c r="CB80" s="8"/>
      <c r="CC80" s="8"/>
      <c r="CD80" s="8"/>
      <c r="CE80" s="8"/>
      <c r="CF80" s="8"/>
      <c r="CG80" s="8"/>
      <c r="CH80" s="8"/>
      <c r="CI80" s="8"/>
      <c r="CJ80" s="8"/>
      <c r="CK80" s="8"/>
      <c r="CL80" s="8"/>
      <c r="CM80" s="8"/>
      <c r="CN80" s="8"/>
      <c r="CO80" s="8"/>
      <c r="CP80" s="8"/>
      <c r="CQ80" s="8"/>
      <c r="CR80" s="8"/>
      <c r="CS80" s="8"/>
      <c r="CT80" s="8"/>
      <c r="CU80" s="8"/>
      <c r="CV80" s="8"/>
      <c r="CW80" s="8"/>
      <c r="CX80" s="8"/>
      <c r="CY80" s="8"/>
      <c r="CZ80" s="8"/>
    </row>
    <row r="81" spans="1:104" x14ac:dyDescent="0.25">
      <c r="A81" s="2"/>
      <c r="B81" s="1" t="s">
        <v>136</v>
      </c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>
        <f t="shared" ref="N81:Q81" si="57">+N80+N71</f>
        <v>0</v>
      </c>
      <c r="O81" s="26">
        <f t="shared" si="57"/>
        <v>4138.3281000000006</v>
      </c>
      <c r="P81" s="26">
        <f t="shared" si="57"/>
        <v>3862.5783540000002</v>
      </c>
      <c r="Q81" s="26">
        <f t="shared" si="57"/>
        <v>6959.0109999999995</v>
      </c>
      <c r="R81" s="26">
        <f>+R80+R71</f>
        <v>7377.5780000000013</v>
      </c>
      <c r="S81" s="26">
        <f>+S80+S71</f>
        <v>7615.0509999999995</v>
      </c>
      <c r="T81" s="26">
        <f>+T80+T71</f>
        <v>8549.9589999999989</v>
      </c>
      <c r="U81" s="26">
        <f>+U80+U71</f>
        <v>11012.937000000002</v>
      </c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  <c r="BP81" s="8"/>
      <c r="BQ81" s="8"/>
      <c r="BR81" s="8"/>
      <c r="BS81" s="8"/>
      <c r="BT81" s="8"/>
      <c r="BU81" s="8"/>
      <c r="BV81" s="8"/>
      <c r="BW81" s="8"/>
      <c r="BX81" s="8"/>
      <c r="BY81" s="8"/>
      <c r="BZ81" s="8"/>
      <c r="CA81" s="8"/>
      <c r="CB81" s="8"/>
      <c r="CC81" s="8"/>
      <c r="CD81" s="8"/>
      <c r="CE81" s="8"/>
      <c r="CF81" s="8"/>
      <c r="CG81" s="8"/>
      <c r="CH81" s="8"/>
      <c r="CI81" s="8"/>
      <c r="CJ81" s="8"/>
      <c r="CK81" s="8"/>
      <c r="CL81" s="8"/>
      <c r="CM81" s="8"/>
      <c r="CN81" s="8"/>
      <c r="CO81" s="8"/>
      <c r="CP81" s="8"/>
      <c r="CQ81" s="8"/>
      <c r="CR81" s="8"/>
      <c r="CS81" s="8"/>
      <c r="CT81" s="8"/>
      <c r="CU81" s="8"/>
      <c r="CV81" s="8"/>
      <c r="CW81" s="8"/>
      <c r="CX81" s="8"/>
      <c r="CY81" s="8"/>
      <c r="CZ81" s="8"/>
    </row>
    <row r="82" spans="1:104" x14ac:dyDescent="0.25">
      <c r="A82" s="2"/>
      <c r="B82" s="2" t="s">
        <v>138</v>
      </c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>
        <v>122.677897</v>
      </c>
      <c r="P82" s="8">
        <v>177.78702699999999</v>
      </c>
      <c r="Q82" s="8">
        <v>418.21499999999997</v>
      </c>
      <c r="R82" s="8">
        <v>392.12599999999998</v>
      </c>
      <c r="S82" s="8">
        <v>411.28899999999999</v>
      </c>
      <c r="T82" s="8">
        <v>434.13499999999999</v>
      </c>
      <c r="U82" s="8">
        <v>524.69899999999996</v>
      </c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  <c r="BP82" s="8"/>
      <c r="BQ82" s="8"/>
      <c r="BR82" s="8"/>
      <c r="BS82" s="8"/>
      <c r="BT82" s="8"/>
      <c r="BU82" s="8"/>
      <c r="BV82" s="8"/>
      <c r="BW82" s="8"/>
      <c r="BX82" s="8"/>
      <c r="BY82" s="8"/>
      <c r="BZ82" s="8"/>
      <c r="CA82" s="8"/>
      <c r="CB82" s="8"/>
      <c r="CC82" s="8"/>
      <c r="CD82" s="8"/>
      <c r="CE82" s="8"/>
      <c r="CF82" s="8"/>
      <c r="CG82" s="8"/>
      <c r="CH82" s="8"/>
      <c r="CI82" s="8"/>
      <c r="CJ82" s="8"/>
      <c r="CK82" s="8"/>
      <c r="CL82" s="8"/>
      <c r="CM82" s="8"/>
      <c r="CN82" s="8"/>
      <c r="CO82" s="8"/>
      <c r="CP82" s="8"/>
      <c r="CQ82" s="8"/>
      <c r="CR82" s="8"/>
      <c r="CS82" s="8"/>
      <c r="CT82" s="8"/>
      <c r="CU82" s="8"/>
      <c r="CV82" s="8"/>
      <c r="CW82" s="8"/>
      <c r="CX82" s="8"/>
      <c r="CY82" s="8"/>
      <c r="CZ82" s="8"/>
    </row>
    <row r="83" spans="1:104" x14ac:dyDescent="0.25">
      <c r="A83" s="2"/>
      <c r="B83" s="2" t="s">
        <v>139</v>
      </c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>
        <v>74.652659999999997</v>
      </c>
      <c r="P83" s="8">
        <v>63.800921000000002</v>
      </c>
      <c r="Q83" s="8">
        <v>249.10300000000001</v>
      </c>
      <c r="R83" s="8">
        <v>160.84700000000001</v>
      </c>
      <c r="S83" s="8">
        <v>148.33799999999999</v>
      </c>
      <c r="T83" s="8">
        <v>183.24700000000001</v>
      </c>
      <c r="U83" s="8">
        <v>439.86099999999999</v>
      </c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  <c r="BU83" s="8"/>
      <c r="BV83" s="8"/>
      <c r="BW83" s="8"/>
      <c r="BX83" s="8"/>
      <c r="BY83" s="8"/>
      <c r="BZ83" s="8"/>
      <c r="CA83" s="8"/>
      <c r="CB83" s="8"/>
      <c r="CC83" s="8"/>
      <c r="CD83" s="8"/>
      <c r="CE83" s="8"/>
      <c r="CF83" s="8"/>
      <c r="CG83" s="8"/>
      <c r="CH83" s="8"/>
      <c r="CI83" s="8"/>
      <c r="CJ83" s="8"/>
      <c r="CK83" s="8"/>
      <c r="CL83" s="8"/>
      <c r="CM83" s="8"/>
      <c r="CN83" s="8"/>
      <c r="CO83" s="8"/>
      <c r="CP83" s="8"/>
      <c r="CQ83" s="8"/>
      <c r="CR83" s="8"/>
      <c r="CS83" s="8"/>
      <c r="CT83" s="8"/>
      <c r="CU83" s="8"/>
      <c r="CV83" s="8"/>
      <c r="CW83" s="8"/>
      <c r="CX83" s="8"/>
      <c r="CY83" s="8"/>
      <c r="CZ83" s="8"/>
    </row>
    <row r="84" spans="1:104" x14ac:dyDescent="0.25">
      <c r="A84" s="2"/>
      <c r="B84" s="2" t="s">
        <v>140</v>
      </c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>
        <v>865.37989600000003</v>
      </c>
      <c r="P84" s="8">
        <v>635.00195699999995</v>
      </c>
      <c r="Q84" s="8">
        <v>8.36</v>
      </c>
      <c r="R84" s="8">
        <v>3.5680000000000001</v>
      </c>
      <c r="S84" s="8">
        <v>5.8579999999999997</v>
      </c>
      <c r="T84" s="8">
        <v>8.2789999999999999</v>
      </c>
      <c r="U84" s="8">
        <v>2.1000000000000001E-2</v>
      </c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  <c r="BP84" s="8"/>
      <c r="BQ84" s="8"/>
      <c r="BR84" s="8"/>
      <c r="BS84" s="8"/>
      <c r="BT84" s="8"/>
      <c r="BU84" s="8"/>
      <c r="BV84" s="8"/>
      <c r="BW84" s="8"/>
      <c r="BX84" s="8"/>
      <c r="BY84" s="8"/>
      <c r="BZ84" s="8"/>
      <c r="CA84" s="8"/>
      <c r="CB84" s="8"/>
      <c r="CC84" s="8"/>
      <c r="CD84" s="8"/>
      <c r="CE84" s="8"/>
      <c r="CF84" s="8"/>
      <c r="CG84" s="8"/>
      <c r="CH84" s="8"/>
      <c r="CI84" s="8"/>
      <c r="CJ84" s="8"/>
      <c r="CK84" s="8"/>
      <c r="CL84" s="8"/>
      <c r="CM84" s="8"/>
      <c r="CN84" s="8"/>
      <c r="CO84" s="8"/>
      <c r="CP84" s="8"/>
      <c r="CQ84" s="8"/>
      <c r="CR84" s="8"/>
      <c r="CS84" s="8"/>
      <c r="CT84" s="8"/>
      <c r="CU84" s="8"/>
      <c r="CV84" s="8"/>
      <c r="CW84" s="8"/>
      <c r="CX84" s="8"/>
      <c r="CY84" s="8"/>
      <c r="CZ84" s="8"/>
    </row>
    <row r="85" spans="1:104" x14ac:dyDescent="0.25">
      <c r="A85" s="2"/>
      <c r="B85" s="2" t="s">
        <v>141</v>
      </c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>
        <v>19.461981000000002</v>
      </c>
      <c r="P85" s="8">
        <v>24.123529000000001</v>
      </c>
      <c r="Q85" s="8">
        <v>390.16300000000001</v>
      </c>
      <c r="R85" s="8">
        <v>401.79899999999998</v>
      </c>
      <c r="S85" s="8">
        <v>453.387</v>
      </c>
      <c r="T85" s="8">
        <v>481.61500000000001</v>
      </c>
      <c r="U85" s="8">
        <v>628.16600000000005</v>
      </c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  <c r="BP85" s="8"/>
      <c r="BQ85" s="8"/>
      <c r="BR85" s="8"/>
      <c r="BS85" s="8"/>
      <c r="BT85" s="8"/>
      <c r="BU85" s="8"/>
      <c r="BV85" s="8"/>
      <c r="BW85" s="8"/>
      <c r="BX85" s="8"/>
      <c r="BY85" s="8"/>
      <c r="BZ85" s="8"/>
      <c r="CA85" s="8"/>
      <c r="CB85" s="8"/>
      <c r="CC85" s="8"/>
      <c r="CD85" s="8"/>
      <c r="CE85" s="8"/>
      <c r="CF85" s="8"/>
      <c r="CG85" s="8"/>
      <c r="CH85" s="8"/>
      <c r="CI85" s="8"/>
      <c r="CJ85" s="8"/>
      <c r="CK85" s="8"/>
      <c r="CL85" s="8"/>
      <c r="CM85" s="8"/>
      <c r="CN85" s="8"/>
      <c r="CO85" s="8"/>
      <c r="CP85" s="8"/>
      <c r="CQ85" s="8"/>
      <c r="CR85" s="8"/>
      <c r="CS85" s="8"/>
      <c r="CT85" s="8"/>
      <c r="CU85" s="8"/>
      <c r="CV85" s="8"/>
      <c r="CW85" s="8"/>
      <c r="CX85" s="8"/>
      <c r="CY85" s="8"/>
      <c r="CZ85" s="8"/>
    </row>
    <row r="86" spans="1:104" x14ac:dyDescent="0.25">
      <c r="A86" s="2"/>
      <c r="B86" s="2" t="s">
        <v>142</v>
      </c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>
        <v>11.305987</v>
      </c>
      <c r="P86" s="8">
        <v>7.7888529999999996</v>
      </c>
      <c r="Q86" s="8">
        <v>144.15899999999999</v>
      </c>
      <c r="R86" s="8">
        <v>277.65600000000001</v>
      </c>
      <c r="S86" s="8">
        <v>121.82299999999999</v>
      </c>
      <c r="T86" s="8">
        <v>177.13800000000001</v>
      </c>
      <c r="U86" s="8">
        <f>41.603+87.404</f>
        <v>129.00700000000001</v>
      </c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  <c r="BP86" s="8"/>
      <c r="BQ86" s="8"/>
      <c r="BR86" s="8"/>
      <c r="BS86" s="8"/>
      <c r="BT86" s="8"/>
      <c r="BU86" s="8"/>
      <c r="BV86" s="8"/>
      <c r="BW86" s="8"/>
      <c r="BX86" s="8"/>
      <c r="BY86" s="8"/>
      <c r="BZ86" s="8"/>
      <c r="CA86" s="8"/>
      <c r="CB86" s="8"/>
      <c r="CC86" s="8"/>
      <c r="CD86" s="8"/>
      <c r="CE86" s="8"/>
      <c r="CF86" s="8"/>
      <c r="CG86" s="8"/>
      <c r="CH86" s="8"/>
      <c r="CI86" s="8"/>
      <c r="CJ86" s="8"/>
      <c r="CK86" s="8"/>
      <c r="CL86" s="8"/>
      <c r="CM86" s="8"/>
      <c r="CN86" s="8"/>
      <c r="CO86" s="8"/>
      <c r="CP86" s="8"/>
      <c r="CQ86" s="8"/>
      <c r="CR86" s="8"/>
      <c r="CS86" s="8"/>
      <c r="CT86" s="8"/>
      <c r="CU86" s="8"/>
      <c r="CV86" s="8"/>
      <c r="CW86" s="8"/>
      <c r="CX86" s="8"/>
      <c r="CY86" s="8"/>
      <c r="CZ86" s="8"/>
    </row>
    <row r="87" spans="1:104" x14ac:dyDescent="0.25">
      <c r="A87" s="2"/>
      <c r="B87" s="2" t="s">
        <v>126</v>
      </c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>
        <v>128.23243099999999</v>
      </c>
      <c r="P87" s="8">
        <v>145.772616</v>
      </c>
      <c r="Q87" s="8">
        <v>29.683</v>
      </c>
      <c r="R87" s="8">
        <v>11.565</v>
      </c>
      <c r="S87" s="8">
        <v>7.5430000000000001</v>
      </c>
      <c r="T87" s="8">
        <v>27.777999999999999</v>
      </c>
      <c r="U87" s="8">
        <v>10.475</v>
      </c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  <c r="BP87" s="8"/>
      <c r="BQ87" s="8"/>
      <c r="BR87" s="8"/>
      <c r="BS87" s="8"/>
      <c r="BT87" s="8"/>
      <c r="BU87" s="8"/>
      <c r="BV87" s="8"/>
      <c r="BW87" s="8"/>
      <c r="BX87" s="8"/>
      <c r="BY87" s="8"/>
      <c r="BZ87" s="8"/>
      <c r="CA87" s="8"/>
      <c r="CB87" s="8"/>
      <c r="CC87" s="8"/>
      <c r="CD87" s="8"/>
      <c r="CE87" s="8"/>
      <c r="CF87" s="8"/>
      <c r="CG87" s="8"/>
      <c r="CH87" s="8"/>
      <c r="CI87" s="8"/>
      <c r="CJ87" s="8"/>
      <c r="CK87" s="8"/>
      <c r="CL87" s="8"/>
      <c r="CM87" s="8"/>
      <c r="CN87" s="8"/>
      <c r="CO87" s="8"/>
      <c r="CP87" s="8"/>
      <c r="CQ87" s="8"/>
      <c r="CR87" s="8"/>
      <c r="CS87" s="8"/>
      <c r="CT87" s="8"/>
      <c r="CU87" s="8"/>
      <c r="CV87" s="8"/>
      <c r="CW87" s="8"/>
      <c r="CX87" s="8"/>
      <c r="CY87" s="8"/>
      <c r="CZ87" s="8"/>
    </row>
    <row r="88" spans="1:104" x14ac:dyDescent="0.25">
      <c r="A88" s="2"/>
      <c r="B88" s="2" t="s">
        <v>143</v>
      </c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>
        <v>39.466571000000002</v>
      </c>
      <c r="P88" s="8">
        <v>42.146073999999999</v>
      </c>
      <c r="Q88" s="8">
        <v>180.048</v>
      </c>
      <c r="R88" s="8">
        <v>242.30600000000001</v>
      </c>
      <c r="S88" s="8">
        <v>302.14299999999997</v>
      </c>
      <c r="T88" s="8">
        <v>371.26</v>
      </c>
      <c r="U88" s="8">
        <v>467.21199999999999</v>
      </c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8"/>
      <c r="BU88" s="8"/>
      <c r="BV88" s="8"/>
      <c r="BW88" s="8"/>
      <c r="BX88" s="8"/>
      <c r="BY88" s="8"/>
      <c r="BZ88" s="8"/>
      <c r="CA88" s="8"/>
      <c r="CB88" s="8"/>
      <c r="CC88" s="8"/>
      <c r="CD88" s="8"/>
      <c r="CE88" s="8"/>
      <c r="CF88" s="8"/>
      <c r="CG88" s="8"/>
      <c r="CH88" s="8"/>
      <c r="CI88" s="8"/>
      <c r="CJ88" s="8"/>
      <c r="CK88" s="8"/>
      <c r="CL88" s="8"/>
      <c r="CM88" s="8"/>
      <c r="CN88" s="8"/>
      <c r="CO88" s="8"/>
      <c r="CP88" s="8"/>
      <c r="CQ88" s="8"/>
      <c r="CR88" s="8"/>
      <c r="CS88" s="8"/>
      <c r="CT88" s="8"/>
      <c r="CU88" s="8"/>
      <c r="CV88" s="8"/>
      <c r="CW88" s="8"/>
      <c r="CX88" s="8"/>
      <c r="CY88" s="8"/>
      <c r="CZ88" s="8"/>
    </row>
    <row r="89" spans="1:104" x14ac:dyDescent="0.25">
      <c r="A89" s="2"/>
      <c r="B89" s="2" t="s">
        <v>144</v>
      </c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>
        <f t="shared" ref="N89:S89" si="58">+SUM(N82:N88)</f>
        <v>0</v>
      </c>
      <c r="O89" s="8">
        <f t="shared" si="58"/>
        <v>1261.1774229999999</v>
      </c>
      <c r="P89" s="8">
        <f t="shared" si="58"/>
        <v>1096.420977</v>
      </c>
      <c r="Q89" s="8">
        <f t="shared" si="58"/>
        <v>1419.731</v>
      </c>
      <c r="R89" s="8">
        <f t="shared" si="58"/>
        <v>1489.867</v>
      </c>
      <c r="S89" s="8">
        <f t="shared" si="58"/>
        <v>1450.3809999999999</v>
      </c>
      <c r="T89" s="8">
        <f>+SUM(T82:T88)</f>
        <v>1683.452</v>
      </c>
      <c r="U89" s="8">
        <f>+SUM(U82:U88)</f>
        <v>2199.4409999999998</v>
      </c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8"/>
      <c r="BT89" s="8"/>
      <c r="BU89" s="8"/>
      <c r="BV89" s="8"/>
      <c r="BW89" s="8"/>
      <c r="BX89" s="8"/>
      <c r="BY89" s="8"/>
      <c r="BZ89" s="8"/>
      <c r="CA89" s="8"/>
      <c r="CB89" s="8"/>
      <c r="CC89" s="8"/>
      <c r="CD89" s="8"/>
      <c r="CE89" s="8"/>
      <c r="CF89" s="8"/>
      <c r="CG89" s="8"/>
      <c r="CH89" s="8"/>
      <c r="CI89" s="8"/>
      <c r="CJ89" s="8"/>
      <c r="CK89" s="8"/>
      <c r="CL89" s="8"/>
      <c r="CM89" s="8"/>
      <c r="CN89" s="8"/>
      <c r="CO89" s="8"/>
      <c r="CP89" s="8"/>
      <c r="CQ89" s="8"/>
      <c r="CR89" s="8"/>
      <c r="CS89" s="8"/>
      <c r="CT89" s="8"/>
      <c r="CU89" s="8"/>
      <c r="CV89" s="8"/>
      <c r="CW89" s="8"/>
      <c r="CX89" s="8"/>
      <c r="CY89" s="8"/>
      <c r="CZ89" s="8"/>
    </row>
    <row r="90" spans="1:104" x14ac:dyDescent="0.25">
      <c r="A90" s="2"/>
      <c r="B90" s="2" t="s">
        <v>138</v>
      </c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>
        <v>1627.1969999999999</v>
      </c>
      <c r="R90" s="8">
        <v>1715.451</v>
      </c>
      <c r="S90" s="8">
        <v>1699.5989999999999</v>
      </c>
      <c r="T90" s="8">
        <v>1940.9780000000001</v>
      </c>
      <c r="U90" s="8">
        <v>2567.1799999999998</v>
      </c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  <c r="BP90" s="8"/>
      <c r="BQ90" s="8"/>
      <c r="BR90" s="8"/>
      <c r="BS90" s="8"/>
      <c r="BT90" s="8"/>
      <c r="BU90" s="8"/>
      <c r="BV90" s="8"/>
      <c r="BW90" s="8"/>
      <c r="BX90" s="8"/>
      <c r="BY90" s="8"/>
      <c r="BZ90" s="8"/>
      <c r="CA90" s="8"/>
      <c r="CB90" s="8"/>
      <c r="CC90" s="8"/>
      <c r="CD90" s="8"/>
      <c r="CE90" s="8"/>
      <c r="CF90" s="8"/>
      <c r="CG90" s="8"/>
      <c r="CH90" s="8"/>
      <c r="CI90" s="8"/>
      <c r="CJ90" s="8"/>
      <c r="CK90" s="8"/>
      <c r="CL90" s="8"/>
      <c r="CM90" s="8"/>
      <c r="CN90" s="8"/>
      <c r="CO90" s="8"/>
      <c r="CP90" s="8"/>
      <c r="CQ90" s="8"/>
      <c r="CR90" s="8"/>
      <c r="CS90" s="8"/>
      <c r="CT90" s="8"/>
      <c r="CU90" s="8"/>
      <c r="CV90" s="8"/>
      <c r="CW90" s="8"/>
      <c r="CX90" s="8"/>
      <c r="CY90" s="8"/>
      <c r="CZ90" s="8"/>
    </row>
    <row r="91" spans="1:104" x14ac:dyDescent="0.25">
      <c r="A91" s="2"/>
      <c r="B91" s="2" t="s">
        <v>145</v>
      </c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>
        <v>385.86824899999999</v>
      </c>
      <c r="Q91" s="8">
        <v>492.80099999999999</v>
      </c>
      <c r="R91" s="8">
        <v>395.65600000000001</v>
      </c>
      <c r="S91" s="8">
        <v>338.42200000000003</v>
      </c>
      <c r="T91" s="8">
        <v>220.941</v>
      </c>
      <c r="U91" s="8">
        <v>1292.5050000000001</v>
      </c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  <c r="BP91" s="8"/>
      <c r="BQ91" s="8"/>
      <c r="BR91" s="8"/>
      <c r="BS91" s="8"/>
      <c r="BT91" s="8"/>
      <c r="BU91" s="8"/>
      <c r="BV91" s="8"/>
      <c r="BW91" s="8"/>
      <c r="BX91" s="8"/>
      <c r="BY91" s="8"/>
      <c r="BZ91" s="8"/>
      <c r="CA91" s="8"/>
      <c r="CB91" s="8"/>
      <c r="CC91" s="8"/>
      <c r="CD91" s="8"/>
      <c r="CE91" s="8"/>
      <c r="CF91" s="8"/>
      <c r="CG91" s="8"/>
      <c r="CH91" s="8"/>
      <c r="CI91" s="8"/>
      <c r="CJ91" s="8"/>
      <c r="CK91" s="8"/>
      <c r="CL91" s="8"/>
      <c r="CM91" s="8"/>
      <c r="CN91" s="8"/>
      <c r="CO91" s="8"/>
      <c r="CP91" s="8"/>
      <c r="CQ91" s="8"/>
      <c r="CR91" s="8"/>
      <c r="CS91" s="8"/>
      <c r="CT91" s="8"/>
      <c r="CU91" s="8"/>
      <c r="CV91" s="8"/>
      <c r="CW91" s="8"/>
      <c r="CX91" s="8"/>
      <c r="CY91" s="8"/>
      <c r="CZ91" s="8"/>
    </row>
    <row r="92" spans="1:104" x14ac:dyDescent="0.25">
      <c r="A92" s="2"/>
      <c r="B92" s="2" t="s">
        <v>146</v>
      </c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>
        <v>35.704447999999999</v>
      </c>
      <c r="Q92" s="8">
        <v>73.819000000000003</v>
      </c>
      <c r="R92" s="8">
        <v>67.570999999999998</v>
      </c>
      <c r="S92" s="8">
        <v>60.875</v>
      </c>
      <c r="T92" s="8">
        <v>81.748999999999995</v>
      </c>
      <c r="U92" s="8">
        <v>75.927999999999997</v>
      </c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  <c r="BR92" s="8"/>
      <c r="BS92" s="8"/>
      <c r="BT92" s="8"/>
      <c r="BU92" s="8"/>
      <c r="BV92" s="8"/>
      <c r="BW92" s="8"/>
      <c r="BX92" s="8"/>
      <c r="BY92" s="8"/>
      <c r="BZ92" s="8"/>
      <c r="CA92" s="8"/>
      <c r="CB92" s="8"/>
      <c r="CC92" s="8"/>
      <c r="CD92" s="8"/>
      <c r="CE92" s="8"/>
      <c r="CF92" s="8"/>
      <c r="CG92" s="8"/>
      <c r="CH92" s="8"/>
      <c r="CI92" s="8"/>
      <c r="CJ92" s="8"/>
      <c r="CK92" s="8"/>
      <c r="CL92" s="8"/>
      <c r="CM92" s="8"/>
      <c r="CN92" s="8"/>
      <c r="CO92" s="8"/>
      <c r="CP92" s="8"/>
      <c r="CQ92" s="8"/>
      <c r="CR92" s="8"/>
      <c r="CS92" s="8"/>
      <c r="CT92" s="8"/>
      <c r="CU92" s="8"/>
      <c r="CV92" s="8"/>
      <c r="CW92" s="8"/>
      <c r="CX92" s="8"/>
      <c r="CY92" s="8"/>
      <c r="CZ92" s="8"/>
    </row>
    <row r="93" spans="1:104" x14ac:dyDescent="0.25">
      <c r="A93" s="2"/>
      <c r="B93" s="2" t="s">
        <v>147</v>
      </c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>
        <v>1.5812649999999999</v>
      </c>
      <c r="Q93" s="8">
        <v>59.201000000000001</v>
      </c>
      <c r="R93" s="8">
        <v>51.485999999999997</v>
      </c>
      <c r="S93" s="8">
        <v>49.866999999999997</v>
      </c>
      <c r="T93" s="8">
        <v>64.284000000000006</v>
      </c>
      <c r="U93" s="8">
        <v>83.335999999999999</v>
      </c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  <c r="BR93" s="8"/>
      <c r="BS93" s="8"/>
      <c r="BT93" s="8"/>
      <c r="BU93" s="8"/>
      <c r="BV93" s="8"/>
      <c r="BW93" s="8"/>
      <c r="BX93" s="8"/>
      <c r="BY93" s="8"/>
      <c r="BZ93" s="8"/>
      <c r="CA93" s="8"/>
      <c r="CB93" s="8"/>
      <c r="CC93" s="8"/>
      <c r="CD93" s="8"/>
      <c r="CE93" s="8"/>
      <c r="CF93" s="8"/>
      <c r="CG93" s="8"/>
      <c r="CH93" s="8"/>
      <c r="CI93" s="8"/>
      <c r="CJ93" s="8"/>
      <c r="CK93" s="8"/>
      <c r="CL93" s="8"/>
      <c r="CM93" s="8"/>
      <c r="CN93" s="8"/>
      <c r="CO93" s="8"/>
      <c r="CP93" s="8"/>
      <c r="CQ93" s="8"/>
      <c r="CR93" s="8"/>
      <c r="CS93" s="8"/>
      <c r="CT93" s="8"/>
      <c r="CU93" s="8"/>
      <c r="CV93" s="8"/>
      <c r="CW93" s="8"/>
      <c r="CX93" s="8"/>
      <c r="CY93" s="8"/>
      <c r="CZ93" s="8"/>
    </row>
    <row r="94" spans="1:104" x14ac:dyDescent="0.25">
      <c r="A94" s="2"/>
      <c r="B94" s="2" t="s">
        <v>148</v>
      </c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>
        <v>1.710553</v>
      </c>
      <c r="Q94" s="8">
        <v>29.806000000000001</v>
      </c>
      <c r="R94" s="8">
        <v>40.854999999999997</v>
      </c>
      <c r="S94" s="8">
        <v>35.731000000000002</v>
      </c>
      <c r="T94" s="8">
        <v>43.415999999999997</v>
      </c>
      <c r="U94" s="8">
        <v>42.896999999999998</v>
      </c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  <c r="BP94" s="8"/>
      <c r="BQ94" s="8"/>
      <c r="BR94" s="8"/>
      <c r="BS94" s="8"/>
      <c r="BT94" s="8"/>
      <c r="BU94" s="8"/>
      <c r="BV94" s="8"/>
      <c r="BW94" s="8"/>
      <c r="BX94" s="8"/>
      <c r="BY94" s="8"/>
      <c r="BZ94" s="8"/>
      <c r="CA94" s="8"/>
      <c r="CB94" s="8"/>
      <c r="CC94" s="8"/>
      <c r="CD94" s="8"/>
      <c r="CE94" s="8"/>
      <c r="CF94" s="8"/>
      <c r="CG94" s="8"/>
      <c r="CH94" s="8"/>
      <c r="CI94" s="8"/>
      <c r="CJ94" s="8"/>
      <c r="CK94" s="8"/>
      <c r="CL94" s="8"/>
      <c r="CM94" s="8"/>
      <c r="CN94" s="8"/>
      <c r="CO94" s="8"/>
      <c r="CP94" s="8"/>
      <c r="CQ94" s="8"/>
      <c r="CR94" s="8"/>
      <c r="CS94" s="8"/>
      <c r="CT94" s="8"/>
      <c r="CU94" s="8"/>
      <c r="CV94" s="8"/>
      <c r="CW94" s="8"/>
      <c r="CX94" s="8"/>
      <c r="CY94" s="8"/>
      <c r="CZ94" s="8"/>
    </row>
    <row r="95" spans="1:104" x14ac:dyDescent="0.25">
      <c r="A95" s="2"/>
      <c r="B95" s="2" t="s">
        <v>149</v>
      </c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>
        <v>104</v>
      </c>
      <c r="Q95" s="8">
        <v>123.027</v>
      </c>
      <c r="R95" s="8">
        <v>115.67</v>
      </c>
      <c r="S95" s="8">
        <v>103.367</v>
      </c>
      <c r="T95" s="8">
        <v>95.31</v>
      </c>
      <c r="U95" s="8">
        <v>85.882999999999996</v>
      </c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  <c r="BP95" s="8"/>
      <c r="BQ95" s="8"/>
      <c r="BR95" s="8"/>
      <c r="BS95" s="8"/>
      <c r="BT95" s="8"/>
      <c r="BU95" s="8"/>
      <c r="BV95" s="8"/>
      <c r="BW95" s="8"/>
      <c r="BX95" s="8"/>
      <c r="BY95" s="8"/>
      <c r="BZ95" s="8"/>
      <c r="CA95" s="8"/>
      <c r="CB95" s="8"/>
      <c r="CC95" s="8"/>
      <c r="CD95" s="8"/>
      <c r="CE95" s="8"/>
      <c r="CF95" s="8"/>
      <c r="CG95" s="8"/>
      <c r="CH95" s="8"/>
      <c r="CI95" s="8"/>
      <c r="CJ95" s="8"/>
      <c r="CK95" s="8"/>
      <c r="CL95" s="8"/>
      <c r="CM95" s="8"/>
      <c r="CN95" s="8"/>
      <c r="CO95" s="8"/>
      <c r="CP95" s="8"/>
      <c r="CQ95" s="8"/>
      <c r="CR95" s="8"/>
      <c r="CS95" s="8"/>
      <c r="CT95" s="8"/>
      <c r="CU95" s="8"/>
      <c r="CV95" s="8"/>
      <c r="CW95" s="8"/>
      <c r="CX95" s="8"/>
      <c r="CY95" s="8"/>
      <c r="CZ95" s="8"/>
    </row>
    <row r="96" spans="1:104" x14ac:dyDescent="0.25">
      <c r="A96" s="2"/>
      <c r="B96" s="2" t="s">
        <v>126</v>
      </c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>
        <v>9.2490710000000007</v>
      </c>
      <c r="Q96" s="8">
        <v>4.7859999999999996</v>
      </c>
      <c r="R96" s="8">
        <v>0</v>
      </c>
      <c r="S96" s="8">
        <v>0</v>
      </c>
      <c r="T96" s="8">
        <v>0.39900000000000002</v>
      </c>
      <c r="U96" s="8">
        <v>0</v>
      </c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  <c r="BR96" s="8"/>
      <c r="BS96" s="8"/>
      <c r="BT96" s="8"/>
      <c r="BU96" s="8"/>
      <c r="BV96" s="8"/>
      <c r="BW96" s="8"/>
      <c r="BX96" s="8"/>
      <c r="BY96" s="8"/>
      <c r="BZ96" s="8"/>
      <c r="CA96" s="8"/>
      <c r="CB96" s="8"/>
      <c r="CC96" s="8"/>
      <c r="CD96" s="8"/>
      <c r="CE96" s="8"/>
      <c r="CF96" s="8"/>
      <c r="CG96" s="8"/>
      <c r="CH96" s="8"/>
      <c r="CI96" s="8"/>
      <c r="CJ96" s="8"/>
      <c r="CK96" s="8"/>
      <c r="CL96" s="8"/>
      <c r="CM96" s="8"/>
      <c r="CN96" s="8"/>
      <c r="CO96" s="8"/>
      <c r="CP96" s="8"/>
      <c r="CQ96" s="8"/>
      <c r="CR96" s="8"/>
      <c r="CS96" s="8"/>
      <c r="CT96" s="8"/>
      <c r="CU96" s="8"/>
      <c r="CV96" s="8"/>
      <c r="CW96" s="8"/>
      <c r="CX96" s="8"/>
      <c r="CY96" s="8"/>
      <c r="CZ96" s="8"/>
    </row>
    <row r="97" spans="1:104" x14ac:dyDescent="0.25">
      <c r="A97" s="2"/>
      <c r="B97" s="2" t="s">
        <v>150</v>
      </c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>
        <f t="shared" ref="N97:S97" si="59">+SUM(N90:N96)</f>
        <v>0</v>
      </c>
      <c r="O97" s="8">
        <f t="shared" si="59"/>
        <v>0</v>
      </c>
      <c r="P97" s="8">
        <f t="shared" si="59"/>
        <v>538.11358599999994</v>
      </c>
      <c r="Q97" s="8">
        <f t="shared" si="59"/>
        <v>2410.6370000000002</v>
      </c>
      <c r="R97" s="8">
        <f t="shared" si="59"/>
        <v>2386.6889999999999</v>
      </c>
      <c r="S97" s="8">
        <f t="shared" si="59"/>
        <v>2287.8610000000003</v>
      </c>
      <c r="T97" s="8">
        <f>+SUM(T90:T96)</f>
        <v>2447.0769999999998</v>
      </c>
      <c r="U97" s="8">
        <f>+SUM(U90:U96)</f>
        <v>4147.7289999999994</v>
      </c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8"/>
      <c r="BU97" s="8"/>
      <c r="BV97" s="8"/>
      <c r="BW97" s="8"/>
      <c r="BX97" s="8"/>
      <c r="BY97" s="8"/>
      <c r="BZ97" s="8"/>
      <c r="CA97" s="8"/>
      <c r="CB97" s="8"/>
      <c r="CC97" s="8"/>
      <c r="CD97" s="8"/>
      <c r="CE97" s="8"/>
      <c r="CF97" s="8"/>
      <c r="CG97" s="8"/>
      <c r="CH97" s="8"/>
      <c r="CI97" s="8"/>
      <c r="CJ97" s="8"/>
      <c r="CK97" s="8"/>
      <c r="CL97" s="8"/>
      <c r="CM97" s="8"/>
      <c r="CN97" s="8"/>
      <c r="CO97" s="8"/>
      <c r="CP97" s="8"/>
      <c r="CQ97" s="8"/>
      <c r="CR97" s="8"/>
      <c r="CS97" s="8"/>
      <c r="CT97" s="8"/>
      <c r="CU97" s="8"/>
      <c r="CV97" s="8"/>
      <c r="CW97" s="8"/>
      <c r="CX97" s="8"/>
      <c r="CY97" s="8"/>
      <c r="CZ97" s="8"/>
    </row>
    <row r="98" spans="1:104" x14ac:dyDescent="0.25">
      <c r="A98" s="2"/>
      <c r="B98" s="2" t="s">
        <v>151</v>
      </c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>
        <f t="shared" ref="N98:S98" si="60">+N97+N89</f>
        <v>0</v>
      </c>
      <c r="O98" s="8">
        <f t="shared" si="60"/>
        <v>1261.1774229999999</v>
      </c>
      <c r="P98" s="8">
        <f t="shared" si="60"/>
        <v>1634.5345629999999</v>
      </c>
      <c r="Q98" s="8">
        <f t="shared" si="60"/>
        <v>3830.3680000000004</v>
      </c>
      <c r="R98" s="8">
        <f t="shared" si="60"/>
        <v>3876.5559999999996</v>
      </c>
      <c r="S98" s="8">
        <f t="shared" si="60"/>
        <v>3738.2420000000002</v>
      </c>
      <c r="T98" s="8">
        <f>+T97+T89</f>
        <v>4130.5289999999995</v>
      </c>
      <c r="U98" s="8">
        <f>+U97+U89</f>
        <v>6347.1699999999992</v>
      </c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8"/>
      <c r="BR98" s="8"/>
      <c r="BS98" s="8"/>
      <c r="BT98" s="8"/>
      <c r="BU98" s="8"/>
      <c r="BV98" s="8"/>
      <c r="BW98" s="8"/>
      <c r="BX98" s="8"/>
      <c r="BY98" s="8"/>
      <c r="BZ98" s="8"/>
      <c r="CA98" s="8"/>
      <c r="CB98" s="8"/>
      <c r="CC98" s="8"/>
      <c r="CD98" s="8"/>
      <c r="CE98" s="8"/>
      <c r="CF98" s="8"/>
      <c r="CG98" s="8"/>
      <c r="CH98" s="8"/>
      <c r="CI98" s="8"/>
      <c r="CJ98" s="8"/>
      <c r="CK98" s="8"/>
      <c r="CL98" s="8"/>
      <c r="CM98" s="8"/>
      <c r="CN98" s="8"/>
      <c r="CO98" s="8"/>
      <c r="CP98" s="8"/>
      <c r="CQ98" s="8"/>
      <c r="CR98" s="8"/>
      <c r="CS98" s="8"/>
      <c r="CT98" s="8"/>
      <c r="CU98" s="8"/>
      <c r="CV98" s="8"/>
      <c r="CW98" s="8"/>
      <c r="CX98" s="8"/>
      <c r="CY98" s="8"/>
      <c r="CZ98" s="8"/>
    </row>
    <row r="99" spans="1:104" x14ac:dyDescent="0.25">
      <c r="A99" s="2"/>
      <c r="B99" s="2" t="s">
        <v>152</v>
      </c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>
        <v>3128.643</v>
      </c>
      <c r="R99" s="8">
        <v>3501.0219999999999</v>
      </c>
      <c r="S99" s="8">
        <v>3876.8090000000002</v>
      </c>
      <c r="T99" s="8">
        <v>4419.43</v>
      </c>
      <c r="U99" s="8">
        <v>4665.7569999999996</v>
      </c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  <c r="BP99" s="8"/>
      <c r="BQ99" s="8"/>
      <c r="BR99" s="8"/>
      <c r="BS99" s="8"/>
      <c r="BT99" s="8"/>
      <c r="BU99" s="8"/>
      <c r="BV99" s="8"/>
      <c r="BW99" s="8"/>
      <c r="BX99" s="8"/>
      <c r="BY99" s="8"/>
      <c r="BZ99" s="8"/>
      <c r="CA99" s="8"/>
      <c r="CB99" s="8"/>
      <c r="CC99" s="8"/>
      <c r="CD99" s="8"/>
      <c r="CE99" s="8"/>
      <c r="CF99" s="8"/>
      <c r="CG99" s="8"/>
      <c r="CH99" s="8"/>
      <c r="CI99" s="8"/>
      <c r="CJ99" s="8"/>
      <c r="CK99" s="8"/>
      <c r="CL99" s="8"/>
      <c r="CM99" s="8"/>
      <c r="CN99" s="8"/>
      <c r="CO99" s="8"/>
      <c r="CP99" s="8"/>
      <c r="CQ99" s="8"/>
      <c r="CR99" s="8"/>
      <c r="CS99" s="8"/>
      <c r="CT99" s="8"/>
      <c r="CU99" s="8"/>
      <c r="CV99" s="8"/>
      <c r="CW99" s="8"/>
      <c r="CX99" s="8"/>
      <c r="CY99" s="8"/>
      <c r="CZ99" s="8"/>
    </row>
    <row r="100" spans="1:104" x14ac:dyDescent="0.25">
      <c r="A100" s="2"/>
      <c r="B100" s="1" t="s">
        <v>153</v>
      </c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26">
        <f t="shared" ref="N100:S100" si="61">+N98+N99</f>
        <v>0</v>
      </c>
      <c r="O100" s="26">
        <f t="shared" si="61"/>
        <v>1261.1774229999999</v>
      </c>
      <c r="P100" s="26">
        <f t="shared" si="61"/>
        <v>1634.5345629999999</v>
      </c>
      <c r="Q100" s="26">
        <f t="shared" si="61"/>
        <v>6959.0110000000004</v>
      </c>
      <c r="R100" s="26">
        <f t="shared" si="61"/>
        <v>7377.5779999999995</v>
      </c>
      <c r="S100" s="26">
        <f t="shared" si="61"/>
        <v>7615.0510000000004</v>
      </c>
      <c r="T100" s="26">
        <f>+T98+T99</f>
        <v>8549.9589999999989</v>
      </c>
      <c r="U100" s="26">
        <f>+U98+U99</f>
        <v>11012.927</v>
      </c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  <c r="BP100" s="8"/>
      <c r="BQ100" s="8"/>
      <c r="BR100" s="8"/>
      <c r="BS100" s="8"/>
      <c r="BT100" s="8"/>
      <c r="BU100" s="8"/>
      <c r="BV100" s="8"/>
      <c r="BW100" s="8"/>
      <c r="BX100" s="8"/>
      <c r="BY100" s="8"/>
      <c r="BZ100" s="8"/>
      <c r="CA100" s="8"/>
      <c r="CB100" s="8"/>
      <c r="CC100" s="8"/>
      <c r="CD100" s="8"/>
      <c r="CE100" s="8"/>
      <c r="CF100" s="8"/>
      <c r="CG100" s="8"/>
      <c r="CH100" s="8"/>
      <c r="CI100" s="8"/>
      <c r="CJ100" s="8"/>
      <c r="CK100" s="8"/>
      <c r="CL100" s="8"/>
      <c r="CM100" s="8"/>
      <c r="CN100" s="8"/>
      <c r="CO100" s="8"/>
      <c r="CP100" s="8"/>
      <c r="CQ100" s="8"/>
      <c r="CR100" s="8"/>
      <c r="CS100" s="8"/>
      <c r="CT100" s="8"/>
      <c r="CU100" s="8"/>
      <c r="CV100" s="8"/>
      <c r="CW100" s="8"/>
      <c r="CX100" s="8"/>
      <c r="CY100" s="8"/>
      <c r="CZ100" s="8"/>
    </row>
    <row r="101" spans="1:104" x14ac:dyDescent="0.25">
      <c r="A101" s="2"/>
      <c r="B101" s="2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  <c r="BP101" s="8"/>
      <c r="BQ101" s="8"/>
      <c r="BR101" s="8"/>
      <c r="BS101" s="8"/>
      <c r="BT101" s="8"/>
      <c r="BU101" s="8"/>
      <c r="BV101" s="8"/>
      <c r="BW101" s="8"/>
      <c r="BX101" s="8"/>
      <c r="BY101" s="8"/>
      <c r="BZ101" s="8"/>
      <c r="CA101" s="8"/>
      <c r="CB101" s="8"/>
      <c r="CC101" s="8"/>
      <c r="CD101" s="8"/>
      <c r="CE101" s="8"/>
      <c r="CF101" s="8"/>
      <c r="CG101" s="8"/>
      <c r="CH101" s="8"/>
      <c r="CI101" s="8"/>
      <c r="CJ101" s="8"/>
      <c r="CK101" s="8"/>
      <c r="CL101" s="8"/>
      <c r="CM101" s="8"/>
      <c r="CN101" s="8"/>
      <c r="CO101" s="8"/>
      <c r="CP101" s="8"/>
      <c r="CQ101" s="8"/>
      <c r="CR101" s="8"/>
      <c r="CS101" s="8"/>
      <c r="CT101" s="8"/>
      <c r="CU101" s="8"/>
      <c r="CV101" s="8"/>
      <c r="CW101" s="8"/>
      <c r="CX101" s="8"/>
      <c r="CY101" s="8"/>
      <c r="CZ101" s="8"/>
    </row>
    <row r="102" spans="1:104" x14ac:dyDescent="0.25">
      <c r="A102" s="2"/>
      <c r="B102" s="2" t="s">
        <v>27</v>
      </c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>
        <f t="shared" ref="N102:S102" si="62">+N35</f>
        <v>302.52399999999989</v>
      </c>
      <c r="O102" s="8">
        <f t="shared" si="62"/>
        <v>234.76</v>
      </c>
      <c r="P102" s="8">
        <f t="shared" si="62"/>
        <v>-51.811999999999856</v>
      </c>
      <c r="Q102" s="8">
        <f t="shared" si="62"/>
        <v>421.65500000000037</v>
      </c>
      <c r="R102" s="8">
        <f t="shared" si="62"/>
        <v>710.97500000000036</v>
      </c>
      <c r="S102" s="8">
        <f t="shared" si="62"/>
        <v>971.46300000000042</v>
      </c>
      <c r="T102" s="8">
        <f>+T35</f>
        <v>1188.7230000000002</v>
      </c>
      <c r="U102" s="8">
        <v>1201.2840000000001</v>
      </c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  <c r="BP102" s="8"/>
      <c r="BQ102" s="8"/>
      <c r="BR102" s="8"/>
      <c r="BS102" s="8"/>
      <c r="BT102" s="8"/>
      <c r="BU102" s="8"/>
      <c r="BV102" s="8"/>
      <c r="BW102" s="8"/>
      <c r="BX102" s="8"/>
      <c r="BY102" s="8"/>
      <c r="BZ102" s="8"/>
      <c r="CA102" s="8"/>
      <c r="CB102" s="8"/>
      <c r="CC102" s="8"/>
      <c r="CD102" s="8"/>
      <c r="CE102" s="8"/>
      <c r="CF102" s="8"/>
      <c r="CG102" s="8"/>
      <c r="CH102" s="8"/>
      <c r="CI102" s="8"/>
      <c r="CJ102" s="8"/>
      <c r="CK102" s="8"/>
      <c r="CL102" s="8"/>
      <c r="CM102" s="8"/>
      <c r="CN102" s="8"/>
      <c r="CO102" s="8"/>
      <c r="CP102" s="8"/>
      <c r="CQ102" s="8"/>
      <c r="CR102" s="8"/>
      <c r="CS102" s="8"/>
      <c r="CT102" s="8"/>
      <c r="CU102" s="8"/>
      <c r="CV102" s="8"/>
      <c r="CW102" s="8"/>
      <c r="CX102" s="8"/>
      <c r="CY102" s="8"/>
      <c r="CZ102" s="8"/>
    </row>
    <row r="103" spans="1:104" x14ac:dyDescent="0.25">
      <c r="A103" s="2"/>
      <c r="B103" s="2" t="s">
        <v>154</v>
      </c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>
        <v>426.221</v>
      </c>
      <c r="R103" s="8">
        <v>451.53300000000002</v>
      </c>
      <c r="S103" s="8">
        <v>445.46499999999997</v>
      </c>
      <c r="T103" s="8">
        <v>454.16300000000001</v>
      </c>
      <c r="U103" s="8">
        <v>485.77699999999999</v>
      </c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  <c r="BP103" s="8"/>
      <c r="BQ103" s="8"/>
      <c r="BR103" s="8"/>
      <c r="BS103" s="8"/>
      <c r="BT103" s="8"/>
      <c r="BU103" s="8"/>
      <c r="BV103" s="8"/>
      <c r="BW103" s="8"/>
      <c r="BX103" s="8"/>
      <c r="BY103" s="8"/>
      <c r="BZ103" s="8"/>
      <c r="CA103" s="8"/>
      <c r="CB103" s="8"/>
      <c r="CC103" s="8"/>
      <c r="CD103" s="8"/>
      <c r="CE103" s="8"/>
      <c r="CF103" s="8"/>
      <c r="CG103" s="8"/>
      <c r="CH103" s="8"/>
      <c r="CI103" s="8"/>
      <c r="CJ103" s="8"/>
      <c r="CK103" s="8"/>
      <c r="CL103" s="8"/>
      <c r="CM103" s="8"/>
      <c r="CN103" s="8"/>
      <c r="CO103" s="8"/>
      <c r="CP103" s="8"/>
      <c r="CQ103" s="8"/>
      <c r="CR103" s="8"/>
      <c r="CS103" s="8"/>
      <c r="CT103" s="8"/>
      <c r="CU103" s="8"/>
      <c r="CV103" s="8"/>
      <c r="CW103" s="8"/>
      <c r="CX103" s="8"/>
      <c r="CY103" s="8"/>
      <c r="CZ103" s="8"/>
    </row>
    <row r="104" spans="1:104" x14ac:dyDescent="0.25">
      <c r="A104" s="2"/>
      <c r="B104" s="2" t="s">
        <v>155</v>
      </c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>
        <v>197.99700000000001</v>
      </c>
      <c r="R104" s="8">
        <v>210.89099999999999</v>
      </c>
      <c r="S104" s="8">
        <v>230.91499999999999</v>
      </c>
      <c r="T104" s="8">
        <v>280.5</v>
      </c>
      <c r="U104" s="8">
        <v>329.32100000000003</v>
      </c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  <c r="BP104" s="8"/>
      <c r="BQ104" s="8"/>
      <c r="BR104" s="8"/>
      <c r="BS104" s="8"/>
      <c r="BT104" s="8"/>
      <c r="BU104" s="8"/>
      <c r="BV104" s="8"/>
      <c r="BW104" s="8"/>
      <c r="BX104" s="8"/>
      <c r="BY104" s="8"/>
      <c r="BZ104" s="8"/>
      <c r="CA104" s="8"/>
      <c r="CB104" s="8"/>
      <c r="CC104" s="8"/>
      <c r="CD104" s="8"/>
      <c r="CE104" s="8"/>
      <c r="CF104" s="8"/>
      <c r="CG104" s="8"/>
      <c r="CH104" s="8"/>
      <c r="CI104" s="8"/>
      <c r="CJ104" s="8"/>
      <c r="CK104" s="8"/>
      <c r="CL104" s="8"/>
      <c r="CM104" s="8"/>
      <c r="CN104" s="8"/>
      <c r="CO104" s="8"/>
      <c r="CP104" s="8"/>
      <c r="CQ104" s="8"/>
      <c r="CR104" s="8"/>
      <c r="CS104" s="8"/>
      <c r="CT104" s="8"/>
      <c r="CU104" s="8"/>
      <c r="CV104" s="8"/>
      <c r="CW104" s="8"/>
      <c r="CX104" s="8"/>
      <c r="CY104" s="8"/>
      <c r="CZ104" s="8"/>
    </row>
    <row r="105" spans="1:104" x14ac:dyDescent="0.25">
      <c r="A105" s="2"/>
      <c r="B105" s="2" t="s">
        <v>157</v>
      </c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>
        <v>0</v>
      </c>
      <c r="R105" s="8">
        <v>12.342000000000001</v>
      </c>
      <c r="S105" s="8">
        <v>18.632999999999999</v>
      </c>
      <c r="T105" s="8">
        <v>8.5630000000000006</v>
      </c>
      <c r="U105" s="8">
        <v>0</v>
      </c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  <c r="BP105" s="8"/>
      <c r="BQ105" s="8"/>
      <c r="BR105" s="8"/>
      <c r="BS105" s="8"/>
      <c r="BT105" s="8"/>
      <c r="BU105" s="8"/>
      <c r="BV105" s="8"/>
      <c r="BW105" s="8"/>
      <c r="BX105" s="8"/>
      <c r="BY105" s="8"/>
      <c r="BZ105" s="8"/>
      <c r="CA105" s="8"/>
      <c r="CB105" s="8"/>
      <c r="CC105" s="8"/>
      <c r="CD105" s="8"/>
      <c r="CE105" s="8"/>
      <c r="CF105" s="8"/>
      <c r="CG105" s="8"/>
      <c r="CH105" s="8"/>
      <c r="CI105" s="8"/>
      <c r="CJ105" s="8"/>
      <c r="CK105" s="8"/>
      <c r="CL105" s="8"/>
      <c r="CM105" s="8"/>
      <c r="CN105" s="8"/>
      <c r="CO105" s="8"/>
      <c r="CP105" s="8"/>
      <c r="CQ105" s="8"/>
      <c r="CR105" s="8"/>
      <c r="CS105" s="8"/>
      <c r="CT105" s="8"/>
      <c r="CU105" s="8"/>
      <c r="CV105" s="8"/>
      <c r="CW105" s="8"/>
      <c r="CX105" s="8"/>
      <c r="CY105" s="8"/>
      <c r="CZ105" s="8"/>
    </row>
    <row r="106" spans="1:104" x14ac:dyDescent="0.25">
      <c r="A106" s="2"/>
      <c r="B106" s="2" t="s">
        <v>156</v>
      </c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>
        <v>6.5129999999999999</v>
      </c>
      <c r="R106" s="8">
        <v>59.485999999999997</v>
      </c>
      <c r="S106" s="8">
        <v>9.6140000000000008</v>
      </c>
      <c r="T106" s="8">
        <v>16.193000000000001</v>
      </c>
      <c r="U106" s="8">
        <v>0</v>
      </c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  <c r="BP106" s="8"/>
      <c r="BQ106" s="8"/>
      <c r="BR106" s="8"/>
      <c r="BS106" s="8"/>
      <c r="BT106" s="8"/>
      <c r="BU106" s="8"/>
      <c r="BV106" s="8"/>
      <c r="BW106" s="8"/>
      <c r="BX106" s="8"/>
      <c r="BY106" s="8"/>
      <c r="BZ106" s="8"/>
      <c r="CA106" s="8"/>
      <c r="CB106" s="8"/>
      <c r="CC106" s="8"/>
      <c r="CD106" s="8"/>
      <c r="CE106" s="8"/>
      <c r="CF106" s="8"/>
      <c r="CG106" s="8"/>
      <c r="CH106" s="8"/>
      <c r="CI106" s="8"/>
      <c r="CJ106" s="8"/>
      <c r="CK106" s="8"/>
      <c r="CL106" s="8"/>
      <c r="CM106" s="8"/>
      <c r="CN106" s="8"/>
      <c r="CO106" s="8"/>
      <c r="CP106" s="8"/>
      <c r="CQ106" s="8"/>
      <c r="CR106" s="8"/>
      <c r="CS106" s="8"/>
      <c r="CT106" s="8"/>
      <c r="CU106" s="8"/>
      <c r="CV106" s="8"/>
      <c r="CW106" s="8"/>
      <c r="CX106" s="8"/>
      <c r="CY106" s="8"/>
      <c r="CZ106" s="8"/>
    </row>
    <row r="107" spans="1:104" x14ac:dyDescent="0.25">
      <c r="A107" s="2"/>
      <c r="B107" s="2" t="s">
        <v>158</v>
      </c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>
        <v>25.266999999999999</v>
      </c>
      <c r="R107" s="8">
        <v>24.413</v>
      </c>
      <c r="S107" s="8">
        <v>48.932000000000002</v>
      </c>
      <c r="T107" s="8">
        <v>19.440999999999999</v>
      </c>
      <c r="U107" s="8">
        <v>6.2279999999999998</v>
      </c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  <c r="BP107" s="8"/>
      <c r="BQ107" s="8"/>
      <c r="BR107" s="8"/>
      <c r="BS107" s="8"/>
      <c r="BT107" s="8"/>
      <c r="BU107" s="8"/>
      <c r="BV107" s="8"/>
      <c r="BW107" s="8"/>
      <c r="BX107" s="8"/>
      <c r="BY107" s="8"/>
      <c r="BZ107" s="8"/>
      <c r="CA107" s="8"/>
      <c r="CB107" s="8"/>
      <c r="CC107" s="8"/>
      <c r="CD107" s="8"/>
      <c r="CE107" s="8"/>
      <c r="CF107" s="8"/>
      <c r="CG107" s="8"/>
      <c r="CH107" s="8"/>
      <c r="CI107" s="8"/>
      <c r="CJ107" s="8"/>
      <c r="CK107" s="8"/>
      <c r="CL107" s="8"/>
      <c r="CM107" s="8"/>
      <c r="CN107" s="8"/>
      <c r="CO107" s="8"/>
      <c r="CP107" s="8"/>
      <c r="CQ107" s="8"/>
      <c r="CR107" s="8"/>
      <c r="CS107" s="8"/>
      <c r="CT107" s="8"/>
      <c r="CU107" s="8"/>
      <c r="CV107" s="8"/>
      <c r="CW107" s="8"/>
      <c r="CX107" s="8"/>
      <c r="CY107" s="8"/>
      <c r="CZ107" s="8"/>
    </row>
    <row r="108" spans="1:104" x14ac:dyDescent="0.25">
      <c r="A108" s="2"/>
      <c r="B108" s="2" t="s">
        <v>159</v>
      </c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>
        <v>36.773000000000003</v>
      </c>
      <c r="R108" s="8">
        <v>40.99</v>
      </c>
      <c r="S108" s="8">
        <v>58.825000000000003</v>
      </c>
      <c r="T108" s="8">
        <v>69.623000000000005</v>
      </c>
      <c r="U108" s="8">
        <v>87.763999999999996</v>
      </c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  <c r="BP108" s="8"/>
      <c r="BQ108" s="8"/>
      <c r="BR108" s="8"/>
      <c r="BS108" s="8"/>
      <c r="BT108" s="8"/>
      <c r="BU108" s="8"/>
      <c r="BV108" s="8"/>
      <c r="BW108" s="8"/>
      <c r="BX108" s="8"/>
      <c r="BY108" s="8"/>
      <c r="BZ108" s="8"/>
      <c r="CA108" s="8"/>
      <c r="CB108" s="8"/>
      <c r="CC108" s="8"/>
      <c r="CD108" s="8"/>
      <c r="CE108" s="8"/>
      <c r="CF108" s="8"/>
      <c r="CG108" s="8"/>
      <c r="CH108" s="8"/>
      <c r="CI108" s="8"/>
      <c r="CJ108" s="8"/>
      <c r="CK108" s="8"/>
      <c r="CL108" s="8"/>
      <c r="CM108" s="8"/>
      <c r="CN108" s="8"/>
      <c r="CO108" s="8"/>
      <c r="CP108" s="8"/>
      <c r="CQ108" s="8"/>
      <c r="CR108" s="8"/>
      <c r="CS108" s="8"/>
      <c r="CT108" s="8"/>
      <c r="CU108" s="8"/>
      <c r="CV108" s="8"/>
      <c r="CW108" s="8"/>
      <c r="CX108" s="8"/>
      <c r="CY108" s="8"/>
      <c r="CZ108" s="8"/>
    </row>
    <row r="109" spans="1:104" x14ac:dyDescent="0.25">
      <c r="A109" s="2"/>
      <c r="B109" s="2" t="s">
        <v>160</v>
      </c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>
        <v>33.847999999999999</v>
      </c>
      <c r="R109" s="8">
        <v>12.257999999999999</v>
      </c>
      <c r="S109" s="8">
        <v>34.005000000000003</v>
      </c>
      <c r="T109" s="8">
        <v>54.530999999999999</v>
      </c>
      <c r="U109" s="8">
        <v>7.3090000000000002</v>
      </c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  <c r="BP109" s="8"/>
      <c r="BQ109" s="8"/>
      <c r="BR109" s="8"/>
      <c r="BS109" s="8"/>
      <c r="BT109" s="8"/>
      <c r="BU109" s="8"/>
      <c r="BV109" s="8"/>
      <c r="BW109" s="8"/>
      <c r="BX109" s="8"/>
      <c r="BY109" s="8"/>
      <c r="BZ109" s="8"/>
      <c r="CA109" s="8"/>
      <c r="CB109" s="8"/>
      <c r="CC109" s="8"/>
      <c r="CD109" s="8"/>
      <c r="CE109" s="8"/>
      <c r="CF109" s="8"/>
      <c r="CG109" s="8"/>
      <c r="CH109" s="8"/>
      <c r="CI109" s="8"/>
      <c r="CJ109" s="8"/>
      <c r="CK109" s="8"/>
      <c r="CL109" s="8"/>
      <c r="CM109" s="8"/>
      <c r="CN109" s="8"/>
      <c r="CO109" s="8"/>
      <c r="CP109" s="8"/>
      <c r="CQ109" s="8"/>
      <c r="CR109" s="8"/>
      <c r="CS109" s="8"/>
      <c r="CT109" s="8"/>
      <c r="CU109" s="8"/>
      <c r="CV109" s="8"/>
      <c r="CW109" s="8"/>
      <c r="CX109" s="8"/>
      <c r="CY109" s="8"/>
      <c r="CZ109" s="8"/>
    </row>
    <row r="110" spans="1:104" x14ac:dyDescent="0.25">
      <c r="A110" s="2"/>
      <c r="B110" s="2" t="s">
        <v>161</v>
      </c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>
        <v>5.4909999999999997</v>
      </c>
      <c r="R110" s="8">
        <v>-33.142000000000003</v>
      </c>
      <c r="S110" s="8">
        <v>-24.3</v>
      </c>
      <c r="T110" s="8">
        <v>-12.122</v>
      </c>
      <c r="U110" s="8">
        <v>-10.856</v>
      </c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  <c r="BP110" s="8"/>
      <c r="BQ110" s="8"/>
      <c r="BR110" s="8"/>
      <c r="BS110" s="8"/>
      <c r="BT110" s="8"/>
      <c r="BU110" s="8"/>
      <c r="BV110" s="8"/>
      <c r="BW110" s="8"/>
      <c r="BX110" s="8"/>
      <c r="BY110" s="8"/>
      <c r="BZ110" s="8"/>
      <c r="CA110" s="8"/>
      <c r="CB110" s="8"/>
      <c r="CC110" s="8"/>
      <c r="CD110" s="8"/>
      <c r="CE110" s="8"/>
      <c r="CF110" s="8"/>
      <c r="CG110" s="8"/>
      <c r="CH110" s="8"/>
      <c r="CI110" s="8"/>
      <c r="CJ110" s="8"/>
      <c r="CK110" s="8"/>
      <c r="CL110" s="8"/>
      <c r="CM110" s="8"/>
      <c r="CN110" s="8"/>
      <c r="CO110" s="8"/>
      <c r="CP110" s="8"/>
      <c r="CQ110" s="8"/>
      <c r="CR110" s="8"/>
      <c r="CS110" s="8"/>
      <c r="CT110" s="8"/>
      <c r="CU110" s="8"/>
      <c r="CV110" s="8"/>
      <c r="CW110" s="8"/>
      <c r="CX110" s="8"/>
      <c r="CY110" s="8"/>
      <c r="CZ110" s="8"/>
    </row>
    <row r="111" spans="1:104" x14ac:dyDescent="0.25">
      <c r="A111" s="2"/>
      <c r="B111" s="2" t="s">
        <v>162</v>
      </c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>
        <v>-29.79</v>
      </c>
      <c r="R111" s="8">
        <v>-3.5779999999999998</v>
      </c>
      <c r="S111" s="8">
        <v>-85.4</v>
      </c>
      <c r="T111" s="8">
        <v>-22.954999999999998</v>
      </c>
      <c r="U111" s="8">
        <v>-19.969000000000001</v>
      </c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  <c r="BP111" s="8"/>
      <c r="BQ111" s="8"/>
      <c r="BR111" s="8"/>
      <c r="BS111" s="8"/>
      <c r="BT111" s="8"/>
      <c r="BU111" s="8"/>
      <c r="BV111" s="8"/>
      <c r="BW111" s="8"/>
      <c r="BX111" s="8"/>
      <c r="BY111" s="8"/>
      <c r="BZ111" s="8"/>
      <c r="CA111" s="8"/>
      <c r="CB111" s="8"/>
      <c r="CC111" s="8"/>
      <c r="CD111" s="8"/>
      <c r="CE111" s="8"/>
      <c r="CF111" s="8"/>
      <c r="CG111" s="8"/>
      <c r="CH111" s="8"/>
      <c r="CI111" s="8"/>
      <c r="CJ111" s="8"/>
      <c r="CK111" s="8"/>
      <c r="CL111" s="8"/>
      <c r="CM111" s="8"/>
      <c r="CN111" s="8"/>
      <c r="CO111" s="8"/>
      <c r="CP111" s="8"/>
      <c r="CQ111" s="8"/>
      <c r="CR111" s="8"/>
      <c r="CS111" s="8"/>
      <c r="CT111" s="8"/>
      <c r="CU111" s="8"/>
      <c r="CV111" s="8"/>
      <c r="CW111" s="8"/>
      <c r="CX111" s="8"/>
      <c r="CY111" s="8"/>
      <c r="CZ111" s="8"/>
    </row>
    <row r="112" spans="1:104" x14ac:dyDescent="0.25">
      <c r="A112" s="2"/>
      <c r="B112" s="2" t="s">
        <v>163</v>
      </c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>
        <v>11.502000000000001</v>
      </c>
      <c r="R112" s="8">
        <v>-121.82599999999999</v>
      </c>
      <c r="S112" s="8">
        <v>-60.783999999999999</v>
      </c>
      <c r="T112" s="8">
        <v>-83.546000000000006</v>
      </c>
      <c r="U112" s="8">
        <v>-52.146000000000001</v>
      </c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  <c r="BP112" s="8"/>
      <c r="BQ112" s="8"/>
      <c r="BR112" s="8"/>
      <c r="BS112" s="8"/>
      <c r="BT112" s="8"/>
      <c r="BU112" s="8"/>
      <c r="BV112" s="8"/>
      <c r="BW112" s="8"/>
      <c r="BX112" s="8"/>
      <c r="BY112" s="8"/>
      <c r="BZ112" s="8"/>
      <c r="CA112" s="8"/>
      <c r="CB112" s="8"/>
      <c r="CC112" s="8"/>
      <c r="CD112" s="8"/>
      <c r="CE112" s="8"/>
      <c r="CF112" s="8"/>
      <c r="CG112" s="8"/>
      <c r="CH112" s="8"/>
      <c r="CI112" s="8"/>
      <c r="CJ112" s="8"/>
      <c r="CK112" s="8"/>
      <c r="CL112" s="8"/>
      <c r="CM112" s="8"/>
      <c r="CN112" s="8"/>
      <c r="CO112" s="8"/>
      <c r="CP112" s="8"/>
      <c r="CQ112" s="8"/>
      <c r="CR112" s="8"/>
      <c r="CS112" s="8"/>
      <c r="CT112" s="8"/>
      <c r="CU112" s="8"/>
      <c r="CV112" s="8"/>
      <c r="CW112" s="8"/>
      <c r="CX112" s="8"/>
      <c r="CY112" s="8"/>
      <c r="CZ112" s="8"/>
    </row>
    <row r="113" spans="1:104" x14ac:dyDescent="0.25">
      <c r="A113" s="2"/>
      <c r="B113" s="2" t="s">
        <v>164</v>
      </c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>
        <v>90.296999999999997</v>
      </c>
      <c r="R113" s="8">
        <v>13.351000000000001</v>
      </c>
      <c r="S113" s="8">
        <v>56.350999999999999</v>
      </c>
      <c r="T113" s="8">
        <v>25.699000000000002</v>
      </c>
      <c r="U113" s="8">
        <v>86.206000000000003</v>
      </c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  <c r="BP113" s="8"/>
      <c r="BQ113" s="8"/>
      <c r="BR113" s="8"/>
      <c r="BS113" s="8"/>
      <c r="BT113" s="8"/>
      <c r="BU113" s="8"/>
      <c r="BV113" s="8"/>
      <c r="BW113" s="8"/>
      <c r="BX113" s="8"/>
      <c r="BY113" s="8"/>
      <c r="BZ113" s="8"/>
      <c r="CA113" s="8"/>
      <c r="CB113" s="8"/>
      <c r="CC113" s="8"/>
      <c r="CD113" s="8"/>
      <c r="CE113" s="8"/>
      <c r="CF113" s="8"/>
      <c r="CG113" s="8"/>
      <c r="CH113" s="8"/>
      <c r="CI113" s="8"/>
      <c r="CJ113" s="8"/>
      <c r="CK113" s="8"/>
      <c r="CL113" s="8"/>
      <c r="CM113" s="8"/>
      <c r="CN113" s="8"/>
      <c r="CO113" s="8"/>
      <c r="CP113" s="8"/>
      <c r="CQ113" s="8"/>
      <c r="CR113" s="8"/>
      <c r="CS113" s="8"/>
      <c r="CT113" s="8"/>
      <c r="CU113" s="8"/>
      <c r="CV113" s="8"/>
      <c r="CW113" s="8"/>
      <c r="CX113" s="8"/>
      <c r="CY113" s="8"/>
      <c r="CZ113" s="8"/>
    </row>
    <row r="114" spans="1:104" x14ac:dyDescent="0.25">
      <c r="A114" s="2"/>
      <c r="B114" s="2" t="s">
        <v>165</v>
      </c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>
        <v>0.24399999999999999</v>
      </c>
      <c r="R114" s="8">
        <v>15.122</v>
      </c>
      <c r="S114" s="8">
        <v>-8.7680000000000007</v>
      </c>
      <c r="T114" s="8">
        <v>-5.3999999999999999E-2</v>
      </c>
      <c r="U114" s="8">
        <v>5.56</v>
      </c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  <c r="BP114" s="8"/>
      <c r="BQ114" s="8"/>
      <c r="BR114" s="8"/>
      <c r="BS114" s="8"/>
      <c r="BT114" s="8"/>
      <c r="BU114" s="8"/>
      <c r="BV114" s="8"/>
      <c r="BW114" s="8"/>
      <c r="BX114" s="8"/>
      <c r="BY114" s="8"/>
      <c r="BZ114" s="8"/>
      <c r="CA114" s="8"/>
      <c r="CB114" s="8"/>
      <c r="CC114" s="8"/>
      <c r="CD114" s="8"/>
      <c r="CE114" s="8"/>
      <c r="CF114" s="8"/>
      <c r="CG114" s="8"/>
      <c r="CH114" s="8"/>
      <c r="CI114" s="8"/>
      <c r="CJ114" s="8"/>
      <c r="CK114" s="8"/>
      <c r="CL114" s="8"/>
      <c r="CM114" s="8"/>
      <c r="CN114" s="8"/>
      <c r="CO114" s="8"/>
      <c r="CP114" s="8"/>
      <c r="CQ114" s="8"/>
      <c r="CR114" s="8"/>
      <c r="CS114" s="8"/>
      <c r="CT114" s="8"/>
      <c r="CU114" s="8"/>
      <c r="CV114" s="8"/>
      <c r="CW114" s="8"/>
      <c r="CX114" s="8"/>
      <c r="CY114" s="8"/>
      <c r="CZ114" s="8"/>
    </row>
    <row r="115" spans="1:104" x14ac:dyDescent="0.25">
      <c r="A115" s="2"/>
      <c r="B115" s="2" t="s">
        <v>166</v>
      </c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>
        <f t="shared" ref="N115:S115" si="63">+SUM(N110:N114)</f>
        <v>0</v>
      </c>
      <c r="O115" s="8">
        <f t="shared" si="63"/>
        <v>0</v>
      </c>
      <c r="P115" s="8">
        <f t="shared" si="63"/>
        <v>0</v>
      </c>
      <c r="Q115" s="8">
        <f t="shared" si="63"/>
        <v>77.744</v>
      </c>
      <c r="R115" s="8">
        <f t="shared" si="63"/>
        <v>-130.07299999999998</v>
      </c>
      <c r="S115" s="8">
        <f t="shared" si="63"/>
        <v>-122.90100000000001</v>
      </c>
      <c r="T115" s="8">
        <f>+SUM(T110:T114)</f>
        <v>-92.978000000000009</v>
      </c>
      <c r="U115" s="8">
        <f>+SUM(U110:U114)</f>
        <v>8.7949999999999982</v>
      </c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  <c r="BP115" s="8"/>
      <c r="BQ115" s="8"/>
      <c r="BR115" s="8"/>
      <c r="BS115" s="8"/>
      <c r="BT115" s="8"/>
      <c r="BU115" s="8"/>
      <c r="BV115" s="8"/>
      <c r="BW115" s="8"/>
      <c r="BX115" s="8"/>
      <c r="BY115" s="8"/>
      <c r="BZ115" s="8"/>
      <c r="CA115" s="8"/>
      <c r="CB115" s="8"/>
      <c r="CC115" s="8"/>
      <c r="CD115" s="8"/>
      <c r="CE115" s="8"/>
      <c r="CF115" s="8"/>
      <c r="CG115" s="8"/>
      <c r="CH115" s="8"/>
      <c r="CI115" s="8"/>
      <c r="CJ115" s="8"/>
      <c r="CK115" s="8"/>
      <c r="CL115" s="8"/>
      <c r="CM115" s="8"/>
      <c r="CN115" s="8"/>
      <c r="CO115" s="8"/>
      <c r="CP115" s="8"/>
      <c r="CQ115" s="8"/>
      <c r="CR115" s="8"/>
      <c r="CS115" s="8"/>
      <c r="CT115" s="8"/>
      <c r="CU115" s="8"/>
      <c r="CV115" s="8"/>
      <c r="CW115" s="8"/>
      <c r="CX115" s="8"/>
      <c r="CY115" s="8"/>
      <c r="CZ115" s="8"/>
    </row>
    <row r="116" spans="1:104" x14ac:dyDescent="0.25">
      <c r="A116" s="2"/>
      <c r="B116" s="2" t="s">
        <v>167</v>
      </c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>
        <v>-45.329000000000001</v>
      </c>
      <c r="R116" s="8">
        <v>-49.521999999999998</v>
      </c>
      <c r="S116" s="8">
        <v>-52.962000000000003</v>
      </c>
      <c r="T116" s="8">
        <v>-76.599999999999994</v>
      </c>
      <c r="U116" s="8">
        <v>-85.884</v>
      </c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  <c r="BP116" s="8"/>
      <c r="BQ116" s="8"/>
      <c r="BR116" s="8"/>
      <c r="BS116" s="8"/>
      <c r="BT116" s="8"/>
      <c r="BU116" s="8"/>
      <c r="BV116" s="8"/>
      <c r="BW116" s="8"/>
      <c r="BX116" s="8"/>
      <c r="BY116" s="8"/>
      <c r="BZ116" s="8"/>
      <c r="CA116" s="8"/>
      <c r="CB116" s="8"/>
      <c r="CC116" s="8"/>
      <c r="CD116" s="8"/>
      <c r="CE116" s="8"/>
      <c r="CF116" s="8"/>
      <c r="CG116" s="8"/>
      <c r="CH116" s="8"/>
      <c r="CI116" s="8"/>
      <c r="CJ116" s="8"/>
      <c r="CK116" s="8"/>
      <c r="CL116" s="8"/>
      <c r="CM116" s="8"/>
      <c r="CN116" s="8"/>
      <c r="CO116" s="8"/>
      <c r="CP116" s="8"/>
      <c r="CQ116" s="8"/>
      <c r="CR116" s="8"/>
      <c r="CS116" s="8"/>
      <c r="CT116" s="8"/>
      <c r="CU116" s="8"/>
      <c r="CV116" s="8"/>
      <c r="CW116" s="8"/>
      <c r="CX116" s="8"/>
      <c r="CY116" s="8"/>
      <c r="CZ116" s="8"/>
    </row>
    <row r="117" spans="1:104" x14ac:dyDescent="0.25">
      <c r="A117" s="2"/>
      <c r="B117" s="2" t="s">
        <v>168</v>
      </c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>
        <v>-37.161000000000001</v>
      </c>
      <c r="R117" s="8">
        <v>-219.58600000000001</v>
      </c>
      <c r="S117" s="8">
        <v>-486.70800000000003</v>
      </c>
      <c r="T117" s="8">
        <v>-270.55200000000002</v>
      </c>
      <c r="U117" s="8">
        <v>-386.33600000000001</v>
      </c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  <c r="BP117" s="8"/>
      <c r="BQ117" s="8"/>
      <c r="BR117" s="8"/>
      <c r="BS117" s="8"/>
      <c r="BT117" s="8"/>
      <c r="BU117" s="8"/>
      <c r="BV117" s="8"/>
      <c r="BW117" s="8"/>
      <c r="BX117" s="8"/>
      <c r="BY117" s="8"/>
      <c r="BZ117" s="8"/>
      <c r="CA117" s="8"/>
      <c r="CB117" s="8"/>
      <c r="CC117" s="8"/>
      <c r="CD117" s="8"/>
      <c r="CE117" s="8"/>
      <c r="CF117" s="8"/>
      <c r="CG117" s="8"/>
      <c r="CH117" s="8"/>
      <c r="CI117" s="8"/>
      <c r="CJ117" s="8"/>
      <c r="CK117" s="8"/>
      <c r="CL117" s="8"/>
      <c r="CM117" s="8"/>
      <c r="CN117" s="8"/>
      <c r="CO117" s="8"/>
      <c r="CP117" s="8"/>
      <c r="CQ117" s="8"/>
      <c r="CR117" s="8"/>
      <c r="CS117" s="8"/>
      <c r="CT117" s="8"/>
      <c r="CU117" s="8"/>
      <c r="CV117" s="8"/>
      <c r="CW117" s="8"/>
      <c r="CX117" s="8"/>
      <c r="CY117" s="8"/>
      <c r="CZ117" s="8"/>
    </row>
    <row r="118" spans="1:104" x14ac:dyDescent="0.25">
      <c r="A118" s="2"/>
      <c r="B118" s="1" t="s">
        <v>169</v>
      </c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26">
        <f t="shared" ref="N118:S118" si="64">+SUM(N102:N109)+SUM(N115:N117)</f>
        <v>302.52399999999989</v>
      </c>
      <c r="O118" s="26">
        <f t="shared" si="64"/>
        <v>234.76</v>
      </c>
      <c r="P118" s="26">
        <f t="shared" si="64"/>
        <v>-51.811999999999856</v>
      </c>
      <c r="Q118" s="26">
        <f t="shared" si="64"/>
        <v>1143.5280000000002</v>
      </c>
      <c r="R118" s="26">
        <f t="shared" si="64"/>
        <v>1123.7070000000006</v>
      </c>
      <c r="S118" s="26">
        <f t="shared" si="64"/>
        <v>1155.2810000000004</v>
      </c>
      <c r="T118" s="26">
        <f>+SUM(T102:T109)+SUM(T115:T117)</f>
        <v>1651.6070000000004</v>
      </c>
      <c r="U118" s="26">
        <f>+SUM(U102:U109)+SUM(U115:U117)</f>
        <v>1654.2580000000005</v>
      </c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  <c r="BP118" s="8"/>
      <c r="BQ118" s="8"/>
      <c r="BR118" s="8"/>
      <c r="BS118" s="8"/>
      <c r="BT118" s="8"/>
      <c r="BU118" s="8"/>
      <c r="BV118" s="8"/>
      <c r="BW118" s="8"/>
      <c r="BX118" s="8"/>
      <c r="BY118" s="8"/>
      <c r="BZ118" s="8"/>
      <c r="CA118" s="8"/>
      <c r="CB118" s="8"/>
      <c r="CC118" s="8"/>
      <c r="CD118" s="8"/>
      <c r="CE118" s="8"/>
      <c r="CF118" s="8"/>
      <c r="CG118" s="8"/>
      <c r="CH118" s="8"/>
      <c r="CI118" s="8"/>
      <c r="CJ118" s="8"/>
      <c r="CK118" s="8"/>
      <c r="CL118" s="8"/>
      <c r="CM118" s="8"/>
      <c r="CN118" s="8"/>
      <c r="CO118" s="8"/>
      <c r="CP118" s="8"/>
      <c r="CQ118" s="8"/>
      <c r="CR118" s="8"/>
      <c r="CS118" s="8"/>
      <c r="CT118" s="8"/>
      <c r="CU118" s="8"/>
      <c r="CV118" s="8"/>
      <c r="CW118" s="8"/>
      <c r="CX118" s="8"/>
      <c r="CY118" s="8"/>
      <c r="CZ118" s="8"/>
    </row>
    <row r="119" spans="1:104" x14ac:dyDescent="0.25">
      <c r="A119" s="2"/>
      <c r="B119" s="2" t="s">
        <v>171</v>
      </c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>
        <v>-219.62799999999999</v>
      </c>
      <c r="R119" s="8">
        <v>-241.495</v>
      </c>
      <c r="S119" s="8">
        <v>-759.67600000000004</v>
      </c>
      <c r="T119" s="8">
        <v>-459.57499999999999</v>
      </c>
      <c r="U119" s="8">
        <v>-610.97199999999998</v>
      </c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  <c r="BP119" s="8"/>
      <c r="BQ119" s="8"/>
      <c r="BR119" s="8"/>
      <c r="BS119" s="8"/>
      <c r="BT119" s="8"/>
      <c r="BU119" s="8"/>
      <c r="BV119" s="8"/>
      <c r="BW119" s="8"/>
      <c r="BX119" s="8"/>
      <c r="BY119" s="8"/>
      <c r="BZ119" s="8"/>
      <c r="CA119" s="8"/>
      <c r="CB119" s="8"/>
      <c r="CC119" s="8"/>
      <c r="CD119" s="8"/>
      <c r="CE119" s="8"/>
      <c r="CF119" s="8"/>
      <c r="CG119" s="8"/>
      <c r="CH119" s="8"/>
      <c r="CI119" s="8"/>
      <c r="CJ119" s="8"/>
      <c r="CK119" s="8"/>
      <c r="CL119" s="8"/>
      <c r="CM119" s="8"/>
      <c r="CN119" s="8"/>
      <c r="CO119" s="8"/>
      <c r="CP119" s="8"/>
      <c r="CQ119" s="8"/>
      <c r="CR119" s="8"/>
      <c r="CS119" s="8"/>
      <c r="CT119" s="8"/>
      <c r="CU119" s="8"/>
      <c r="CV119" s="8"/>
      <c r="CW119" s="8"/>
      <c r="CX119" s="8"/>
      <c r="CY119" s="8"/>
      <c r="CZ119" s="8"/>
    </row>
    <row r="120" spans="1:104" x14ac:dyDescent="0.25">
      <c r="A120" s="2"/>
      <c r="B120" s="2" t="s">
        <v>172</v>
      </c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>
        <v>0.36399999999999999</v>
      </c>
      <c r="R120" s="8">
        <v>0</v>
      </c>
      <c r="S120" s="8">
        <v>4.5339999999999998</v>
      </c>
      <c r="T120" s="8">
        <v>0</v>
      </c>
      <c r="U120" s="8">
        <v>16.209</v>
      </c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  <c r="BP120" s="8"/>
      <c r="BQ120" s="8"/>
      <c r="BR120" s="8"/>
      <c r="BS120" s="8"/>
      <c r="BT120" s="8"/>
      <c r="BU120" s="8"/>
      <c r="BV120" s="8"/>
      <c r="BW120" s="8"/>
      <c r="BX120" s="8"/>
      <c r="BY120" s="8"/>
      <c r="BZ120" s="8"/>
      <c r="CA120" s="8"/>
      <c r="CB120" s="8"/>
      <c r="CC120" s="8"/>
      <c r="CD120" s="8"/>
      <c r="CE120" s="8"/>
      <c r="CF120" s="8"/>
      <c r="CG120" s="8"/>
      <c r="CH120" s="8"/>
      <c r="CI120" s="8"/>
      <c r="CJ120" s="8"/>
      <c r="CK120" s="8"/>
      <c r="CL120" s="8"/>
      <c r="CM120" s="8"/>
      <c r="CN120" s="8"/>
      <c r="CO120" s="8"/>
      <c r="CP120" s="8"/>
      <c r="CQ120" s="8"/>
      <c r="CR120" s="8"/>
      <c r="CS120" s="8"/>
      <c r="CT120" s="8"/>
      <c r="CU120" s="8"/>
      <c r="CV120" s="8"/>
      <c r="CW120" s="8"/>
      <c r="CX120" s="8"/>
      <c r="CY120" s="8"/>
      <c r="CZ120" s="8"/>
    </row>
    <row r="121" spans="1:104" x14ac:dyDescent="0.25">
      <c r="A121" s="2"/>
      <c r="B121" s="2" t="s">
        <v>173</v>
      </c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>
        <f>20+76.464</f>
        <v>96.463999999999999</v>
      </c>
      <c r="R121" s="8">
        <f>18-5</f>
        <v>13</v>
      </c>
      <c r="S121" s="8">
        <v>0</v>
      </c>
      <c r="T121" s="8">
        <v>2.9630000000000001</v>
      </c>
      <c r="U121" s="8">
        <v>0</v>
      </c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  <c r="BP121" s="8"/>
      <c r="BQ121" s="8"/>
      <c r="BR121" s="8"/>
      <c r="BS121" s="8"/>
      <c r="BT121" s="8"/>
      <c r="BU121" s="8"/>
      <c r="BV121" s="8"/>
      <c r="BW121" s="8"/>
      <c r="BX121" s="8"/>
      <c r="BY121" s="8"/>
      <c r="BZ121" s="8"/>
      <c r="CA121" s="8"/>
      <c r="CB121" s="8"/>
      <c r="CC121" s="8"/>
      <c r="CD121" s="8"/>
      <c r="CE121" s="8"/>
      <c r="CF121" s="8"/>
      <c r="CG121" s="8"/>
      <c r="CH121" s="8"/>
      <c r="CI121" s="8"/>
      <c r="CJ121" s="8"/>
      <c r="CK121" s="8"/>
      <c r="CL121" s="8"/>
      <c r="CM121" s="8"/>
      <c r="CN121" s="8"/>
      <c r="CO121" s="8"/>
      <c r="CP121" s="8"/>
      <c r="CQ121" s="8"/>
      <c r="CR121" s="8"/>
      <c r="CS121" s="8"/>
      <c r="CT121" s="8"/>
      <c r="CU121" s="8"/>
      <c r="CV121" s="8"/>
      <c r="CW121" s="8"/>
      <c r="CX121" s="8"/>
      <c r="CY121" s="8"/>
      <c r="CZ121" s="8"/>
    </row>
    <row r="122" spans="1:104" x14ac:dyDescent="0.25">
      <c r="A122" s="2"/>
      <c r="B122" s="2" t="s">
        <v>175</v>
      </c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>
        <v>0.10299999999999999</v>
      </c>
      <c r="R122" s="8">
        <v>0.47299999999999998</v>
      </c>
      <c r="S122" s="8">
        <v>0.627</v>
      </c>
      <c r="T122" s="8">
        <v>0.111</v>
      </c>
      <c r="U122" s="8">
        <v>0</v>
      </c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  <c r="BP122" s="8"/>
      <c r="BQ122" s="8"/>
      <c r="BR122" s="8"/>
      <c r="BS122" s="8"/>
      <c r="BT122" s="8"/>
      <c r="BU122" s="8"/>
      <c r="BV122" s="8"/>
      <c r="BW122" s="8"/>
      <c r="BX122" s="8"/>
      <c r="BY122" s="8"/>
      <c r="BZ122" s="8"/>
      <c r="CA122" s="8"/>
      <c r="CB122" s="8"/>
      <c r="CC122" s="8"/>
      <c r="CD122" s="8"/>
      <c r="CE122" s="8"/>
      <c r="CF122" s="8"/>
      <c r="CG122" s="8"/>
      <c r="CH122" s="8"/>
      <c r="CI122" s="8"/>
      <c r="CJ122" s="8"/>
      <c r="CK122" s="8"/>
      <c r="CL122" s="8"/>
      <c r="CM122" s="8"/>
      <c r="CN122" s="8"/>
      <c r="CO122" s="8"/>
      <c r="CP122" s="8"/>
      <c r="CQ122" s="8"/>
      <c r="CR122" s="8"/>
      <c r="CS122" s="8"/>
      <c r="CT122" s="8"/>
      <c r="CU122" s="8"/>
      <c r="CV122" s="8"/>
      <c r="CW122" s="8"/>
      <c r="CX122" s="8"/>
      <c r="CY122" s="8"/>
      <c r="CZ122" s="8"/>
    </row>
    <row r="123" spans="1:104" x14ac:dyDescent="0.25">
      <c r="A123" s="2"/>
      <c r="B123" s="2" t="s">
        <v>174</v>
      </c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>
        <v>0</v>
      </c>
      <c r="R123" s="8">
        <v>0</v>
      </c>
      <c r="S123" s="8">
        <v>-4.6760000000000002</v>
      </c>
      <c r="T123" s="8">
        <v>-1.363</v>
      </c>
      <c r="U123" s="8">
        <v>-1222.837</v>
      </c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  <c r="BP123" s="8"/>
      <c r="BQ123" s="8"/>
      <c r="BR123" s="8"/>
      <c r="BS123" s="8"/>
      <c r="BT123" s="8"/>
      <c r="BU123" s="8"/>
      <c r="BV123" s="8"/>
      <c r="BW123" s="8"/>
      <c r="BX123" s="8"/>
      <c r="BY123" s="8"/>
      <c r="BZ123" s="8"/>
      <c r="CA123" s="8"/>
      <c r="CB123" s="8"/>
      <c r="CC123" s="8"/>
      <c r="CD123" s="8"/>
      <c r="CE123" s="8"/>
      <c r="CF123" s="8"/>
      <c r="CG123" s="8"/>
      <c r="CH123" s="8"/>
      <c r="CI123" s="8"/>
      <c r="CJ123" s="8"/>
      <c r="CK123" s="8"/>
      <c r="CL123" s="8"/>
      <c r="CM123" s="8"/>
      <c r="CN123" s="8"/>
      <c r="CO123" s="8"/>
      <c r="CP123" s="8"/>
      <c r="CQ123" s="8"/>
      <c r="CR123" s="8"/>
      <c r="CS123" s="8"/>
      <c r="CT123" s="8"/>
      <c r="CU123" s="8"/>
      <c r="CV123" s="8"/>
      <c r="CW123" s="8"/>
      <c r="CX123" s="8"/>
      <c r="CY123" s="8"/>
      <c r="CZ123" s="8"/>
    </row>
    <row r="124" spans="1:104" x14ac:dyDescent="0.25">
      <c r="A124" s="2"/>
      <c r="B124" s="2" t="s">
        <v>176</v>
      </c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>
        <f>-7.827-6.741</f>
        <v>-14.568</v>
      </c>
      <c r="R124" s="8">
        <f>-19.549-2.6338</f>
        <v>-22.1828</v>
      </c>
      <c r="S124" s="8">
        <v>0</v>
      </c>
      <c r="T124" s="8">
        <v>-4.5890000000000004</v>
      </c>
      <c r="U124" s="8">
        <v>0</v>
      </c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  <c r="BP124" s="8"/>
      <c r="BQ124" s="8"/>
      <c r="BR124" s="8"/>
      <c r="BS124" s="8"/>
      <c r="BT124" s="8"/>
      <c r="BU124" s="8"/>
      <c r="BV124" s="8"/>
      <c r="BW124" s="8"/>
      <c r="BX124" s="8"/>
      <c r="BY124" s="8"/>
      <c r="BZ124" s="8"/>
      <c r="CA124" s="8"/>
      <c r="CB124" s="8"/>
      <c r="CC124" s="8"/>
      <c r="CD124" s="8"/>
      <c r="CE124" s="8"/>
      <c r="CF124" s="8"/>
      <c r="CG124" s="8"/>
      <c r="CH124" s="8"/>
      <c r="CI124" s="8"/>
      <c r="CJ124" s="8"/>
      <c r="CK124" s="8"/>
      <c r="CL124" s="8"/>
      <c r="CM124" s="8"/>
      <c r="CN124" s="8"/>
      <c r="CO124" s="8"/>
      <c r="CP124" s="8"/>
      <c r="CQ124" s="8"/>
      <c r="CR124" s="8"/>
      <c r="CS124" s="8"/>
      <c r="CT124" s="8"/>
      <c r="CU124" s="8"/>
      <c r="CV124" s="8"/>
      <c r="CW124" s="8"/>
      <c r="CX124" s="8"/>
      <c r="CY124" s="8"/>
      <c r="CZ124" s="8"/>
    </row>
    <row r="125" spans="1:104" x14ac:dyDescent="0.25">
      <c r="A125" s="2"/>
      <c r="B125" s="1" t="s">
        <v>170</v>
      </c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26">
        <f t="shared" ref="N125:S125" si="65">+SUM(N119:N124)</f>
        <v>0</v>
      </c>
      <c r="O125" s="26">
        <f t="shared" si="65"/>
        <v>0</v>
      </c>
      <c r="P125" s="26">
        <f t="shared" si="65"/>
        <v>0</v>
      </c>
      <c r="Q125" s="26">
        <f t="shared" si="65"/>
        <v>-137.26499999999999</v>
      </c>
      <c r="R125" s="26">
        <f t="shared" si="65"/>
        <v>-250.20479999999998</v>
      </c>
      <c r="S125" s="26">
        <f t="shared" si="65"/>
        <v>-759.19100000000014</v>
      </c>
      <c r="T125" s="26">
        <f>+SUM(T119:T124)</f>
        <v>-462.45299999999997</v>
      </c>
      <c r="U125" s="26">
        <f>+SUM(U119:U124)</f>
        <v>-1817.6</v>
      </c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  <c r="BP125" s="8"/>
      <c r="BQ125" s="8"/>
      <c r="BR125" s="8"/>
      <c r="BS125" s="8"/>
      <c r="BT125" s="8"/>
      <c r="BU125" s="8"/>
      <c r="BV125" s="8"/>
      <c r="BW125" s="8"/>
      <c r="BX125" s="8"/>
      <c r="BY125" s="8"/>
      <c r="BZ125" s="8"/>
      <c r="CA125" s="8"/>
      <c r="CB125" s="8"/>
      <c r="CC125" s="8"/>
      <c r="CD125" s="8"/>
      <c r="CE125" s="8"/>
      <c r="CF125" s="8"/>
      <c r="CG125" s="8"/>
      <c r="CH125" s="8"/>
      <c r="CI125" s="8"/>
      <c r="CJ125" s="8"/>
      <c r="CK125" s="8"/>
      <c r="CL125" s="8"/>
      <c r="CM125" s="8"/>
      <c r="CN125" s="8"/>
      <c r="CO125" s="8"/>
      <c r="CP125" s="8"/>
      <c r="CQ125" s="8"/>
      <c r="CR125" s="8"/>
      <c r="CS125" s="8"/>
      <c r="CT125" s="8"/>
      <c r="CU125" s="8"/>
      <c r="CV125" s="8"/>
      <c r="CW125" s="8"/>
      <c r="CX125" s="8"/>
      <c r="CY125" s="8"/>
      <c r="CZ125" s="8"/>
    </row>
    <row r="126" spans="1:104" x14ac:dyDescent="0.25">
      <c r="A126" s="2"/>
      <c r="B126" s="2" t="s">
        <v>177</v>
      </c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>
        <v>-89.558999999999997</v>
      </c>
      <c r="R126" s="8">
        <v>-179.11799999999999</v>
      </c>
      <c r="S126" s="8">
        <v>-281.471</v>
      </c>
      <c r="T126" s="8">
        <v>-350.55900000000003</v>
      </c>
      <c r="U126" s="8">
        <v>-419.64699999999999</v>
      </c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  <c r="BP126" s="8"/>
      <c r="BQ126" s="8"/>
      <c r="BR126" s="8"/>
      <c r="BS126" s="8"/>
      <c r="BT126" s="8"/>
      <c r="BU126" s="8"/>
      <c r="BV126" s="8"/>
      <c r="BW126" s="8"/>
      <c r="BX126" s="8"/>
      <c r="BY126" s="8"/>
      <c r="BZ126" s="8"/>
      <c r="CA126" s="8"/>
      <c r="CB126" s="8"/>
      <c r="CC126" s="8"/>
      <c r="CD126" s="8"/>
      <c r="CE126" s="8"/>
      <c r="CF126" s="8"/>
      <c r="CG126" s="8"/>
      <c r="CH126" s="8"/>
      <c r="CI126" s="8"/>
      <c r="CJ126" s="8"/>
      <c r="CK126" s="8"/>
      <c r="CL126" s="8"/>
      <c r="CM126" s="8"/>
      <c r="CN126" s="8"/>
      <c r="CO126" s="8"/>
      <c r="CP126" s="8"/>
      <c r="CQ126" s="8"/>
      <c r="CR126" s="8"/>
      <c r="CS126" s="8"/>
      <c r="CT126" s="8"/>
      <c r="CU126" s="8"/>
      <c r="CV126" s="8"/>
      <c r="CW126" s="8"/>
      <c r="CX126" s="8"/>
      <c r="CY126" s="8"/>
      <c r="CZ126" s="8"/>
    </row>
    <row r="127" spans="1:104" x14ac:dyDescent="0.25">
      <c r="A127" s="2"/>
      <c r="B127" s="2" t="s">
        <v>178</v>
      </c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>
        <v>-1.6739999999999999</v>
      </c>
      <c r="R127" s="8">
        <v>-0.59899999999999998</v>
      </c>
      <c r="S127" s="8">
        <v>-0.25</v>
      </c>
      <c r="T127" s="8">
        <v>-0.25</v>
      </c>
      <c r="U127" s="8">
        <v>-0.25</v>
      </c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  <c r="BP127" s="8"/>
      <c r="BQ127" s="8"/>
      <c r="BR127" s="8"/>
      <c r="BS127" s="8"/>
      <c r="BT127" s="8"/>
      <c r="BU127" s="8"/>
      <c r="BV127" s="8"/>
      <c r="BW127" s="8"/>
      <c r="BX127" s="8"/>
      <c r="BY127" s="8"/>
      <c r="BZ127" s="8"/>
      <c r="CA127" s="8"/>
      <c r="CB127" s="8"/>
      <c r="CC127" s="8"/>
      <c r="CD127" s="8"/>
      <c r="CE127" s="8"/>
      <c r="CF127" s="8"/>
      <c r="CG127" s="8"/>
      <c r="CH127" s="8"/>
      <c r="CI127" s="8"/>
      <c r="CJ127" s="8"/>
      <c r="CK127" s="8"/>
      <c r="CL127" s="8"/>
      <c r="CM127" s="8"/>
      <c r="CN127" s="8"/>
      <c r="CO127" s="8"/>
      <c r="CP127" s="8"/>
      <c r="CQ127" s="8"/>
      <c r="CR127" s="8"/>
      <c r="CS127" s="8"/>
      <c r="CT127" s="8"/>
      <c r="CU127" s="8"/>
      <c r="CV127" s="8"/>
      <c r="CW127" s="8"/>
      <c r="CX127" s="8"/>
      <c r="CY127" s="8"/>
      <c r="CZ127" s="8"/>
    </row>
    <row r="128" spans="1:104" x14ac:dyDescent="0.25">
      <c r="A128" s="2"/>
      <c r="B128" s="2" t="s">
        <v>187</v>
      </c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>
        <v>-392.80500000000001</v>
      </c>
      <c r="R128" s="8">
        <v>-428.17</v>
      </c>
      <c r="S128" s="8">
        <v>-429.685</v>
      </c>
      <c r="T128" s="8">
        <v>-438.83300000000003</v>
      </c>
      <c r="U128" s="8">
        <v>-452.37599999999998</v>
      </c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  <c r="BP128" s="8"/>
      <c r="BQ128" s="8"/>
      <c r="BR128" s="8"/>
      <c r="BS128" s="8"/>
      <c r="BT128" s="8"/>
      <c r="BU128" s="8"/>
      <c r="BV128" s="8"/>
      <c r="BW128" s="8"/>
      <c r="BX128" s="8"/>
      <c r="BY128" s="8"/>
      <c r="BZ128" s="8"/>
      <c r="CA128" s="8"/>
      <c r="CB128" s="8"/>
      <c r="CC128" s="8"/>
      <c r="CD128" s="8"/>
      <c r="CE128" s="8"/>
      <c r="CF128" s="8"/>
      <c r="CG128" s="8"/>
      <c r="CH128" s="8"/>
      <c r="CI128" s="8"/>
      <c r="CJ128" s="8"/>
      <c r="CK128" s="8"/>
      <c r="CL128" s="8"/>
      <c r="CM128" s="8"/>
      <c r="CN128" s="8"/>
      <c r="CO128" s="8"/>
      <c r="CP128" s="8"/>
      <c r="CQ128" s="8"/>
      <c r="CR128" s="8"/>
      <c r="CS128" s="8"/>
      <c r="CT128" s="8"/>
      <c r="CU128" s="8"/>
      <c r="CV128" s="8"/>
      <c r="CW128" s="8"/>
      <c r="CX128" s="8"/>
      <c r="CY128" s="8"/>
      <c r="CZ128" s="8"/>
    </row>
    <row r="129" spans="1:104" x14ac:dyDescent="0.25">
      <c r="A129" s="2"/>
      <c r="B129" s="2" t="s">
        <v>179</v>
      </c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>
        <v>-217.27699999999999</v>
      </c>
      <c r="R129" s="8">
        <v>-187.12799999999999</v>
      </c>
      <c r="S129" s="8">
        <v>-94.784000000000006</v>
      </c>
      <c r="T129" s="8">
        <v>-83.772999999999996</v>
      </c>
      <c r="U129" s="8">
        <f>-4.448-8.149-159.842</f>
        <v>-172.43900000000002</v>
      </c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  <c r="BP129" s="8"/>
      <c r="BQ129" s="8"/>
      <c r="BR129" s="8"/>
      <c r="BS129" s="8"/>
      <c r="BT129" s="8"/>
      <c r="BU129" s="8"/>
      <c r="BV129" s="8"/>
      <c r="BW129" s="8"/>
      <c r="BX129" s="8"/>
      <c r="BY129" s="8"/>
      <c r="BZ129" s="8"/>
      <c r="CA129" s="8"/>
      <c r="CB129" s="8"/>
      <c r="CC129" s="8"/>
      <c r="CD129" s="8"/>
      <c r="CE129" s="8"/>
      <c r="CF129" s="8"/>
      <c r="CG129" s="8"/>
      <c r="CH129" s="8"/>
      <c r="CI129" s="8"/>
      <c r="CJ129" s="8"/>
      <c r="CK129" s="8"/>
      <c r="CL129" s="8"/>
      <c r="CM129" s="8"/>
      <c r="CN129" s="8"/>
      <c r="CO129" s="8"/>
      <c r="CP129" s="8"/>
      <c r="CQ129" s="8"/>
      <c r="CR129" s="8"/>
      <c r="CS129" s="8"/>
      <c r="CT129" s="8"/>
      <c r="CU129" s="8"/>
      <c r="CV129" s="8"/>
      <c r="CW129" s="8"/>
      <c r="CX129" s="8"/>
      <c r="CY129" s="8"/>
      <c r="CZ129" s="8"/>
    </row>
    <row r="130" spans="1:104" x14ac:dyDescent="0.25">
      <c r="A130" s="2"/>
      <c r="B130" s="2" t="s">
        <v>180</v>
      </c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>
        <v>240</v>
      </c>
      <c r="R130" s="8">
        <v>0</v>
      </c>
      <c r="S130" s="8">
        <v>25.475000000000001</v>
      </c>
      <c r="T130" s="8">
        <v>27.994</v>
      </c>
      <c r="U130" s="8">
        <v>1216.6099999999999</v>
      </c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  <c r="BP130" s="8"/>
      <c r="BQ130" s="8"/>
      <c r="BR130" s="8"/>
      <c r="BS130" s="8"/>
      <c r="BT130" s="8"/>
      <c r="BU130" s="8"/>
      <c r="BV130" s="8"/>
      <c r="BW130" s="8"/>
      <c r="BX130" s="8"/>
      <c r="BY130" s="8"/>
      <c r="BZ130" s="8"/>
      <c r="CA130" s="8"/>
      <c r="CB130" s="8"/>
      <c r="CC130" s="8"/>
      <c r="CD130" s="8"/>
      <c r="CE130" s="8"/>
      <c r="CF130" s="8"/>
      <c r="CG130" s="8"/>
      <c r="CH130" s="8"/>
      <c r="CI130" s="8"/>
      <c r="CJ130" s="8"/>
      <c r="CK130" s="8"/>
      <c r="CL130" s="8"/>
      <c r="CM130" s="8"/>
      <c r="CN130" s="8"/>
      <c r="CO130" s="8"/>
      <c r="CP130" s="8"/>
      <c r="CQ130" s="8"/>
      <c r="CR130" s="8"/>
      <c r="CS130" s="8"/>
      <c r="CT130" s="8"/>
      <c r="CU130" s="8"/>
      <c r="CV130" s="8"/>
      <c r="CW130" s="8"/>
      <c r="CX130" s="8"/>
      <c r="CY130" s="8"/>
      <c r="CZ130" s="8"/>
    </row>
    <row r="131" spans="1:104" x14ac:dyDescent="0.25">
      <c r="A131" s="2"/>
      <c r="B131" s="2" t="s">
        <v>181</v>
      </c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>
        <v>-33.411999999999999</v>
      </c>
      <c r="R131" s="8">
        <v>9.8369999999999997</v>
      </c>
      <c r="S131" s="8">
        <v>4.4359999999999999</v>
      </c>
      <c r="T131" s="8">
        <v>-30.048999999999999</v>
      </c>
      <c r="U131" s="8">
        <v>277.77100000000002</v>
      </c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  <c r="BP131" s="8"/>
      <c r="BQ131" s="8"/>
      <c r="BR131" s="8"/>
      <c r="BS131" s="8"/>
      <c r="BT131" s="8"/>
      <c r="BU131" s="8"/>
      <c r="BV131" s="8"/>
      <c r="BW131" s="8"/>
      <c r="BX131" s="8"/>
      <c r="BY131" s="8"/>
      <c r="BZ131" s="8"/>
      <c r="CA131" s="8"/>
      <c r="CB131" s="8"/>
      <c r="CC131" s="8"/>
      <c r="CD131" s="8"/>
      <c r="CE131" s="8"/>
      <c r="CF131" s="8"/>
      <c r="CG131" s="8"/>
      <c r="CH131" s="8"/>
      <c r="CI131" s="8"/>
      <c r="CJ131" s="8"/>
      <c r="CK131" s="8"/>
      <c r="CL131" s="8"/>
      <c r="CM131" s="8"/>
      <c r="CN131" s="8"/>
      <c r="CO131" s="8"/>
      <c r="CP131" s="8"/>
      <c r="CQ131" s="8"/>
      <c r="CR131" s="8"/>
      <c r="CS131" s="8"/>
      <c r="CT131" s="8"/>
      <c r="CU131" s="8"/>
      <c r="CV131" s="8"/>
      <c r="CW131" s="8"/>
      <c r="CX131" s="8"/>
      <c r="CY131" s="8"/>
      <c r="CZ131" s="8"/>
    </row>
    <row r="132" spans="1:104" x14ac:dyDescent="0.25">
      <c r="A132" s="2"/>
      <c r="B132" s="2" t="s">
        <v>54</v>
      </c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>
        <v>0</v>
      </c>
      <c r="R132" s="8">
        <v>-2.2000000000000002</v>
      </c>
      <c r="S132" s="8">
        <f>2.56+2.5-4.509</f>
        <v>0.55100000000000016</v>
      </c>
      <c r="T132" s="8">
        <v>0</v>
      </c>
      <c r="U132" s="8">
        <v>-3.6</v>
      </c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  <c r="BP132" s="8"/>
      <c r="BQ132" s="8"/>
      <c r="BR132" s="8"/>
      <c r="BS132" s="8"/>
      <c r="BT132" s="8"/>
      <c r="BU132" s="8"/>
      <c r="BV132" s="8"/>
      <c r="BW132" s="8"/>
      <c r="BX132" s="8"/>
      <c r="BY132" s="8"/>
      <c r="BZ132" s="8"/>
      <c r="CA132" s="8"/>
      <c r="CB132" s="8"/>
      <c r="CC132" s="8"/>
      <c r="CD132" s="8"/>
      <c r="CE132" s="8"/>
      <c r="CF132" s="8"/>
      <c r="CG132" s="8"/>
      <c r="CH132" s="8"/>
      <c r="CI132" s="8"/>
      <c r="CJ132" s="8"/>
      <c r="CK132" s="8"/>
      <c r="CL132" s="8"/>
      <c r="CM132" s="8"/>
      <c r="CN132" s="8"/>
      <c r="CO132" s="8"/>
      <c r="CP132" s="8"/>
      <c r="CQ132" s="8"/>
      <c r="CR132" s="8"/>
      <c r="CS132" s="8"/>
      <c r="CT132" s="8"/>
      <c r="CU132" s="8"/>
      <c r="CV132" s="8"/>
      <c r="CW132" s="8"/>
      <c r="CX132" s="8"/>
      <c r="CY132" s="8"/>
      <c r="CZ132" s="8"/>
    </row>
    <row r="133" spans="1:104" x14ac:dyDescent="0.25">
      <c r="A133" s="2"/>
      <c r="B133" s="1" t="s">
        <v>182</v>
      </c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26">
        <f t="shared" ref="N133:S133" si="66">+SUM(N126:N132)</f>
        <v>0</v>
      </c>
      <c r="O133" s="26">
        <f t="shared" si="66"/>
        <v>0</v>
      </c>
      <c r="P133" s="26">
        <f t="shared" si="66"/>
        <v>0</v>
      </c>
      <c r="Q133" s="26">
        <f t="shared" si="66"/>
        <v>-494.72700000000003</v>
      </c>
      <c r="R133" s="26">
        <f t="shared" si="66"/>
        <v>-787.37799999999993</v>
      </c>
      <c r="S133" s="26">
        <f t="shared" si="66"/>
        <v>-775.72799999999984</v>
      </c>
      <c r="T133" s="26">
        <f>+SUM(T126:T132)</f>
        <v>-875.47</v>
      </c>
      <c r="U133" s="26">
        <f>+SUM(U126:U132)</f>
        <v>446.0689999999999</v>
      </c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  <c r="BP133" s="8"/>
      <c r="BQ133" s="8"/>
      <c r="BR133" s="8"/>
      <c r="BS133" s="8"/>
      <c r="BT133" s="8"/>
      <c r="BU133" s="8"/>
      <c r="BV133" s="8"/>
      <c r="BW133" s="8"/>
      <c r="BX133" s="8"/>
      <c r="BY133" s="8"/>
      <c r="BZ133" s="8"/>
      <c r="CA133" s="8"/>
      <c r="CB133" s="8"/>
      <c r="CC133" s="8"/>
      <c r="CD133" s="8"/>
      <c r="CE133" s="8"/>
      <c r="CF133" s="8"/>
      <c r="CG133" s="8"/>
      <c r="CH133" s="8"/>
      <c r="CI133" s="8"/>
      <c r="CJ133" s="8"/>
      <c r="CK133" s="8"/>
      <c r="CL133" s="8"/>
      <c r="CM133" s="8"/>
      <c r="CN133" s="8"/>
      <c r="CO133" s="8"/>
      <c r="CP133" s="8"/>
      <c r="CQ133" s="8"/>
      <c r="CR133" s="8"/>
      <c r="CS133" s="8"/>
      <c r="CT133" s="8"/>
      <c r="CU133" s="8"/>
      <c r="CV133" s="8"/>
      <c r="CW133" s="8"/>
      <c r="CX133" s="8"/>
      <c r="CY133" s="8"/>
      <c r="CZ133" s="8"/>
    </row>
    <row r="134" spans="1:104" x14ac:dyDescent="0.25">
      <c r="A134" s="2"/>
      <c r="B134" s="2" t="s">
        <v>183</v>
      </c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>
        <v>27.858000000000001</v>
      </c>
      <c r="R134" s="8">
        <v>23.725999999999999</v>
      </c>
      <c r="S134" s="8">
        <v>-22.481000000000002</v>
      </c>
      <c r="T134" s="8">
        <v>8.3249999999999993</v>
      </c>
      <c r="U134" s="8">
        <v>-32.573999999999998</v>
      </c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  <c r="BP134" s="8"/>
      <c r="BQ134" s="8"/>
      <c r="BR134" s="8"/>
      <c r="BS134" s="8"/>
      <c r="BT134" s="8"/>
      <c r="BU134" s="8"/>
      <c r="BV134" s="8"/>
      <c r="BW134" s="8"/>
      <c r="BX134" s="8"/>
      <c r="BY134" s="8"/>
      <c r="BZ134" s="8"/>
      <c r="CA134" s="8"/>
      <c r="CB134" s="8"/>
      <c r="CC134" s="8"/>
      <c r="CD134" s="8"/>
      <c r="CE134" s="8"/>
      <c r="CF134" s="8"/>
      <c r="CG134" s="8"/>
      <c r="CH134" s="8"/>
      <c r="CI134" s="8"/>
      <c r="CJ134" s="8"/>
      <c r="CK134" s="8"/>
      <c r="CL134" s="8"/>
      <c r="CM134" s="8"/>
      <c r="CN134" s="8"/>
      <c r="CO134" s="8"/>
      <c r="CP134" s="8"/>
      <c r="CQ134" s="8"/>
      <c r="CR134" s="8"/>
      <c r="CS134" s="8"/>
      <c r="CT134" s="8"/>
      <c r="CU134" s="8"/>
      <c r="CV134" s="8"/>
      <c r="CW134" s="8"/>
      <c r="CX134" s="8"/>
      <c r="CY134" s="8"/>
      <c r="CZ134" s="8"/>
    </row>
    <row r="135" spans="1:104" x14ac:dyDescent="0.25">
      <c r="A135" s="2"/>
      <c r="B135" s="2" t="s">
        <v>184</v>
      </c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>
        <f t="shared" ref="N135:R135" si="67">+N134+N133+N125+N118</f>
        <v>302.52399999999989</v>
      </c>
      <c r="O135" s="8">
        <f t="shared" si="67"/>
        <v>234.76</v>
      </c>
      <c r="P135" s="8">
        <f t="shared" si="67"/>
        <v>-51.811999999999856</v>
      </c>
      <c r="Q135" s="8">
        <f t="shared" si="67"/>
        <v>539.39400000000023</v>
      </c>
      <c r="R135" s="8">
        <f t="shared" si="67"/>
        <v>109.85020000000065</v>
      </c>
      <c r="S135" s="8">
        <f>+S134+S133+S125+S118</f>
        <v>-402.11899999999969</v>
      </c>
      <c r="T135" s="8">
        <f>+T134+T133+T125+T118</f>
        <v>322.00900000000047</v>
      </c>
      <c r="U135" s="8">
        <f>+U134+U133+U125+U118</f>
        <v>250.15300000000047</v>
      </c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  <c r="BP135" s="8"/>
      <c r="BQ135" s="8"/>
      <c r="BR135" s="8"/>
      <c r="BS135" s="8"/>
      <c r="BT135" s="8"/>
      <c r="BU135" s="8"/>
      <c r="BV135" s="8"/>
      <c r="BW135" s="8"/>
      <c r="BX135" s="8"/>
      <c r="BY135" s="8"/>
      <c r="BZ135" s="8"/>
      <c r="CA135" s="8"/>
      <c r="CB135" s="8"/>
      <c r="CC135" s="8"/>
      <c r="CD135" s="8"/>
      <c r="CE135" s="8"/>
      <c r="CF135" s="8"/>
      <c r="CG135" s="8"/>
      <c r="CH135" s="8"/>
      <c r="CI135" s="8"/>
      <c r="CJ135" s="8"/>
      <c r="CK135" s="8"/>
      <c r="CL135" s="8"/>
      <c r="CM135" s="8"/>
      <c r="CN135" s="8"/>
      <c r="CO135" s="8"/>
      <c r="CP135" s="8"/>
      <c r="CQ135" s="8"/>
      <c r="CR135" s="8"/>
      <c r="CS135" s="8"/>
      <c r="CT135" s="8"/>
      <c r="CU135" s="8"/>
      <c r="CV135" s="8"/>
      <c r="CW135" s="8"/>
      <c r="CX135" s="8"/>
      <c r="CY135" s="8"/>
      <c r="CZ135" s="8"/>
    </row>
    <row r="136" spans="1:104" x14ac:dyDescent="0.25">
      <c r="A136" s="2"/>
      <c r="B136" s="2" t="s">
        <v>185</v>
      </c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>
        <f>+Q137-Q135</f>
        <v>442.37779999999896</v>
      </c>
      <c r="R136" s="8">
        <f>+R137-R135</f>
        <v>981.77179999999919</v>
      </c>
      <c r="S136" s="8">
        <f>+S137-S135</f>
        <v>1091.6219999999998</v>
      </c>
      <c r="T136" s="8">
        <v>689.50300000000004</v>
      </c>
      <c r="U136" s="8">
        <f>+T137</f>
        <v>1011.5120000000005</v>
      </c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  <c r="BA136" s="8"/>
      <c r="BB136" s="8"/>
      <c r="BC136" s="8"/>
      <c r="BD136" s="8"/>
      <c r="BE136" s="8"/>
      <c r="BF136" s="8"/>
      <c r="BG136" s="8"/>
      <c r="BH136" s="8"/>
      <c r="BI136" s="8"/>
      <c r="BJ136" s="8"/>
      <c r="BK136" s="8"/>
      <c r="BL136" s="8"/>
      <c r="BM136" s="8"/>
      <c r="BN136" s="8"/>
      <c r="BO136" s="8"/>
      <c r="BP136" s="8"/>
      <c r="BQ136" s="8"/>
      <c r="BR136" s="8"/>
      <c r="BS136" s="8"/>
      <c r="BT136" s="8"/>
      <c r="BU136" s="8"/>
      <c r="BV136" s="8"/>
      <c r="BW136" s="8"/>
      <c r="BX136" s="8"/>
      <c r="BY136" s="8"/>
      <c r="BZ136" s="8"/>
      <c r="CA136" s="8"/>
      <c r="CB136" s="8"/>
      <c r="CC136" s="8"/>
      <c r="CD136" s="8"/>
      <c r="CE136" s="8"/>
      <c r="CF136" s="8"/>
      <c r="CG136" s="8"/>
      <c r="CH136" s="8"/>
      <c r="CI136" s="8"/>
      <c r="CJ136" s="8"/>
      <c r="CK136" s="8"/>
      <c r="CL136" s="8"/>
      <c r="CM136" s="8"/>
      <c r="CN136" s="8"/>
      <c r="CO136" s="8"/>
      <c r="CP136" s="8"/>
      <c r="CQ136" s="8"/>
      <c r="CR136" s="8"/>
      <c r="CS136" s="8"/>
      <c r="CT136" s="8"/>
      <c r="CU136" s="8"/>
      <c r="CV136" s="8"/>
      <c r="CW136" s="8"/>
      <c r="CX136" s="8"/>
      <c r="CY136" s="8"/>
      <c r="CZ136" s="8"/>
    </row>
    <row r="137" spans="1:104" x14ac:dyDescent="0.25">
      <c r="A137" s="2"/>
      <c r="B137" s="2" t="s">
        <v>186</v>
      </c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>
        <f>+R136</f>
        <v>981.77179999999919</v>
      </c>
      <c r="R137" s="8">
        <f>+S136</f>
        <v>1091.6219999999998</v>
      </c>
      <c r="S137" s="8">
        <f>+T136</f>
        <v>689.50300000000004</v>
      </c>
      <c r="T137" s="8">
        <f>+T135+T136</f>
        <v>1011.5120000000005</v>
      </c>
      <c r="U137" s="8">
        <f>+U136+U135</f>
        <v>1261.6650000000009</v>
      </c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  <c r="BA137" s="8"/>
      <c r="BB137" s="8"/>
      <c r="BC137" s="8"/>
      <c r="BD137" s="8"/>
      <c r="BE137" s="8"/>
      <c r="BF137" s="8"/>
      <c r="BG137" s="8"/>
      <c r="BH137" s="8"/>
      <c r="BI137" s="8"/>
      <c r="BJ137" s="8"/>
      <c r="BK137" s="8"/>
      <c r="BL137" s="8"/>
      <c r="BM137" s="8"/>
      <c r="BN137" s="8"/>
      <c r="BO137" s="8"/>
      <c r="BP137" s="8"/>
      <c r="BQ137" s="8"/>
      <c r="BR137" s="8"/>
      <c r="BS137" s="8"/>
      <c r="BT137" s="8"/>
      <c r="BU137" s="8"/>
      <c r="BV137" s="8"/>
      <c r="BW137" s="8"/>
      <c r="BX137" s="8"/>
      <c r="BY137" s="8"/>
      <c r="BZ137" s="8"/>
      <c r="CA137" s="8"/>
      <c r="CB137" s="8"/>
      <c r="CC137" s="8"/>
      <c r="CD137" s="8"/>
      <c r="CE137" s="8"/>
      <c r="CF137" s="8"/>
      <c r="CG137" s="8"/>
      <c r="CH137" s="8"/>
      <c r="CI137" s="8"/>
      <c r="CJ137" s="8"/>
      <c r="CK137" s="8"/>
      <c r="CL137" s="8"/>
      <c r="CM137" s="8"/>
      <c r="CN137" s="8"/>
      <c r="CO137" s="8"/>
      <c r="CP137" s="8"/>
      <c r="CQ137" s="8"/>
      <c r="CR137" s="8"/>
      <c r="CS137" s="8"/>
      <c r="CT137" s="8"/>
      <c r="CU137" s="8"/>
      <c r="CV137" s="8"/>
      <c r="CW137" s="8"/>
      <c r="CX137" s="8"/>
      <c r="CY137" s="8"/>
      <c r="CZ137" s="8"/>
    </row>
    <row r="138" spans="1:104" x14ac:dyDescent="0.25">
      <c r="A138" s="2"/>
      <c r="B138" s="2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  <c r="BA138" s="8"/>
      <c r="BB138" s="8"/>
      <c r="BC138" s="8"/>
      <c r="BD138" s="8"/>
      <c r="BE138" s="8"/>
      <c r="BF138" s="8"/>
      <c r="BG138" s="8"/>
      <c r="BH138" s="8"/>
      <c r="BI138" s="8"/>
      <c r="BJ138" s="8"/>
      <c r="BK138" s="8"/>
      <c r="BL138" s="8"/>
      <c r="BM138" s="8"/>
      <c r="BN138" s="8"/>
      <c r="BO138" s="8"/>
      <c r="BP138" s="8"/>
      <c r="BQ138" s="8"/>
      <c r="BR138" s="8"/>
      <c r="BS138" s="8"/>
      <c r="BT138" s="8"/>
      <c r="BU138" s="8"/>
      <c r="BV138" s="8"/>
      <c r="BW138" s="8"/>
      <c r="BX138" s="8"/>
      <c r="BY138" s="8"/>
      <c r="BZ138" s="8"/>
      <c r="CA138" s="8"/>
      <c r="CB138" s="8"/>
      <c r="CC138" s="8"/>
      <c r="CD138" s="8"/>
      <c r="CE138" s="8"/>
      <c r="CF138" s="8"/>
      <c r="CG138" s="8"/>
      <c r="CH138" s="8"/>
      <c r="CI138" s="8"/>
      <c r="CJ138" s="8"/>
      <c r="CK138" s="8"/>
      <c r="CL138" s="8"/>
      <c r="CM138" s="8"/>
      <c r="CN138" s="8"/>
      <c r="CO138" s="8"/>
      <c r="CP138" s="8"/>
      <c r="CQ138" s="8"/>
      <c r="CR138" s="8"/>
      <c r="CS138" s="8"/>
      <c r="CT138" s="8"/>
      <c r="CU138" s="8"/>
      <c r="CV138" s="8"/>
      <c r="CW138" s="8"/>
      <c r="CX138" s="8"/>
      <c r="CY138" s="8"/>
      <c r="CZ138" s="8"/>
    </row>
    <row r="139" spans="1:104" x14ac:dyDescent="0.25">
      <c r="A139" s="2"/>
      <c r="B139" s="2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  <c r="BA139" s="8"/>
      <c r="BB139" s="8"/>
      <c r="BC139" s="8"/>
      <c r="BD139" s="8"/>
      <c r="BE139" s="8"/>
      <c r="BF139" s="8"/>
      <c r="BG139" s="8"/>
      <c r="BH139" s="8"/>
      <c r="BI139" s="8"/>
      <c r="BJ139" s="8"/>
      <c r="BK139" s="8"/>
      <c r="BL139" s="8"/>
      <c r="BM139" s="8"/>
      <c r="BN139" s="8"/>
      <c r="BO139" s="8"/>
      <c r="BP139" s="8"/>
      <c r="BQ139" s="8"/>
      <c r="BR139" s="8"/>
      <c r="BS139" s="8"/>
      <c r="BT139" s="8"/>
      <c r="BU139" s="8"/>
      <c r="BV139" s="8"/>
      <c r="BW139" s="8"/>
      <c r="BX139" s="8"/>
      <c r="BY139" s="8"/>
      <c r="BZ139" s="8"/>
      <c r="CA139" s="8"/>
      <c r="CB139" s="8"/>
      <c r="CC139" s="8"/>
      <c r="CD139" s="8"/>
      <c r="CE139" s="8"/>
      <c r="CF139" s="8"/>
      <c r="CG139" s="8"/>
      <c r="CH139" s="8"/>
      <c r="CI139" s="8"/>
      <c r="CJ139" s="8"/>
      <c r="CK139" s="8"/>
      <c r="CL139" s="8"/>
      <c r="CM139" s="8"/>
      <c r="CN139" s="8"/>
      <c r="CO139" s="8"/>
      <c r="CP139" s="8"/>
      <c r="CQ139" s="8"/>
      <c r="CR139" s="8"/>
      <c r="CS139" s="8"/>
      <c r="CT139" s="8"/>
      <c r="CU139" s="8"/>
      <c r="CV139" s="8"/>
      <c r="CW139" s="8"/>
      <c r="CX139" s="8"/>
      <c r="CY139" s="8"/>
      <c r="CZ139" s="8"/>
    </row>
    <row r="140" spans="1:104" x14ac:dyDescent="0.25">
      <c r="A140" s="2"/>
      <c r="B140" s="2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  <c r="BA140" s="8"/>
      <c r="BB140" s="8"/>
      <c r="BC140" s="8"/>
      <c r="BD140" s="8"/>
      <c r="BE140" s="8"/>
      <c r="BF140" s="8"/>
      <c r="BG140" s="8"/>
      <c r="BH140" s="8"/>
      <c r="BI140" s="8"/>
      <c r="BJ140" s="8"/>
      <c r="BK140" s="8"/>
      <c r="BL140" s="8"/>
      <c r="BM140" s="8"/>
      <c r="BN140" s="8"/>
      <c r="BO140" s="8"/>
      <c r="BP140" s="8"/>
      <c r="BQ140" s="8"/>
      <c r="BR140" s="8"/>
      <c r="BS140" s="8"/>
      <c r="BT140" s="8"/>
      <c r="BU140" s="8"/>
      <c r="BV140" s="8"/>
      <c r="BW140" s="8"/>
      <c r="BX140" s="8"/>
      <c r="BY140" s="8"/>
      <c r="BZ140" s="8"/>
      <c r="CA140" s="8"/>
      <c r="CB140" s="8"/>
      <c r="CC140" s="8"/>
      <c r="CD140" s="8"/>
      <c r="CE140" s="8"/>
      <c r="CF140" s="8"/>
      <c r="CG140" s="8"/>
      <c r="CH140" s="8"/>
      <c r="CI140" s="8"/>
      <c r="CJ140" s="8"/>
      <c r="CK140" s="8"/>
      <c r="CL140" s="8"/>
      <c r="CM140" s="8"/>
      <c r="CN140" s="8"/>
      <c r="CO140" s="8"/>
      <c r="CP140" s="8"/>
      <c r="CQ140" s="8"/>
      <c r="CR140" s="8"/>
      <c r="CS140" s="8"/>
      <c r="CT140" s="8"/>
      <c r="CU140" s="8"/>
      <c r="CV140" s="8"/>
      <c r="CW140" s="8"/>
      <c r="CX140" s="8"/>
      <c r="CY140" s="8"/>
      <c r="CZ140" s="8"/>
    </row>
    <row r="141" spans="1:104" x14ac:dyDescent="0.25">
      <c r="A141" s="2"/>
      <c r="B141" s="2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  <c r="BA141" s="8"/>
      <c r="BB141" s="8"/>
      <c r="BC141" s="8"/>
      <c r="BD141" s="8"/>
      <c r="BE141" s="8"/>
      <c r="BF141" s="8"/>
      <c r="BG141" s="8"/>
      <c r="BH141" s="8"/>
      <c r="BI141" s="8"/>
      <c r="BJ141" s="8"/>
      <c r="BK141" s="8"/>
      <c r="BL141" s="8"/>
      <c r="BM141" s="8"/>
      <c r="BN141" s="8"/>
      <c r="BO141" s="8"/>
      <c r="BP141" s="8"/>
      <c r="BQ141" s="8"/>
      <c r="BR141" s="8"/>
      <c r="BS141" s="8"/>
      <c r="BT141" s="8"/>
      <c r="BU141" s="8"/>
      <c r="BV141" s="8"/>
      <c r="BW141" s="8"/>
      <c r="BX141" s="8"/>
      <c r="BY141" s="8"/>
      <c r="BZ141" s="8"/>
      <c r="CA141" s="8"/>
      <c r="CB141" s="8"/>
      <c r="CC141" s="8"/>
      <c r="CD141" s="8"/>
      <c r="CE141" s="8"/>
      <c r="CF141" s="8"/>
      <c r="CG141" s="8"/>
      <c r="CH141" s="8"/>
      <c r="CI141" s="8"/>
      <c r="CJ141" s="8"/>
      <c r="CK141" s="8"/>
      <c r="CL141" s="8"/>
      <c r="CM141" s="8"/>
      <c r="CN141" s="8"/>
      <c r="CO141" s="8"/>
      <c r="CP141" s="8"/>
      <c r="CQ141" s="8"/>
      <c r="CR141" s="8"/>
      <c r="CS141" s="8"/>
      <c r="CT141" s="8"/>
      <c r="CU141" s="8"/>
      <c r="CV141" s="8"/>
      <c r="CW141" s="8"/>
      <c r="CX141" s="8"/>
      <c r="CY141" s="8"/>
      <c r="CZ141" s="8"/>
    </row>
    <row r="142" spans="1:104" x14ac:dyDescent="0.25">
      <c r="A142" s="2"/>
      <c r="B142" s="2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  <c r="BA142" s="8"/>
      <c r="BB142" s="8"/>
      <c r="BC142" s="8"/>
      <c r="BD142" s="8"/>
      <c r="BE142" s="8"/>
      <c r="BF142" s="8"/>
      <c r="BG142" s="8"/>
      <c r="BH142" s="8"/>
      <c r="BI142" s="8"/>
      <c r="BJ142" s="8"/>
      <c r="BK142" s="8"/>
      <c r="BL142" s="8"/>
      <c r="BM142" s="8"/>
      <c r="BN142" s="8"/>
      <c r="BO142" s="8"/>
      <c r="BP142" s="8"/>
      <c r="BQ142" s="8"/>
      <c r="BR142" s="8"/>
      <c r="BS142" s="8"/>
      <c r="BT142" s="8"/>
      <c r="BU142" s="8"/>
      <c r="BV142" s="8"/>
      <c r="BW142" s="8"/>
      <c r="BX142" s="8"/>
      <c r="BY142" s="8"/>
      <c r="BZ142" s="8"/>
      <c r="CA142" s="8"/>
      <c r="CB142" s="8"/>
      <c r="CC142" s="8"/>
      <c r="CD142" s="8"/>
      <c r="CE142" s="8"/>
      <c r="CF142" s="8"/>
      <c r="CG142" s="8"/>
      <c r="CH142" s="8"/>
      <c r="CI142" s="8"/>
      <c r="CJ142" s="8"/>
      <c r="CK142" s="8"/>
      <c r="CL142" s="8"/>
      <c r="CM142" s="8"/>
      <c r="CN142" s="8"/>
      <c r="CO142" s="8"/>
      <c r="CP142" s="8"/>
      <c r="CQ142" s="8"/>
      <c r="CR142" s="8"/>
      <c r="CS142" s="8"/>
      <c r="CT142" s="8"/>
      <c r="CU142" s="8"/>
      <c r="CV142" s="8"/>
      <c r="CW142" s="8"/>
      <c r="CX142" s="8"/>
      <c r="CY142" s="8"/>
      <c r="CZ142" s="8"/>
    </row>
    <row r="143" spans="1:104" x14ac:dyDescent="0.25">
      <c r="A143" s="2"/>
      <c r="B143" s="2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  <c r="BA143" s="8"/>
      <c r="BB143" s="8"/>
      <c r="BC143" s="8"/>
      <c r="BD143" s="8"/>
      <c r="BE143" s="8"/>
      <c r="BF143" s="8"/>
      <c r="BG143" s="8"/>
      <c r="BH143" s="8"/>
      <c r="BI143" s="8"/>
      <c r="BJ143" s="8"/>
      <c r="BK143" s="8"/>
      <c r="BL143" s="8"/>
      <c r="BM143" s="8"/>
      <c r="BN143" s="8"/>
      <c r="BO143" s="8"/>
      <c r="BP143" s="8"/>
      <c r="BQ143" s="8"/>
      <c r="BR143" s="8"/>
      <c r="BS143" s="8"/>
      <c r="BT143" s="8"/>
      <c r="BU143" s="8"/>
      <c r="BV143" s="8"/>
      <c r="BW143" s="8"/>
      <c r="BX143" s="8"/>
      <c r="BY143" s="8"/>
      <c r="BZ143" s="8"/>
      <c r="CA143" s="8"/>
      <c r="CB143" s="8"/>
      <c r="CC143" s="8"/>
      <c r="CD143" s="8"/>
      <c r="CE143" s="8"/>
      <c r="CF143" s="8"/>
      <c r="CG143" s="8"/>
      <c r="CH143" s="8"/>
      <c r="CI143" s="8"/>
      <c r="CJ143" s="8"/>
      <c r="CK143" s="8"/>
      <c r="CL143" s="8"/>
      <c r="CM143" s="8"/>
      <c r="CN143" s="8"/>
      <c r="CO143" s="8"/>
      <c r="CP143" s="8"/>
      <c r="CQ143" s="8"/>
      <c r="CR143" s="8"/>
      <c r="CS143" s="8"/>
      <c r="CT143" s="8"/>
      <c r="CU143" s="8"/>
      <c r="CV143" s="8"/>
      <c r="CW143" s="8"/>
      <c r="CX143" s="8"/>
      <c r="CY143" s="8"/>
      <c r="CZ143" s="8"/>
    </row>
    <row r="144" spans="1:104" x14ac:dyDescent="0.25">
      <c r="A144" s="2"/>
      <c r="B144" s="2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8"/>
      <c r="BH144" s="8"/>
      <c r="BI144" s="8"/>
      <c r="BJ144" s="8"/>
      <c r="BK144" s="8"/>
      <c r="BL144" s="8"/>
      <c r="BM144" s="8"/>
      <c r="BN144" s="8"/>
      <c r="BO144" s="8"/>
      <c r="BP144" s="8"/>
      <c r="BQ144" s="8"/>
      <c r="BR144" s="8"/>
      <c r="BS144" s="8"/>
      <c r="BT144" s="8"/>
      <c r="BU144" s="8"/>
      <c r="BV144" s="8"/>
      <c r="BW144" s="8"/>
      <c r="BX144" s="8"/>
      <c r="BY144" s="8"/>
      <c r="BZ144" s="8"/>
      <c r="CA144" s="8"/>
      <c r="CB144" s="8"/>
      <c r="CC144" s="8"/>
      <c r="CD144" s="8"/>
      <c r="CE144" s="8"/>
      <c r="CF144" s="8"/>
      <c r="CG144" s="8"/>
      <c r="CH144" s="8"/>
      <c r="CI144" s="8"/>
      <c r="CJ144" s="8"/>
      <c r="CK144" s="8"/>
      <c r="CL144" s="8"/>
      <c r="CM144" s="8"/>
      <c r="CN144" s="8"/>
      <c r="CO144" s="8"/>
      <c r="CP144" s="8"/>
      <c r="CQ144" s="8"/>
      <c r="CR144" s="8"/>
      <c r="CS144" s="8"/>
      <c r="CT144" s="8"/>
      <c r="CU144" s="8"/>
      <c r="CV144" s="8"/>
      <c r="CW144" s="8"/>
      <c r="CX144" s="8"/>
      <c r="CY144" s="8"/>
      <c r="CZ144" s="8"/>
    </row>
    <row r="145" spans="1:104" x14ac:dyDescent="0.25">
      <c r="A145" s="2"/>
      <c r="B145" s="2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  <c r="BA145" s="8"/>
      <c r="BB145" s="8"/>
      <c r="BC145" s="8"/>
      <c r="BD145" s="8"/>
      <c r="BE145" s="8"/>
      <c r="BF145" s="8"/>
      <c r="BG145" s="8"/>
      <c r="BH145" s="8"/>
      <c r="BI145" s="8"/>
      <c r="BJ145" s="8"/>
      <c r="BK145" s="8"/>
      <c r="BL145" s="8"/>
      <c r="BM145" s="8"/>
      <c r="BN145" s="8"/>
      <c r="BO145" s="8"/>
      <c r="BP145" s="8"/>
      <c r="BQ145" s="8"/>
      <c r="BR145" s="8"/>
      <c r="BS145" s="8"/>
      <c r="BT145" s="8"/>
      <c r="BU145" s="8"/>
      <c r="BV145" s="8"/>
      <c r="BW145" s="8"/>
      <c r="BX145" s="8"/>
      <c r="BY145" s="8"/>
      <c r="BZ145" s="8"/>
      <c r="CA145" s="8"/>
      <c r="CB145" s="8"/>
      <c r="CC145" s="8"/>
      <c r="CD145" s="8"/>
      <c r="CE145" s="8"/>
      <c r="CF145" s="8"/>
      <c r="CG145" s="8"/>
      <c r="CH145" s="8"/>
      <c r="CI145" s="8"/>
      <c r="CJ145" s="8"/>
      <c r="CK145" s="8"/>
      <c r="CL145" s="8"/>
      <c r="CM145" s="8"/>
      <c r="CN145" s="8"/>
      <c r="CO145" s="8"/>
      <c r="CP145" s="8"/>
      <c r="CQ145" s="8"/>
      <c r="CR145" s="8"/>
      <c r="CS145" s="8"/>
      <c r="CT145" s="8"/>
      <c r="CU145" s="8"/>
      <c r="CV145" s="8"/>
      <c r="CW145" s="8"/>
      <c r="CX145" s="8"/>
      <c r="CY145" s="8"/>
      <c r="CZ145" s="8"/>
    </row>
    <row r="146" spans="1:104" x14ac:dyDescent="0.25">
      <c r="A146" s="2"/>
      <c r="B146" s="2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  <c r="BA146" s="8"/>
      <c r="BB146" s="8"/>
      <c r="BC146" s="8"/>
      <c r="BD146" s="8"/>
      <c r="BE146" s="8"/>
      <c r="BF146" s="8"/>
      <c r="BG146" s="8"/>
      <c r="BH146" s="8"/>
      <c r="BI146" s="8"/>
      <c r="BJ146" s="8"/>
      <c r="BK146" s="8"/>
      <c r="BL146" s="8"/>
      <c r="BM146" s="8"/>
      <c r="BN146" s="8"/>
      <c r="BO146" s="8"/>
      <c r="BP146" s="8"/>
      <c r="BQ146" s="8"/>
      <c r="BR146" s="8"/>
      <c r="BS146" s="8"/>
      <c r="BT146" s="8"/>
      <c r="BU146" s="8"/>
      <c r="BV146" s="8"/>
      <c r="BW146" s="8"/>
      <c r="BX146" s="8"/>
      <c r="BY146" s="8"/>
      <c r="BZ146" s="8"/>
      <c r="CA146" s="8"/>
      <c r="CB146" s="8"/>
      <c r="CC146" s="8"/>
      <c r="CD146" s="8"/>
      <c r="CE146" s="8"/>
      <c r="CF146" s="8"/>
      <c r="CG146" s="8"/>
      <c r="CH146" s="8"/>
      <c r="CI146" s="8"/>
      <c r="CJ146" s="8"/>
      <c r="CK146" s="8"/>
      <c r="CL146" s="8"/>
      <c r="CM146" s="8"/>
      <c r="CN146" s="8"/>
      <c r="CO146" s="8"/>
      <c r="CP146" s="8"/>
      <c r="CQ146" s="8"/>
      <c r="CR146" s="8"/>
      <c r="CS146" s="8"/>
      <c r="CT146" s="8"/>
      <c r="CU146" s="8"/>
      <c r="CV146" s="8"/>
      <c r="CW146" s="8"/>
      <c r="CX146" s="8"/>
      <c r="CY146" s="8"/>
      <c r="CZ146" s="8"/>
    </row>
    <row r="147" spans="1:104" x14ac:dyDescent="0.25">
      <c r="A147" s="2"/>
      <c r="B147" s="2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  <c r="BA147" s="8"/>
      <c r="BB147" s="8"/>
      <c r="BC147" s="8"/>
      <c r="BD147" s="8"/>
      <c r="BE147" s="8"/>
      <c r="BF147" s="8"/>
      <c r="BG147" s="8"/>
      <c r="BH147" s="8"/>
      <c r="BI147" s="8"/>
      <c r="BJ147" s="8"/>
      <c r="BK147" s="8"/>
      <c r="BL147" s="8"/>
      <c r="BM147" s="8"/>
      <c r="BN147" s="8"/>
      <c r="BO147" s="8"/>
      <c r="BP147" s="8"/>
      <c r="BQ147" s="8"/>
      <c r="BR147" s="8"/>
      <c r="BS147" s="8"/>
      <c r="BT147" s="8"/>
      <c r="BU147" s="8"/>
      <c r="BV147" s="8"/>
      <c r="BW147" s="8"/>
      <c r="BX147" s="8"/>
      <c r="BY147" s="8"/>
      <c r="BZ147" s="8"/>
      <c r="CA147" s="8"/>
      <c r="CB147" s="8"/>
      <c r="CC147" s="8"/>
      <c r="CD147" s="8"/>
      <c r="CE147" s="8"/>
      <c r="CF147" s="8"/>
      <c r="CG147" s="8"/>
      <c r="CH147" s="8"/>
      <c r="CI147" s="8"/>
      <c r="CJ147" s="8"/>
      <c r="CK147" s="8"/>
      <c r="CL147" s="8"/>
      <c r="CM147" s="8"/>
      <c r="CN147" s="8"/>
      <c r="CO147" s="8"/>
      <c r="CP147" s="8"/>
      <c r="CQ147" s="8"/>
      <c r="CR147" s="8"/>
      <c r="CS147" s="8"/>
      <c r="CT147" s="8"/>
      <c r="CU147" s="8"/>
      <c r="CV147" s="8"/>
      <c r="CW147" s="8"/>
      <c r="CX147" s="8"/>
      <c r="CY147" s="8"/>
      <c r="CZ147" s="8"/>
    </row>
    <row r="148" spans="1:104" x14ac:dyDescent="0.25">
      <c r="A148" s="2"/>
      <c r="B148" s="2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  <c r="BA148" s="8"/>
      <c r="BB148" s="8"/>
      <c r="BC148" s="8"/>
      <c r="BD148" s="8"/>
      <c r="BE148" s="8"/>
      <c r="BF148" s="8"/>
      <c r="BG148" s="8"/>
      <c r="BH148" s="8"/>
      <c r="BI148" s="8"/>
      <c r="BJ148" s="8"/>
      <c r="BK148" s="8"/>
      <c r="BL148" s="8"/>
      <c r="BM148" s="8"/>
      <c r="BN148" s="8"/>
      <c r="BO148" s="8"/>
      <c r="BP148" s="8"/>
      <c r="BQ148" s="8"/>
      <c r="BR148" s="8"/>
      <c r="BS148" s="8"/>
      <c r="BT148" s="8"/>
      <c r="BU148" s="8"/>
      <c r="BV148" s="8"/>
      <c r="BW148" s="8"/>
      <c r="BX148" s="8"/>
      <c r="BY148" s="8"/>
      <c r="BZ148" s="8"/>
      <c r="CA148" s="8"/>
      <c r="CB148" s="8"/>
      <c r="CC148" s="8"/>
      <c r="CD148" s="8"/>
      <c r="CE148" s="8"/>
      <c r="CF148" s="8"/>
      <c r="CG148" s="8"/>
      <c r="CH148" s="8"/>
      <c r="CI148" s="8"/>
      <c r="CJ148" s="8"/>
      <c r="CK148" s="8"/>
      <c r="CL148" s="8"/>
      <c r="CM148" s="8"/>
      <c r="CN148" s="8"/>
      <c r="CO148" s="8"/>
      <c r="CP148" s="8"/>
      <c r="CQ148" s="8"/>
      <c r="CR148" s="8"/>
      <c r="CS148" s="8"/>
      <c r="CT148" s="8"/>
      <c r="CU148" s="8"/>
      <c r="CV148" s="8"/>
      <c r="CW148" s="8"/>
      <c r="CX148" s="8"/>
      <c r="CY148" s="8"/>
      <c r="CZ148" s="8"/>
    </row>
    <row r="149" spans="1:104" x14ac:dyDescent="0.25">
      <c r="A149" s="2"/>
      <c r="B149" s="2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  <c r="BA149" s="8"/>
      <c r="BB149" s="8"/>
      <c r="BC149" s="8"/>
      <c r="BD149" s="8"/>
      <c r="BE149" s="8"/>
      <c r="BF149" s="8"/>
      <c r="BG149" s="8"/>
      <c r="BH149" s="8"/>
      <c r="BI149" s="8"/>
      <c r="BJ149" s="8"/>
      <c r="BK149" s="8"/>
      <c r="BL149" s="8"/>
      <c r="BM149" s="8"/>
      <c r="BN149" s="8"/>
      <c r="BO149" s="8"/>
      <c r="BP149" s="8"/>
      <c r="BQ149" s="8"/>
      <c r="BR149" s="8"/>
      <c r="BS149" s="8"/>
      <c r="BT149" s="8"/>
      <c r="BU149" s="8"/>
      <c r="BV149" s="8"/>
      <c r="BW149" s="8"/>
      <c r="BX149" s="8"/>
      <c r="BY149" s="8"/>
      <c r="BZ149" s="8"/>
      <c r="CA149" s="8"/>
      <c r="CB149" s="8"/>
      <c r="CC149" s="8"/>
      <c r="CD149" s="8"/>
      <c r="CE149" s="8"/>
      <c r="CF149" s="8"/>
      <c r="CG149" s="8"/>
      <c r="CH149" s="8"/>
      <c r="CI149" s="8"/>
      <c r="CJ149" s="8"/>
      <c r="CK149" s="8"/>
      <c r="CL149" s="8"/>
      <c r="CM149" s="8"/>
      <c r="CN149" s="8"/>
      <c r="CO149" s="8"/>
      <c r="CP149" s="8"/>
      <c r="CQ149" s="8"/>
      <c r="CR149" s="8"/>
      <c r="CS149" s="8"/>
      <c r="CT149" s="8"/>
      <c r="CU149" s="8"/>
      <c r="CV149" s="8"/>
      <c r="CW149" s="8"/>
      <c r="CX149" s="8"/>
      <c r="CY149" s="8"/>
      <c r="CZ149" s="8"/>
    </row>
    <row r="150" spans="1:104" x14ac:dyDescent="0.25">
      <c r="A150" s="2"/>
      <c r="B150" s="2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8"/>
      <c r="BH150" s="8"/>
      <c r="BI150" s="8"/>
      <c r="BJ150" s="8"/>
      <c r="BK150" s="8"/>
      <c r="BL150" s="8"/>
      <c r="BM150" s="8"/>
      <c r="BN150" s="8"/>
      <c r="BO150" s="8"/>
      <c r="BP150" s="8"/>
      <c r="BQ150" s="8"/>
      <c r="BR150" s="8"/>
      <c r="BS150" s="8"/>
      <c r="BT150" s="8"/>
      <c r="BU150" s="8"/>
      <c r="BV150" s="8"/>
      <c r="BW150" s="8"/>
      <c r="BX150" s="8"/>
      <c r="BY150" s="8"/>
      <c r="BZ150" s="8"/>
      <c r="CA150" s="8"/>
      <c r="CB150" s="8"/>
      <c r="CC150" s="8"/>
      <c r="CD150" s="8"/>
      <c r="CE150" s="8"/>
      <c r="CF150" s="8"/>
      <c r="CG150" s="8"/>
      <c r="CH150" s="8"/>
      <c r="CI150" s="8"/>
      <c r="CJ150" s="8"/>
      <c r="CK150" s="8"/>
      <c r="CL150" s="8"/>
      <c r="CM150" s="8"/>
      <c r="CN150" s="8"/>
      <c r="CO150" s="8"/>
      <c r="CP150" s="8"/>
      <c r="CQ150" s="8"/>
      <c r="CR150" s="8"/>
      <c r="CS150" s="8"/>
      <c r="CT150" s="8"/>
      <c r="CU150" s="8"/>
      <c r="CV150" s="8"/>
      <c r="CW150" s="8"/>
      <c r="CX150" s="8"/>
      <c r="CY150" s="8"/>
      <c r="CZ150" s="8"/>
    </row>
    <row r="151" spans="1:104" x14ac:dyDescent="0.25">
      <c r="A151" s="2"/>
      <c r="B151" s="2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  <c r="BA151" s="8"/>
      <c r="BB151" s="8"/>
      <c r="BC151" s="8"/>
      <c r="BD151" s="8"/>
      <c r="BE151" s="8"/>
      <c r="BF151" s="8"/>
      <c r="BG151" s="8"/>
      <c r="BH151" s="8"/>
      <c r="BI151" s="8"/>
      <c r="BJ151" s="8"/>
      <c r="BK151" s="8"/>
      <c r="BL151" s="8"/>
      <c r="BM151" s="8"/>
      <c r="BN151" s="8"/>
      <c r="BO151" s="8"/>
      <c r="BP151" s="8"/>
      <c r="BQ151" s="8"/>
      <c r="BR151" s="8"/>
      <c r="BS151" s="8"/>
      <c r="BT151" s="8"/>
      <c r="BU151" s="8"/>
      <c r="BV151" s="8"/>
      <c r="BW151" s="8"/>
      <c r="BX151" s="8"/>
      <c r="BY151" s="8"/>
      <c r="BZ151" s="8"/>
      <c r="CA151" s="8"/>
      <c r="CB151" s="8"/>
      <c r="CC151" s="8"/>
      <c r="CD151" s="8"/>
      <c r="CE151" s="8"/>
      <c r="CF151" s="8"/>
      <c r="CG151" s="8"/>
      <c r="CH151" s="8"/>
      <c r="CI151" s="8"/>
      <c r="CJ151" s="8"/>
      <c r="CK151" s="8"/>
      <c r="CL151" s="8"/>
      <c r="CM151" s="8"/>
      <c r="CN151" s="8"/>
      <c r="CO151" s="8"/>
      <c r="CP151" s="8"/>
      <c r="CQ151" s="8"/>
      <c r="CR151" s="8"/>
      <c r="CS151" s="8"/>
      <c r="CT151" s="8"/>
      <c r="CU151" s="8"/>
      <c r="CV151" s="8"/>
      <c r="CW151" s="8"/>
      <c r="CX151" s="8"/>
      <c r="CY151" s="8"/>
      <c r="CZ151" s="8"/>
    </row>
    <row r="152" spans="1:104" x14ac:dyDescent="0.25">
      <c r="A152" s="2"/>
      <c r="B152" s="2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  <c r="BA152" s="8"/>
      <c r="BB152" s="8"/>
      <c r="BC152" s="8"/>
      <c r="BD152" s="8"/>
      <c r="BE152" s="8"/>
      <c r="BF152" s="8"/>
      <c r="BG152" s="8"/>
      <c r="BH152" s="8"/>
      <c r="BI152" s="8"/>
      <c r="BJ152" s="8"/>
      <c r="BK152" s="8"/>
      <c r="BL152" s="8"/>
      <c r="BM152" s="8"/>
      <c r="BN152" s="8"/>
      <c r="BO152" s="8"/>
      <c r="BP152" s="8"/>
      <c r="BQ152" s="8"/>
      <c r="BR152" s="8"/>
      <c r="BS152" s="8"/>
      <c r="BT152" s="8"/>
      <c r="BU152" s="8"/>
      <c r="BV152" s="8"/>
      <c r="BW152" s="8"/>
      <c r="BX152" s="8"/>
      <c r="BY152" s="8"/>
      <c r="BZ152" s="8"/>
      <c r="CA152" s="8"/>
      <c r="CB152" s="8"/>
      <c r="CC152" s="8"/>
      <c r="CD152" s="8"/>
      <c r="CE152" s="8"/>
      <c r="CF152" s="8"/>
      <c r="CG152" s="8"/>
      <c r="CH152" s="8"/>
      <c r="CI152" s="8"/>
      <c r="CJ152" s="8"/>
      <c r="CK152" s="8"/>
      <c r="CL152" s="8"/>
      <c r="CM152" s="8"/>
      <c r="CN152" s="8"/>
      <c r="CO152" s="8"/>
      <c r="CP152" s="8"/>
      <c r="CQ152" s="8"/>
      <c r="CR152" s="8"/>
      <c r="CS152" s="8"/>
      <c r="CT152" s="8"/>
      <c r="CU152" s="8"/>
      <c r="CV152" s="8"/>
      <c r="CW152" s="8"/>
      <c r="CX152" s="8"/>
      <c r="CY152" s="8"/>
      <c r="CZ152" s="8"/>
    </row>
    <row r="153" spans="1:104" x14ac:dyDescent="0.25">
      <c r="A153" s="2"/>
      <c r="B153" s="2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  <c r="BA153" s="8"/>
      <c r="BB153" s="8"/>
      <c r="BC153" s="8"/>
      <c r="BD153" s="8"/>
      <c r="BE153" s="8"/>
      <c r="BF153" s="8"/>
      <c r="BG153" s="8"/>
      <c r="BH153" s="8"/>
      <c r="BI153" s="8"/>
      <c r="BJ153" s="8"/>
      <c r="BK153" s="8"/>
      <c r="BL153" s="8"/>
      <c r="BM153" s="8"/>
      <c r="BN153" s="8"/>
      <c r="BO153" s="8"/>
      <c r="BP153" s="8"/>
      <c r="BQ153" s="8"/>
      <c r="BR153" s="8"/>
      <c r="BS153" s="8"/>
      <c r="BT153" s="8"/>
      <c r="BU153" s="8"/>
      <c r="BV153" s="8"/>
      <c r="BW153" s="8"/>
      <c r="BX153" s="8"/>
      <c r="BY153" s="8"/>
      <c r="BZ153" s="8"/>
      <c r="CA153" s="8"/>
      <c r="CB153" s="8"/>
      <c r="CC153" s="8"/>
      <c r="CD153" s="8"/>
      <c r="CE153" s="8"/>
      <c r="CF153" s="8"/>
      <c r="CG153" s="8"/>
      <c r="CH153" s="8"/>
      <c r="CI153" s="8"/>
      <c r="CJ153" s="8"/>
      <c r="CK153" s="8"/>
      <c r="CL153" s="8"/>
      <c r="CM153" s="8"/>
      <c r="CN153" s="8"/>
      <c r="CO153" s="8"/>
      <c r="CP153" s="8"/>
      <c r="CQ153" s="8"/>
      <c r="CR153" s="8"/>
      <c r="CS153" s="8"/>
      <c r="CT153" s="8"/>
      <c r="CU153" s="8"/>
      <c r="CV153" s="8"/>
      <c r="CW153" s="8"/>
      <c r="CX153" s="8"/>
      <c r="CY153" s="8"/>
      <c r="CZ153" s="8"/>
    </row>
    <row r="154" spans="1:104" x14ac:dyDescent="0.25">
      <c r="A154" s="2"/>
      <c r="B154" s="2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  <c r="BA154" s="8"/>
      <c r="BB154" s="8"/>
      <c r="BC154" s="8"/>
      <c r="BD154" s="8"/>
      <c r="BE154" s="8"/>
      <c r="BF154" s="8"/>
      <c r="BG154" s="8"/>
      <c r="BH154" s="8"/>
      <c r="BI154" s="8"/>
      <c r="BJ154" s="8"/>
      <c r="BK154" s="8"/>
      <c r="BL154" s="8"/>
      <c r="BM154" s="8"/>
      <c r="BN154" s="8"/>
      <c r="BO154" s="8"/>
      <c r="BP154" s="8"/>
      <c r="BQ154" s="8"/>
      <c r="BR154" s="8"/>
      <c r="BS154" s="8"/>
      <c r="BT154" s="8"/>
      <c r="BU154" s="8"/>
      <c r="BV154" s="8"/>
      <c r="BW154" s="8"/>
      <c r="BX154" s="8"/>
      <c r="BY154" s="8"/>
      <c r="BZ154" s="8"/>
      <c r="CA154" s="8"/>
      <c r="CB154" s="8"/>
      <c r="CC154" s="8"/>
      <c r="CD154" s="8"/>
      <c r="CE154" s="8"/>
      <c r="CF154" s="8"/>
      <c r="CG154" s="8"/>
      <c r="CH154" s="8"/>
      <c r="CI154" s="8"/>
      <c r="CJ154" s="8"/>
      <c r="CK154" s="8"/>
      <c r="CL154" s="8"/>
      <c r="CM154" s="8"/>
      <c r="CN154" s="8"/>
      <c r="CO154" s="8"/>
      <c r="CP154" s="8"/>
      <c r="CQ154" s="8"/>
      <c r="CR154" s="8"/>
      <c r="CS154" s="8"/>
      <c r="CT154" s="8"/>
      <c r="CU154" s="8"/>
      <c r="CV154" s="8"/>
      <c r="CW154" s="8"/>
      <c r="CX154" s="8"/>
      <c r="CY154" s="8"/>
      <c r="CZ154" s="8"/>
    </row>
    <row r="155" spans="1:104" x14ac:dyDescent="0.25">
      <c r="A155" s="2"/>
      <c r="B155" s="2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  <c r="BA155" s="8"/>
      <c r="BB155" s="8"/>
      <c r="BC155" s="8"/>
      <c r="BD155" s="8"/>
      <c r="BE155" s="8"/>
      <c r="BF155" s="8"/>
      <c r="BG155" s="8"/>
      <c r="BH155" s="8"/>
      <c r="BI155" s="8"/>
      <c r="BJ155" s="8"/>
      <c r="BK155" s="8"/>
      <c r="BL155" s="8"/>
      <c r="BM155" s="8"/>
      <c r="BN155" s="8"/>
      <c r="BO155" s="8"/>
      <c r="BP155" s="8"/>
      <c r="BQ155" s="8"/>
      <c r="BR155" s="8"/>
      <c r="BS155" s="8"/>
      <c r="BT155" s="8"/>
      <c r="BU155" s="8"/>
      <c r="BV155" s="8"/>
      <c r="BW155" s="8"/>
      <c r="BX155" s="8"/>
      <c r="BY155" s="8"/>
      <c r="BZ155" s="8"/>
      <c r="CA155" s="8"/>
      <c r="CB155" s="8"/>
      <c r="CC155" s="8"/>
      <c r="CD155" s="8"/>
      <c r="CE155" s="8"/>
      <c r="CF155" s="8"/>
      <c r="CG155" s="8"/>
      <c r="CH155" s="8"/>
      <c r="CI155" s="8"/>
      <c r="CJ155" s="8"/>
      <c r="CK155" s="8"/>
      <c r="CL155" s="8"/>
      <c r="CM155" s="8"/>
      <c r="CN155" s="8"/>
      <c r="CO155" s="8"/>
      <c r="CP155" s="8"/>
      <c r="CQ155" s="8"/>
      <c r="CR155" s="8"/>
      <c r="CS155" s="8"/>
      <c r="CT155" s="8"/>
      <c r="CU155" s="8"/>
      <c r="CV155" s="8"/>
      <c r="CW155" s="8"/>
      <c r="CX155" s="8"/>
      <c r="CY155" s="8"/>
      <c r="CZ155" s="8"/>
    </row>
    <row r="156" spans="1:104" x14ac:dyDescent="0.25">
      <c r="A156" s="2"/>
      <c r="B156" s="2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  <c r="BA156" s="8"/>
      <c r="BB156" s="8"/>
      <c r="BC156" s="8"/>
      <c r="BD156" s="8"/>
      <c r="BE156" s="8"/>
      <c r="BF156" s="8"/>
      <c r="BG156" s="8"/>
      <c r="BH156" s="8"/>
      <c r="BI156" s="8"/>
      <c r="BJ156" s="8"/>
      <c r="BK156" s="8"/>
      <c r="BL156" s="8"/>
      <c r="BM156" s="8"/>
      <c r="BN156" s="8"/>
      <c r="BO156" s="8"/>
      <c r="BP156" s="8"/>
      <c r="BQ156" s="8"/>
      <c r="BR156" s="8"/>
      <c r="BS156" s="8"/>
      <c r="BT156" s="8"/>
      <c r="BU156" s="8"/>
      <c r="BV156" s="8"/>
      <c r="BW156" s="8"/>
      <c r="BX156" s="8"/>
      <c r="BY156" s="8"/>
      <c r="BZ156" s="8"/>
      <c r="CA156" s="8"/>
      <c r="CB156" s="8"/>
      <c r="CC156" s="8"/>
      <c r="CD156" s="8"/>
      <c r="CE156" s="8"/>
      <c r="CF156" s="8"/>
      <c r="CG156" s="8"/>
      <c r="CH156" s="8"/>
      <c r="CI156" s="8"/>
      <c r="CJ156" s="8"/>
      <c r="CK156" s="8"/>
      <c r="CL156" s="8"/>
      <c r="CM156" s="8"/>
      <c r="CN156" s="8"/>
      <c r="CO156" s="8"/>
      <c r="CP156" s="8"/>
      <c r="CQ156" s="8"/>
      <c r="CR156" s="8"/>
      <c r="CS156" s="8"/>
      <c r="CT156" s="8"/>
      <c r="CU156" s="8"/>
      <c r="CV156" s="8"/>
      <c r="CW156" s="8"/>
      <c r="CX156" s="8"/>
      <c r="CY156" s="8"/>
      <c r="CZ156" s="8"/>
    </row>
    <row r="157" spans="1:104" x14ac:dyDescent="0.25">
      <c r="A157" s="2"/>
      <c r="B157" s="2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  <c r="BA157" s="8"/>
      <c r="BB157" s="8"/>
      <c r="BC157" s="8"/>
      <c r="BD157" s="8"/>
      <c r="BE157" s="8"/>
      <c r="BF157" s="8"/>
      <c r="BG157" s="8"/>
      <c r="BH157" s="8"/>
      <c r="BI157" s="8"/>
      <c r="BJ157" s="8"/>
      <c r="BK157" s="8"/>
      <c r="BL157" s="8"/>
      <c r="BM157" s="8"/>
      <c r="BN157" s="8"/>
      <c r="BO157" s="8"/>
      <c r="BP157" s="8"/>
      <c r="BQ157" s="8"/>
      <c r="BR157" s="8"/>
      <c r="BS157" s="8"/>
      <c r="BT157" s="8"/>
      <c r="BU157" s="8"/>
      <c r="BV157" s="8"/>
      <c r="BW157" s="8"/>
      <c r="BX157" s="8"/>
      <c r="BY157" s="8"/>
      <c r="BZ157" s="8"/>
      <c r="CA157" s="8"/>
      <c r="CB157" s="8"/>
      <c r="CC157" s="8"/>
      <c r="CD157" s="8"/>
      <c r="CE157" s="8"/>
      <c r="CF157" s="8"/>
      <c r="CG157" s="8"/>
      <c r="CH157" s="8"/>
      <c r="CI157" s="8"/>
      <c r="CJ157" s="8"/>
      <c r="CK157" s="8"/>
      <c r="CL157" s="8"/>
      <c r="CM157" s="8"/>
      <c r="CN157" s="8"/>
      <c r="CO157" s="8"/>
      <c r="CP157" s="8"/>
      <c r="CQ157" s="8"/>
      <c r="CR157" s="8"/>
      <c r="CS157" s="8"/>
      <c r="CT157" s="8"/>
      <c r="CU157" s="8"/>
      <c r="CV157" s="8"/>
      <c r="CW157" s="8"/>
      <c r="CX157" s="8"/>
      <c r="CY157" s="8"/>
      <c r="CZ157" s="8"/>
    </row>
    <row r="158" spans="1:104" x14ac:dyDescent="0.25">
      <c r="A158" s="2"/>
      <c r="B158" s="2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  <c r="BA158" s="8"/>
      <c r="BB158" s="8"/>
      <c r="BC158" s="8"/>
      <c r="BD158" s="8"/>
      <c r="BE158" s="8"/>
      <c r="BF158" s="8"/>
      <c r="BG158" s="8"/>
      <c r="BH158" s="8"/>
      <c r="BI158" s="8"/>
      <c r="BJ158" s="8"/>
      <c r="BK158" s="8"/>
      <c r="BL158" s="8"/>
      <c r="BM158" s="8"/>
      <c r="BN158" s="8"/>
      <c r="BO158" s="8"/>
      <c r="BP158" s="8"/>
      <c r="BQ158" s="8"/>
      <c r="BR158" s="8"/>
      <c r="BS158" s="8"/>
      <c r="BT158" s="8"/>
      <c r="BU158" s="8"/>
      <c r="BV158" s="8"/>
      <c r="BW158" s="8"/>
      <c r="BX158" s="8"/>
      <c r="BY158" s="8"/>
      <c r="BZ158" s="8"/>
      <c r="CA158" s="8"/>
      <c r="CB158" s="8"/>
      <c r="CC158" s="8"/>
      <c r="CD158" s="8"/>
      <c r="CE158" s="8"/>
      <c r="CF158" s="8"/>
      <c r="CG158" s="8"/>
      <c r="CH158" s="8"/>
      <c r="CI158" s="8"/>
      <c r="CJ158" s="8"/>
      <c r="CK158" s="8"/>
      <c r="CL158" s="8"/>
      <c r="CM158" s="8"/>
      <c r="CN158" s="8"/>
      <c r="CO158" s="8"/>
      <c r="CP158" s="8"/>
      <c r="CQ158" s="8"/>
      <c r="CR158" s="8"/>
      <c r="CS158" s="8"/>
      <c r="CT158" s="8"/>
      <c r="CU158" s="8"/>
      <c r="CV158" s="8"/>
      <c r="CW158" s="8"/>
      <c r="CX158" s="8"/>
      <c r="CY158" s="8"/>
      <c r="CZ158" s="8"/>
    </row>
    <row r="159" spans="1:104" x14ac:dyDescent="0.25">
      <c r="A159" s="2"/>
      <c r="B159" s="2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  <c r="BA159" s="8"/>
      <c r="BB159" s="8"/>
      <c r="BC159" s="8"/>
      <c r="BD159" s="8"/>
      <c r="BE159" s="8"/>
      <c r="BF159" s="8"/>
      <c r="BG159" s="8"/>
      <c r="BH159" s="8"/>
      <c r="BI159" s="8"/>
      <c r="BJ159" s="8"/>
      <c r="BK159" s="8"/>
      <c r="BL159" s="8"/>
      <c r="BM159" s="8"/>
      <c r="BN159" s="8"/>
      <c r="BO159" s="8"/>
      <c r="BP159" s="8"/>
      <c r="BQ159" s="8"/>
      <c r="BR159" s="8"/>
      <c r="BS159" s="8"/>
      <c r="BT159" s="8"/>
      <c r="BU159" s="8"/>
      <c r="BV159" s="8"/>
      <c r="BW159" s="8"/>
      <c r="BX159" s="8"/>
      <c r="BY159" s="8"/>
      <c r="BZ159" s="8"/>
      <c r="CA159" s="8"/>
      <c r="CB159" s="8"/>
      <c r="CC159" s="8"/>
      <c r="CD159" s="8"/>
      <c r="CE159" s="8"/>
      <c r="CF159" s="8"/>
      <c r="CG159" s="8"/>
      <c r="CH159" s="8"/>
      <c r="CI159" s="8"/>
      <c r="CJ159" s="8"/>
      <c r="CK159" s="8"/>
      <c r="CL159" s="8"/>
      <c r="CM159" s="8"/>
      <c r="CN159" s="8"/>
      <c r="CO159" s="8"/>
      <c r="CP159" s="8"/>
      <c r="CQ159" s="8"/>
      <c r="CR159" s="8"/>
      <c r="CS159" s="8"/>
      <c r="CT159" s="8"/>
      <c r="CU159" s="8"/>
      <c r="CV159" s="8"/>
      <c r="CW159" s="8"/>
      <c r="CX159" s="8"/>
      <c r="CY159" s="8"/>
      <c r="CZ159" s="8"/>
    </row>
    <row r="160" spans="1:104" x14ac:dyDescent="0.25">
      <c r="A160" s="2"/>
      <c r="B160" s="2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  <c r="BA160" s="8"/>
      <c r="BB160" s="8"/>
      <c r="BC160" s="8"/>
      <c r="BD160" s="8"/>
      <c r="BE160" s="8"/>
      <c r="BF160" s="8"/>
      <c r="BG160" s="8"/>
      <c r="BH160" s="8"/>
      <c r="BI160" s="8"/>
      <c r="BJ160" s="8"/>
      <c r="BK160" s="8"/>
      <c r="BL160" s="8"/>
      <c r="BM160" s="8"/>
      <c r="BN160" s="8"/>
      <c r="BO160" s="8"/>
      <c r="BP160" s="8"/>
      <c r="BQ160" s="8"/>
      <c r="BR160" s="8"/>
      <c r="BS160" s="8"/>
      <c r="BT160" s="8"/>
      <c r="BU160" s="8"/>
      <c r="BV160" s="8"/>
      <c r="BW160" s="8"/>
      <c r="BX160" s="8"/>
      <c r="BY160" s="8"/>
      <c r="BZ160" s="8"/>
      <c r="CA160" s="8"/>
      <c r="CB160" s="8"/>
      <c r="CC160" s="8"/>
      <c r="CD160" s="8"/>
      <c r="CE160" s="8"/>
      <c r="CF160" s="8"/>
      <c r="CG160" s="8"/>
      <c r="CH160" s="8"/>
      <c r="CI160" s="8"/>
      <c r="CJ160" s="8"/>
      <c r="CK160" s="8"/>
      <c r="CL160" s="8"/>
      <c r="CM160" s="8"/>
      <c r="CN160" s="8"/>
      <c r="CO160" s="8"/>
      <c r="CP160" s="8"/>
      <c r="CQ160" s="8"/>
      <c r="CR160" s="8"/>
      <c r="CS160" s="8"/>
      <c r="CT160" s="8"/>
      <c r="CU160" s="8"/>
      <c r="CV160" s="8"/>
      <c r="CW160" s="8"/>
      <c r="CX160" s="8"/>
      <c r="CY160" s="8"/>
      <c r="CZ160" s="8"/>
    </row>
    <row r="161" spans="1:104" x14ac:dyDescent="0.25">
      <c r="A161" s="2"/>
      <c r="B161" s="2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  <c r="BA161" s="8"/>
      <c r="BB161" s="8"/>
      <c r="BC161" s="8"/>
      <c r="BD161" s="8"/>
      <c r="BE161" s="8"/>
      <c r="BF161" s="8"/>
      <c r="BG161" s="8"/>
      <c r="BH161" s="8"/>
      <c r="BI161" s="8"/>
      <c r="BJ161" s="8"/>
      <c r="BK161" s="8"/>
      <c r="BL161" s="8"/>
      <c r="BM161" s="8"/>
      <c r="BN161" s="8"/>
      <c r="BO161" s="8"/>
      <c r="BP161" s="8"/>
      <c r="BQ161" s="8"/>
      <c r="BR161" s="8"/>
      <c r="BS161" s="8"/>
      <c r="BT161" s="8"/>
      <c r="BU161" s="8"/>
      <c r="BV161" s="8"/>
      <c r="BW161" s="8"/>
      <c r="BX161" s="8"/>
      <c r="BY161" s="8"/>
      <c r="BZ161" s="8"/>
      <c r="CA161" s="8"/>
      <c r="CB161" s="8"/>
      <c r="CC161" s="8"/>
      <c r="CD161" s="8"/>
      <c r="CE161" s="8"/>
      <c r="CF161" s="8"/>
      <c r="CG161" s="8"/>
      <c r="CH161" s="8"/>
      <c r="CI161" s="8"/>
      <c r="CJ161" s="8"/>
      <c r="CK161" s="8"/>
      <c r="CL161" s="8"/>
      <c r="CM161" s="8"/>
      <c r="CN161" s="8"/>
      <c r="CO161" s="8"/>
      <c r="CP161" s="8"/>
      <c r="CQ161" s="8"/>
      <c r="CR161" s="8"/>
      <c r="CS161" s="8"/>
      <c r="CT161" s="8"/>
      <c r="CU161" s="8"/>
      <c r="CV161" s="8"/>
      <c r="CW161" s="8"/>
      <c r="CX161" s="8"/>
      <c r="CY161" s="8"/>
      <c r="CZ161" s="8"/>
    </row>
    <row r="162" spans="1:104" x14ac:dyDescent="0.25">
      <c r="A162" s="2"/>
      <c r="B162" s="2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  <c r="BA162" s="8"/>
      <c r="BB162" s="8"/>
      <c r="BC162" s="8"/>
      <c r="BD162" s="8"/>
      <c r="BE162" s="8"/>
      <c r="BF162" s="8"/>
      <c r="BG162" s="8"/>
      <c r="BH162" s="8"/>
      <c r="BI162" s="8"/>
      <c r="BJ162" s="8"/>
      <c r="BK162" s="8"/>
      <c r="BL162" s="8"/>
      <c r="BM162" s="8"/>
      <c r="BN162" s="8"/>
      <c r="BO162" s="8"/>
      <c r="BP162" s="8"/>
      <c r="BQ162" s="8"/>
      <c r="BR162" s="8"/>
      <c r="BS162" s="8"/>
      <c r="BT162" s="8"/>
      <c r="BU162" s="8"/>
      <c r="BV162" s="8"/>
      <c r="BW162" s="8"/>
      <c r="BX162" s="8"/>
      <c r="BY162" s="8"/>
      <c r="BZ162" s="8"/>
      <c r="CA162" s="8"/>
      <c r="CB162" s="8"/>
      <c r="CC162" s="8"/>
      <c r="CD162" s="8"/>
      <c r="CE162" s="8"/>
      <c r="CF162" s="8"/>
      <c r="CG162" s="8"/>
      <c r="CH162" s="8"/>
      <c r="CI162" s="8"/>
      <c r="CJ162" s="8"/>
      <c r="CK162" s="8"/>
      <c r="CL162" s="8"/>
      <c r="CM162" s="8"/>
      <c r="CN162" s="8"/>
      <c r="CO162" s="8"/>
      <c r="CP162" s="8"/>
      <c r="CQ162" s="8"/>
      <c r="CR162" s="8"/>
      <c r="CS162" s="8"/>
      <c r="CT162" s="8"/>
      <c r="CU162" s="8"/>
      <c r="CV162" s="8"/>
      <c r="CW162" s="8"/>
      <c r="CX162" s="8"/>
      <c r="CY162" s="8"/>
      <c r="CZ162" s="8"/>
    </row>
    <row r="163" spans="1:104" x14ac:dyDescent="0.25">
      <c r="A163" s="2"/>
      <c r="B163" s="2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  <c r="BA163" s="8"/>
      <c r="BB163" s="8"/>
      <c r="BC163" s="8"/>
      <c r="BD163" s="8"/>
      <c r="BE163" s="8"/>
      <c r="BF163" s="8"/>
      <c r="BG163" s="8"/>
      <c r="BH163" s="8"/>
      <c r="BI163" s="8"/>
      <c r="BJ163" s="8"/>
      <c r="BK163" s="8"/>
      <c r="BL163" s="8"/>
      <c r="BM163" s="8"/>
      <c r="BN163" s="8"/>
      <c r="BO163" s="8"/>
      <c r="BP163" s="8"/>
      <c r="BQ163" s="8"/>
      <c r="BR163" s="8"/>
      <c r="BS163" s="8"/>
      <c r="BT163" s="8"/>
      <c r="BU163" s="8"/>
      <c r="BV163" s="8"/>
      <c r="BW163" s="8"/>
      <c r="BX163" s="8"/>
      <c r="BY163" s="8"/>
      <c r="BZ163" s="8"/>
      <c r="CA163" s="8"/>
      <c r="CB163" s="8"/>
      <c r="CC163" s="8"/>
      <c r="CD163" s="8"/>
      <c r="CE163" s="8"/>
      <c r="CF163" s="8"/>
      <c r="CG163" s="8"/>
      <c r="CH163" s="8"/>
      <c r="CI163" s="8"/>
      <c r="CJ163" s="8"/>
      <c r="CK163" s="8"/>
      <c r="CL163" s="8"/>
      <c r="CM163" s="8"/>
      <c r="CN163" s="8"/>
      <c r="CO163" s="8"/>
      <c r="CP163" s="8"/>
      <c r="CQ163" s="8"/>
      <c r="CR163" s="8"/>
      <c r="CS163" s="8"/>
      <c r="CT163" s="8"/>
      <c r="CU163" s="8"/>
      <c r="CV163" s="8"/>
      <c r="CW163" s="8"/>
      <c r="CX163" s="8"/>
      <c r="CY163" s="8"/>
      <c r="CZ163" s="8"/>
    </row>
    <row r="164" spans="1:104" x14ac:dyDescent="0.25">
      <c r="A164" s="2"/>
      <c r="B164" s="2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  <c r="BA164" s="8"/>
      <c r="BB164" s="8"/>
      <c r="BC164" s="8"/>
      <c r="BD164" s="8"/>
      <c r="BE164" s="8"/>
      <c r="BF164" s="8"/>
      <c r="BG164" s="8"/>
      <c r="BH164" s="8"/>
      <c r="BI164" s="8"/>
      <c r="BJ164" s="8"/>
      <c r="BK164" s="8"/>
      <c r="BL164" s="8"/>
      <c r="BM164" s="8"/>
      <c r="BN164" s="8"/>
      <c r="BO164" s="8"/>
      <c r="BP164" s="8"/>
      <c r="BQ164" s="8"/>
      <c r="BR164" s="8"/>
      <c r="BS164" s="8"/>
      <c r="BT164" s="8"/>
      <c r="BU164" s="8"/>
      <c r="BV164" s="8"/>
      <c r="BW164" s="8"/>
      <c r="BX164" s="8"/>
      <c r="BY164" s="8"/>
      <c r="BZ164" s="8"/>
      <c r="CA164" s="8"/>
      <c r="CB164" s="8"/>
      <c r="CC164" s="8"/>
      <c r="CD164" s="8"/>
      <c r="CE164" s="8"/>
      <c r="CF164" s="8"/>
      <c r="CG164" s="8"/>
      <c r="CH164" s="8"/>
      <c r="CI164" s="8"/>
      <c r="CJ164" s="8"/>
      <c r="CK164" s="8"/>
      <c r="CL164" s="8"/>
      <c r="CM164" s="8"/>
      <c r="CN164" s="8"/>
      <c r="CO164" s="8"/>
      <c r="CP164" s="8"/>
      <c r="CQ164" s="8"/>
      <c r="CR164" s="8"/>
      <c r="CS164" s="8"/>
      <c r="CT164" s="8"/>
      <c r="CU164" s="8"/>
      <c r="CV164" s="8"/>
      <c r="CW164" s="8"/>
      <c r="CX164" s="8"/>
      <c r="CY164" s="8"/>
      <c r="CZ164" s="8"/>
    </row>
    <row r="165" spans="1:104" x14ac:dyDescent="0.25">
      <c r="A165" s="2"/>
      <c r="B165" s="2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  <c r="BA165" s="8"/>
      <c r="BB165" s="8"/>
      <c r="BC165" s="8"/>
      <c r="BD165" s="8"/>
      <c r="BE165" s="8"/>
      <c r="BF165" s="8"/>
      <c r="BG165" s="8"/>
      <c r="BH165" s="8"/>
      <c r="BI165" s="8"/>
      <c r="BJ165" s="8"/>
      <c r="BK165" s="8"/>
      <c r="BL165" s="8"/>
      <c r="BM165" s="8"/>
      <c r="BN165" s="8"/>
      <c r="BO165" s="8"/>
      <c r="BP165" s="8"/>
      <c r="BQ165" s="8"/>
      <c r="BR165" s="8"/>
      <c r="BS165" s="8"/>
      <c r="BT165" s="8"/>
      <c r="BU165" s="8"/>
      <c r="BV165" s="8"/>
      <c r="BW165" s="8"/>
      <c r="BX165" s="8"/>
      <c r="BY165" s="8"/>
      <c r="BZ165" s="8"/>
      <c r="CA165" s="8"/>
      <c r="CB165" s="8"/>
      <c r="CC165" s="8"/>
      <c r="CD165" s="8"/>
      <c r="CE165" s="8"/>
      <c r="CF165" s="8"/>
      <c r="CG165" s="8"/>
      <c r="CH165" s="8"/>
      <c r="CI165" s="8"/>
      <c r="CJ165" s="8"/>
      <c r="CK165" s="8"/>
      <c r="CL165" s="8"/>
      <c r="CM165" s="8"/>
      <c r="CN165" s="8"/>
      <c r="CO165" s="8"/>
      <c r="CP165" s="8"/>
      <c r="CQ165" s="8"/>
      <c r="CR165" s="8"/>
      <c r="CS165" s="8"/>
      <c r="CT165" s="8"/>
      <c r="CU165" s="8"/>
      <c r="CV165" s="8"/>
      <c r="CW165" s="8"/>
      <c r="CX165" s="8"/>
      <c r="CY165" s="8"/>
      <c r="CZ165" s="8"/>
    </row>
    <row r="166" spans="1:104" x14ac:dyDescent="0.25">
      <c r="A166" s="2"/>
      <c r="B166" s="2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  <c r="BA166" s="8"/>
      <c r="BB166" s="8"/>
      <c r="BC166" s="8"/>
      <c r="BD166" s="8"/>
      <c r="BE166" s="8"/>
      <c r="BF166" s="8"/>
      <c r="BG166" s="8"/>
      <c r="BH166" s="8"/>
      <c r="BI166" s="8"/>
      <c r="BJ166" s="8"/>
      <c r="BK166" s="8"/>
      <c r="BL166" s="8"/>
      <c r="BM166" s="8"/>
      <c r="BN166" s="8"/>
      <c r="BO166" s="8"/>
      <c r="BP166" s="8"/>
      <c r="BQ166" s="8"/>
      <c r="BR166" s="8"/>
      <c r="BS166" s="8"/>
      <c r="BT166" s="8"/>
      <c r="BU166" s="8"/>
      <c r="BV166" s="8"/>
      <c r="BW166" s="8"/>
      <c r="BX166" s="8"/>
      <c r="BY166" s="8"/>
      <c r="BZ166" s="8"/>
      <c r="CA166" s="8"/>
      <c r="CB166" s="8"/>
      <c r="CC166" s="8"/>
      <c r="CD166" s="8"/>
      <c r="CE166" s="8"/>
      <c r="CF166" s="8"/>
      <c r="CG166" s="8"/>
      <c r="CH166" s="8"/>
      <c r="CI166" s="8"/>
      <c r="CJ166" s="8"/>
      <c r="CK166" s="8"/>
      <c r="CL166" s="8"/>
      <c r="CM166" s="8"/>
      <c r="CN166" s="8"/>
      <c r="CO166" s="8"/>
      <c r="CP166" s="8"/>
      <c r="CQ166" s="8"/>
      <c r="CR166" s="8"/>
      <c r="CS166" s="8"/>
      <c r="CT166" s="8"/>
      <c r="CU166" s="8"/>
      <c r="CV166" s="8"/>
      <c r="CW166" s="8"/>
      <c r="CX166" s="8"/>
      <c r="CY166" s="8"/>
      <c r="CZ166" s="8"/>
    </row>
    <row r="167" spans="1:104" x14ac:dyDescent="0.25">
      <c r="A167" s="2"/>
      <c r="B167" s="2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  <c r="BA167" s="8"/>
      <c r="BB167" s="8"/>
      <c r="BC167" s="8"/>
      <c r="BD167" s="8"/>
      <c r="BE167" s="8"/>
      <c r="BF167" s="8"/>
      <c r="BG167" s="8"/>
      <c r="BH167" s="8"/>
      <c r="BI167" s="8"/>
      <c r="BJ167" s="8"/>
      <c r="BK167" s="8"/>
      <c r="BL167" s="8"/>
      <c r="BM167" s="8"/>
      <c r="BN167" s="8"/>
      <c r="BO167" s="8"/>
      <c r="BP167" s="8"/>
      <c r="BQ167" s="8"/>
      <c r="BR167" s="8"/>
      <c r="BS167" s="8"/>
      <c r="BT167" s="8"/>
      <c r="BU167" s="8"/>
      <c r="BV167" s="8"/>
      <c r="BW167" s="8"/>
      <c r="BX167" s="8"/>
      <c r="BY167" s="8"/>
      <c r="BZ167" s="8"/>
      <c r="CA167" s="8"/>
      <c r="CB167" s="8"/>
      <c r="CC167" s="8"/>
      <c r="CD167" s="8"/>
      <c r="CE167" s="8"/>
      <c r="CF167" s="8"/>
      <c r="CG167" s="8"/>
      <c r="CH167" s="8"/>
      <c r="CI167" s="8"/>
      <c r="CJ167" s="8"/>
      <c r="CK167" s="8"/>
      <c r="CL167" s="8"/>
      <c r="CM167" s="8"/>
      <c r="CN167" s="8"/>
      <c r="CO167" s="8"/>
      <c r="CP167" s="8"/>
      <c r="CQ167" s="8"/>
      <c r="CR167" s="8"/>
      <c r="CS167" s="8"/>
      <c r="CT167" s="8"/>
      <c r="CU167" s="8"/>
      <c r="CV167" s="8"/>
      <c r="CW167" s="8"/>
      <c r="CX167" s="8"/>
      <c r="CY167" s="8"/>
      <c r="CZ167" s="8"/>
    </row>
    <row r="168" spans="1:104" x14ac:dyDescent="0.25">
      <c r="A168" s="2"/>
      <c r="B168" s="2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8"/>
      <c r="BA168" s="8"/>
      <c r="BB168" s="8"/>
      <c r="BC168" s="8"/>
      <c r="BD168" s="8"/>
      <c r="BE168" s="8"/>
      <c r="BF168" s="8"/>
      <c r="BG168" s="8"/>
      <c r="BH168" s="8"/>
      <c r="BI168" s="8"/>
      <c r="BJ168" s="8"/>
      <c r="BK168" s="8"/>
      <c r="BL168" s="8"/>
      <c r="BM168" s="8"/>
      <c r="BN168" s="8"/>
      <c r="BO168" s="8"/>
      <c r="BP168" s="8"/>
      <c r="BQ168" s="8"/>
      <c r="BR168" s="8"/>
      <c r="BS168" s="8"/>
      <c r="BT168" s="8"/>
      <c r="BU168" s="8"/>
      <c r="BV168" s="8"/>
      <c r="BW168" s="8"/>
      <c r="BX168" s="8"/>
      <c r="BY168" s="8"/>
      <c r="BZ168" s="8"/>
      <c r="CA168" s="8"/>
      <c r="CB168" s="8"/>
      <c r="CC168" s="8"/>
      <c r="CD168" s="8"/>
      <c r="CE168" s="8"/>
      <c r="CF168" s="8"/>
      <c r="CG168" s="8"/>
      <c r="CH168" s="8"/>
      <c r="CI168" s="8"/>
      <c r="CJ168" s="8"/>
      <c r="CK168" s="8"/>
      <c r="CL168" s="8"/>
      <c r="CM168" s="8"/>
      <c r="CN168" s="8"/>
      <c r="CO168" s="8"/>
      <c r="CP168" s="8"/>
      <c r="CQ168" s="8"/>
      <c r="CR168" s="8"/>
      <c r="CS168" s="8"/>
      <c r="CT168" s="8"/>
      <c r="CU168" s="8"/>
      <c r="CV168" s="8"/>
      <c r="CW168" s="8"/>
      <c r="CX168" s="8"/>
      <c r="CY168" s="8"/>
      <c r="CZ168" s="8"/>
    </row>
    <row r="169" spans="1:104" x14ac:dyDescent="0.25">
      <c r="A169" s="2"/>
      <c r="B169" s="2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8"/>
      <c r="BA169" s="8"/>
      <c r="BB169" s="8"/>
      <c r="BC169" s="8"/>
      <c r="BD169" s="8"/>
      <c r="BE169" s="8"/>
      <c r="BF169" s="8"/>
      <c r="BG169" s="8"/>
      <c r="BH169" s="8"/>
      <c r="BI169" s="8"/>
      <c r="BJ169" s="8"/>
      <c r="BK169" s="8"/>
      <c r="BL169" s="8"/>
      <c r="BM169" s="8"/>
      <c r="BN169" s="8"/>
      <c r="BO169" s="8"/>
      <c r="BP169" s="8"/>
      <c r="BQ169" s="8"/>
      <c r="BR169" s="8"/>
      <c r="BS169" s="8"/>
      <c r="BT169" s="8"/>
      <c r="BU169" s="8"/>
      <c r="BV169" s="8"/>
      <c r="BW169" s="8"/>
      <c r="BX169" s="8"/>
      <c r="BY169" s="8"/>
      <c r="BZ169" s="8"/>
      <c r="CA169" s="8"/>
      <c r="CB169" s="8"/>
      <c r="CC169" s="8"/>
      <c r="CD169" s="8"/>
      <c r="CE169" s="8"/>
      <c r="CF169" s="8"/>
      <c r="CG169" s="8"/>
      <c r="CH169" s="8"/>
      <c r="CI169" s="8"/>
      <c r="CJ169" s="8"/>
      <c r="CK169" s="8"/>
      <c r="CL169" s="8"/>
      <c r="CM169" s="8"/>
      <c r="CN169" s="8"/>
      <c r="CO169" s="8"/>
      <c r="CP169" s="8"/>
      <c r="CQ169" s="8"/>
      <c r="CR169" s="8"/>
      <c r="CS169" s="8"/>
      <c r="CT169" s="8"/>
      <c r="CU169" s="8"/>
      <c r="CV169" s="8"/>
      <c r="CW169" s="8"/>
      <c r="CX169" s="8"/>
      <c r="CY169" s="8"/>
      <c r="CZ169" s="8"/>
    </row>
    <row r="170" spans="1:104" x14ac:dyDescent="0.25">
      <c r="A170" s="2"/>
      <c r="B170" s="2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  <c r="BA170" s="8"/>
      <c r="BB170" s="8"/>
      <c r="BC170" s="8"/>
      <c r="BD170" s="8"/>
      <c r="BE170" s="8"/>
      <c r="BF170" s="8"/>
      <c r="BG170" s="8"/>
      <c r="BH170" s="8"/>
      <c r="BI170" s="8"/>
      <c r="BJ170" s="8"/>
      <c r="BK170" s="8"/>
      <c r="BL170" s="8"/>
      <c r="BM170" s="8"/>
      <c r="BN170" s="8"/>
      <c r="BO170" s="8"/>
      <c r="BP170" s="8"/>
      <c r="BQ170" s="8"/>
      <c r="BR170" s="8"/>
      <c r="BS170" s="8"/>
      <c r="BT170" s="8"/>
      <c r="BU170" s="8"/>
      <c r="BV170" s="8"/>
      <c r="BW170" s="8"/>
      <c r="BX170" s="8"/>
      <c r="BY170" s="8"/>
      <c r="BZ170" s="8"/>
      <c r="CA170" s="8"/>
      <c r="CB170" s="8"/>
      <c r="CC170" s="8"/>
      <c r="CD170" s="8"/>
      <c r="CE170" s="8"/>
      <c r="CF170" s="8"/>
      <c r="CG170" s="8"/>
      <c r="CH170" s="8"/>
      <c r="CI170" s="8"/>
      <c r="CJ170" s="8"/>
      <c r="CK170" s="8"/>
      <c r="CL170" s="8"/>
      <c r="CM170" s="8"/>
      <c r="CN170" s="8"/>
      <c r="CO170" s="8"/>
      <c r="CP170" s="8"/>
      <c r="CQ170" s="8"/>
      <c r="CR170" s="8"/>
      <c r="CS170" s="8"/>
      <c r="CT170" s="8"/>
      <c r="CU170" s="8"/>
      <c r="CV170" s="8"/>
      <c r="CW170" s="8"/>
      <c r="CX170" s="8"/>
      <c r="CY170" s="8"/>
      <c r="CZ170" s="8"/>
    </row>
    <row r="171" spans="1:104" x14ac:dyDescent="0.25">
      <c r="A171" s="2"/>
      <c r="B171" s="2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  <c r="BA171" s="8"/>
      <c r="BB171" s="8"/>
      <c r="BC171" s="8"/>
      <c r="BD171" s="8"/>
      <c r="BE171" s="8"/>
      <c r="BF171" s="8"/>
      <c r="BG171" s="8"/>
      <c r="BH171" s="8"/>
      <c r="BI171" s="8"/>
      <c r="BJ171" s="8"/>
      <c r="BK171" s="8"/>
      <c r="BL171" s="8"/>
      <c r="BM171" s="8"/>
      <c r="BN171" s="8"/>
      <c r="BO171" s="8"/>
      <c r="BP171" s="8"/>
      <c r="BQ171" s="8"/>
      <c r="BR171" s="8"/>
      <c r="BS171" s="8"/>
      <c r="BT171" s="8"/>
      <c r="BU171" s="8"/>
      <c r="BV171" s="8"/>
      <c r="BW171" s="8"/>
      <c r="BX171" s="8"/>
      <c r="BY171" s="8"/>
      <c r="BZ171" s="8"/>
      <c r="CA171" s="8"/>
      <c r="CB171" s="8"/>
      <c r="CC171" s="8"/>
      <c r="CD171" s="8"/>
      <c r="CE171" s="8"/>
      <c r="CF171" s="8"/>
      <c r="CG171" s="8"/>
      <c r="CH171" s="8"/>
      <c r="CI171" s="8"/>
      <c r="CJ171" s="8"/>
      <c r="CK171" s="8"/>
      <c r="CL171" s="8"/>
      <c r="CM171" s="8"/>
      <c r="CN171" s="8"/>
      <c r="CO171" s="8"/>
      <c r="CP171" s="8"/>
      <c r="CQ171" s="8"/>
      <c r="CR171" s="8"/>
      <c r="CS171" s="8"/>
      <c r="CT171" s="8"/>
      <c r="CU171" s="8"/>
      <c r="CV171" s="8"/>
      <c r="CW171" s="8"/>
      <c r="CX171" s="8"/>
      <c r="CY171" s="8"/>
      <c r="CZ171" s="8"/>
    </row>
    <row r="172" spans="1:104" x14ac:dyDescent="0.25">
      <c r="A172" s="2"/>
      <c r="B172" s="2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  <c r="BA172" s="8"/>
      <c r="BB172" s="8"/>
      <c r="BC172" s="8"/>
      <c r="BD172" s="8"/>
      <c r="BE172" s="8"/>
      <c r="BF172" s="8"/>
      <c r="BG172" s="8"/>
      <c r="BH172" s="8"/>
      <c r="BI172" s="8"/>
      <c r="BJ172" s="8"/>
      <c r="BK172" s="8"/>
      <c r="BL172" s="8"/>
      <c r="BM172" s="8"/>
      <c r="BN172" s="8"/>
      <c r="BO172" s="8"/>
      <c r="BP172" s="8"/>
      <c r="BQ172" s="8"/>
      <c r="BR172" s="8"/>
      <c r="BS172" s="8"/>
      <c r="BT172" s="8"/>
      <c r="BU172" s="8"/>
      <c r="BV172" s="8"/>
      <c r="BW172" s="8"/>
      <c r="BX172" s="8"/>
      <c r="BY172" s="8"/>
      <c r="BZ172" s="8"/>
      <c r="CA172" s="8"/>
      <c r="CB172" s="8"/>
      <c r="CC172" s="8"/>
      <c r="CD172" s="8"/>
      <c r="CE172" s="8"/>
      <c r="CF172" s="8"/>
      <c r="CG172" s="8"/>
      <c r="CH172" s="8"/>
      <c r="CI172" s="8"/>
      <c r="CJ172" s="8"/>
      <c r="CK172" s="8"/>
      <c r="CL172" s="8"/>
      <c r="CM172" s="8"/>
      <c r="CN172" s="8"/>
      <c r="CO172" s="8"/>
      <c r="CP172" s="8"/>
      <c r="CQ172" s="8"/>
      <c r="CR172" s="8"/>
      <c r="CS172" s="8"/>
      <c r="CT172" s="8"/>
      <c r="CU172" s="8"/>
      <c r="CV172" s="8"/>
      <c r="CW172" s="8"/>
      <c r="CX172" s="8"/>
      <c r="CY172" s="8"/>
      <c r="CZ172" s="8"/>
    </row>
    <row r="173" spans="1:104" x14ac:dyDescent="0.25">
      <c r="A173" s="2"/>
      <c r="B173" s="2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  <c r="BA173" s="8"/>
      <c r="BB173" s="8"/>
      <c r="BC173" s="8"/>
      <c r="BD173" s="8"/>
      <c r="BE173" s="8"/>
      <c r="BF173" s="8"/>
      <c r="BG173" s="8"/>
      <c r="BH173" s="8"/>
      <c r="BI173" s="8"/>
      <c r="BJ173" s="8"/>
      <c r="BK173" s="8"/>
      <c r="BL173" s="8"/>
      <c r="BM173" s="8"/>
      <c r="BN173" s="8"/>
      <c r="BO173" s="8"/>
      <c r="BP173" s="8"/>
      <c r="BQ173" s="8"/>
      <c r="BR173" s="8"/>
      <c r="BS173" s="8"/>
      <c r="BT173" s="8"/>
      <c r="BU173" s="8"/>
      <c r="BV173" s="8"/>
      <c r="BW173" s="8"/>
      <c r="BX173" s="8"/>
      <c r="BY173" s="8"/>
      <c r="BZ173" s="8"/>
      <c r="CA173" s="8"/>
      <c r="CB173" s="8"/>
      <c r="CC173" s="8"/>
      <c r="CD173" s="8"/>
      <c r="CE173" s="8"/>
      <c r="CF173" s="8"/>
      <c r="CG173" s="8"/>
      <c r="CH173" s="8"/>
      <c r="CI173" s="8"/>
      <c r="CJ173" s="8"/>
      <c r="CK173" s="8"/>
      <c r="CL173" s="8"/>
      <c r="CM173" s="8"/>
      <c r="CN173" s="8"/>
      <c r="CO173" s="8"/>
      <c r="CP173" s="8"/>
      <c r="CQ173" s="8"/>
      <c r="CR173" s="8"/>
      <c r="CS173" s="8"/>
      <c r="CT173" s="8"/>
      <c r="CU173" s="8"/>
      <c r="CV173" s="8"/>
      <c r="CW173" s="8"/>
      <c r="CX173" s="8"/>
      <c r="CY173" s="8"/>
      <c r="CZ173" s="8"/>
    </row>
    <row r="174" spans="1:104" x14ac:dyDescent="0.25">
      <c r="A174" s="2"/>
      <c r="B174" s="2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8"/>
      <c r="BA174" s="8"/>
      <c r="BB174" s="8"/>
      <c r="BC174" s="8"/>
      <c r="BD174" s="8"/>
      <c r="BE174" s="8"/>
      <c r="BF174" s="8"/>
      <c r="BG174" s="8"/>
      <c r="BH174" s="8"/>
      <c r="BI174" s="8"/>
      <c r="BJ174" s="8"/>
      <c r="BK174" s="8"/>
      <c r="BL174" s="8"/>
      <c r="BM174" s="8"/>
      <c r="BN174" s="8"/>
      <c r="BO174" s="8"/>
      <c r="BP174" s="8"/>
      <c r="BQ174" s="8"/>
      <c r="BR174" s="8"/>
      <c r="BS174" s="8"/>
      <c r="BT174" s="8"/>
      <c r="BU174" s="8"/>
      <c r="BV174" s="8"/>
      <c r="BW174" s="8"/>
      <c r="BX174" s="8"/>
      <c r="BY174" s="8"/>
      <c r="BZ174" s="8"/>
      <c r="CA174" s="8"/>
      <c r="CB174" s="8"/>
      <c r="CC174" s="8"/>
      <c r="CD174" s="8"/>
      <c r="CE174" s="8"/>
      <c r="CF174" s="8"/>
      <c r="CG174" s="8"/>
      <c r="CH174" s="8"/>
      <c r="CI174" s="8"/>
      <c r="CJ174" s="8"/>
      <c r="CK174" s="8"/>
      <c r="CL174" s="8"/>
      <c r="CM174" s="8"/>
      <c r="CN174" s="8"/>
      <c r="CO174" s="8"/>
      <c r="CP174" s="8"/>
      <c r="CQ174" s="8"/>
      <c r="CR174" s="8"/>
      <c r="CS174" s="8"/>
      <c r="CT174" s="8"/>
      <c r="CU174" s="8"/>
      <c r="CV174" s="8"/>
      <c r="CW174" s="8"/>
      <c r="CX174" s="8"/>
      <c r="CY174" s="8"/>
      <c r="CZ174" s="8"/>
    </row>
    <row r="175" spans="1:104" x14ac:dyDescent="0.25">
      <c r="A175" s="2"/>
      <c r="B175" s="2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  <c r="BA175" s="8"/>
      <c r="BB175" s="8"/>
      <c r="BC175" s="8"/>
      <c r="BD175" s="8"/>
      <c r="BE175" s="8"/>
      <c r="BF175" s="8"/>
      <c r="BG175" s="8"/>
      <c r="BH175" s="8"/>
      <c r="BI175" s="8"/>
      <c r="BJ175" s="8"/>
      <c r="BK175" s="8"/>
      <c r="BL175" s="8"/>
      <c r="BM175" s="8"/>
      <c r="BN175" s="8"/>
      <c r="BO175" s="8"/>
      <c r="BP175" s="8"/>
      <c r="BQ175" s="8"/>
      <c r="BR175" s="8"/>
      <c r="BS175" s="8"/>
      <c r="BT175" s="8"/>
      <c r="BU175" s="8"/>
      <c r="BV175" s="8"/>
      <c r="BW175" s="8"/>
      <c r="BX175" s="8"/>
      <c r="BY175" s="8"/>
      <c r="BZ175" s="8"/>
      <c r="CA175" s="8"/>
      <c r="CB175" s="8"/>
      <c r="CC175" s="8"/>
      <c r="CD175" s="8"/>
      <c r="CE175" s="8"/>
      <c r="CF175" s="8"/>
      <c r="CG175" s="8"/>
      <c r="CH175" s="8"/>
      <c r="CI175" s="8"/>
      <c r="CJ175" s="8"/>
      <c r="CK175" s="8"/>
      <c r="CL175" s="8"/>
      <c r="CM175" s="8"/>
      <c r="CN175" s="8"/>
      <c r="CO175" s="8"/>
      <c r="CP175" s="8"/>
      <c r="CQ175" s="8"/>
      <c r="CR175" s="8"/>
      <c r="CS175" s="8"/>
      <c r="CT175" s="8"/>
      <c r="CU175" s="8"/>
      <c r="CV175" s="8"/>
      <c r="CW175" s="8"/>
      <c r="CX175" s="8"/>
      <c r="CY175" s="8"/>
      <c r="CZ175" s="8"/>
    </row>
    <row r="176" spans="1:104" x14ac:dyDescent="0.25">
      <c r="A176" s="2"/>
      <c r="B176" s="2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  <c r="AZ176" s="8"/>
      <c r="BA176" s="8"/>
      <c r="BB176" s="8"/>
      <c r="BC176" s="8"/>
      <c r="BD176" s="8"/>
      <c r="BE176" s="8"/>
      <c r="BF176" s="8"/>
      <c r="BG176" s="8"/>
      <c r="BH176" s="8"/>
      <c r="BI176" s="8"/>
      <c r="BJ176" s="8"/>
      <c r="BK176" s="8"/>
      <c r="BL176" s="8"/>
      <c r="BM176" s="8"/>
      <c r="BN176" s="8"/>
      <c r="BO176" s="8"/>
      <c r="BP176" s="8"/>
      <c r="BQ176" s="8"/>
      <c r="BR176" s="8"/>
      <c r="BS176" s="8"/>
      <c r="BT176" s="8"/>
      <c r="BU176" s="8"/>
      <c r="BV176" s="8"/>
      <c r="BW176" s="8"/>
      <c r="BX176" s="8"/>
      <c r="BY176" s="8"/>
      <c r="BZ176" s="8"/>
      <c r="CA176" s="8"/>
      <c r="CB176" s="8"/>
      <c r="CC176" s="8"/>
      <c r="CD176" s="8"/>
      <c r="CE176" s="8"/>
      <c r="CF176" s="8"/>
      <c r="CG176" s="8"/>
      <c r="CH176" s="8"/>
      <c r="CI176" s="8"/>
      <c r="CJ176" s="8"/>
      <c r="CK176" s="8"/>
      <c r="CL176" s="8"/>
      <c r="CM176" s="8"/>
      <c r="CN176" s="8"/>
      <c r="CO176" s="8"/>
      <c r="CP176" s="8"/>
      <c r="CQ176" s="8"/>
      <c r="CR176" s="8"/>
      <c r="CS176" s="8"/>
      <c r="CT176" s="8"/>
      <c r="CU176" s="8"/>
      <c r="CV176" s="8"/>
      <c r="CW176" s="8"/>
      <c r="CX176" s="8"/>
      <c r="CY176" s="8"/>
      <c r="CZ176" s="8"/>
    </row>
    <row r="177" spans="1:104" x14ac:dyDescent="0.25">
      <c r="A177" s="2"/>
      <c r="B177" s="2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  <c r="BA177" s="8"/>
      <c r="BB177" s="8"/>
      <c r="BC177" s="8"/>
      <c r="BD177" s="8"/>
      <c r="BE177" s="8"/>
      <c r="BF177" s="8"/>
      <c r="BG177" s="8"/>
      <c r="BH177" s="8"/>
      <c r="BI177" s="8"/>
      <c r="BJ177" s="8"/>
      <c r="BK177" s="8"/>
      <c r="BL177" s="8"/>
      <c r="BM177" s="8"/>
      <c r="BN177" s="8"/>
      <c r="BO177" s="8"/>
      <c r="BP177" s="8"/>
      <c r="BQ177" s="8"/>
      <c r="BR177" s="8"/>
      <c r="BS177" s="8"/>
      <c r="BT177" s="8"/>
      <c r="BU177" s="8"/>
      <c r="BV177" s="8"/>
      <c r="BW177" s="8"/>
      <c r="BX177" s="8"/>
      <c r="BY177" s="8"/>
      <c r="BZ177" s="8"/>
      <c r="CA177" s="8"/>
      <c r="CB177" s="8"/>
      <c r="CC177" s="8"/>
      <c r="CD177" s="8"/>
      <c r="CE177" s="8"/>
      <c r="CF177" s="8"/>
      <c r="CG177" s="8"/>
      <c r="CH177" s="8"/>
      <c r="CI177" s="8"/>
      <c r="CJ177" s="8"/>
      <c r="CK177" s="8"/>
      <c r="CL177" s="8"/>
      <c r="CM177" s="8"/>
      <c r="CN177" s="8"/>
      <c r="CO177" s="8"/>
      <c r="CP177" s="8"/>
      <c r="CQ177" s="8"/>
      <c r="CR177" s="8"/>
      <c r="CS177" s="8"/>
      <c r="CT177" s="8"/>
      <c r="CU177" s="8"/>
      <c r="CV177" s="8"/>
      <c r="CW177" s="8"/>
      <c r="CX177" s="8"/>
      <c r="CY177" s="8"/>
      <c r="CZ177" s="8"/>
    </row>
    <row r="178" spans="1:104" x14ac:dyDescent="0.25">
      <c r="A178" s="2"/>
      <c r="B178" s="2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  <c r="AY178" s="8"/>
      <c r="AZ178" s="8"/>
      <c r="BA178" s="8"/>
      <c r="BB178" s="8"/>
      <c r="BC178" s="8"/>
      <c r="BD178" s="8"/>
      <c r="BE178" s="8"/>
      <c r="BF178" s="8"/>
      <c r="BG178" s="8"/>
      <c r="BH178" s="8"/>
      <c r="BI178" s="8"/>
      <c r="BJ178" s="8"/>
      <c r="BK178" s="8"/>
      <c r="BL178" s="8"/>
      <c r="BM178" s="8"/>
      <c r="BN178" s="8"/>
      <c r="BO178" s="8"/>
      <c r="BP178" s="8"/>
      <c r="BQ178" s="8"/>
      <c r="BR178" s="8"/>
      <c r="BS178" s="8"/>
      <c r="BT178" s="8"/>
      <c r="BU178" s="8"/>
      <c r="BV178" s="8"/>
      <c r="BW178" s="8"/>
      <c r="BX178" s="8"/>
      <c r="BY178" s="8"/>
      <c r="BZ178" s="8"/>
      <c r="CA178" s="8"/>
      <c r="CB178" s="8"/>
      <c r="CC178" s="8"/>
      <c r="CD178" s="8"/>
      <c r="CE178" s="8"/>
      <c r="CF178" s="8"/>
      <c r="CG178" s="8"/>
      <c r="CH178" s="8"/>
      <c r="CI178" s="8"/>
      <c r="CJ178" s="8"/>
      <c r="CK178" s="8"/>
      <c r="CL178" s="8"/>
      <c r="CM178" s="8"/>
      <c r="CN178" s="8"/>
      <c r="CO178" s="8"/>
      <c r="CP178" s="8"/>
      <c r="CQ178" s="8"/>
      <c r="CR178" s="8"/>
      <c r="CS178" s="8"/>
      <c r="CT178" s="8"/>
      <c r="CU178" s="8"/>
      <c r="CV178" s="8"/>
      <c r="CW178" s="8"/>
      <c r="CX178" s="8"/>
      <c r="CY178" s="8"/>
      <c r="CZ178" s="8"/>
    </row>
    <row r="179" spans="1:104" x14ac:dyDescent="0.25">
      <c r="A179" s="2"/>
      <c r="B179" s="2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  <c r="AY179" s="8"/>
      <c r="AZ179" s="8"/>
      <c r="BA179" s="8"/>
      <c r="BB179" s="8"/>
      <c r="BC179" s="8"/>
      <c r="BD179" s="8"/>
      <c r="BE179" s="8"/>
      <c r="BF179" s="8"/>
      <c r="BG179" s="8"/>
      <c r="BH179" s="8"/>
      <c r="BI179" s="8"/>
      <c r="BJ179" s="8"/>
      <c r="BK179" s="8"/>
      <c r="BL179" s="8"/>
      <c r="BM179" s="8"/>
      <c r="BN179" s="8"/>
      <c r="BO179" s="8"/>
      <c r="BP179" s="8"/>
      <c r="BQ179" s="8"/>
      <c r="BR179" s="8"/>
      <c r="BS179" s="8"/>
      <c r="BT179" s="8"/>
      <c r="BU179" s="8"/>
      <c r="BV179" s="8"/>
      <c r="BW179" s="8"/>
      <c r="BX179" s="8"/>
      <c r="BY179" s="8"/>
      <c r="BZ179" s="8"/>
      <c r="CA179" s="8"/>
      <c r="CB179" s="8"/>
      <c r="CC179" s="8"/>
      <c r="CD179" s="8"/>
      <c r="CE179" s="8"/>
      <c r="CF179" s="8"/>
      <c r="CG179" s="8"/>
      <c r="CH179" s="8"/>
      <c r="CI179" s="8"/>
      <c r="CJ179" s="8"/>
      <c r="CK179" s="8"/>
      <c r="CL179" s="8"/>
      <c r="CM179" s="8"/>
      <c r="CN179" s="8"/>
      <c r="CO179" s="8"/>
      <c r="CP179" s="8"/>
      <c r="CQ179" s="8"/>
      <c r="CR179" s="8"/>
      <c r="CS179" s="8"/>
      <c r="CT179" s="8"/>
      <c r="CU179" s="8"/>
      <c r="CV179" s="8"/>
      <c r="CW179" s="8"/>
      <c r="CX179" s="8"/>
      <c r="CY179" s="8"/>
      <c r="CZ179" s="8"/>
    </row>
    <row r="180" spans="1:104" x14ac:dyDescent="0.25">
      <c r="A180" s="2"/>
      <c r="B180" s="2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  <c r="AZ180" s="8"/>
      <c r="BA180" s="8"/>
      <c r="BB180" s="8"/>
      <c r="BC180" s="8"/>
      <c r="BD180" s="8"/>
      <c r="BE180" s="8"/>
      <c r="BF180" s="8"/>
      <c r="BG180" s="8"/>
      <c r="BH180" s="8"/>
      <c r="BI180" s="8"/>
      <c r="BJ180" s="8"/>
      <c r="BK180" s="8"/>
      <c r="BL180" s="8"/>
      <c r="BM180" s="8"/>
      <c r="BN180" s="8"/>
      <c r="BO180" s="8"/>
      <c r="BP180" s="8"/>
      <c r="BQ180" s="8"/>
      <c r="BR180" s="8"/>
      <c r="BS180" s="8"/>
      <c r="BT180" s="8"/>
      <c r="BU180" s="8"/>
      <c r="BV180" s="8"/>
      <c r="BW180" s="8"/>
      <c r="BX180" s="8"/>
      <c r="BY180" s="8"/>
      <c r="BZ180" s="8"/>
      <c r="CA180" s="8"/>
      <c r="CB180" s="8"/>
      <c r="CC180" s="8"/>
      <c r="CD180" s="8"/>
      <c r="CE180" s="8"/>
      <c r="CF180" s="8"/>
      <c r="CG180" s="8"/>
      <c r="CH180" s="8"/>
      <c r="CI180" s="8"/>
      <c r="CJ180" s="8"/>
      <c r="CK180" s="8"/>
      <c r="CL180" s="8"/>
      <c r="CM180" s="8"/>
      <c r="CN180" s="8"/>
      <c r="CO180" s="8"/>
      <c r="CP180" s="8"/>
      <c r="CQ180" s="8"/>
      <c r="CR180" s="8"/>
      <c r="CS180" s="8"/>
      <c r="CT180" s="8"/>
      <c r="CU180" s="8"/>
      <c r="CV180" s="8"/>
      <c r="CW180" s="8"/>
      <c r="CX180" s="8"/>
      <c r="CY180" s="8"/>
      <c r="CZ180" s="8"/>
    </row>
    <row r="181" spans="1:104" x14ac:dyDescent="0.25">
      <c r="A181" s="2"/>
      <c r="B181" s="2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8"/>
      <c r="BA181" s="8"/>
      <c r="BB181" s="8"/>
      <c r="BC181" s="8"/>
      <c r="BD181" s="8"/>
      <c r="BE181" s="8"/>
      <c r="BF181" s="8"/>
      <c r="BG181" s="8"/>
      <c r="BH181" s="8"/>
      <c r="BI181" s="8"/>
      <c r="BJ181" s="8"/>
      <c r="BK181" s="8"/>
      <c r="BL181" s="8"/>
      <c r="BM181" s="8"/>
      <c r="BN181" s="8"/>
      <c r="BO181" s="8"/>
      <c r="BP181" s="8"/>
      <c r="BQ181" s="8"/>
      <c r="BR181" s="8"/>
      <c r="BS181" s="8"/>
      <c r="BT181" s="8"/>
      <c r="BU181" s="8"/>
      <c r="BV181" s="8"/>
      <c r="BW181" s="8"/>
      <c r="BX181" s="8"/>
      <c r="BY181" s="8"/>
      <c r="BZ181" s="8"/>
      <c r="CA181" s="8"/>
      <c r="CB181" s="8"/>
      <c r="CC181" s="8"/>
      <c r="CD181" s="8"/>
      <c r="CE181" s="8"/>
      <c r="CF181" s="8"/>
      <c r="CG181" s="8"/>
      <c r="CH181" s="8"/>
      <c r="CI181" s="8"/>
      <c r="CJ181" s="8"/>
      <c r="CK181" s="8"/>
      <c r="CL181" s="8"/>
      <c r="CM181" s="8"/>
      <c r="CN181" s="8"/>
      <c r="CO181" s="8"/>
      <c r="CP181" s="8"/>
      <c r="CQ181" s="8"/>
      <c r="CR181" s="8"/>
      <c r="CS181" s="8"/>
      <c r="CT181" s="8"/>
      <c r="CU181" s="8"/>
      <c r="CV181" s="8"/>
      <c r="CW181" s="8"/>
      <c r="CX181" s="8"/>
      <c r="CY181" s="8"/>
      <c r="CZ181" s="8"/>
    </row>
    <row r="182" spans="1:104" x14ac:dyDescent="0.25">
      <c r="A182" s="2"/>
      <c r="B182" s="2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  <c r="AZ182" s="8"/>
      <c r="BA182" s="8"/>
      <c r="BB182" s="8"/>
      <c r="BC182" s="8"/>
      <c r="BD182" s="8"/>
      <c r="BE182" s="8"/>
      <c r="BF182" s="8"/>
      <c r="BG182" s="8"/>
      <c r="BH182" s="8"/>
      <c r="BI182" s="8"/>
      <c r="BJ182" s="8"/>
      <c r="BK182" s="8"/>
      <c r="BL182" s="8"/>
      <c r="BM182" s="8"/>
      <c r="BN182" s="8"/>
      <c r="BO182" s="8"/>
      <c r="BP182" s="8"/>
      <c r="BQ182" s="8"/>
      <c r="BR182" s="8"/>
      <c r="BS182" s="8"/>
      <c r="BT182" s="8"/>
      <c r="BU182" s="8"/>
      <c r="BV182" s="8"/>
      <c r="BW182" s="8"/>
      <c r="BX182" s="8"/>
      <c r="BY182" s="8"/>
      <c r="BZ182" s="8"/>
      <c r="CA182" s="8"/>
      <c r="CB182" s="8"/>
      <c r="CC182" s="8"/>
      <c r="CD182" s="8"/>
      <c r="CE182" s="8"/>
      <c r="CF182" s="8"/>
      <c r="CG182" s="8"/>
      <c r="CH182" s="8"/>
      <c r="CI182" s="8"/>
      <c r="CJ182" s="8"/>
      <c r="CK182" s="8"/>
      <c r="CL182" s="8"/>
      <c r="CM182" s="8"/>
      <c r="CN182" s="8"/>
      <c r="CO182" s="8"/>
      <c r="CP182" s="8"/>
      <c r="CQ182" s="8"/>
      <c r="CR182" s="8"/>
      <c r="CS182" s="8"/>
      <c r="CT182" s="8"/>
      <c r="CU182" s="8"/>
      <c r="CV182" s="8"/>
      <c r="CW182" s="8"/>
      <c r="CX182" s="8"/>
      <c r="CY182" s="8"/>
      <c r="CZ182" s="8"/>
    </row>
    <row r="183" spans="1:104" x14ac:dyDescent="0.25">
      <c r="A183" s="2"/>
      <c r="B183" s="2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  <c r="BA183" s="8"/>
      <c r="BB183" s="8"/>
      <c r="BC183" s="8"/>
      <c r="BD183" s="8"/>
      <c r="BE183" s="8"/>
      <c r="BF183" s="8"/>
      <c r="BG183" s="8"/>
      <c r="BH183" s="8"/>
      <c r="BI183" s="8"/>
      <c r="BJ183" s="8"/>
      <c r="BK183" s="8"/>
      <c r="BL183" s="8"/>
      <c r="BM183" s="8"/>
      <c r="BN183" s="8"/>
      <c r="BO183" s="8"/>
      <c r="BP183" s="8"/>
      <c r="BQ183" s="8"/>
      <c r="BR183" s="8"/>
      <c r="BS183" s="8"/>
      <c r="BT183" s="8"/>
      <c r="BU183" s="8"/>
      <c r="BV183" s="8"/>
      <c r="BW183" s="8"/>
      <c r="BX183" s="8"/>
      <c r="BY183" s="8"/>
      <c r="BZ183" s="8"/>
      <c r="CA183" s="8"/>
      <c r="CB183" s="8"/>
      <c r="CC183" s="8"/>
      <c r="CD183" s="8"/>
      <c r="CE183" s="8"/>
      <c r="CF183" s="8"/>
      <c r="CG183" s="8"/>
      <c r="CH183" s="8"/>
      <c r="CI183" s="8"/>
      <c r="CJ183" s="8"/>
      <c r="CK183" s="8"/>
      <c r="CL183" s="8"/>
      <c r="CM183" s="8"/>
      <c r="CN183" s="8"/>
      <c r="CO183" s="8"/>
      <c r="CP183" s="8"/>
      <c r="CQ183" s="8"/>
      <c r="CR183" s="8"/>
      <c r="CS183" s="8"/>
      <c r="CT183" s="8"/>
      <c r="CU183" s="8"/>
      <c r="CV183" s="8"/>
      <c r="CW183" s="8"/>
      <c r="CX183" s="8"/>
      <c r="CY183" s="8"/>
      <c r="CZ183" s="8"/>
    </row>
    <row r="184" spans="1:104" x14ac:dyDescent="0.25">
      <c r="A184" s="2"/>
      <c r="B184" s="2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  <c r="BA184" s="8"/>
      <c r="BB184" s="8"/>
      <c r="BC184" s="8"/>
      <c r="BD184" s="8"/>
      <c r="BE184" s="8"/>
      <c r="BF184" s="8"/>
      <c r="BG184" s="8"/>
      <c r="BH184" s="8"/>
      <c r="BI184" s="8"/>
      <c r="BJ184" s="8"/>
      <c r="BK184" s="8"/>
      <c r="BL184" s="8"/>
      <c r="BM184" s="8"/>
      <c r="BN184" s="8"/>
      <c r="BO184" s="8"/>
      <c r="BP184" s="8"/>
      <c r="BQ184" s="8"/>
      <c r="BR184" s="8"/>
      <c r="BS184" s="8"/>
      <c r="BT184" s="8"/>
      <c r="BU184" s="8"/>
      <c r="BV184" s="8"/>
      <c r="BW184" s="8"/>
      <c r="BX184" s="8"/>
      <c r="BY184" s="8"/>
      <c r="BZ184" s="8"/>
      <c r="CA184" s="8"/>
      <c r="CB184" s="8"/>
      <c r="CC184" s="8"/>
      <c r="CD184" s="8"/>
      <c r="CE184" s="8"/>
      <c r="CF184" s="8"/>
      <c r="CG184" s="8"/>
      <c r="CH184" s="8"/>
      <c r="CI184" s="8"/>
      <c r="CJ184" s="8"/>
      <c r="CK184" s="8"/>
      <c r="CL184" s="8"/>
      <c r="CM184" s="8"/>
      <c r="CN184" s="8"/>
      <c r="CO184" s="8"/>
      <c r="CP184" s="8"/>
      <c r="CQ184" s="8"/>
      <c r="CR184" s="8"/>
      <c r="CS184" s="8"/>
      <c r="CT184" s="8"/>
      <c r="CU184" s="8"/>
      <c r="CV184" s="8"/>
      <c r="CW184" s="8"/>
      <c r="CX184" s="8"/>
      <c r="CY184" s="8"/>
      <c r="CZ184" s="8"/>
    </row>
    <row r="185" spans="1:104" x14ac:dyDescent="0.25">
      <c r="A185" s="2"/>
      <c r="B185" s="2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  <c r="BA185" s="8"/>
      <c r="BB185" s="8"/>
      <c r="BC185" s="8"/>
      <c r="BD185" s="8"/>
      <c r="BE185" s="8"/>
      <c r="BF185" s="8"/>
      <c r="BG185" s="8"/>
      <c r="BH185" s="8"/>
      <c r="BI185" s="8"/>
      <c r="BJ185" s="8"/>
      <c r="BK185" s="8"/>
      <c r="BL185" s="8"/>
      <c r="BM185" s="8"/>
      <c r="BN185" s="8"/>
      <c r="BO185" s="8"/>
      <c r="BP185" s="8"/>
      <c r="BQ185" s="8"/>
      <c r="BR185" s="8"/>
      <c r="BS185" s="8"/>
      <c r="BT185" s="8"/>
      <c r="BU185" s="8"/>
      <c r="BV185" s="8"/>
      <c r="BW185" s="8"/>
      <c r="BX185" s="8"/>
      <c r="BY185" s="8"/>
      <c r="BZ185" s="8"/>
      <c r="CA185" s="8"/>
      <c r="CB185" s="8"/>
      <c r="CC185" s="8"/>
      <c r="CD185" s="8"/>
      <c r="CE185" s="8"/>
      <c r="CF185" s="8"/>
      <c r="CG185" s="8"/>
      <c r="CH185" s="8"/>
      <c r="CI185" s="8"/>
      <c r="CJ185" s="8"/>
      <c r="CK185" s="8"/>
      <c r="CL185" s="8"/>
      <c r="CM185" s="8"/>
      <c r="CN185" s="8"/>
      <c r="CO185" s="8"/>
      <c r="CP185" s="8"/>
      <c r="CQ185" s="8"/>
      <c r="CR185" s="8"/>
      <c r="CS185" s="8"/>
      <c r="CT185" s="8"/>
      <c r="CU185" s="8"/>
      <c r="CV185" s="8"/>
      <c r="CW185" s="8"/>
      <c r="CX185" s="8"/>
      <c r="CY185" s="8"/>
      <c r="CZ185" s="8"/>
    </row>
    <row r="186" spans="1:104" x14ac:dyDescent="0.25">
      <c r="A186" s="2"/>
      <c r="B186" s="2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  <c r="BA186" s="8"/>
      <c r="BB186" s="8"/>
      <c r="BC186" s="8"/>
      <c r="BD186" s="8"/>
      <c r="BE186" s="8"/>
      <c r="BF186" s="8"/>
      <c r="BG186" s="8"/>
      <c r="BH186" s="8"/>
      <c r="BI186" s="8"/>
      <c r="BJ186" s="8"/>
      <c r="BK186" s="8"/>
      <c r="BL186" s="8"/>
      <c r="BM186" s="8"/>
      <c r="BN186" s="8"/>
      <c r="BO186" s="8"/>
      <c r="BP186" s="8"/>
      <c r="BQ186" s="8"/>
      <c r="BR186" s="8"/>
      <c r="BS186" s="8"/>
      <c r="BT186" s="8"/>
      <c r="BU186" s="8"/>
      <c r="BV186" s="8"/>
      <c r="BW186" s="8"/>
      <c r="BX186" s="8"/>
      <c r="BY186" s="8"/>
      <c r="BZ186" s="8"/>
      <c r="CA186" s="8"/>
      <c r="CB186" s="8"/>
      <c r="CC186" s="8"/>
      <c r="CD186" s="8"/>
      <c r="CE186" s="8"/>
      <c r="CF186" s="8"/>
      <c r="CG186" s="8"/>
      <c r="CH186" s="8"/>
      <c r="CI186" s="8"/>
      <c r="CJ186" s="8"/>
      <c r="CK186" s="8"/>
      <c r="CL186" s="8"/>
      <c r="CM186" s="8"/>
      <c r="CN186" s="8"/>
      <c r="CO186" s="8"/>
      <c r="CP186" s="8"/>
      <c r="CQ186" s="8"/>
      <c r="CR186" s="8"/>
      <c r="CS186" s="8"/>
      <c r="CT186" s="8"/>
      <c r="CU186" s="8"/>
      <c r="CV186" s="8"/>
      <c r="CW186" s="8"/>
      <c r="CX186" s="8"/>
      <c r="CY186" s="8"/>
      <c r="CZ186" s="8"/>
    </row>
    <row r="187" spans="1:104" x14ac:dyDescent="0.25">
      <c r="A187" s="2"/>
      <c r="B187" s="2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  <c r="BA187" s="8"/>
      <c r="BB187" s="8"/>
      <c r="BC187" s="8"/>
      <c r="BD187" s="8"/>
      <c r="BE187" s="8"/>
      <c r="BF187" s="8"/>
      <c r="BG187" s="8"/>
      <c r="BH187" s="8"/>
      <c r="BI187" s="8"/>
      <c r="BJ187" s="8"/>
      <c r="BK187" s="8"/>
      <c r="BL187" s="8"/>
      <c r="BM187" s="8"/>
      <c r="BN187" s="8"/>
      <c r="BO187" s="8"/>
      <c r="BP187" s="8"/>
      <c r="BQ187" s="8"/>
      <c r="BR187" s="8"/>
      <c r="BS187" s="8"/>
      <c r="BT187" s="8"/>
      <c r="BU187" s="8"/>
      <c r="BV187" s="8"/>
      <c r="BW187" s="8"/>
      <c r="BX187" s="8"/>
      <c r="BY187" s="8"/>
      <c r="BZ187" s="8"/>
      <c r="CA187" s="8"/>
      <c r="CB187" s="8"/>
      <c r="CC187" s="8"/>
      <c r="CD187" s="8"/>
      <c r="CE187" s="8"/>
      <c r="CF187" s="8"/>
      <c r="CG187" s="8"/>
      <c r="CH187" s="8"/>
      <c r="CI187" s="8"/>
      <c r="CJ187" s="8"/>
      <c r="CK187" s="8"/>
      <c r="CL187" s="8"/>
      <c r="CM187" s="8"/>
      <c r="CN187" s="8"/>
      <c r="CO187" s="8"/>
      <c r="CP187" s="8"/>
      <c r="CQ187" s="8"/>
      <c r="CR187" s="8"/>
      <c r="CS187" s="8"/>
      <c r="CT187" s="8"/>
      <c r="CU187" s="8"/>
      <c r="CV187" s="8"/>
      <c r="CW187" s="8"/>
      <c r="CX187" s="8"/>
      <c r="CY187" s="8"/>
      <c r="CZ187" s="8"/>
    </row>
    <row r="188" spans="1:104" x14ac:dyDescent="0.25">
      <c r="A188" s="2"/>
      <c r="B188" s="2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  <c r="AZ188" s="8"/>
      <c r="BA188" s="8"/>
      <c r="BB188" s="8"/>
      <c r="BC188" s="8"/>
      <c r="BD188" s="8"/>
      <c r="BE188" s="8"/>
      <c r="BF188" s="8"/>
      <c r="BG188" s="8"/>
      <c r="BH188" s="8"/>
      <c r="BI188" s="8"/>
      <c r="BJ188" s="8"/>
      <c r="BK188" s="8"/>
      <c r="BL188" s="8"/>
      <c r="BM188" s="8"/>
      <c r="BN188" s="8"/>
      <c r="BO188" s="8"/>
      <c r="BP188" s="8"/>
      <c r="BQ188" s="8"/>
      <c r="BR188" s="8"/>
      <c r="BS188" s="8"/>
      <c r="BT188" s="8"/>
      <c r="BU188" s="8"/>
      <c r="BV188" s="8"/>
      <c r="BW188" s="8"/>
      <c r="BX188" s="8"/>
      <c r="BY188" s="8"/>
      <c r="BZ188" s="8"/>
      <c r="CA188" s="8"/>
      <c r="CB188" s="8"/>
      <c r="CC188" s="8"/>
      <c r="CD188" s="8"/>
      <c r="CE188" s="8"/>
      <c r="CF188" s="8"/>
      <c r="CG188" s="8"/>
      <c r="CH188" s="8"/>
      <c r="CI188" s="8"/>
      <c r="CJ188" s="8"/>
      <c r="CK188" s="8"/>
      <c r="CL188" s="8"/>
      <c r="CM188" s="8"/>
      <c r="CN188" s="8"/>
      <c r="CO188" s="8"/>
      <c r="CP188" s="8"/>
      <c r="CQ188" s="8"/>
      <c r="CR188" s="8"/>
      <c r="CS188" s="8"/>
      <c r="CT188" s="8"/>
      <c r="CU188" s="8"/>
      <c r="CV188" s="8"/>
      <c r="CW188" s="8"/>
      <c r="CX188" s="8"/>
      <c r="CY188" s="8"/>
      <c r="CZ188" s="8"/>
    </row>
    <row r="189" spans="1:104" x14ac:dyDescent="0.25">
      <c r="A189" s="2"/>
      <c r="B189" s="2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  <c r="BA189" s="8"/>
      <c r="BB189" s="8"/>
      <c r="BC189" s="8"/>
      <c r="BD189" s="8"/>
      <c r="BE189" s="8"/>
      <c r="BF189" s="8"/>
      <c r="BG189" s="8"/>
      <c r="BH189" s="8"/>
      <c r="BI189" s="8"/>
      <c r="BJ189" s="8"/>
      <c r="BK189" s="8"/>
      <c r="BL189" s="8"/>
      <c r="BM189" s="8"/>
      <c r="BN189" s="8"/>
      <c r="BO189" s="8"/>
      <c r="BP189" s="8"/>
      <c r="BQ189" s="8"/>
      <c r="BR189" s="8"/>
      <c r="BS189" s="8"/>
      <c r="BT189" s="8"/>
      <c r="BU189" s="8"/>
      <c r="BV189" s="8"/>
      <c r="BW189" s="8"/>
      <c r="BX189" s="8"/>
      <c r="BY189" s="8"/>
      <c r="BZ189" s="8"/>
      <c r="CA189" s="8"/>
      <c r="CB189" s="8"/>
      <c r="CC189" s="8"/>
      <c r="CD189" s="8"/>
      <c r="CE189" s="8"/>
      <c r="CF189" s="8"/>
      <c r="CG189" s="8"/>
      <c r="CH189" s="8"/>
      <c r="CI189" s="8"/>
      <c r="CJ189" s="8"/>
      <c r="CK189" s="8"/>
      <c r="CL189" s="8"/>
      <c r="CM189" s="8"/>
      <c r="CN189" s="8"/>
      <c r="CO189" s="8"/>
      <c r="CP189" s="8"/>
      <c r="CQ189" s="8"/>
      <c r="CR189" s="8"/>
      <c r="CS189" s="8"/>
      <c r="CT189" s="8"/>
      <c r="CU189" s="8"/>
      <c r="CV189" s="8"/>
      <c r="CW189" s="8"/>
      <c r="CX189" s="8"/>
      <c r="CY189" s="8"/>
      <c r="CZ189" s="8"/>
    </row>
    <row r="190" spans="1:104" x14ac:dyDescent="0.25">
      <c r="A190" s="2"/>
      <c r="B190" s="2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8"/>
      <c r="BA190" s="8"/>
      <c r="BB190" s="8"/>
      <c r="BC190" s="8"/>
      <c r="BD190" s="8"/>
      <c r="BE190" s="8"/>
      <c r="BF190" s="8"/>
      <c r="BG190" s="8"/>
      <c r="BH190" s="8"/>
      <c r="BI190" s="8"/>
      <c r="BJ190" s="8"/>
      <c r="BK190" s="8"/>
      <c r="BL190" s="8"/>
      <c r="BM190" s="8"/>
      <c r="BN190" s="8"/>
      <c r="BO190" s="8"/>
      <c r="BP190" s="8"/>
      <c r="BQ190" s="8"/>
      <c r="BR190" s="8"/>
      <c r="BS190" s="8"/>
      <c r="BT190" s="8"/>
      <c r="BU190" s="8"/>
      <c r="BV190" s="8"/>
      <c r="BW190" s="8"/>
      <c r="BX190" s="8"/>
      <c r="BY190" s="8"/>
      <c r="BZ190" s="8"/>
      <c r="CA190" s="8"/>
      <c r="CB190" s="8"/>
      <c r="CC190" s="8"/>
      <c r="CD190" s="8"/>
      <c r="CE190" s="8"/>
      <c r="CF190" s="8"/>
      <c r="CG190" s="8"/>
      <c r="CH190" s="8"/>
      <c r="CI190" s="8"/>
      <c r="CJ190" s="8"/>
      <c r="CK190" s="8"/>
      <c r="CL190" s="8"/>
      <c r="CM190" s="8"/>
      <c r="CN190" s="8"/>
      <c r="CO190" s="8"/>
      <c r="CP190" s="8"/>
      <c r="CQ190" s="8"/>
      <c r="CR190" s="8"/>
      <c r="CS190" s="8"/>
      <c r="CT190" s="8"/>
      <c r="CU190" s="8"/>
      <c r="CV190" s="8"/>
      <c r="CW190" s="8"/>
      <c r="CX190" s="8"/>
      <c r="CY190" s="8"/>
      <c r="CZ190" s="8"/>
    </row>
    <row r="191" spans="1:104" x14ac:dyDescent="0.25">
      <c r="A191" s="2"/>
      <c r="B191" s="2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  <c r="AZ191" s="8"/>
      <c r="BA191" s="8"/>
      <c r="BB191" s="8"/>
      <c r="BC191" s="8"/>
      <c r="BD191" s="8"/>
      <c r="BE191" s="8"/>
      <c r="BF191" s="8"/>
      <c r="BG191" s="8"/>
      <c r="BH191" s="8"/>
      <c r="BI191" s="8"/>
      <c r="BJ191" s="8"/>
      <c r="BK191" s="8"/>
      <c r="BL191" s="8"/>
      <c r="BM191" s="8"/>
      <c r="BN191" s="8"/>
      <c r="BO191" s="8"/>
      <c r="BP191" s="8"/>
      <c r="BQ191" s="8"/>
      <c r="BR191" s="8"/>
      <c r="BS191" s="8"/>
      <c r="BT191" s="8"/>
      <c r="BU191" s="8"/>
      <c r="BV191" s="8"/>
      <c r="BW191" s="8"/>
      <c r="BX191" s="8"/>
      <c r="BY191" s="8"/>
      <c r="BZ191" s="8"/>
      <c r="CA191" s="8"/>
      <c r="CB191" s="8"/>
      <c r="CC191" s="8"/>
      <c r="CD191" s="8"/>
      <c r="CE191" s="8"/>
      <c r="CF191" s="8"/>
      <c r="CG191" s="8"/>
      <c r="CH191" s="8"/>
      <c r="CI191" s="8"/>
      <c r="CJ191" s="8"/>
      <c r="CK191" s="8"/>
      <c r="CL191" s="8"/>
      <c r="CM191" s="8"/>
      <c r="CN191" s="8"/>
      <c r="CO191" s="8"/>
      <c r="CP191" s="8"/>
      <c r="CQ191" s="8"/>
      <c r="CR191" s="8"/>
      <c r="CS191" s="8"/>
      <c r="CT191" s="8"/>
      <c r="CU191" s="8"/>
      <c r="CV191" s="8"/>
      <c r="CW191" s="8"/>
      <c r="CX191" s="8"/>
      <c r="CY191" s="8"/>
      <c r="CZ191" s="8"/>
    </row>
    <row r="192" spans="1:104" x14ac:dyDescent="0.25">
      <c r="A192" s="2"/>
      <c r="B192" s="2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8"/>
      <c r="BA192" s="8"/>
      <c r="BB192" s="8"/>
      <c r="BC192" s="8"/>
      <c r="BD192" s="8"/>
      <c r="BE192" s="8"/>
      <c r="BF192" s="8"/>
      <c r="BG192" s="8"/>
      <c r="BH192" s="8"/>
      <c r="BI192" s="8"/>
      <c r="BJ192" s="8"/>
      <c r="BK192" s="8"/>
      <c r="BL192" s="8"/>
      <c r="BM192" s="8"/>
      <c r="BN192" s="8"/>
      <c r="BO192" s="8"/>
      <c r="BP192" s="8"/>
      <c r="BQ192" s="8"/>
      <c r="BR192" s="8"/>
      <c r="BS192" s="8"/>
      <c r="BT192" s="8"/>
      <c r="BU192" s="8"/>
      <c r="BV192" s="8"/>
      <c r="BW192" s="8"/>
      <c r="BX192" s="8"/>
      <c r="BY192" s="8"/>
      <c r="BZ192" s="8"/>
      <c r="CA192" s="8"/>
      <c r="CB192" s="8"/>
      <c r="CC192" s="8"/>
      <c r="CD192" s="8"/>
      <c r="CE192" s="8"/>
      <c r="CF192" s="8"/>
      <c r="CG192" s="8"/>
      <c r="CH192" s="8"/>
      <c r="CI192" s="8"/>
      <c r="CJ192" s="8"/>
      <c r="CK192" s="8"/>
      <c r="CL192" s="8"/>
      <c r="CM192" s="8"/>
      <c r="CN192" s="8"/>
      <c r="CO192" s="8"/>
      <c r="CP192" s="8"/>
      <c r="CQ192" s="8"/>
      <c r="CR192" s="8"/>
      <c r="CS192" s="8"/>
      <c r="CT192" s="8"/>
      <c r="CU192" s="8"/>
      <c r="CV192" s="8"/>
      <c r="CW192" s="8"/>
      <c r="CX192" s="8"/>
      <c r="CY192" s="8"/>
      <c r="CZ192" s="8"/>
    </row>
    <row r="193" spans="1:104" x14ac:dyDescent="0.25">
      <c r="A193" s="2"/>
      <c r="B193" s="2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8"/>
      <c r="BA193" s="8"/>
      <c r="BB193" s="8"/>
      <c r="BC193" s="8"/>
      <c r="BD193" s="8"/>
      <c r="BE193" s="8"/>
      <c r="BF193" s="8"/>
      <c r="BG193" s="8"/>
      <c r="BH193" s="8"/>
      <c r="BI193" s="8"/>
      <c r="BJ193" s="8"/>
      <c r="BK193" s="8"/>
      <c r="BL193" s="8"/>
      <c r="BM193" s="8"/>
      <c r="BN193" s="8"/>
      <c r="BO193" s="8"/>
      <c r="BP193" s="8"/>
      <c r="BQ193" s="8"/>
      <c r="BR193" s="8"/>
      <c r="BS193" s="8"/>
      <c r="BT193" s="8"/>
      <c r="BU193" s="8"/>
      <c r="BV193" s="8"/>
      <c r="BW193" s="8"/>
      <c r="BX193" s="8"/>
      <c r="BY193" s="8"/>
      <c r="BZ193" s="8"/>
      <c r="CA193" s="8"/>
      <c r="CB193" s="8"/>
      <c r="CC193" s="8"/>
      <c r="CD193" s="8"/>
      <c r="CE193" s="8"/>
      <c r="CF193" s="8"/>
      <c r="CG193" s="8"/>
      <c r="CH193" s="8"/>
      <c r="CI193" s="8"/>
      <c r="CJ193" s="8"/>
      <c r="CK193" s="8"/>
      <c r="CL193" s="8"/>
      <c r="CM193" s="8"/>
      <c r="CN193" s="8"/>
      <c r="CO193" s="8"/>
      <c r="CP193" s="8"/>
      <c r="CQ193" s="8"/>
      <c r="CR193" s="8"/>
      <c r="CS193" s="8"/>
      <c r="CT193" s="8"/>
      <c r="CU193" s="8"/>
      <c r="CV193" s="8"/>
      <c r="CW193" s="8"/>
      <c r="CX193" s="8"/>
      <c r="CY193" s="8"/>
      <c r="CZ193" s="8"/>
    </row>
    <row r="194" spans="1:104" x14ac:dyDescent="0.25">
      <c r="A194" s="2"/>
      <c r="B194" s="2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  <c r="AZ194" s="8"/>
      <c r="BA194" s="8"/>
      <c r="BB194" s="8"/>
      <c r="BC194" s="8"/>
      <c r="BD194" s="8"/>
      <c r="BE194" s="8"/>
      <c r="BF194" s="8"/>
      <c r="BG194" s="8"/>
      <c r="BH194" s="8"/>
      <c r="BI194" s="8"/>
      <c r="BJ194" s="8"/>
      <c r="BK194" s="8"/>
      <c r="BL194" s="8"/>
      <c r="BM194" s="8"/>
      <c r="BN194" s="8"/>
      <c r="BO194" s="8"/>
      <c r="BP194" s="8"/>
      <c r="BQ194" s="8"/>
      <c r="BR194" s="8"/>
      <c r="BS194" s="8"/>
      <c r="BT194" s="8"/>
      <c r="BU194" s="8"/>
      <c r="BV194" s="8"/>
      <c r="BW194" s="8"/>
      <c r="BX194" s="8"/>
      <c r="BY194" s="8"/>
      <c r="BZ194" s="8"/>
      <c r="CA194" s="8"/>
      <c r="CB194" s="8"/>
      <c r="CC194" s="8"/>
      <c r="CD194" s="8"/>
      <c r="CE194" s="8"/>
      <c r="CF194" s="8"/>
      <c r="CG194" s="8"/>
      <c r="CH194" s="8"/>
      <c r="CI194" s="8"/>
      <c r="CJ194" s="8"/>
      <c r="CK194" s="8"/>
      <c r="CL194" s="8"/>
      <c r="CM194" s="8"/>
      <c r="CN194" s="8"/>
      <c r="CO194" s="8"/>
      <c r="CP194" s="8"/>
      <c r="CQ194" s="8"/>
      <c r="CR194" s="8"/>
      <c r="CS194" s="8"/>
      <c r="CT194" s="8"/>
      <c r="CU194" s="8"/>
      <c r="CV194" s="8"/>
      <c r="CW194" s="8"/>
      <c r="CX194" s="8"/>
      <c r="CY194" s="8"/>
      <c r="CZ194" s="8"/>
    </row>
    <row r="195" spans="1:104" x14ac:dyDescent="0.25">
      <c r="A195" s="2"/>
      <c r="B195" s="2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  <c r="AZ195" s="8"/>
      <c r="BA195" s="8"/>
      <c r="BB195" s="8"/>
      <c r="BC195" s="8"/>
      <c r="BD195" s="8"/>
      <c r="BE195" s="8"/>
      <c r="BF195" s="8"/>
      <c r="BG195" s="8"/>
      <c r="BH195" s="8"/>
      <c r="BI195" s="8"/>
      <c r="BJ195" s="8"/>
      <c r="BK195" s="8"/>
      <c r="BL195" s="8"/>
      <c r="BM195" s="8"/>
      <c r="BN195" s="8"/>
      <c r="BO195" s="8"/>
      <c r="BP195" s="8"/>
      <c r="BQ195" s="8"/>
      <c r="BR195" s="8"/>
      <c r="BS195" s="8"/>
      <c r="BT195" s="8"/>
      <c r="BU195" s="8"/>
      <c r="BV195" s="8"/>
      <c r="BW195" s="8"/>
      <c r="BX195" s="8"/>
      <c r="BY195" s="8"/>
      <c r="BZ195" s="8"/>
      <c r="CA195" s="8"/>
      <c r="CB195" s="8"/>
      <c r="CC195" s="8"/>
      <c r="CD195" s="8"/>
      <c r="CE195" s="8"/>
      <c r="CF195" s="8"/>
      <c r="CG195" s="8"/>
      <c r="CH195" s="8"/>
      <c r="CI195" s="8"/>
      <c r="CJ195" s="8"/>
      <c r="CK195" s="8"/>
      <c r="CL195" s="8"/>
      <c r="CM195" s="8"/>
      <c r="CN195" s="8"/>
      <c r="CO195" s="8"/>
      <c r="CP195" s="8"/>
      <c r="CQ195" s="8"/>
      <c r="CR195" s="8"/>
      <c r="CS195" s="8"/>
      <c r="CT195" s="8"/>
      <c r="CU195" s="8"/>
      <c r="CV195" s="8"/>
      <c r="CW195" s="8"/>
      <c r="CX195" s="8"/>
      <c r="CY195" s="8"/>
      <c r="CZ195" s="8"/>
    </row>
    <row r="196" spans="1:104" x14ac:dyDescent="0.25">
      <c r="A196" s="2"/>
      <c r="B196" s="2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  <c r="AZ196" s="8"/>
      <c r="BA196" s="8"/>
      <c r="BB196" s="8"/>
      <c r="BC196" s="8"/>
      <c r="BD196" s="8"/>
      <c r="BE196" s="8"/>
      <c r="BF196" s="8"/>
      <c r="BG196" s="8"/>
      <c r="BH196" s="8"/>
      <c r="BI196" s="8"/>
      <c r="BJ196" s="8"/>
      <c r="BK196" s="8"/>
      <c r="BL196" s="8"/>
      <c r="BM196" s="8"/>
      <c r="BN196" s="8"/>
      <c r="BO196" s="8"/>
      <c r="BP196" s="8"/>
      <c r="BQ196" s="8"/>
      <c r="BR196" s="8"/>
      <c r="BS196" s="8"/>
      <c r="BT196" s="8"/>
      <c r="BU196" s="8"/>
      <c r="BV196" s="8"/>
      <c r="BW196" s="8"/>
      <c r="BX196" s="8"/>
      <c r="BY196" s="8"/>
      <c r="BZ196" s="8"/>
      <c r="CA196" s="8"/>
      <c r="CB196" s="8"/>
      <c r="CC196" s="8"/>
      <c r="CD196" s="8"/>
      <c r="CE196" s="8"/>
      <c r="CF196" s="8"/>
      <c r="CG196" s="8"/>
      <c r="CH196" s="8"/>
      <c r="CI196" s="8"/>
      <c r="CJ196" s="8"/>
      <c r="CK196" s="8"/>
      <c r="CL196" s="8"/>
      <c r="CM196" s="8"/>
      <c r="CN196" s="8"/>
      <c r="CO196" s="8"/>
      <c r="CP196" s="8"/>
      <c r="CQ196" s="8"/>
      <c r="CR196" s="8"/>
      <c r="CS196" s="8"/>
      <c r="CT196" s="8"/>
      <c r="CU196" s="8"/>
      <c r="CV196" s="8"/>
      <c r="CW196" s="8"/>
      <c r="CX196" s="8"/>
      <c r="CY196" s="8"/>
      <c r="CZ196" s="8"/>
    </row>
    <row r="197" spans="1:104" x14ac:dyDescent="0.25">
      <c r="A197" s="2"/>
      <c r="B197" s="2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  <c r="AZ197" s="8"/>
      <c r="BA197" s="8"/>
      <c r="BB197" s="8"/>
      <c r="BC197" s="8"/>
      <c r="BD197" s="8"/>
      <c r="BE197" s="8"/>
      <c r="BF197" s="8"/>
      <c r="BG197" s="8"/>
      <c r="BH197" s="8"/>
      <c r="BI197" s="8"/>
      <c r="BJ197" s="8"/>
      <c r="BK197" s="8"/>
      <c r="BL197" s="8"/>
      <c r="BM197" s="8"/>
      <c r="BN197" s="8"/>
      <c r="BO197" s="8"/>
      <c r="BP197" s="8"/>
      <c r="BQ197" s="8"/>
      <c r="BR197" s="8"/>
      <c r="BS197" s="8"/>
      <c r="BT197" s="8"/>
      <c r="BU197" s="8"/>
      <c r="BV197" s="8"/>
      <c r="BW197" s="8"/>
      <c r="BX197" s="8"/>
      <c r="BY197" s="8"/>
      <c r="BZ197" s="8"/>
      <c r="CA197" s="8"/>
      <c r="CB197" s="8"/>
      <c r="CC197" s="8"/>
      <c r="CD197" s="8"/>
      <c r="CE197" s="8"/>
      <c r="CF197" s="8"/>
      <c r="CG197" s="8"/>
      <c r="CH197" s="8"/>
      <c r="CI197" s="8"/>
      <c r="CJ197" s="8"/>
      <c r="CK197" s="8"/>
      <c r="CL197" s="8"/>
      <c r="CM197" s="8"/>
      <c r="CN197" s="8"/>
      <c r="CO197" s="8"/>
      <c r="CP197" s="8"/>
      <c r="CQ197" s="8"/>
      <c r="CR197" s="8"/>
      <c r="CS197" s="8"/>
      <c r="CT197" s="8"/>
      <c r="CU197" s="8"/>
      <c r="CV197" s="8"/>
      <c r="CW197" s="8"/>
      <c r="CX197" s="8"/>
      <c r="CY197" s="8"/>
      <c r="CZ197" s="8"/>
    </row>
    <row r="198" spans="1:104" x14ac:dyDescent="0.25">
      <c r="A198" s="2"/>
      <c r="B198" s="2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  <c r="AZ198" s="8"/>
      <c r="BA198" s="8"/>
      <c r="BB198" s="8"/>
      <c r="BC198" s="8"/>
      <c r="BD198" s="8"/>
      <c r="BE198" s="8"/>
      <c r="BF198" s="8"/>
      <c r="BG198" s="8"/>
      <c r="BH198" s="8"/>
      <c r="BI198" s="8"/>
      <c r="BJ198" s="8"/>
      <c r="BK198" s="8"/>
      <c r="BL198" s="8"/>
      <c r="BM198" s="8"/>
      <c r="BN198" s="8"/>
      <c r="BO198" s="8"/>
      <c r="BP198" s="8"/>
      <c r="BQ198" s="8"/>
      <c r="BR198" s="8"/>
      <c r="BS198" s="8"/>
      <c r="BT198" s="8"/>
      <c r="BU198" s="8"/>
      <c r="BV198" s="8"/>
      <c r="BW198" s="8"/>
      <c r="BX198" s="8"/>
      <c r="BY198" s="8"/>
      <c r="BZ198" s="8"/>
      <c r="CA198" s="8"/>
      <c r="CB198" s="8"/>
      <c r="CC198" s="8"/>
      <c r="CD198" s="8"/>
      <c r="CE198" s="8"/>
      <c r="CF198" s="8"/>
      <c r="CG198" s="8"/>
      <c r="CH198" s="8"/>
      <c r="CI198" s="8"/>
      <c r="CJ198" s="8"/>
      <c r="CK198" s="8"/>
      <c r="CL198" s="8"/>
      <c r="CM198" s="8"/>
      <c r="CN198" s="8"/>
      <c r="CO198" s="8"/>
      <c r="CP198" s="8"/>
      <c r="CQ198" s="8"/>
      <c r="CR198" s="8"/>
      <c r="CS198" s="8"/>
      <c r="CT198" s="8"/>
      <c r="CU198" s="8"/>
      <c r="CV198" s="8"/>
      <c r="CW198" s="8"/>
      <c r="CX198" s="8"/>
      <c r="CY198" s="8"/>
      <c r="CZ198" s="8"/>
    </row>
    <row r="199" spans="1:104" x14ac:dyDescent="0.25">
      <c r="A199" s="2"/>
      <c r="B199" s="2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  <c r="AZ199" s="8"/>
      <c r="BA199" s="8"/>
      <c r="BB199" s="8"/>
      <c r="BC199" s="8"/>
      <c r="BD199" s="8"/>
      <c r="BE199" s="8"/>
      <c r="BF199" s="8"/>
      <c r="BG199" s="8"/>
      <c r="BH199" s="8"/>
      <c r="BI199" s="8"/>
      <c r="BJ199" s="8"/>
      <c r="BK199" s="8"/>
      <c r="BL199" s="8"/>
      <c r="BM199" s="8"/>
      <c r="BN199" s="8"/>
      <c r="BO199" s="8"/>
      <c r="BP199" s="8"/>
      <c r="BQ199" s="8"/>
      <c r="BR199" s="8"/>
      <c r="BS199" s="8"/>
      <c r="BT199" s="8"/>
      <c r="BU199" s="8"/>
      <c r="BV199" s="8"/>
      <c r="BW199" s="8"/>
      <c r="BX199" s="8"/>
      <c r="BY199" s="8"/>
      <c r="BZ199" s="8"/>
      <c r="CA199" s="8"/>
      <c r="CB199" s="8"/>
      <c r="CC199" s="8"/>
      <c r="CD199" s="8"/>
      <c r="CE199" s="8"/>
      <c r="CF199" s="8"/>
      <c r="CG199" s="8"/>
      <c r="CH199" s="8"/>
      <c r="CI199" s="8"/>
      <c r="CJ199" s="8"/>
      <c r="CK199" s="8"/>
      <c r="CL199" s="8"/>
      <c r="CM199" s="8"/>
      <c r="CN199" s="8"/>
      <c r="CO199" s="8"/>
      <c r="CP199" s="8"/>
      <c r="CQ199" s="8"/>
      <c r="CR199" s="8"/>
      <c r="CS199" s="8"/>
      <c r="CT199" s="8"/>
      <c r="CU199" s="8"/>
      <c r="CV199" s="8"/>
      <c r="CW199" s="8"/>
      <c r="CX199" s="8"/>
      <c r="CY199" s="8"/>
      <c r="CZ199" s="8"/>
    </row>
    <row r="200" spans="1:104" x14ac:dyDescent="0.25">
      <c r="A200" s="2"/>
      <c r="B200" s="2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  <c r="AZ200" s="8"/>
      <c r="BA200" s="8"/>
      <c r="BB200" s="8"/>
      <c r="BC200" s="8"/>
      <c r="BD200" s="8"/>
      <c r="BE200" s="8"/>
      <c r="BF200" s="8"/>
      <c r="BG200" s="8"/>
      <c r="BH200" s="8"/>
      <c r="BI200" s="8"/>
      <c r="BJ200" s="8"/>
      <c r="BK200" s="8"/>
      <c r="BL200" s="8"/>
      <c r="BM200" s="8"/>
      <c r="BN200" s="8"/>
      <c r="BO200" s="8"/>
      <c r="BP200" s="8"/>
      <c r="BQ200" s="8"/>
      <c r="BR200" s="8"/>
      <c r="BS200" s="8"/>
      <c r="BT200" s="8"/>
      <c r="BU200" s="8"/>
      <c r="BV200" s="8"/>
      <c r="BW200" s="8"/>
      <c r="BX200" s="8"/>
      <c r="BY200" s="8"/>
      <c r="BZ200" s="8"/>
      <c r="CA200" s="8"/>
      <c r="CB200" s="8"/>
      <c r="CC200" s="8"/>
      <c r="CD200" s="8"/>
      <c r="CE200" s="8"/>
      <c r="CF200" s="8"/>
      <c r="CG200" s="8"/>
      <c r="CH200" s="8"/>
      <c r="CI200" s="8"/>
      <c r="CJ200" s="8"/>
      <c r="CK200" s="8"/>
      <c r="CL200" s="8"/>
      <c r="CM200" s="8"/>
      <c r="CN200" s="8"/>
      <c r="CO200" s="8"/>
      <c r="CP200" s="8"/>
      <c r="CQ200" s="8"/>
      <c r="CR200" s="8"/>
      <c r="CS200" s="8"/>
      <c r="CT200" s="8"/>
      <c r="CU200" s="8"/>
      <c r="CV200" s="8"/>
      <c r="CW200" s="8"/>
      <c r="CX200" s="8"/>
      <c r="CY200" s="8"/>
      <c r="CZ200" s="8"/>
    </row>
    <row r="201" spans="1:104" x14ac:dyDescent="0.25">
      <c r="A201" s="2"/>
      <c r="B201" s="2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  <c r="AY201" s="8"/>
      <c r="AZ201" s="8"/>
      <c r="BA201" s="8"/>
      <c r="BB201" s="8"/>
      <c r="BC201" s="8"/>
      <c r="BD201" s="8"/>
      <c r="BE201" s="8"/>
      <c r="BF201" s="8"/>
      <c r="BG201" s="8"/>
      <c r="BH201" s="8"/>
      <c r="BI201" s="8"/>
      <c r="BJ201" s="8"/>
      <c r="BK201" s="8"/>
      <c r="BL201" s="8"/>
      <c r="BM201" s="8"/>
      <c r="BN201" s="8"/>
      <c r="BO201" s="8"/>
      <c r="BP201" s="8"/>
      <c r="BQ201" s="8"/>
      <c r="BR201" s="8"/>
      <c r="BS201" s="8"/>
      <c r="BT201" s="8"/>
      <c r="BU201" s="8"/>
      <c r="BV201" s="8"/>
      <c r="BW201" s="8"/>
      <c r="BX201" s="8"/>
      <c r="BY201" s="8"/>
      <c r="BZ201" s="8"/>
      <c r="CA201" s="8"/>
      <c r="CB201" s="8"/>
      <c r="CC201" s="8"/>
      <c r="CD201" s="8"/>
      <c r="CE201" s="8"/>
      <c r="CF201" s="8"/>
      <c r="CG201" s="8"/>
      <c r="CH201" s="8"/>
      <c r="CI201" s="8"/>
      <c r="CJ201" s="8"/>
      <c r="CK201" s="8"/>
      <c r="CL201" s="8"/>
      <c r="CM201" s="8"/>
      <c r="CN201" s="8"/>
      <c r="CO201" s="8"/>
      <c r="CP201" s="8"/>
      <c r="CQ201" s="8"/>
      <c r="CR201" s="8"/>
      <c r="CS201" s="8"/>
      <c r="CT201" s="8"/>
      <c r="CU201" s="8"/>
      <c r="CV201" s="8"/>
      <c r="CW201" s="8"/>
      <c r="CX201" s="8"/>
      <c r="CY201" s="8"/>
      <c r="CZ201" s="8"/>
    </row>
    <row r="202" spans="1:104" x14ac:dyDescent="0.25">
      <c r="A202" s="2"/>
      <c r="B202" s="2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  <c r="AY202" s="8"/>
      <c r="AZ202" s="8"/>
      <c r="BA202" s="8"/>
      <c r="BB202" s="8"/>
      <c r="BC202" s="8"/>
      <c r="BD202" s="8"/>
      <c r="BE202" s="8"/>
      <c r="BF202" s="8"/>
      <c r="BG202" s="8"/>
      <c r="BH202" s="8"/>
      <c r="BI202" s="8"/>
      <c r="BJ202" s="8"/>
      <c r="BK202" s="8"/>
      <c r="BL202" s="8"/>
      <c r="BM202" s="8"/>
      <c r="BN202" s="8"/>
      <c r="BO202" s="8"/>
      <c r="BP202" s="8"/>
      <c r="BQ202" s="8"/>
      <c r="BR202" s="8"/>
      <c r="BS202" s="8"/>
      <c r="BT202" s="8"/>
      <c r="BU202" s="8"/>
      <c r="BV202" s="8"/>
      <c r="BW202" s="8"/>
      <c r="BX202" s="8"/>
      <c r="BY202" s="8"/>
      <c r="BZ202" s="8"/>
      <c r="CA202" s="8"/>
      <c r="CB202" s="8"/>
      <c r="CC202" s="8"/>
      <c r="CD202" s="8"/>
      <c r="CE202" s="8"/>
      <c r="CF202" s="8"/>
      <c r="CG202" s="8"/>
      <c r="CH202" s="8"/>
      <c r="CI202" s="8"/>
      <c r="CJ202" s="8"/>
      <c r="CK202" s="8"/>
      <c r="CL202" s="8"/>
      <c r="CM202" s="8"/>
      <c r="CN202" s="8"/>
      <c r="CO202" s="8"/>
      <c r="CP202" s="8"/>
      <c r="CQ202" s="8"/>
      <c r="CR202" s="8"/>
      <c r="CS202" s="8"/>
      <c r="CT202" s="8"/>
      <c r="CU202" s="8"/>
      <c r="CV202" s="8"/>
      <c r="CW202" s="8"/>
      <c r="CX202" s="8"/>
      <c r="CY202" s="8"/>
      <c r="CZ202" s="8"/>
    </row>
    <row r="203" spans="1:104" x14ac:dyDescent="0.25">
      <c r="A203" s="2"/>
      <c r="B203" s="2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  <c r="AZ203" s="8"/>
      <c r="BA203" s="8"/>
      <c r="BB203" s="8"/>
      <c r="BC203" s="8"/>
      <c r="BD203" s="8"/>
      <c r="BE203" s="8"/>
      <c r="BF203" s="8"/>
      <c r="BG203" s="8"/>
      <c r="BH203" s="8"/>
      <c r="BI203" s="8"/>
      <c r="BJ203" s="8"/>
      <c r="BK203" s="8"/>
      <c r="BL203" s="8"/>
      <c r="BM203" s="8"/>
      <c r="BN203" s="8"/>
      <c r="BO203" s="8"/>
      <c r="BP203" s="8"/>
      <c r="BQ203" s="8"/>
      <c r="BR203" s="8"/>
      <c r="BS203" s="8"/>
      <c r="BT203" s="8"/>
      <c r="BU203" s="8"/>
      <c r="BV203" s="8"/>
      <c r="BW203" s="8"/>
      <c r="BX203" s="8"/>
      <c r="BY203" s="8"/>
      <c r="BZ203" s="8"/>
      <c r="CA203" s="8"/>
      <c r="CB203" s="8"/>
      <c r="CC203" s="8"/>
      <c r="CD203" s="8"/>
      <c r="CE203" s="8"/>
      <c r="CF203" s="8"/>
      <c r="CG203" s="8"/>
      <c r="CH203" s="8"/>
      <c r="CI203" s="8"/>
      <c r="CJ203" s="8"/>
      <c r="CK203" s="8"/>
      <c r="CL203" s="8"/>
      <c r="CM203" s="8"/>
      <c r="CN203" s="8"/>
      <c r="CO203" s="8"/>
      <c r="CP203" s="8"/>
      <c r="CQ203" s="8"/>
      <c r="CR203" s="8"/>
      <c r="CS203" s="8"/>
      <c r="CT203" s="8"/>
      <c r="CU203" s="8"/>
      <c r="CV203" s="8"/>
      <c r="CW203" s="8"/>
      <c r="CX203" s="8"/>
      <c r="CY203" s="8"/>
      <c r="CZ203" s="8"/>
    </row>
    <row r="204" spans="1:104" x14ac:dyDescent="0.25">
      <c r="A204" s="2"/>
      <c r="B204" s="2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8"/>
      <c r="AZ204" s="8"/>
      <c r="BA204" s="8"/>
      <c r="BB204" s="8"/>
      <c r="BC204" s="8"/>
      <c r="BD204" s="8"/>
      <c r="BE204" s="8"/>
      <c r="BF204" s="8"/>
      <c r="BG204" s="8"/>
      <c r="BH204" s="8"/>
      <c r="BI204" s="8"/>
      <c r="BJ204" s="8"/>
      <c r="BK204" s="8"/>
      <c r="BL204" s="8"/>
      <c r="BM204" s="8"/>
      <c r="BN204" s="8"/>
      <c r="BO204" s="8"/>
      <c r="BP204" s="8"/>
      <c r="BQ204" s="8"/>
      <c r="BR204" s="8"/>
      <c r="BS204" s="8"/>
      <c r="BT204" s="8"/>
      <c r="BU204" s="8"/>
      <c r="BV204" s="8"/>
      <c r="BW204" s="8"/>
      <c r="BX204" s="8"/>
      <c r="BY204" s="8"/>
      <c r="BZ204" s="8"/>
      <c r="CA204" s="8"/>
      <c r="CB204" s="8"/>
      <c r="CC204" s="8"/>
      <c r="CD204" s="8"/>
      <c r="CE204" s="8"/>
      <c r="CF204" s="8"/>
      <c r="CG204" s="8"/>
      <c r="CH204" s="8"/>
      <c r="CI204" s="8"/>
      <c r="CJ204" s="8"/>
      <c r="CK204" s="8"/>
      <c r="CL204" s="8"/>
      <c r="CM204" s="8"/>
      <c r="CN204" s="8"/>
      <c r="CO204" s="8"/>
      <c r="CP204" s="8"/>
      <c r="CQ204" s="8"/>
      <c r="CR204" s="8"/>
      <c r="CS204" s="8"/>
      <c r="CT204" s="8"/>
      <c r="CU204" s="8"/>
      <c r="CV204" s="8"/>
      <c r="CW204" s="8"/>
      <c r="CX204" s="8"/>
      <c r="CY204" s="8"/>
      <c r="CZ204" s="8"/>
    </row>
    <row r="205" spans="1:104" x14ac:dyDescent="0.25">
      <c r="A205" s="2"/>
      <c r="B205" s="2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  <c r="AZ205" s="8"/>
      <c r="BA205" s="8"/>
      <c r="BB205" s="8"/>
      <c r="BC205" s="8"/>
      <c r="BD205" s="8"/>
      <c r="BE205" s="8"/>
      <c r="BF205" s="8"/>
      <c r="BG205" s="8"/>
      <c r="BH205" s="8"/>
      <c r="BI205" s="8"/>
      <c r="BJ205" s="8"/>
      <c r="BK205" s="8"/>
      <c r="BL205" s="8"/>
      <c r="BM205" s="8"/>
      <c r="BN205" s="8"/>
      <c r="BO205" s="8"/>
      <c r="BP205" s="8"/>
      <c r="BQ205" s="8"/>
      <c r="BR205" s="8"/>
      <c r="BS205" s="8"/>
      <c r="BT205" s="8"/>
      <c r="BU205" s="8"/>
      <c r="BV205" s="8"/>
      <c r="BW205" s="8"/>
      <c r="BX205" s="8"/>
      <c r="BY205" s="8"/>
      <c r="BZ205" s="8"/>
      <c r="CA205" s="8"/>
      <c r="CB205" s="8"/>
      <c r="CC205" s="8"/>
      <c r="CD205" s="8"/>
      <c r="CE205" s="8"/>
      <c r="CF205" s="8"/>
      <c r="CG205" s="8"/>
      <c r="CH205" s="8"/>
      <c r="CI205" s="8"/>
      <c r="CJ205" s="8"/>
      <c r="CK205" s="8"/>
      <c r="CL205" s="8"/>
      <c r="CM205" s="8"/>
      <c r="CN205" s="8"/>
      <c r="CO205" s="8"/>
      <c r="CP205" s="8"/>
      <c r="CQ205" s="8"/>
      <c r="CR205" s="8"/>
      <c r="CS205" s="8"/>
      <c r="CT205" s="8"/>
      <c r="CU205" s="8"/>
      <c r="CV205" s="8"/>
      <c r="CW205" s="8"/>
      <c r="CX205" s="8"/>
      <c r="CY205" s="8"/>
      <c r="CZ205" s="8"/>
    </row>
    <row r="206" spans="1:104" x14ac:dyDescent="0.25">
      <c r="A206" s="2"/>
      <c r="B206" s="2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  <c r="AY206" s="8"/>
      <c r="AZ206" s="8"/>
      <c r="BA206" s="8"/>
      <c r="BB206" s="8"/>
      <c r="BC206" s="8"/>
      <c r="BD206" s="8"/>
      <c r="BE206" s="8"/>
      <c r="BF206" s="8"/>
      <c r="BG206" s="8"/>
      <c r="BH206" s="8"/>
      <c r="BI206" s="8"/>
      <c r="BJ206" s="8"/>
      <c r="BK206" s="8"/>
      <c r="BL206" s="8"/>
      <c r="BM206" s="8"/>
      <c r="BN206" s="8"/>
      <c r="BO206" s="8"/>
      <c r="BP206" s="8"/>
      <c r="BQ206" s="8"/>
      <c r="BR206" s="8"/>
      <c r="BS206" s="8"/>
      <c r="BT206" s="8"/>
      <c r="BU206" s="8"/>
      <c r="BV206" s="8"/>
      <c r="BW206" s="8"/>
      <c r="BX206" s="8"/>
      <c r="BY206" s="8"/>
      <c r="BZ206" s="8"/>
      <c r="CA206" s="8"/>
      <c r="CB206" s="8"/>
      <c r="CC206" s="8"/>
      <c r="CD206" s="8"/>
      <c r="CE206" s="8"/>
      <c r="CF206" s="8"/>
      <c r="CG206" s="8"/>
      <c r="CH206" s="8"/>
      <c r="CI206" s="8"/>
      <c r="CJ206" s="8"/>
      <c r="CK206" s="8"/>
      <c r="CL206" s="8"/>
      <c r="CM206" s="8"/>
      <c r="CN206" s="8"/>
      <c r="CO206" s="8"/>
      <c r="CP206" s="8"/>
      <c r="CQ206" s="8"/>
      <c r="CR206" s="8"/>
      <c r="CS206" s="8"/>
      <c r="CT206" s="8"/>
      <c r="CU206" s="8"/>
      <c r="CV206" s="8"/>
      <c r="CW206" s="8"/>
      <c r="CX206" s="8"/>
      <c r="CY206" s="8"/>
      <c r="CZ206" s="8"/>
    </row>
    <row r="207" spans="1:104" x14ac:dyDescent="0.25">
      <c r="A207" s="2"/>
      <c r="B207" s="2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  <c r="AY207" s="8"/>
      <c r="AZ207" s="8"/>
      <c r="BA207" s="8"/>
      <c r="BB207" s="8"/>
      <c r="BC207" s="8"/>
      <c r="BD207" s="8"/>
      <c r="BE207" s="8"/>
      <c r="BF207" s="8"/>
      <c r="BG207" s="8"/>
      <c r="BH207" s="8"/>
      <c r="BI207" s="8"/>
      <c r="BJ207" s="8"/>
      <c r="BK207" s="8"/>
      <c r="BL207" s="8"/>
      <c r="BM207" s="8"/>
      <c r="BN207" s="8"/>
      <c r="BO207" s="8"/>
      <c r="BP207" s="8"/>
      <c r="BQ207" s="8"/>
      <c r="BR207" s="8"/>
      <c r="BS207" s="8"/>
      <c r="BT207" s="8"/>
      <c r="BU207" s="8"/>
      <c r="BV207" s="8"/>
      <c r="BW207" s="8"/>
      <c r="BX207" s="8"/>
      <c r="BY207" s="8"/>
      <c r="BZ207" s="8"/>
      <c r="CA207" s="8"/>
      <c r="CB207" s="8"/>
      <c r="CC207" s="8"/>
      <c r="CD207" s="8"/>
      <c r="CE207" s="8"/>
      <c r="CF207" s="8"/>
      <c r="CG207" s="8"/>
      <c r="CH207" s="8"/>
      <c r="CI207" s="8"/>
      <c r="CJ207" s="8"/>
      <c r="CK207" s="8"/>
      <c r="CL207" s="8"/>
      <c r="CM207" s="8"/>
      <c r="CN207" s="8"/>
      <c r="CO207" s="8"/>
      <c r="CP207" s="8"/>
      <c r="CQ207" s="8"/>
      <c r="CR207" s="8"/>
      <c r="CS207" s="8"/>
      <c r="CT207" s="8"/>
      <c r="CU207" s="8"/>
      <c r="CV207" s="8"/>
      <c r="CW207" s="8"/>
      <c r="CX207" s="8"/>
      <c r="CY207" s="8"/>
      <c r="CZ207" s="8"/>
    </row>
    <row r="208" spans="1:104" x14ac:dyDescent="0.25">
      <c r="A208" s="2"/>
      <c r="B208" s="2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  <c r="AZ208" s="8"/>
      <c r="BA208" s="8"/>
      <c r="BB208" s="8"/>
      <c r="BC208" s="8"/>
      <c r="BD208" s="8"/>
      <c r="BE208" s="8"/>
      <c r="BF208" s="8"/>
      <c r="BG208" s="8"/>
      <c r="BH208" s="8"/>
      <c r="BI208" s="8"/>
      <c r="BJ208" s="8"/>
      <c r="BK208" s="8"/>
      <c r="BL208" s="8"/>
      <c r="BM208" s="8"/>
      <c r="BN208" s="8"/>
      <c r="BO208" s="8"/>
      <c r="BP208" s="8"/>
      <c r="BQ208" s="8"/>
      <c r="BR208" s="8"/>
      <c r="BS208" s="8"/>
      <c r="BT208" s="8"/>
      <c r="BU208" s="8"/>
      <c r="BV208" s="8"/>
      <c r="BW208" s="8"/>
      <c r="BX208" s="8"/>
      <c r="BY208" s="8"/>
      <c r="BZ208" s="8"/>
      <c r="CA208" s="8"/>
      <c r="CB208" s="8"/>
      <c r="CC208" s="8"/>
      <c r="CD208" s="8"/>
      <c r="CE208" s="8"/>
      <c r="CF208" s="8"/>
      <c r="CG208" s="8"/>
      <c r="CH208" s="8"/>
      <c r="CI208" s="8"/>
      <c r="CJ208" s="8"/>
      <c r="CK208" s="8"/>
      <c r="CL208" s="8"/>
      <c r="CM208" s="8"/>
      <c r="CN208" s="8"/>
      <c r="CO208" s="8"/>
      <c r="CP208" s="8"/>
      <c r="CQ208" s="8"/>
      <c r="CR208" s="8"/>
      <c r="CS208" s="8"/>
      <c r="CT208" s="8"/>
      <c r="CU208" s="8"/>
      <c r="CV208" s="8"/>
      <c r="CW208" s="8"/>
      <c r="CX208" s="8"/>
      <c r="CY208" s="8"/>
      <c r="CZ208" s="8"/>
    </row>
    <row r="209" spans="1:104" x14ac:dyDescent="0.25">
      <c r="A209" s="2"/>
      <c r="B209" s="2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  <c r="AZ209" s="8"/>
      <c r="BA209" s="8"/>
      <c r="BB209" s="8"/>
      <c r="BC209" s="8"/>
      <c r="BD209" s="8"/>
      <c r="BE209" s="8"/>
      <c r="BF209" s="8"/>
      <c r="BG209" s="8"/>
      <c r="BH209" s="8"/>
      <c r="BI209" s="8"/>
      <c r="BJ209" s="8"/>
      <c r="BK209" s="8"/>
      <c r="BL209" s="8"/>
      <c r="BM209" s="8"/>
      <c r="BN209" s="8"/>
      <c r="BO209" s="8"/>
      <c r="BP209" s="8"/>
      <c r="BQ209" s="8"/>
      <c r="BR209" s="8"/>
      <c r="BS209" s="8"/>
      <c r="BT209" s="8"/>
      <c r="BU209" s="8"/>
      <c r="BV209" s="8"/>
      <c r="BW209" s="8"/>
      <c r="BX209" s="8"/>
      <c r="BY209" s="8"/>
      <c r="BZ209" s="8"/>
      <c r="CA209" s="8"/>
      <c r="CB209" s="8"/>
      <c r="CC209" s="8"/>
      <c r="CD209" s="8"/>
      <c r="CE209" s="8"/>
      <c r="CF209" s="8"/>
      <c r="CG209" s="8"/>
      <c r="CH209" s="8"/>
      <c r="CI209" s="8"/>
      <c r="CJ209" s="8"/>
      <c r="CK209" s="8"/>
      <c r="CL209" s="8"/>
      <c r="CM209" s="8"/>
      <c r="CN209" s="8"/>
      <c r="CO209" s="8"/>
      <c r="CP209" s="8"/>
      <c r="CQ209" s="8"/>
      <c r="CR209" s="8"/>
      <c r="CS209" s="8"/>
      <c r="CT209" s="8"/>
      <c r="CU209" s="8"/>
      <c r="CV209" s="8"/>
      <c r="CW209" s="8"/>
      <c r="CX209" s="8"/>
      <c r="CY209" s="8"/>
      <c r="CZ209" s="8"/>
    </row>
    <row r="210" spans="1:104" x14ac:dyDescent="0.25">
      <c r="A210" s="2"/>
      <c r="B210" s="2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  <c r="AY210" s="8"/>
      <c r="AZ210" s="8"/>
      <c r="BA210" s="8"/>
      <c r="BB210" s="8"/>
      <c r="BC210" s="8"/>
      <c r="BD210" s="8"/>
      <c r="BE210" s="8"/>
      <c r="BF210" s="8"/>
      <c r="BG210" s="8"/>
      <c r="BH210" s="8"/>
      <c r="BI210" s="8"/>
      <c r="BJ210" s="8"/>
      <c r="BK210" s="8"/>
      <c r="BL210" s="8"/>
      <c r="BM210" s="8"/>
      <c r="BN210" s="8"/>
      <c r="BO210" s="8"/>
      <c r="BP210" s="8"/>
      <c r="BQ210" s="8"/>
      <c r="BR210" s="8"/>
      <c r="BS210" s="8"/>
      <c r="BT210" s="8"/>
      <c r="BU210" s="8"/>
      <c r="BV210" s="8"/>
      <c r="BW210" s="8"/>
      <c r="BX210" s="8"/>
      <c r="BY210" s="8"/>
      <c r="BZ210" s="8"/>
      <c r="CA210" s="8"/>
      <c r="CB210" s="8"/>
      <c r="CC210" s="8"/>
      <c r="CD210" s="8"/>
      <c r="CE210" s="8"/>
      <c r="CF210" s="8"/>
      <c r="CG210" s="8"/>
      <c r="CH210" s="8"/>
      <c r="CI210" s="8"/>
      <c r="CJ210" s="8"/>
      <c r="CK210" s="8"/>
      <c r="CL210" s="8"/>
      <c r="CM210" s="8"/>
      <c r="CN210" s="8"/>
      <c r="CO210" s="8"/>
      <c r="CP210" s="8"/>
      <c r="CQ210" s="8"/>
      <c r="CR210" s="8"/>
      <c r="CS210" s="8"/>
      <c r="CT210" s="8"/>
      <c r="CU210" s="8"/>
      <c r="CV210" s="8"/>
      <c r="CW210" s="8"/>
      <c r="CX210" s="8"/>
      <c r="CY210" s="8"/>
      <c r="CZ210" s="8"/>
    </row>
    <row r="211" spans="1:104" x14ac:dyDescent="0.25">
      <c r="A211" s="2"/>
      <c r="B211" s="2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8"/>
      <c r="AZ211" s="8"/>
      <c r="BA211" s="8"/>
      <c r="BB211" s="8"/>
      <c r="BC211" s="8"/>
      <c r="BD211" s="8"/>
      <c r="BE211" s="8"/>
      <c r="BF211" s="8"/>
      <c r="BG211" s="8"/>
      <c r="BH211" s="8"/>
      <c r="BI211" s="8"/>
      <c r="BJ211" s="8"/>
      <c r="BK211" s="8"/>
      <c r="BL211" s="8"/>
      <c r="BM211" s="8"/>
      <c r="BN211" s="8"/>
      <c r="BO211" s="8"/>
      <c r="BP211" s="8"/>
      <c r="BQ211" s="8"/>
      <c r="BR211" s="8"/>
      <c r="BS211" s="8"/>
      <c r="BT211" s="8"/>
      <c r="BU211" s="8"/>
      <c r="BV211" s="8"/>
      <c r="BW211" s="8"/>
      <c r="BX211" s="8"/>
      <c r="BY211" s="8"/>
      <c r="BZ211" s="8"/>
      <c r="CA211" s="8"/>
      <c r="CB211" s="8"/>
      <c r="CC211" s="8"/>
      <c r="CD211" s="8"/>
      <c r="CE211" s="8"/>
      <c r="CF211" s="8"/>
      <c r="CG211" s="8"/>
      <c r="CH211" s="8"/>
      <c r="CI211" s="8"/>
      <c r="CJ211" s="8"/>
      <c r="CK211" s="8"/>
      <c r="CL211" s="8"/>
      <c r="CM211" s="8"/>
      <c r="CN211" s="8"/>
      <c r="CO211" s="8"/>
      <c r="CP211" s="8"/>
      <c r="CQ211" s="8"/>
      <c r="CR211" s="8"/>
      <c r="CS211" s="8"/>
      <c r="CT211" s="8"/>
      <c r="CU211" s="8"/>
      <c r="CV211" s="8"/>
      <c r="CW211" s="8"/>
      <c r="CX211" s="8"/>
      <c r="CY211" s="8"/>
      <c r="CZ211" s="8"/>
    </row>
    <row r="212" spans="1:104" x14ac:dyDescent="0.25">
      <c r="A212" s="2"/>
      <c r="B212" s="2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AY212" s="8"/>
      <c r="AZ212" s="8"/>
      <c r="BA212" s="8"/>
      <c r="BB212" s="8"/>
      <c r="BC212" s="8"/>
      <c r="BD212" s="8"/>
      <c r="BE212" s="8"/>
      <c r="BF212" s="8"/>
      <c r="BG212" s="8"/>
      <c r="BH212" s="8"/>
      <c r="BI212" s="8"/>
      <c r="BJ212" s="8"/>
      <c r="BK212" s="8"/>
      <c r="BL212" s="8"/>
      <c r="BM212" s="8"/>
      <c r="BN212" s="8"/>
      <c r="BO212" s="8"/>
      <c r="BP212" s="8"/>
      <c r="BQ212" s="8"/>
      <c r="BR212" s="8"/>
      <c r="BS212" s="8"/>
      <c r="BT212" s="8"/>
      <c r="BU212" s="8"/>
      <c r="BV212" s="8"/>
      <c r="BW212" s="8"/>
      <c r="BX212" s="8"/>
      <c r="BY212" s="8"/>
      <c r="BZ212" s="8"/>
      <c r="CA212" s="8"/>
      <c r="CB212" s="8"/>
      <c r="CC212" s="8"/>
      <c r="CD212" s="8"/>
      <c r="CE212" s="8"/>
      <c r="CF212" s="8"/>
      <c r="CG212" s="8"/>
      <c r="CH212" s="8"/>
      <c r="CI212" s="8"/>
      <c r="CJ212" s="8"/>
      <c r="CK212" s="8"/>
      <c r="CL212" s="8"/>
      <c r="CM212" s="8"/>
      <c r="CN212" s="8"/>
      <c r="CO212" s="8"/>
      <c r="CP212" s="8"/>
      <c r="CQ212" s="8"/>
      <c r="CR212" s="8"/>
      <c r="CS212" s="8"/>
      <c r="CT212" s="8"/>
      <c r="CU212" s="8"/>
      <c r="CV212" s="8"/>
      <c r="CW212" s="8"/>
      <c r="CX212" s="8"/>
      <c r="CY212" s="8"/>
      <c r="CZ212" s="8"/>
    </row>
    <row r="213" spans="1:104" x14ac:dyDescent="0.25">
      <c r="A213" s="2"/>
      <c r="B213" s="2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  <c r="AY213" s="8"/>
      <c r="AZ213" s="8"/>
      <c r="BA213" s="8"/>
      <c r="BB213" s="8"/>
      <c r="BC213" s="8"/>
      <c r="BD213" s="8"/>
      <c r="BE213" s="8"/>
      <c r="BF213" s="8"/>
      <c r="BG213" s="8"/>
      <c r="BH213" s="8"/>
      <c r="BI213" s="8"/>
      <c r="BJ213" s="8"/>
      <c r="BK213" s="8"/>
      <c r="BL213" s="8"/>
      <c r="BM213" s="8"/>
      <c r="BN213" s="8"/>
      <c r="BO213" s="8"/>
      <c r="BP213" s="8"/>
      <c r="BQ213" s="8"/>
      <c r="BR213" s="8"/>
      <c r="BS213" s="8"/>
      <c r="BT213" s="8"/>
      <c r="BU213" s="8"/>
      <c r="BV213" s="8"/>
      <c r="BW213" s="8"/>
      <c r="BX213" s="8"/>
      <c r="BY213" s="8"/>
      <c r="BZ213" s="8"/>
      <c r="CA213" s="8"/>
      <c r="CB213" s="8"/>
      <c r="CC213" s="8"/>
      <c r="CD213" s="8"/>
      <c r="CE213" s="8"/>
      <c r="CF213" s="8"/>
      <c r="CG213" s="8"/>
      <c r="CH213" s="8"/>
      <c r="CI213" s="8"/>
      <c r="CJ213" s="8"/>
      <c r="CK213" s="8"/>
      <c r="CL213" s="8"/>
      <c r="CM213" s="8"/>
      <c r="CN213" s="8"/>
      <c r="CO213" s="8"/>
      <c r="CP213" s="8"/>
      <c r="CQ213" s="8"/>
      <c r="CR213" s="8"/>
      <c r="CS213" s="8"/>
      <c r="CT213" s="8"/>
      <c r="CU213" s="8"/>
      <c r="CV213" s="8"/>
      <c r="CW213" s="8"/>
      <c r="CX213" s="8"/>
      <c r="CY213" s="8"/>
      <c r="CZ213" s="8"/>
    </row>
    <row r="214" spans="1:104" x14ac:dyDescent="0.25">
      <c r="A214" s="2"/>
      <c r="B214" s="2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  <c r="AY214" s="8"/>
      <c r="AZ214" s="8"/>
      <c r="BA214" s="8"/>
      <c r="BB214" s="8"/>
      <c r="BC214" s="8"/>
      <c r="BD214" s="8"/>
      <c r="BE214" s="8"/>
      <c r="BF214" s="8"/>
      <c r="BG214" s="8"/>
      <c r="BH214" s="8"/>
      <c r="BI214" s="8"/>
      <c r="BJ214" s="8"/>
      <c r="BK214" s="8"/>
      <c r="BL214" s="8"/>
      <c r="BM214" s="8"/>
      <c r="BN214" s="8"/>
      <c r="BO214" s="8"/>
      <c r="BP214" s="8"/>
      <c r="BQ214" s="8"/>
      <c r="BR214" s="8"/>
      <c r="BS214" s="8"/>
      <c r="BT214" s="8"/>
      <c r="BU214" s="8"/>
      <c r="BV214" s="8"/>
      <c r="BW214" s="8"/>
      <c r="BX214" s="8"/>
      <c r="BY214" s="8"/>
      <c r="BZ214" s="8"/>
      <c r="CA214" s="8"/>
      <c r="CB214" s="8"/>
      <c r="CC214" s="8"/>
      <c r="CD214" s="8"/>
      <c r="CE214" s="8"/>
      <c r="CF214" s="8"/>
      <c r="CG214" s="8"/>
      <c r="CH214" s="8"/>
      <c r="CI214" s="8"/>
      <c r="CJ214" s="8"/>
      <c r="CK214" s="8"/>
      <c r="CL214" s="8"/>
      <c r="CM214" s="8"/>
      <c r="CN214" s="8"/>
      <c r="CO214" s="8"/>
      <c r="CP214" s="8"/>
      <c r="CQ214" s="8"/>
      <c r="CR214" s="8"/>
      <c r="CS214" s="8"/>
      <c r="CT214" s="8"/>
      <c r="CU214" s="8"/>
      <c r="CV214" s="8"/>
      <c r="CW214" s="8"/>
      <c r="CX214" s="8"/>
      <c r="CY214" s="8"/>
      <c r="CZ214" s="8"/>
    </row>
    <row r="215" spans="1:104" x14ac:dyDescent="0.25">
      <c r="A215" s="2"/>
      <c r="B215" s="2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  <c r="AY215" s="8"/>
      <c r="AZ215" s="8"/>
      <c r="BA215" s="8"/>
      <c r="BB215" s="8"/>
      <c r="BC215" s="8"/>
      <c r="BD215" s="8"/>
      <c r="BE215" s="8"/>
      <c r="BF215" s="8"/>
      <c r="BG215" s="8"/>
      <c r="BH215" s="8"/>
      <c r="BI215" s="8"/>
      <c r="BJ215" s="8"/>
      <c r="BK215" s="8"/>
      <c r="BL215" s="8"/>
      <c r="BM215" s="8"/>
      <c r="BN215" s="8"/>
      <c r="BO215" s="8"/>
      <c r="BP215" s="8"/>
      <c r="BQ215" s="8"/>
      <c r="BR215" s="8"/>
      <c r="BS215" s="8"/>
      <c r="BT215" s="8"/>
      <c r="BU215" s="8"/>
      <c r="BV215" s="8"/>
      <c r="BW215" s="8"/>
      <c r="BX215" s="8"/>
      <c r="BY215" s="8"/>
      <c r="BZ215" s="8"/>
      <c r="CA215" s="8"/>
      <c r="CB215" s="8"/>
      <c r="CC215" s="8"/>
      <c r="CD215" s="8"/>
      <c r="CE215" s="8"/>
      <c r="CF215" s="8"/>
      <c r="CG215" s="8"/>
      <c r="CH215" s="8"/>
      <c r="CI215" s="8"/>
      <c r="CJ215" s="8"/>
      <c r="CK215" s="8"/>
      <c r="CL215" s="8"/>
      <c r="CM215" s="8"/>
      <c r="CN215" s="8"/>
      <c r="CO215" s="8"/>
      <c r="CP215" s="8"/>
      <c r="CQ215" s="8"/>
      <c r="CR215" s="8"/>
      <c r="CS215" s="8"/>
      <c r="CT215" s="8"/>
      <c r="CU215" s="8"/>
      <c r="CV215" s="8"/>
      <c r="CW215" s="8"/>
      <c r="CX215" s="8"/>
      <c r="CY215" s="8"/>
      <c r="CZ215" s="8"/>
    </row>
    <row r="216" spans="1:104" x14ac:dyDescent="0.25">
      <c r="A216" s="2"/>
      <c r="B216" s="2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  <c r="AY216" s="8"/>
      <c r="AZ216" s="8"/>
      <c r="BA216" s="8"/>
      <c r="BB216" s="8"/>
      <c r="BC216" s="8"/>
      <c r="BD216" s="8"/>
      <c r="BE216" s="8"/>
      <c r="BF216" s="8"/>
      <c r="BG216" s="8"/>
      <c r="BH216" s="8"/>
      <c r="BI216" s="8"/>
      <c r="BJ216" s="8"/>
      <c r="BK216" s="8"/>
      <c r="BL216" s="8"/>
      <c r="BM216" s="8"/>
      <c r="BN216" s="8"/>
      <c r="BO216" s="8"/>
      <c r="BP216" s="8"/>
      <c r="BQ216" s="8"/>
      <c r="BR216" s="8"/>
      <c r="BS216" s="8"/>
      <c r="BT216" s="8"/>
      <c r="BU216" s="8"/>
      <c r="BV216" s="8"/>
      <c r="BW216" s="8"/>
      <c r="BX216" s="8"/>
      <c r="BY216" s="8"/>
      <c r="BZ216" s="8"/>
      <c r="CA216" s="8"/>
      <c r="CB216" s="8"/>
      <c r="CC216" s="8"/>
      <c r="CD216" s="8"/>
      <c r="CE216" s="8"/>
      <c r="CF216" s="8"/>
      <c r="CG216" s="8"/>
      <c r="CH216" s="8"/>
      <c r="CI216" s="8"/>
      <c r="CJ216" s="8"/>
      <c r="CK216" s="8"/>
      <c r="CL216" s="8"/>
      <c r="CM216" s="8"/>
      <c r="CN216" s="8"/>
      <c r="CO216" s="8"/>
      <c r="CP216" s="8"/>
      <c r="CQ216" s="8"/>
      <c r="CR216" s="8"/>
      <c r="CS216" s="8"/>
      <c r="CT216" s="8"/>
      <c r="CU216" s="8"/>
      <c r="CV216" s="8"/>
      <c r="CW216" s="8"/>
      <c r="CX216" s="8"/>
      <c r="CY216" s="8"/>
      <c r="CZ216" s="8"/>
    </row>
    <row r="217" spans="1:104" x14ac:dyDescent="0.25">
      <c r="A217" s="2"/>
      <c r="B217" s="2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8"/>
      <c r="AZ217" s="8"/>
      <c r="BA217" s="8"/>
      <c r="BB217" s="8"/>
      <c r="BC217" s="8"/>
      <c r="BD217" s="8"/>
      <c r="BE217" s="8"/>
      <c r="BF217" s="8"/>
      <c r="BG217" s="8"/>
      <c r="BH217" s="8"/>
      <c r="BI217" s="8"/>
      <c r="BJ217" s="8"/>
      <c r="BK217" s="8"/>
      <c r="BL217" s="8"/>
      <c r="BM217" s="8"/>
      <c r="BN217" s="8"/>
      <c r="BO217" s="8"/>
      <c r="BP217" s="8"/>
      <c r="BQ217" s="8"/>
      <c r="BR217" s="8"/>
      <c r="BS217" s="8"/>
      <c r="BT217" s="8"/>
      <c r="BU217" s="8"/>
      <c r="BV217" s="8"/>
      <c r="BW217" s="8"/>
      <c r="BX217" s="8"/>
      <c r="BY217" s="8"/>
      <c r="BZ217" s="8"/>
      <c r="CA217" s="8"/>
      <c r="CB217" s="8"/>
      <c r="CC217" s="8"/>
      <c r="CD217" s="8"/>
      <c r="CE217" s="8"/>
      <c r="CF217" s="8"/>
      <c r="CG217" s="8"/>
      <c r="CH217" s="8"/>
      <c r="CI217" s="8"/>
      <c r="CJ217" s="8"/>
      <c r="CK217" s="8"/>
      <c r="CL217" s="8"/>
      <c r="CM217" s="8"/>
      <c r="CN217" s="8"/>
      <c r="CO217" s="8"/>
      <c r="CP217" s="8"/>
      <c r="CQ217" s="8"/>
      <c r="CR217" s="8"/>
      <c r="CS217" s="8"/>
      <c r="CT217" s="8"/>
      <c r="CU217" s="8"/>
      <c r="CV217" s="8"/>
      <c r="CW217" s="8"/>
      <c r="CX217" s="8"/>
      <c r="CY217" s="8"/>
      <c r="CZ217" s="8"/>
    </row>
    <row r="218" spans="1:104" x14ac:dyDescent="0.25">
      <c r="A218" s="2"/>
      <c r="B218" s="2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  <c r="AZ218" s="8"/>
      <c r="BA218" s="8"/>
      <c r="BB218" s="8"/>
      <c r="BC218" s="8"/>
      <c r="BD218" s="8"/>
      <c r="BE218" s="8"/>
      <c r="BF218" s="8"/>
      <c r="BG218" s="8"/>
      <c r="BH218" s="8"/>
      <c r="BI218" s="8"/>
      <c r="BJ218" s="8"/>
      <c r="BK218" s="8"/>
      <c r="BL218" s="8"/>
      <c r="BM218" s="8"/>
      <c r="BN218" s="8"/>
      <c r="BO218" s="8"/>
      <c r="BP218" s="8"/>
      <c r="BQ218" s="8"/>
      <c r="BR218" s="8"/>
      <c r="BS218" s="8"/>
      <c r="BT218" s="8"/>
      <c r="BU218" s="8"/>
      <c r="BV218" s="8"/>
      <c r="BW218" s="8"/>
      <c r="BX218" s="8"/>
      <c r="BY218" s="8"/>
      <c r="BZ218" s="8"/>
      <c r="CA218" s="8"/>
      <c r="CB218" s="8"/>
      <c r="CC218" s="8"/>
      <c r="CD218" s="8"/>
      <c r="CE218" s="8"/>
      <c r="CF218" s="8"/>
      <c r="CG218" s="8"/>
      <c r="CH218" s="8"/>
      <c r="CI218" s="8"/>
      <c r="CJ218" s="8"/>
      <c r="CK218" s="8"/>
      <c r="CL218" s="8"/>
      <c r="CM218" s="8"/>
      <c r="CN218" s="8"/>
      <c r="CO218" s="8"/>
      <c r="CP218" s="8"/>
      <c r="CQ218" s="8"/>
      <c r="CR218" s="8"/>
      <c r="CS218" s="8"/>
      <c r="CT218" s="8"/>
      <c r="CU218" s="8"/>
      <c r="CV218" s="8"/>
      <c r="CW218" s="8"/>
      <c r="CX218" s="8"/>
      <c r="CY218" s="8"/>
      <c r="CZ218" s="8"/>
    </row>
    <row r="219" spans="1:104" x14ac:dyDescent="0.25">
      <c r="A219" s="2"/>
      <c r="B219" s="2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  <c r="AZ219" s="8"/>
      <c r="BA219" s="8"/>
      <c r="BB219" s="8"/>
      <c r="BC219" s="8"/>
      <c r="BD219" s="8"/>
      <c r="BE219" s="8"/>
      <c r="BF219" s="8"/>
      <c r="BG219" s="8"/>
      <c r="BH219" s="8"/>
      <c r="BI219" s="8"/>
      <c r="BJ219" s="8"/>
      <c r="BK219" s="8"/>
      <c r="BL219" s="8"/>
      <c r="BM219" s="8"/>
      <c r="BN219" s="8"/>
      <c r="BO219" s="8"/>
      <c r="BP219" s="8"/>
      <c r="BQ219" s="8"/>
      <c r="BR219" s="8"/>
      <c r="BS219" s="8"/>
      <c r="BT219" s="8"/>
      <c r="BU219" s="8"/>
      <c r="BV219" s="8"/>
      <c r="BW219" s="8"/>
      <c r="BX219" s="8"/>
      <c r="BY219" s="8"/>
      <c r="BZ219" s="8"/>
      <c r="CA219" s="8"/>
      <c r="CB219" s="8"/>
      <c r="CC219" s="8"/>
      <c r="CD219" s="8"/>
      <c r="CE219" s="8"/>
      <c r="CF219" s="8"/>
      <c r="CG219" s="8"/>
      <c r="CH219" s="8"/>
      <c r="CI219" s="8"/>
      <c r="CJ219" s="8"/>
      <c r="CK219" s="8"/>
      <c r="CL219" s="8"/>
      <c r="CM219" s="8"/>
      <c r="CN219" s="8"/>
      <c r="CO219" s="8"/>
      <c r="CP219" s="8"/>
      <c r="CQ219" s="8"/>
      <c r="CR219" s="8"/>
      <c r="CS219" s="8"/>
      <c r="CT219" s="8"/>
      <c r="CU219" s="8"/>
      <c r="CV219" s="8"/>
      <c r="CW219" s="8"/>
      <c r="CX219" s="8"/>
      <c r="CY219" s="8"/>
      <c r="CZ219" s="8"/>
    </row>
    <row r="220" spans="1:104" x14ac:dyDescent="0.25">
      <c r="A220" s="2"/>
      <c r="B220" s="2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  <c r="AZ220" s="8"/>
      <c r="BA220" s="8"/>
      <c r="BB220" s="8"/>
      <c r="BC220" s="8"/>
      <c r="BD220" s="8"/>
      <c r="BE220" s="8"/>
      <c r="BF220" s="8"/>
      <c r="BG220" s="8"/>
      <c r="BH220" s="8"/>
      <c r="BI220" s="8"/>
      <c r="BJ220" s="8"/>
      <c r="BK220" s="8"/>
      <c r="BL220" s="8"/>
      <c r="BM220" s="8"/>
      <c r="BN220" s="8"/>
      <c r="BO220" s="8"/>
      <c r="BP220" s="8"/>
      <c r="BQ220" s="8"/>
      <c r="BR220" s="8"/>
      <c r="BS220" s="8"/>
      <c r="BT220" s="8"/>
      <c r="BU220" s="8"/>
      <c r="BV220" s="8"/>
      <c r="BW220" s="8"/>
      <c r="BX220" s="8"/>
      <c r="BY220" s="8"/>
      <c r="BZ220" s="8"/>
      <c r="CA220" s="8"/>
      <c r="CB220" s="8"/>
      <c r="CC220" s="8"/>
      <c r="CD220" s="8"/>
      <c r="CE220" s="8"/>
      <c r="CF220" s="8"/>
      <c r="CG220" s="8"/>
      <c r="CH220" s="8"/>
      <c r="CI220" s="8"/>
      <c r="CJ220" s="8"/>
      <c r="CK220" s="8"/>
      <c r="CL220" s="8"/>
      <c r="CM220" s="8"/>
      <c r="CN220" s="8"/>
      <c r="CO220" s="8"/>
      <c r="CP220" s="8"/>
      <c r="CQ220" s="8"/>
      <c r="CR220" s="8"/>
      <c r="CS220" s="8"/>
      <c r="CT220" s="8"/>
      <c r="CU220" s="8"/>
      <c r="CV220" s="8"/>
      <c r="CW220" s="8"/>
      <c r="CX220" s="8"/>
      <c r="CY220" s="8"/>
      <c r="CZ220" s="8"/>
    </row>
    <row r="221" spans="1:104" x14ac:dyDescent="0.25">
      <c r="A221" s="2"/>
      <c r="B221" s="2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/>
      <c r="BA221" s="8"/>
      <c r="BB221" s="8"/>
      <c r="BC221" s="8"/>
      <c r="BD221" s="8"/>
      <c r="BE221" s="8"/>
      <c r="BF221" s="8"/>
      <c r="BG221" s="8"/>
      <c r="BH221" s="8"/>
      <c r="BI221" s="8"/>
      <c r="BJ221" s="8"/>
      <c r="BK221" s="8"/>
      <c r="BL221" s="8"/>
      <c r="BM221" s="8"/>
      <c r="BN221" s="8"/>
      <c r="BO221" s="8"/>
      <c r="BP221" s="8"/>
      <c r="BQ221" s="8"/>
      <c r="BR221" s="8"/>
      <c r="BS221" s="8"/>
      <c r="BT221" s="8"/>
      <c r="BU221" s="8"/>
      <c r="BV221" s="8"/>
      <c r="BW221" s="8"/>
      <c r="BX221" s="8"/>
      <c r="BY221" s="8"/>
      <c r="BZ221" s="8"/>
      <c r="CA221" s="8"/>
      <c r="CB221" s="8"/>
      <c r="CC221" s="8"/>
      <c r="CD221" s="8"/>
      <c r="CE221" s="8"/>
      <c r="CF221" s="8"/>
      <c r="CG221" s="8"/>
      <c r="CH221" s="8"/>
      <c r="CI221" s="8"/>
      <c r="CJ221" s="8"/>
      <c r="CK221" s="8"/>
      <c r="CL221" s="8"/>
      <c r="CM221" s="8"/>
      <c r="CN221" s="8"/>
      <c r="CO221" s="8"/>
      <c r="CP221" s="8"/>
      <c r="CQ221" s="8"/>
      <c r="CR221" s="8"/>
      <c r="CS221" s="8"/>
      <c r="CT221" s="8"/>
      <c r="CU221" s="8"/>
      <c r="CV221" s="8"/>
      <c r="CW221" s="8"/>
      <c r="CX221" s="8"/>
      <c r="CY221" s="8"/>
      <c r="CZ221" s="8"/>
    </row>
    <row r="222" spans="1:104" x14ac:dyDescent="0.25">
      <c r="A222" s="2"/>
      <c r="B222" s="2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  <c r="AZ222" s="8"/>
      <c r="BA222" s="8"/>
      <c r="BB222" s="8"/>
      <c r="BC222" s="8"/>
      <c r="BD222" s="8"/>
      <c r="BE222" s="8"/>
      <c r="BF222" s="8"/>
      <c r="BG222" s="8"/>
      <c r="BH222" s="8"/>
      <c r="BI222" s="8"/>
      <c r="BJ222" s="8"/>
      <c r="BK222" s="8"/>
      <c r="BL222" s="8"/>
      <c r="BM222" s="8"/>
      <c r="BN222" s="8"/>
      <c r="BO222" s="8"/>
      <c r="BP222" s="8"/>
      <c r="BQ222" s="8"/>
      <c r="BR222" s="8"/>
      <c r="BS222" s="8"/>
      <c r="BT222" s="8"/>
      <c r="BU222" s="8"/>
      <c r="BV222" s="8"/>
      <c r="BW222" s="8"/>
      <c r="BX222" s="8"/>
      <c r="BY222" s="8"/>
      <c r="BZ222" s="8"/>
      <c r="CA222" s="8"/>
      <c r="CB222" s="8"/>
      <c r="CC222" s="8"/>
      <c r="CD222" s="8"/>
      <c r="CE222" s="8"/>
      <c r="CF222" s="8"/>
      <c r="CG222" s="8"/>
      <c r="CH222" s="8"/>
      <c r="CI222" s="8"/>
      <c r="CJ222" s="8"/>
      <c r="CK222" s="8"/>
      <c r="CL222" s="8"/>
      <c r="CM222" s="8"/>
      <c r="CN222" s="8"/>
      <c r="CO222" s="8"/>
      <c r="CP222" s="8"/>
      <c r="CQ222" s="8"/>
      <c r="CR222" s="8"/>
      <c r="CS222" s="8"/>
      <c r="CT222" s="8"/>
      <c r="CU222" s="8"/>
      <c r="CV222" s="8"/>
      <c r="CW222" s="8"/>
      <c r="CX222" s="8"/>
      <c r="CY222" s="8"/>
      <c r="CZ222" s="8"/>
    </row>
    <row r="223" spans="1:104" x14ac:dyDescent="0.25">
      <c r="A223" s="2"/>
      <c r="B223" s="2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  <c r="AZ223" s="8"/>
      <c r="BA223" s="8"/>
      <c r="BB223" s="8"/>
      <c r="BC223" s="8"/>
      <c r="BD223" s="8"/>
      <c r="BE223" s="8"/>
      <c r="BF223" s="8"/>
      <c r="BG223" s="8"/>
      <c r="BH223" s="8"/>
      <c r="BI223" s="8"/>
      <c r="BJ223" s="8"/>
      <c r="BK223" s="8"/>
      <c r="BL223" s="8"/>
      <c r="BM223" s="8"/>
      <c r="BN223" s="8"/>
      <c r="BO223" s="8"/>
      <c r="BP223" s="8"/>
      <c r="BQ223" s="8"/>
      <c r="BR223" s="8"/>
      <c r="BS223" s="8"/>
      <c r="BT223" s="8"/>
      <c r="BU223" s="8"/>
      <c r="BV223" s="8"/>
      <c r="BW223" s="8"/>
      <c r="BX223" s="8"/>
      <c r="BY223" s="8"/>
      <c r="BZ223" s="8"/>
      <c r="CA223" s="8"/>
      <c r="CB223" s="8"/>
      <c r="CC223" s="8"/>
      <c r="CD223" s="8"/>
      <c r="CE223" s="8"/>
      <c r="CF223" s="8"/>
      <c r="CG223" s="8"/>
      <c r="CH223" s="8"/>
      <c r="CI223" s="8"/>
      <c r="CJ223" s="8"/>
      <c r="CK223" s="8"/>
      <c r="CL223" s="8"/>
      <c r="CM223" s="8"/>
      <c r="CN223" s="8"/>
      <c r="CO223" s="8"/>
      <c r="CP223" s="8"/>
      <c r="CQ223" s="8"/>
      <c r="CR223" s="8"/>
      <c r="CS223" s="8"/>
      <c r="CT223" s="8"/>
      <c r="CU223" s="8"/>
      <c r="CV223" s="8"/>
      <c r="CW223" s="8"/>
      <c r="CX223" s="8"/>
      <c r="CY223" s="8"/>
      <c r="CZ223" s="8"/>
    </row>
    <row r="224" spans="1:104" x14ac:dyDescent="0.25">
      <c r="A224" s="2"/>
      <c r="B224" s="2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  <c r="AZ224" s="8"/>
      <c r="BA224" s="8"/>
      <c r="BB224" s="8"/>
      <c r="BC224" s="8"/>
      <c r="BD224" s="8"/>
      <c r="BE224" s="8"/>
      <c r="BF224" s="8"/>
      <c r="BG224" s="8"/>
      <c r="BH224" s="8"/>
      <c r="BI224" s="8"/>
      <c r="BJ224" s="8"/>
      <c r="BK224" s="8"/>
      <c r="BL224" s="8"/>
      <c r="BM224" s="8"/>
      <c r="BN224" s="8"/>
      <c r="BO224" s="8"/>
      <c r="BP224" s="8"/>
      <c r="BQ224" s="8"/>
      <c r="BR224" s="8"/>
      <c r="BS224" s="8"/>
      <c r="BT224" s="8"/>
      <c r="BU224" s="8"/>
      <c r="BV224" s="8"/>
      <c r="BW224" s="8"/>
      <c r="BX224" s="8"/>
      <c r="BY224" s="8"/>
      <c r="BZ224" s="8"/>
      <c r="CA224" s="8"/>
      <c r="CB224" s="8"/>
      <c r="CC224" s="8"/>
      <c r="CD224" s="8"/>
      <c r="CE224" s="8"/>
      <c r="CF224" s="8"/>
      <c r="CG224" s="8"/>
      <c r="CH224" s="8"/>
      <c r="CI224" s="8"/>
      <c r="CJ224" s="8"/>
      <c r="CK224" s="8"/>
      <c r="CL224" s="8"/>
      <c r="CM224" s="8"/>
      <c r="CN224" s="8"/>
      <c r="CO224" s="8"/>
      <c r="CP224" s="8"/>
      <c r="CQ224" s="8"/>
      <c r="CR224" s="8"/>
      <c r="CS224" s="8"/>
      <c r="CT224" s="8"/>
      <c r="CU224" s="8"/>
      <c r="CV224" s="8"/>
      <c r="CW224" s="8"/>
      <c r="CX224" s="8"/>
      <c r="CY224" s="8"/>
      <c r="CZ224" s="8"/>
    </row>
    <row r="225" spans="1:104" x14ac:dyDescent="0.25">
      <c r="A225" s="2"/>
      <c r="B225" s="2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  <c r="AY225" s="8"/>
      <c r="AZ225" s="8"/>
      <c r="BA225" s="8"/>
      <c r="BB225" s="8"/>
      <c r="BC225" s="8"/>
      <c r="BD225" s="8"/>
      <c r="BE225" s="8"/>
      <c r="BF225" s="8"/>
      <c r="BG225" s="8"/>
      <c r="BH225" s="8"/>
      <c r="BI225" s="8"/>
      <c r="BJ225" s="8"/>
      <c r="BK225" s="8"/>
      <c r="BL225" s="8"/>
      <c r="BM225" s="8"/>
      <c r="BN225" s="8"/>
      <c r="BO225" s="8"/>
      <c r="BP225" s="8"/>
      <c r="BQ225" s="8"/>
      <c r="BR225" s="8"/>
      <c r="BS225" s="8"/>
      <c r="BT225" s="8"/>
      <c r="BU225" s="8"/>
      <c r="BV225" s="8"/>
      <c r="BW225" s="8"/>
      <c r="BX225" s="8"/>
      <c r="BY225" s="8"/>
      <c r="BZ225" s="8"/>
      <c r="CA225" s="8"/>
      <c r="CB225" s="8"/>
      <c r="CC225" s="8"/>
      <c r="CD225" s="8"/>
      <c r="CE225" s="8"/>
      <c r="CF225" s="8"/>
      <c r="CG225" s="8"/>
      <c r="CH225" s="8"/>
      <c r="CI225" s="8"/>
      <c r="CJ225" s="8"/>
      <c r="CK225" s="8"/>
      <c r="CL225" s="8"/>
      <c r="CM225" s="8"/>
      <c r="CN225" s="8"/>
      <c r="CO225" s="8"/>
      <c r="CP225" s="8"/>
      <c r="CQ225" s="8"/>
      <c r="CR225" s="8"/>
      <c r="CS225" s="8"/>
      <c r="CT225" s="8"/>
      <c r="CU225" s="8"/>
      <c r="CV225" s="8"/>
      <c r="CW225" s="8"/>
      <c r="CX225" s="8"/>
      <c r="CY225" s="8"/>
      <c r="CZ225" s="8"/>
    </row>
    <row r="226" spans="1:104" x14ac:dyDescent="0.25">
      <c r="A226" s="2"/>
      <c r="B226" s="2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  <c r="AZ226" s="8"/>
      <c r="BA226" s="8"/>
      <c r="BB226" s="8"/>
      <c r="BC226" s="8"/>
      <c r="BD226" s="8"/>
      <c r="BE226" s="8"/>
      <c r="BF226" s="8"/>
      <c r="BG226" s="8"/>
      <c r="BH226" s="8"/>
      <c r="BI226" s="8"/>
      <c r="BJ226" s="8"/>
      <c r="BK226" s="8"/>
      <c r="BL226" s="8"/>
      <c r="BM226" s="8"/>
      <c r="BN226" s="8"/>
      <c r="BO226" s="8"/>
      <c r="BP226" s="8"/>
      <c r="BQ226" s="8"/>
      <c r="BR226" s="8"/>
      <c r="BS226" s="8"/>
      <c r="BT226" s="8"/>
      <c r="BU226" s="8"/>
      <c r="BV226" s="8"/>
      <c r="BW226" s="8"/>
      <c r="BX226" s="8"/>
      <c r="BY226" s="8"/>
      <c r="BZ226" s="8"/>
      <c r="CA226" s="8"/>
      <c r="CB226" s="8"/>
      <c r="CC226" s="8"/>
      <c r="CD226" s="8"/>
      <c r="CE226" s="8"/>
      <c r="CF226" s="8"/>
      <c r="CG226" s="8"/>
      <c r="CH226" s="8"/>
      <c r="CI226" s="8"/>
      <c r="CJ226" s="8"/>
      <c r="CK226" s="8"/>
      <c r="CL226" s="8"/>
      <c r="CM226" s="8"/>
      <c r="CN226" s="8"/>
      <c r="CO226" s="8"/>
      <c r="CP226" s="8"/>
      <c r="CQ226" s="8"/>
      <c r="CR226" s="8"/>
      <c r="CS226" s="8"/>
      <c r="CT226" s="8"/>
      <c r="CU226" s="8"/>
      <c r="CV226" s="8"/>
      <c r="CW226" s="8"/>
      <c r="CX226" s="8"/>
      <c r="CY226" s="8"/>
      <c r="CZ226" s="8"/>
    </row>
    <row r="227" spans="1:104" x14ac:dyDescent="0.25">
      <c r="A227" s="2"/>
      <c r="B227" s="2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  <c r="AZ227" s="8"/>
      <c r="BA227" s="8"/>
      <c r="BB227" s="8"/>
      <c r="BC227" s="8"/>
      <c r="BD227" s="8"/>
      <c r="BE227" s="8"/>
      <c r="BF227" s="8"/>
      <c r="BG227" s="8"/>
      <c r="BH227" s="8"/>
      <c r="BI227" s="8"/>
      <c r="BJ227" s="8"/>
      <c r="BK227" s="8"/>
      <c r="BL227" s="8"/>
      <c r="BM227" s="8"/>
      <c r="BN227" s="8"/>
      <c r="BO227" s="8"/>
      <c r="BP227" s="8"/>
      <c r="BQ227" s="8"/>
      <c r="BR227" s="8"/>
      <c r="BS227" s="8"/>
      <c r="BT227" s="8"/>
      <c r="BU227" s="8"/>
      <c r="BV227" s="8"/>
      <c r="BW227" s="8"/>
      <c r="BX227" s="8"/>
      <c r="BY227" s="8"/>
      <c r="BZ227" s="8"/>
      <c r="CA227" s="8"/>
      <c r="CB227" s="8"/>
      <c r="CC227" s="8"/>
      <c r="CD227" s="8"/>
      <c r="CE227" s="8"/>
      <c r="CF227" s="8"/>
      <c r="CG227" s="8"/>
      <c r="CH227" s="8"/>
      <c r="CI227" s="8"/>
      <c r="CJ227" s="8"/>
      <c r="CK227" s="8"/>
      <c r="CL227" s="8"/>
      <c r="CM227" s="8"/>
      <c r="CN227" s="8"/>
      <c r="CO227" s="8"/>
      <c r="CP227" s="8"/>
      <c r="CQ227" s="8"/>
      <c r="CR227" s="8"/>
      <c r="CS227" s="8"/>
      <c r="CT227" s="8"/>
      <c r="CU227" s="8"/>
      <c r="CV227" s="8"/>
      <c r="CW227" s="8"/>
      <c r="CX227" s="8"/>
      <c r="CY227" s="8"/>
      <c r="CZ227" s="8"/>
    </row>
    <row r="228" spans="1:104" x14ac:dyDescent="0.25">
      <c r="A228" s="2"/>
      <c r="B228" s="2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  <c r="AZ228" s="8"/>
      <c r="BA228" s="8"/>
      <c r="BB228" s="8"/>
      <c r="BC228" s="8"/>
      <c r="BD228" s="8"/>
      <c r="BE228" s="8"/>
      <c r="BF228" s="8"/>
      <c r="BG228" s="8"/>
      <c r="BH228" s="8"/>
      <c r="BI228" s="8"/>
      <c r="BJ228" s="8"/>
      <c r="BK228" s="8"/>
      <c r="BL228" s="8"/>
      <c r="BM228" s="8"/>
      <c r="BN228" s="8"/>
      <c r="BO228" s="8"/>
      <c r="BP228" s="8"/>
      <c r="BQ228" s="8"/>
      <c r="BR228" s="8"/>
      <c r="BS228" s="8"/>
      <c r="BT228" s="8"/>
      <c r="BU228" s="8"/>
      <c r="BV228" s="8"/>
      <c r="BW228" s="8"/>
      <c r="BX228" s="8"/>
      <c r="BY228" s="8"/>
      <c r="BZ228" s="8"/>
      <c r="CA228" s="8"/>
      <c r="CB228" s="8"/>
      <c r="CC228" s="8"/>
      <c r="CD228" s="8"/>
      <c r="CE228" s="8"/>
      <c r="CF228" s="8"/>
      <c r="CG228" s="8"/>
      <c r="CH228" s="8"/>
      <c r="CI228" s="8"/>
      <c r="CJ228" s="8"/>
      <c r="CK228" s="8"/>
      <c r="CL228" s="8"/>
      <c r="CM228" s="8"/>
      <c r="CN228" s="8"/>
      <c r="CO228" s="8"/>
      <c r="CP228" s="8"/>
      <c r="CQ228" s="8"/>
      <c r="CR228" s="8"/>
      <c r="CS228" s="8"/>
      <c r="CT228" s="8"/>
      <c r="CU228" s="8"/>
      <c r="CV228" s="8"/>
      <c r="CW228" s="8"/>
      <c r="CX228" s="8"/>
      <c r="CY228" s="8"/>
      <c r="CZ228" s="8"/>
    </row>
    <row r="229" spans="1:104" x14ac:dyDescent="0.25">
      <c r="A229" s="2"/>
      <c r="B229" s="2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  <c r="AZ229" s="8"/>
      <c r="BA229" s="8"/>
      <c r="BB229" s="8"/>
      <c r="BC229" s="8"/>
      <c r="BD229" s="8"/>
      <c r="BE229" s="8"/>
      <c r="BF229" s="8"/>
      <c r="BG229" s="8"/>
      <c r="BH229" s="8"/>
      <c r="BI229" s="8"/>
      <c r="BJ229" s="8"/>
      <c r="BK229" s="8"/>
      <c r="BL229" s="8"/>
      <c r="BM229" s="8"/>
      <c r="BN229" s="8"/>
      <c r="BO229" s="8"/>
      <c r="BP229" s="8"/>
      <c r="BQ229" s="8"/>
      <c r="BR229" s="8"/>
      <c r="BS229" s="8"/>
      <c r="BT229" s="8"/>
      <c r="BU229" s="8"/>
      <c r="BV229" s="8"/>
      <c r="BW229" s="8"/>
      <c r="BX229" s="8"/>
      <c r="BY229" s="8"/>
      <c r="BZ229" s="8"/>
      <c r="CA229" s="8"/>
      <c r="CB229" s="8"/>
      <c r="CC229" s="8"/>
      <c r="CD229" s="8"/>
      <c r="CE229" s="8"/>
      <c r="CF229" s="8"/>
      <c r="CG229" s="8"/>
      <c r="CH229" s="8"/>
      <c r="CI229" s="8"/>
      <c r="CJ229" s="8"/>
      <c r="CK229" s="8"/>
      <c r="CL229" s="8"/>
      <c r="CM229" s="8"/>
      <c r="CN229" s="8"/>
      <c r="CO229" s="8"/>
      <c r="CP229" s="8"/>
      <c r="CQ229" s="8"/>
      <c r="CR229" s="8"/>
      <c r="CS229" s="8"/>
      <c r="CT229" s="8"/>
      <c r="CU229" s="8"/>
      <c r="CV229" s="8"/>
      <c r="CW229" s="8"/>
      <c r="CX229" s="8"/>
      <c r="CY229" s="8"/>
      <c r="CZ229" s="8"/>
    </row>
    <row r="230" spans="1:104" x14ac:dyDescent="0.25">
      <c r="A230" s="2"/>
      <c r="B230" s="2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  <c r="AY230" s="8"/>
      <c r="AZ230" s="8"/>
      <c r="BA230" s="8"/>
      <c r="BB230" s="8"/>
      <c r="BC230" s="8"/>
      <c r="BD230" s="8"/>
      <c r="BE230" s="8"/>
      <c r="BF230" s="8"/>
      <c r="BG230" s="8"/>
      <c r="BH230" s="8"/>
      <c r="BI230" s="8"/>
      <c r="BJ230" s="8"/>
      <c r="BK230" s="8"/>
      <c r="BL230" s="8"/>
      <c r="BM230" s="8"/>
      <c r="BN230" s="8"/>
      <c r="BO230" s="8"/>
      <c r="BP230" s="8"/>
      <c r="BQ230" s="8"/>
      <c r="BR230" s="8"/>
      <c r="BS230" s="8"/>
      <c r="BT230" s="8"/>
      <c r="BU230" s="8"/>
      <c r="BV230" s="8"/>
      <c r="BW230" s="8"/>
      <c r="BX230" s="8"/>
      <c r="BY230" s="8"/>
      <c r="BZ230" s="8"/>
      <c r="CA230" s="8"/>
      <c r="CB230" s="8"/>
      <c r="CC230" s="8"/>
      <c r="CD230" s="8"/>
      <c r="CE230" s="8"/>
      <c r="CF230" s="8"/>
      <c r="CG230" s="8"/>
      <c r="CH230" s="8"/>
      <c r="CI230" s="8"/>
      <c r="CJ230" s="8"/>
      <c r="CK230" s="8"/>
      <c r="CL230" s="8"/>
      <c r="CM230" s="8"/>
      <c r="CN230" s="8"/>
      <c r="CO230" s="8"/>
      <c r="CP230" s="8"/>
      <c r="CQ230" s="8"/>
      <c r="CR230" s="8"/>
      <c r="CS230" s="8"/>
      <c r="CT230" s="8"/>
      <c r="CU230" s="8"/>
      <c r="CV230" s="8"/>
      <c r="CW230" s="8"/>
      <c r="CX230" s="8"/>
      <c r="CY230" s="8"/>
      <c r="CZ230" s="8"/>
    </row>
    <row r="231" spans="1:104" x14ac:dyDescent="0.25">
      <c r="A231" s="2"/>
      <c r="B231" s="2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  <c r="AZ231" s="8"/>
      <c r="BA231" s="8"/>
      <c r="BB231" s="8"/>
      <c r="BC231" s="8"/>
      <c r="BD231" s="8"/>
      <c r="BE231" s="8"/>
      <c r="BF231" s="8"/>
      <c r="BG231" s="8"/>
      <c r="BH231" s="8"/>
      <c r="BI231" s="8"/>
      <c r="BJ231" s="8"/>
      <c r="BK231" s="8"/>
      <c r="BL231" s="8"/>
      <c r="BM231" s="8"/>
      <c r="BN231" s="8"/>
      <c r="BO231" s="8"/>
      <c r="BP231" s="8"/>
      <c r="BQ231" s="8"/>
      <c r="BR231" s="8"/>
      <c r="BS231" s="8"/>
      <c r="BT231" s="8"/>
      <c r="BU231" s="8"/>
      <c r="BV231" s="8"/>
      <c r="BW231" s="8"/>
      <c r="BX231" s="8"/>
      <c r="BY231" s="8"/>
      <c r="BZ231" s="8"/>
      <c r="CA231" s="8"/>
      <c r="CB231" s="8"/>
      <c r="CC231" s="8"/>
      <c r="CD231" s="8"/>
      <c r="CE231" s="8"/>
      <c r="CF231" s="8"/>
      <c r="CG231" s="8"/>
      <c r="CH231" s="8"/>
      <c r="CI231" s="8"/>
      <c r="CJ231" s="8"/>
      <c r="CK231" s="8"/>
      <c r="CL231" s="8"/>
      <c r="CM231" s="8"/>
      <c r="CN231" s="8"/>
      <c r="CO231" s="8"/>
      <c r="CP231" s="8"/>
      <c r="CQ231" s="8"/>
      <c r="CR231" s="8"/>
      <c r="CS231" s="8"/>
      <c r="CT231" s="8"/>
      <c r="CU231" s="8"/>
      <c r="CV231" s="8"/>
      <c r="CW231" s="8"/>
      <c r="CX231" s="8"/>
      <c r="CY231" s="8"/>
      <c r="CZ231" s="8"/>
    </row>
    <row r="232" spans="1:104" x14ac:dyDescent="0.25">
      <c r="A232" s="2"/>
      <c r="B232" s="2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  <c r="AZ232" s="8"/>
      <c r="BA232" s="8"/>
      <c r="BB232" s="8"/>
      <c r="BC232" s="8"/>
      <c r="BD232" s="8"/>
      <c r="BE232" s="8"/>
      <c r="BF232" s="8"/>
      <c r="BG232" s="8"/>
      <c r="BH232" s="8"/>
      <c r="BI232" s="8"/>
      <c r="BJ232" s="8"/>
      <c r="BK232" s="8"/>
      <c r="BL232" s="8"/>
      <c r="BM232" s="8"/>
      <c r="BN232" s="8"/>
      <c r="BO232" s="8"/>
      <c r="BP232" s="8"/>
      <c r="BQ232" s="8"/>
      <c r="BR232" s="8"/>
      <c r="BS232" s="8"/>
      <c r="BT232" s="8"/>
      <c r="BU232" s="8"/>
      <c r="BV232" s="8"/>
      <c r="BW232" s="8"/>
      <c r="BX232" s="8"/>
      <c r="BY232" s="8"/>
      <c r="BZ232" s="8"/>
      <c r="CA232" s="8"/>
      <c r="CB232" s="8"/>
      <c r="CC232" s="8"/>
      <c r="CD232" s="8"/>
      <c r="CE232" s="8"/>
      <c r="CF232" s="8"/>
      <c r="CG232" s="8"/>
      <c r="CH232" s="8"/>
      <c r="CI232" s="8"/>
      <c r="CJ232" s="8"/>
      <c r="CK232" s="8"/>
      <c r="CL232" s="8"/>
      <c r="CM232" s="8"/>
      <c r="CN232" s="8"/>
      <c r="CO232" s="8"/>
      <c r="CP232" s="8"/>
      <c r="CQ232" s="8"/>
      <c r="CR232" s="8"/>
      <c r="CS232" s="8"/>
      <c r="CT232" s="8"/>
      <c r="CU232" s="8"/>
      <c r="CV232" s="8"/>
      <c r="CW232" s="8"/>
      <c r="CX232" s="8"/>
      <c r="CY232" s="8"/>
      <c r="CZ232" s="8"/>
    </row>
    <row r="233" spans="1:104" x14ac:dyDescent="0.25">
      <c r="A233" s="2"/>
      <c r="B233" s="2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  <c r="AY233" s="8"/>
      <c r="AZ233" s="8"/>
      <c r="BA233" s="8"/>
      <c r="BB233" s="8"/>
      <c r="BC233" s="8"/>
      <c r="BD233" s="8"/>
      <c r="BE233" s="8"/>
      <c r="BF233" s="8"/>
      <c r="BG233" s="8"/>
      <c r="BH233" s="8"/>
      <c r="BI233" s="8"/>
      <c r="BJ233" s="8"/>
      <c r="BK233" s="8"/>
      <c r="BL233" s="8"/>
      <c r="BM233" s="8"/>
      <c r="BN233" s="8"/>
      <c r="BO233" s="8"/>
      <c r="BP233" s="8"/>
      <c r="BQ233" s="8"/>
      <c r="BR233" s="8"/>
      <c r="BS233" s="8"/>
      <c r="BT233" s="8"/>
      <c r="BU233" s="8"/>
      <c r="BV233" s="8"/>
      <c r="BW233" s="8"/>
      <c r="BX233" s="8"/>
      <c r="BY233" s="8"/>
      <c r="BZ233" s="8"/>
      <c r="CA233" s="8"/>
      <c r="CB233" s="8"/>
      <c r="CC233" s="8"/>
      <c r="CD233" s="8"/>
      <c r="CE233" s="8"/>
      <c r="CF233" s="8"/>
      <c r="CG233" s="8"/>
      <c r="CH233" s="8"/>
      <c r="CI233" s="8"/>
      <c r="CJ233" s="8"/>
      <c r="CK233" s="8"/>
      <c r="CL233" s="8"/>
      <c r="CM233" s="8"/>
      <c r="CN233" s="8"/>
      <c r="CO233" s="8"/>
      <c r="CP233" s="8"/>
      <c r="CQ233" s="8"/>
      <c r="CR233" s="8"/>
      <c r="CS233" s="8"/>
      <c r="CT233" s="8"/>
      <c r="CU233" s="8"/>
      <c r="CV233" s="8"/>
      <c r="CW233" s="8"/>
      <c r="CX233" s="8"/>
      <c r="CY233" s="8"/>
      <c r="CZ233" s="8"/>
    </row>
    <row r="234" spans="1:104" x14ac:dyDescent="0.25">
      <c r="A234" s="2"/>
      <c r="B234" s="2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  <c r="AY234" s="8"/>
      <c r="AZ234" s="8"/>
      <c r="BA234" s="8"/>
      <c r="BB234" s="8"/>
      <c r="BC234" s="8"/>
      <c r="BD234" s="8"/>
      <c r="BE234" s="8"/>
      <c r="BF234" s="8"/>
      <c r="BG234" s="8"/>
      <c r="BH234" s="8"/>
      <c r="BI234" s="8"/>
      <c r="BJ234" s="8"/>
      <c r="BK234" s="8"/>
      <c r="BL234" s="8"/>
      <c r="BM234" s="8"/>
      <c r="BN234" s="8"/>
      <c r="BO234" s="8"/>
      <c r="BP234" s="8"/>
      <c r="BQ234" s="8"/>
      <c r="BR234" s="8"/>
      <c r="BS234" s="8"/>
      <c r="BT234" s="8"/>
      <c r="BU234" s="8"/>
      <c r="BV234" s="8"/>
      <c r="BW234" s="8"/>
      <c r="BX234" s="8"/>
      <c r="BY234" s="8"/>
      <c r="BZ234" s="8"/>
      <c r="CA234" s="8"/>
      <c r="CB234" s="8"/>
      <c r="CC234" s="8"/>
      <c r="CD234" s="8"/>
      <c r="CE234" s="8"/>
      <c r="CF234" s="8"/>
      <c r="CG234" s="8"/>
      <c r="CH234" s="8"/>
      <c r="CI234" s="8"/>
      <c r="CJ234" s="8"/>
      <c r="CK234" s="8"/>
      <c r="CL234" s="8"/>
      <c r="CM234" s="8"/>
      <c r="CN234" s="8"/>
      <c r="CO234" s="8"/>
      <c r="CP234" s="8"/>
      <c r="CQ234" s="8"/>
      <c r="CR234" s="8"/>
      <c r="CS234" s="8"/>
      <c r="CT234" s="8"/>
      <c r="CU234" s="8"/>
      <c r="CV234" s="8"/>
      <c r="CW234" s="8"/>
      <c r="CX234" s="8"/>
      <c r="CY234" s="8"/>
      <c r="CZ234" s="8"/>
    </row>
    <row r="235" spans="1:104" x14ac:dyDescent="0.25">
      <c r="A235" s="2"/>
      <c r="B235" s="2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  <c r="AZ235" s="8"/>
      <c r="BA235" s="8"/>
      <c r="BB235" s="8"/>
      <c r="BC235" s="8"/>
      <c r="BD235" s="8"/>
      <c r="BE235" s="8"/>
      <c r="BF235" s="8"/>
      <c r="BG235" s="8"/>
      <c r="BH235" s="8"/>
      <c r="BI235" s="8"/>
      <c r="BJ235" s="8"/>
      <c r="BK235" s="8"/>
      <c r="BL235" s="8"/>
      <c r="BM235" s="8"/>
      <c r="BN235" s="8"/>
      <c r="BO235" s="8"/>
      <c r="BP235" s="8"/>
      <c r="BQ235" s="8"/>
      <c r="BR235" s="8"/>
      <c r="BS235" s="8"/>
      <c r="BT235" s="8"/>
      <c r="BU235" s="8"/>
      <c r="BV235" s="8"/>
      <c r="BW235" s="8"/>
      <c r="BX235" s="8"/>
      <c r="BY235" s="8"/>
      <c r="BZ235" s="8"/>
      <c r="CA235" s="8"/>
      <c r="CB235" s="8"/>
      <c r="CC235" s="8"/>
      <c r="CD235" s="8"/>
      <c r="CE235" s="8"/>
      <c r="CF235" s="8"/>
      <c r="CG235" s="8"/>
      <c r="CH235" s="8"/>
      <c r="CI235" s="8"/>
      <c r="CJ235" s="8"/>
      <c r="CK235" s="8"/>
      <c r="CL235" s="8"/>
      <c r="CM235" s="8"/>
      <c r="CN235" s="8"/>
      <c r="CO235" s="8"/>
      <c r="CP235" s="8"/>
      <c r="CQ235" s="8"/>
      <c r="CR235" s="8"/>
      <c r="CS235" s="8"/>
      <c r="CT235" s="8"/>
      <c r="CU235" s="8"/>
      <c r="CV235" s="8"/>
      <c r="CW235" s="8"/>
      <c r="CX235" s="8"/>
      <c r="CY235" s="8"/>
      <c r="CZ235" s="8"/>
    </row>
    <row r="236" spans="1:104" x14ac:dyDescent="0.25">
      <c r="A236" s="2"/>
      <c r="B236" s="2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  <c r="AY236" s="8"/>
      <c r="AZ236" s="8"/>
      <c r="BA236" s="8"/>
      <c r="BB236" s="8"/>
      <c r="BC236" s="8"/>
      <c r="BD236" s="8"/>
      <c r="BE236" s="8"/>
      <c r="BF236" s="8"/>
      <c r="BG236" s="8"/>
      <c r="BH236" s="8"/>
      <c r="BI236" s="8"/>
      <c r="BJ236" s="8"/>
      <c r="BK236" s="8"/>
      <c r="BL236" s="8"/>
      <c r="BM236" s="8"/>
      <c r="BN236" s="8"/>
      <c r="BO236" s="8"/>
      <c r="BP236" s="8"/>
      <c r="BQ236" s="8"/>
      <c r="BR236" s="8"/>
      <c r="BS236" s="8"/>
      <c r="BT236" s="8"/>
      <c r="BU236" s="8"/>
      <c r="BV236" s="8"/>
      <c r="BW236" s="8"/>
      <c r="BX236" s="8"/>
      <c r="BY236" s="8"/>
      <c r="BZ236" s="8"/>
      <c r="CA236" s="8"/>
      <c r="CB236" s="8"/>
      <c r="CC236" s="8"/>
      <c r="CD236" s="8"/>
      <c r="CE236" s="8"/>
      <c r="CF236" s="8"/>
      <c r="CG236" s="8"/>
      <c r="CH236" s="8"/>
      <c r="CI236" s="8"/>
      <c r="CJ236" s="8"/>
      <c r="CK236" s="8"/>
      <c r="CL236" s="8"/>
      <c r="CM236" s="8"/>
      <c r="CN236" s="8"/>
      <c r="CO236" s="8"/>
      <c r="CP236" s="8"/>
      <c r="CQ236" s="8"/>
      <c r="CR236" s="8"/>
      <c r="CS236" s="8"/>
      <c r="CT236" s="8"/>
      <c r="CU236" s="8"/>
      <c r="CV236" s="8"/>
      <c r="CW236" s="8"/>
      <c r="CX236" s="8"/>
      <c r="CY236" s="8"/>
      <c r="CZ236" s="8"/>
    </row>
    <row r="237" spans="1:104" x14ac:dyDescent="0.25">
      <c r="A237" s="2"/>
      <c r="B237" s="2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  <c r="AZ237" s="8"/>
      <c r="BA237" s="8"/>
      <c r="BB237" s="8"/>
      <c r="BC237" s="8"/>
      <c r="BD237" s="8"/>
      <c r="BE237" s="8"/>
      <c r="BF237" s="8"/>
      <c r="BG237" s="8"/>
      <c r="BH237" s="8"/>
      <c r="BI237" s="8"/>
      <c r="BJ237" s="8"/>
      <c r="BK237" s="8"/>
      <c r="BL237" s="8"/>
      <c r="BM237" s="8"/>
      <c r="BN237" s="8"/>
      <c r="BO237" s="8"/>
      <c r="BP237" s="8"/>
      <c r="BQ237" s="8"/>
      <c r="BR237" s="8"/>
      <c r="BS237" s="8"/>
      <c r="BT237" s="8"/>
      <c r="BU237" s="8"/>
      <c r="BV237" s="8"/>
      <c r="BW237" s="8"/>
      <c r="BX237" s="8"/>
      <c r="BY237" s="8"/>
      <c r="BZ237" s="8"/>
      <c r="CA237" s="8"/>
      <c r="CB237" s="8"/>
      <c r="CC237" s="8"/>
      <c r="CD237" s="8"/>
      <c r="CE237" s="8"/>
      <c r="CF237" s="8"/>
      <c r="CG237" s="8"/>
      <c r="CH237" s="8"/>
      <c r="CI237" s="8"/>
      <c r="CJ237" s="8"/>
      <c r="CK237" s="8"/>
      <c r="CL237" s="8"/>
      <c r="CM237" s="8"/>
      <c r="CN237" s="8"/>
      <c r="CO237" s="8"/>
      <c r="CP237" s="8"/>
      <c r="CQ237" s="8"/>
      <c r="CR237" s="8"/>
      <c r="CS237" s="8"/>
      <c r="CT237" s="8"/>
      <c r="CU237" s="8"/>
      <c r="CV237" s="8"/>
      <c r="CW237" s="8"/>
      <c r="CX237" s="8"/>
      <c r="CY237" s="8"/>
      <c r="CZ237" s="8"/>
    </row>
    <row r="238" spans="1:104" x14ac:dyDescent="0.25">
      <c r="A238" s="2"/>
      <c r="B238" s="2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  <c r="AY238" s="8"/>
      <c r="AZ238" s="8"/>
      <c r="BA238" s="8"/>
      <c r="BB238" s="8"/>
      <c r="BC238" s="8"/>
      <c r="BD238" s="8"/>
      <c r="BE238" s="8"/>
      <c r="BF238" s="8"/>
      <c r="BG238" s="8"/>
      <c r="BH238" s="8"/>
      <c r="BI238" s="8"/>
      <c r="BJ238" s="8"/>
      <c r="BK238" s="8"/>
      <c r="BL238" s="8"/>
      <c r="BM238" s="8"/>
      <c r="BN238" s="8"/>
      <c r="BO238" s="8"/>
      <c r="BP238" s="8"/>
      <c r="BQ238" s="8"/>
      <c r="BR238" s="8"/>
      <c r="BS238" s="8"/>
      <c r="BT238" s="8"/>
      <c r="BU238" s="8"/>
      <c r="BV238" s="8"/>
      <c r="BW238" s="8"/>
      <c r="BX238" s="8"/>
      <c r="BY238" s="8"/>
      <c r="BZ238" s="8"/>
      <c r="CA238" s="8"/>
      <c r="CB238" s="8"/>
      <c r="CC238" s="8"/>
      <c r="CD238" s="8"/>
      <c r="CE238" s="8"/>
      <c r="CF238" s="8"/>
      <c r="CG238" s="8"/>
      <c r="CH238" s="8"/>
      <c r="CI238" s="8"/>
      <c r="CJ238" s="8"/>
      <c r="CK238" s="8"/>
      <c r="CL238" s="8"/>
      <c r="CM238" s="8"/>
      <c r="CN238" s="8"/>
      <c r="CO238" s="8"/>
      <c r="CP238" s="8"/>
      <c r="CQ238" s="8"/>
      <c r="CR238" s="8"/>
      <c r="CS238" s="8"/>
      <c r="CT238" s="8"/>
      <c r="CU238" s="8"/>
      <c r="CV238" s="8"/>
      <c r="CW238" s="8"/>
      <c r="CX238" s="8"/>
      <c r="CY238" s="8"/>
      <c r="CZ238" s="8"/>
    </row>
    <row r="239" spans="1:104" x14ac:dyDescent="0.25">
      <c r="A239" s="2"/>
      <c r="B239" s="2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  <c r="AY239" s="8"/>
      <c r="AZ239" s="8"/>
      <c r="BA239" s="8"/>
      <c r="BB239" s="8"/>
      <c r="BC239" s="8"/>
      <c r="BD239" s="8"/>
      <c r="BE239" s="8"/>
      <c r="BF239" s="8"/>
      <c r="BG239" s="8"/>
      <c r="BH239" s="8"/>
      <c r="BI239" s="8"/>
      <c r="BJ239" s="8"/>
      <c r="BK239" s="8"/>
      <c r="BL239" s="8"/>
      <c r="BM239" s="8"/>
      <c r="BN239" s="8"/>
      <c r="BO239" s="8"/>
      <c r="BP239" s="8"/>
      <c r="BQ239" s="8"/>
      <c r="BR239" s="8"/>
      <c r="BS239" s="8"/>
      <c r="BT239" s="8"/>
      <c r="BU239" s="8"/>
      <c r="BV239" s="8"/>
      <c r="BW239" s="8"/>
      <c r="BX239" s="8"/>
      <c r="BY239" s="8"/>
      <c r="BZ239" s="8"/>
      <c r="CA239" s="8"/>
      <c r="CB239" s="8"/>
      <c r="CC239" s="8"/>
      <c r="CD239" s="8"/>
      <c r="CE239" s="8"/>
      <c r="CF239" s="8"/>
      <c r="CG239" s="8"/>
      <c r="CH239" s="8"/>
      <c r="CI239" s="8"/>
      <c r="CJ239" s="8"/>
      <c r="CK239" s="8"/>
      <c r="CL239" s="8"/>
      <c r="CM239" s="8"/>
      <c r="CN239" s="8"/>
      <c r="CO239" s="8"/>
      <c r="CP239" s="8"/>
      <c r="CQ239" s="8"/>
      <c r="CR239" s="8"/>
      <c r="CS239" s="8"/>
      <c r="CT239" s="8"/>
      <c r="CU239" s="8"/>
      <c r="CV239" s="8"/>
      <c r="CW239" s="8"/>
      <c r="CX239" s="8"/>
      <c r="CY239" s="8"/>
      <c r="CZ239" s="8"/>
    </row>
    <row r="240" spans="1:104" x14ac:dyDescent="0.25">
      <c r="A240" s="2"/>
      <c r="B240" s="2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  <c r="AY240" s="8"/>
      <c r="AZ240" s="8"/>
      <c r="BA240" s="8"/>
      <c r="BB240" s="8"/>
      <c r="BC240" s="8"/>
      <c r="BD240" s="8"/>
      <c r="BE240" s="8"/>
      <c r="BF240" s="8"/>
      <c r="BG240" s="8"/>
      <c r="BH240" s="8"/>
      <c r="BI240" s="8"/>
      <c r="BJ240" s="8"/>
      <c r="BK240" s="8"/>
      <c r="BL240" s="8"/>
      <c r="BM240" s="8"/>
      <c r="BN240" s="8"/>
      <c r="BO240" s="8"/>
      <c r="BP240" s="8"/>
      <c r="BQ240" s="8"/>
      <c r="BR240" s="8"/>
      <c r="BS240" s="8"/>
      <c r="BT240" s="8"/>
      <c r="BU240" s="8"/>
      <c r="BV240" s="8"/>
      <c r="BW240" s="8"/>
      <c r="BX240" s="8"/>
      <c r="BY240" s="8"/>
      <c r="BZ240" s="8"/>
      <c r="CA240" s="8"/>
      <c r="CB240" s="8"/>
      <c r="CC240" s="8"/>
      <c r="CD240" s="8"/>
      <c r="CE240" s="8"/>
      <c r="CF240" s="8"/>
      <c r="CG240" s="8"/>
      <c r="CH240" s="8"/>
      <c r="CI240" s="8"/>
      <c r="CJ240" s="8"/>
      <c r="CK240" s="8"/>
      <c r="CL240" s="8"/>
      <c r="CM240" s="8"/>
      <c r="CN240" s="8"/>
      <c r="CO240" s="8"/>
      <c r="CP240" s="8"/>
      <c r="CQ240" s="8"/>
      <c r="CR240" s="8"/>
      <c r="CS240" s="8"/>
      <c r="CT240" s="8"/>
      <c r="CU240" s="8"/>
      <c r="CV240" s="8"/>
      <c r="CW240" s="8"/>
      <c r="CX240" s="8"/>
      <c r="CY240" s="8"/>
      <c r="CZ240" s="8"/>
    </row>
    <row r="241" spans="1:104" x14ac:dyDescent="0.25">
      <c r="A241" s="2"/>
      <c r="B241" s="2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8"/>
      <c r="AZ241" s="8"/>
      <c r="BA241" s="8"/>
      <c r="BB241" s="8"/>
      <c r="BC241" s="8"/>
      <c r="BD241" s="8"/>
      <c r="BE241" s="8"/>
      <c r="BF241" s="8"/>
      <c r="BG241" s="8"/>
      <c r="BH241" s="8"/>
      <c r="BI241" s="8"/>
      <c r="BJ241" s="8"/>
      <c r="BK241" s="8"/>
      <c r="BL241" s="8"/>
      <c r="BM241" s="8"/>
      <c r="BN241" s="8"/>
      <c r="BO241" s="8"/>
      <c r="BP241" s="8"/>
      <c r="BQ241" s="8"/>
      <c r="BR241" s="8"/>
      <c r="BS241" s="8"/>
      <c r="BT241" s="8"/>
      <c r="BU241" s="8"/>
      <c r="BV241" s="8"/>
      <c r="BW241" s="8"/>
      <c r="BX241" s="8"/>
      <c r="BY241" s="8"/>
      <c r="BZ241" s="8"/>
      <c r="CA241" s="8"/>
      <c r="CB241" s="8"/>
      <c r="CC241" s="8"/>
      <c r="CD241" s="8"/>
      <c r="CE241" s="8"/>
      <c r="CF241" s="8"/>
      <c r="CG241" s="8"/>
      <c r="CH241" s="8"/>
      <c r="CI241" s="8"/>
      <c r="CJ241" s="8"/>
      <c r="CK241" s="8"/>
      <c r="CL241" s="8"/>
      <c r="CM241" s="8"/>
      <c r="CN241" s="8"/>
      <c r="CO241" s="8"/>
      <c r="CP241" s="8"/>
      <c r="CQ241" s="8"/>
      <c r="CR241" s="8"/>
      <c r="CS241" s="8"/>
      <c r="CT241" s="8"/>
      <c r="CU241" s="8"/>
      <c r="CV241" s="8"/>
      <c r="CW241" s="8"/>
      <c r="CX241" s="8"/>
      <c r="CY241" s="8"/>
      <c r="CZ241" s="8"/>
    </row>
    <row r="242" spans="1:104" x14ac:dyDescent="0.25">
      <c r="A242" s="2"/>
      <c r="B242" s="2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  <c r="AZ242" s="8"/>
      <c r="BA242" s="8"/>
      <c r="BB242" s="8"/>
      <c r="BC242" s="8"/>
      <c r="BD242" s="8"/>
      <c r="BE242" s="8"/>
      <c r="BF242" s="8"/>
      <c r="BG242" s="8"/>
      <c r="BH242" s="8"/>
      <c r="BI242" s="8"/>
      <c r="BJ242" s="8"/>
      <c r="BK242" s="8"/>
      <c r="BL242" s="8"/>
      <c r="BM242" s="8"/>
      <c r="BN242" s="8"/>
      <c r="BO242" s="8"/>
      <c r="BP242" s="8"/>
      <c r="BQ242" s="8"/>
      <c r="BR242" s="8"/>
      <c r="BS242" s="8"/>
      <c r="BT242" s="8"/>
      <c r="BU242" s="8"/>
      <c r="BV242" s="8"/>
      <c r="BW242" s="8"/>
      <c r="BX242" s="8"/>
      <c r="BY242" s="8"/>
      <c r="BZ242" s="8"/>
      <c r="CA242" s="8"/>
      <c r="CB242" s="8"/>
      <c r="CC242" s="8"/>
      <c r="CD242" s="8"/>
      <c r="CE242" s="8"/>
      <c r="CF242" s="8"/>
      <c r="CG242" s="8"/>
      <c r="CH242" s="8"/>
      <c r="CI242" s="8"/>
      <c r="CJ242" s="8"/>
      <c r="CK242" s="8"/>
      <c r="CL242" s="8"/>
      <c r="CM242" s="8"/>
      <c r="CN242" s="8"/>
      <c r="CO242" s="8"/>
      <c r="CP242" s="8"/>
      <c r="CQ242" s="8"/>
      <c r="CR242" s="8"/>
      <c r="CS242" s="8"/>
      <c r="CT242" s="8"/>
      <c r="CU242" s="8"/>
      <c r="CV242" s="8"/>
      <c r="CW242" s="8"/>
      <c r="CX242" s="8"/>
      <c r="CY242" s="8"/>
      <c r="CZ242" s="8"/>
    </row>
    <row r="243" spans="1:104" x14ac:dyDescent="0.25">
      <c r="A243" s="2"/>
      <c r="B243" s="2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  <c r="AY243" s="8"/>
      <c r="AZ243" s="8"/>
      <c r="BA243" s="8"/>
      <c r="BB243" s="8"/>
      <c r="BC243" s="8"/>
      <c r="BD243" s="8"/>
      <c r="BE243" s="8"/>
      <c r="BF243" s="8"/>
      <c r="BG243" s="8"/>
      <c r="BH243" s="8"/>
      <c r="BI243" s="8"/>
      <c r="BJ243" s="8"/>
      <c r="BK243" s="8"/>
      <c r="BL243" s="8"/>
      <c r="BM243" s="8"/>
      <c r="BN243" s="8"/>
      <c r="BO243" s="8"/>
      <c r="BP243" s="8"/>
      <c r="BQ243" s="8"/>
      <c r="BR243" s="8"/>
      <c r="BS243" s="8"/>
      <c r="BT243" s="8"/>
      <c r="BU243" s="8"/>
      <c r="BV243" s="8"/>
      <c r="BW243" s="8"/>
      <c r="BX243" s="8"/>
      <c r="BY243" s="8"/>
      <c r="BZ243" s="8"/>
      <c r="CA243" s="8"/>
      <c r="CB243" s="8"/>
      <c r="CC243" s="8"/>
      <c r="CD243" s="8"/>
      <c r="CE243" s="8"/>
      <c r="CF243" s="8"/>
      <c r="CG243" s="8"/>
      <c r="CH243" s="8"/>
      <c r="CI243" s="8"/>
      <c r="CJ243" s="8"/>
      <c r="CK243" s="8"/>
      <c r="CL243" s="8"/>
      <c r="CM243" s="8"/>
      <c r="CN243" s="8"/>
      <c r="CO243" s="8"/>
      <c r="CP243" s="8"/>
      <c r="CQ243" s="8"/>
      <c r="CR243" s="8"/>
      <c r="CS243" s="8"/>
      <c r="CT243" s="8"/>
      <c r="CU243" s="8"/>
      <c r="CV243" s="8"/>
      <c r="CW243" s="8"/>
      <c r="CX243" s="8"/>
      <c r="CY243" s="8"/>
      <c r="CZ243" s="8"/>
    </row>
    <row r="244" spans="1:104" x14ac:dyDescent="0.25">
      <c r="A244" s="2"/>
      <c r="B244" s="2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  <c r="AY244" s="8"/>
      <c r="AZ244" s="8"/>
      <c r="BA244" s="8"/>
      <c r="BB244" s="8"/>
      <c r="BC244" s="8"/>
      <c r="BD244" s="8"/>
      <c r="BE244" s="8"/>
      <c r="BF244" s="8"/>
      <c r="BG244" s="8"/>
      <c r="BH244" s="8"/>
      <c r="BI244" s="8"/>
      <c r="BJ244" s="8"/>
      <c r="BK244" s="8"/>
      <c r="BL244" s="8"/>
      <c r="BM244" s="8"/>
      <c r="BN244" s="8"/>
      <c r="BO244" s="8"/>
      <c r="BP244" s="8"/>
      <c r="BQ244" s="8"/>
      <c r="BR244" s="8"/>
      <c r="BS244" s="8"/>
      <c r="BT244" s="8"/>
      <c r="BU244" s="8"/>
      <c r="BV244" s="8"/>
      <c r="BW244" s="8"/>
      <c r="BX244" s="8"/>
      <c r="BY244" s="8"/>
      <c r="BZ244" s="8"/>
      <c r="CA244" s="8"/>
      <c r="CB244" s="8"/>
      <c r="CC244" s="8"/>
      <c r="CD244" s="8"/>
      <c r="CE244" s="8"/>
      <c r="CF244" s="8"/>
      <c r="CG244" s="8"/>
      <c r="CH244" s="8"/>
      <c r="CI244" s="8"/>
      <c r="CJ244" s="8"/>
      <c r="CK244" s="8"/>
      <c r="CL244" s="8"/>
      <c r="CM244" s="8"/>
      <c r="CN244" s="8"/>
      <c r="CO244" s="8"/>
      <c r="CP244" s="8"/>
      <c r="CQ244" s="8"/>
      <c r="CR244" s="8"/>
      <c r="CS244" s="8"/>
      <c r="CT244" s="8"/>
      <c r="CU244" s="8"/>
      <c r="CV244" s="8"/>
      <c r="CW244" s="8"/>
      <c r="CX244" s="8"/>
      <c r="CY244" s="8"/>
      <c r="CZ244" s="8"/>
    </row>
    <row r="245" spans="1:104" x14ac:dyDescent="0.25">
      <c r="A245" s="2"/>
      <c r="B245" s="2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  <c r="AY245" s="8"/>
      <c r="AZ245" s="8"/>
      <c r="BA245" s="8"/>
      <c r="BB245" s="8"/>
      <c r="BC245" s="8"/>
      <c r="BD245" s="8"/>
      <c r="BE245" s="8"/>
      <c r="BF245" s="8"/>
      <c r="BG245" s="8"/>
      <c r="BH245" s="8"/>
      <c r="BI245" s="8"/>
      <c r="BJ245" s="8"/>
      <c r="BK245" s="8"/>
      <c r="BL245" s="8"/>
      <c r="BM245" s="8"/>
      <c r="BN245" s="8"/>
      <c r="BO245" s="8"/>
      <c r="BP245" s="8"/>
      <c r="BQ245" s="8"/>
      <c r="BR245" s="8"/>
      <c r="BS245" s="8"/>
      <c r="BT245" s="8"/>
      <c r="BU245" s="8"/>
      <c r="BV245" s="8"/>
      <c r="BW245" s="8"/>
      <c r="BX245" s="8"/>
      <c r="BY245" s="8"/>
      <c r="BZ245" s="8"/>
      <c r="CA245" s="8"/>
      <c r="CB245" s="8"/>
      <c r="CC245" s="8"/>
      <c r="CD245" s="8"/>
      <c r="CE245" s="8"/>
      <c r="CF245" s="8"/>
      <c r="CG245" s="8"/>
      <c r="CH245" s="8"/>
      <c r="CI245" s="8"/>
      <c r="CJ245" s="8"/>
      <c r="CK245" s="8"/>
      <c r="CL245" s="8"/>
      <c r="CM245" s="8"/>
      <c r="CN245" s="8"/>
      <c r="CO245" s="8"/>
      <c r="CP245" s="8"/>
      <c r="CQ245" s="8"/>
      <c r="CR245" s="8"/>
      <c r="CS245" s="8"/>
      <c r="CT245" s="8"/>
      <c r="CU245" s="8"/>
      <c r="CV245" s="8"/>
      <c r="CW245" s="8"/>
      <c r="CX245" s="8"/>
      <c r="CY245" s="8"/>
      <c r="CZ245" s="8"/>
    </row>
    <row r="246" spans="1:104" x14ac:dyDescent="0.25"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  <c r="AY246" s="8"/>
      <c r="AZ246" s="8"/>
      <c r="BA246" s="8"/>
      <c r="BB246" s="8"/>
      <c r="BC246" s="8"/>
      <c r="BD246" s="8"/>
      <c r="BE246" s="8"/>
      <c r="BF246" s="8"/>
      <c r="BG246" s="8"/>
      <c r="BH246" s="8"/>
      <c r="BI246" s="8"/>
      <c r="BJ246" s="8"/>
      <c r="BK246" s="8"/>
      <c r="BL246" s="8"/>
      <c r="BM246" s="8"/>
      <c r="BN246" s="8"/>
      <c r="BO246" s="8"/>
      <c r="BP246" s="8"/>
      <c r="BQ246" s="8"/>
      <c r="BR246" s="8"/>
      <c r="BS246" s="8"/>
      <c r="BT246" s="8"/>
      <c r="BU246" s="8"/>
      <c r="BV246" s="8"/>
      <c r="BW246" s="8"/>
      <c r="BX246" s="8"/>
      <c r="BY246" s="8"/>
      <c r="BZ246" s="8"/>
      <c r="CA246" s="8"/>
      <c r="CB246" s="8"/>
      <c r="CC246" s="8"/>
      <c r="CD246" s="8"/>
      <c r="CE246" s="8"/>
      <c r="CF246" s="8"/>
      <c r="CG246" s="8"/>
      <c r="CH246" s="8"/>
      <c r="CI246" s="8"/>
      <c r="CJ246" s="8"/>
      <c r="CK246" s="8"/>
      <c r="CL246" s="8"/>
      <c r="CM246" s="8"/>
      <c r="CN246" s="8"/>
      <c r="CO246" s="8"/>
      <c r="CP246" s="8"/>
      <c r="CQ246" s="8"/>
      <c r="CR246" s="8"/>
      <c r="CS246" s="8"/>
      <c r="CT246" s="8"/>
      <c r="CU246" s="8"/>
      <c r="CV246" s="8"/>
      <c r="CW246" s="8"/>
      <c r="CX246" s="8"/>
      <c r="CY246" s="8"/>
      <c r="CZ246" s="8"/>
    </row>
    <row r="247" spans="1:104" x14ac:dyDescent="0.25"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  <c r="AY247" s="8"/>
      <c r="AZ247" s="8"/>
      <c r="BA247" s="8"/>
      <c r="BB247" s="8"/>
      <c r="BC247" s="8"/>
      <c r="BD247" s="8"/>
      <c r="BE247" s="8"/>
      <c r="BF247" s="8"/>
      <c r="BG247" s="8"/>
      <c r="BH247" s="8"/>
      <c r="BI247" s="8"/>
      <c r="BJ247" s="8"/>
      <c r="BK247" s="8"/>
      <c r="BL247" s="8"/>
      <c r="BM247" s="8"/>
      <c r="BN247" s="8"/>
      <c r="BO247" s="8"/>
      <c r="BP247" s="8"/>
      <c r="BQ247" s="8"/>
      <c r="BR247" s="8"/>
      <c r="BS247" s="8"/>
      <c r="BT247" s="8"/>
      <c r="BU247" s="8"/>
      <c r="BV247" s="8"/>
      <c r="BW247" s="8"/>
      <c r="BX247" s="8"/>
      <c r="BY247" s="8"/>
      <c r="BZ247" s="8"/>
      <c r="CA247" s="8"/>
      <c r="CB247" s="8"/>
      <c r="CC247" s="8"/>
      <c r="CD247" s="8"/>
      <c r="CE247" s="8"/>
      <c r="CF247" s="8"/>
      <c r="CG247" s="8"/>
      <c r="CH247" s="8"/>
      <c r="CI247" s="8"/>
      <c r="CJ247" s="8"/>
      <c r="CK247" s="8"/>
      <c r="CL247" s="8"/>
      <c r="CM247" s="8"/>
      <c r="CN247" s="8"/>
      <c r="CO247" s="8"/>
      <c r="CP247" s="8"/>
      <c r="CQ247" s="8"/>
      <c r="CR247" s="8"/>
      <c r="CS247" s="8"/>
      <c r="CT247" s="8"/>
      <c r="CU247" s="8"/>
      <c r="CV247" s="8"/>
      <c r="CW247" s="8"/>
      <c r="CX247" s="8"/>
      <c r="CY247" s="8"/>
      <c r="CZ247" s="8"/>
    </row>
    <row r="248" spans="1:104" x14ac:dyDescent="0.25"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  <c r="AY248" s="8"/>
      <c r="AZ248" s="8"/>
      <c r="BA248" s="8"/>
      <c r="BB248" s="8"/>
      <c r="BC248" s="8"/>
      <c r="BD248" s="8"/>
      <c r="BE248" s="8"/>
      <c r="BF248" s="8"/>
      <c r="BG248" s="8"/>
      <c r="BH248" s="8"/>
      <c r="BI248" s="8"/>
      <c r="BJ248" s="8"/>
      <c r="BK248" s="8"/>
      <c r="BL248" s="8"/>
      <c r="BM248" s="8"/>
      <c r="BN248" s="8"/>
      <c r="BO248" s="8"/>
      <c r="BP248" s="8"/>
      <c r="BQ248" s="8"/>
      <c r="BR248" s="8"/>
      <c r="BS248" s="8"/>
      <c r="BT248" s="8"/>
      <c r="BU248" s="8"/>
      <c r="BV248" s="8"/>
      <c r="BW248" s="8"/>
      <c r="BX248" s="8"/>
      <c r="BY248" s="8"/>
      <c r="BZ248" s="8"/>
      <c r="CA248" s="8"/>
      <c r="CB248" s="8"/>
      <c r="CC248" s="8"/>
      <c r="CD248" s="8"/>
      <c r="CE248" s="8"/>
      <c r="CF248" s="8"/>
      <c r="CG248" s="8"/>
      <c r="CH248" s="8"/>
      <c r="CI248" s="8"/>
      <c r="CJ248" s="8"/>
      <c r="CK248" s="8"/>
      <c r="CL248" s="8"/>
      <c r="CM248" s="8"/>
      <c r="CN248" s="8"/>
      <c r="CO248" s="8"/>
      <c r="CP248" s="8"/>
      <c r="CQ248" s="8"/>
      <c r="CR248" s="8"/>
      <c r="CS248" s="8"/>
      <c r="CT248" s="8"/>
      <c r="CU248" s="8"/>
      <c r="CV248" s="8"/>
      <c r="CW248" s="8"/>
      <c r="CX248" s="8"/>
      <c r="CY248" s="8"/>
      <c r="CZ248" s="8"/>
    </row>
    <row r="249" spans="1:104" x14ac:dyDescent="0.25"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  <c r="AY249" s="8"/>
      <c r="AZ249" s="8"/>
      <c r="BA249" s="8"/>
      <c r="BB249" s="8"/>
      <c r="BC249" s="8"/>
      <c r="BD249" s="8"/>
      <c r="BE249" s="8"/>
      <c r="BF249" s="8"/>
      <c r="BG249" s="8"/>
      <c r="BH249" s="8"/>
      <c r="BI249" s="8"/>
      <c r="BJ249" s="8"/>
      <c r="BK249" s="8"/>
      <c r="BL249" s="8"/>
      <c r="BM249" s="8"/>
      <c r="BN249" s="8"/>
      <c r="BO249" s="8"/>
      <c r="BP249" s="8"/>
      <c r="BQ249" s="8"/>
      <c r="BR249" s="8"/>
      <c r="BS249" s="8"/>
      <c r="BT249" s="8"/>
      <c r="BU249" s="8"/>
      <c r="BV249" s="8"/>
      <c r="BW249" s="8"/>
      <c r="BX249" s="8"/>
      <c r="BY249" s="8"/>
      <c r="BZ249" s="8"/>
      <c r="CA249" s="8"/>
      <c r="CB249" s="8"/>
      <c r="CC249" s="8"/>
      <c r="CD249" s="8"/>
      <c r="CE249" s="8"/>
      <c r="CF249" s="8"/>
      <c r="CG249" s="8"/>
      <c r="CH249" s="8"/>
      <c r="CI249" s="8"/>
      <c r="CJ249" s="8"/>
      <c r="CK249" s="8"/>
      <c r="CL249" s="8"/>
      <c r="CM249" s="8"/>
      <c r="CN249" s="8"/>
      <c r="CO249" s="8"/>
      <c r="CP249" s="8"/>
      <c r="CQ249" s="8"/>
      <c r="CR249" s="8"/>
      <c r="CS249" s="8"/>
      <c r="CT249" s="8"/>
      <c r="CU249" s="8"/>
      <c r="CV249" s="8"/>
      <c r="CW249" s="8"/>
      <c r="CX249" s="8"/>
      <c r="CY249" s="8"/>
      <c r="CZ249" s="8"/>
    </row>
    <row r="250" spans="1:104" x14ac:dyDescent="0.25"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  <c r="AY250" s="8"/>
      <c r="AZ250" s="8"/>
      <c r="BA250" s="8"/>
      <c r="BB250" s="8"/>
      <c r="BC250" s="8"/>
      <c r="BD250" s="8"/>
      <c r="BE250" s="8"/>
      <c r="BF250" s="8"/>
      <c r="BG250" s="8"/>
      <c r="BH250" s="8"/>
      <c r="BI250" s="8"/>
      <c r="BJ250" s="8"/>
      <c r="BK250" s="8"/>
      <c r="BL250" s="8"/>
      <c r="BM250" s="8"/>
      <c r="BN250" s="8"/>
      <c r="BO250" s="8"/>
      <c r="BP250" s="8"/>
      <c r="BQ250" s="8"/>
      <c r="BR250" s="8"/>
      <c r="BS250" s="8"/>
      <c r="BT250" s="8"/>
      <c r="BU250" s="8"/>
      <c r="BV250" s="8"/>
      <c r="BW250" s="8"/>
      <c r="BX250" s="8"/>
      <c r="BY250" s="8"/>
      <c r="BZ250" s="8"/>
      <c r="CA250" s="8"/>
      <c r="CB250" s="8"/>
      <c r="CC250" s="8"/>
      <c r="CD250" s="8"/>
      <c r="CE250" s="8"/>
      <c r="CF250" s="8"/>
      <c r="CG250" s="8"/>
      <c r="CH250" s="8"/>
      <c r="CI250" s="8"/>
      <c r="CJ250" s="8"/>
      <c r="CK250" s="8"/>
      <c r="CL250" s="8"/>
      <c r="CM250" s="8"/>
      <c r="CN250" s="8"/>
      <c r="CO250" s="8"/>
      <c r="CP250" s="8"/>
      <c r="CQ250" s="8"/>
      <c r="CR250" s="8"/>
      <c r="CS250" s="8"/>
      <c r="CT250" s="8"/>
      <c r="CU250" s="8"/>
      <c r="CV250" s="8"/>
      <c r="CW250" s="8"/>
      <c r="CX250" s="8"/>
      <c r="CY250" s="8"/>
      <c r="CZ250" s="8"/>
    </row>
    <row r="251" spans="1:104" x14ac:dyDescent="0.25"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  <c r="AY251" s="8"/>
      <c r="AZ251" s="8"/>
      <c r="BA251" s="8"/>
      <c r="BB251" s="8"/>
      <c r="BC251" s="8"/>
      <c r="BD251" s="8"/>
      <c r="BE251" s="8"/>
      <c r="BF251" s="8"/>
      <c r="BG251" s="8"/>
      <c r="BH251" s="8"/>
      <c r="BI251" s="8"/>
      <c r="BJ251" s="8"/>
      <c r="BK251" s="8"/>
      <c r="BL251" s="8"/>
      <c r="BM251" s="8"/>
      <c r="BN251" s="8"/>
      <c r="BO251" s="8"/>
      <c r="BP251" s="8"/>
      <c r="BQ251" s="8"/>
      <c r="BR251" s="8"/>
      <c r="BS251" s="8"/>
      <c r="BT251" s="8"/>
      <c r="BU251" s="8"/>
      <c r="BV251" s="8"/>
      <c r="BW251" s="8"/>
      <c r="BX251" s="8"/>
      <c r="BY251" s="8"/>
      <c r="BZ251" s="8"/>
      <c r="CA251" s="8"/>
      <c r="CB251" s="8"/>
      <c r="CC251" s="8"/>
      <c r="CD251" s="8"/>
      <c r="CE251" s="8"/>
      <c r="CF251" s="8"/>
      <c r="CG251" s="8"/>
      <c r="CH251" s="8"/>
      <c r="CI251" s="8"/>
      <c r="CJ251" s="8"/>
      <c r="CK251" s="8"/>
      <c r="CL251" s="8"/>
      <c r="CM251" s="8"/>
      <c r="CN251" s="8"/>
      <c r="CO251" s="8"/>
      <c r="CP251" s="8"/>
      <c r="CQ251" s="8"/>
      <c r="CR251" s="8"/>
      <c r="CS251" s="8"/>
      <c r="CT251" s="8"/>
      <c r="CU251" s="8"/>
      <c r="CV251" s="8"/>
      <c r="CW251" s="8"/>
      <c r="CX251" s="8"/>
      <c r="CY251" s="8"/>
      <c r="CZ251" s="8"/>
    </row>
    <row r="252" spans="1:104" x14ac:dyDescent="0.25"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  <c r="AY252" s="8"/>
      <c r="AZ252" s="8"/>
      <c r="BA252" s="8"/>
      <c r="BB252" s="8"/>
      <c r="BC252" s="8"/>
      <c r="BD252" s="8"/>
      <c r="BE252" s="8"/>
      <c r="BF252" s="8"/>
      <c r="BG252" s="8"/>
      <c r="BH252" s="8"/>
      <c r="BI252" s="8"/>
      <c r="BJ252" s="8"/>
      <c r="BK252" s="8"/>
      <c r="BL252" s="8"/>
      <c r="BM252" s="8"/>
      <c r="BN252" s="8"/>
      <c r="BO252" s="8"/>
      <c r="BP252" s="8"/>
      <c r="BQ252" s="8"/>
      <c r="BR252" s="8"/>
      <c r="BS252" s="8"/>
      <c r="BT252" s="8"/>
      <c r="BU252" s="8"/>
      <c r="BV252" s="8"/>
      <c r="BW252" s="8"/>
      <c r="BX252" s="8"/>
      <c r="BY252" s="8"/>
      <c r="BZ252" s="8"/>
      <c r="CA252" s="8"/>
      <c r="CB252" s="8"/>
      <c r="CC252" s="8"/>
      <c r="CD252" s="8"/>
      <c r="CE252" s="8"/>
      <c r="CF252" s="8"/>
      <c r="CG252" s="8"/>
      <c r="CH252" s="8"/>
      <c r="CI252" s="8"/>
      <c r="CJ252" s="8"/>
      <c r="CK252" s="8"/>
      <c r="CL252" s="8"/>
      <c r="CM252" s="8"/>
      <c r="CN252" s="8"/>
      <c r="CO252" s="8"/>
      <c r="CP252" s="8"/>
      <c r="CQ252" s="8"/>
      <c r="CR252" s="8"/>
      <c r="CS252" s="8"/>
      <c r="CT252" s="8"/>
      <c r="CU252" s="8"/>
      <c r="CV252" s="8"/>
      <c r="CW252" s="8"/>
      <c r="CX252" s="8"/>
      <c r="CY252" s="8"/>
      <c r="CZ252" s="8"/>
    </row>
    <row r="253" spans="1:104" x14ac:dyDescent="0.25"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  <c r="AY253" s="8"/>
      <c r="AZ253" s="8"/>
      <c r="BA253" s="8"/>
      <c r="BB253" s="8"/>
      <c r="BC253" s="8"/>
      <c r="BD253" s="8"/>
      <c r="BE253" s="8"/>
      <c r="BF253" s="8"/>
      <c r="BG253" s="8"/>
      <c r="BH253" s="8"/>
      <c r="BI253" s="8"/>
      <c r="BJ253" s="8"/>
      <c r="BK253" s="8"/>
      <c r="BL253" s="8"/>
      <c r="BM253" s="8"/>
      <c r="BN253" s="8"/>
      <c r="BO253" s="8"/>
      <c r="BP253" s="8"/>
      <c r="BQ253" s="8"/>
      <c r="BR253" s="8"/>
      <c r="BS253" s="8"/>
      <c r="BT253" s="8"/>
      <c r="BU253" s="8"/>
      <c r="BV253" s="8"/>
      <c r="BW253" s="8"/>
      <c r="BX253" s="8"/>
      <c r="BY253" s="8"/>
      <c r="BZ253" s="8"/>
      <c r="CA253" s="8"/>
      <c r="CB253" s="8"/>
      <c r="CC253" s="8"/>
      <c r="CD253" s="8"/>
      <c r="CE253" s="8"/>
      <c r="CF253" s="8"/>
      <c r="CG253" s="8"/>
      <c r="CH253" s="8"/>
      <c r="CI253" s="8"/>
      <c r="CJ253" s="8"/>
      <c r="CK253" s="8"/>
      <c r="CL253" s="8"/>
      <c r="CM253" s="8"/>
      <c r="CN253" s="8"/>
      <c r="CO253" s="8"/>
      <c r="CP253" s="8"/>
      <c r="CQ253" s="8"/>
      <c r="CR253" s="8"/>
      <c r="CS253" s="8"/>
      <c r="CT253" s="8"/>
      <c r="CU253" s="8"/>
      <c r="CV253" s="8"/>
      <c r="CW253" s="8"/>
      <c r="CX253" s="8"/>
      <c r="CY253" s="8"/>
      <c r="CZ253" s="8"/>
    </row>
    <row r="254" spans="1:104" x14ac:dyDescent="0.25"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  <c r="AY254" s="8"/>
      <c r="AZ254" s="8"/>
      <c r="BA254" s="8"/>
      <c r="BB254" s="8"/>
      <c r="BC254" s="8"/>
      <c r="BD254" s="8"/>
      <c r="BE254" s="8"/>
      <c r="BF254" s="8"/>
      <c r="BG254" s="8"/>
      <c r="BH254" s="8"/>
      <c r="BI254" s="8"/>
      <c r="BJ254" s="8"/>
      <c r="BK254" s="8"/>
      <c r="BL254" s="8"/>
      <c r="BM254" s="8"/>
      <c r="BN254" s="8"/>
      <c r="BO254" s="8"/>
      <c r="BP254" s="8"/>
      <c r="BQ254" s="8"/>
      <c r="BR254" s="8"/>
      <c r="BS254" s="8"/>
      <c r="BT254" s="8"/>
      <c r="BU254" s="8"/>
      <c r="BV254" s="8"/>
      <c r="BW254" s="8"/>
      <c r="BX254" s="8"/>
      <c r="BY254" s="8"/>
      <c r="BZ254" s="8"/>
      <c r="CA254" s="8"/>
      <c r="CB254" s="8"/>
      <c r="CC254" s="8"/>
      <c r="CD254" s="8"/>
      <c r="CE254" s="8"/>
      <c r="CF254" s="8"/>
      <c r="CG254" s="8"/>
      <c r="CH254" s="8"/>
      <c r="CI254" s="8"/>
      <c r="CJ254" s="8"/>
      <c r="CK254" s="8"/>
      <c r="CL254" s="8"/>
      <c r="CM254" s="8"/>
      <c r="CN254" s="8"/>
      <c r="CO254" s="8"/>
      <c r="CP254" s="8"/>
      <c r="CQ254" s="8"/>
      <c r="CR254" s="8"/>
      <c r="CS254" s="8"/>
      <c r="CT254" s="8"/>
      <c r="CU254" s="8"/>
      <c r="CV254" s="8"/>
      <c r="CW254" s="8"/>
      <c r="CX254" s="8"/>
      <c r="CY254" s="8"/>
      <c r="CZ254" s="8"/>
    </row>
    <row r="255" spans="1:104" x14ac:dyDescent="0.25"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  <c r="AY255" s="8"/>
      <c r="AZ255" s="8"/>
      <c r="BA255" s="8"/>
      <c r="BB255" s="8"/>
      <c r="BC255" s="8"/>
      <c r="BD255" s="8"/>
      <c r="BE255" s="8"/>
      <c r="BF255" s="8"/>
      <c r="BG255" s="8"/>
      <c r="BH255" s="8"/>
      <c r="BI255" s="8"/>
      <c r="BJ255" s="8"/>
      <c r="BK255" s="8"/>
      <c r="BL255" s="8"/>
      <c r="BM255" s="8"/>
      <c r="BN255" s="8"/>
      <c r="BO255" s="8"/>
      <c r="BP255" s="8"/>
      <c r="BQ255" s="8"/>
      <c r="BR255" s="8"/>
      <c r="BS255" s="8"/>
      <c r="BT255" s="8"/>
      <c r="BU255" s="8"/>
      <c r="BV255" s="8"/>
      <c r="BW255" s="8"/>
      <c r="BX255" s="8"/>
      <c r="BY255" s="8"/>
      <c r="BZ255" s="8"/>
      <c r="CA255" s="8"/>
      <c r="CB255" s="8"/>
      <c r="CC255" s="8"/>
      <c r="CD255" s="8"/>
      <c r="CE255" s="8"/>
      <c r="CF255" s="8"/>
      <c r="CG255" s="8"/>
      <c r="CH255" s="8"/>
      <c r="CI255" s="8"/>
      <c r="CJ255" s="8"/>
      <c r="CK255" s="8"/>
      <c r="CL255" s="8"/>
      <c r="CM255" s="8"/>
      <c r="CN255" s="8"/>
      <c r="CO255" s="8"/>
      <c r="CP255" s="8"/>
      <c r="CQ255" s="8"/>
      <c r="CR255" s="8"/>
      <c r="CS255" s="8"/>
      <c r="CT255" s="8"/>
      <c r="CU255" s="8"/>
      <c r="CV255" s="8"/>
      <c r="CW255" s="8"/>
      <c r="CX255" s="8"/>
      <c r="CY255" s="8"/>
      <c r="CZ255" s="8"/>
    </row>
    <row r="256" spans="1:104" x14ac:dyDescent="0.25"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  <c r="AY256" s="8"/>
      <c r="AZ256" s="8"/>
      <c r="BA256" s="8"/>
      <c r="BB256" s="8"/>
      <c r="BC256" s="8"/>
      <c r="BD256" s="8"/>
      <c r="BE256" s="8"/>
      <c r="BF256" s="8"/>
      <c r="BG256" s="8"/>
      <c r="BH256" s="8"/>
      <c r="BI256" s="8"/>
      <c r="BJ256" s="8"/>
      <c r="BK256" s="8"/>
      <c r="BL256" s="8"/>
      <c r="BM256" s="8"/>
      <c r="BN256" s="8"/>
      <c r="BO256" s="8"/>
      <c r="BP256" s="8"/>
      <c r="BQ256" s="8"/>
      <c r="BR256" s="8"/>
      <c r="BS256" s="8"/>
      <c r="BT256" s="8"/>
      <c r="BU256" s="8"/>
      <c r="BV256" s="8"/>
      <c r="BW256" s="8"/>
      <c r="BX256" s="8"/>
      <c r="BY256" s="8"/>
      <c r="BZ256" s="8"/>
      <c r="CA256" s="8"/>
      <c r="CB256" s="8"/>
      <c r="CC256" s="8"/>
      <c r="CD256" s="8"/>
      <c r="CE256" s="8"/>
      <c r="CF256" s="8"/>
      <c r="CG256" s="8"/>
      <c r="CH256" s="8"/>
      <c r="CI256" s="8"/>
      <c r="CJ256" s="8"/>
      <c r="CK256" s="8"/>
      <c r="CL256" s="8"/>
      <c r="CM256" s="8"/>
      <c r="CN256" s="8"/>
      <c r="CO256" s="8"/>
      <c r="CP256" s="8"/>
      <c r="CQ256" s="8"/>
      <c r="CR256" s="8"/>
      <c r="CS256" s="8"/>
      <c r="CT256" s="8"/>
      <c r="CU256" s="8"/>
      <c r="CV256" s="8"/>
      <c r="CW256" s="8"/>
      <c r="CX256" s="8"/>
      <c r="CY256" s="8"/>
      <c r="CZ256" s="8"/>
    </row>
    <row r="257" spans="3:104" x14ac:dyDescent="0.25"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  <c r="AY257" s="8"/>
      <c r="AZ257" s="8"/>
      <c r="BA257" s="8"/>
      <c r="BB257" s="8"/>
      <c r="BC257" s="8"/>
      <c r="BD257" s="8"/>
      <c r="BE257" s="8"/>
      <c r="BF257" s="8"/>
      <c r="BG257" s="8"/>
      <c r="BH257" s="8"/>
      <c r="BI257" s="8"/>
      <c r="BJ257" s="8"/>
      <c r="BK257" s="8"/>
      <c r="BL257" s="8"/>
      <c r="BM257" s="8"/>
      <c r="BN257" s="8"/>
      <c r="BO257" s="8"/>
      <c r="BP257" s="8"/>
      <c r="BQ257" s="8"/>
      <c r="BR257" s="8"/>
      <c r="BS257" s="8"/>
      <c r="BT257" s="8"/>
      <c r="BU257" s="8"/>
      <c r="BV257" s="8"/>
      <c r="BW257" s="8"/>
      <c r="BX257" s="8"/>
      <c r="BY257" s="8"/>
      <c r="BZ257" s="8"/>
      <c r="CA257" s="8"/>
      <c r="CB257" s="8"/>
      <c r="CC257" s="8"/>
      <c r="CD257" s="8"/>
      <c r="CE257" s="8"/>
      <c r="CF257" s="8"/>
      <c r="CG257" s="8"/>
      <c r="CH257" s="8"/>
      <c r="CI257" s="8"/>
      <c r="CJ257" s="8"/>
      <c r="CK257" s="8"/>
      <c r="CL257" s="8"/>
      <c r="CM257" s="8"/>
      <c r="CN257" s="8"/>
      <c r="CO257" s="8"/>
      <c r="CP257" s="8"/>
      <c r="CQ257" s="8"/>
      <c r="CR257" s="8"/>
      <c r="CS257" s="8"/>
      <c r="CT257" s="8"/>
      <c r="CU257" s="8"/>
      <c r="CV257" s="8"/>
      <c r="CW257" s="8"/>
      <c r="CX257" s="8"/>
      <c r="CY257" s="8"/>
      <c r="CZ257" s="8"/>
    </row>
    <row r="258" spans="3:104" x14ac:dyDescent="0.25"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  <c r="AY258" s="8"/>
      <c r="AZ258" s="8"/>
      <c r="BA258" s="8"/>
      <c r="BB258" s="8"/>
      <c r="BC258" s="8"/>
      <c r="BD258" s="8"/>
      <c r="BE258" s="8"/>
      <c r="BF258" s="8"/>
      <c r="BG258" s="8"/>
      <c r="BH258" s="8"/>
      <c r="BI258" s="8"/>
      <c r="BJ258" s="8"/>
      <c r="BK258" s="8"/>
      <c r="BL258" s="8"/>
      <c r="BM258" s="8"/>
      <c r="BN258" s="8"/>
      <c r="BO258" s="8"/>
      <c r="BP258" s="8"/>
      <c r="BQ258" s="8"/>
      <c r="BR258" s="8"/>
      <c r="BS258" s="8"/>
      <c r="BT258" s="8"/>
      <c r="BU258" s="8"/>
      <c r="BV258" s="8"/>
      <c r="BW258" s="8"/>
      <c r="BX258" s="8"/>
      <c r="BY258" s="8"/>
      <c r="BZ258" s="8"/>
      <c r="CA258" s="8"/>
      <c r="CB258" s="8"/>
      <c r="CC258" s="8"/>
      <c r="CD258" s="8"/>
      <c r="CE258" s="8"/>
      <c r="CF258" s="8"/>
      <c r="CG258" s="8"/>
      <c r="CH258" s="8"/>
      <c r="CI258" s="8"/>
      <c r="CJ258" s="8"/>
      <c r="CK258" s="8"/>
      <c r="CL258" s="8"/>
      <c r="CM258" s="8"/>
      <c r="CN258" s="8"/>
      <c r="CO258" s="8"/>
      <c r="CP258" s="8"/>
      <c r="CQ258" s="8"/>
      <c r="CR258" s="8"/>
      <c r="CS258" s="8"/>
      <c r="CT258" s="8"/>
      <c r="CU258" s="8"/>
      <c r="CV258" s="8"/>
      <c r="CW258" s="8"/>
      <c r="CX258" s="8"/>
      <c r="CY258" s="8"/>
      <c r="CZ258" s="8"/>
    </row>
    <row r="259" spans="3:104" x14ac:dyDescent="0.25"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  <c r="AY259" s="8"/>
      <c r="AZ259" s="8"/>
      <c r="BA259" s="8"/>
      <c r="BB259" s="8"/>
      <c r="BC259" s="8"/>
      <c r="BD259" s="8"/>
      <c r="BE259" s="8"/>
      <c r="BF259" s="8"/>
      <c r="BG259" s="8"/>
      <c r="BH259" s="8"/>
      <c r="BI259" s="8"/>
      <c r="BJ259" s="8"/>
      <c r="BK259" s="8"/>
      <c r="BL259" s="8"/>
      <c r="BM259" s="8"/>
      <c r="BN259" s="8"/>
      <c r="BO259" s="8"/>
      <c r="BP259" s="8"/>
      <c r="BQ259" s="8"/>
      <c r="BR259" s="8"/>
      <c r="BS259" s="8"/>
      <c r="BT259" s="8"/>
      <c r="BU259" s="8"/>
      <c r="BV259" s="8"/>
      <c r="BW259" s="8"/>
      <c r="BX259" s="8"/>
      <c r="BY259" s="8"/>
      <c r="BZ259" s="8"/>
      <c r="CA259" s="8"/>
      <c r="CB259" s="8"/>
      <c r="CC259" s="8"/>
      <c r="CD259" s="8"/>
      <c r="CE259" s="8"/>
      <c r="CF259" s="8"/>
      <c r="CG259" s="8"/>
      <c r="CH259" s="8"/>
      <c r="CI259" s="8"/>
      <c r="CJ259" s="8"/>
      <c r="CK259" s="8"/>
      <c r="CL259" s="8"/>
      <c r="CM259" s="8"/>
      <c r="CN259" s="8"/>
      <c r="CO259" s="8"/>
      <c r="CP259" s="8"/>
      <c r="CQ259" s="8"/>
      <c r="CR259" s="8"/>
      <c r="CS259" s="8"/>
      <c r="CT259" s="8"/>
      <c r="CU259" s="8"/>
      <c r="CV259" s="8"/>
      <c r="CW259" s="8"/>
      <c r="CX259" s="8"/>
      <c r="CY259" s="8"/>
      <c r="CZ259" s="8"/>
    </row>
    <row r="260" spans="3:104" x14ac:dyDescent="0.25"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  <c r="AY260" s="8"/>
      <c r="AZ260" s="8"/>
      <c r="BA260" s="8"/>
      <c r="BB260" s="8"/>
      <c r="BC260" s="8"/>
      <c r="BD260" s="8"/>
      <c r="BE260" s="8"/>
      <c r="BF260" s="8"/>
      <c r="BG260" s="8"/>
      <c r="BH260" s="8"/>
      <c r="BI260" s="8"/>
      <c r="BJ260" s="8"/>
      <c r="BK260" s="8"/>
      <c r="BL260" s="8"/>
      <c r="BM260" s="8"/>
      <c r="BN260" s="8"/>
      <c r="BO260" s="8"/>
      <c r="BP260" s="8"/>
      <c r="BQ260" s="8"/>
      <c r="BR260" s="8"/>
      <c r="BS260" s="8"/>
      <c r="BT260" s="8"/>
      <c r="BU260" s="8"/>
      <c r="BV260" s="8"/>
      <c r="BW260" s="8"/>
      <c r="BX260" s="8"/>
      <c r="BY260" s="8"/>
      <c r="BZ260" s="8"/>
      <c r="CA260" s="8"/>
      <c r="CB260" s="8"/>
      <c r="CC260" s="8"/>
      <c r="CD260" s="8"/>
      <c r="CE260" s="8"/>
      <c r="CF260" s="8"/>
      <c r="CG260" s="8"/>
      <c r="CH260" s="8"/>
      <c r="CI260" s="8"/>
      <c r="CJ260" s="8"/>
      <c r="CK260" s="8"/>
      <c r="CL260" s="8"/>
      <c r="CM260" s="8"/>
      <c r="CN260" s="8"/>
      <c r="CO260" s="8"/>
      <c r="CP260" s="8"/>
      <c r="CQ260" s="8"/>
      <c r="CR260" s="8"/>
      <c r="CS260" s="8"/>
      <c r="CT260" s="8"/>
      <c r="CU260" s="8"/>
      <c r="CV260" s="8"/>
      <c r="CW260" s="8"/>
      <c r="CX260" s="8"/>
      <c r="CY260" s="8"/>
      <c r="CZ260" s="8"/>
    </row>
    <row r="261" spans="3:104" x14ac:dyDescent="0.25"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  <c r="AX261" s="8"/>
      <c r="AY261" s="8"/>
      <c r="AZ261" s="8"/>
      <c r="BA261" s="8"/>
      <c r="BB261" s="8"/>
      <c r="BC261" s="8"/>
      <c r="BD261" s="8"/>
      <c r="BE261" s="8"/>
      <c r="BF261" s="8"/>
      <c r="BG261" s="8"/>
      <c r="BH261" s="8"/>
      <c r="BI261" s="8"/>
      <c r="BJ261" s="8"/>
      <c r="BK261" s="8"/>
      <c r="BL261" s="8"/>
      <c r="BM261" s="8"/>
      <c r="BN261" s="8"/>
      <c r="BO261" s="8"/>
      <c r="BP261" s="8"/>
      <c r="BQ261" s="8"/>
      <c r="BR261" s="8"/>
      <c r="BS261" s="8"/>
      <c r="BT261" s="8"/>
      <c r="BU261" s="8"/>
      <c r="BV261" s="8"/>
      <c r="BW261" s="8"/>
      <c r="BX261" s="8"/>
      <c r="BY261" s="8"/>
      <c r="BZ261" s="8"/>
      <c r="CA261" s="8"/>
      <c r="CB261" s="8"/>
      <c r="CC261" s="8"/>
      <c r="CD261" s="8"/>
      <c r="CE261" s="8"/>
      <c r="CF261" s="8"/>
      <c r="CG261" s="8"/>
      <c r="CH261" s="8"/>
      <c r="CI261" s="8"/>
      <c r="CJ261" s="8"/>
      <c r="CK261" s="8"/>
      <c r="CL261" s="8"/>
      <c r="CM261" s="8"/>
      <c r="CN261" s="8"/>
      <c r="CO261" s="8"/>
      <c r="CP261" s="8"/>
      <c r="CQ261" s="8"/>
      <c r="CR261" s="8"/>
      <c r="CS261" s="8"/>
      <c r="CT261" s="8"/>
      <c r="CU261" s="8"/>
      <c r="CV261" s="8"/>
      <c r="CW261" s="8"/>
      <c r="CX261" s="8"/>
      <c r="CY261" s="8"/>
      <c r="CZ261" s="8"/>
    </row>
    <row r="262" spans="3:104" x14ac:dyDescent="0.25"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  <c r="AY262" s="8"/>
      <c r="AZ262" s="8"/>
      <c r="BA262" s="8"/>
      <c r="BB262" s="8"/>
      <c r="BC262" s="8"/>
      <c r="BD262" s="8"/>
      <c r="BE262" s="8"/>
      <c r="BF262" s="8"/>
      <c r="BG262" s="8"/>
      <c r="BH262" s="8"/>
      <c r="BI262" s="8"/>
      <c r="BJ262" s="8"/>
      <c r="BK262" s="8"/>
      <c r="BL262" s="8"/>
      <c r="BM262" s="8"/>
      <c r="BN262" s="8"/>
      <c r="BO262" s="8"/>
      <c r="BP262" s="8"/>
      <c r="BQ262" s="8"/>
      <c r="BR262" s="8"/>
      <c r="BS262" s="8"/>
      <c r="BT262" s="8"/>
      <c r="BU262" s="8"/>
      <c r="BV262" s="8"/>
      <c r="BW262" s="8"/>
      <c r="BX262" s="8"/>
      <c r="BY262" s="8"/>
      <c r="BZ262" s="8"/>
      <c r="CA262" s="8"/>
      <c r="CB262" s="8"/>
      <c r="CC262" s="8"/>
      <c r="CD262" s="8"/>
      <c r="CE262" s="8"/>
      <c r="CF262" s="8"/>
      <c r="CG262" s="8"/>
      <c r="CH262" s="8"/>
      <c r="CI262" s="8"/>
      <c r="CJ262" s="8"/>
      <c r="CK262" s="8"/>
      <c r="CL262" s="8"/>
      <c r="CM262" s="8"/>
      <c r="CN262" s="8"/>
      <c r="CO262" s="8"/>
      <c r="CP262" s="8"/>
      <c r="CQ262" s="8"/>
      <c r="CR262" s="8"/>
      <c r="CS262" s="8"/>
      <c r="CT262" s="8"/>
      <c r="CU262" s="8"/>
      <c r="CV262" s="8"/>
      <c r="CW262" s="8"/>
      <c r="CX262" s="8"/>
      <c r="CY262" s="8"/>
      <c r="CZ262" s="8"/>
    </row>
    <row r="263" spans="3:104" x14ac:dyDescent="0.25"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  <c r="AY263" s="8"/>
      <c r="AZ263" s="8"/>
      <c r="BA263" s="8"/>
      <c r="BB263" s="8"/>
      <c r="BC263" s="8"/>
      <c r="BD263" s="8"/>
      <c r="BE263" s="8"/>
      <c r="BF263" s="8"/>
      <c r="BG263" s="8"/>
      <c r="BH263" s="8"/>
      <c r="BI263" s="8"/>
      <c r="BJ263" s="8"/>
      <c r="BK263" s="8"/>
      <c r="BL263" s="8"/>
      <c r="BM263" s="8"/>
      <c r="BN263" s="8"/>
      <c r="BO263" s="8"/>
      <c r="BP263" s="8"/>
      <c r="BQ263" s="8"/>
      <c r="BR263" s="8"/>
      <c r="BS263" s="8"/>
      <c r="BT263" s="8"/>
      <c r="BU263" s="8"/>
      <c r="BV263" s="8"/>
      <c r="BW263" s="8"/>
      <c r="BX263" s="8"/>
      <c r="BY263" s="8"/>
      <c r="BZ263" s="8"/>
      <c r="CA263" s="8"/>
      <c r="CB263" s="8"/>
      <c r="CC263" s="8"/>
      <c r="CD263" s="8"/>
      <c r="CE263" s="8"/>
      <c r="CF263" s="8"/>
      <c r="CG263" s="8"/>
      <c r="CH263" s="8"/>
      <c r="CI263" s="8"/>
      <c r="CJ263" s="8"/>
      <c r="CK263" s="8"/>
      <c r="CL263" s="8"/>
      <c r="CM263" s="8"/>
      <c r="CN263" s="8"/>
      <c r="CO263" s="8"/>
      <c r="CP263" s="8"/>
      <c r="CQ263" s="8"/>
      <c r="CR263" s="8"/>
      <c r="CS263" s="8"/>
      <c r="CT263" s="8"/>
      <c r="CU263" s="8"/>
      <c r="CV263" s="8"/>
      <c r="CW263" s="8"/>
      <c r="CX263" s="8"/>
      <c r="CY263" s="8"/>
      <c r="CZ263" s="8"/>
    </row>
    <row r="264" spans="3:104" x14ac:dyDescent="0.25"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  <c r="AX264" s="8"/>
      <c r="AY264" s="8"/>
      <c r="AZ264" s="8"/>
      <c r="BA264" s="8"/>
      <c r="BB264" s="8"/>
      <c r="BC264" s="8"/>
      <c r="BD264" s="8"/>
      <c r="BE264" s="8"/>
      <c r="BF264" s="8"/>
      <c r="BG264" s="8"/>
      <c r="BH264" s="8"/>
      <c r="BI264" s="8"/>
      <c r="BJ264" s="8"/>
      <c r="BK264" s="8"/>
      <c r="BL264" s="8"/>
      <c r="BM264" s="8"/>
      <c r="BN264" s="8"/>
      <c r="BO264" s="8"/>
      <c r="BP264" s="8"/>
      <c r="BQ264" s="8"/>
      <c r="BR264" s="8"/>
      <c r="BS264" s="8"/>
      <c r="BT264" s="8"/>
      <c r="BU264" s="8"/>
      <c r="BV264" s="8"/>
      <c r="BW264" s="8"/>
      <c r="BX264" s="8"/>
      <c r="BY264" s="8"/>
      <c r="BZ264" s="8"/>
      <c r="CA264" s="8"/>
      <c r="CB264" s="8"/>
      <c r="CC264" s="8"/>
      <c r="CD264" s="8"/>
      <c r="CE264" s="8"/>
      <c r="CF264" s="8"/>
      <c r="CG264" s="8"/>
      <c r="CH264" s="8"/>
      <c r="CI264" s="8"/>
      <c r="CJ264" s="8"/>
      <c r="CK264" s="8"/>
      <c r="CL264" s="8"/>
      <c r="CM264" s="8"/>
      <c r="CN264" s="8"/>
      <c r="CO264" s="8"/>
      <c r="CP264" s="8"/>
      <c r="CQ264" s="8"/>
      <c r="CR264" s="8"/>
      <c r="CS264" s="8"/>
      <c r="CT264" s="8"/>
      <c r="CU264" s="8"/>
      <c r="CV264" s="8"/>
      <c r="CW264" s="8"/>
      <c r="CX264" s="8"/>
      <c r="CY264" s="8"/>
      <c r="CZ264" s="8"/>
    </row>
    <row r="265" spans="3:104" x14ac:dyDescent="0.25"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  <c r="AY265" s="8"/>
      <c r="AZ265" s="8"/>
      <c r="BA265" s="8"/>
      <c r="BB265" s="8"/>
      <c r="BC265" s="8"/>
      <c r="BD265" s="8"/>
      <c r="BE265" s="8"/>
      <c r="BF265" s="8"/>
      <c r="BG265" s="8"/>
      <c r="BH265" s="8"/>
      <c r="BI265" s="8"/>
      <c r="BJ265" s="8"/>
      <c r="BK265" s="8"/>
      <c r="BL265" s="8"/>
      <c r="BM265" s="8"/>
      <c r="BN265" s="8"/>
      <c r="BO265" s="8"/>
      <c r="BP265" s="8"/>
      <c r="BQ265" s="8"/>
      <c r="BR265" s="8"/>
      <c r="BS265" s="8"/>
      <c r="BT265" s="8"/>
      <c r="BU265" s="8"/>
      <c r="BV265" s="8"/>
      <c r="BW265" s="8"/>
      <c r="BX265" s="8"/>
      <c r="BY265" s="8"/>
      <c r="BZ265" s="8"/>
      <c r="CA265" s="8"/>
      <c r="CB265" s="8"/>
      <c r="CC265" s="8"/>
      <c r="CD265" s="8"/>
      <c r="CE265" s="8"/>
      <c r="CF265" s="8"/>
      <c r="CG265" s="8"/>
      <c r="CH265" s="8"/>
      <c r="CI265" s="8"/>
      <c r="CJ265" s="8"/>
      <c r="CK265" s="8"/>
      <c r="CL265" s="8"/>
      <c r="CM265" s="8"/>
      <c r="CN265" s="8"/>
      <c r="CO265" s="8"/>
      <c r="CP265" s="8"/>
      <c r="CQ265" s="8"/>
      <c r="CR265" s="8"/>
      <c r="CS265" s="8"/>
      <c r="CT265" s="8"/>
      <c r="CU265" s="8"/>
      <c r="CV265" s="8"/>
      <c r="CW265" s="8"/>
      <c r="CX265" s="8"/>
      <c r="CY265" s="8"/>
      <c r="CZ265" s="8"/>
    </row>
    <row r="266" spans="3:104" x14ac:dyDescent="0.25"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  <c r="AX266" s="8"/>
      <c r="AY266" s="8"/>
      <c r="AZ266" s="8"/>
      <c r="BA266" s="8"/>
      <c r="BB266" s="8"/>
      <c r="BC266" s="8"/>
      <c r="BD266" s="8"/>
      <c r="BE266" s="8"/>
      <c r="BF266" s="8"/>
      <c r="BG266" s="8"/>
      <c r="BH266" s="8"/>
      <c r="BI266" s="8"/>
      <c r="BJ266" s="8"/>
      <c r="BK266" s="8"/>
      <c r="BL266" s="8"/>
      <c r="BM266" s="8"/>
      <c r="BN266" s="8"/>
      <c r="BO266" s="8"/>
      <c r="BP266" s="8"/>
      <c r="BQ266" s="8"/>
      <c r="BR266" s="8"/>
      <c r="BS266" s="8"/>
      <c r="BT266" s="8"/>
      <c r="BU266" s="8"/>
      <c r="BV266" s="8"/>
      <c r="BW266" s="8"/>
      <c r="BX266" s="8"/>
      <c r="BY266" s="8"/>
      <c r="BZ266" s="8"/>
      <c r="CA266" s="8"/>
      <c r="CB266" s="8"/>
      <c r="CC266" s="8"/>
      <c r="CD266" s="8"/>
      <c r="CE266" s="8"/>
      <c r="CF266" s="8"/>
      <c r="CG266" s="8"/>
      <c r="CH266" s="8"/>
      <c r="CI266" s="8"/>
      <c r="CJ266" s="8"/>
      <c r="CK266" s="8"/>
      <c r="CL266" s="8"/>
      <c r="CM266" s="8"/>
      <c r="CN266" s="8"/>
      <c r="CO266" s="8"/>
      <c r="CP266" s="8"/>
      <c r="CQ266" s="8"/>
      <c r="CR266" s="8"/>
      <c r="CS266" s="8"/>
      <c r="CT266" s="8"/>
      <c r="CU266" s="8"/>
      <c r="CV266" s="8"/>
      <c r="CW266" s="8"/>
      <c r="CX266" s="8"/>
      <c r="CY266" s="8"/>
      <c r="CZ266" s="8"/>
    </row>
    <row r="267" spans="3:104" x14ac:dyDescent="0.25"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  <c r="AY267" s="8"/>
      <c r="AZ267" s="8"/>
      <c r="BA267" s="8"/>
      <c r="BB267" s="8"/>
      <c r="BC267" s="8"/>
      <c r="BD267" s="8"/>
      <c r="BE267" s="8"/>
      <c r="BF267" s="8"/>
      <c r="BG267" s="8"/>
      <c r="BH267" s="8"/>
      <c r="BI267" s="8"/>
      <c r="BJ267" s="8"/>
      <c r="BK267" s="8"/>
      <c r="BL267" s="8"/>
      <c r="BM267" s="8"/>
      <c r="BN267" s="8"/>
      <c r="BO267" s="8"/>
      <c r="BP267" s="8"/>
      <c r="BQ267" s="8"/>
      <c r="BR267" s="8"/>
      <c r="BS267" s="8"/>
      <c r="BT267" s="8"/>
      <c r="BU267" s="8"/>
      <c r="BV267" s="8"/>
      <c r="BW267" s="8"/>
      <c r="BX267" s="8"/>
      <c r="BY267" s="8"/>
      <c r="BZ267" s="8"/>
      <c r="CA267" s="8"/>
      <c r="CB267" s="8"/>
      <c r="CC267" s="8"/>
      <c r="CD267" s="8"/>
      <c r="CE267" s="8"/>
      <c r="CF267" s="8"/>
      <c r="CG267" s="8"/>
      <c r="CH267" s="8"/>
      <c r="CI267" s="8"/>
      <c r="CJ267" s="8"/>
      <c r="CK267" s="8"/>
      <c r="CL267" s="8"/>
      <c r="CM267" s="8"/>
      <c r="CN267" s="8"/>
      <c r="CO267" s="8"/>
      <c r="CP267" s="8"/>
      <c r="CQ267" s="8"/>
      <c r="CR267" s="8"/>
      <c r="CS267" s="8"/>
      <c r="CT267" s="8"/>
      <c r="CU267" s="8"/>
      <c r="CV267" s="8"/>
      <c r="CW267" s="8"/>
      <c r="CX267" s="8"/>
      <c r="CY267" s="8"/>
      <c r="CZ267" s="8"/>
    </row>
    <row r="268" spans="3:104" x14ac:dyDescent="0.25"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  <c r="AY268" s="8"/>
      <c r="AZ268" s="8"/>
      <c r="BA268" s="8"/>
      <c r="BB268" s="8"/>
      <c r="BC268" s="8"/>
      <c r="BD268" s="8"/>
      <c r="BE268" s="8"/>
      <c r="BF268" s="8"/>
      <c r="BG268" s="8"/>
      <c r="BH268" s="8"/>
      <c r="BI268" s="8"/>
      <c r="BJ268" s="8"/>
      <c r="BK268" s="8"/>
      <c r="BL268" s="8"/>
      <c r="BM268" s="8"/>
      <c r="BN268" s="8"/>
      <c r="BO268" s="8"/>
      <c r="BP268" s="8"/>
      <c r="BQ268" s="8"/>
      <c r="BR268" s="8"/>
      <c r="BS268" s="8"/>
      <c r="BT268" s="8"/>
      <c r="BU268" s="8"/>
      <c r="BV268" s="8"/>
      <c r="BW268" s="8"/>
      <c r="BX268" s="8"/>
      <c r="BY268" s="8"/>
      <c r="BZ268" s="8"/>
      <c r="CA268" s="8"/>
      <c r="CB268" s="8"/>
      <c r="CC268" s="8"/>
      <c r="CD268" s="8"/>
      <c r="CE268" s="8"/>
      <c r="CF268" s="8"/>
      <c r="CG268" s="8"/>
      <c r="CH268" s="8"/>
      <c r="CI268" s="8"/>
      <c r="CJ268" s="8"/>
      <c r="CK268" s="8"/>
      <c r="CL268" s="8"/>
      <c r="CM268" s="8"/>
      <c r="CN268" s="8"/>
      <c r="CO268" s="8"/>
      <c r="CP268" s="8"/>
      <c r="CQ268" s="8"/>
      <c r="CR268" s="8"/>
      <c r="CS268" s="8"/>
      <c r="CT268" s="8"/>
      <c r="CU268" s="8"/>
      <c r="CV268" s="8"/>
      <c r="CW268" s="8"/>
      <c r="CX268" s="8"/>
      <c r="CY268" s="8"/>
      <c r="CZ268" s="8"/>
    </row>
    <row r="269" spans="3:104" x14ac:dyDescent="0.25"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  <c r="AX269" s="8"/>
      <c r="AY269" s="8"/>
      <c r="AZ269" s="8"/>
      <c r="BA269" s="8"/>
      <c r="BB269" s="8"/>
      <c r="BC269" s="8"/>
      <c r="BD269" s="8"/>
      <c r="BE269" s="8"/>
      <c r="BF269" s="8"/>
      <c r="BG269" s="8"/>
      <c r="BH269" s="8"/>
      <c r="BI269" s="8"/>
      <c r="BJ269" s="8"/>
      <c r="BK269" s="8"/>
      <c r="BL269" s="8"/>
      <c r="BM269" s="8"/>
      <c r="BN269" s="8"/>
      <c r="BO269" s="8"/>
      <c r="BP269" s="8"/>
      <c r="BQ269" s="8"/>
      <c r="BR269" s="8"/>
      <c r="BS269" s="8"/>
      <c r="BT269" s="8"/>
      <c r="BU269" s="8"/>
      <c r="BV269" s="8"/>
      <c r="BW269" s="8"/>
      <c r="BX269" s="8"/>
      <c r="BY269" s="8"/>
      <c r="BZ269" s="8"/>
      <c r="CA269" s="8"/>
      <c r="CB269" s="8"/>
      <c r="CC269" s="8"/>
      <c r="CD269" s="8"/>
      <c r="CE269" s="8"/>
      <c r="CF269" s="8"/>
      <c r="CG269" s="8"/>
      <c r="CH269" s="8"/>
      <c r="CI269" s="8"/>
      <c r="CJ269" s="8"/>
      <c r="CK269" s="8"/>
      <c r="CL269" s="8"/>
      <c r="CM269" s="8"/>
      <c r="CN269" s="8"/>
      <c r="CO269" s="8"/>
      <c r="CP269" s="8"/>
      <c r="CQ269" s="8"/>
      <c r="CR269" s="8"/>
      <c r="CS269" s="8"/>
      <c r="CT269" s="8"/>
      <c r="CU269" s="8"/>
      <c r="CV269" s="8"/>
      <c r="CW269" s="8"/>
      <c r="CX269" s="8"/>
      <c r="CY269" s="8"/>
      <c r="CZ269" s="8"/>
    </row>
    <row r="270" spans="3:104" x14ac:dyDescent="0.25"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  <c r="AX270" s="8"/>
      <c r="AY270" s="8"/>
      <c r="AZ270" s="8"/>
      <c r="BA270" s="8"/>
      <c r="BB270" s="8"/>
      <c r="BC270" s="8"/>
      <c r="BD270" s="8"/>
      <c r="BE270" s="8"/>
      <c r="BF270" s="8"/>
      <c r="BG270" s="8"/>
      <c r="BH270" s="8"/>
      <c r="BI270" s="8"/>
      <c r="BJ270" s="8"/>
      <c r="BK270" s="8"/>
      <c r="BL270" s="8"/>
      <c r="BM270" s="8"/>
      <c r="BN270" s="8"/>
      <c r="BO270" s="8"/>
      <c r="BP270" s="8"/>
      <c r="BQ270" s="8"/>
      <c r="BR270" s="8"/>
      <c r="BS270" s="8"/>
      <c r="BT270" s="8"/>
      <c r="BU270" s="8"/>
      <c r="BV270" s="8"/>
      <c r="BW270" s="8"/>
      <c r="BX270" s="8"/>
      <c r="BY270" s="8"/>
      <c r="BZ270" s="8"/>
      <c r="CA270" s="8"/>
      <c r="CB270" s="8"/>
      <c r="CC270" s="8"/>
      <c r="CD270" s="8"/>
      <c r="CE270" s="8"/>
      <c r="CF270" s="8"/>
      <c r="CG270" s="8"/>
      <c r="CH270" s="8"/>
      <c r="CI270" s="8"/>
      <c r="CJ270" s="8"/>
      <c r="CK270" s="8"/>
      <c r="CL270" s="8"/>
      <c r="CM270" s="8"/>
      <c r="CN270" s="8"/>
      <c r="CO270" s="8"/>
      <c r="CP270" s="8"/>
      <c r="CQ270" s="8"/>
      <c r="CR270" s="8"/>
      <c r="CS270" s="8"/>
      <c r="CT270" s="8"/>
      <c r="CU270" s="8"/>
      <c r="CV270" s="8"/>
      <c r="CW270" s="8"/>
      <c r="CX270" s="8"/>
      <c r="CY270" s="8"/>
      <c r="CZ270" s="8"/>
    </row>
    <row r="271" spans="3:104" x14ac:dyDescent="0.25"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  <c r="AX271" s="8"/>
      <c r="AY271" s="8"/>
      <c r="AZ271" s="8"/>
      <c r="BA271" s="8"/>
      <c r="BB271" s="8"/>
      <c r="BC271" s="8"/>
      <c r="BD271" s="8"/>
      <c r="BE271" s="8"/>
      <c r="BF271" s="8"/>
      <c r="BG271" s="8"/>
      <c r="BH271" s="8"/>
      <c r="BI271" s="8"/>
      <c r="BJ271" s="8"/>
      <c r="BK271" s="8"/>
      <c r="BL271" s="8"/>
      <c r="BM271" s="8"/>
      <c r="BN271" s="8"/>
      <c r="BO271" s="8"/>
      <c r="BP271" s="8"/>
      <c r="BQ271" s="8"/>
      <c r="BR271" s="8"/>
      <c r="BS271" s="8"/>
      <c r="BT271" s="8"/>
      <c r="BU271" s="8"/>
      <c r="BV271" s="8"/>
      <c r="BW271" s="8"/>
      <c r="BX271" s="8"/>
      <c r="BY271" s="8"/>
      <c r="BZ271" s="8"/>
      <c r="CA271" s="8"/>
      <c r="CB271" s="8"/>
      <c r="CC271" s="8"/>
      <c r="CD271" s="8"/>
      <c r="CE271" s="8"/>
      <c r="CF271" s="8"/>
      <c r="CG271" s="8"/>
      <c r="CH271" s="8"/>
      <c r="CI271" s="8"/>
      <c r="CJ271" s="8"/>
      <c r="CK271" s="8"/>
      <c r="CL271" s="8"/>
      <c r="CM271" s="8"/>
      <c r="CN271" s="8"/>
      <c r="CO271" s="8"/>
      <c r="CP271" s="8"/>
      <c r="CQ271" s="8"/>
      <c r="CR271" s="8"/>
      <c r="CS271" s="8"/>
      <c r="CT271" s="8"/>
      <c r="CU271" s="8"/>
      <c r="CV271" s="8"/>
      <c r="CW271" s="8"/>
      <c r="CX271" s="8"/>
      <c r="CY271" s="8"/>
      <c r="CZ271" s="8"/>
    </row>
    <row r="272" spans="3:104" x14ac:dyDescent="0.25"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  <c r="AX272" s="8"/>
      <c r="AY272" s="8"/>
      <c r="AZ272" s="8"/>
      <c r="BA272" s="8"/>
      <c r="BB272" s="8"/>
      <c r="BC272" s="8"/>
      <c r="BD272" s="8"/>
      <c r="BE272" s="8"/>
      <c r="BF272" s="8"/>
      <c r="BG272" s="8"/>
      <c r="BH272" s="8"/>
      <c r="BI272" s="8"/>
      <c r="BJ272" s="8"/>
      <c r="BK272" s="8"/>
      <c r="BL272" s="8"/>
      <c r="BM272" s="8"/>
      <c r="BN272" s="8"/>
      <c r="BO272" s="8"/>
      <c r="BP272" s="8"/>
      <c r="BQ272" s="8"/>
      <c r="BR272" s="8"/>
      <c r="BS272" s="8"/>
      <c r="BT272" s="8"/>
      <c r="BU272" s="8"/>
      <c r="BV272" s="8"/>
      <c r="BW272" s="8"/>
      <c r="BX272" s="8"/>
      <c r="BY272" s="8"/>
      <c r="BZ272" s="8"/>
      <c r="CA272" s="8"/>
      <c r="CB272" s="8"/>
      <c r="CC272" s="8"/>
      <c r="CD272" s="8"/>
      <c r="CE272" s="8"/>
      <c r="CF272" s="8"/>
      <c r="CG272" s="8"/>
      <c r="CH272" s="8"/>
      <c r="CI272" s="8"/>
      <c r="CJ272" s="8"/>
      <c r="CK272" s="8"/>
      <c r="CL272" s="8"/>
      <c r="CM272" s="8"/>
      <c r="CN272" s="8"/>
      <c r="CO272" s="8"/>
      <c r="CP272" s="8"/>
      <c r="CQ272" s="8"/>
      <c r="CR272" s="8"/>
      <c r="CS272" s="8"/>
      <c r="CT272" s="8"/>
      <c r="CU272" s="8"/>
      <c r="CV272" s="8"/>
      <c r="CW272" s="8"/>
      <c r="CX272" s="8"/>
      <c r="CY272" s="8"/>
      <c r="CZ272" s="8"/>
    </row>
    <row r="273" spans="3:104" x14ac:dyDescent="0.25"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  <c r="AX273" s="8"/>
      <c r="AY273" s="8"/>
      <c r="AZ273" s="8"/>
      <c r="BA273" s="8"/>
      <c r="BB273" s="8"/>
      <c r="BC273" s="8"/>
      <c r="BD273" s="8"/>
      <c r="BE273" s="8"/>
      <c r="BF273" s="8"/>
      <c r="BG273" s="8"/>
      <c r="BH273" s="8"/>
      <c r="BI273" s="8"/>
      <c r="BJ273" s="8"/>
      <c r="BK273" s="8"/>
      <c r="BL273" s="8"/>
      <c r="BM273" s="8"/>
      <c r="BN273" s="8"/>
      <c r="BO273" s="8"/>
      <c r="BP273" s="8"/>
      <c r="BQ273" s="8"/>
      <c r="BR273" s="8"/>
      <c r="BS273" s="8"/>
      <c r="BT273" s="8"/>
      <c r="BU273" s="8"/>
      <c r="BV273" s="8"/>
      <c r="BW273" s="8"/>
      <c r="BX273" s="8"/>
      <c r="BY273" s="8"/>
      <c r="BZ273" s="8"/>
      <c r="CA273" s="8"/>
      <c r="CB273" s="8"/>
      <c r="CC273" s="8"/>
      <c r="CD273" s="8"/>
      <c r="CE273" s="8"/>
      <c r="CF273" s="8"/>
      <c r="CG273" s="8"/>
      <c r="CH273" s="8"/>
      <c r="CI273" s="8"/>
      <c r="CJ273" s="8"/>
      <c r="CK273" s="8"/>
      <c r="CL273" s="8"/>
      <c r="CM273" s="8"/>
      <c r="CN273" s="8"/>
      <c r="CO273" s="8"/>
      <c r="CP273" s="8"/>
      <c r="CQ273" s="8"/>
      <c r="CR273" s="8"/>
      <c r="CS273" s="8"/>
      <c r="CT273" s="8"/>
      <c r="CU273" s="8"/>
      <c r="CV273" s="8"/>
      <c r="CW273" s="8"/>
      <c r="CX273" s="8"/>
      <c r="CY273" s="8"/>
      <c r="CZ273" s="8"/>
    </row>
    <row r="274" spans="3:104" x14ac:dyDescent="0.25"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  <c r="AX274" s="8"/>
      <c r="AY274" s="8"/>
      <c r="AZ274" s="8"/>
      <c r="BA274" s="8"/>
      <c r="BB274" s="8"/>
      <c r="BC274" s="8"/>
      <c r="BD274" s="8"/>
      <c r="BE274" s="8"/>
      <c r="BF274" s="8"/>
      <c r="BG274" s="8"/>
      <c r="BH274" s="8"/>
      <c r="BI274" s="8"/>
      <c r="BJ274" s="8"/>
      <c r="BK274" s="8"/>
      <c r="BL274" s="8"/>
      <c r="BM274" s="8"/>
      <c r="BN274" s="8"/>
      <c r="BO274" s="8"/>
      <c r="BP274" s="8"/>
      <c r="BQ274" s="8"/>
      <c r="BR274" s="8"/>
      <c r="BS274" s="8"/>
      <c r="BT274" s="8"/>
      <c r="BU274" s="8"/>
      <c r="BV274" s="8"/>
      <c r="BW274" s="8"/>
      <c r="BX274" s="8"/>
      <c r="BY274" s="8"/>
      <c r="BZ274" s="8"/>
      <c r="CA274" s="8"/>
      <c r="CB274" s="8"/>
      <c r="CC274" s="8"/>
      <c r="CD274" s="8"/>
      <c r="CE274" s="8"/>
      <c r="CF274" s="8"/>
      <c r="CG274" s="8"/>
      <c r="CH274" s="8"/>
      <c r="CI274" s="8"/>
      <c r="CJ274" s="8"/>
      <c r="CK274" s="8"/>
      <c r="CL274" s="8"/>
      <c r="CM274" s="8"/>
      <c r="CN274" s="8"/>
      <c r="CO274" s="8"/>
      <c r="CP274" s="8"/>
      <c r="CQ274" s="8"/>
      <c r="CR274" s="8"/>
      <c r="CS274" s="8"/>
      <c r="CT274" s="8"/>
      <c r="CU274" s="8"/>
      <c r="CV274" s="8"/>
      <c r="CW274" s="8"/>
      <c r="CX274" s="8"/>
      <c r="CY274" s="8"/>
      <c r="CZ274" s="8"/>
    </row>
    <row r="275" spans="3:104" x14ac:dyDescent="0.25"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  <c r="AX275" s="8"/>
      <c r="AY275" s="8"/>
      <c r="AZ275" s="8"/>
      <c r="BA275" s="8"/>
      <c r="BB275" s="8"/>
      <c r="BC275" s="8"/>
      <c r="BD275" s="8"/>
      <c r="BE275" s="8"/>
      <c r="BF275" s="8"/>
      <c r="BG275" s="8"/>
      <c r="BH275" s="8"/>
      <c r="BI275" s="8"/>
      <c r="BJ275" s="8"/>
      <c r="BK275" s="8"/>
      <c r="BL275" s="8"/>
      <c r="BM275" s="8"/>
      <c r="BN275" s="8"/>
      <c r="BO275" s="8"/>
      <c r="BP275" s="8"/>
      <c r="BQ275" s="8"/>
      <c r="BR275" s="8"/>
      <c r="BS275" s="8"/>
      <c r="BT275" s="8"/>
      <c r="BU275" s="8"/>
      <c r="BV275" s="8"/>
      <c r="BW275" s="8"/>
      <c r="BX275" s="8"/>
      <c r="BY275" s="8"/>
      <c r="BZ275" s="8"/>
      <c r="CA275" s="8"/>
      <c r="CB275" s="8"/>
      <c r="CC275" s="8"/>
      <c r="CD275" s="8"/>
      <c r="CE275" s="8"/>
      <c r="CF275" s="8"/>
      <c r="CG275" s="8"/>
      <c r="CH275" s="8"/>
      <c r="CI275" s="8"/>
      <c r="CJ275" s="8"/>
      <c r="CK275" s="8"/>
      <c r="CL275" s="8"/>
      <c r="CM275" s="8"/>
      <c r="CN275" s="8"/>
      <c r="CO275" s="8"/>
      <c r="CP275" s="8"/>
      <c r="CQ275" s="8"/>
      <c r="CR275" s="8"/>
      <c r="CS275" s="8"/>
      <c r="CT275" s="8"/>
      <c r="CU275" s="8"/>
      <c r="CV275" s="8"/>
      <c r="CW275" s="8"/>
      <c r="CX275" s="8"/>
      <c r="CY275" s="8"/>
      <c r="CZ275" s="8"/>
    </row>
    <row r="276" spans="3:104" x14ac:dyDescent="0.25"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  <c r="AX276" s="8"/>
      <c r="AY276" s="8"/>
      <c r="AZ276" s="8"/>
      <c r="BA276" s="8"/>
      <c r="BB276" s="8"/>
      <c r="BC276" s="8"/>
      <c r="BD276" s="8"/>
      <c r="BE276" s="8"/>
      <c r="BF276" s="8"/>
      <c r="BG276" s="8"/>
      <c r="BH276" s="8"/>
      <c r="BI276" s="8"/>
      <c r="BJ276" s="8"/>
      <c r="BK276" s="8"/>
      <c r="BL276" s="8"/>
      <c r="BM276" s="8"/>
      <c r="BN276" s="8"/>
      <c r="BO276" s="8"/>
      <c r="BP276" s="8"/>
      <c r="BQ276" s="8"/>
      <c r="BR276" s="8"/>
      <c r="BS276" s="8"/>
      <c r="BT276" s="8"/>
      <c r="BU276" s="8"/>
      <c r="BV276" s="8"/>
      <c r="BW276" s="8"/>
      <c r="BX276" s="8"/>
      <c r="BY276" s="8"/>
      <c r="BZ276" s="8"/>
      <c r="CA276" s="8"/>
      <c r="CB276" s="8"/>
      <c r="CC276" s="8"/>
      <c r="CD276" s="8"/>
      <c r="CE276" s="8"/>
      <c r="CF276" s="8"/>
      <c r="CG276" s="8"/>
      <c r="CH276" s="8"/>
      <c r="CI276" s="8"/>
      <c r="CJ276" s="8"/>
      <c r="CK276" s="8"/>
      <c r="CL276" s="8"/>
      <c r="CM276" s="8"/>
      <c r="CN276" s="8"/>
      <c r="CO276" s="8"/>
      <c r="CP276" s="8"/>
      <c r="CQ276" s="8"/>
      <c r="CR276" s="8"/>
      <c r="CS276" s="8"/>
      <c r="CT276" s="8"/>
      <c r="CU276" s="8"/>
      <c r="CV276" s="8"/>
      <c r="CW276" s="8"/>
      <c r="CX276" s="8"/>
      <c r="CY276" s="8"/>
      <c r="CZ276" s="8"/>
    </row>
    <row r="277" spans="3:104" x14ac:dyDescent="0.25"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  <c r="AX277" s="8"/>
      <c r="AY277" s="8"/>
      <c r="AZ277" s="8"/>
      <c r="BA277" s="8"/>
      <c r="BB277" s="8"/>
      <c r="BC277" s="8"/>
      <c r="BD277" s="8"/>
      <c r="BE277" s="8"/>
      <c r="BF277" s="8"/>
      <c r="BG277" s="8"/>
      <c r="BH277" s="8"/>
      <c r="BI277" s="8"/>
      <c r="BJ277" s="8"/>
      <c r="BK277" s="8"/>
      <c r="BL277" s="8"/>
      <c r="BM277" s="8"/>
      <c r="BN277" s="8"/>
      <c r="BO277" s="8"/>
      <c r="BP277" s="8"/>
      <c r="BQ277" s="8"/>
      <c r="BR277" s="8"/>
      <c r="BS277" s="8"/>
      <c r="BT277" s="8"/>
      <c r="BU277" s="8"/>
      <c r="BV277" s="8"/>
      <c r="BW277" s="8"/>
      <c r="BX277" s="8"/>
      <c r="BY277" s="8"/>
      <c r="BZ277" s="8"/>
      <c r="CA277" s="8"/>
      <c r="CB277" s="8"/>
      <c r="CC277" s="8"/>
      <c r="CD277" s="8"/>
      <c r="CE277" s="8"/>
      <c r="CF277" s="8"/>
      <c r="CG277" s="8"/>
      <c r="CH277" s="8"/>
      <c r="CI277" s="8"/>
      <c r="CJ277" s="8"/>
      <c r="CK277" s="8"/>
      <c r="CL277" s="8"/>
      <c r="CM277" s="8"/>
      <c r="CN277" s="8"/>
      <c r="CO277" s="8"/>
      <c r="CP277" s="8"/>
      <c r="CQ277" s="8"/>
      <c r="CR277" s="8"/>
      <c r="CS277" s="8"/>
      <c r="CT277" s="8"/>
      <c r="CU277" s="8"/>
      <c r="CV277" s="8"/>
      <c r="CW277" s="8"/>
      <c r="CX277" s="8"/>
      <c r="CY277" s="8"/>
      <c r="CZ277" s="8"/>
    </row>
    <row r="278" spans="3:104" x14ac:dyDescent="0.25"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  <c r="AX278" s="8"/>
      <c r="AY278" s="8"/>
      <c r="AZ278" s="8"/>
      <c r="BA278" s="8"/>
      <c r="BB278" s="8"/>
      <c r="BC278" s="8"/>
      <c r="BD278" s="8"/>
      <c r="BE278" s="8"/>
      <c r="BF278" s="8"/>
      <c r="BG278" s="8"/>
      <c r="BH278" s="8"/>
      <c r="BI278" s="8"/>
      <c r="BJ278" s="8"/>
      <c r="BK278" s="8"/>
      <c r="BL278" s="8"/>
      <c r="BM278" s="8"/>
      <c r="BN278" s="8"/>
      <c r="BO278" s="8"/>
      <c r="BP278" s="8"/>
      <c r="BQ278" s="8"/>
      <c r="BR278" s="8"/>
      <c r="BS278" s="8"/>
      <c r="BT278" s="8"/>
      <c r="BU278" s="8"/>
      <c r="BV278" s="8"/>
      <c r="BW278" s="8"/>
      <c r="BX278" s="8"/>
      <c r="BY278" s="8"/>
      <c r="BZ278" s="8"/>
      <c r="CA278" s="8"/>
      <c r="CB278" s="8"/>
      <c r="CC278" s="8"/>
      <c r="CD278" s="8"/>
      <c r="CE278" s="8"/>
      <c r="CF278" s="8"/>
      <c r="CG278" s="8"/>
      <c r="CH278" s="8"/>
      <c r="CI278" s="8"/>
      <c r="CJ278" s="8"/>
      <c r="CK278" s="8"/>
      <c r="CL278" s="8"/>
      <c r="CM278" s="8"/>
      <c r="CN278" s="8"/>
      <c r="CO278" s="8"/>
      <c r="CP278" s="8"/>
      <c r="CQ278" s="8"/>
      <c r="CR278" s="8"/>
      <c r="CS278" s="8"/>
      <c r="CT278" s="8"/>
      <c r="CU278" s="8"/>
      <c r="CV278" s="8"/>
      <c r="CW278" s="8"/>
      <c r="CX278" s="8"/>
      <c r="CY278" s="8"/>
      <c r="CZ278" s="8"/>
    </row>
    <row r="279" spans="3:104" x14ac:dyDescent="0.25"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  <c r="AX279" s="8"/>
      <c r="AY279" s="8"/>
      <c r="AZ279" s="8"/>
      <c r="BA279" s="8"/>
      <c r="BB279" s="8"/>
      <c r="BC279" s="8"/>
      <c r="BD279" s="8"/>
      <c r="BE279" s="8"/>
      <c r="BF279" s="8"/>
      <c r="BG279" s="8"/>
      <c r="BH279" s="8"/>
      <c r="BI279" s="8"/>
      <c r="BJ279" s="8"/>
      <c r="BK279" s="8"/>
      <c r="BL279" s="8"/>
      <c r="BM279" s="8"/>
      <c r="BN279" s="8"/>
      <c r="BO279" s="8"/>
      <c r="BP279" s="8"/>
      <c r="BQ279" s="8"/>
      <c r="BR279" s="8"/>
      <c r="BS279" s="8"/>
      <c r="BT279" s="8"/>
      <c r="BU279" s="8"/>
      <c r="BV279" s="8"/>
      <c r="BW279" s="8"/>
      <c r="BX279" s="8"/>
      <c r="BY279" s="8"/>
      <c r="BZ279" s="8"/>
      <c r="CA279" s="8"/>
      <c r="CB279" s="8"/>
      <c r="CC279" s="8"/>
      <c r="CD279" s="8"/>
      <c r="CE279" s="8"/>
      <c r="CF279" s="8"/>
      <c r="CG279" s="8"/>
      <c r="CH279" s="8"/>
      <c r="CI279" s="8"/>
      <c r="CJ279" s="8"/>
      <c r="CK279" s="8"/>
      <c r="CL279" s="8"/>
      <c r="CM279" s="8"/>
      <c r="CN279" s="8"/>
      <c r="CO279" s="8"/>
      <c r="CP279" s="8"/>
      <c r="CQ279" s="8"/>
      <c r="CR279" s="8"/>
      <c r="CS279" s="8"/>
      <c r="CT279" s="8"/>
      <c r="CU279" s="8"/>
      <c r="CV279" s="8"/>
      <c r="CW279" s="8"/>
      <c r="CX279" s="8"/>
      <c r="CY279" s="8"/>
      <c r="CZ279" s="8"/>
    </row>
    <row r="280" spans="3:104" x14ac:dyDescent="0.25"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  <c r="AX280" s="8"/>
      <c r="AY280" s="8"/>
      <c r="AZ280" s="8"/>
      <c r="BA280" s="8"/>
      <c r="BB280" s="8"/>
      <c r="BC280" s="8"/>
      <c r="BD280" s="8"/>
      <c r="BE280" s="8"/>
      <c r="BF280" s="8"/>
      <c r="BG280" s="8"/>
      <c r="BH280" s="8"/>
      <c r="BI280" s="8"/>
      <c r="BJ280" s="8"/>
      <c r="BK280" s="8"/>
      <c r="BL280" s="8"/>
      <c r="BM280" s="8"/>
      <c r="BN280" s="8"/>
      <c r="BO280" s="8"/>
      <c r="BP280" s="8"/>
      <c r="BQ280" s="8"/>
      <c r="BR280" s="8"/>
      <c r="BS280" s="8"/>
      <c r="BT280" s="8"/>
      <c r="BU280" s="8"/>
      <c r="BV280" s="8"/>
      <c r="BW280" s="8"/>
      <c r="BX280" s="8"/>
      <c r="BY280" s="8"/>
      <c r="BZ280" s="8"/>
      <c r="CA280" s="8"/>
      <c r="CB280" s="8"/>
      <c r="CC280" s="8"/>
      <c r="CD280" s="8"/>
      <c r="CE280" s="8"/>
      <c r="CF280" s="8"/>
      <c r="CG280" s="8"/>
      <c r="CH280" s="8"/>
      <c r="CI280" s="8"/>
      <c r="CJ280" s="8"/>
      <c r="CK280" s="8"/>
      <c r="CL280" s="8"/>
      <c r="CM280" s="8"/>
      <c r="CN280" s="8"/>
      <c r="CO280" s="8"/>
      <c r="CP280" s="8"/>
      <c r="CQ280" s="8"/>
      <c r="CR280" s="8"/>
      <c r="CS280" s="8"/>
      <c r="CT280" s="8"/>
      <c r="CU280" s="8"/>
      <c r="CV280" s="8"/>
      <c r="CW280" s="8"/>
      <c r="CX280" s="8"/>
      <c r="CY280" s="8"/>
      <c r="CZ280" s="8"/>
    </row>
    <row r="281" spans="3:104" x14ac:dyDescent="0.25"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  <c r="AX281" s="8"/>
      <c r="AY281" s="8"/>
      <c r="AZ281" s="8"/>
      <c r="BA281" s="8"/>
      <c r="BB281" s="8"/>
      <c r="BC281" s="8"/>
      <c r="BD281" s="8"/>
      <c r="BE281" s="8"/>
      <c r="BF281" s="8"/>
      <c r="BG281" s="8"/>
      <c r="BH281" s="8"/>
      <c r="BI281" s="8"/>
      <c r="BJ281" s="8"/>
      <c r="BK281" s="8"/>
      <c r="BL281" s="8"/>
      <c r="BM281" s="8"/>
      <c r="BN281" s="8"/>
      <c r="BO281" s="8"/>
      <c r="BP281" s="8"/>
      <c r="BQ281" s="8"/>
      <c r="BR281" s="8"/>
      <c r="BS281" s="8"/>
      <c r="BT281" s="8"/>
      <c r="BU281" s="8"/>
      <c r="BV281" s="8"/>
      <c r="BW281" s="8"/>
      <c r="BX281" s="8"/>
      <c r="BY281" s="8"/>
      <c r="BZ281" s="8"/>
      <c r="CA281" s="8"/>
      <c r="CB281" s="8"/>
      <c r="CC281" s="8"/>
      <c r="CD281" s="8"/>
      <c r="CE281" s="8"/>
      <c r="CF281" s="8"/>
      <c r="CG281" s="8"/>
      <c r="CH281" s="8"/>
      <c r="CI281" s="8"/>
      <c r="CJ281" s="8"/>
      <c r="CK281" s="8"/>
      <c r="CL281" s="8"/>
      <c r="CM281" s="8"/>
      <c r="CN281" s="8"/>
      <c r="CO281" s="8"/>
      <c r="CP281" s="8"/>
      <c r="CQ281" s="8"/>
      <c r="CR281" s="8"/>
      <c r="CS281" s="8"/>
      <c r="CT281" s="8"/>
      <c r="CU281" s="8"/>
      <c r="CV281" s="8"/>
      <c r="CW281" s="8"/>
      <c r="CX281" s="8"/>
      <c r="CY281" s="8"/>
      <c r="CZ281" s="8"/>
    </row>
    <row r="282" spans="3:104" x14ac:dyDescent="0.25"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  <c r="AX282" s="8"/>
      <c r="AY282" s="8"/>
      <c r="AZ282" s="8"/>
      <c r="BA282" s="8"/>
      <c r="BB282" s="8"/>
      <c r="BC282" s="8"/>
      <c r="BD282" s="8"/>
      <c r="BE282" s="8"/>
      <c r="BF282" s="8"/>
      <c r="BG282" s="8"/>
      <c r="BH282" s="8"/>
      <c r="BI282" s="8"/>
      <c r="BJ282" s="8"/>
      <c r="BK282" s="8"/>
      <c r="BL282" s="8"/>
      <c r="BM282" s="8"/>
      <c r="BN282" s="8"/>
      <c r="BO282" s="8"/>
      <c r="BP282" s="8"/>
      <c r="BQ282" s="8"/>
      <c r="BR282" s="8"/>
      <c r="BS282" s="8"/>
      <c r="BT282" s="8"/>
      <c r="BU282" s="8"/>
      <c r="BV282" s="8"/>
      <c r="BW282" s="8"/>
      <c r="BX282" s="8"/>
      <c r="BY282" s="8"/>
      <c r="BZ282" s="8"/>
      <c r="CA282" s="8"/>
      <c r="CB282" s="8"/>
      <c r="CC282" s="8"/>
      <c r="CD282" s="8"/>
      <c r="CE282" s="8"/>
      <c r="CF282" s="8"/>
      <c r="CG282" s="8"/>
      <c r="CH282" s="8"/>
      <c r="CI282" s="8"/>
      <c r="CJ282" s="8"/>
      <c r="CK282" s="8"/>
      <c r="CL282" s="8"/>
      <c r="CM282" s="8"/>
      <c r="CN282" s="8"/>
      <c r="CO282" s="8"/>
      <c r="CP282" s="8"/>
      <c r="CQ282" s="8"/>
      <c r="CR282" s="8"/>
      <c r="CS282" s="8"/>
      <c r="CT282" s="8"/>
      <c r="CU282" s="8"/>
      <c r="CV282" s="8"/>
      <c r="CW282" s="8"/>
      <c r="CX282" s="8"/>
      <c r="CY282" s="8"/>
      <c r="CZ282" s="8"/>
    </row>
    <row r="283" spans="3:104" x14ac:dyDescent="0.25"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  <c r="AX283" s="8"/>
      <c r="AY283" s="8"/>
      <c r="AZ283" s="8"/>
      <c r="BA283" s="8"/>
      <c r="BB283" s="8"/>
      <c r="BC283" s="8"/>
      <c r="BD283" s="8"/>
      <c r="BE283" s="8"/>
      <c r="BF283" s="8"/>
      <c r="BG283" s="8"/>
      <c r="BH283" s="8"/>
      <c r="BI283" s="8"/>
      <c r="BJ283" s="8"/>
      <c r="BK283" s="8"/>
      <c r="BL283" s="8"/>
      <c r="BM283" s="8"/>
      <c r="BN283" s="8"/>
      <c r="BO283" s="8"/>
      <c r="BP283" s="8"/>
      <c r="BQ283" s="8"/>
      <c r="BR283" s="8"/>
      <c r="BS283" s="8"/>
      <c r="BT283" s="8"/>
      <c r="BU283" s="8"/>
      <c r="BV283" s="8"/>
      <c r="BW283" s="8"/>
      <c r="BX283" s="8"/>
      <c r="BY283" s="8"/>
      <c r="BZ283" s="8"/>
      <c r="CA283" s="8"/>
      <c r="CB283" s="8"/>
      <c r="CC283" s="8"/>
      <c r="CD283" s="8"/>
      <c r="CE283" s="8"/>
      <c r="CF283" s="8"/>
      <c r="CG283" s="8"/>
      <c r="CH283" s="8"/>
      <c r="CI283" s="8"/>
      <c r="CJ283" s="8"/>
      <c r="CK283" s="8"/>
      <c r="CL283" s="8"/>
      <c r="CM283" s="8"/>
      <c r="CN283" s="8"/>
      <c r="CO283" s="8"/>
      <c r="CP283" s="8"/>
      <c r="CQ283" s="8"/>
      <c r="CR283" s="8"/>
      <c r="CS283" s="8"/>
      <c r="CT283" s="8"/>
      <c r="CU283" s="8"/>
      <c r="CV283" s="8"/>
      <c r="CW283" s="8"/>
      <c r="CX283" s="8"/>
      <c r="CY283" s="8"/>
      <c r="CZ283" s="8"/>
    </row>
    <row r="284" spans="3:104" x14ac:dyDescent="0.25"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  <c r="AX284" s="8"/>
      <c r="AY284" s="8"/>
      <c r="AZ284" s="8"/>
      <c r="BA284" s="8"/>
      <c r="BB284" s="8"/>
      <c r="BC284" s="8"/>
      <c r="BD284" s="8"/>
      <c r="BE284" s="8"/>
      <c r="BF284" s="8"/>
      <c r="BG284" s="8"/>
      <c r="BH284" s="8"/>
      <c r="BI284" s="8"/>
      <c r="BJ284" s="8"/>
      <c r="BK284" s="8"/>
      <c r="BL284" s="8"/>
      <c r="BM284" s="8"/>
      <c r="BN284" s="8"/>
      <c r="BO284" s="8"/>
      <c r="BP284" s="8"/>
      <c r="BQ284" s="8"/>
      <c r="BR284" s="8"/>
      <c r="BS284" s="8"/>
      <c r="BT284" s="8"/>
      <c r="BU284" s="8"/>
      <c r="BV284" s="8"/>
      <c r="BW284" s="8"/>
      <c r="BX284" s="8"/>
      <c r="BY284" s="8"/>
      <c r="BZ284" s="8"/>
      <c r="CA284" s="8"/>
      <c r="CB284" s="8"/>
      <c r="CC284" s="8"/>
      <c r="CD284" s="8"/>
      <c r="CE284" s="8"/>
      <c r="CF284" s="8"/>
      <c r="CG284" s="8"/>
      <c r="CH284" s="8"/>
      <c r="CI284" s="8"/>
      <c r="CJ284" s="8"/>
      <c r="CK284" s="8"/>
      <c r="CL284" s="8"/>
      <c r="CM284" s="8"/>
      <c r="CN284" s="8"/>
      <c r="CO284" s="8"/>
      <c r="CP284" s="8"/>
      <c r="CQ284" s="8"/>
      <c r="CR284" s="8"/>
      <c r="CS284" s="8"/>
      <c r="CT284" s="8"/>
      <c r="CU284" s="8"/>
      <c r="CV284" s="8"/>
      <c r="CW284" s="8"/>
      <c r="CX284" s="8"/>
      <c r="CY284" s="8"/>
      <c r="CZ284" s="8"/>
    </row>
    <row r="285" spans="3:104" x14ac:dyDescent="0.25"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  <c r="AX285" s="8"/>
      <c r="AY285" s="8"/>
      <c r="AZ285" s="8"/>
      <c r="BA285" s="8"/>
      <c r="BB285" s="8"/>
      <c r="BC285" s="8"/>
      <c r="BD285" s="8"/>
      <c r="BE285" s="8"/>
      <c r="BF285" s="8"/>
      <c r="BG285" s="8"/>
      <c r="BH285" s="8"/>
      <c r="BI285" s="8"/>
      <c r="BJ285" s="8"/>
      <c r="BK285" s="8"/>
      <c r="BL285" s="8"/>
      <c r="BM285" s="8"/>
      <c r="BN285" s="8"/>
      <c r="BO285" s="8"/>
      <c r="BP285" s="8"/>
      <c r="BQ285" s="8"/>
      <c r="BR285" s="8"/>
      <c r="BS285" s="8"/>
      <c r="BT285" s="8"/>
      <c r="BU285" s="8"/>
      <c r="BV285" s="8"/>
      <c r="BW285" s="8"/>
      <c r="BX285" s="8"/>
      <c r="BY285" s="8"/>
      <c r="BZ285" s="8"/>
      <c r="CA285" s="8"/>
      <c r="CB285" s="8"/>
      <c r="CC285" s="8"/>
      <c r="CD285" s="8"/>
      <c r="CE285" s="8"/>
      <c r="CF285" s="8"/>
      <c r="CG285" s="8"/>
      <c r="CH285" s="8"/>
      <c r="CI285" s="8"/>
      <c r="CJ285" s="8"/>
      <c r="CK285" s="8"/>
      <c r="CL285" s="8"/>
      <c r="CM285" s="8"/>
      <c r="CN285" s="8"/>
      <c r="CO285" s="8"/>
      <c r="CP285" s="8"/>
      <c r="CQ285" s="8"/>
      <c r="CR285" s="8"/>
      <c r="CS285" s="8"/>
      <c r="CT285" s="8"/>
      <c r="CU285" s="8"/>
      <c r="CV285" s="8"/>
      <c r="CW285" s="8"/>
      <c r="CX285" s="8"/>
      <c r="CY285" s="8"/>
      <c r="CZ285" s="8"/>
    </row>
    <row r="286" spans="3:104" x14ac:dyDescent="0.25"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  <c r="AY286" s="8"/>
      <c r="AZ286" s="8"/>
      <c r="BA286" s="8"/>
      <c r="BB286" s="8"/>
      <c r="BC286" s="8"/>
      <c r="BD286" s="8"/>
      <c r="BE286" s="8"/>
      <c r="BF286" s="8"/>
      <c r="BG286" s="8"/>
      <c r="BH286" s="8"/>
      <c r="BI286" s="8"/>
      <c r="BJ286" s="8"/>
      <c r="BK286" s="8"/>
      <c r="BL286" s="8"/>
      <c r="BM286" s="8"/>
      <c r="BN286" s="8"/>
      <c r="BO286" s="8"/>
      <c r="BP286" s="8"/>
      <c r="BQ286" s="8"/>
      <c r="BR286" s="8"/>
      <c r="BS286" s="8"/>
      <c r="BT286" s="8"/>
      <c r="BU286" s="8"/>
      <c r="BV286" s="8"/>
      <c r="BW286" s="8"/>
      <c r="BX286" s="8"/>
      <c r="BY286" s="8"/>
      <c r="BZ286" s="8"/>
      <c r="CA286" s="8"/>
      <c r="CB286" s="8"/>
      <c r="CC286" s="8"/>
      <c r="CD286" s="8"/>
      <c r="CE286" s="8"/>
      <c r="CF286" s="8"/>
      <c r="CG286" s="8"/>
      <c r="CH286" s="8"/>
      <c r="CI286" s="8"/>
      <c r="CJ286" s="8"/>
      <c r="CK286" s="8"/>
      <c r="CL286" s="8"/>
      <c r="CM286" s="8"/>
      <c r="CN286" s="8"/>
      <c r="CO286" s="8"/>
      <c r="CP286" s="8"/>
      <c r="CQ286" s="8"/>
      <c r="CR286" s="8"/>
      <c r="CS286" s="8"/>
      <c r="CT286" s="8"/>
      <c r="CU286" s="8"/>
      <c r="CV286" s="8"/>
      <c r="CW286" s="8"/>
      <c r="CX286" s="8"/>
      <c r="CY286" s="8"/>
      <c r="CZ286" s="8"/>
    </row>
    <row r="287" spans="3:104" x14ac:dyDescent="0.25"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  <c r="AX287" s="8"/>
      <c r="AY287" s="8"/>
      <c r="AZ287" s="8"/>
      <c r="BA287" s="8"/>
      <c r="BB287" s="8"/>
      <c r="BC287" s="8"/>
      <c r="BD287" s="8"/>
      <c r="BE287" s="8"/>
      <c r="BF287" s="8"/>
      <c r="BG287" s="8"/>
      <c r="BH287" s="8"/>
      <c r="BI287" s="8"/>
      <c r="BJ287" s="8"/>
      <c r="BK287" s="8"/>
      <c r="BL287" s="8"/>
      <c r="BM287" s="8"/>
      <c r="BN287" s="8"/>
      <c r="BO287" s="8"/>
      <c r="BP287" s="8"/>
      <c r="BQ287" s="8"/>
      <c r="BR287" s="8"/>
      <c r="BS287" s="8"/>
      <c r="BT287" s="8"/>
      <c r="BU287" s="8"/>
      <c r="BV287" s="8"/>
      <c r="BW287" s="8"/>
      <c r="BX287" s="8"/>
      <c r="BY287" s="8"/>
      <c r="BZ287" s="8"/>
      <c r="CA287" s="8"/>
      <c r="CB287" s="8"/>
      <c r="CC287" s="8"/>
      <c r="CD287" s="8"/>
      <c r="CE287" s="8"/>
      <c r="CF287" s="8"/>
      <c r="CG287" s="8"/>
      <c r="CH287" s="8"/>
      <c r="CI287" s="8"/>
      <c r="CJ287" s="8"/>
      <c r="CK287" s="8"/>
      <c r="CL287" s="8"/>
      <c r="CM287" s="8"/>
      <c r="CN287" s="8"/>
      <c r="CO287" s="8"/>
      <c r="CP287" s="8"/>
      <c r="CQ287" s="8"/>
      <c r="CR287" s="8"/>
      <c r="CS287" s="8"/>
      <c r="CT287" s="8"/>
      <c r="CU287" s="8"/>
      <c r="CV287" s="8"/>
      <c r="CW287" s="8"/>
      <c r="CX287" s="8"/>
      <c r="CY287" s="8"/>
      <c r="CZ287" s="8"/>
    </row>
    <row r="288" spans="3:104" x14ac:dyDescent="0.25"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  <c r="AX288" s="8"/>
      <c r="AY288" s="8"/>
      <c r="AZ288" s="8"/>
      <c r="BA288" s="8"/>
      <c r="BB288" s="8"/>
      <c r="BC288" s="8"/>
      <c r="BD288" s="8"/>
      <c r="BE288" s="8"/>
      <c r="BF288" s="8"/>
      <c r="BG288" s="8"/>
      <c r="BH288" s="8"/>
      <c r="BI288" s="8"/>
      <c r="BJ288" s="8"/>
      <c r="BK288" s="8"/>
      <c r="BL288" s="8"/>
      <c r="BM288" s="8"/>
      <c r="BN288" s="8"/>
      <c r="BO288" s="8"/>
      <c r="BP288" s="8"/>
      <c r="BQ288" s="8"/>
      <c r="BR288" s="8"/>
      <c r="BS288" s="8"/>
      <c r="BT288" s="8"/>
      <c r="BU288" s="8"/>
      <c r="BV288" s="8"/>
      <c r="BW288" s="8"/>
      <c r="BX288" s="8"/>
      <c r="BY288" s="8"/>
      <c r="BZ288" s="8"/>
      <c r="CA288" s="8"/>
      <c r="CB288" s="8"/>
      <c r="CC288" s="8"/>
      <c r="CD288" s="8"/>
      <c r="CE288" s="8"/>
      <c r="CF288" s="8"/>
      <c r="CG288" s="8"/>
      <c r="CH288" s="8"/>
      <c r="CI288" s="8"/>
      <c r="CJ288" s="8"/>
      <c r="CK288" s="8"/>
      <c r="CL288" s="8"/>
      <c r="CM288" s="8"/>
      <c r="CN288" s="8"/>
      <c r="CO288" s="8"/>
      <c r="CP288" s="8"/>
      <c r="CQ288" s="8"/>
      <c r="CR288" s="8"/>
      <c r="CS288" s="8"/>
      <c r="CT288" s="8"/>
      <c r="CU288" s="8"/>
      <c r="CV288" s="8"/>
      <c r="CW288" s="8"/>
      <c r="CX288" s="8"/>
      <c r="CY288" s="8"/>
      <c r="CZ288" s="8"/>
    </row>
    <row r="289" spans="21:104" x14ac:dyDescent="0.25"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  <c r="AX289" s="8"/>
      <c r="AY289" s="8"/>
      <c r="AZ289" s="8"/>
      <c r="BA289" s="8"/>
      <c r="BB289" s="8"/>
      <c r="BC289" s="8"/>
      <c r="BD289" s="8"/>
      <c r="BE289" s="8"/>
      <c r="BF289" s="8"/>
      <c r="BG289" s="8"/>
      <c r="BH289" s="8"/>
      <c r="BI289" s="8"/>
      <c r="BJ289" s="8"/>
      <c r="BK289" s="8"/>
      <c r="BL289" s="8"/>
      <c r="BM289" s="8"/>
      <c r="BN289" s="8"/>
      <c r="BO289" s="8"/>
      <c r="BP289" s="8"/>
      <c r="BQ289" s="8"/>
      <c r="BR289" s="8"/>
      <c r="BS289" s="8"/>
      <c r="BT289" s="8"/>
      <c r="BU289" s="8"/>
      <c r="BV289" s="8"/>
      <c r="BW289" s="8"/>
      <c r="BX289" s="8"/>
      <c r="BY289" s="8"/>
      <c r="BZ289" s="8"/>
      <c r="CA289" s="8"/>
      <c r="CB289" s="8"/>
      <c r="CC289" s="8"/>
      <c r="CD289" s="8"/>
      <c r="CE289" s="8"/>
      <c r="CF289" s="8"/>
      <c r="CG289" s="8"/>
      <c r="CH289" s="8"/>
      <c r="CI289" s="8"/>
      <c r="CJ289" s="8"/>
      <c r="CK289" s="8"/>
      <c r="CL289" s="8"/>
      <c r="CM289" s="8"/>
      <c r="CN289" s="8"/>
      <c r="CO289" s="8"/>
      <c r="CP289" s="8"/>
      <c r="CQ289" s="8"/>
      <c r="CR289" s="8"/>
      <c r="CS289" s="8"/>
      <c r="CT289" s="8"/>
      <c r="CU289" s="8"/>
      <c r="CV289" s="8"/>
      <c r="CW289" s="8"/>
      <c r="CX289" s="8"/>
      <c r="CY289" s="8"/>
      <c r="CZ289" s="8"/>
    </row>
    <row r="290" spans="21:104" x14ac:dyDescent="0.25"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  <c r="AX290" s="8"/>
      <c r="AY290" s="8"/>
      <c r="AZ290" s="8"/>
      <c r="BA290" s="8"/>
      <c r="BB290" s="8"/>
      <c r="BC290" s="8"/>
      <c r="BD290" s="8"/>
      <c r="BE290" s="8"/>
      <c r="BF290" s="8"/>
      <c r="BG290" s="8"/>
      <c r="BH290" s="8"/>
      <c r="BI290" s="8"/>
      <c r="BJ290" s="8"/>
      <c r="BK290" s="8"/>
      <c r="BL290" s="8"/>
      <c r="BM290" s="8"/>
      <c r="BN290" s="8"/>
      <c r="BO290" s="8"/>
      <c r="BP290" s="8"/>
      <c r="BQ290" s="8"/>
      <c r="BR290" s="8"/>
      <c r="BS290" s="8"/>
      <c r="BT290" s="8"/>
      <c r="BU290" s="8"/>
      <c r="BV290" s="8"/>
      <c r="BW290" s="8"/>
      <c r="BX290" s="8"/>
      <c r="BY290" s="8"/>
      <c r="BZ290" s="8"/>
      <c r="CA290" s="8"/>
      <c r="CB290" s="8"/>
      <c r="CC290" s="8"/>
      <c r="CD290" s="8"/>
      <c r="CE290" s="8"/>
      <c r="CF290" s="8"/>
      <c r="CG290" s="8"/>
      <c r="CH290" s="8"/>
      <c r="CI290" s="8"/>
      <c r="CJ290" s="8"/>
      <c r="CK290" s="8"/>
      <c r="CL290" s="8"/>
      <c r="CM290" s="8"/>
      <c r="CN290" s="8"/>
      <c r="CO290" s="8"/>
      <c r="CP290" s="8"/>
      <c r="CQ290" s="8"/>
      <c r="CR290" s="8"/>
      <c r="CS290" s="8"/>
      <c r="CT290" s="8"/>
      <c r="CU290" s="8"/>
      <c r="CV290" s="8"/>
      <c r="CW290" s="8"/>
      <c r="CX290" s="8"/>
      <c r="CY290" s="8"/>
      <c r="CZ290" s="8"/>
    </row>
    <row r="291" spans="21:104" x14ac:dyDescent="0.25"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  <c r="AX291" s="8"/>
      <c r="AY291" s="8"/>
      <c r="AZ291" s="8"/>
      <c r="BA291" s="8"/>
      <c r="BB291" s="8"/>
      <c r="BC291" s="8"/>
      <c r="BD291" s="8"/>
      <c r="BE291" s="8"/>
      <c r="BF291" s="8"/>
      <c r="BG291" s="8"/>
      <c r="BH291" s="8"/>
      <c r="BI291" s="8"/>
      <c r="BJ291" s="8"/>
      <c r="BK291" s="8"/>
      <c r="BL291" s="8"/>
      <c r="BM291" s="8"/>
      <c r="BN291" s="8"/>
      <c r="BO291" s="8"/>
      <c r="BP291" s="8"/>
      <c r="BQ291" s="8"/>
      <c r="BR291" s="8"/>
      <c r="BS291" s="8"/>
      <c r="BT291" s="8"/>
      <c r="BU291" s="8"/>
      <c r="BV291" s="8"/>
      <c r="BW291" s="8"/>
      <c r="BX291" s="8"/>
      <c r="BY291" s="8"/>
      <c r="BZ291" s="8"/>
      <c r="CA291" s="8"/>
      <c r="CB291" s="8"/>
      <c r="CC291" s="8"/>
      <c r="CD291" s="8"/>
      <c r="CE291" s="8"/>
      <c r="CF291" s="8"/>
      <c r="CG291" s="8"/>
      <c r="CH291" s="8"/>
      <c r="CI291" s="8"/>
      <c r="CJ291" s="8"/>
      <c r="CK291" s="8"/>
      <c r="CL291" s="8"/>
      <c r="CM291" s="8"/>
      <c r="CN291" s="8"/>
      <c r="CO291" s="8"/>
      <c r="CP291" s="8"/>
      <c r="CQ291" s="8"/>
      <c r="CR291" s="8"/>
      <c r="CS291" s="8"/>
      <c r="CT291" s="8"/>
      <c r="CU291" s="8"/>
      <c r="CV291" s="8"/>
      <c r="CW291" s="8"/>
      <c r="CX291" s="8"/>
      <c r="CY291" s="8"/>
      <c r="CZ291" s="8"/>
    </row>
    <row r="292" spans="21:104" x14ac:dyDescent="0.25"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  <c r="AX292" s="8"/>
      <c r="AY292" s="8"/>
      <c r="AZ292" s="8"/>
      <c r="BA292" s="8"/>
      <c r="BB292" s="8"/>
      <c r="BC292" s="8"/>
      <c r="BD292" s="8"/>
      <c r="BE292" s="8"/>
      <c r="BF292" s="8"/>
      <c r="BG292" s="8"/>
      <c r="BH292" s="8"/>
      <c r="BI292" s="8"/>
      <c r="BJ292" s="8"/>
      <c r="BK292" s="8"/>
      <c r="BL292" s="8"/>
      <c r="BM292" s="8"/>
      <c r="BN292" s="8"/>
      <c r="BO292" s="8"/>
      <c r="BP292" s="8"/>
      <c r="BQ292" s="8"/>
      <c r="BR292" s="8"/>
      <c r="BS292" s="8"/>
      <c r="BT292" s="8"/>
      <c r="BU292" s="8"/>
      <c r="BV292" s="8"/>
      <c r="BW292" s="8"/>
      <c r="BX292" s="8"/>
      <c r="BY292" s="8"/>
      <c r="BZ292" s="8"/>
      <c r="CA292" s="8"/>
      <c r="CB292" s="8"/>
      <c r="CC292" s="8"/>
      <c r="CD292" s="8"/>
      <c r="CE292" s="8"/>
      <c r="CF292" s="8"/>
      <c r="CG292" s="8"/>
      <c r="CH292" s="8"/>
      <c r="CI292" s="8"/>
      <c r="CJ292" s="8"/>
      <c r="CK292" s="8"/>
      <c r="CL292" s="8"/>
      <c r="CM292" s="8"/>
      <c r="CN292" s="8"/>
      <c r="CO292" s="8"/>
      <c r="CP292" s="8"/>
      <c r="CQ292" s="8"/>
      <c r="CR292" s="8"/>
      <c r="CS292" s="8"/>
      <c r="CT292" s="8"/>
      <c r="CU292" s="8"/>
      <c r="CV292" s="8"/>
      <c r="CW292" s="8"/>
      <c r="CX292" s="8"/>
      <c r="CY292" s="8"/>
      <c r="CZ292" s="8"/>
    </row>
    <row r="293" spans="21:104" x14ac:dyDescent="0.25"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  <c r="AX293" s="8"/>
      <c r="AY293" s="8"/>
      <c r="AZ293" s="8"/>
      <c r="BA293" s="8"/>
      <c r="BB293" s="8"/>
      <c r="BC293" s="8"/>
      <c r="BD293" s="8"/>
      <c r="BE293" s="8"/>
      <c r="BF293" s="8"/>
      <c r="BG293" s="8"/>
      <c r="BH293" s="8"/>
      <c r="BI293" s="8"/>
      <c r="BJ293" s="8"/>
      <c r="BK293" s="8"/>
      <c r="BL293" s="8"/>
      <c r="BM293" s="8"/>
      <c r="BN293" s="8"/>
      <c r="BO293" s="8"/>
      <c r="BP293" s="8"/>
      <c r="BQ293" s="8"/>
      <c r="BR293" s="8"/>
      <c r="BS293" s="8"/>
      <c r="BT293" s="8"/>
      <c r="BU293" s="8"/>
      <c r="BV293" s="8"/>
      <c r="BW293" s="8"/>
      <c r="BX293" s="8"/>
      <c r="BY293" s="8"/>
      <c r="BZ293" s="8"/>
      <c r="CA293" s="8"/>
      <c r="CB293" s="8"/>
      <c r="CC293" s="8"/>
      <c r="CD293" s="8"/>
      <c r="CE293" s="8"/>
      <c r="CF293" s="8"/>
      <c r="CG293" s="8"/>
      <c r="CH293" s="8"/>
      <c r="CI293" s="8"/>
      <c r="CJ293" s="8"/>
      <c r="CK293" s="8"/>
      <c r="CL293" s="8"/>
      <c r="CM293" s="8"/>
      <c r="CN293" s="8"/>
      <c r="CO293" s="8"/>
      <c r="CP293" s="8"/>
      <c r="CQ293" s="8"/>
      <c r="CR293" s="8"/>
      <c r="CS293" s="8"/>
      <c r="CT293" s="8"/>
      <c r="CU293" s="8"/>
      <c r="CV293" s="8"/>
      <c r="CW293" s="8"/>
      <c r="CX293" s="8"/>
      <c r="CY293" s="8"/>
      <c r="CZ293" s="8"/>
    </row>
    <row r="294" spans="21:104" x14ac:dyDescent="0.25"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  <c r="AX294" s="8"/>
      <c r="AY294" s="8"/>
      <c r="AZ294" s="8"/>
      <c r="BA294" s="8"/>
      <c r="BB294" s="8"/>
      <c r="BC294" s="8"/>
      <c r="BD294" s="8"/>
      <c r="BE294" s="8"/>
      <c r="BF294" s="8"/>
      <c r="BG294" s="8"/>
      <c r="BH294" s="8"/>
      <c r="BI294" s="8"/>
      <c r="BJ294" s="8"/>
      <c r="BK294" s="8"/>
      <c r="BL294" s="8"/>
      <c r="BM294" s="8"/>
      <c r="BN294" s="8"/>
      <c r="BO294" s="8"/>
      <c r="BP294" s="8"/>
      <c r="BQ294" s="8"/>
      <c r="BR294" s="8"/>
      <c r="BS294" s="8"/>
      <c r="BT294" s="8"/>
      <c r="BU294" s="8"/>
      <c r="BV294" s="8"/>
      <c r="BW294" s="8"/>
      <c r="BX294" s="8"/>
      <c r="BY294" s="8"/>
      <c r="BZ294" s="8"/>
      <c r="CA294" s="8"/>
      <c r="CB294" s="8"/>
      <c r="CC294" s="8"/>
      <c r="CD294" s="8"/>
      <c r="CE294" s="8"/>
      <c r="CF294" s="8"/>
      <c r="CG294" s="8"/>
      <c r="CH294" s="8"/>
      <c r="CI294" s="8"/>
      <c r="CJ294" s="8"/>
      <c r="CK294" s="8"/>
      <c r="CL294" s="8"/>
      <c r="CM294" s="8"/>
      <c r="CN294" s="8"/>
      <c r="CO294" s="8"/>
      <c r="CP294" s="8"/>
      <c r="CQ294" s="8"/>
      <c r="CR294" s="8"/>
      <c r="CS294" s="8"/>
      <c r="CT294" s="8"/>
      <c r="CU294" s="8"/>
      <c r="CV294" s="8"/>
      <c r="CW294" s="8"/>
      <c r="CX294" s="8"/>
      <c r="CY294" s="8"/>
      <c r="CZ294" s="8"/>
    </row>
    <row r="295" spans="21:104" x14ac:dyDescent="0.25"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  <c r="AX295" s="8"/>
      <c r="AY295" s="8"/>
      <c r="AZ295" s="8"/>
      <c r="BA295" s="8"/>
      <c r="BB295" s="8"/>
      <c r="BC295" s="8"/>
      <c r="BD295" s="8"/>
      <c r="BE295" s="8"/>
      <c r="BF295" s="8"/>
      <c r="BG295" s="8"/>
      <c r="BH295" s="8"/>
      <c r="BI295" s="8"/>
      <c r="BJ295" s="8"/>
      <c r="BK295" s="8"/>
      <c r="BL295" s="8"/>
      <c r="BM295" s="8"/>
      <c r="BN295" s="8"/>
      <c r="BO295" s="8"/>
      <c r="BP295" s="8"/>
      <c r="BQ295" s="8"/>
      <c r="BR295" s="8"/>
      <c r="BS295" s="8"/>
      <c r="BT295" s="8"/>
      <c r="BU295" s="8"/>
      <c r="BV295" s="8"/>
      <c r="BW295" s="8"/>
      <c r="BX295" s="8"/>
      <c r="BY295" s="8"/>
      <c r="BZ295" s="8"/>
      <c r="CA295" s="8"/>
      <c r="CB295" s="8"/>
      <c r="CC295" s="8"/>
      <c r="CD295" s="8"/>
      <c r="CE295" s="8"/>
      <c r="CF295" s="8"/>
      <c r="CG295" s="8"/>
      <c r="CH295" s="8"/>
      <c r="CI295" s="8"/>
      <c r="CJ295" s="8"/>
      <c r="CK295" s="8"/>
      <c r="CL295" s="8"/>
      <c r="CM295" s="8"/>
      <c r="CN295" s="8"/>
      <c r="CO295" s="8"/>
      <c r="CP295" s="8"/>
      <c r="CQ295" s="8"/>
      <c r="CR295" s="8"/>
      <c r="CS295" s="8"/>
      <c r="CT295" s="8"/>
      <c r="CU295" s="8"/>
      <c r="CV295" s="8"/>
      <c r="CW295" s="8"/>
      <c r="CX295" s="8"/>
      <c r="CY295" s="8"/>
      <c r="CZ295" s="8"/>
    </row>
    <row r="296" spans="21:104" x14ac:dyDescent="0.25"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  <c r="AX296" s="8"/>
      <c r="AY296" s="8"/>
      <c r="AZ296" s="8"/>
      <c r="BA296" s="8"/>
      <c r="BB296" s="8"/>
      <c r="BC296" s="8"/>
      <c r="BD296" s="8"/>
      <c r="BE296" s="8"/>
      <c r="BF296" s="8"/>
      <c r="BG296" s="8"/>
      <c r="BH296" s="8"/>
      <c r="BI296" s="8"/>
      <c r="BJ296" s="8"/>
      <c r="BK296" s="8"/>
      <c r="BL296" s="8"/>
      <c r="BM296" s="8"/>
      <c r="BN296" s="8"/>
      <c r="BO296" s="8"/>
      <c r="BP296" s="8"/>
      <c r="BQ296" s="8"/>
      <c r="BR296" s="8"/>
      <c r="BS296" s="8"/>
      <c r="BT296" s="8"/>
      <c r="BU296" s="8"/>
      <c r="BV296" s="8"/>
      <c r="BW296" s="8"/>
      <c r="BX296" s="8"/>
      <c r="BY296" s="8"/>
      <c r="BZ296" s="8"/>
      <c r="CA296" s="8"/>
      <c r="CB296" s="8"/>
      <c r="CC296" s="8"/>
      <c r="CD296" s="8"/>
      <c r="CE296" s="8"/>
      <c r="CF296" s="8"/>
      <c r="CG296" s="8"/>
      <c r="CH296" s="8"/>
      <c r="CI296" s="8"/>
      <c r="CJ296" s="8"/>
      <c r="CK296" s="8"/>
      <c r="CL296" s="8"/>
      <c r="CM296" s="8"/>
      <c r="CN296" s="8"/>
      <c r="CO296" s="8"/>
      <c r="CP296" s="8"/>
      <c r="CQ296" s="8"/>
      <c r="CR296" s="8"/>
      <c r="CS296" s="8"/>
      <c r="CT296" s="8"/>
      <c r="CU296" s="8"/>
      <c r="CV296" s="8"/>
      <c r="CW296" s="8"/>
      <c r="CX296" s="8"/>
      <c r="CY296" s="8"/>
      <c r="CZ296" s="8"/>
    </row>
    <row r="297" spans="21:104" x14ac:dyDescent="0.25"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  <c r="AX297" s="8"/>
      <c r="AY297" s="8"/>
      <c r="AZ297" s="8"/>
      <c r="BA297" s="8"/>
      <c r="BB297" s="8"/>
      <c r="BC297" s="8"/>
      <c r="BD297" s="8"/>
      <c r="BE297" s="8"/>
      <c r="BF297" s="8"/>
      <c r="BG297" s="8"/>
      <c r="BH297" s="8"/>
      <c r="BI297" s="8"/>
      <c r="BJ297" s="8"/>
      <c r="BK297" s="8"/>
      <c r="BL297" s="8"/>
      <c r="BM297" s="8"/>
      <c r="BN297" s="8"/>
      <c r="BO297" s="8"/>
      <c r="BP297" s="8"/>
      <c r="BQ297" s="8"/>
      <c r="BR297" s="8"/>
      <c r="BS297" s="8"/>
      <c r="BT297" s="8"/>
      <c r="BU297" s="8"/>
      <c r="BV297" s="8"/>
      <c r="BW297" s="8"/>
      <c r="BX297" s="8"/>
      <c r="BY297" s="8"/>
      <c r="BZ297" s="8"/>
      <c r="CA297" s="8"/>
      <c r="CB297" s="8"/>
      <c r="CC297" s="8"/>
      <c r="CD297" s="8"/>
      <c r="CE297" s="8"/>
      <c r="CF297" s="8"/>
      <c r="CG297" s="8"/>
      <c r="CH297" s="8"/>
      <c r="CI297" s="8"/>
      <c r="CJ297" s="8"/>
      <c r="CK297" s="8"/>
      <c r="CL297" s="8"/>
      <c r="CM297" s="8"/>
      <c r="CN297" s="8"/>
      <c r="CO297" s="8"/>
      <c r="CP297" s="8"/>
      <c r="CQ297" s="8"/>
      <c r="CR297" s="8"/>
      <c r="CS297" s="8"/>
      <c r="CT297" s="8"/>
      <c r="CU297" s="8"/>
      <c r="CV297" s="8"/>
      <c r="CW297" s="8"/>
      <c r="CX297" s="8"/>
      <c r="CY297" s="8"/>
      <c r="CZ297" s="8"/>
    </row>
    <row r="298" spans="21:104" x14ac:dyDescent="0.25"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  <c r="AX298" s="8"/>
      <c r="AY298" s="8"/>
      <c r="AZ298" s="8"/>
      <c r="BA298" s="8"/>
      <c r="BB298" s="8"/>
      <c r="BC298" s="8"/>
      <c r="BD298" s="8"/>
      <c r="BE298" s="8"/>
      <c r="BF298" s="8"/>
      <c r="BG298" s="8"/>
      <c r="BH298" s="8"/>
      <c r="BI298" s="8"/>
      <c r="BJ298" s="8"/>
      <c r="BK298" s="8"/>
      <c r="BL298" s="8"/>
      <c r="BM298" s="8"/>
      <c r="BN298" s="8"/>
      <c r="BO298" s="8"/>
      <c r="BP298" s="8"/>
      <c r="BQ298" s="8"/>
      <c r="BR298" s="8"/>
      <c r="BS298" s="8"/>
      <c r="BT298" s="8"/>
      <c r="BU298" s="8"/>
      <c r="BV298" s="8"/>
      <c r="BW298" s="8"/>
      <c r="BX298" s="8"/>
      <c r="BY298" s="8"/>
      <c r="BZ298" s="8"/>
      <c r="CA298" s="8"/>
      <c r="CB298" s="8"/>
      <c r="CC298" s="8"/>
      <c r="CD298" s="8"/>
      <c r="CE298" s="8"/>
      <c r="CF298" s="8"/>
      <c r="CG298" s="8"/>
      <c r="CH298" s="8"/>
      <c r="CI298" s="8"/>
      <c r="CJ298" s="8"/>
      <c r="CK298" s="8"/>
      <c r="CL298" s="8"/>
      <c r="CM298" s="8"/>
      <c r="CN298" s="8"/>
      <c r="CO298" s="8"/>
      <c r="CP298" s="8"/>
      <c r="CQ298" s="8"/>
      <c r="CR298" s="8"/>
      <c r="CS298" s="8"/>
      <c r="CT298" s="8"/>
      <c r="CU298" s="8"/>
      <c r="CV298" s="8"/>
      <c r="CW298" s="8"/>
      <c r="CX298" s="8"/>
      <c r="CY298" s="8"/>
      <c r="CZ298" s="8"/>
    </row>
    <row r="299" spans="21:104" x14ac:dyDescent="0.25"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  <c r="AX299" s="8"/>
      <c r="AY299" s="8"/>
      <c r="AZ299" s="8"/>
      <c r="BA299" s="8"/>
      <c r="BB299" s="8"/>
      <c r="BC299" s="8"/>
      <c r="BD299" s="8"/>
      <c r="BE299" s="8"/>
      <c r="BF299" s="8"/>
      <c r="BG299" s="8"/>
      <c r="BH299" s="8"/>
      <c r="BI299" s="8"/>
      <c r="BJ299" s="8"/>
      <c r="BK299" s="8"/>
      <c r="BL299" s="8"/>
      <c r="BM299" s="8"/>
      <c r="BN299" s="8"/>
      <c r="BO299" s="8"/>
      <c r="BP299" s="8"/>
      <c r="BQ299" s="8"/>
      <c r="BR299" s="8"/>
      <c r="BS299" s="8"/>
      <c r="BT299" s="8"/>
      <c r="BU299" s="8"/>
      <c r="BV299" s="8"/>
      <c r="BW299" s="8"/>
      <c r="BX299" s="8"/>
      <c r="BY299" s="8"/>
      <c r="BZ299" s="8"/>
      <c r="CA299" s="8"/>
      <c r="CB299" s="8"/>
      <c r="CC299" s="8"/>
      <c r="CD299" s="8"/>
      <c r="CE299" s="8"/>
      <c r="CF299" s="8"/>
      <c r="CG299" s="8"/>
      <c r="CH299" s="8"/>
      <c r="CI299" s="8"/>
      <c r="CJ299" s="8"/>
      <c r="CK299" s="8"/>
      <c r="CL299" s="8"/>
      <c r="CM299" s="8"/>
      <c r="CN299" s="8"/>
      <c r="CO299" s="8"/>
      <c r="CP299" s="8"/>
      <c r="CQ299" s="8"/>
      <c r="CR299" s="8"/>
      <c r="CS299" s="8"/>
      <c r="CT299" s="8"/>
      <c r="CU299" s="8"/>
      <c r="CV299" s="8"/>
      <c r="CW299" s="8"/>
      <c r="CX299" s="8"/>
      <c r="CY299" s="8"/>
      <c r="CZ299" s="8"/>
    </row>
    <row r="300" spans="21:104" x14ac:dyDescent="0.25"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  <c r="AX300" s="8"/>
      <c r="AY300" s="8"/>
      <c r="AZ300" s="8"/>
      <c r="BA300" s="8"/>
      <c r="BB300" s="8"/>
      <c r="BC300" s="8"/>
      <c r="BD300" s="8"/>
      <c r="BE300" s="8"/>
      <c r="BF300" s="8"/>
      <c r="BG300" s="8"/>
      <c r="BH300" s="8"/>
      <c r="BI300" s="8"/>
      <c r="BJ300" s="8"/>
      <c r="BK300" s="8"/>
      <c r="BL300" s="8"/>
      <c r="BM300" s="8"/>
      <c r="BN300" s="8"/>
      <c r="BO300" s="8"/>
      <c r="BP300" s="8"/>
      <c r="BQ300" s="8"/>
      <c r="BR300" s="8"/>
      <c r="BS300" s="8"/>
      <c r="BT300" s="8"/>
      <c r="BU300" s="8"/>
      <c r="BV300" s="8"/>
      <c r="BW300" s="8"/>
      <c r="BX300" s="8"/>
      <c r="BY300" s="8"/>
      <c r="BZ300" s="8"/>
      <c r="CA300" s="8"/>
      <c r="CB300" s="8"/>
      <c r="CC300" s="8"/>
      <c r="CD300" s="8"/>
      <c r="CE300" s="8"/>
      <c r="CF300" s="8"/>
      <c r="CG300" s="8"/>
      <c r="CH300" s="8"/>
      <c r="CI300" s="8"/>
      <c r="CJ300" s="8"/>
      <c r="CK300" s="8"/>
      <c r="CL300" s="8"/>
      <c r="CM300" s="8"/>
      <c r="CN300" s="8"/>
      <c r="CO300" s="8"/>
      <c r="CP300" s="8"/>
      <c r="CQ300" s="8"/>
      <c r="CR300" s="8"/>
      <c r="CS300" s="8"/>
      <c r="CT300" s="8"/>
      <c r="CU300" s="8"/>
      <c r="CV300" s="8"/>
      <c r="CW300" s="8"/>
      <c r="CX300" s="8"/>
      <c r="CY300" s="8"/>
      <c r="CZ300" s="8"/>
    </row>
    <row r="301" spans="21:104" x14ac:dyDescent="0.25"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  <c r="AX301" s="8"/>
      <c r="AY301" s="8"/>
      <c r="AZ301" s="8"/>
      <c r="BA301" s="8"/>
      <c r="BB301" s="8"/>
      <c r="BC301" s="8"/>
      <c r="BD301" s="8"/>
      <c r="BE301" s="8"/>
      <c r="BF301" s="8"/>
      <c r="BG301" s="8"/>
      <c r="BH301" s="8"/>
      <c r="BI301" s="8"/>
      <c r="BJ301" s="8"/>
      <c r="BK301" s="8"/>
      <c r="BL301" s="8"/>
      <c r="BM301" s="8"/>
      <c r="BN301" s="8"/>
      <c r="BO301" s="8"/>
      <c r="BP301" s="8"/>
      <c r="BQ301" s="8"/>
      <c r="BR301" s="8"/>
      <c r="BS301" s="8"/>
      <c r="BT301" s="8"/>
      <c r="BU301" s="8"/>
      <c r="BV301" s="8"/>
      <c r="BW301" s="8"/>
      <c r="BX301" s="8"/>
      <c r="BY301" s="8"/>
      <c r="BZ301" s="8"/>
      <c r="CA301" s="8"/>
      <c r="CB301" s="8"/>
      <c r="CC301" s="8"/>
      <c r="CD301" s="8"/>
      <c r="CE301" s="8"/>
      <c r="CF301" s="8"/>
      <c r="CG301" s="8"/>
      <c r="CH301" s="8"/>
      <c r="CI301" s="8"/>
      <c r="CJ301" s="8"/>
      <c r="CK301" s="8"/>
      <c r="CL301" s="8"/>
      <c r="CM301" s="8"/>
      <c r="CN301" s="8"/>
      <c r="CO301" s="8"/>
      <c r="CP301" s="8"/>
      <c r="CQ301" s="8"/>
      <c r="CR301" s="8"/>
      <c r="CS301" s="8"/>
      <c r="CT301" s="8"/>
      <c r="CU301" s="8"/>
      <c r="CV301" s="8"/>
      <c r="CW301" s="8"/>
      <c r="CX301" s="8"/>
      <c r="CY301" s="8"/>
      <c r="CZ301" s="8"/>
    </row>
    <row r="302" spans="21:104" x14ac:dyDescent="0.25"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  <c r="AX302" s="8"/>
      <c r="AY302" s="8"/>
      <c r="AZ302" s="8"/>
      <c r="BA302" s="8"/>
      <c r="BB302" s="8"/>
      <c r="BC302" s="8"/>
      <c r="BD302" s="8"/>
      <c r="BE302" s="8"/>
      <c r="BF302" s="8"/>
      <c r="BG302" s="8"/>
      <c r="BH302" s="8"/>
      <c r="BI302" s="8"/>
      <c r="BJ302" s="8"/>
      <c r="BK302" s="8"/>
      <c r="BL302" s="8"/>
      <c r="BM302" s="8"/>
      <c r="BN302" s="8"/>
      <c r="BO302" s="8"/>
      <c r="BP302" s="8"/>
      <c r="BQ302" s="8"/>
      <c r="BR302" s="8"/>
      <c r="BS302" s="8"/>
      <c r="BT302" s="8"/>
      <c r="BU302" s="8"/>
      <c r="BV302" s="8"/>
      <c r="BW302" s="8"/>
      <c r="BX302" s="8"/>
      <c r="BY302" s="8"/>
      <c r="BZ302" s="8"/>
      <c r="CA302" s="8"/>
      <c r="CB302" s="8"/>
      <c r="CC302" s="8"/>
      <c r="CD302" s="8"/>
      <c r="CE302" s="8"/>
      <c r="CF302" s="8"/>
      <c r="CG302" s="8"/>
      <c r="CH302" s="8"/>
      <c r="CI302" s="8"/>
      <c r="CJ302" s="8"/>
      <c r="CK302" s="8"/>
      <c r="CL302" s="8"/>
      <c r="CM302" s="8"/>
      <c r="CN302" s="8"/>
      <c r="CO302" s="8"/>
      <c r="CP302" s="8"/>
      <c r="CQ302" s="8"/>
      <c r="CR302" s="8"/>
      <c r="CS302" s="8"/>
      <c r="CT302" s="8"/>
      <c r="CU302" s="8"/>
      <c r="CV302" s="8"/>
      <c r="CW302" s="8"/>
      <c r="CX302" s="8"/>
      <c r="CY302" s="8"/>
      <c r="CZ302" s="8"/>
    </row>
    <row r="303" spans="21:104" x14ac:dyDescent="0.25"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  <c r="AX303" s="8"/>
      <c r="AY303" s="8"/>
      <c r="AZ303" s="8"/>
      <c r="BA303" s="8"/>
      <c r="BB303" s="8"/>
      <c r="BC303" s="8"/>
      <c r="BD303" s="8"/>
      <c r="BE303" s="8"/>
      <c r="BF303" s="8"/>
      <c r="BG303" s="8"/>
      <c r="BH303" s="8"/>
      <c r="BI303" s="8"/>
      <c r="BJ303" s="8"/>
      <c r="BK303" s="8"/>
      <c r="BL303" s="8"/>
      <c r="BM303" s="8"/>
      <c r="BN303" s="8"/>
      <c r="BO303" s="8"/>
      <c r="BP303" s="8"/>
      <c r="BQ303" s="8"/>
      <c r="BR303" s="8"/>
      <c r="BS303" s="8"/>
      <c r="BT303" s="8"/>
      <c r="BU303" s="8"/>
      <c r="BV303" s="8"/>
      <c r="BW303" s="8"/>
      <c r="BX303" s="8"/>
      <c r="BY303" s="8"/>
      <c r="BZ303" s="8"/>
      <c r="CA303" s="8"/>
      <c r="CB303" s="8"/>
      <c r="CC303" s="8"/>
      <c r="CD303" s="8"/>
      <c r="CE303" s="8"/>
      <c r="CF303" s="8"/>
      <c r="CG303" s="8"/>
      <c r="CH303" s="8"/>
      <c r="CI303" s="8"/>
      <c r="CJ303" s="8"/>
      <c r="CK303" s="8"/>
      <c r="CL303" s="8"/>
      <c r="CM303" s="8"/>
      <c r="CN303" s="8"/>
      <c r="CO303" s="8"/>
      <c r="CP303" s="8"/>
      <c r="CQ303" s="8"/>
      <c r="CR303" s="8"/>
      <c r="CS303" s="8"/>
      <c r="CT303" s="8"/>
      <c r="CU303" s="8"/>
      <c r="CV303" s="8"/>
      <c r="CW303" s="8"/>
      <c r="CX303" s="8"/>
      <c r="CY303" s="8"/>
      <c r="CZ303" s="8"/>
    </row>
    <row r="304" spans="21:104" x14ac:dyDescent="0.25"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  <c r="AX304" s="8"/>
      <c r="AY304" s="8"/>
      <c r="AZ304" s="8"/>
      <c r="BA304" s="8"/>
      <c r="BB304" s="8"/>
      <c r="BC304" s="8"/>
      <c r="BD304" s="8"/>
      <c r="BE304" s="8"/>
      <c r="BF304" s="8"/>
      <c r="BG304" s="8"/>
      <c r="BH304" s="8"/>
      <c r="BI304" s="8"/>
      <c r="BJ304" s="8"/>
      <c r="BK304" s="8"/>
      <c r="BL304" s="8"/>
      <c r="BM304" s="8"/>
      <c r="BN304" s="8"/>
      <c r="BO304" s="8"/>
      <c r="BP304" s="8"/>
      <c r="BQ304" s="8"/>
      <c r="BR304" s="8"/>
      <c r="BS304" s="8"/>
      <c r="BT304" s="8"/>
      <c r="BU304" s="8"/>
      <c r="BV304" s="8"/>
      <c r="BW304" s="8"/>
      <c r="BX304" s="8"/>
      <c r="BY304" s="8"/>
      <c r="BZ304" s="8"/>
      <c r="CA304" s="8"/>
      <c r="CB304" s="8"/>
      <c r="CC304" s="8"/>
      <c r="CD304" s="8"/>
      <c r="CE304" s="8"/>
      <c r="CF304" s="8"/>
      <c r="CG304" s="8"/>
      <c r="CH304" s="8"/>
      <c r="CI304" s="8"/>
      <c r="CJ304" s="8"/>
      <c r="CK304" s="8"/>
      <c r="CL304" s="8"/>
      <c r="CM304" s="8"/>
      <c r="CN304" s="8"/>
      <c r="CO304" s="8"/>
      <c r="CP304" s="8"/>
      <c r="CQ304" s="8"/>
      <c r="CR304" s="8"/>
      <c r="CS304" s="8"/>
      <c r="CT304" s="8"/>
      <c r="CU304" s="8"/>
      <c r="CV304" s="8"/>
      <c r="CW304" s="8"/>
      <c r="CX304" s="8"/>
      <c r="CY304" s="8"/>
      <c r="CZ304" s="8"/>
    </row>
    <row r="305" spans="21:104" x14ac:dyDescent="0.25"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  <c r="AX305" s="8"/>
      <c r="AY305" s="8"/>
      <c r="AZ305" s="8"/>
      <c r="BA305" s="8"/>
      <c r="BB305" s="8"/>
      <c r="BC305" s="8"/>
      <c r="BD305" s="8"/>
      <c r="BE305" s="8"/>
      <c r="BF305" s="8"/>
      <c r="BG305" s="8"/>
      <c r="BH305" s="8"/>
      <c r="BI305" s="8"/>
      <c r="BJ305" s="8"/>
      <c r="BK305" s="8"/>
      <c r="BL305" s="8"/>
      <c r="BM305" s="8"/>
      <c r="BN305" s="8"/>
      <c r="BO305" s="8"/>
      <c r="BP305" s="8"/>
      <c r="BQ305" s="8"/>
      <c r="BR305" s="8"/>
      <c r="BS305" s="8"/>
      <c r="BT305" s="8"/>
      <c r="BU305" s="8"/>
      <c r="BV305" s="8"/>
      <c r="BW305" s="8"/>
      <c r="BX305" s="8"/>
      <c r="BY305" s="8"/>
      <c r="BZ305" s="8"/>
      <c r="CA305" s="8"/>
      <c r="CB305" s="8"/>
      <c r="CC305" s="8"/>
      <c r="CD305" s="8"/>
      <c r="CE305" s="8"/>
      <c r="CF305" s="8"/>
      <c r="CG305" s="8"/>
      <c r="CH305" s="8"/>
      <c r="CI305" s="8"/>
      <c r="CJ305" s="8"/>
      <c r="CK305" s="8"/>
      <c r="CL305" s="8"/>
      <c r="CM305" s="8"/>
      <c r="CN305" s="8"/>
      <c r="CO305" s="8"/>
      <c r="CP305" s="8"/>
      <c r="CQ305" s="8"/>
      <c r="CR305" s="8"/>
      <c r="CS305" s="8"/>
      <c r="CT305" s="8"/>
      <c r="CU305" s="8"/>
      <c r="CV305" s="8"/>
      <c r="CW305" s="8"/>
      <c r="CX305" s="8"/>
      <c r="CY305" s="8"/>
      <c r="CZ305" s="8"/>
    </row>
    <row r="306" spans="21:104" x14ac:dyDescent="0.25"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  <c r="AX306" s="8"/>
      <c r="AY306" s="8"/>
      <c r="AZ306" s="8"/>
      <c r="BA306" s="8"/>
      <c r="BB306" s="8"/>
      <c r="BC306" s="8"/>
      <c r="BD306" s="8"/>
      <c r="BE306" s="8"/>
      <c r="BF306" s="8"/>
      <c r="BG306" s="8"/>
      <c r="BH306" s="8"/>
      <c r="BI306" s="8"/>
      <c r="BJ306" s="8"/>
      <c r="BK306" s="8"/>
      <c r="BL306" s="8"/>
      <c r="BM306" s="8"/>
      <c r="BN306" s="8"/>
      <c r="BO306" s="8"/>
      <c r="BP306" s="8"/>
      <c r="BQ306" s="8"/>
      <c r="BR306" s="8"/>
      <c r="BS306" s="8"/>
      <c r="BT306" s="8"/>
      <c r="BU306" s="8"/>
      <c r="BV306" s="8"/>
      <c r="BW306" s="8"/>
      <c r="BX306" s="8"/>
      <c r="BY306" s="8"/>
      <c r="BZ306" s="8"/>
      <c r="CA306" s="8"/>
      <c r="CB306" s="8"/>
      <c r="CC306" s="8"/>
      <c r="CD306" s="8"/>
      <c r="CE306" s="8"/>
      <c r="CF306" s="8"/>
      <c r="CG306" s="8"/>
      <c r="CH306" s="8"/>
      <c r="CI306" s="8"/>
      <c r="CJ306" s="8"/>
      <c r="CK306" s="8"/>
      <c r="CL306" s="8"/>
      <c r="CM306" s="8"/>
      <c r="CN306" s="8"/>
      <c r="CO306" s="8"/>
      <c r="CP306" s="8"/>
      <c r="CQ306" s="8"/>
      <c r="CR306" s="8"/>
      <c r="CS306" s="8"/>
      <c r="CT306" s="8"/>
      <c r="CU306" s="8"/>
      <c r="CV306" s="8"/>
      <c r="CW306" s="8"/>
      <c r="CX306" s="8"/>
      <c r="CY306" s="8"/>
      <c r="CZ306" s="8"/>
    </row>
    <row r="307" spans="21:104" x14ac:dyDescent="0.25"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  <c r="AX307" s="8"/>
      <c r="AY307" s="8"/>
      <c r="AZ307" s="8"/>
      <c r="BA307" s="8"/>
      <c r="BB307" s="8"/>
      <c r="BC307" s="8"/>
      <c r="BD307" s="8"/>
      <c r="BE307" s="8"/>
      <c r="BF307" s="8"/>
      <c r="BG307" s="8"/>
      <c r="BH307" s="8"/>
      <c r="BI307" s="8"/>
      <c r="BJ307" s="8"/>
      <c r="BK307" s="8"/>
      <c r="BL307" s="8"/>
      <c r="BM307" s="8"/>
      <c r="BN307" s="8"/>
      <c r="BO307" s="8"/>
      <c r="BP307" s="8"/>
      <c r="BQ307" s="8"/>
      <c r="BR307" s="8"/>
      <c r="BS307" s="8"/>
      <c r="BT307" s="8"/>
      <c r="BU307" s="8"/>
      <c r="BV307" s="8"/>
      <c r="BW307" s="8"/>
      <c r="BX307" s="8"/>
      <c r="BY307" s="8"/>
      <c r="BZ307" s="8"/>
      <c r="CA307" s="8"/>
      <c r="CB307" s="8"/>
      <c r="CC307" s="8"/>
      <c r="CD307" s="8"/>
      <c r="CE307" s="8"/>
      <c r="CF307" s="8"/>
      <c r="CG307" s="8"/>
      <c r="CH307" s="8"/>
      <c r="CI307" s="8"/>
      <c r="CJ307" s="8"/>
      <c r="CK307" s="8"/>
      <c r="CL307" s="8"/>
      <c r="CM307" s="8"/>
      <c r="CN307" s="8"/>
      <c r="CO307" s="8"/>
      <c r="CP307" s="8"/>
      <c r="CQ307" s="8"/>
      <c r="CR307" s="8"/>
      <c r="CS307" s="8"/>
      <c r="CT307" s="8"/>
      <c r="CU307" s="8"/>
      <c r="CV307" s="8"/>
      <c r="CW307" s="8"/>
      <c r="CX307" s="8"/>
      <c r="CY307" s="8"/>
      <c r="CZ307" s="8"/>
    </row>
    <row r="308" spans="21:104" x14ac:dyDescent="0.25"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  <c r="AX308" s="8"/>
      <c r="AY308" s="8"/>
      <c r="AZ308" s="8"/>
      <c r="BA308" s="8"/>
      <c r="BB308" s="8"/>
      <c r="BC308" s="8"/>
      <c r="BD308" s="8"/>
      <c r="BE308" s="8"/>
      <c r="BF308" s="8"/>
      <c r="BG308" s="8"/>
      <c r="BH308" s="8"/>
      <c r="BI308" s="8"/>
      <c r="BJ308" s="8"/>
      <c r="BK308" s="8"/>
      <c r="BL308" s="8"/>
      <c r="BM308" s="8"/>
      <c r="BN308" s="8"/>
      <c r="BO308" s="8"/>
      <c r="BP308" s="8"/>
      <c r="BQ308" s="8"/>
      <c r="BR308" s="8"/>
      <c r="BS308" s="8"/>
      <c r="BT308" s="8"/>
      <c r="BU308" s="8"/>
      <c r="BV308" s="8"/>
      <c r="BW308" s="8"/>
      <c r="BX308" s="8"/>
      <c r="BY308" s="8"/>
      <c r="BZ308" s="8"/>
      <c r="CA308" s="8"/>
      <c r="CB308" s="8"/>
      <c r="CC308" s="8"/>
      <c r="CD308" s="8"/>
      <c r="CE308" s="8"/>
      <c r="CF308" s="8"/>
      <c r="CG308" s="8"/>
      <c r="CH308" s="8"/>
      <c r="CI308" s="8"/>
      <c r="CJ308" s="8"/>
      <c r="CK308" s="8"/>
      <c r="CL308" s="8"/>
      <c r="CM308" s="8"/>
      <c r="CN308" s="8"/>
      <c r="CO308" s="8"/>
      <c r="CP308" s="8"/>
      <c r="CQ308" s="8"/>
      <c r="CR308" s="8"/>
      <c r="CS308" s="8"/>
      <c r="CT308" s="8"/>
      <c r="CU308" s="8"/>
      <c r="CV308" s="8"/>
      <c r="CW308" s="8"/>
      <c r="CX308" s="8"/>
      <c r="CY308" s="8"/>
      <c r="CZ308" s="8"/>
    </row>
    <row r="309" spans="21:104" x14ac:dyDescent="0.25"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  <c r="AX309" s="8"/>
      <c r="AY309" s="8"/>
      <c r="AZ309" s="8"/>
      <c r="BA309" s="8"/>
      <c r="BB309" s="8"/>
      <c r="BC309" s="8"/>
      <c r="BD309" s="8"/>
      <c r="BE309" s="8"/>
      <c r="BF309" s="8"/>
      <c r="BG309" s="8"/>
      <c r="BH309" s="8"/>
      <c r="BI309" s="8"/>
      <c r="BJ309" s="8"/>
      <c r="BK309" s="8"/>
      <c r="BL309" s="8"/>
      <c r="BM309" s="8"/>
      <c r="BN309" s="8"/>
      <c r="BO309" s="8"/>
      <c r="BP309" s="8"/>
      <c r="BQ309" s="8"/>
      <c r="BR309" s="8"/>
      <c r="BS309" s="8"/>
      <c r="BT309" s="8"/>
      <c r="BU309" s="8"/>
      <c r="BV309" s="8"/>
      <c r="BW309" s="8"/>
      <c r="BX309" s="8"/>
      <c r="BY309" s="8"/>
      <c r="BZ309" s="8"/>
      <c r="CA309" s="8"/>
      <c r="CB309" s="8"/>
      <c r="CC309" s="8"/>
      <c r="CD309" s="8"/>
      <c r="CE309" s="8"/>
      <c r="CF309" s="8"/>
      <c r="CG309" s="8"/>
      <c r="CH309" s="8"/>
      <c r="CI309" s="8"/>
      <c r="CJ309" s="8"/>
      <c r="CK309" s="8"/>
      <c r="CL309" s="8"/>
      <c r="CM309" s="8"/>
      <c r="CN309" s="8"/>
      <c r="CO309" s="8"/>
      <c r="CP309" s="8"/>
      <c r="CQ309" s="8"/>
      <c r="CR309" s="8"/>
      <c r="CS309" s="8"/>
      <c r="CT309" s="8"/>
      <c r="CU309" s="8"/>
      <c r="CV309" s="8"/>
      <c r="CW309" s="8"/>
      <c r="CX309" s="8"/>
      <c r="CY309" s="8"/>
      <c r="CZ309" s="8"/>
    </row>
    <row r="310" spans="21:104" x14ac:dyDescent="0.25"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  <c r="AX310" s="8"/>
      <c r="AY310" s="8"/>
      <c r="AZ310" s="8"/>
      <c r="BA310" s="8"/>
      <c r="BB310" s="8"/>
      <c r="BC310" s="8"/>
      <c r="BD310" s="8"/>
      <c r="BE310" s="8"/>
      <c r="BF310" s="8"/>
      <c r="BG310" s="8"/>
      <c r="BH310" s="8"/>
      <c r="BI310" s="8"/>
      <c r="BJ310" s="8"/>
      <c r="BK310" s="8"/>
      <c r="BL310" s="8"/>
      <c r="BM310" s="8"/>
      <c r="BN310" s="8"/>
      <c r="BO310" s="8"/>
      <c r="BP310" s="8"/>
      <c r="BQ310" s="8"/>
      <c r="BR310" s="8"/>
      <c r="BS310" s="8"/>
      <c r="BT310" s="8"/>
      <c r="BU310" s="8"/>
      <c r="BV310" s="8"/>
      <c r="BW310" s="8"/>
      <c r="BX310" s="8"/>
      <c r="BY310" s="8"/>
      <c r="BZ310" s="8"/>
      <c r="CA310" s="8"/>
      <c r="CB310" s="8"/>
      <c r="CC310" s="8"/>
      <c r="CD310" s="8"/>
      <c r="CE310" s="8"/>
      <c r="CF310" s="8"/>
      <c r="CG310" s="8"/>
      <c r="CH310" s="8"/>
      <c r="CI310" s="8"/>
      <c r="CJ310" s="8"/>
      <c r="CK310" s="8"/>
      <c r="CL310" s="8"/>
      <c r="CM310" s="8"/>
      <c r="CN310" s="8"/>
      <c r="CO310" s="8"/>
      <c r="CP310" s="8"/>
      <c r="CQ310" s="8"/>
      <c r="CR310" s="8"/>
      <c r="CS310" s="8"/>
      <c r="CT310" s="8"/>
      <c r="CU310" s="8"/>
      <c r="CV310" s="8"/>
      <c r="CW310" s="8"/>
      <c r="CX310" s="8"/>
      <c r="CY310" s="8"/>
      <c r="CZ310" s="8"/>
    </row>
    <row r="311" spans="21:104" x14ac:dyDescent="0.25"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  <c r="AX311" s="8"/>
      <c r="AY311" s="8"/>
      <c r="AZ311" s="8"/>
      <c r="BA311" s="8"/>
      <c r="BB311" s="8"/>
      <c r="BC311" s="8"/>
      <c r="BD311" s="8"/>
      <c r="BE311" s="8"/>
      <c r="BF311" s="8"/>
      <c r="BG311" s="8"/>
      <c r="BH311" s="8"/>
      <c r="BI311" s="8"/>
      <c r="BJ311" s="8"/>
      <c r="BK311" s="8"/>
      <c r="BL311" s="8"/>
      <c r="BM311" s="8"/>
      <c r="BN311" s="8"/>
      <c r="BO311" s="8"/>
      <c r="BP311" s="8"/>
      <c r="BQ311" s="8"/>
      <c r="BR311" s="8"/>
      <c r="BS311" s="8"/>
      <c r="BT311" s="8"/>
      <c r="BU311" s="8"/>
      <c r="BV311" s="8"/>
      <c r="BW311" s="8"/>
      <c r="BX311" s="8"/>
      <c r="BY311" s="8"/>
      <c r="BZ311" s="8"/>
      <c r="CA311" s="8"/>
      <c r="CB311" s="8"/>
      <c r="CC311" s="8"/>
      <c r="CD311" s="8"/>
      <c r="CE311" s="8"/>
      <c r="CF311" s="8"/>
      <c r="CG311" s="8"/>
      <c r="CH311" s="8"/>
      <c r="CI311" s="8"/>
      <c r="CJ311" s="8"/>
      <c r="CK311" s="8"/>
      <c r="CL311" s="8"/>
      <c r="CM311" s="8"/>
      <c r="CN311" s="8"/>
      <c r="CO311" s="8"/>
      <c r="CP311" s="8"/>
      <c r="CQ311" s="8"/>
      <c r="CR311" s="8"/>
      <c r="CS311" s="8"/>
      <c r="CT311" s="8"/>
      <c r="CU311" s="8"/>
      <c r="CV311" s="8"/>
      <c r="CW311" s="8"/>
      <c r="CX311" s="8"/>
      <c r="CY311" s="8"/>
      <c r="CZ311" s="8"/>
    </row>
    <row r="312" spans="21:104" x14ac:dyDescent="0.25"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  <c r="AX312" s="8"/>
      <c r="AY312" s="8"/>
      <c r="AZ312" s="8"/>
      <c r="BA312" s="8"/>
      <c r="BB312" s="8"/>
      <c r="BC312" s="8"/>
      <c r="BD312" s="8"/>
      <c r="BE312" s="8"/>
      <c r="BF312" s="8"/>
      <c r="BG312" s="8"/>
      <c r="BH312" s="8"/>
      <c r="BI312" s="8"/>
      <c r="BJ312" s="8"/>
      <c r="BK312" s="8"/>
      <c r="BL312" s="8"/>
      <c r="BM312" s="8"/>
      <c r="BN312" s="8"/>
      <c r="BO312" s="8"/>
      <c r="BP312" s="8"/>
      <c r="BQ312" s="8"/>
      <c r="BR312" s="8"/>
      <c r="BS312" s="8"/>
      <c r="BT312" s="8"/>
      <c r="BU312" s="8"/>
      <c r="BV312" s="8"/>
      <c r="BW312" s="8"/>
      <c r="BX312" s="8"/>
      <c r="BY312" s="8"/>
      <c r="BZ312" s="8"/>
      <c r="CA312" s="8"/>
      <c r="CB312" s="8"/>
      <c r="CC312" s="8"/>
      <c r="CD312" s="8"/>
      <c r="CE312" s="8"/>
      <c r="CF312" s="8"/>
      <c r="CG312" s="8"/>
      <c r="CH312" s="8"/>
      <c r="CI312" s="8"/>
      <c r="CJ312" s="8"/>
      <c r="CK312" s="8"/>
      <c r="CL312" s="8"/>
      <c r="CM312" s="8"/>
      <c r="CN312" s="8"/>
      <c r="CO312" s="8"/>
      <c r="CP312" s="8"/>
      <c r="CQ312" s="8"/>
      <c r="CR312" s="8"/>
      <c r="CS312" s="8"/>
      <c r="CT312" s="8"/>
      <c r="CU312" s="8"/>
      <c r="CV312" s="8"/>
      <c r="CW312" s="8"/>
      <c r="CX312" s="8"/>
      <c r="CY312" s="8"/>
      <c r="CZ312" s="8"/>
    </row>
    <row r="313" spans="21:104" x14ac:dyDescent="0.25"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  <c r="AX313" s="8"/>
      <c r="AY313" s="8"/>
      <c r="AZ313" s="8"/>
      <c r="BA313" s="8"/>
      <c r="BB313" s="8"/>
      <c r="BC313" s="8"/>
      <c r="BD313" s="8"/>
      <c r="BE313" s="8"/>
      <c r="BF313" s="8"/>
      <c r="BG313" s="8"/>
      <c r="BH313" s="8"/>
      <c r="BI313" s="8"/>
      <c r="BJ313" s="8"/>
      <c r="BK313" s="8"/>
      <c r="BL313" s="8"/>
      <c r="BM313" s="8"/>
      <c r="BN313" s="8"/>
      <c r="BO313" s="8"/>
      <c r="BP313" s="8"/>
      <c r="BQ313" s="8"/>
      <c r="BR313" s="8"/>
      <c r="BS313" s="8"/>
      <c r="BT313" s="8"/>
      <c r="BU313" s="8"/>
      <c r="BV313" s="8"/>
      <c r="BW313" s="8"/>
      <c r="BX313" s="8"/>
      <c r="BY313" s="8"/>
      <c r="BZ313" s="8"/>
      <c r="CA313" s="8"/>
      <c r="CB313" s="8"/>
      <c r="CC313" s="8"/>
      <c r="CD313" s="8"/>
      <c r="CE313" s="8"/>
      <c r="CF313" s="8"/>
      <c r="CG313" s="8"/>
      <c r="CH313" s="8"/>
      <c r="CI313" s="8"/>
      <c r="CJ313" s="8"/>
      <c r="CK313" s="8"/>
      <c r="CL313" s="8"/>
      <c r="CM313" s="8"/>
      <c r="CN313" s="8"/>
      <c r="CO313" s="8"/>
      <c r="CP313" s="8"/>
      <c r="CQ313" s="8"/>
      <c r="CR313" s="8"/>
      <c r="CS313" s="8"/>
      <c r="CT313" s="8"/>
      <c r="CU313" s="8"/>
      <c r="CV313" s="8"/>
      <c r="CW313" s="8"/>
      <c r="CX313" s="8"/>
      <c r="CY313" s="8"/>
      <c r="CZ313" s="8"/>
    </row>
    <row r="314" spans="21:104" x14ac:dyDescent="0.25"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  <c r="AX314" s="8"/>
      <c r="AY314" s="8"/>
      <c r="AZ314" s="8"/>
      <c r="BA314" s="8"/>
      <c r="BB314" s="8"/>
      <c r="BC314" s="8"/>
      <c r="BD314" s="8"/>
      <c r="BE314" s="8"/>
      <c r="BF314" s="8"/>
      <c r="BG314" s="8"/>
      <c r="BH314" s="8"/>
      <c r="BI314" s="8"/>
      <c r="BJ314" s="8"/>
      <c r="BK314" s="8"/>
      <c r="BL314" s="8"/>
      <c r="BM314" s="8"/>
      <c r="BN314" s="8"/>
      <c r="BO314" s="8"/>
      <c r="BP314" s="8"/>
      <c r="BQ314" s="8"/>
      <c r="BR314" s="8"/>
      <c r="BS314" s="8"/>
      <c r="BT314" s="8"/>
      <c r="BU314" s="8"/>
      <c r="BV314" s="8"/>
      <c r="BW314" s="8"/>
      <c r="BX314" s="8"/>
      <c r="BY314" s="8"/>
      <c r="BZ314" s="8"/>
      <c r="CA314" s="8"/>
      <c r="CB314" s="8"/>
      <c r="CC314" s="8"/>
      <c r="CD314" s="8"/>
      <c r="CE314" s="8"/>
      <c r="CF314" s="8"/>
      <c r="CG314" s="8"/>
      <c r="CH314" s="8"/>
      <c r="CI314" s="8"/>
      <c r="CJ314" s="8"/>
      <c r="CK314" s="8"/>
      <c r="CL314" s="8"/>
      <c r="CM314" s="8"/>
      <c r="CN314" s="8"/>
      <c r="CO314" s="8"/>
      <c r="CP314" s="8"/>
      <c r="CQ314" s="8"/>
      <c r="CR314" s="8"/>
      <c r="CS314" s="8"/>
      <c r="CT314" s="8"/>
      <c r="CU314" s="8"/>
      <c r="CV314" s="8"/>
      <c r="CW314" s="8"/>
      <c r="CX314" s="8"/>
      <c r="CY314" s="8"/>
      <c r="CZ314" s="8"/>
    </row>
    <row r="315" spans="21:104" x14ac:dyDescent="0.25"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  <c r="AX315" s="8"/>
      <c r="AY315" s="8"/>
      <c r="AZ315" s="8"/>
      <c r="BA315" s="8"/>
      <c r="BB315" s="8"/>
      <c r="BC315" s="8"/>
      <c r="BD315" s="8"/>
      <c r="BE315" s="8"/>
      <c r="BF315" s="8"/>
      <c r="BG315" s="8"/>
      <c r="BH315" s="8"/>
      <c r="BI315" s="8"/>
      <c r="BJ315" s="8"/>
      <c r="BK315" s="8"/>
      <c r="BL315" s="8"/>
      <c r="BM315" s="8"/>
      <c r="BN315" s="8"/>
      <c r="BO315" s="8"/>
      <c r="BP315" s="8"/>
      <c r="BQ315" s="8"/>
      <c r="BR315" s="8"/>
      <c r="BS315" s="8"/>
      <c r="BT315" s="8"/>
      <c r="BU315" s="8"/>
      <c r="BV315" s="8"/>
      <c r="BW315" s="8"/>
      <c r="BX315" s="8"/>
      <c r="BY315" s="8"/>
      <c r="BZ315" s="8"/>
      <c r="CA315" s="8"/>
      <c r="CB315" s="8"/>
      <c r="CC315" s="8"/>
      <c r="CD315" s="8"/>
      <c r="CE315" s="8"/>
      <c r="CF315" s="8"/>
      <c r="CG315" s="8"/>
      <c r="CH315" s="8"/>
      <c r="CI315" s="8"/>
      <c r="CJ315" s="8"/>
      <c r="CK315" s="8"/>
      <c r="CL315" s="8"/>
      <c r="CM315" s="8"/>
      <c r="CN315" s="8"/>
      <c r="CO315" s="8"/>
      <c r="CP315" s="8"/>
      <c r="CQ315" s="8"/>
      <c r="CR315" s="8"/>
      <c r="CS315" s="8"/>
      <c r="CT315" s="8"/>
      <c r="CU315" s="8"/>
      <c r="CV315" s="8"/>
      <c r="CW315" s="8"/>
      <c r="CX315" s="8"/>
      <c r="CY315" s="8"/>
      <c r="CZ315" s="8"/>
    </row>
    <row r="316" spans="21:104" x14ac:dyDescent="0.25"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  <c r="AX316" s="8"/>
      <c r="AY316" s="8"/>
      <c r="AZ316" s="8"/>
      <c r="BA316" s="8"/>
      <c r="BB316" s="8"/>
      <c r="BC316" s="8"/>
      <c r="BD316" s="8"/>
      <c r="BE316" s="8"/>
      <c r="BF316" s="8"/>
      <c r="BG316" s="8"/>
      <c r="BH316" s="8"/>
      <c r="BI316" s="8"/>
      <c r="BJ316" s="8"/>
      <c r="BK316" s="8"/>
      <c r="BL316" s="8"/>
      <c r="BM316" s="8"/>
      <c r="BN316" s="8"/>
      <c r="BO316" s="8"/>
      <c r="BP316" s="8"/>
      <c r="BQ316" s="8"/>
      <c r="BR316" s="8"/>
      <c r="BS316" s="8"/>
      <c r="BT316" s="8"/>
      <c r="BU316" s="8"/>
      <c r="BV316" s="8"/>
      <c r="BW316" s="8"/>
      <c r="BX316" s="8"/>
      <c r="BY316" s="8"/>
      <c r="BZ316" s="8"/>
      <c r="CA316" s="8"/>
      <c r="CB316" s="8"/>
      <c r="CC316" s="8"/>
      <c r="CD316" s="8"/>
      <c r="CE316" s="8"/>
      <c r="CF316" s="8"/>
      <c r="CG316" s="8"/>
      <c r="CH316" s="8"/>
      <c r="CI316" s="8"/>
      <c r="CJ316" s="8"/>
      <c r="CK316" s="8"/>
      <c r="CL316" s="8"/>
      <c r="CM316" s="8"/>
      <c r="CN316" s="8"/>
      <c r="CO316" s="8"/>
      <c r="CP316" s="8"/>
      <c r="CQ316" s="8"/>
      <c r="CR316" s="8"/>
      <c r="CS316" s="8"/>
      <c r="CT316" s="8"/>
      <c r="CU316" s="8"/>
      <c r="CV316" s="8"/>
      <c r="CW316" s="8"/>
      <c r="CX316" s="8"/>
      <c r="CY316" s="8"/>
      <c r="CZ316" s="8"/>
    </row>
    <row r="317" spans="21:104" x14ac:dyDescent="0.25"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  <c r="AX317" s="8"/>
      <c r="AY317" s="8"/>
      <c r="AZ317" s="8"/>
      <c r="BA317" s="8"/>
      <c r="BB317" s="8"/>
      <c r="BC317" s="8"/>
      <c r="BD317" s="8"/>
      <c r="BE317" s="8"/>
      <c r="BF317" s="8"/>
      <c r="BG317" s="8"/>
      <c r="BH317" s="8"/>
      <c r="BI317" s="8"/>
      <c r="BJ317" s="8"/>
      <c r="BK317" s="8"/>
      <c r="BL317" s="8"/>
      <c r="BM317" s="8"/>
      <c r="BN317" s="8"/>
      <c r="BO317" s="8"/>
      <c r="BP317" s="8"/>
      <c r="BQ317" s="8"/>
      <c r="BR317" s="8"/>
      <c r="BS317" s="8"/>
      <c r="BT317" s="8"/>
      <c r="BU317" s="8"/>
      <c r="BV317" s="8"/>
      <c r="BW317" s="8"/>
      <c r="BX317" s="8"/>
      <c r="BY317" s="8"/>
      <c r="BZ317" s="8"/>
      <c r="CA317" s="8"/>
      <c r="CB317" s="8"/>
      <c r="CC317" s="8"/>
      <c r="CD317" s="8"/>
      <c r="CE317" s="8"/>
      <c r="CF317" s="8"/>
      <c r="CG317" s="8"/>
      <c r="CH317" s="8"/>
      <c r="CI317" s="8"/>
      <c r="CJ317" s="8"/>
      <c r="CK317" s="8"/>
      <c r="CL317" s="8"/>
      <c r="CM317" s="8"/>
      <c r="CN317" s="8"/>
      <c r="CO317" s="8"/>
      <c r="CP317" s="8"/>
      <c r="CQ317" s="8"/>
      <c r="CR317" s="8"/>
      <c r="CS317" s="8"/>
      <c r="CT317" s="8"/>
      <c r="CU317" s="8"/>
      <c r="CV317" s="8"/>
      <c r="CW317" s="8"/>
      <c r="CX317" s="8"/>
      <c r="CY317" s="8"/>
      <c r="CZ317" s="8"/>
    </row>
    <row r="318" spans="21:104" x14ac:dyDescent="0.25"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  <c r="AX318" s="8"/>
      <c r="AY318" s="8"/>
      <c r="AZ318" s="8"/>
      <c r="BA318" s="8"/>
      <c r="BB318" s="8"/>
      <c r="BC318" s="8"/>
      <c r="BD318" s="8"/>
      <c r="BE318" s="8"/>
      <c r="BF318" s="8"/>
      <c r="BG318" s="8"/>
      <c r="BH318" s="8"/>
      <c r="BI318" s="8"/>
      <c r="BJ318" s="8"/>
      <c r="BK318" s="8"/>
      <c r="BL318" s="8"/>
      <c r="BM318" s="8"/>
      <c r="BN318" s="8"/>
      <c r="BO318" s="8"/>
      <c r="BP318" s="8"/>
      <c r="BQ318" s="8"/>
      <c r="BR318" s="8"/>
      <c r="BS318" s="8"/>
      <c r="BT318" s="8"/>
      <c r="BU318" s="8"/>
      <c r="BV318" s="8"/>
      <c r="BW318" s="8"/>
      <c r="BX318" s="8"/>
      <c r="BY318" s="8"/>
      <c r="BZ318" s="8"/>
      <c r="CA318" s="8"/>
      <c r="CB318" s="8"/>
      <c r="CC318" s="8"/>
      <c r="CD318" s="8"/>
      <c r="CE318" s="8"/>
      <c r="CF318" s="8"/>
      <c r="CG318" s="8"/>
      <c r="CH318" s="8"/>
      <c r="CI318" s="8"/>
      <c r="CJ318" s="8"/>
      <c r="CK318" s="8"/>
      <c r="CL318" s="8"/>
      <c r="CM318" s="8"/>
      <c r="CN318" s="8"/>
      <c r="CO318" s="8"/>
      <c r="CP318" s="8"/>
      <c r="CQ318" s="8"/>
      <c r="CR318" s="8"/>
      <c r="CS318" s="8"/>
      <c r="CT318" s="8"/>
      <c r="CU318" s="8"/>
      <c r="CV318" s="8"/>
      <c r="CW318" s="8"/>
      <c r="CX318" s="8"/>
      <c r="CY318" s="8"/>
      <c r="CZ318" s="8"/>
    </row>
    <row r="319" spans="21:104" x14ac:dyDescent="0.25"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  <c r="AX319" s="8"/>
      <c r="AY319" s="8"/>
      <c r="AZ319" s="8"/>
      <c r="BA319" s="8"/>
      <c r="BB319" s="8"/>
      <c r="BC319" s="8"/>
      <c r="BD319" s="8"/>
      <c r="BE319" s="8"/>
      <c r="BF319" s="8"/>
      <c r="BG319" s="8"/>
      <c r="BH319" s="8"/>
      <c r="BI319" s="8"/>
      <c r="BJ319" s="8"/>
      <c r="BK319" s="8"/>
      <c r="BL319" s="8"/>
      <c r="BM319" s="8"/>
      <c r="BN319" s="8"/>
      <c r="BO319" s="8"/>
      <c r="BP319" s="8"/>
      <c r="BQ319" s="8"/>
      <c r="BR319" s="8"/>
      <c r="BS319" s="8"/>
      <c r="BT319" s="8"/>
      <c r="BU319" s="8"/>
      <c r="BV319" s="8"/>
      <c r="BW319" s="8"/>
      <c r="BX319" s="8"/>
      <c r="BY319" s="8"/>
      <c r="BZ319" s="8"/>
      <c r="CA319" s="8"/>
      <c r="CB319" s="8"/>
      <c r="CC319" s="8"/>
      <c r="CD319" s="8"/>
      <c r="CE319" s="8"/>
      <c r="CF319" s="8"/>
      <c r="CG319" s="8"/>
      <c r="CH319" s="8"/>
      <c r="CI319" s="8"/>
      <c r="CJ319" s="8"/>
      <c r="CK319" s="8"/>
      <c r="CL319" s="8"/>
      <c r="CM319" s="8"/>
      <c r="CN319" s="8"/>
      <c r="CO319" s="8"/>
      <c r="CP319" s="8"/>
      <c r="CQ319" s="8"/>
      <c r="CR319" s="8"/>
      <c r="CS319" s="8"/>
      <c r="CT319" s="8"/>
      <c r="CU319" s="8"/>
      <c r="CV319" s="8"/>
      <c r="CW319" s="8"/>
      <c r="CX319" s="8"/>
      <c r="CY319" s="8"/>
      <c r="CZ319" s="8"/>
    </row>
    <row r="320" spans="21:104" x14ac:dyDescent="0.25"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  <c r="AX320" s="8"/>
      <c r="AY320" s="8"/>
      <c r="AZ320" s="8"/>
      <c r="BA320" s="8"/>
      <c r="BB320" s="8"/>
      <c r="BC320" s="8"/>
      <c r="BD320" s="8"/>
      <c r="BE320" s="8"/>
      <c r="BF320" s="8"/>
      <c r="BG320" s="8"/>
      <c r="BH320" s="8"/>
      <c r="BI320" s="8"/>
      <c r="BJ320" s="8"/>
      <c r="BK320" s="8"/>
      <c r="BL320" s="8"/>
      <c r="BM320" s="8"/>
      <c r="BN320" s="8"/>
      <c r="BO320" s="8"/>
      <c r="BP320" s="8"/>
      <c r="BQ320" s="8"/>
      <c r="BR320" s="8"/>
      <c r="BS320" s="8"/>
      <c r="BT320" s="8"/>
      <c r="BU320" s="8"/>
      <c r="BV320" s="8"/>
      <c r="BW320" s="8"/>
      <c r="BX320" s="8"/>
      <c r="BY320" s="8"/>
      <c r="BZ320" s="8"/>
      <c r="CA320" s="8"/>
      <c r="CB320" s="8"/>
      <c r="CC320" s="8"/>
      <c r="CD320" s="8"/>
      <c r="CE320" s="8"/>
      <c r="CF320" s="8"/>
      <c r="CG320" s="8"/>
      <c r="CH320" s="8"/>
      <c r="CI320" s="8"/>
      <c r="CJ320" s="8"/>
      <c r="CK320" s="8"/>
      <c r="CL320" s="8"/>
      <c r="CM320" s="8"/>
      <c r="CN320" s="8"/>
      <c r="CO320" s="8"/>
      <c r="CP320" s="8"/>
      <c r="CQ320" s="8"/>
      <c r="CR320" s="8"/>
      <c r="CS320" s="8"/>
      <c r="CT320" s="8"/>
      <c r="CU320" s="8"/>
      <c r="CV320" s="8"/>
      <c r="CW320" s="8"/>
      <c r="CX320" s="8"/>
      <c r="CY320" s="8"/>
      <c r="CZ320" s="8"/>
    </row>
    <row r="321" spans="21:104" x14ac:dyDescent="0.25"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  <c r="AX321" s="8"/>
      <c r="AY321" s="8"/>
      <c r="AZ321" s="8"/>
      <c r="BA321" s="8"/>
      <c r="BB321" s="8"/>
      <c r="BC321" s="8"/>
      <c r="BD321" s="8"/>
      <c r="BE321" s="8"/>
      <c r="BF321" s="8"/>
      <c r="BG321" s="8"/>
      <c r="BH321" s="8"/>
      <c r="BI321" s="8"/>
      <c r="BJ321" s="8"/>
      <c r="BK321" s="8"/>
      <c r="BL321" s="8"/>
      <c r="BM321" s="8"/>
      <c r="BN321" s="8"/>
      <c r="BO321" s="8"/>
      <c r="BP321" s="8"/>
      <c r="BQ321" s="8"/>
      <c r="BR321" s="8"/>
      <c r="BS321" s="8"/>
      <c r="BT321" s="8"/>
      <c r="BU321" s="8"/>
      <c r="BV321" s="8"/>
      <c r="BW321" s="8"/>
      <c r="BX321" s="8"/>
      <c r="BY321" s="8"/>
      <c r="BZ321" s="8"/>
      <c r="CA321" s="8"/>
      <c r="CB321" s="8"/>
      <c r="CC321" s="8"/>
      <c r="CD321" s="8"/>
      <c r="CE321" s="8"/>
      <c r="CF321" s="8"/>
      <c r="CG321" s="8"/>
      <c r="CH321" s="8"/>
      <c r="CI321" s="8"/>
      <c r="CJ321" s="8"/>
      <c r="CK321" s="8"/>
      <c r="CL321" s="8"/>
      <c r="CM321" s="8"/>
      <c r="CN321" s="8"/>
      <c r="CO321" s="8"/>
      <c r="CP321" s="8"/>
      <c r="CQ321" s="8"/>
      <c r="CR321" s="8"/>
      <c r="CS321" s="8"/>
      <c r="CT321" s="8"/>
      <c r="CU321" s="8"/>
      <c r="CV321" s="8"/>
      <c r="CW321" s="8"/>
      <c r="CX321" s="8"/>
      <c r="CY321" s="8"/>
      <c r="CZ321" s="8"/>
    </row>
    <row r="322" spans="21:104" x14ac:dyDescent="0.25"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  <c r="AX322" s="8"/>
      <c r="AY322" s="8"/>
      <c r="AZ322" s="8"/>
      <c r="BA322" s="8"/>
      <c r="BB322" s="8"/>
      <c r="BC322" s="8"/>
      <c r="BD322" s="8"/>
      <c r="BE322" s="8"/>
      <c r="BF322" s="8"/>
      <c r="BG322" s="8"/>
      <c r="BH322" s="8"/>
      <c r="BI322" s="8"/>
      <c r="BJ322" s="8"/>
      <c r="BK322" s="8"/>
      <c r="BL322" s="8"/>
      <c r="BM322" s="8"/>
      <c r="BN322" s="8"/>
      <c r="BO322" s="8"/>
      <c r="BP322" s="8"/>
      <c r="BQ322" s="8"/>
      <c r="BR322" s="8"/>
      <c r="BS322" s="8"/>
      <c r="BT322" s="8"/>
      <c r="BU322" s="8"/>
      <c r="BV322" s="8"/>
      <c r="BW322" s="8"/>
      <c r="BX322" s="8"/>
      <c r="BY322" s="8"/>
      <c r="BZ322" s="8"/>
      <c r="CA322" s="8"/>
      <c r="CB322" s="8"/>
      <c r="CC322" s="8"/>
      <c r="CD322" s="8"/>
      <c r="CE322" s="8"/>
      <c r="CF322" s="8"/>
      <c r="CG322" s="8"/>
      <c r="CH322" s="8"/>
      <c r="CI322" s="8"/>
      <c r="CJ322" s="8"/>
      <c r="CK322" s="8"/>
      <c r="CL322" s="8"/>
      <c r="CM322" s="8"/>
      <c r="CN322" s="8"/>
      <c r="CO322" s="8"/>
      <c r="CP322" s="8"/>
      <c r="CQ322" s="8"/>
      <c r="CR322" s="8"/>
      <c r="CS322" s="8"/>
      <c r="CT322" s="8"/>
      <c r="CU322" s="8"/>
      <c r="CV322" s="8"/>
      <c r="CW322" s="8"/>
      <c r="CX322" s="8"/>
      <c r="CY322" s="8"/>
      <c r="CZ322" s="8"/>
    </row>
    <row r="323" spans="21:104" x14ac:dyDescent="0.25"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8"/>
      <c r="AX323" s="8"/>
      <c r="AY323" s="8"/>
      <c r="AZ323" s="8"/>
      <c r="BA323" s="8"/>
      <c r="BB323" s="8"/>
      <c r="BC323" s="8"/>
      <c r="BD323" s="8"/>
      <c r="BE323" s="8"/>
      <c r="BF323" s="8"/>
      <c r="BG323" s="8"/>
      <c r="BH323" s="8"/>
      <c r="BI323" s="8"/>
      <c r="BJ323" s="8"/>
      <c r="BK323" s="8"/>
      <c r="BL323" s="8"/>
      <c r="BM323" s="8"/>
      <c r="BN323" s="8"/>
      <c r="BO323" s="8"/>
      <c r="BP323" s="8"/>
      <c r="BQ323" s="8"/>
      <c r="BR323" s="8"/>
      <c r="BS323" s="8"/>
      <c r="BT323" s="8"/>
      <c r="BU323" s="8"/>
      <c r="BV323" s="8"/>
      <c r="BW323" s="8"/>
      <c r="BX323" s="8"/>
      <c r="BY323" s="8"/>
      <c r="BZ323" s="8"/>
      <c r="CA323" s="8"/>
      <c r="CB323" s="8"/>
      <c r="CC323" s="8"/>
      <c r="CD323" s="8"/>
      <c r="CE323" s="8"/>
      <c r="CF323" s="8"/>
      <c r="CG323" s="8"/>
      <c r="CH323" s="8"/>
      <c r="CI323" s="8"/>
      <c r="CJ323" s="8"/>
      <c r="CK323" s="8"/>
      <c r="CL323" s="8"/>
      <c r="CM323" s="8"/>
      <c r="CN323" s="8"/>
      <c r="CO323" s="8"/>
      <c r="CP323" s="8"/>
      <c r="CQ323" s="8"/>
      <c r="CR323" s="8"/>
      <c r="CS323" s="8"/>
      <c r="CT323" s="8"/>
      <c r="CU323" s="8"/>
      <c r="CV323" s="8"/>
      <c r="CW323" s="8"/>
      <c r="CX323" s="8"/>
      <c r="CY323" s="8"/>
      <c r="CZ323" s="8"/>
    </row>
    <row r="324" spans="21:104" x14ac:dyDescent="0.25"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8"/>
      <c r="AX324" s="8"/>
      <c r="AY324" s="8"/>
      <c r="AZ324" s="8"/>
      <c r="BA324" s="8"/>
      <c r="BB324" s="8"/>
      <c r="BC324" s="8"/>
      <c r="BD324" s="8"/>
      <c r="BE324" s="8"/>
      <c r="BF324" s="8"/>
      <c r="BG324" s="8"/>
      <c r="BH324" s="8"/>
      <c r="BI324" s="8"/>
      <c r="BJ324" s="8"/>
      <c r="BK324" s="8"/>
      <c r="BL324" s="8"/>
      <c r="BM324" s="8"/>
      <c r="BN324" s="8"/>
      <c r="BO324" s="8"/>
      <c r="BP324" s="8"/>
      <c r="BQ324" s="8"/>
      <c r="BR324" s="8"/>
      <c r="BS324" s="8"/>
      <c r="BT324" s="8"/>
      <c r="BU324" s="8"/>
      <c r="BV324" s="8"/>
      <c r="BW324" s="8"/>
      <c r="BX324" s="8"/>
      <c r="BY324" s="8"/>
      <c r="BZ324" s="8"/>
      <c r="CA324" s="8"/>
      <c r="CB324" s="8"/>
      <c r="CC324" s="8"/>
      <c r="CD324" s="8"/>
      <c r="CE324" s="8"/>
      <c r="CF324" s="8"/>
      <c r="CG324" s="8"/>
      <c r="CH324" s="8"/>
      <c r="CI324" s="8"/>
      <c r="CJ324" s="8"/>
      <c r="CK324" s="8"/>
      <c r="CL324" s="8"/>
      <c r="CM324" s="8"/>
      <c r="CN324" s="8"/>
      <c r="CO324" s="8"/>
      <c r="CP324" s="8"/>
      <c r="CQ324" s="8"/>
      <c r="CR324" s="8"/>
      <c r="CS324" s="8"/>
      <c r="CT324" s="8"/>
      <c r="CU324" s="8"/>
      <c r="CV324" s="8"/>
      <c r="CW324" s="8"/>
      <c r="CX324" s="8"/>
      <c r="CY324" s="8"/>
      <c r="CZ324" s="8"/>
    </row>
    <row r="325" spans="21:104" x14ac:dyDescent="0.25"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  <c r="AX325" s="8"/>
      <c r="AY325" s="8"/>
      <c r="AZ325" s="8"/>
      <c r="BA325" s="8"/>
      <c r="BB325" s="8"/>
      <c r="BC325" s="8"/>
      <c r="BD325" s="8"/>
      <c r="BE325" s="8"/>
      <c r="BF325" s="8"/>
      <c r="BG325" s="8"/>
      <c r="BH325" s="8"/>
      <c r="BI325" s="8"/>
      <c r="BJ325" s="8"/>
      <c r="BK325" s="8"/>
      <c r="BL325" s="8"/>
      <c r="BM325" s="8"/>
      <c r="BN325" s="8"/>
      <c r="BO325" s="8"/>
      <c r="BP325" s="8"/>
      <c r="BQ325" s="8"/>
      <c r="BR325" s="8"/>
      <c r="BS325" s="8"/>
      <c r="BT325" s="8"/>
      <c r="BU325" s="8"/>
      <c r="BV325" s="8"/>
      <c r="BW325" s="8"/>
      <c r="BX325" s="8"/>
      <c r="BY325" s="8"/>
      <c r="BZ325" s="8"/>
      <c r="CA325" s="8"/>
      <c r="CB325" s="8"/>
      <c r="CC325" s="8"/>
      <c r="CD325" s="8"/>
      <c r="CE325" s="8"/>
      <c r="CF325" s="8"/>
      <c r="CG325" s="8"/>
      <c r="CH325" s="8"/>
      <c r="CI325" s="8"/>
      <c r="CJ325" s="8"/>
      <c r="CK325" s="8"/>
      <c r="CL325" s="8"/>
      <c r="CM325" s="8"/>
      <c r="CN325" s="8"/>
      <c r="CO325" s="8"/>
      <c r="CP325" s="8"/>
      <c r="CQ325" s="8"/>
      <c r="CR325" s="8"/>
      <c r="CS325" s="8"/>
      <c r="CT325" s="8"/>
      <c r="CU325" s="8"/>
      <c r="CV325" s="8"/>
      <c r="CW325" s="8"/>
      <c r="CX325" s="8"/>
      <c r="CY325" s="8"/>
      <c r="CZ325" s="8"/>
    </row>
    <row r="326" spans="21:104" x14ac:dyDescent="0.25"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  <c r="AW326" s="8"/>
      <c r="AX326" s="8"/>
      <c r="AY326" s="8"/>
      <c r="AZ326" s="8"/>
      <c r="BA326" s="8"/>
      <c r="BB326" s="8"/>
      <c r="BC326" s="8"/>
      <c r="BD326" s="8"/>
      <c r="BE326" s="8"/>
      <c r="BF326" s="8"/>
      <c r="BG326" s="8"/>
      <c r="BH326" s="8"/>
      <c r="BI326" s="8"/>
      <c r="BJ326" s="8"/>
      <c r="BK326" s="8"/>
      <c r="BL326" s="8"/>
      <c r="BM326" s="8"/>
      <c r="BN326" s="8"/>
      <c r="BO326" s="8"/>
      <c r="BP326" s="8"/>
      <c r="BQ326" s="8"/>
      <c r="BR326" s="8"/>
      <c r="BS326" s="8"/>
      <c r="BT326" s="8"/>
      <c r="BU326" s="8"/>
      <c r="BV326" s="8"/>
      <c r="BW326" s="8"/>
      <c r="BX326" s="8"/>
      <c r="BY326" s="8"/>
      <c r="BZ326" s="8"/>
      <c r="CA326" s="8"/>
      <c r="CB326" s="8"/>
      <c r="CC326" s="8"/>
      <c r="CD326" s="8"/>
      <c r="CE326" s="8"/>
      <c r="CF326" s="8"/>
      <c r="CG326" s="8"/>
      <c r="CH326" s="8"/>
      <c r="CI326" s="8"/>
      <c r="CJ326" s="8"/>
      <c r="CK326" s="8"/>
      <c r="CL326" s="8"/>
      <c r="CM326" s="8"/>
      <c r="CN326" s="8"/>
      <c r="CO326" s="8"/>
      <c r="CP326" s="8"/>
      <c r="CQ326" s="8"/>
      <c r="CR326" s="8"/>
      <c r="CS326" s="8"/>
      <c r="CT326" s="8"/>
      <c r="CU326" s="8"/>
      <c r="CV326" s="8"/>
      <c r="CW326" s="8"/>
      <c r="CX326" s="8"/>
      <c r="CY326" s="8"/>
      <c r="CZ326" s="8"/>
    </row>
    <row r="327" spans="21:104" x14ac:dyDescent="0.25"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  <c r="AW327" s="8"/>
      <c r="AX327" s="8"/>
      <c r="AY327" s="8"/>
      <c r="AZ327" s="8"/>
      <c r="BA327" s="8"/>
      <c r="BB327" s="8"/>
      <c r="BC327" s="8"/>
      <c r="BD327" s="8"/>
      <c r="BE327" s="8"/>
      <c r="BF327" s="8"/>
      <c r="BG327" s="8"/>
      <c r="BH327" s="8"/>
      <c r="BI327" s="8"/>
      <c r="BJ327" s="8"/>
      <c r="BK327" s="8"/>
      <c r="BL327" s="8"/>
      <c r="BM327" s="8"/>
      <c r="BN327" s="8"/>
      <c r="BO327" s="8"/>
      <c r="BP327" s="8"/>
      <c r="BQ327" s="8"/>
      <c r="BR327" s="8"/>
      <c r="BS327" s="8"/>
      <c r="BT327" s="8"/>
      <c r="BU327" s="8"/>
      <c r="BV327" s="8"/>
      <c r="BW327" s="8"/>
      <c r="BX327" s="8"/>
      <c r="BY327" s="8"/>
      <c r="BZ327" s="8"/>
      <c r="CA327" s="8"/>
      <c r="CB327" s="8"/>
      <c r="CC327" s="8"/>
      <c r="CD327" s="8"/>
      <c r="CE327" s="8"/>
      <c r="CF327" s="8"/>
      <c r="CG327" s="8"/>
      <c r="CH327" s="8"/>
      <c r="CI327" s="8"/>
      <c r="CJ327" s="8"/>
      <c r="CK327" s="8"/>
      <c r="CL327" s="8"/>
      <c r="CM327" s="8"/>
      <c r="CN327" s="8"/>
      <c r="CO327" s="8"/>
      <c r="CP327" s="8"/>
      <c r="CQ327" s="8"/>
      <c r="CR327" s="8"/>
      <c r="CS327" s="8"/>
      <c r="CT327" s="8"/>
      <c r="CU327" s="8"/>
      <c r="CV327" s="8"/>
      <c r="CW327" s="8"/>
      <c r="CX327" s="8"/>
      <c r="CY327" s="8"/>
      <c r="CZ327" s="8"/>
    </row>
    <row r="328" spans="21:104" x14ac:dyDescent="0.25"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8"/>
      <c r="AX328" s="8"/>
      <c r="AY328" s="8"/>
      <c r="AZ328" s="8"/>
      <c r="BA328" s="8"/>
      <c r="BB328" s="8"/>
      <c r="BC328" s="8"/>
      <c r="BD328" s="8"/>
      <c r="BE328" s="8"/>
      <c r="BF328" s="8"/>
      <c r="BG328" s="8"/>
      <c r="BH328" s="8"/>
      <c r="BI328" s="8"/>
      <c r="BJ328" s="8"/>
      <c r="BK328" s="8"/>
      <c r="BL328" s="8"/>
      <c r="BM328" s="8"/>
      <c r="BN328" s="8"/>
      <c r="BO328" s="8"/>
      <c r="BP328" s="8"/>
      <c r="BQ328" s="8"/>
      <c r="BR328" s="8"/>
      <c r="BS328" s="8"/>
      <c r="BT328" s="8"/>
      <c r="BU328" s="8"/>
      <c r="BV328" s="8"/>
      <c r="BW328" s="8"/>
      <c r="BX328" s="8"/>
      <c r="BY328" s="8"/>
      <c r="BZ328" s="8"/>
      <c r="CA328" s="8"/>
      <c r="CB328" s="8"/>
      <c r="CC328" s="8"/>
      <c r="CD328" s="8"/>
      <c r="CE328" s="8"/>
      <c r="CF328" s="8"/>
      <c r="CG328" s="8"/>
      <c r="CH328" s="8"/>
      <c r="CI328" s="8"/>
      <c r="CJ328" s="8"/>
      <c r="CK328" s="8"/>
      <c r="CL328" s="8"/>
      <c r="CM328" s="8"/>
      <c r="CN328" s="8"/>
      <c r="CO328" s="8"/>
      <c r="CP328" s="8"/>
      <c r="CQ328" s="8"/>
      <c r="CR328" s="8"/>
      <c r="CS328" s="8"/>
      <c r="CT328" s="8"/>
      <c r="CU328" s="8"/>
      <c r="CV328" s="8"/>
      <c r="CW328" s="8"/>
      <c r="CX328" s="8"/>
      <c r="CY328" s="8"/>
      <c r="CZ328" s="8"/>
    </row>
    <row r="329" spans="21:104" x14ac:dyDescent="0.25"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  <c r="AW329" s="8"/>
      <c r="AX329" s="8"/>
      <c r="AY329" s="8"/>
      <c r="AZ329" s="8"/>
      <c r="BA329" s="8"/>
      <c r="BB329" s="8"/>
      <c r="BC329" s="8"/>
      <c r="BD329" s="8"/>
      <c r="BE329" s="8"/>
      <c r="BF329" s="8"/>
      <c r="BG329" s="8"/>
      <c r="BH329" s="8"/>
      <c r="BI329" s="8"/>
      <c r="BJ329" s="8"/>
      <c r="BK329" s="8"/>
      <c r="BL329" s="8"/>
      <c r="BM329" s="8"/>
      <c r="BN329" s="8"/>
      <c r="BO329" s="8"/>
      <c r="BP329" s="8"/>
      <c r="BQ329" s="8"/>
      <c r="BR329" s="8"/>
      <c r="BS329" s="8"/>
      <c r="BT329" s="8"/>
      <c r="BU329" s="8"/>
      <c r="BV329" s="8"/>
      <c r="BW329" s="8"/>
      <c r="BX329" s="8"/>
      <c r="BY329" s="8"/>
      <c r="BZ329" s="8"/>
      <c r="CA329" s="8"/>
      <c r="CB329" s="8"/>
      <c r="CC329" s="8"/>
      <c r="CD329" s="8"/>
      <c r="CE329" s="8"/>
      <c r="CF329" s="8"/>
      <c r="CG329" s="8"/>
      <c r="CH329" s="8"/>
      <c r="CI329" s="8"/>
      <c r="CJ329" s="8"/>
      <c r="CK329" s="8"/>
      <c r="CL329" s="8"/>
      <c r="CM329" s="8"/>
      <c r="CN329" s="8"/>
      <c r="CO329" s="8"/>
      <c r="CP329" s="8"/>
      <c r="CQ329" s="8"/>
      <c r="CR329" s="8"/>
      <c r="CS329" s="8"/>
      <c r="CT329" s="8"/>
      <c r="CU329" s="8"/>
      <c r="CV329" s="8"/>
      <c r="CW329" s="8"/>
      <c r="CX329" s="8"/>
      <c r="CY329" s="8"/>
      <c r="CZ329" s="8"/>
    </row>
    <row r="330" spans="21:104" x14ac:dyDescent="0.25"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  <c r="AW330" s="8"/>
      <c r="AX330" s="8"/>
      <c r="AY330" s="8"/>
      <c r="AZ330" s="8"/>
      <c r="BA330" s="8"/>
      <c r="BB330" s="8"/>
      <c r="BC330" s="8"/>
      <c r="BD330" s="8"/>
      <c r="BE330" s="8"/>
      <c r="BF330" s="8"/>
      <c r="BG330" s="8"/>
      <c r="BH330" s="8"/>
      <c r="BI330" s="8"/>
      <c r="BJ330" s="8"/>
      <c r="BK330" s="8"/>
      <c r="BL330" s="8"/>
      <c r="BM330" s="8"/>
      <c r="BN330" s="8"/>
      <c r="BO330" s="8"/>
      <c r="BP330" s="8"/>
      <c r="BQ330" s="8"/>
      <c r="BR330" s="8"/>
      <c r="BS330" s="8"/>
      <c r="BT330" s="8"/>
      <c r="BU330" s="8"/>
      <c r="BV330" s="8"/>
      <c r="BW330" s="8"/>
      <c r="BX330" s="8"/>
      <c r="BY330" s="8"/>
      <c r="BZ330" s="8"/>
      <c r="CA330" s="8"/>
      <c r="CB330" s="8"/>
      <c r="CC330" s="8"/>
      <c r="CD330" s="8"/>
      <c r="CE330" s="8"/>
      <c r="CF330" s="8"/>
      <c r="CG330" s="8"/>
      <c r="CH330" s="8"/>
      <c r="CI330" s="8"/>
      <c r="CJ330" s="8"/>
      <c r="CK330" s="8"/>
      <c r="CL330" s="8"/>
      <c r="CM330" s="8"/>
      <c r="CN330" s="8"/>
      <c r="CO330" s="8"/>
      <c r="CP330" s="8"/>
      <c r="CQ330" s="8"/>
      <c r="CR330" s="8"/>
      <c r="CS330" s="8"/>
      <c r="CT330" s="8"/>
      <c r="CU330" s="8"/>
      <c r="CV330" s="8"/>
      <c r="CW330" s="8"/>
      <c r="CX330" s="8"/>
      <c r="CY330" s="8"/>
      <c r="CZ330" s="8"/>
    </row>
    <row r="331" spans="21:104" x14ac:dyDescent="0.25"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  <c r="AX331" s="8"/>
      <c r="AY331" s="8"/>
      <c r="AZ331" s="8"/>
      <c r="BA331" s="8"/>
      <c r="BB331" s="8"/>
      <c r="BC331" s="8"/>
      <c r="BD331" s="8"/>
      <c r="BE331" s="8"/>
      <c r="BF331" s="8"/>
      <c r="BG331" s="8"/>
      <c r="BH331" s="8"/>
      <c r="BI331" s="8"/>
      <c r="BJ331" s="8"/>
      <c r="BK331" s="8"/>
      <c r="BL331" s="8"/>
      <c r="BM331" s="8"/>
      <c r="BN331" s="8"/>
      <c r="BO331" s="8"/>
      <c r="BP331" s="8"/>
      <c r="BQ331" s="8"/>
      <c r="BR331" s="8"/>
      <c r="BS331" s="8"/>
      <c r="BT331" s="8"/>
      <c r="BU331" s="8"/>
      <c r="BV331" s="8"/>
      <c r="BW331" s="8"/>
      <c r="BX331" s="8"/>
      <c r="BY331" s="8"/>
      <c r="BZ331" s="8"/>
      <c r="CA331" s="8"/>
      <c r="CB331" s="8"/>
      <c r="CC331" s="8"/>
      <c r="CD331" s="8"/>
      <c r="CE331" s="8"/>
      <c r="CF331" s="8"/>
      <c r="CG331" s="8"/>
      <c r="CH331" s="8"/>
      <c r="CI331" s="8"/>
      <c r="CJ331" s="8"/>
      <c r="CK331" s="8"/>
      <c r="CL331" s="8"/>
      <c r="CM331" s="8"/>
      <c r="CN331" s="8"/>
      <c r="CO331" s="8"/>
      <c r="CP331" s="8"/>
      <c r="CQ331" s="8"/>
      <c r="CR331" s="8"/>
      <c r="CS331" s="8"/>
      <c r="CT331" s="8"/>
      <c r="CU331" s="8"/>
      <c r="CV331" s="8"/>
      <c r="CW331" s="8"/>
      <c r="CX331" s="8"/>
      <c r="CY331" s="8"/>
      <c r="CZ331" s="8"/>
    </row>
    <row r="332" spans="21:104" x14ac:dyDescent="0.25"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  <c r="AW332" s="8"/>
      <c r="AX332" s="8"/>
      <c r="AY332" s="8"/>
      <c r="AZ332" s="8"/>
      <c r="BA332" s="8"/>
      <c r="BB332" s="8"/>
      <c r="BC332" s="8"/>
      <c r="BD332" s="8"/>
      <c r="BE332" s="8"/>
      <c r="BF332" s="8"/>
      <c r="BG332" s="8"/>
      <c r="BH332" s="8"/>
      <c r="BI332" s="8"/>
      <c r="BJ332" s="8"/>
      <c r="BK332" s="8"/>
      <c r="BL332" s="8"/>
      <c r="BM332" s="8"/>
      <c r="BN332" s="8"/>
      <c r="BO332" s="8"/>
      <c r="BP332" s="8"/>
      <c r="BQ332" s="8"/>
      <c r="BR332" s="8"/>
      <c r="BS332" s="8"/>
      <c r="BT332" s="8"/>
      <c r="BU332" s="8"/>
      <c r="BV332" s="8"/>
      <c r="BW332" s="8"/>
      <c r="BX332" s="8"/>
      <c r="BY332" s="8"/>
      <c r="BZ332" s="8"/>
      <c r="CA332" s="8"/>
      <c r="CB332" s="8"/>
      <c r="CC332" s="8"/>
      <c r="CD332" s="8"/>
      <c r="CE332" s="8"/>
      <c r="CF332" s="8"/>
      <c r="CG332" s="8"/>
      <c r="CH332" s="8"/>
      <c r="CI332" s="8"/>
      <c r="CJ332" s="8"/>
      <c r="CK332" s="8"/>
      <c r="CL332" s="8"/>
      <c r="CM332" s="8"/>
      <c r="CN332" s="8"/>
      <c r="CO332" s="8"/>
      <c r="CP332" s="8"/>
      <c r="CQ332" s="8"/>
      <c r="CR332" s="8"/>
      <c r="CS332" s="8"/>
      <c r="CT332" s="8"/>
      <c r="CU332" s="8"/>
      <c r="CV332" s="8"/>
      <c r="CW332" s="8"/>
      <c r="CX332" s="8"/>
      <c r="CY332" s="8"/>
      <c r="CZ332" s="8"/>
    </row>
    <row r="333" spans="21:104" x14ac:dyDescent="0.25"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  <c r="AW333" s="8"/>
      <c r="AX333" s="8"/>
      <c r="AY333" s="8"/>
      <c r="AZ333" s="8"/>
      <c r="BA333" s="8"/>
      <c r="BB333" s="8"/>
      <c r="BC333" s="8"/>
      <c r="BD333" s="8"/>
      <c r="BE333" s="8"/>
      <c r="BF333" s="8"/>
      <c r="BG333" s="8"/>
      <c r="BH333" s="8"/>
      <c r="BI333" s="8"/>
      <c r="BJ333" s="8"/>
      <c r="BK333" s="8"/>
      <c r="BL333" s="8"/>
      <c r="BM333" s="8"/>
      <c r="BN333" s="8"/>
      <c r="BO333" s="8"/>
      <c r="BP333" s="8"/>
      <c r="BQ333" s="8"/>
      <c r="BR333" s="8"/>
      <c r="BS333" s="8"/>
      <c r="BT333" s="8"/>
      <c r="BU333" s="8"/>
      <c r="BV333" s="8"/>
      <c r="BW333" s="8"/>
      <c r="BX333" s="8"/>
      <c r="BY333" s="8"/>
      <c r="BZ333" s="8"/>
      <c r="CA333" s="8"/>
      <c r="CB333" s="8"/>
      <c r="CC333" s="8"/>
      <c r="CD333" s="8"/>
      <c r="CE333" s="8"/>
      <c r="CF333" s="8"/>
      <c r="CG333" s="8"/>
      <c r="CH333" s="8"/>
      <c r="CI333" s="8"/>
      <c r="CJ333" s="8"/>
      <c r="CK333" s="8"/>
      <c r="CL333" s="8"/>
      <c r="CM333" s="8"/>
      <c r="CN333" s="8"/>
      <c r="CO333" s="8"/>
      <c r="CP333" s="8"/>
      <c r="CQ333" s="8"/>
      <c r="CR333" s="8"/>
      <c r="CS333" s="8"/>
      <c r="CT333" s="8"/>
      <c r="CU333" s="8"/>
      <c r="CV333" s="8"/>
      <c r="CW333" s="8"/>
      <c r="CX333" s="8"/>
      <c r="CY333" s="8"/>
      <c r="CZ333" s="8"/>
    </row>
    <row r="334" spans="21:104" x14ac:dyDescent="0.25"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8"/>
      <c r="AX334" s="8"/>
      <c r="AY334" s="8"/>
      <c r="AZ334" s="8"/>
      <c r="BA334" s="8"/>
      <c r="BB334" s="8"/>
      <c r="BC334" s="8"/>
      <c r="BD334" s="8"/>
      <c r="BE334" s="8"/>
      <c r="BF334" s="8"/>
      <c r="BG334" s="8"/>
      <c r="BH334" s="8"/>
      <c r="BI334" s="8"/>
      <c r="BJ334" s="8"/>
      <c r="BK334" s="8"/>
      <c r="BL334" s="8"/>
      <c r="BM334" s="8"/>
      <c r="BN334" s="8"/>
      <c r="BO334" s="8"/>
      <c r="BP334" s="8"/>
      <c r="BQ334" s="8"/>
      <c r="BR334" s="8"/>
      <c r="BS334" s="8"/>
      <c r="BT334" s="8"/>
      <c r="BU334" s="8"/>
      <c r="BV334" s="8"/>
      <c r="BW334" s="8"/>
      <c r="BX334" s="8"/>
      <c r="BY334" s="8"/>
      <c r="BZ334" s="8"/>
      <c r="CA334" s="8"/>
      <c r="CB334" s="8"/>
      <c r="CC334" s="8"/>
      <c r="CD334" s="8"/>
      <c r="CE334" s="8"/>
      <c r="CF334" s="8"/>
      <c r="CG334" s="8"/>
      <c r="CH334" s="8"/>
      <c r="CI334" s="8"/>
      <c r="CJ334" s="8"/>
      <c r="CK334" s="8"/>
      <c r="CL334" s="8"/>
      <c r="CM334" s="8"/>
      <c r="CN334" s="8"/>
      <c r="CO334" s="8"/>
      <c r="CP334" s="8"/>
      <c r="CQ334" s="8"/>
      <c r="CR334" s="8"/>
      <c r="CS334" s="8"/>
      <c r="CT334" s="8"/>
      <c r="CU334" s="8"/>
      <c r="CV334" s="8"/>
      <c r="CW334" s="8"/>
      <c r="CX334" s="8"/>
      <c r="CY334" s="8"/>
      <c r="CZ334" s="8"/>
    </row>
    <row r="335" spans="21:104" x14ac:dyDescent="0.25"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  <c r="AW335" s="8"/>
      <c r="AX335" s="8"/>
      <c r="AY335" s="8"/>
      <c r="AZ335" s="8"/>
      <c r="BA335" s="8"/>
      <c r="BB335" s="8"/>
      <c r="BC335" s="8"/>
      <c r="BD335" s="8"/>
      <c r="BE335" s="8"/>
      <c r="BF335" s="8"/>
      <c r="BG335" s="8"/>
      <c r="BH335" s="8"/>
      <c r="BI335" s="8"/>
      <c r="BJ335" s="8"/>
      <c r="BK335" s="8"/>
      <c r="BL335" s="8"/>
      <c r="BM335" s="8"/>
      <c r="BN335" s="8"/>
      <c r="BO335" s="8"/>
      <c r="BP335" s="8"/>
      <c r="BQ335" s="8"/>
      <c r="BR335" s="8"/>
      <c r="BS335" s="8"/>
      <c r="BT335" s="8"/>
      <c r="BU335" s="8"/>
      <c r="BV335" s="8"/>
      <c r="BW335" s="8"/>
      <c r="BX335" s="8"/>
      <c r="BY335" s="8"/>
      <c r="BZ335" s="8"/>
      <c r="CA335" s="8"/>
      <c r="CB335" s="8"/>
      <c r="CC335" s="8"/>
      <c r="CD335" s="8"/>
      <c r="CE335" s="8"/>
      <c r="CF335" s="8"/>
      <c r="CG335" s="8"/>
      <c r="CH335" s="8"/>
      <c r="CI335" s="8"/>
      <c r="CJ335" s="8"/>
      <c r="CK335" s="8"/>
      <c r="CL335" s="8"/>
      <c r="CM335" s="8"/>
      <c r="CN335" s="8"/>
      <c r="CO335" s="8"/>
      <c r="CP335" s="8"/>
      <c r="CQ335" s="8"/>
      <c r="CR335" s="8"/>
      <c r="CS335" s="8"/>
      <c r="CT335" s="8"/>
      <c r="CU335" s="8"/>
      <c r="CV335" s="8"/>
      <c r="CW335" s="8"/>
      <c r="CX335" s="8"/>
      <c r="CY335" s="8"/>
      <c r="CZ335" s="8"/>
    </row>
    <row r="336" spans="21:104" x14ac:dyDescent="0.25"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8"/>
      <c r="AX336" s="8"/>
      <c r="AY336" s="8"/>
      <c r="AZ336" s="8"/>
      <c r="BA336" s="8"/>
      <c r="BB336" s="8"/>
      <c r="BC336" s="8"/>
      <c r="BD336" s="8"/>
      <c r="BE336" s="8"/>
      <c r="BF336" s="8"/>
      <c r="BG336" s="8"/>
      <c r="BH336" s="8"/>
      <c r="BI336" s="8"/>
      <c r="BJ336" s="8"/>
      <c r="BK336" s="8"/>
      <c r="BL336" s="8"/>
      <c r="BM336" s="8"/>
      <c r="BN336" s="8"/>
      <c r="BO336" s="8"/>
      <c r="BP336" s="8"/>
      <c r="BQ336" s="8"/>
      <c r="BR336" s="8"/>
      <c r="BS336" s="8"/>
      <c r="BT336" s="8"/>
      <c r="BU336" s="8"/>
      <c r="BV336" s="8"/>
      <c r="BW336" s="8"/>
      <c r="BX336" s="8"/>
      <c r="BY336" s="8"/>
      <c r="BZ336" s="8"/>
      <c r="CA336" s="8"/>
      <c r="CB336" s="8"/>
      <c r="CC336" s="8"/>
      <c r="CD336" s="8"/>
      <c r="CE336" s="8"/>
      <c r="CF336" s="8"/>
      <c r="CG336" s="8"/>
      <c r="CH336" s="8"/>
      <c r="CI336" s="8"/>
      <c r="CJ336" s="8"/>
      <c r="CK336" s="8"/>
      <c r="CL336" s="8"/>
      <c r="CM336" s="8"/>
      <c r="CN336" s="8"/>
      <c r="CO336" s="8"/>
      <c r="CP336" s="8"/>
      <c r="CQ336" s="8"/>
      <c r="CR336" s="8"/>
      <c r="CS336" s="8"/>
      <c r="CT336" s="8"/>
      <c r="CU336" s="8"/>
      <c r="CV336" s="8"/>
      <c r="CW336" s="8"/>
      <c r="CX336" s="8"/>
      <c r="CY336" s="8"/>
      <c r="CZ336" s="8"/>
    </row>
    <row r="337" spans="21:104" x14ac:dyDescent="0.25"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  <c r="AX337" s="8"/>
      <c r="AY337" s="8"/>
      <c r="AZ337" s="8"/>
      <c r="BA337" s="8"/>
      <c r="BB337" s="8"/>
      <c r="BC337" s="8"/>
      <c r="BD337" s="8"/>
      <c r="BE337" s="8"/>
      <c r="BF337" s="8"/>
      <c r="BG337" s="8"/>
      <c r="BH337" s="8"/>
      <c r="BI337" s="8"/>
      <c r="BJ337" s="8"/>
      <c r="BK337" s="8"/>
      <c r="BL337" s="8"/>
      <c r="BM337" s="8"/>
      <c r="BN337" s="8"/>
      <c r="BO337" s="8"/>
      <c r="BP337" s="8"/>
      <c r="BQ337" s="8"/>
      <c r="BR337" s="8"/>
      <c r="BS337" s="8"/>
      <c r="BT337" s="8"/>
      <c r="BU337" s="8"/>
      <c r="BV337" s="8"/>
      <c r="BW337" s="8"/>
      <c r="BX337" s="8"/>
      <c r="BY337" s="8"/>
      <c r="BZ337" s="8"/>
      <c r="CA337" s="8"/>
      <c r="CB337" s="8"/>
      <c r="CC337" s="8"/>
      <c r="CD337" s="8"/>
      <c r="CE337" s="8"/>
      <c r="CF337" s="8"/>
      <c r="CG337" s="8"/>
      <c r="CH337" s="8"/>
      <c r="CI337" s="8"/>
      <c r="CJ337" s="8"/>
      <c r="CK337" s="8"/>
      <c r="CL337" s="8"/>
      <c r="CM337" s="8"/>
      <c r="CN337" s="8"/>
      <c r="CO337" s="8"/>
      <c r="CP337" s="8"/>
      <c r="CQ337" s="8"/>
      <c r="CR337" s="8"/>
      <c r="CS337" s="8"/>
      <c r="CT337" s="8"/>
      <c r="CU337" s="8"/>
      <c r="CV337" s="8"/>
      <c r="CW337" s="8"/>
      <c r="CX337" s="8"/>
      <c r="CY337" s="8"/>
      <c r="CZ337" s="8"/>
    </row>
    <row r="338" spans="21:104" x14ac:dyDescent="0.25"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  <c r="AX338" s="8"/>
      <c r="AY338" s="8"/>
      <c r="AZ338" s="8"/>
      <c r="BA338" s="8"/>
      <c r="BB338" s="8"/>
      <c r="BC338" s="8"/>
      <c r="BD338" s="8"/>
      <c r="BE338" s="8"/>
      <c r="BF338" s="8"/>
      <c r="BG338" s="8"/>
      <c r="BH338" s="8"/>
      <c r="BI338" s="8"/>
      <c r="BJ338" s="8"/>
      <c r="BK338" s="8"/>
      <c r="BL338" s="8"/>
      <c r="BM338" s="8"/>
      <c r="BN338" s="8"/>
      <c r="BO338" s="8"/>
      <c r="BP338" s="8"/>
      <c r="BQ338" s="8"/>
      <c r="BR338" s="8"/>
      <c r="BS338" s="8"/>
      <c r="BT338" s="8"/>
      <c r="BU338" s="8"/>
      <c r="BV338" s="8"/>
      <c r="BW338" s="8"/>
      <c r="BX338" s="8"/>
      <c r="BY338" s="8"/>
      <c r="BZ338" s="8"/>
      <c r="CA338" s="8"/>
      <c r="CB338" s="8"/>
      <c r="CC338" s="8"/>
      <c r="CD338" s="8"/>
      <c r="CE338" s="8"/>
      <c r="CF338" s="8"/>
      <c r="CG338" s="8"/>
      <c r="CH338" s="8"/>
      <c r="CI338" s="8"/>
      <c r="CJ338" s="8"/>
      <c r="CK338" s="8"/>
      <c r="CL338" s="8"/>
      <c r="CM338" s="8"/>
      <c r="CN338" s="8"/>
      <c r="CO338" s="8"/>
      <c r="CP338" s="8"/>
      <c r="CQ338" s="8"/>
      <c r="CR338" s="8"/>
      <c r="CS338" s="8"/>
      <c r="CT338" s="8"/>
      <c r="CU338" s="8"/>
      <c r="CV338" s="8"/>
      <c r="CW338" s="8"/>
      <c r="CX338" s="8"/>
      <c r="CY338" s="8"/>
      <c r="CZ338" s="8"/>
    </row>
    <row r="339" spans="21:104" x14ac:dyDescent="0.25"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  <c r="AW339" s="8"/>
      <c r="AX339" s="8"/>
      <c r="AY339" s="8"/>
      <c r="AZ339" s="8"/>
      <c r="BA339" s="8"/>
      <c r="BB339" s="8"/>
      <c r="BC339" s="8"/>
      <c r="BD339" s="8"/>
      <c r="BE339" s="8"/>
      <c r="BF339" s="8"/>
      <c r="BG339" s="8"/>
      <c r="BH339" s="8"/>
      <c r="BI339" s="8"/>
      <c r="BJ339" s="8"/>
      <c r="BK339" s="8"/>
      <c r="BL339" s="8"/>
      <c r="BM339" s="8"/>
      <c r="BN339" s="8"/>
      <c r="BO339" s="8"/>
      <c r="BP339" s="8"/>
      <c r="BQ339" s="8"/>
      <c r="BR339" s="8"/>
      <c r="BS339" s="8"/>
      <c r="BT339" s="8"/>
      <c r="BU339" s="8"/>
      <c r="BV339" s="8"/>
      <c r="BW339" s="8"/>
      <c r="BX339" s="8"/>
      <c r="BY339" s="8"/>
      <c r="BZ339" s="8"/>
      <c r="CA339" s="8"/>
      <c r="CB339" s="8"/>
      <c r="CC339" s="8"/>
      <c r="CD339" s="8"/>
      <c r="CE339" s="8"/>
      <c r="CF339" s="8"/>
      <c r="CG339" s="8"/>
      <c r="CH339" s="8"/>
      <c r="CI339" s="8"/>
      <c r="CJ339" s="8"/>
      <c r="CK339" s="8"/>
      <c r="CL339" s="8"/>
      <c r="CM339" s="8"/>
      <c r="CN339" s="8"/>
      <c r="CO339" s="8"/>
      <c r="CP339" s="8"/>
      <c r="CQ339" s="8"/>
      <c r="CR339" s="8"/>
      <c r="CS339" s="8"/>
      <c r="CT339" s="8"/>
      <c r="CU339" s="8"/>
      <c r="CV339" s="8"/>
      <c r="CW339" s="8"/>
      <c r="CX339" s="8"/>
      <c r="CY339" s="8"/>
      <c r="CZ339" s="8"/>
    </row>
    <row r="340" spans="21:104" x14ac:dyDescent="0.25"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8"/>
      <c r="AX340" s="8"/>
      <c r="AY340" s="8"/>
      <c r="AZ340" s="8"/>
      <c r="BA340" s="8"/>
      <c r="BB340" s="8"/>
      <c r="BC340" s="8"/>
      <c r="BD340" s="8"/>
      <c r="BE340" s="8"/>
      <c r="BF340" s="8"/>
      <c r="BG340" s="8"/>
      <c r="BH340" s="8"/>
      <c r="BI340" s="8"/>
      <c r="BJ340" s="8"/>
      <c r="BK340" s="8"/>
      <c r="BL340" s="8"/>
      <c r="BM340" s="8"/>
      <c r="BN340" s="8"/>
      <c r="BO340" s="8"/>
      <c r="BP340" s="8"/>
      <c r="BQ340" s="8"/>
      <c r="BR340" s="8"/>
      <c r="BS340" s="8"/>
      <c r="BT340" s="8"/>
      <c r="BU340" s="8"/>
      <c r="BV340" s="8"/>
      <c r="BW340" s="8"/>
      <c r="BX340" s="8"/>
      <c r="BY340" s="8"/>
      <c r="BZ340" s="8"/>
      <c r="CA340" s="8"/>
      <c r="CB340" s="8"/>
      <c r="CC340" s="8"/>
      <c r="CD340" s="8"/>
      <c r="CE340" s="8"/>
      <c r="CF340" s="8"/>
      <c r="CG340" s="8"/>
      <c r="CH340" s="8"/>
      <c r="CI340" s="8"/>
      <c r="CJ340" s="8"/>
      <c r="CK340" s="8"/>
      <c r="CL340" s="8"/>
      <c r="CM340" s="8"/>
      <c r="CN340" s="8"/>
      <c r="CO340" s="8"/>
      <c r="CP340" s="8"/>
      <c r="CQ340" s="8"/>
      <c r="CR340" s="8"/>
      <c r="CS340" s="8"/>
      <c r="CT340" s="8"/>
      <c r="CU340" s="8"/>
      <c r="CV340" s="8"/>
      <c r="CW340" s="8"/>
      <c r="CX340" s="8"/>
      <c r="CY340" s="8"/>
      <c r="CZ340" s="8"/>
    </row>
    <row r="341" spans="21:104" x14ac:dyDescent="0.25"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  <c r="AX341" s="8"/>
      <c r="AY341" s="8"/>
      <c r="AZ341" s="8"/>
      <c r="BA341" s="8"/>
      <c r="BB341" s="8"/>
      <c r="BC341" s="8"/>
      <c r="BD341" s="8"/>
      <c r="BE341" s="8"/>
      <c r="BF341" s="8"/>
      <c r="BG341" s="8"/>
      <c r="BH341" s="8"/>
      <c r="BI341" s="8"/>
      <c r="BJ341" s="8"/>
      <c r="BK341" s="8"/>
      <c r="BL341" s="8"/>
      <c r="BM341" s="8"/>
      <c r="BN341" s="8"/>
      <c r="BO341" s="8"/>
      <c r="BP341" s="8"/>
      <c r="BQ341" s="8"/>
      <c r="BR341" s="8"/>
      <c r="BS341" s="8"/>
      <c r="BT341" s="8"/>
      <c r="BU341" s="8"/>
      <c r="BV341" s="8"/>
      <c r="BW341" s="8"/>
      <c r="BX341" s="8"/>
      <c r="BY341" s="8"/>
      <c r="BZ341" s="8"/>
      <c r="CA341" s="8"/>
      <c r="CB341" s="8"/>
      <c r="CC341" s="8"/>
      <c r="CD341" s="8"/>
      <c r="CE341" s="8"/>
      <c r="CF341" s="8"/>
      <c r="CG341" s="8"/>
      <c r="CH341" s="8"/>
      <c r="CI341" s="8"/>
      <c r="CJ341" s="8"/>
      <c r="CK341" s="8"/>
      <c r="CL341" s="8"/>
      <c r="CM341" s="8"/>
      <c r="CN341" s="8"/>
      <c r="CO341" s="8"/>
      <c r="CP341" s="8"/>
      <c r="CQ341" s="8"/>
      <c r="CR341" s="8"/>
      <c r="CS341" s="8"/>
      <c r="CT341" s="8"/>
      <c r="CU341" s="8"/>
      <c r="CV341" s="8"/>
      <c r="CW341" s="8"/>
      <c r="CX341" s="8"/>
      <c r="CY341" s="8"/>
      <c r="CZ341" s="8"/>
    </row>
    <row r="342" spans="21:104" x14ac:dyDescent="0.25"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  <c r="AW342" s="8"/>
      <c r="AX342" s="8"/>
      <c r="AY342" s="8"/>
      <c r="AZ342" s="8"/>
      <c r="BA342" s="8"/>
      <c r="BB342" s="8"/>
      <c r="BC342" s="8"/>
      <c r="BD342" s="8"/>
      <c r="BE342" s="8"/>
      <c r="BF342" s="8"/>
      <c r="BG342" s="8"/>
      <c r="BH342" s="8"/>
      <c r="BI342" s="8"/>
      <c r="BJ342" s="8"/>
      <c r="BK342" s="8"/>
      <c r="BL342" s="8"/>
      <c r="BM342" s="8"/>
      <c r="BN342" s="8"/>
      <c r="BO342" s="8"/>
      <c r="BP342" s="8"/>
      <c r="BQ342" s="8"/>
      <c r="BR342" s="8"/>
      <c r="BS342" s="8"/>
      <c r="BT342" s="8"/>
      <c r="BU342" s="8"/>
      <c r="BV342" s="8"/>
      <c r="BW342" s="8"/>
      <c r="BX342" s="8"/>
      <c r="BY342" s="8"/>
      <c r="BZ342" s="8"/>
      <c r="CA342" s="8"/>
      <c r="CB342" s="8"/>
      <c r="CC342" s="8"/>
      <c r="CD342" s="8"/>
      <c r="CE342" s="8"/>
      <c r="CF342" s="8"/>
      <c r="CG342" s="8"/>
      <c r="CH342" s="8"/>
      <c r="CI342" s="8"/>
      <c r="CJ342" s="8"/>
      <c r="CK342" s="8"/>
      <c r="CL342" s="8"/>
      <c r="CM342" s="8"/>
      <c r="CN342" s="8"/>
      <c r="CO342" s="8"/>
      <c r="CP342" s="8"/>
      <c r="CQ342" s="8"/>
      <c r="CR342" s="8"/>
      <c r="CS342" s="8"/>
      <c r="CT342" s="8"/>
      <c r="CU342" s="8"/>
      <c r="CV342" s="8"/>
      <c r="CW342" s="8"/>
      <c r="CX342" s="8"/>
      <c r="CY342" s="8"/>
      <c r="CZ342" s="8"/>
    </row>
    <row r="343" spans="21:104" x14ac:dyDescent="0.25"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8"/>
      <c r="AX343" s="8"/>
      <c r="AY343" s="8"/>
      <c r="AZ343" s="8"/>
      <c r="BA343" s="8"/>
      <c r="BB343" s="8"/>
      <c r="BC343" s="8"/>
      <c r="BD343" s="8"/>
      <c r="BE343" s="8"/>
      <c r="BF343" s="8"/>
      <c r="BG343" s="8"/>
      <c r="BH343" s="8"/>
      <c r="BI343" s="8"/>
      <c r="BJ343" s="8"/>
      <c r="BK343" s="8"/>
      <c r="BL343" s="8"/>
      <c r="BM343" s="8"/>
      <c r="BN343" s="8"/>
      <c r="BO343" s="8"/>
      <c r="BP343" s="8"/>
      <c r="BQ343" s="8"/>
      <c r="BR343" s="8"/>
      <c r="BS343" s="8"/>
      <c r="BT343" s="8"/>
      <c r="BU343" s="8"/>
      <c r="BV343" s="8"/>
      <c r="BW343" s="8"/>
      <c r="BX343" s="8"/>
      <c r="BY343" s="8"/>
      <c r="BZ343" s="8"/>
      <c r="CA343" s="8"/>
      <c r="CB343" s="8"/>
      <c r="CC343" s="8"/>
      <c r="CD343" s="8"/>
      <c r="CE343" s="8"/>
      <c r="CF343" s="8"/>
      <c r="CG343" s="8"/>
      <c r="CH343" s="8"/>
      <c r="CI343" s="8"/>
      <c r="CJ343" s="8"/>
      <c r="CK343" s="8"/>
      <c r="CL343" s="8"/>
      <c r="CM343" s="8"/>
      <c r="CN343" s="8"/>
      <c r="CO343" s="8"/>
      <c r="CP343" s="8"/>
      <c r="CQ343" s="8"/>
      <c r="CR343" s="8"/>
      <c r="CS343" s="8"/>
      <c r="CT343" s="8"/>
      <c r="CU343" s="8"/>
      <c r="CV343" s="8"/>
      <c r="CW343" s="8"/>
      <c r="CX343" s="8"/>
      <c r="CY343" s="8"/>
      <c r="CZ343" s="8"/>
    </row>
    <row r="344" spans="21:104" x14ac:dyDescent="0.25"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  <c r="AW344" s="8"/>
      <c r="AX344" s="8"/>
      <c r="AY344" s="8"/>
      <c r="AZ344" s="8"/>
      <c r="BA344" s="8"/>
      <c r="BB344" s="8"/>
      <c r="BC344" s="8"/>
      <c r="BD344" s="8"/>
      <c r="BE344" s="8"/>
      <c r="BF344" s="8"/>
      <c r="BG344" s="8"/>
      <c r="BH344" s="8"/>
      <c r="BI344" s="8"/>
      <c r="BJ344" s="8"/>
      <c r="BK344" s="8"/>
      <c r="BL344" s="8"/>
      <c r="BM344" s="8"/>
      <c r="BN344" s="8"/>
      <c r="BO344" s="8"/>
      <c r="BP344" s="8"/>
      <c r="BQ344" s="8"/>
      <c r="BR344" s="8"/>
      <c r="BS344" s="8"/>
      <c r="BT344" s="8"/>
      <c r="BU344" s="8"/>
      <c r="BV344" s="8"/>
      <c r="BW344" s="8"/>
      <c r="BX344" s="8"/>
      <c r="BY344" s="8"/>
      <c r="BZ344" s="8"/>
      <c r="CA344" s="8"/>
      <c r="CB344" s="8"/>
      <c r="CC344" s="8"/>
      <c r="CD344" s="8"/>
      <c r="CE344" s="8"/>
      <c r="CF344" s="8"/>
      <c r="CG344" s="8"/>
      <c r="CH344" s="8"/>
      <c r="CI344" s="8"/>
      <c r="CJ344" s="8"/>
      <c r="CK344" s="8"/>
      <c r="CL344" s="8"/>
      <c r="CM344" s="8"/>
      <c r="CN344" s="8"/>
      <c r="CO344" s="8"/>
      <c r="CP344" s="8"/>
      <c r="CQ344" s="8"/>
      <c r="CR344" s="8"/>
      <c r="CS344" s="8"/>
      <c r="CT344" s="8"/>
      <c r="CU344" s="8"/>
      <c r="CV344" s="8"/>
      <c r="CW344" s="8"/>
      <c r="CX344" s="8"/>
      <c r="CY344" s="8"/>
      <c r="CZ344" s="8"/>
    </row>
    <row r="345" spans="21:104" x14ac:dyDescent="0.25"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  <c r="AW345" s="8"/>
      <c r="AX345" s="8"/>
      <c r="AY345" s="8"/>
      <c r="AZ345" s="8"/>
      <c r="BA345" s="8"/>
      <c r="BB345" s="8"/>
      <c r="BC345" s="8"/>
      <c r="BD345" s="8"/>
      <c r="BE345" s="8"/>
      <c r="BF345" s="8"/>
      <c r="BG345" s="8"/>
      <c r="BH345" s="8"/>
      <c r="BI345" s="8"/>
      <c r="BJ345" s="8"/>
      <c r="BK345" s="8"/>
      <c r="BL345" s="8"/>
      <c r="BM345" s="8"/>
      <c r="BN345" s="8"/>
      <c r="BO345" s="8"/>
      <c r="BP345" s="8"/>
      <c r="BQ345" s="8"/>
      <c r="BR345" s="8"/>
      <c r="BS345" s="8"/>
      <c r="BT345" s="8"/>
      <c r="BU345" s="8"/>
      <c r="BV345" s="8"/>
      <c r="BW345" s="8"/>
      <c r="BX345" s="8"/>
      <c r="BY345" s="8"/>
      <c r="BZ345" s="8"/>
      <c r="CA345" s="8"/>
      <c r="CB345" s="8"/>
      <c r="CC345" s="8"/>
      <c r="CD345" s="8"/>
      <c r="CE345" s="8"/>
      <c r="CF345" s="8"/>
      <c r="CG345" s="8"/>
      <c r="CH345" s="8"/>
      <c r="CI345" s="8"/>
      <c r="CJ345" s="8"/>
      <c r="CK345" s="8"/>
      <c r="CL345" s="8"/>
      <c r="CM345" s="8"/>
      <c r="CN345" s="8"/>
      <c r="CO345" s="8"/>
      <c r="CP345" s="8"/>
      <c r="CQ345" s="8"/>
      <c r="CR345" s="8"/>
      <c r="CS345" s="8"/>
      <c r="CT345" s="8"/>
      <c r="CU345" s="8"/>
      <c r="CV345" s="8"/>
      <c r="CW345" s="8"/>
      <c r="CX345" s="8"/>
      <c r="CY345" s="8"/>
      <c r="CZ345" s="8"/>
    </row>
    <row r="346" spans="21:104" x14ac:dyDescent="0.25"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  <c r="AW346" s="8"/>
      <c r="AX346" s="8"/>
      <c r="AY346" s="8"/>
      <c r="AZ346" s="8"/>
      <c r="BA346" s="8"/>
      <c r="BB346" s="8"/>
      <c r="BC346" s="8"/>
      <c r="BD346" s="8"/>
      <c r="BE346" s="8"/>
      <c r="BF346" s="8"/>
      <c r="BG346" s="8"/>
      <c r="BH346" s="8"/>
      <c r="BI346" s="8"/>
      <c r="BJ346" s="8"/>
      <c r="BK346" s="8"/>
      <c r="BL346" s="8"/>
      <c r="BM346" s="8"/>
      <c r="BN346" s="8"/>
      <c r="BO346" s="8"/>
      <c r="BP346" s="8"/>
      <c r="BQ346" s="8"/>
      <c r="BR346" s="8"/>
      <c r="BS346" s="8"/>
      <c r="BT346" s="8"/>
      <c r="BU346" s="8"/>
      <c r="BV346" s="8"/>
      <c r="BW346" s="8"/>
      <c r="BX346" s="8"/>
      <c r="BY346" s="8"/>
      <c r="BZ346" s="8"/>
      <c r="CA346" s="8"/>
      <c r="CB346" s="8"/>
      <c r="CC346" s="8"/>
      <c r="CD346" s="8"/>
      <c r="CE346" s="8"/>
      <c r="CF346" s="8"/>
      <c r="CG346" s="8"/>
      <c r="CH346" s="8"/>
      <c r="CI346" s="8"/>
      <c r="CJ346" s="8"/>
      <c r="CK346" s="8"/>
      <c r="CL346" s="8"/>
      <c r="CM346" s="8"/>
      <c r="CN346" s="8"/>
      <c r="CO346" s="8"/>
      <c r="CP346" s="8"/>
      <c r="CQ346" s="8"/>
      <c r="CR346" s="8"/>
      <c r="CS346" s="8"/>
      <c r="CT346" s="8"/>
      <c r="CU346" s="8"/>
      <c r="CV346" s="8"/>
      <c r="CW346" s="8"/>
      <c r="CX346" s="8"/>
      <c r="CY346" s="8"/>
      <c r="CZ346" s="8"/>
    </row>
    <row r="347" spans="21:104" x14ac:dyDescent="0.25"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  <c r="AW347" s="8"/>
      <c r="AX347" s="8"/>
      <c r="AY347" s="8"/>
      <c r="AZ347" s="8"/>
      <c r="BA347" s="8"/>
      <c r="BB347" s="8"/>
      <c r="BC347" s="8"/>
      <c r="BD347" s="8"/>
      <c r="BE347" s="8"/>
      <c r="BF347" s="8"/>
      <c r="BG347" s="8"/>
      <c r="BH347" s="8"/>
      <c r="BI347" s="8"/>
      <c r="BJ347" s="8"/>
      <c r="BK347" s="8"/>
      <c r="BL347" s="8"/>
      <c r="BM347" s="8"/>
      <c r="BN347" s="8"/>
      <c r="BO347" s="8"/>
      <c r="BP347" s="8"/>
      <c r="BQ347" s="8"/>
      <c r="BR347" s="8"/>
      <c r="BS347" s="8"/>
      <c r="BT347" s="8"/>
      <c r="BU347" s="8"/>
      <c r="BV347" s="8"/>
      <c r="BW347" s="8"/>
      <c r="BX347" s="8"/>
      <c r="BY347" s="8"/>
      <c r="BZ347" s="8"/>
      <c r="CA347" s="8"/>
      <c r="CB347" s="8"/>
      <c r="CC347" s="8"/>
      <c r="CD347" s="8"/>
      <c r="CE347" s="8"/>
      <c r="CF347" s="8"/>
      <c r="CG347" s="8"/>
      <c r="CH347" s="8"/>
      <c r="CI347" s="8"/>
      <c r="CJ347" s="8"/>
      <c r="CK347" s="8"/>
      <c r="CL347" s="8"/>
      <c r="CM347" s="8"/>
      <c r="CN347" s="8"/>
      <c r="CO347" s="8"/>
      <c r="CP347" s="8"/>
      <c r="CQ347" s="8"/>
      <c r="CR347" s="8"/>
      <c r="CS347" s="8"/>
      <c r="CT347" s="8"/>
      <c r="CU347" s="8"/>
      <c r="CV347" s="8"/>
      <c r="CW347" s="8"/>
      <c r="CX347" s="8"/>
      <c r="CY347" s="8"/>
      <c r="CZ347" s="8"/>
    </row>
    <row r="348" spans="21:104" x14ac:dyDescent="0.25"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  <c r="AW348" s="8"/>
      <c r="AX348" s="8"/>
      <c r="AY348" s="8"/>
      <c r="AZ348" s="8"/>
      <c r="BA348" s="8"/>
      <c r="BB348" s="8"/>
      <c r="BC348" s="8"/>
      <c r="BD348" s="8"/>
      <c r="BE348" s="8"/>
      <c r="BF348" s="8"/>
      <c r="BG348" s="8"/>
      <c r="BH348" s="8"/>
      <c r="BI348" s="8"/>
      <c r="BJ348" s="8"/>
      <c r="BK348" s="8"/>
      <c r="BL348" s="8"/>
      <c r="BM348" s="8"/>
      <c r="BN348" s="8"/>
      <c r="BO348" s="8"/>
      <c r="BP348" s="8"/>
      <c r="BQ348" s="8"/>
      <c r="BR348" s="8"/>
      <c r="BS348" s="8"/>
      <c r="BT348" s="8"/>
      <c r="BU348" s="8"/>
      <c r="BV348" s="8"/>
      <c r="BW348" s="8"/>
      <c r="BX348" s="8"/>
      <c r="BY348" s="8"/>
      <c r="BZ348" s="8"/>
      <c r="CA348" s="8"/>
      <c r="CB348" s="8"/>
      <c r="CC348" s="8"/>
      <c r="CD348" s="8"/>
      <c r="CE348" s="8"/>
      <c r="CF348" s="8"/>
      <c r="CG348" s="8"/>
      <c r="CH348" s="8"/>
      <c r="CI348" s="8"/>
      <c r="CJ348" s="8"/>
      <c r="CK348" s="8"/>
      <c r="CL348" s="8"/>
      <c r="CM348" s="8"/>
      <c r="CN348" s="8"/>
      <c r="CO348" s="8"/>
      <c r="CP348" s="8"/>
      <c r="CQ348" s="8"/>
      <c r="CR348" s="8"/>
      <c r="CS348" s="8"/>
      <c r="CT348" s="8"/>
      <c r="CU348" s="8"/>
      <c r="CV348" s="8"/>
      <c r="CW348" s="8"/>
      <c r="CX348" s="8"/>
      <c r="CY348" s="8"/>
      <c r="CZ348" s="8"/>
    </row>
    <row r="349" spans="21:104" x14ac:dyDescent="0.25"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  <c r="AW349" s="8"/>
      <c r="AX349" s="8"/>
      <c r="AY349" s="8"/>
      <c r="AZ349" s="8"/>
      <c r="BA349" s="8"/>
      <c r="BB349" s="8"/>
      <c r="BC349" s="8"/>
      <c r="BD349" s="8"/>
      <c r="BE349" s="8"/>
      <c r="BF349" s="8"/>
      <c r="BG349" s="8"/>
      <c r="BH349" s="8"/>
      <c r="BI349" s="8"/>
      <c r="BJ349" s="8"/>
      <c r="BK349" s="8"/>
      <c r="BL349" s="8"/>
      <c r="BM349" s="8"/>
      <c r="BN349" s="8"/>
      <c r="BO349" s="8"/>
      <c r="BP349" s="8"/>
      <c r="BQ349" s="8"/>
      <c r="BR349" s="8"/>
      <c r="BS349" s="8"/>
      <c r="BT349" s="8"/>
      <c r="BU349" s="8"/>
      <c r="BV349" s="8"/>
      <c r="BW349" s="8"/>
      <c r="BX349" s="8"/>
      <c r="BY349" s="8"/>
      <c r="BZ349" s="8"/>
      <c r="CA349" s="8"/>
      <c r="CB349" s="8"/>
      <c r="CC349" s="8"/>
      <c r="CD349" s="8"/>
      <c r="CE349" s="8"/>
      <c r="CF349" s="8"/>
      <c r="CG349" s="8"/>
      <c r="CH349" s="8"/>
      <c r="CI349" s="8"/>
      <c r="CJ349" s="8"/>
      <c r="CK349" s="8"/>
      <c r="CL349" s="8"/>
      <c r="CM349" s="8"/>
      <c r="CN349" s="8"/>
      <c r="CO349" s="8"/>
      <c r="CP349" s="8"/>
      <c r="CQ349" s="8"/>
      <c r="CR349" s="8"/>
      <c r="CS349" s="8"/>
      <c r="CT349" s="8"/>
      <c r="CU349" s="8"/>
      <c r="CV349" s="8"/>
      <c r="CW349" s="8"/>
      <c r="CX349" s="8"/>
      <c r="CY349" s="8"/>
      <c r="CZ349" s="8"/>
    </row>
    <row r="350" spans="21:104" x14ac:dyDescent="0.25"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  <c r="AW350" s="8"/>
      <c r="AX350" s="8"/>
      <c r="AY350" s="8"/>
      <c r="AZ350" s="8"/>
      <c r="BA350" s="8"/>
      <c r="BB350" s="8"/>
      <c r="BC350" s="8"/>
      <c r="BD350" s="8"/>
      <c r="BE350" s="8"/>
      <c r="BF350" s="8"/>
      <c r="BG350" s="8"/>
      <c r="BH350" s="8"/>
      <c r="BI350" s="8"/>
      <c r="BJ350" s="8"/>
      <c r="BK350" s="8"/>
      <c r="BL350" s="8"/>
      <c r="BM350" s="8"/>
      <c r="BN350" s="8"/>
      <c r="BO350" s="8"/>
      <c r="BP350" s="8"/>
      <c r="BQ350" s="8"/>
      <c r="BR350" s="8"/>
      <c r="BS350" s="8"/>
      <c r="BT350" s="8"/>
      <c r="BU350" s="8"/>
      <c r="BV350" s="8"/>
      <c r="BW350" s="8"/>
      <c r="BX350" s="8"/>
      <c r="BY350" s="8"/>
      <c r="BZ350" s="8"/>
      <c r="CA350" s="8"/>
      <c r="CB350" s="8"/>
      <c r="CC350" s="8"/>
      <c r="CD350" s="8"/>
      <c r="CE350" s="8"/>
      <c r="CF350" s="8"/>
      <c r="CG350" s="8"/>
      <c r="CH350" s="8"/>
      <c r="CI350" s="8"/>
      <c r="CJ350" s="8"/>
      <c r="CK350" s="8"/>
      <c r="CL350" s="8"/>
      <c r="CM350" s="8"/>
      <c r="CN350" s="8"/>
      <c r="CO350" s="8"/>
      <c r="CP350" s="8"/>
      <c r="CQ350" s="8"/>
      <c r="CR350" s="8"/>
      <c r="CS350" s="8"/>
      <c r="CT350" s="8"/>
      <c r="CU350" s="8"/>
      <c r="CV350" s="8"/>
      <c r="CW350" s="8"/>
      <c r="CX350" s="8"/>
      <c r="CY350" s="8"/>
      <c r="CZ350" s="8"/>
    </row>
    <row r="351" spans="21:104" x14ac:dyDescent="0.25"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  <c r="AW351" s="8"/>
      <c r="AX351" s="8"/>
      <c r="AY351" s="8"/>
      <c r="AZ351" s="8"/>
      <c r="BA351" s="8"/>
      <c r="BB351" s="8"/>
      <c r="BC351" s="8"/>
      <c r="BD351" s="8"/>
      <c r="BE351" s="8"/>
      <c r="BF351" s="8"/>
      <c r="BG351" s="8"/>
      <c r="BH351" s="8"/>
      <c r="BI351" s="8"/>
      <c r="BJ351" s="8"/>
      <c r="BK351" s="8"/>
      <c r="BL351" s="8"/>
      <c r="BM351" s="8"/>
      <c r="BN351" s="8"/>
      <c r="BO351" s="8"/>
      <c r="BP351" s="8"/>
      <c r="BQ351" s="8"/>
      <c r="BR351" s="8"/>
      <c r="BS351" s="8"/>
      <c r="BT351" s="8"/>
      <c r="BU351" s="8"/>
      <c r="BV351" s="8"/>
      <c r="BW351" s="8"/>
      <c r="BX351" s="8"/>
      <c r="BY351" s="8"/>
      <c r="BZ351" s="8"/>
      <c r="CA351" s="8"/>
      <c r="CB351" s="8"/>
      <c r="CC351" s="8"/>
      <c r="CD351" s="8"/>
      <c r="CE351" s="8"/>
      <c r="CF351" s="8"/>
      <c r="CG351" s="8"/>
      <c r="CH351" s="8"/>
      <c r="CI351" s="8"/>
      <c r="CJ351" s="8"/>
      <c r="CK351" s="8"/>
      <c r="CL351" s="8"/>
      <c r="CM351" s="8"/>
      <c r="CN351" s="8"/>
      <c r="CO351" s="8"/>
      <c r="CP351" s="8"/>
      <c r="CQ351" s="8"/>
      <c r="CR351" s="8"/>
      <c r="CS351" s="8"/>
      <c r="CT351" s="8"/>
      <c r="CU351" s="8"/>
      <c r="CV351" s="8"/>
      <c r="CW351" s="8"/>
      <c r="CX351" s="8"/>
      <c r="CY351" s="8"/>
      <c r="CZ351" s="8"/>
    </row>
    <row r="352" spans="21:104" x14ac:dyDescent="0.25"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8"/>
      <c r="AX352" s="8"/>
      <c r="AY352" s="8"/>
      <c r="AZ352" s="8"/>
      <c r="BA352" s="8"/>
      <c r="BB352" s="8"/>
      <c r="BC352" s="8"/>
      <c r="BD352" s="8"/>
      <c r="BE352" s="8"/>
      <c r="BF352" s="8"/>
      <c r="BG352" s="8"/>
      <c r="BH352" s="8"/>
      <c r="BI352" s="8"/>
      <c r="BJ352" s="8"/>
      <c r="BK352" s="8"/>
      <c r="BL352" s="8"/>
      <c r="BM352" s="8"/>
      <c r="BN352" s="8"/>
      <c r="BO352" s="8"/>
      <c r="BP352" s="8"/>
      <c r="BQ352" s="8"/>
      <c r="BR352" s="8"/>
      <c r="BS352" s="8"/>
      <c r="BT352" s="8"/>
      <c r="BU352" s="8"/>
      <c r="BV352" s="8"/>
      <c r="BW352" s="8"/>
      <c r="BX352" s="8"/>
      <c r="BY352" s="8"/>
      <c r="BZ352" s="8"/>
      <c r="CA352" s="8"/>
      <c r="CB352" s="8"/>
      <c r="CC352" s="8"/>
      <c r="CD352" s="8"/>
      <c r="CE352" s="8"/>
      <c r="CF352" s="8"/>
      <c r="CG352" s="8"/>
      <c r="CH352" s="8"/>
      <c r="CI352" s="8"/>
      <c r="CJ352" s="8"/>
      <c r="CK352" s="8"/>
      <c r="CL352" s="8"/>
      <c r="CM352" s="8"/>
      <c r="CN352" s="8"/>
      <c r="CO352" s="8"/>
      <c r="CP352" s="8"/>
      <c r="CQ352" s="8"/>
      <c r="CR352" s="8"/>
      <c r="CS352" s="8"/>
      <c r="CT352" s="8"/>
      <c r="CU352" s="8"/>
      <c r="CV352" s="8"/>
      <c r="CW352" s="8"/>
      <c r="CX352" s="8"/>
      <c r="CY352" s="8"/>
      <c r="CZ352" s="8"/>
    </row>
    <row r="353" spans="21:104" x14ac:dyDescent="0.25"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  <c r="AW353" s="8"/>
      <c r="AX353" s="8"/>
      <c r="AY353" s="8"/>
      <c r="AZ353" s="8"/>
      <c r="BA353" s="8"/>
      <c r="BB353" s="8"/>
      <c r="BC353" s="8"/>
      <c r="BD353" s="8"/>
      <c r="BE353" s="8"/>
      <c r="BF353" s="8"/>
      <c r="BG353" s="8"/>
      <c r="BH353" s="8"/>
      <c r="BI353" s="8"/>
      <c r="BJ353" s="8"/>
      <c r="BK353" s="8"/>
      <c r="BL353" s="8"/>
      <c r="BM353" s="8"/>
      <c r="BN353" s="8"/>
      <c r="BO353" s="8"/>
      <c r="BP353" s="8"/>
      <c r="BQ353" s="8"/>
      <c r="BR353" s="8"/>
      <c r="BS353" s="8"/>
      <c r="BT353" s="8"/>
      <c r="BU353" s="8"/>
      <c r="BV353" s="8"/>
      <c r="BW353" s="8"/>
      <c r="BX353" s="8"/>
      <c r="BY353" s="8"/>
      <c r="BZ353" s="8"/>
      <c r="CA353" s="8"/>
      <c r="CB353" s="8"/>
      <c r="CC353" s="8"/>
      <c r="CD353" s="8"/>
      <c r="CE353" s="8"/>
      <c r="CF353" s="8"/>
      <c r="CG353" s="8"/>
      <c r="CH353" s="8"/>
      <c r="CI353" s="8"/>
      <c r="CJ353" s="8"/>
      <c r="CK353" s="8"/>
      <c r="CL353" s="8"/>
      <c r="CM353" s="8"/>
      <c r="CN353" s="8"/>
      <c r="CO353" s="8"/>
      <c r="CP353" s="8"/>
      <c r="CQ353" s="8"/>
      <c r="CR353" s="8"/>
      <c r="CS353" s="8"/>
      <c r="CT353" s="8"/>
      <c r="CU353" s="8"/>
      <c r="CV353" s="8"/>
      <c r="CW353" s="8"/>
      <c r="CX353" s="8"/>
      <c r="CY353" s="8"/>
      <c r="CZ353" s="8"/>
    </row>
    <row r="354" spans="21:104" x14ac:dyDescent="0.25"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  <c r="AW354" s="8"/>
      <c r="AX354" s="8"/>
      <c r="AY354" s="8"/>
      <c r="AZ354" s="8"/>
      <c r="BA354" s="8"/>
      <c r="BB354" s="8"/>
      <c r="BC354" s="8"/>
      <c r="BD354" s="8"/>
      <c r="BE354" s="8"/>
      <c r="BF354" s="8"/>
      <c r="BG354" s="8"/>
      <c r="BH354" s="8"/>
      <c r="BI354" s="8"/>
      <c r="BJ354" s="8"/>
      <c r="BK354" s="8"/>
      <c r="BL354" s="8"/>
      <c r="BM354" s="8"/>
      <c r="BN354" s="8"/>
      <c r="BO354" s="8"/>
      <c r="BP354" s="8"/>
      <c r="BQ354" s="8"/>
      <c r="BR354" s="8"/>
      <c r="BS354" s="8"/>
      <c r="BT354" s="8"/>
      <c r="BU354" s="8"/>
      <c r="BV354" s="8"/>
      <c r="BW354" s="8"/>
      <c r="BX354" s="8"/>
      <c r="BY354" s="8"/>
      <c r="BZ354" s="8"/>
      <c r="CA354" s="8"/>
      <c r="CB354" s="8"/>
      <c r="CC354" s="8"/>
      <c r="CD354" s="8"/>
      <c r="CE354" s="8"/>
      <c r="CF354" s="8"/>
      <c r="CG354" s="8"/>
      <c r="CH354" s="8"/>
      <c r="CI354" s="8"/>
      <c r="CJ354" s="8"/>
      <c r="CK354" s="8"/>
      <c r="CL354" s="8"/>
      <c r="CM354" s="8"/>
      <c r="CN354" s="8"/>
      <c r="CO354" s="8"/>
      <c r="CP354" s="8"/>
      <c r="CQ354" s="8"/>
      <c r="CR354" s="8"/>
      <c r="CS354" s="8"/>
      <c r="CT354" s="8"/>
      <c r="CU354" s="8"/>
      <c r="CV354" s="8"/>
      <c r="CW354" s="8"/>
      <c r="CX354" s="8"/>
      <c r="CY354" s="8"/>
      <c r="CZ354" s="8"/>
    </row>
    <row r="355" spans="21:104" x14ac:dyDescent="0.25"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  <c r="AW355" s="8"/>
      <c r="AX355" s="8"/>
      <c r="AY355" s="8"/>
      <c r="AZ355" s="8"/>
      <c r="BA355" s="8"/>
      <c r="BB355" s="8"/>
      <c r="BC355" s="8"/>
      <c r="BD355" s="8"/>
      <c r="BE355" s="8"/>
      <c r="BF355" s="8"/>
      <c r="BG355" s="8"/>
      <c r="BH355" s="8"/>
      <c r="BI355" s="8"/>
      <c r="BJ355" s="8"/>
      <c r="BK355" s="8"/>
      <c r="BL355" s="8"/>
      <c r="BM355" s="8"/>
      <c r="BN355" s="8"/>
      <c r="BO355" s="8"/>
      <c r="BP355" s="8"/>
      <c r="BQ355" s="8"/>
      <c r="BR355" s="8"/>
      <c r="BS355" s="8"/>
      <c r="BT355" s="8"/>
      <c r="BU355" s="8"/>
      <c r="BV355" s="8"/>
      <c r="BW355" s="8"/>
      <c r="BX355" s="8"/>
      <c r="BY355" s="8"/>
      <c r="BZ355" s="8"/>
      <c r="CA355" s="8"/>
      <c r="CB355" s="8"/>
      <c r="CC355" s="8"/>
      <c r="CD355" s="8"/>
      <c r="CE355" s="8"/>
      <c r="CF355" s="8"/>
      <c r="CG355" s="8"/>
      <c r="CH355" s="8"/>
      <c r="CI355" s="8"/>
      <c r="CJ355" s="8"/>
      <c r="CK355" s="8"/>
      <c r="CL355" s="8"/>
      <c r="CM355" s="8"/>
      <c r="CN355" s="8"/>
      <c r="CO355" s="8"/>
      <c r="CP355" s="8"/>
      <c r="CQ355" s="8"/>
      <c r="CR355" s="8"/>
      <c r="CS355" s="8"/>
      <c r="CT355" s="8"/>
      <c r="CU355" s="8"/>
      <c r="CV355" s="8"/>
      <c r="CW355" s="8"/>
      <c r="CX355" s="8"/>
      <c r="CY355" s="8"/>
      <c r="CZ355" s="8"/>
    </row>
    <row r="356" spans="21:104" x14ac:dyDescent="0.25"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  <c r="AW356" s="8"/>
      <c r="AX356" s="8"/>
      <c r="AY356" s="8"/>
      <c r="AZ356" s="8"/>
      <c r="BA356" s="8"/>
      <c r="BB356" s="8"/>
      <c r="BC356" s="8"/>
      <c r="BD356" s="8"/>
      <c r="BE356" s="8"/>
      <c r="BF356" s="8"/>
      <c r="BG356" s="8"/>
      <c r="BH356" s="8"/>
      <c r="BI356" s="8"/>
      <c r="BJ356" s="8"/>
      <c r="BK356" s="8"/>
      <c r="BL356" s="8"/>
      <c r="BM356" s="8"/>
      <c r="BN356" s="8"/>
      <c r="BO356" s="8"/>
      <c r="BP356" s="8"/>
      <c r="BQ356" s="8"/>
      <c r="BR356" s="8"/>
      <c r="BS356" s="8"/>
      <c r="BT356" s="8"/>
      <c r="BU356" s="8"/>
      <c r="BV356" s="8"/>
      <c r="BW356" s="8"/>
      <c r="BX356" s="8"/>
      <c r="BY356" s="8"/>
      <c r="BZ356" s="8"/>
      <c r="CA356" s="8"/>
      <c r="CB356" s="8"/>
      <c r="CC356" s="8"/>
      <c r="CD356" s="8"/>
      <c r="CE356" s="8"/>
      <c r="CF356" s="8"/>
      <c r="CG356" s="8"/>
      <c r="CH356" s="8"/>
      <c r="CI356" s="8"/>
      <c r="CJ356" s="8"/>
      <c r="CK356" s="8"/>
      <c r="CL356" s="8"/>
      <c r="CM356" s="8"/>
      <c r="CN356" s="8"/>
      <c r="CO356" s="8"/>
      <c r="CP356" s="8"/>
      <c r="CQ356" s="8"/>
      <c r="CR356" s="8"/>
      <c r="CS356" s="8"/>
      <c r="CT356" s="8"/>
      <c r="CU356" s="8"/>
      <c r="CV356" s="8"/>
      <c r="CW356" s="8"/>
      <c r="CX356" s="8"/>
      <c r="CY356" s="8"/>
      <c r="CZ356" s="8"/>
    </row>
    <row r="357" spans="21:104" x14ac:dyDescent="0.25"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  <c r="AW357" s="8"/>
      <c r="AX357" s="8"/>
      <c r="AY357" s="8"/>
      <c r="AZ357" s="8"/>
      <c r="BA357" s="8"/>
      <c r="BB357" s="8"/>
      <c r="BC357" s="8"/>
      <c r="BD357" s="8"/>
      <c r="BE357" s="8"/>
      <c r="BF357" s="8"/>
      <c r="BG357" s="8"/>
      <c r="BH357" s="8"/>
      <c r="BI357" s="8"/>
      <c r="BJ357" s="8"/>
      <c r="BK357" s="8"/>
      <c r="BL357" s="8"/>
      <c r="BM357" s="8"/>
      <c r="BN357" s="8"/>
      <c r="BO357" s="8"/>
      <c r="BP357" s="8"/>
      <c r="BQ357" s="8"/>
      <c r="BR357" s="8"/>
      <c r="BS357" s="8"/>
      <c r="BT357" s="8"/>
      <c r="BU357" s="8"/>
      <c r="BV357" s="8"/>
      <c r="BW357" s="8"/>
      <c r="BX357" s="8"/>
      <c r="BY357" s="8"/>
      <c r="BZ357" s="8"/>
      <c r="CA357" s="8"/>
      <c r="CB357" s="8"/>
      <c r="CC357" s="8"/>
      <c r="CD357" s="8"/>
      <c r="CE357" s="8"/>
      <c r="CF357" s="8"/>
      <c r="CG357" s="8"/>
      <c r="CH357" s="8"/>
      <c r="CI357" s="8"/>
      <c r="CJ357" s="8"/>
      <c r="CK357" s="8"/>
      <c r="CL357" s="8"/>
      <c r="CM357" s="8"/>
      <c r="CN357" s="8"/>
      <c r="CO357" s="8"/>
      <c r="CP357" s="8"/>
      <c r="CQ357" s="8"/>
      <c r="CR357" s="8"/>
      <c r="CS357" s="8"/>
      <c r="CT357" s="8"/>
      <c r="CU357" s="8"/>
      <c r="CV357" s="8"/>
      <c r="CW357" s="8"/>
      <c r="CX357" s="8"/>
      <c r="CY357" s="8"/>
      <c r="CZ357" s="8"/>
    </row>
    <row r="358" spans="21:104" x14ac:dyDescent="0.25"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  <c r="AW358" s="8"/>
      <c r="AX358" s="8"/>
      <c r="AY358" s="8"/>
      <c r="AZ358" s="8"/>
      <c r="BA358" s="8"/>
      <c r="BB358" s="8"/>
      <c r="BC358" s="8"/>
      <c r="BD358" s="8"/>
      <c r="BE358" s="8"/>
      <c r="BF358" s="8"/>
      <c r="BG358" s="8"/>
      <c r="BH358" s="8"/>
      <c r="BI358" s="8"/>
      <c r="BJ358" s="8"/>
      <c r="BK358" s="8"/>
      <c r="BL358" s="8"/>
      <c r="BM358" s="8"/>
      <c r="BN358" s="8"/>
      <c r="BO358" s="8"/>
      <c r="BP358" s="8"/>
      <c r="BQ358" s="8"/>
      <c r="BR358" s="8"/>
      <c r="BS358" s="8"/>
      <c r="BT358" s="8"/>
      <c r="BU358" s="8"/>
      <c r="BV358" s="8"/>
      <c r="BW358" s="8"/>
      <c r="BX358" s="8"/>
      <c r="BY358" s="8"/>
      <c r="BZ358" s="8"/>
      <c r="CA358" s="8"/>
      <c r="CB358" s="8"/>
      <c r="CC358" s="8"/>
      <c r="CD358" s="8"/>
      <c r="CE358" s="8"/>
      <c r="CF358" s="8"/>
      <c r="CG358" s="8"/>
      <c r="CH358" s="8"/>
      <c r="CI358" s="8"/>
      <c r="CJ358" s="8"/>
      <c r="CK358" s="8"/>
      <c r="CL358" s="8"/>
      <c r="CM358" s="8"/>
      <c r="CN358" s="8"/>
      <c r="CO358" s="8"/>
      <c r="CP358" s="8"/>
      <c r="CQ358" s="8"/>
      <c r="CR358" s="8"/>
      <c r="CS358" s="8"/>
      <c r="CT358" s="8"/>
      <c r="CU358" s="8"/>
      <c r="CV358" s="8"/>
      <c r="CW358" s="8"/>
      <c r="CX358" s="8"/>
      <c r="CY358" s="8"/>
      <c r="CZ358" s="8"/>
    </row>
    <row r="359" spans="21:104" x14ac:dyDescent="0.25"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  <c r="AW359" s="8"/>
      <c r="AX359" s="8"/>
      <c r="AY359" s="8"/>
      <c r="AZ359" s="8"/>
      <c r="BA359" s="8"/>
      <c r="BB359" s="8"/>
      <c r="BC359" s="8"/>
      <c r="BD359" s="8"/>
      <c r="BE359" s="8"/>
      <c r="BF359" s="8"/>
      <c r="BG359" s="8"/>
      <c r="BH359" s="8"/>
      <c r="BI359" s="8"/>
      <c r="BJ359" s="8"/>
      <c r="BK359" s="8"/>
      <c r="BL359" s="8"/>
      <c r="BM359" s="8"/>
      <c r="BN359" s="8"/>
      <c r="BO359" s="8"/>
      <c r="BP359" s="8"/>
      <c r="BQ359" s="8"/>
      <c r="BR359" s="8"/>
      <c r="BS359" s="8"/>
      <c r="BT359" s="8"/>
      <c r="BU359" s="8"/>
      <c r="BV359" s="8"/>
      <c r="BW359" s="8"/>
      <c r="BX359" s="8"/>
      <c r="BY359" s="8"/>
      <c r="BZ359" s="8"/>
      <c r="CA359" s="8"/>
      <c r="CB359" s="8"/>
      <c r="CC359" s="8"/>
      <c r="CD359" s="8"/>
      <c r="CE359" s="8"/>
      <c r="CF359" s="8"/>
      <c r="CG359" s="8"/>
      <c r="CH359" s="8"/>
      <c r="CI359" s="8"/>
      <c r="CJ359" s="8"/>
      <c r="CK359" s="8"/>
      <c r="CL359" s="8"/>
      <c r="CM359" s="8"/>
      <c r="CN359" s="8"/>
      <c r="CO359" s="8"/>
      <c r="CP359" s="8"/>
      <c r="CQ359" s="8"/>
      <c r="CR359" s="8"/>
      <c r="CS359" s="8"/>
      <c r="CT359" s="8"/>
      <c r="CU359" s="8"/>
      <c r="CV359" s="8"/>
      <c r="CW359" s="8"/>
      <c r="CX359" s="8"/>
      <c r="CY359" s="8"/>
      <c r="CZ359" s="8"/>
    </row>
    <row r="360" spans="21:104" x14ac:dyDescent="0.25"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  <c r="AW360" s="8"/>
      <c r="AX360" s="8"/>
      <c r="AY360" s="8"/>
      <c r="AZ360" s="8"/>
      <c r="BA360" s="8"/>
      <c r="BB360" s="8"/>
      <c r="BC360" s="8"/>
      <c r="BD360" s="8"/>
      <c r="BE360" s="8"/>
      <c r="BF360" s="8"/>
      <c r="BG360" s="8"/>
      <c r="BH360" s="8"/>
      <c r="BI360" s="8"/>
      <c r="BJ360" s="8"/>
      <c r="BK360" s="8"/>
      <c r="BL360" s="8"/>
      <c r="BM360" s="8"/>
      <c r="BN360" s="8"/>
      <c r="BO360" s="8"/>
      <c r="BP360" s="8"/>
      <c r="BQ360" s="8"/>
      <c r="BR360" s="8"/>
      <c r="BS360" s="8"/>
      <c r="BT360" s="8"/>
      <c r="BU360" s="8"/>
      <c r="BV360" s="8"/>
      <c r="BW360" s="8"/>
      <c r="BX360" s="8"/>
      <c r="BY360" s="8"/>
      <c r="BZ360" s="8"/>
      <c r="CA360" s="8"/>
      <c r="CB360" s="8"/>
      <c r="CC360" s="8"/>
      <c r="CD360" s="8"/>
      <c r="CE360" s="8"/>
      <c r="CF360" s="8"/>
      <c r="CG360" s="8"/>
      <c r="CH360" s="8"/>
      <c r="CI360" s="8"/>
      <c r="CJ360" s="8"/>
      <c r="CK360" s="8"/>
      <c r="CL360" s="8"/>
      <c r="CM360" s="8"/>
      <c r="CN360" s="8"/>
      <c r="CO360" s="8"/>
      <c r="CP360" s="8"/>
      <c r="CQ360" s="8"/>
      <c r="CR360" s="8"/>
      <c r="CS360" s="8"/>
      <c r="CT360" s="8"/>
      <c r="CU360" s="8"/>
      <c r="CV360" s="8"/>
      <c r="CW360" s="8"/>
      <c r="CX360" s="8"/>
      <c r="CY360" s="8"/>
      <c r="CZ360" s="8"/>
    </row>
    <row r="361" spans="21:104" x14ac:dyDescent="0.25"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  <c r="AW361" s="8"/>
      <c r="AX361" s="8"/>
      <c r="AY361" s="8"/>
      <c r="AZ361" s="8"/>
      <c r="BA361" s="8"/>
      <c r="BB361" s="8"/>
      <c r="BC361" s="8"/>
      <c r="BD361" s="8"/>
      <c r="BE361" s="8"/>
      <c r="BF361" s="8"/>
      <c r="BG361" s="8"/>
      <c r="BH361" s="8"/>
      <c r="BI361" s="8"/>
      <c r="BJ361" s="8"/>
      <c r="BK361" s="8"/>
      <c r="BL361" s="8"/>
      <c r="BM361" s="8"/>
      <c r="BN361" s="8"/>
      <c r="BO361" s="8"/>
      <c r="BP361" s="8"/>
      <c r="BQ361" s="8"/>
      <c r="BR361" s="8"/>
      <c r="BS361" s="8"/>
      <c r="BT361" s="8"/>
      <c r="BU361" s="8"/>
      <c r="BV361" s="8"/>
      <c r="BW361" s="8"/>
      <c r="BX361" s="8"/>
      <c r="BY361" s="8"/>
      <c r="BZ361" s="8"/>
      <c r="CA361" s="8"/>
      <c r="CB361" s="8"/>
      <c r="CC361" s="8"/>
      <c r="CD361" s="8"/>
      <c r="CE361" s="8"/>
      <c r="CF361" s="8"/>
      <c r="CG361" s="8"/>
      <c r="CH361" s="8"/>
      <c r="CI361" s="8"/>
      <c r="CJ361" s="8"/>
      <c r="CK361" s="8"/>
      <c r="CL361" s="8"/>
      <c r="CM361" s="8"/>
      <c r="CN361" s="8"/>
      <c r="CO361" s="8"/>
      <c r="CP361" s="8"/>
      <c r="CQ361" s="8"/>
      <c r="CR361" s="8"/>
      <c r="CS361" s="8"/>
      <c r="CT361" s="8"/>
      <c r="CU361" s="8"/>
      <c r="CV361" s="8"/>
      <c r="CW361" s="8"/>
      <c r="CX361" s="8"/>
      <c r="CY361" s="8"/>
      <c r="CZ361" s="8"/>
    </row>
    <row r="362" spans="21:104" x14ac:dyDescent="0.25"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  <c r="AW362" s="8"/>
      <c r="AX362" s="8"/>
      <c r="AY362" s="8"/>
      <c r="AZ362" s="8"/>
      <c r="BA362" s="8"/>
      <c r="BB362" s="8"/>
      <c r="BC362" s="8"/>
      <c r="BD362" s="8"/>
      <c r="BE362" s="8"/>
      <c r="BF362" s="8"/>
      <c r="BG362" s="8"/>
      <c r="BH362" s="8"/>
      <c r="BI362" s="8"/>
      <c r="BJ362" s="8"/>
      <c r="BK362" s="8"/>
      <c r="BL362" s="8"/>
      <c r="BM362" s="8"/>
      <c r="BN362" s="8"/>
      <c r="BO362" s="8"/>
      <c r="BP362" s="8"/>
      <c r="BQ362" s="8"/>
      <c r="BR362" s="8"/>
      <c r="BS362" s="8"/>
      <c r="BT362" s="8"/>
      <c r="BU362" s="8"/>
      <c r="BV362" s="8"/>
      <c r="BW362" s="8"/>
      <c r="BX362" s="8"/>
      <c r="BY362" s="8"/>
      <c r="BZ362" s="8"/>
      <c r="CA362" s="8"/>
      <c r="CB362" s="8"/>
      <c r="CC362" s="8"/>
      <c r="CD362" s="8"/>
      <c r="CE362" s="8"/>
      <c r="CF362" s="8"/>
      <c r="CG362" s="8"/>
      <c r="CH362" s="8"/>
      <c r="CI362" s="8"/>
      <c r="CJ362" s="8"/>
      <c r="CK362" s="8"/>
      <c r="CL362" s="8"/>
      <c r="CM362" s="8"/>
      <c r="CN362" s="8"/>
      <c r="CO362" s="8"/>
      <c r="CP362" s="8"/>
      <c r="CQ362" s="8"/>
      <c r="CR362" s="8"/>
      <c r="CS362" s="8"/>
      <c r="CT362" s="8"/>
      <c r="CU362" s="8"/>
      <c r="CV362" s="8"/>
      <c r="CW362" s="8"/>
      <c r="CX362" s="8"/>
      <c r="CY362" s="8"/>
      <c r="CZ362" s="8"/>
    </row>
    <row r="363" spans="21:104" x14ac:dyDescent="0.25"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  <c r="AW363" s="8"/>
      <c r="AX363" s="8"/>
      <c r="AY363" s="8"/>
      <c r="AZ363" s="8"/>
      <c r="BA363" s="8"/>
      <c r="BB363" s="8"/>
      <c r="BC363" s="8"/>
      <c r="BD363" s="8"/>
      <c r="BE363" s="8"/>
      <c r="BF363" s="8"/>
      <c r="BG363" s="8"/>
      <c r="BH363" s="8"/>
      <c r="BI363" s="8"/>
      <c r="BJ363" s="8"/>
      <c r="BK363" s="8"/>
      <c r="BL363" s="8"/>
      <c r="BM363" s="8"/>
      <c r="BN363" s="8"/>
      <c r="BO363" s="8"/>
      <c r="BP363" s="8"/>
      <c r="BQ363" s="8"/>
      <c r="BR363" s="8"/>
      <c r="BS363" s="8"/>
      <c r="BT363" s="8"/>
      <c r="BU363" s="8"/>
      <c r="BV363" s="8"/>
      <c r="BW363" s="8"/>
      <c r="BX363" s="8"/>
      <c r="BY363" s="8"/>
      <c r="BZ363" s="8"/>
      <c r="CA363" s="8"/>
      <c r="CB363" s="8"/>
      <c r="CC363" s="8"/>
      <c r="CD363" s="8"/>
      <c r="CE363" s="8"/>
      <c r="CF363" s="8"/>
      <c r="CG363" s="8"/>
      <c r="CH363" s="8"/>
      <c r="CI363" s="8"/>
      <c r="CJ363" s="8"/>
      <c r="CK363" s="8"/>
      <c r="CL363" s="8"/>
      <c r="CM363" s="8"/>
      <c r="CN363" s="8"/>
      <c r="CO363" s="8"/>
      <c r="CP363" s="8"/>
      <c r="CQ363" s="8"/>
      <c r="CR363" s="8"/>
      <c r="CS363" s="8"/>
      <c r="CT363" s="8"/>
      <c r="CU363" s="8"/>
      <c r="CV363" s="8"/>
      <c r="CW363" s="8"/>
      <c r="CX363" s="8"/>
      <c r="CY363" s="8"/>
      <c r="CZ363" s="8"/>
    </row>
    <row r="364" spans="21:104" x14ac:dyDescent="0.25"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  <c r="AW364" s="8"/>
      <c r="AX364" s="8"/>
      <c r="AY364" s="8"/>
      <c r="AZ364" s="8"/>
      <c r="BA364" s="8"/>
      <c r="BB364" s="8"/>
      <c r="BC364" s="8"/>
      <c r="BD364" s="8"/>
      <c r="BE364" s="8"/>
      <c r="BF364" s="8"/>
      <c r="BG364" s="8"/>
      <c r="BH364" s="8"/>
      <c r="BI364" s="8"/>
      <c r="BJ364" s="8"/>
      <c r="BK364" s="8"/>
      <c r="BL364" s="8"/>
      <c r="BM364" s="8"/>
      <c r="BN364" s="8"/>
      <c r="BO364" s="8"/>
      <c r="BP364" s="8"/>
      <c r="BQ364" s="8"/>
      <c r="BR364" s="8"/>
      <c r="BS364" s="8"/>
      <c r="BT364" s="8"/>
      <c r="BU364" s="8"/>
      <c r="BV364" s="8"/>
      <c r="BW364" s="8"/>
      <c r="BX364" s="8"/>
      <c r="BY364" s="8"/>
      <c r="BZ364" s="8"/>
      <c r="CA364" s="8"/>
      <c r="CB364" s="8"/>
      <c r="CC364" s="8"/>
      <c r="CD364" s="8"/>
      <c r="CE364" s="8"/>
      <c r="CF364" s="8"/>
      <c r="CG364" s="8"/>
      <c r="CH364" s="8"/>
      <c r="CI364" s="8"/>
      <c r="CJ364" s="8"/>
      <c r="CK364" s="8"/>
      <c r="CL364" s="8"/>
      <c r="CM364" s="8"/>
      <c r="CN364" s="8"/>
      <c r="CO364" s="8"/>
      <c r="CP364" s="8"/>
      <c r="CQ364" s="8"/>
      <c r="CR364" s="8"/>
      <c r="CS364" s="8"/>
      <c r="CT364" s="8"/>
      <c r="CU364" s="8"/>
      <c r="CV364" s="8"/>
      <c r="CW364" s="8"/>
      <c r="CX364" s="8"/>
      <c r="CY364" s="8"/>
      <c r="CZ364" s="8"/>
    </row>
    <row r="365" spans="21:104" x14ac:dyDescent="0.25"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  <c r="AW365" s="8"/>
      <c r="AX365" s="8"/>
      <c r="AY365" s="8"/>
      <c r="AZ365" s="8"/>
      <c r="BA365" s="8"/>
      <c r="BB365" s="8"/>
      <c r="BC365" s="8"/>
      <c r="BD365" s="8"/>
      <c r="BE365" s="8"/>
      <c r="BF365" s="8"/>
      <c r="BG365" s="8"/>
      <c r="BH365" s="8"/>
      <c r="BI365" s="8"/>
      <c r="BJ365" s="8"/>
      <c r="BK365" s="8"/>
      <c r="BL365" s="8"/>
      <c r="BM365" s="8"/>
      <c r="BN365" s="8"/>
      <c r="BO365" s="8"/>
      <c r="BP365" s="8"/>
      <c r="BQ365" s="8"/>
      <c r="BR365" s="8"/>
      <c r="BS365" s="8"/>
      <c r="BT365" s="8"/>
      <c r="BU365" s="8"/>
      <c r="BV365" s="8"/>
      <c r="BW365" s="8"/>
      <c r="BX365" s="8"/>
      <c r="BY365" s="8"/>
      <c r="BZ365" s="8"/>
      <c r="CA365" s="8"/>
      <c r="CB365" s="8"/>
      <c r="CC365" s="8"/>
      <c r="CD365" s="8"/>
      <c r="CE365" s="8"/>
      <c r="CF365" s="8"/>
      <c r="CG365" s="8"/>
      <c r="CH365" s="8"/>
      <c r="CI365" s="8"/>
      <c r="CJ365" s="8"/>
      <c r="CK365" s="8"/>
      <c r="CL365" s="8"/>
      <c r="CM365" s="8"/>
      <c r="CN365" s="8"/>
      <c r="CO365" s="8"/>
      <c r="CP365" s="8"/>
      <c r="CQ365" s="8"/>
      <c r="CR365" s="8"/>
      <c r="CS365" s="8"/>
      <c r="CT365" s="8"/>
      <c r="CU365" s="8"/>
      <c r="CV365" s="8"/>
      <c r="CW365" s="8"/>
      <c r="CX365" s="8"/>
      <c r="CY365" s="8"/>
      <c r="CZ365" s="8"/>
    </row>
    <row r="366" spans="21:104" x14ac:dyDescent="0.25"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  <c r="AW366" s="8"/>
      <c r="AX366" s="8"/>
      <c r="AY366" s="8"/>
      <c r="AZ366" s="8"/>
      <c r="BA366" s="8"/>
      <c r="BB366" s="8"/>
      <c r="BC366" s="8"/>
      <c r="BD366" s="8"/>
      <c r="BE366" s="8"/>
      <c r="BF366" s="8"/>
      <c r="BG366" s="8"/>
      <c r="BH366" s="8"/>
      <c r="BI366" s="8"/>
      <c r="BJ366" s="8"/>
      <c r="BK366" s="8"/>
      <c r="BL366" s="8"/>
      <c r="BM366" s="8"/>
      <c r="BN366" s="8"/>
      <c r="BO366" s="8"/>
      <c r="BP366" s="8"/>
      <c r="BQ366" s="8"/>
      <c r="BR366" s="8"/>
      <c r="BS366" s="8"/>
      <c r="BT366" s="8"/>
      <c r="BU366" s="8"/>
      <c r="BV366" s="8"/>
      <c r="BW366" s="8"/>
      <c r="BX366" s="8"/>
      <c r="BY366" s="8"/>
      <c r="BZ366" s="8"/>
      <c r="CA366" s="8"/>
      <c r="CB366" s="8"/>
      <c r="CC366" s="8"/>
      <c r="CD366" s="8"/>
      <c r="CE366" s="8"/>
      <c r="CF366" s="8"/>
      <c r="CG366" s="8"/>
      <c r="CH366" s="8"/>
      <c r="CI366" s="8"/>
      <c r="CJ366" s="8"/>
      <c r="CK366" s="8"/>
      <c r="CL366" s="8"/>
      <c r="CM366" s="8"/>
      <c r="CN366" s="8"/>
      <c r="CO366" s="8"/>
      <c r="CP366" s="8"/>
      <c r="CQ366" s="8"/>
      <c r="CR366" s="8"/>
      <c r="CS366" s="8"/>
      <c r="CT366" s="8"/>
      <c r="CU366" s="8"/>
      <c r="CV366" s="8"/>
      <c r="CW366" s="8"/>
      <c r="CX366" s="8"/>
      <c r="CY366" s="8"/>
      <c r="CZ366" s="8"/>
    </row>
    <row r="367" spans="21:104" x14ac:dyDescent="0.25"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  <c r="AW367" s="8"/>
      <c r="AX367" s="8"/>
      <c r="AY367" s="8"/>
      <c r="AZ367" s="8"/>
      <c r="BA367" s="8"/>
      <c r="BB367" s="8"/>
      <c r="BC367" s="8"/>
      <c r="BD367" s="8"/>
      <c r="BE367" s="8"/>
      <c r="BF367" s="8"/>
      <c r="BG367" s="8"/>
      <c r="BH367" s="8"/>
      <c r="BI367" s="8"/>
      <c r="BJ367" s="8"/>
      <c r="BK367" s="8"/>
      <c r="BL367" s="8"/>
      <c r="BM367" s="8"/>
      <c r="BN367" s="8"/>
      <c r="BO367" s="8"/>
      <c r="BP367" s="8"/>
      <c r="BQ367" s="8"/>
      <c r="BR367" s="8"/>
      <c r="BS367" s="8"/>
      <c r="BT367" s="8"/>
      <c r="BU367" s="8"/>
      <c r="BV367" s="8"/>
      <c r="BW367" s="8"/>
      <c r="BX367" s="8"/>
      <c r="BY367" s="8"/>
      <c r="BZ367" s="8"/>
      <c r="CA367" s="8"/>
      <c r="CB367" s="8"/>
      <c r="CC367" s="8"/>
      <c r="CD367" s="8"/>
      <c r="CE367" s="8"/>
      <c r="CF367" s="8"/>
      <c r="CG367" s="8"/>
      <c r="CH367" s="8"/>
      <c r="CI367" s="8"/>
      <c r="CJ367" s="8"/>
      <c r="CK367" s="8"/>
      <c r="CL367" s="8"/>
      <c r="CM367" s="8"/>
      <c r="CN367" s="8"/>
      <c r="CO367" s="8"/>
      <c r="CP367" s="8"/>
      <c r="CQ367" s="8"/>
      <c r="CR367" s="8"/>
      <c r="CS367" s="8"/>
      <c r="CT367" s="8"/>
      <c r="CU367" s="8"/>
      <c r="CV367" s="8"/>
      <c r="CW367" s="8"/>
      <c r="CX367" s="8"/>
      <c r="CY367" s="8"/>
      <c r="CZ367" s="8"/>
    </row>
    <row r="368" spans="21:104" x14ac:dyDescent="0.25"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  <c r="AW368" s="8"/>
      <c r="AX368" s="8"/>
      <c r="AY368" s="8"/>
      <c r="AZ368" s="8"/>
      <c r="BA368" s="8"/>
      <c r="BB368" s="8"/>
      <c r="BC368" s="8"/>
      <c r="BD368" s="8"/>
      <c r="BE368" s="8"/>
      <c r="BF368" s="8"/>
      <c r="BG368" s="8"/>
      <c r="BH368" s="8"/>
      <c r="BI368" s="8"/>
      <c r="BJ368" s="8"/>
      <c r="BK368" s="8"/>
      <c r="BL368" s="8"/>
      <c r="BM368" s="8"/>
      <c r="BN368" s="8"/>
      <c r="BO368" s="8"/>
      <c r="BP368" s="8"/>
      <c r="BQ368" s="8"/>
      <c r="BR368" s="8"/>
      <c r="BS368" s="8"/>
      <c r="BT368" s="8"/>
      <c r="BU368" s="8"/>
      <c r="BV368" s="8"/>
      <c r="BW368" s="8"/>
      <c r="BX368" s="8"/>
      <c r="BY368" s="8"/>
      <c r="BZ368" s="8"/>
      <c r="CA368" s="8"/>
      <c r="CB368" s="8"/>
      <c r="CC368" s="8"/>
      <c r="CD368" s="8"/>
      <c r="CE368" s="8"/>
      <c r="CF368" s="8"/>
      <c r="CG368" s="8"/>
      <c r="CH368" s="8"/>
      <c r="CI368" s="8"/>
      <c r="CJ368" s="8"/>
      <c r="CK368" s="8"/>
      <c r="CL368" s="8"/>
      <c r="CM368" s="8"/>
      <c r="CN368" s="8"/>
      <c r="CO368" s="8"/>
      <c r="CP368" s="8"/>
      <c r="CQ368" s="8"/>
      <c r="CR368" s="8"/>
      <c r="CS368" s="8"/>
      <c r="CT368" s="8"/>
      <c r="CU368" s="8"/>
      <c r="CV368" s="8"/>
      <c r="CW368" s="8"/>
      <c r="CX368" s="8"/>
      <c r="CY368" s="8"/>
      <c r="CZ368" s="8"/>
    </row>
    <row r="369" spans="21:104" x14ac:dyDescent="0.25"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  <c r="AW369" s="8"/>
      <c r="AX369" s="8"/>
      <c r="AY369" s="8"/>
      <c r="AZ369" s="8"/>
      <c r="BA369" s="8"/>
      <c r="BB369" s="8"/>
      <c r="BC369" s="8"/>
      <c r="BD369" s="8"/>
      <c r="BE369" s="8"/>
      <c r="BF369" s="8"/>
      <c r="BG369" s="8"/>
      <c r="BH369" s="8"/>
      <c r="BI369" s="8"/>
      <c r="BJ369" s="8"/>
      <c r="BK369" s="8"/>
      <c r="BL369" s="8"/>
      <c r="BM369" s="8"/>
      <c r="BN369" s="8"/>
      <c r="BO369" s="8"/>
      <c r="BP369" s="8"/>
      <c r="BQ369" s="8"/>
      <c r="BR369" s="8"/>
      <c r="BS369" s="8"/>
      <c r="BT369" s="8"/>
      <c r="BU369" s="8"/>
      <c r="BV369" s="8"/>
      <c r="BW369" s="8"/>
      <c r="BX369" s="8"/>
      <c r="BY369" s="8"/>
      <c r="BZ369" s="8"/>
      <c r="CA369" s="8"/>
      <c r="CB369" s="8"/>
      <c r="CC369" s="8"/>
      <c r="CD369" s="8"/>
      <c r="CE369" s="8"/>
      <c r="CF369" s="8"/>
      <c r="CG369" s="8"/>
      <c r="CH369" s="8"/>
      <c r="CI369" s="8"/>
      <c r="CJ369" s="8"/>
      <c r="CK369" s="8"/>
      <c r="CL369" s="8"/>
      <c r="CM369" s="8"/>
      <c r="CN369" s="8"/>
      <c r="CO369" s="8"/>
      <c r="CP369" s="8"/>
      <c r="CQ369" s="8"/>
      <c r="CR369" s="8"/>
      <c r="CS369" s="8"/>
      <c r="CT369" s="8"/>
      <c r="CU369" s="8"/>
      <c r="CV369" s="8"/>
      <c r="CW369" s="8"/>
      <c r="CX369" s="8"/>
      <c r="CY369" s="8"/>
      <c r="CZ369" s="8"/>
    </row>
    <row r="370" spans="21:104" x14ac:dyDescent="0.25"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  <c r="AW370" s="8"/>
      <c r="AX370" s="8"/>
      <c r="AY370" s="8"/>
      <c r="AZ370" s="8"/>
      <c r="BA370" s="8"/>
      <c r="BB370" s="8"/>
      <c r="BC370" s="8"/>
      <c r="BD370" s="8"/>
      <c r="BE370" s="8"/>
      <c r="BF370" s="8"/>
      <c r="BG370" s="8"/>
      <c r="BH370" s="8"/>
      <c r="BI370" s="8"/>
      <c r="BJ370" s="8"/>
      <c r="BK370" s="8"/>
      <c r="BL370" s="8"/>
      <c r="BM370" s="8"/>
      <c r="BN370" s="8"/>
      <c r="BO370" s="8"/>
      <c r="BP370" s="8"/>
      <c r="BQ370" s="8"/>
      <c r="BR370" s="8"/>
      <c r="BS370" s="8"/>
      <c r="BT370" s="8"/>
      <c r="BU370" s="8"/>
      <c r="BV370" s="8"/>
      <c r="BW370" s="8"/>
      <c r="BX370" s="8"/>
      <c r="BY370" s="8"/>
      <c r="BZ370" s="8"/>
      <c r="CA370" s="8"/>
      <c r="CB370" s="8"/>
      <c r="CC370" s="8"/>
      <c r="CD370" s="8"/>
      <c r="CE370" s="8"/>
      <c r="CF370" s="8"/>
      <c r="CG370" s="8"/>
      <c r="CH370" s="8"/>
      <c r="CI370" s="8"/>
      <c r="CJ370" s="8"/>
      <c r="CK370" s="8"/>
      <c r="CL370" s="8"/>
      <c r="CM370" s="8"/>
      <c r="CN370" s="8"/>
      <c r="CO370" s="8"/>
      <c r="CP370" s="8"/>
      <c r="CQ370" s="8"/>
      <c r="CR370" s="8"/>
      <c r="CS370" s="8"/>
      <c r="CT370" s="8"/>
      <c r="CU370" s="8"/>
      <c r="CV370" s="8"/>
      <c r="CW370" s="8"/>
      <c r="CX370" s="8"/>
      <c r="CY370" s="8"/>
      <c r="CZ370" s="8"/>
    </row>
    <row r="371" spans="21:104" x14ac:dyDescent="0.25"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  <c r="AW371" s="8"/>
      <c r="AX371" s="8"/>
      <c r="AY371" s="8"/>
      <c r="AZ371" s="8"/>
      <c r="BA371" s="8"/>
      <c r="BB371" s="8"/>
      <c r="BC371" s="8"/>
      <c r="BD371" s="8"/>
      <c r="BE371" s="8"/>
      <c r="BF371" s="8"/>
      <c r="BG371" s="8"/>
      <c r="BH371" s="8"/>
      <c r="BI371" s="8"/>
      <c r="BJ371" s="8"/>
      <c r="BK371" s="8"/>
      <c r="BL371" s="8"/>
      <c r="BM371" s="8"/>
      <c r="BN371" s="8"/>
      <c r="BO371" s="8"/>
      <c r="BP371" s="8"/>
      <c r="BQ371" s="8"/>
      <c r="BR371" s="8"/>
      <c r="BS371" s="8"/>
      <c r="BT371" s="8"/>
      <c r="BU371" s="8"/>
      <c r="BV371" s="8"/>
      <c r="BW371" s="8"/>
      <c r="BX371" s="8"/>
      <c r="BY371" s="8"/>
      <c r="BZ371" s="8"/>
      <c r="CA371" s="8"/>
      <c r="CB371" s="8"/>
      <c r="CC371" s="8"/>
      <c r="CD371" s="8"/>
      <c r="CE371" s="8"/>
      <c r="CF371" s="8"/>
      <c r="CG371" s="8"/>
      <c r="CH371" s="8"/>
      <c r="CI371" s="8"/>
      <c r="CJ371" s="8"/>
      <c r="CK371" s="8"/>
      <c r="CL371" s="8"/>
      <c r="CM371" s="8"/>
      <c r="CN371" s="8"/>
      <c r="CO371" s="8"/>
      <c r="CP371" s="8"/>
      <c r="CQ371" s="8"/>
      <c r="CR371" s="8"/>
      <c r="CS371" s="8"/>
      <c r="CT371" s="8"/>
      <c r="CU371" s="8"/>
      <c r="CV371" s="8"/>
      <c r="CW371" s="8"/>
      <c r="CX371" s="8"/>
      <c r="CY371" s="8"/>
      <c r="CZ371" s="8"/>
    </row>
    <row r="372" spans="21:104" x14ac:dyDescent="0.25"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  <c r="AW372" s="8"/>
      <c r="AX372" s="8"/>
      <c r="AY372" s="8"/>
      <c r="AZ372" s="8"/>
      <c r="BA372" s="8"/>
      <c r="BB372" s="8"/>
      <c r="BC372" s="8"/>
      <c r="BD372" s="8"/>
      <c r="BE372" s="8"/>
      <c r="BF372" s="8"/>
      <c r="BG372" s="8"/>
      <c r="BH372" s="8"/>
      <c r="BI372" s="8"/>
      <c r="BJ372" s="8"/>
      <c r="BK372" s="8"/>
      <c r="BL372" s="8"/>
      <c r="BM372" s="8"/>
      <c r="BN372" s="8"/>
      <c r="BO372" s="8"/>
      <c r="BP372" s="8"/>
      <c r="BQ372" s="8"/>
      <c r="BR372" s="8"/>
      <c r="BS372" s="8"/>
      <c r="BT372" s="8"/>
      <c r="BU372" s="8"/>
      <c r="BV372" s="8"/>
      <c r="BW372" s="8"/>
      <c r="BX372" s="8"/>
      <c r="BY372" s="8"/>
      <c r="BZ372" s="8"/>
      <c r="CA372" s="8"/>
      <c r="CB372" s="8"/>
      <c r="CC372" s="8"/>
      <c r="CD372" s="8"/>
      <c r="CE372" s="8"/>
      <c r="CF372" s="8"/>
      <c r="CG372" s="8"/>
      <c r="CH372" s="8"/>
      <c r="CI372" s="8"/>
      <c r="CJ372" s="8"/>
      <c r="CK372" s="8"/>
      <c r="CL372" s="8"/>
      <c r="CM372" s="8"/>
      <c r="CN372" s="8"/>
      <c r="CO372" s="8"/>
      <c r="CP372" s="8"/>
      <c r="CQ372" s="8"/>
      <c r="CR372" s="8"/>
      <c r="CS372" s="8"/>
      <c r="CT372" s="8"/>
      <c r="CU372" s="8"/>
      <c r="CV372" s="8"/>
      <c r="CW372" s="8"/>
      <c r="CX372" s="8"/>
      <c r="CY372" s="8"/>
      <c r="CZ372" s="8"/>
    </row>
    <row r="373" spans="21:104" x14ac:dyDescent="0.25"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  <c r="AW373" s="8"/>
      <c r="AX373" s="8"/>
      <c r="AY373" s="8"/>
      <c r="AZ373" s="8"/>
      <c r="BA373" s="8"/>
      <c r="BB373" s="8"/>
      <c r="BC373" s="8"/>
      <c r="BD373" s="8"/>
      <c r="BE373" s="8"/>
      <c r="BF373" s="8"/>
      <c r="BG373" s="8"/>
      <c r="BH373" s="8"/>
      <c r="BI373" s="8"/>
      <c r="BJ373" s="8"/>
      <c r="BK373" s="8"/>
      <c r="BL373" s="8"/>
      <c r="BM373" s="8"/>
      <c r="BN373" s="8"/>
      <c r="BO373" s="8"/>
      <c r="BP373" s="8"/>
      <c r="BQ373" s="8"/>
      <c r="BR373" s="8"/>
      <c r="BS373" s="8"/>
      <c r="BT373" s="8"/>
      <c r="BU373" s="8"/>
      <c r="BV373" s="8"/>
      <c r="BW373" s="8"/>
      <c r="BX373" s="8"/>
      <c r="BY373" s="8"/>
      <c r="BZ373" s="8"/>
      <c r="CA373" s="8"/>
      <c r="CB373" s="8"/>
      <c r="CC373" s="8"/>
      <c r="CD373" s="8"/>
      <c r="CE373" s="8"/>
      <c r="CF373" s="8"/>
      <c r="CG373" s="8"/>
      <c r="CH373" s="8"/>
      <c r="CI373" s="8"/>
      <c r="CJ373" s="8"/>
      <c r="CK373" s="8"/>
      <c r="CL373" s="8"/>
      <c r="CM373" s="8"/>
      <c r="CN373" s="8"/>
      <c r="CO373" s="8"/>
      <c r="CP373" s="8"/>
      <c r="CQ373" s="8"/>
      <c r="CR373" s="8"/>
      <c r="CS373" s="8"/>
      <c r="CT373" s="8"/>
      <c r="CU373" s="8"/>
      <c r="CV373" s="8"/>
      <c r="CW373" s="8"/>
      <c r="CX373" s="8"/>
      <c r="CY373" s="8"/>
      <c r="CZ373" s="8"/>
    </row>
  </sheetData>
  <hyperlinks>
    <hyperlink ref="A1" location="Main!A1" display="Main" xr:uid="{13BDCB75-3B35-4B4F-91D5-46627F3865E8}"/>
  </hyperlink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B20C4-2549-4485-915C-68CE817F10AB}">
  <dimension ref="A1:L113"/>
  <sheetViews>
    <sheetView zoomScale="200" zoomScaleNormal="200" workbookViewId="0">
      <pane xSplit="2" ySplit="2" topLeftCell="C8" activePane="bottomRight" state="frozen"/>
      <selection pane="topRight" activeCell="C1" sqref="C1"/>
      <selection pane="bottomLeft" activeCell="A3" sqref="A3"/>
      <selection pane="bottomRight" activeCell="J1" sqref="J1"/>
    </sheetView>
  </sheetViews>
  <sheetFormatPr defaultRowHeight="12.75" x14ac:dyDescent="0.2"/>
  <cols>
    <col min="1" max="1" width="5.42578125" style="2" bestFit="1" customWidth="1"/>
    <col min="2" max="2" width="32.42578125" style="2" bestFit="1" customWidth="1"/>
    <col min="3" max="16384" width="9.140625" style="2"/>
  </cols>
  <sheetData>
    <row r="1" spans="1:12" x14ac:dyDescent="0.2">
      <c r="A1" s="7" t="s">
        <v>6</v>
      </c>
    </row>
    <row r="2" spans="1:12" x14ac:dyDescent="0.2">
      <c r="B2" s="32" t="s">
        <v>188</v>
      </c>
      <c r="C2" s="33">
        <v>18</v>
      </c>
      <c r="D2" s="33">
        <f>+C2+1</f>
        <v>19</v>
      </c>
      <c r="E2" s="33">
        <f t="shared" ref="E2:J2" si="0">+D2+1</f>
        <v>20</v>
      </c>
      <c r="F2" s="33">
        <f t="shared" si="0"/>
        <v>21</v>
      </c>
      <c r="G2" s="33">
        <f t="shared" si="0"/>
        <v>22</v>
      </c>
      <c r="H2" s="33">
        <f t="shared" si="0"/>
        <v>23</v>
      </c>
      <c r="I2" s="33">
        <f t="shared" si="0"/>
        <v>24</v>
      </c>
      <c r="J2" s="33">
        <f t="shared" si="0"/>
        <v>25</v>
      </c>
      <c r="K2" s="34"/>
    </row>
    <row r="3" spans="1:12" x14ac:dyDescent="0.2">
      <c r="B3" s="2" t="s">
        <v>120</v>
      </c>
      <c r="C3" s="4">
        <v>27.75</v>
      </c>
      <c r="D3" s="4">
        <v>25.25</v>
      </c>
      <c r="E3" s="4">
        <v>31.85</v>
      </c>
      <c r="F3" s="4">
        <v>49.7</v>
      </c>
      <c r="G3" s="4">
        <v>48.25</v>
      </c>
      <c r="H3" s="4">
        <v>45.5</v>
      </c>
      <c r="I3" s="4">
        <v>44.05</v>
      </c>
      <c r="J3" s="2">
        <v>40.880000000000003</v>
      </c>
      <c r="K3" s="4"/>
    </row>
    <row r="4" spans="1:12" x14ac:dyDescent="0.2">
      <c r="B4" s="2" t="s">
        <v>119</v>
      </c>
      <c r="C4" s="4">
        <f>+C3*Main!$H$10</f>
        <v>3.33</v>
      </c>
      <c r="D4" s="4">
        <f>+D3*Main!$H$10</f>
        <v>3.03</v>
      </c>
      <c r="E4" s="4">
        <f>+E3*Main!$H$10</f>
        <v>3.8220000000000001</v>
      </c>
      <c r="F4" s="4">
        <f>+F3*Main!$H$10</f>
        <v>5.9640000000000004</v>
      </c>
      <c r="G4" s="4">
        <f>+G3*Main!$H$10</f>
        <v>5.79</v>
      </c>
      <c r="H4" s="4">
        <f>+H3*Main!$H$10</f>
        <v>5.46</v>
      </c>
      <c r="I4" s="4">
        <f>+I3*Main!$H$10</f>
        <v>5.2859999999999996</v>
      </c>
      <c r="J4" s="4">
        <f>+J3*Main!$H$10</f>
        <v>4.9055999999999997</v>
      </c>
      <c r="K4" s="4"/>
    </row>
    <row r="5" spans="1:12" x14ac:dyDescent="0.2">
      <c r="B5" s="2" t="s">
        <v>189</v>
      </c>
      <c r="C5" s="4">
        <f>+Model!N42</f>
        <v>2558.8240000000001</v>
      </c>
      <c r="D5" s="4">
        <f>+Model!O42</f>
        <v>2558.8240000000001</v>
      </c>
      <c r="E5" s="4">
        <f>+Model!P42</f>
        <v>2558.8240000000001</v>
      </c>
      <c r="F5" s="4">
        <f>+Model!Q42</f>
        <v>2558.8240000000001</v>
      </c>
      <c r="G5" s="4">
        <f>+Model!R42</f>
        <v>2558.8240000000001</v>
      </c>
      <c r="H5" s="4">
        <f>+Model!S42</f>
        <v>2558.8240000000001</v>
      </c>
      <c r="I5" s="4">
        <f>+Model!T42</f>
        <v>2558.8240000000001</v>
      </c>
      <c r="J5" s="4">
        <f>+Model!U42</f>
        <v>2558.8240000000001</v>
      </c>
      <c r="K5" s="4"/>
    </row>
    <row r="6" spans="1:12" x14ac:dyDescent="0.2">
      <c r="B6" s="2" t="s">
        <v>190</v>
      </c>
      <c r="C6" s="4">
        <f>+C4*C5</f>
        <v>8520.8839200000002</v>
      </c>
      <c r="D6" s="4">
        <f t="shared" ref="D6:J6" si="1">+D4*D5</f>
        <v>7753.2367199999999</v>
      </c>
      <c r="E6" s="4">
        <f t="shared" si="1"/>
        <v>9779.8253280000008</v>
      </c>
      <c r="F6" s="4">
        <f t="shared" si="1"/>
        <v>15260.826336000002</v>
      </c>
      <c r="G6" s="4">
        <f t="shared" si="1"/>
        <v>14815.590960000001</v>
      </c>
      <c r="H6" s="4">
        <f t="shared" si="1"/>
        <v>13971.179040000001</v>
      </c>
      <c r="I6" s="4">
        <f t="shared" si="1"/>
        <v>13525.943663999999</v>
      </c>
      <c r="J6" s="4">
        <f t="shared" si="1"/>
        <v>12552.5670144</v>
      </c>
      <c r="K6" s="4"/>
    </row>
    <row r="7" spans="1:12" x14ac:dyDescent="0.2">
      <c r="B7" s="2" t="s">
        <v>191</v>
      </c>
      <c r="C7" s="4"/>
      <c r="D7" s="4"/>
      <c r="E7" s="4"/>
      <c r="F7" s="4">
        <f>+Model!Q83+Model!Q91-Model!Q65</f>
        <v>-239.88199999999995</v>
      </c>
      <c r="G7" s="4">
        <f>+Model!R83+Model!R91-Model!R65</f>
        <v>-535.11900000000003</v>
      </c>
      <c r="H7" s="4">
        <f>+Model!S83+Model!S91-Model!S65</f>
        <v>-202.75900000000001</v>
      </c>
      <c r="I7" s="4">
        <f>+Model!T83+Model!T91-Model!T65</f>
        <v>-607.375</v>
      </c>
      <c r="J7" s="4">
        <f>+Model!U83+Model!U91-Model!U65</f>
        <v>470.69000000000005</v>
      </c>
      <c r="K7" s="4"/>
    </row>
    <row r="8" spans="1:12" x14ac:dyDescent="0.2">
      <c r="B8" s="2" t="s">
        <v>5</v>
      </c>
      <c r="C8" s="4"/>
      <c r="D8" s="4"/>
      <c r="E8" s="4"/>
      <c r="F8" s="4">
        <f t="shared" ref="F8:H8" si="2">+F6+F7</f>
        <v>15020.944336000002</v>
      </c>
      <c r="G8" s="4">
        <f t="shared" si="2"/>
        <v>14280.471960000001</v>
      </c>
      <c r="H8" s="4">
        <f t="shared" si="2"/>
        <v>13768.420040000001</v>
      </c>
      <c r="I8" s="4">
        <f>+I6+I7</f>
        <v>12918.568663999999</v>
      </c>
      <c r="J8" s="4">
        <f>+J6+J7</f>
        <v>13023.2570144</v>
      </c>
      <c r="K8" s="4"/>
    </row>
    <row r="9" spans="1:12" x14ac:dyDescent="0.2">
      <c r="C9" s="4"/>
      <c r="D9" s="4"/>
      <c r="E9" s="4"/>
      <c r="F9" s="4"/>
      <c r="G9" s="4"/>
      <c r="H9" s="4"/>
      <c r="I9" s="4"/>
      <c r="J9" s="4"/>
      <c r="K9" s="4"/>
    </row>
    <row r="10" spans="1:12" x14ac:dyDescent="0.2">
      <c r="A10" s="35" t="s">
        <v>192</v>
      </c>
      <c r="B10" s="6" t="s">
        <v>193</v>
      </c>
      <c r="C10" s="4"/>
      <c r="D10" s="4"/>
      <c r="E10" s="4"/>
      <c r="F10" s="4"/>
      <c r="G10" s="4"/>
      <c r="H10" s="4"/>
      <c r="I10" s="4"/>
      <c r="J10" s="4"/>
      <c r="K10" s="4"/>
    </row>
    <row r="11" spans="1:12" x14ac:dyDescent="0.2">
      <c r="B11" s="2" t="s">
        <v>194</v>
      </c>
      <c r="C11" s="4"/>
      <c r="D11" s="4"/>
      <c r="E11" s="4"/>
      <c r="F11" s="4">
        <f>+Model!Q80+SUM(Model!Q66:Q70)-Model!Q85-Model!Q84</f>
        <v>5578.7020000000002</v>
      </c>
      <c r="G11" s="4">
        <f>+Model!R80+SUM(Model!R66:R70)-Model!R85-Model!R84</f>
        <v>5880.5889999999999</v>
      </c>
      <c r="H11" s="4">
        <f>+Model!S80+SUM(Model!S66:S70)-Model!S85-Model!S84</f>
        <v>6466.2869999999994</v>
      </c>
      <c r="I11" s="4">
        <f>+Model!T80+SUM(Model!T66:T70)-Model!T85-Model!T84</f>
        <v>7048.5019999999995</v>
      </c>
      <c r="J11" s="4">
        <f>+Model!U80+SUM(Model!U66:U70)-Model!U85-Model!U84</f>
        <v>9123.0740000000005</v>
      </c>
      <c r="L11" s="36" t="s">
        <v>195</v>
      </c>
    </row>
    <row r="12" spans="1:12" x14ac:dyDescent="0.2">
      <c r="B12" s="2" t="s">
        <v>196</v>
      </c>
      <c r="C12" s="4"/>
      <c r="D12" s="4"/>
      <c r="E12" s="4"/>
      <c r="F12" s="4">
        <f>+SUM(Model!Q66:Q70)+Model!Q72+Model!Q73-SUM(Model!Q84:Q88)</f>
        <v>2829.8939999999998</v>
      </c>
      <c r="G12" s="4">
        <f>+SUM(Model!R66:R70)+Model!R72+Model!R73-SUM(Model!R84:R88)</f>
        <v>2791.1849999999995</v>
      </c>
      <c r="H12" s="4">
        <f>+SUM(Model!S66:S70)+Model!S72+Model!S73-SUM(Model!S84:S88)</f>
        <v>3461.375</v>
      </c>
      <c r="I12" s="4">
        <f>+SUM(Model!T66:T70)+Model!T72+Model!T73-SUM(Model!T84:T88)</f>
        <v>3604.7499999999995</v>
      </c>
      <c r="J12" s="4">
        <f>+SUM(Model!U66:U70)+Model!U72+Model!U73-SUM(Model!U84:U88)</f>
        <v>4904.8350000000009</v>
      </c>
      <c r="L12" s="36" t="s">
        <v>197</v>
      </c>
    </row>
    <row r="13" spans="1:12" x14ac:dyDescent="0.2">
      <c r="B13" s="2" t="s">
        <v>198</v>
      </c>
      <c r="C13" s="4"/>
      <c r="D13" s="4"/>
      <c r="E13" s="4"/>
      <c r="F13" s="4">
        <f>+SUM(Model!Q66:Q70)+Model!Q72-SUM(Model!Q84:Q88)</f>
        <v>2000.489</v>
      </c>
      <c r="G13" s="4">
        <f>+SUM(Model!R66:R70)+Model!R72-SUM(Model!R84:R88)</f>
        <v>1973.376</v>
      </c>
      <c r="H13" s="4">
        <f>+SUM(Model!S66:S70)+Model!S72-SUM(Model!S84:S88)</f>
        <v>2615.3509999999997</v>
      </c>
      <c r="I13" s="4">
        <f>+SUM(Model!T66:T70)+Model!T72-SUM(Model!T84:T88)</f>
        <v>2736.83</v>
      </c>
      <c r="J13" s="4">
        <f>+SUM(Model!U66:U70)+Model!U72-SUM(Model!U84:U88)</f>
        <v>3004.8480000000004</v>
      </c>
      <c r="L13" s="36"/>
    </row>
    <row r="14" spans="1:12" x14ac:dyDescent="0.2">
      <c r="B14" s="2" t="s">
        <v>199</v>
      </c>
      <c r="C14" s="4"/>
      <c r="D14" s="4"/>
      <c r="E14" s="4"/>
      <c r="F14" s="4">
        <f>+F13+Model!Q65+SUM(Model!Q74:Q79)</f>
        <v>5377.1930000000002</v>
      </c>
      <c r="G14" s="4">
        <f>+G13+Model!R65+SUM(Model!R74:R79)</f>
        <v>5622.875</v>
      </c>
      <c r="H14" s="4">
        <f>+H13+Model!S65+SUM(Model!S74:S79)</f>
        <v>5878.2729999999992</v>
      </c>
      <c r="I14" s="4">
        <f>+I13+Model!T65+SUM(Model!T74:T79)</f>
        <v>6615.9689999999991</v>
      </c>
      <c r="J14" s="4">
        <f>+J13+Model!U65+SUM(Model!U74:U79)</f>
        <v>7878.0689999999995</v>
      </c>
      <c r="L14" s="36" t="s">
        <v>200</v>
      </c>
    </row>
    <row r="15" spans="1:12" x14ac:dyDescent="0.2">
      <c r="B15" s="2" t="s">
        <v>201</v>
      </c>
      <c r="C15" s="4"/>
      <c r="D15" s="4">
        <f>+Model!O32*(1-Model!O62)</f>
        <v>336.78783010734367</v>
      </c>
      <c r="E15" s="4">
        <f>+Model!P32*(1-Model!P62)</f>
        <v>21.050653284953452</v>
      </c>
      <c r="F15" s="4">
        <f>+Model!Q32*(1-Model!Q62)</f>
        <v>342.57437206246857</v>
      </c>
      <c r="G15" s="4">
        <f>+Model!R32*(1-Model!R62)</f>
        <v>557.71095506874406</v>
      </c>
      <c r="H15" s="4">
        <f>+Model!S32*(1-Model!S62)</f>
        <v>735.93631385240656</v>
      </c>
      <c r="I15" s="4">
        <f>+Model!T32*(1-Model!T62)</f>
        <v>907.8418353140305</v>
      </c>
      <c r="J15" s="4">
        <f>+Model!U32*(1-Model!U62)</f>
        <v>924.4923555795292</v>
      </c>
      <c r="L15" s="2" t="s">
        <v>202</v>
      </c>
    </row>
    <row r="16" spans="1:12" x14ac:dyDescent="0.2">
      <c r="B16" s="2" t="s">
        <v>203</v>
      </c>
      <c r="C16" s="4"/>
      <c r="D16" s="4"/>
      <c r="E16" s="4"/>
      <c r="F16" s="4"/>
      <c r="G16" s="4">
        <f t="shared" ref="G16:H16" si="3">+G12-F12</f>
        <v>-38.709000000000287</v>
      </c>
      <c r="H16" s="4">
        <f t="shared" si="3"/>
        <v>670.19000000000051</v>
      </c>
      <c r="I16" s="4">
        <f>+I12-H12</f>
        <v>143.37499999999955</v>
      </c>
      <c r="J16" s="4">
        <f>+J12-I12</f>
        <v>1300.0850000000014</v>
      </c>
      <c r="L16" s="36" t="s">
        <v>204</v>
      </c>
    </row>
    <row r="17" spans="1:12" x14ac:dyDescent="0.2">
      <c r="B17" s="2" t="s">
        <v>205</v>
      </c>
      <c r="C17" s="4"/>
      <c r="D17" s="4"/>
      <c r="E17" s="4"/>
      <c r="F17" s="4"/>
      <c r="G17" s="4">
        <f t="shared" ref="G17:H17" si="4">+G15-G16</f>
        <v>596.41995506874434</v>
      </c>
      <c r="H17" s="4">
        <f t="shared" si="4"/>
        <v>65.746313852406047</v>
      </c>
      <c r="I17" s="4">
        <f>+I15-I16</f>
        <v>764.46683531403096</v>
      </c>
      <c r="J17" s="4">
        <f>+J15-J16</f>
        <v>-375.5926444204722</v>
      </c>
      <c r="L17" s="36" t="s">
        <v>206</v>
      </c>
    </row>
    <row r="18" spans="1:12" x14ac:dyDescent="0.2">
      <c r="B18" s="2" t="s">
        <v>207</v>
      </c>
      <c r="C18" s="4"/>
      <c r="D18" s="4"/>
      <c r="E18" s="4"/>
      <c r="F18" s="4"/>
      <c r="G18" s="28">
        <f t="shared" ref="G18:H18" si="5">+G16/G15</f>
        <v>-6.9406920642663322E-2</v>
      </c>
      <c r="H18" s="28">
        <f t="shared" si="5"/>
        <v>0.91066303888682465</v>
      </c>
      <c r="I18" s="28">
        <f>+I16/I15</f>
        <v>0.15792949214595831</v>
      </c>
      <c r="J18" s="28">
        <f>+J16/J15</f>
        <v>1.4062690644802871</v>
      </c>
      <c r="L18" s="36" t="s">
        <v>208</v>
      </c>
    </row>
    <row r="19" spans="1:12" x14ac:dyDescent="0.2">
      <c r="B19" s="2" t="s">
        <v>209</v>
      </c>
      <c r="C19" s="4"/>
      <c r="D19" s="4"/>
      <c r="E19" s="4"/>
      <c r="F19" s="4"/>
      <c r="G19" s="4"/>
      <c r="H19" s="4"/>
      <c r="I19" s="4"/>
      <c r="J19" s="4"/>
      <c r="L19" s="36" t="s">
        <v>210</v>
      </c>
    </row>
    <row r="20" spans="1:12" x14ac:dyDescent="0.2">
      <c r="C20" s="4"/>
      <c r="D20" s="4"/>
      <c r="E20" s="4"/>
      <c r="F20" s="4"/>
      <c r="G20" s="4"/>
      <c r="H20" s="4"/>
      <c r="I20" s="4"/>
      <c r="J20" s="4"/>
    </row>
    <row r="21" spans="1:12" x14ac:dyDescent="0.2">
      <c r="A21" s="35" t="s">
        <v>192</v>
      </c>
      <c r="B21" s="6" t="s">
        <v>211</v>
      </c>
      <c r="C21" s="4"/>
      <c r="D21" s="4"/>
      <c r="E21" s="4"/>
      <c r="F21" s="4"/>
      <c r="G21" s="4"/>
      <c r="H21" s="4"/>
      <c r="I21" s="4"/>
      <c r="J21" s="4"/>
    </row>
    <row r="22" spans="1:12" x14ac:dyDescent="0.2">
      <c r="B22" s="2" t="s">
        <v>212</v>
      </c>
      <c r="C22" s="8" t="e">
        <f>+Model!N25/Model!N99</f>
        <v>#DIV/0!</v>
      </c>
      <c r="D22" s="8" t="e">
        <f>+Model!O25/Model!O99</f>
        <v>#DIV/0!</v>
      </c>
      <c r="E22" s="8" t="e">
        <f>+Model!P25/Model!P99</f>
        <v>#DIV/0!</v>
      </c>
      <c r="F22" s="8">
        <f>+Model!Q25/Model!Q99</f>
        <v>1.0757593627652628</v>
      </c>
      <c r="G22" s="8">
        <f>+Model!R25/Model!R99</f>
        <v>1.1998422175010612</v>
      </c>
      <c r="H22" s="8">
        <f>+Model!S25/Model!S99</f>
        <v>1.2191498214124039</v>
      </c>
      <c r="I22" s="8">
        <f>+Model!T25/Model!T99</f>
        <v>1.2290175429863126</v>
      </c>
      <c r="J22" s="8">
        <f>+Model!U25/Model!U99</f>
        <v>1.2254219411769622</v>
      </c>
      <c r="L22" s="36" t="s">
        <v>363</v>
      </c>
    </row>
    <row r="23" spans="1:12" x14ac:dyDescent="0.2">
      <c r="B23" s="2" t="s">
        <v>213</v>
      </c>
      <c r="C23" s="4"/>
      <c r="D23" s="4"/>
      <c r="E23" s="28" t="e">
        <f>+Model!P39/Model!P99</f>
        <v>#DIV/0!</v>
      </c>
      <c r="F23" s="28">
        <f>+Model!Q39/Model!Q99</f>
        <v>9.405163836206315E-2</v>
      </c>
      <c r="G23" s="28">
        <f>+Model!R39/Model!R99</f>
        <v>0.13287348665618223</v>
      </c>
      <c r="H23" s="28">
        <f>+Model!S39/Model!S99</f>
        <v>0.17308719619666596</v>
      </c>
      <c r="I23" s="28">
        <f>+Model!T39/Model!T99</f>
        <v>0.18982244316574765</v>
      </c>
      <c r="J23" s="28">
        <f>+Model!U39/Model!U99</f>
        <v>0.18259330693818804</v>
      </c>
      <c r="L23" s="36" t="s">
        <v>214</v>
      </c>
    </row>
    <row r="24" spans="1:12" x14ac:dyDescent="0.2">
      <c r="B24" s="2" t="s">
        <v>215</v>
      </c>
      <c r="C24" s="28" t="e">
        <f>+Model!N32/Ratios!C11</f>
        <v>#DIV/0!</v>
      </c>
      <c r="D24" s="28" t="e">
        <f>+Model!O32/Ratios!D11</f>
        <v>#DIV/0!</v>
      </c>
      <c r="E24" s="28" t="e">
        <f>+Model!P32/Ratios!E11</f>
        <v>#DIV/0!</v>
      </c>
      <c r="F24" s="28">
        <f>+Model!Q32/Ratios!F11</f>
        <v>8.7741557086218322E-2</v>
      </c>
      <c r="G24" s="28">
        <f>+Model!R32/Ratios!G11</f>
        <v>0.14372301822147415</v>
      </c>
      <c r="H24" s="28">
        <f>+Model!S32/Ratios!H11</f>
        <v>0.16418881500310775</v>
      </c>
      <c r="I24" s="28">
        <f>+Model!T32/Ratios!I11</f>
        <v>0.18153502687521408</v>
      </c>
      <c r="J24" s="28">
        <f>+Model!U32/Ratios!J11</f>
        <v>0.14239060211503266</v>
      </c>
      <c r="L24" s="36" t="s">
        <v>216</v>
      </c>
    </row>
    <row r="25" spans="1:12" x14ac:dyDescent="0.2">
      <c r="B25" s="2" t="s">
        <v>217</v>
      </c>
      <c r="C25" s="4"/>
      <c r="D25" s="4"/>
      <c r="E25" s="4"/>
      <c r="F25" s="28">
        <f t="shared" ref="F25:H25" si="6">+F15/F12</f>
        <v>0.12105554909917778</v>
      </c>
      <c r="G25" s="28">
        <f t="shared" si="6"/>
        <v>0.19981153347726652</v>
      </c>
      <c r="H25" s="28">
        <f t="shared" si="6"/>
        <v>0.21261386410094443</v>
      </c>
      <c r="I25" s="28">
        <f>+I15/I12</f>
        <v>0.25184599079382219</v>
      </c>
      <c r="J25" s="28">
        <f>+J15/J12</f>
        <v>0.18848592370172065</v>
      </c>
      <c r="L25" s="36" t="s">
        <v>218</v>
      </c>
    </row>
    <row r="26" spans="1:12" x14ac:dyDescent="0.2">
      <c r="B26" s="2" t="s">
        <v>219</v>
      </c>
      <c r="C26" s="4"/>
      <c r="D26" s="4"/>
      <c r="E26" s="4"/>
      <c r="F26" s="4"/>
      <c r="G26" s="4"/>
      <c r="H26" s="4"/>
      <c r="I26" s="4"/>
      <c r="J26" s="4"/>
      <c r="L26" s="36" t="s">
        <v>220</v>
      </c>
    </row>
    <row r="27" spans="1:12" x14ac:dyDescent="0.2">
      <c r="B27" s="2" t="s">
        <v>221</v>
      </c>
      <c r="C27" s="4"/>
      <c r="D27" s="4"/>
      <c r="E27" s="4"/>
      <c r="F27" s="4"/>
      <c r="G27" s="4"/>
      <c r="H27" s="4"/>
      <c r="I27" s="4"/>
      <c r="J27" s="4"/>
      <c r="L27" s="36" t="s">
        <v>222</v>
      </c>
    </row>
    <row r="28" spans="1:12" x14ac:dyDescent="0.2">
      <c r="C28" s="4"/>
      <c r="D28" s="4"/>
      <c r="E28" s="4"/>
      <c r="F28" s="4"/>
      <c r="G28" s="4"/>
      <c r="H28" s="4"/>
      <c r="I28" s="4"/>
      <c r="J28" s="4"/>
    </row>
    <row r="29" spans="1:12" x14ac:dyDescent="0.2">
      <c r="B29" s="2" t="s">
        <v>223</v>
      </c>
      <c r="C29" s="4"/>
      <c r="D29" s="4"/>
      <c r="E29" s="4"/>
      <c r="F29" s="4"/>
      <c r="G29" s="4"/>
      <c r="H29" s="4"/>
      <c r="I29" s="4"/>
      <c r="J29" s="4"/>
      <c r="L29" s="36" t="s">
        <v>224</v>
      </c>
    </row>
    <row r="30" spans="1:12" x14ac:dyDescent="0.2">
      <c r="B30" s="2" t="s">
        <v>225</v>
      </c>
      <c r="C30" s="4"/>
      <c r="D30" s="4"/>
      <c r="E30" s="4"/>
      <c r="F30" s="4"/>
      <c r="G30" s="4"/>
      <c r="H30" s="4"/>
      <c r="I30" s="4"/>
      <c r="J30" s="4"/>
      <c r="L30" s="36" t="s">
        <v>226</v>
      </c>
    </row>
    <row r="31" spans="1:12" x14ac:dyDescent="0.2">
      <c r="B31" s="2" t="s">
        <v>227</v>
      </c>
      <c r="C31" s="4"/>
      <c r="D31" s="4"/>
      <c r="E31" s="4"/>
      <c r="F31" s="4"/>
      <c r="G31" s="4"/>
      <c r="H31" s="4"/>
      <c r="I31" s="4"/>
      <c r="J31" s="4"/>
      <c r="L31" s="36" t="s">
        <v>228</v>
      </c>
    </row>
    <row r="32" spans="1:12" x14ac:dyDescent="0.2">
      <c r="B32" s="2" t="s">
        <v>229</v>
      </c>
      <c r="C32" s="4"/>
      <c r="D32" s="4"/>
      <c r="E32" s="4"/>
      <c r="F32" s="4"/>
      <c r="G32" s="4"/>
      <c r="H32" s="4"/>
      <c r="I32" s="4"/>
      <c r="J32" s="4"/>
      <c r="L32" s="36" t="s">
        <v>230</v>
      </c>
    </row>
    <row r="33" spans="1:12" x14ac:dyDescent="0.2">
      <c r="C33" s="4"/>
      <c r="D33" s="4"/>
      <c r="E33" s="4"/>
      <c r="F33" s="4"/>
      <c r="G33" s="4"/>
      <c r="H33" s="4"/>
      <c r="I33" s="4"/>
      <c r="J33" s="4"/>
    </row>
    <row r="34" spans="1:12" x14ac:dyDescent="0.2">
      <c r="A34" s="35" t="s">
        <v>192</v>
      </c>
      <c r="B34" s="6" t="s">
        <v>231</v>
      </c>
      <c r="C34" s="4"/>
      <c r="D34" s="4"/>
      <c r="E34" s="4"/>
      <c r="F34" s="4"/>
      <c r="G34" s="4"/>
      <c r="H34" s="4"/>
      <c r="I34" s="4"/>
      <c r="J34" s="4"/>
    </row>
    <row r="35" spans="1:12" x14ac:dyDescent="0.2">
      <c r="B35" s="2" t="s">
        <v>232</v>
      </c>
      <c r="C35" s="4"/>
      <c r="D35" s="4"/>
      <c r="E35" s="4"/>
      <c r="F35" s="4"/>
      <c r="G35" s="4"/>
      <c r="H35" s="4"/>
      <c r="I35" s="4"/>
      <c r="J35" s="4"/>
      <c r="L35" s="36" t="s">
        <v>233</v>
      </c>
    </row>
    <row r="36" spans="1:12" x14ac:dyDescent="0.2">
      <c r="B36" s="2" t="s">
        <v>234</v>
      </c>
      <c r="C36" s="4"/>
      <c r="D36" s="4"/>
      <c r="E36" s="4"/>
      <c r="F36" s="4"/>
      <c r="G36" s="4"/>
      <c r="H36" s="4"/>
      <c r="I36" s="4"/>
      <c r="J36" s="4"/>
      <c r="L36" s="36" t="s">
        <v>235</v>
      </c>
    </row>
    <row r="37" spans="1:12" x14ac:dyDescent="0.2">
      <c r="B37" s="2" t="s">
        <v>236</v>
      </c>
      <c r="C37" s="4"/>
      <c r="D37" s="4"/>
      <c r="E37" s="4"/>
      <c r="F37" s="4"/>
      <c r="G37" s="4"/>
      <c r="H37" s="4"/>
      <c r="I37" s="4"/>
      <c r="J37" s="4"/>
      <c r="L37" s="36" t="s">
        <v>237</v>
      </c>
    </row>
    <row r="38" spans="1:12" x14ac:dyDescent="0.2">
      <c r="B38" s="2" t="s">
        <v>238</v>
      </c>
      <c r="C38" s="4"/>
      <c r="D38" s="4"/>
      <c r="E38" s="4"/>
      <c r="F38" s="4"/>
      <c r="G38" s="4"/>
      <c r="H38" s="4"/>
      <c r="I38" s="4"/>
      <c r="J38" s="4"/>
      <c r="L38" s="36" t="s">
        <v>239</v>
      </c>
    </row>
    <row r="39" spans="1:12" x14ac:dyDescent="0.2">
      <c r="B39" s="2" t="s">
        <v>240</v>
      </c>
      <c r="C39" s="4"/>
      <c r="D39" s="4"/>
      <c r="E39" s="4"/>
      <c r="F39" s="4"/>
      <c r="G39" s="4"/>
      <c r="H39" s="4"/>
      <c r="I39" s="4"/>
      <c r="J39" s="4"/>
      <c r="L39" s="36" t="s">
        <v>241</v>
      </c>
    </row>
    <row r="40" spans="1:12" x14ac:dyDescent="0.2">
      <c r="C40" s="4"/>
      <c r="D40" s="4"/>
      <c r="E40" s="4"/>
      <c r="F40" s="4"/>
      <c r="G40" s="4"/>
      <c r="H40" s="4"/>
      <c r="I40" s="4"/>
      <c r="J40" s="4"/>
    </row>
    <row r="41" spans="1:12" x14ac:dyDescent="0.2">
      <c r="A41" s="35" t="s">
        <v>192</v>
      </c>
      <c r="B41" s="6" t="s">
        <v>242</v>
      </c>
      <c r="C41" s="4"/>
      <c r="D41" s="4"/>
      <c r="E41" s="4"/>
      <c r="F41" s="4"/>
      <c r="G41" s="4"/>
      <c r="H41" s="4"/>
      <c r="I41" s="4"/>
      <c r="J41" s="4"/>
    </row>
    <row r="42" spans="1:12" x14ac:dyDescent="0.2">
      <c r="B42" s="2" t="s">
        <v>243</v>
      </c>
      <c r="C42" s="4"/>
      <c r="D42" s="4"/>
      <c r="E42" s="4"/>
      <c r="F42" s="4">
        <f>+Model!Q66/Model!Q25*360</f>
        <v>35.249155665132648</v>
      </c>
      <c r="G42" s="4">
        <f>+Model!R66/Model!R25*360</f>
        <v>28.445292350703724</v>
      </c>
      <c r="H42" s="4">
        <f>+Model!S66/Model!S25*360</f>
        <v>30.85943224150418</v>
      </c>
      <c r="I42" s="4">
        <f>+Model!T66/Model!T25*360</f>
        <v>28.084742551721359</v>
      </c>
      <c r="J42" s="4">
        <f>+Model!U66/Model!U25*360</f>
        <v>29.496657729809826</v>
      </c>
      <c r="L42" s="36" t="s">
        <v>244</v>
      </c>
    </row>
    <row r="43" spans="1:12" x14ac:dyDescent="0.2">
      <c r="B43" s="2" t="s">
        <v>245</v>
      </c>
      <c r="C43" s="4"/>
      <c r="D43" s="4"/>
      <c r="E43" s="4"/>
      <c r="F43" s="4">
        <f>+Model!Q85/Model!Q25*360</f>
        <v>41.732791746777082</v>
      </c>
      <c r="G43" s="4">
        <f>+Model!R85/Model!R25*360</f>
        <v>34.434388386244677</v>
      </c>
      <c r="H43" s="4">
        <f>+Model!S85/Model!S25*360</f>
        <v>34.533458897247826</v>
      </c>
      <c r="I43" s="4">
        <f>+Model!T85/Model!T25*360</f>
        <v>31.92112316965467</v>
      </c>
      <c r="J43" s="4">
        <f>+Model!U85/Model!U25*360</f>
        <v>39.552064609819539</v>
      </c>
      <c r="L43" s="36" t="s">
        <v>246</v>
      </c>
    </row>
    <row r="44" spans="1:12" x14ac:dyDescent="0.2">
      <c r="B44" s="2" t="s">
        <v>247</v>
      </c>
      <c r="C44" s="28"/>
      <c r="D44" s="28"/>
      <c r="E44" s="28"/>
      <c r="F44" s="28">
        <f>+Model!Q67/Model!Q100</f>
        <v>9.5222438935647608E-2</v>
      </c>
      <c r="G44" s="28">
        <f>+Model!R67/Model!R100</f>
        <v>0.10307678210925049</v>
      </c>
      <c r="H44" s="28">
        <f>+Model!S67/Model!S100</f>
        <v>0.10281979726728027</v>
      </c>
      <c r="I44" s="28">
        <f>+Model!T67/Model!T100</f>
        <v>0.10130574895154469</v>
      </c>
      <c r="J44" s="28">
        <f>+Model!U67/Model!U100</f>
        <v>9.616353581568278E-2</v>
      </c>
      <c r="L44" s="36" t="s">
        <v>248</v>
      </c>
    </row>
    <row r="45" spans="1:12" x14ac:dyDescent="0.2">
      <c r="B45" s="2" t="s">
        <v>249</v>
      </c>
      <c r="C45" s="4"/>
      <c r="D45" s="4"/>
      <c r="E45" s="4"/>
      <c r="F45" s="8">
        <f>+Model!Q26/Model!Q67</f>
        <v>1.234896341076942</v>
      </c>
      <c r="G45" s="8">
        <f>+Model!R26/Model!R67</f>
        <v>1.1684815841000873</v>
      </c>
      <c r="H45" s="8">
        <f>+Model!S26/Model!S67</f>
        <v>1.180927178030545</v>
      </c>
      <c r="I45" s="8">
        <f>+Model!T26/Model!T67</f>
        <v>1.264044749238016</v>
      </c>
      <c r="J45" s="8">
        <f>+Model!U26/Model!U67</f>
        <v>1.0627000628870245</v>
      </c>
      <c r="L45" s="36" t="s">
        <v>250</v>
      </c>
    </row>
    <row r="46" spans="1:12" x14ac:dyDescent="0.2">
      <c r="B46" s="2" t="s">
        <v>251</v>
      </c>
      <c r="C46" s="4"/>
      <c r="D46" s="4"/>
      <c r="E46" s="4"/>
      <c r="F46" s="4">
        <f t="shared" ref="F46:H46" si="7">360/F45</f>
        <v>291.52244445557852</v>
      </c>
      <c r="G46" s="4">
        <f t="shared" si="7"/>
        <v>308.09214702108983</v>
      </c>
      <c r="H46" s="4">
        <f t="shared" si="7"/>
        <v>304.84521543519639</v>
      </c>
      <c r="I46" s="4">
        <f>360/I45</f>
        <v>284.80004384102153</v>
      </c>
      <c r="J46" s="4">
        <f>360/J45</f>
        <v>338.75974282149974</v>
      </c>
      <c r="L46" s="36" t="s">
        <v>252</v>
      </c>
    </row>
    <row r="47" spans="1:12" x14ac:dyDescent="0.2">
      <c r="B47" s="2" t="s">
        <v>253</v>
      </c>
      <c r="C47" s="4"/>
      <c r="D47" s="4"/>
      <c r="E47" s="4"/>
      <c r="F47" s="4">
        <f t="shared" ref="F47:H47" si="8">+F42+F46-F43</f>
        <v>285.0388083739341</v>
      </c>
      <c r="G47" s="4">
        <f t="shared" si="8"/>
        <v>302.10305098554886</v>
      </c>
      <c r="H47" s="4">
        <f t="shared" si="8"/>
        <v>301.17118877945273</v>
      </c>
      <c r="I47" s="4">
        <f>+I42+I46-I43</f>
        <v>280.96366322308825</v>
      </c>
      <c r="J47" s="4">
        <f>+J42+J46-J43</f>
        <v>328.70433594149006</v>
      </c>
      <c r="L47" s="36" t="s">
        <v>254</v>
      </c>
    </row>
    <row r="48" spans="1:12" x14ac:dyDescent="0.2">
      <c r="C48" s="4"/>
      <c r="D48" s="4"/>
      <c r="E48" s="4"/>
      <c r="F48" s="4"/>
      <c r="G48" s="4"/>
      <c r="H48" s="4"/>
      <c r="I48" s="4"/>
      <c r="J48" s="4"/>
    </row>
    <row r="49" spans="1:12" x14ac:dyDescent="0.2">
      <c r="A49" s="35" t="s">
        <v>192</v>
      </c>
      <c r="B49" s="6" t="s">
        <v>255</v>
      </c>
      <c r="C49" s="4"/>
      <c r="D49" s="4"/>
      <c r="E49" s="4"/>
      <c r="F49" s="4"/>
      <c r="G49" s="4"/>
      <c r="H49" s="4"/>
      <c r="I49" s="4"/>
      <c r="J49" s="4"/>
    </row>
    <row r="50" spans="1:12" x14ac:dyDescent="0.2">
      <c r="B50" s="6" t="s">
        <v>256</v>
      </c>
      <c r="C50" s="4"/>
      <c r="D50" s="4"/>
      <c r="E50" s="4"/>
      <c r="F50" s="4"/>
      <c r="G50" s="4"/>
      <c r="H50" s="4"/>
      <c r="I50" s="4"/>
      <c r="J50" s="4"/>
    </row>
    <row r="51" spans="1:12" x14ac:dyDescent="0.2">
      <c r="B51" s="2" t="s">
        <v>257</v>
      </c>
      <c r="C51" s="4"/>
      <c r="D51" s="4"/>
      <c r="E51" s="4"/>
      <c r="F51" s="4"/>
      <c r="G51" s="4"/>
      <c r="H51" s="4"/>
      <c r="I51" s="4"/>
      <c r="J51" s="4"/>
      <c r="L51" s="36" t="s">
        <v>258</v>
      </c>
    </row>
    <row r="52" spans="1:12" x14ac:dyDescent="0.2">
      <c r="B52" s="2" t="s">
        <v>259</v>
      </c>
      <c r="C52" s="4"/>
      <c r="D52" s="4"/>
      <c r="E52" s="4"/>
      <c r="F52" s="4"/>
      <c r="G52" s="4"/>
      <c r="H52" s="4"/>
      <c r="I52" s="4"/>
      <c r="J52" s="4"/>
      <c r="L52" s="36" t="s">
        <v>260</v>
      </c>
    </row>
    <row r="53" spans="1:12" x14ac:dyDescent="0.2">
      <c r="B53" s="2" t="s">
        <v>261</v>
      </c>
      <c r="C53" s="4"/>
      <c r="D53" s="4"/>
      <c r="E53" s="4"/>
      <c r="F53" s="4"/>
      <c r="G53" s="4"/>
      <c r="H53" s="4"/>
      <c r="I53" s="4"/>
      <c r="J53" s="4"/>
      <c r="L53" s="36" t="s">
        <v>262</v>
      </c>
    </row>
    <row r="54" spans="1:12" x14ac:dyDescent="0.2">
      <c r="B54" s="2" t="s">
        <v>263</v>
      </c>
      <c r="C54" s="4"/>
      <c r="D54" s="4"/>
      <c r="E54" s="4"/>
      <c r="F54" s="4"/>
      <c r="G54" s="4"/>
      <c r="H54" s="4"/>
      <c r="I54" s="4"/>
      <c r="J54" s="4"/>
      <c r="L54" s="36" t="s">
        <v>264</v>
      </c>
    </row>
    <row r="55" spans="1:12" x14ac:dyDescent="0.2">
      <c r="B55" s="2" t="s">
        <v>265</v>
      </c>
      <c r="C55" s="4"/>
      <c r="D55" s="4"/>
      <c r="E55" s="4"/>
      <c r="F55" s="4"/>
      <c r="G55" s="4"/>
      <c r="H55" s="4"/>
      <c r="I55" s="4"/>
      <c r="J55" s="4"/>
      <c r="L55" s="36" t="s">
        <v>266</v>
      </c>
    </row>
    <row r="56" spans="1:12" x14ac:dyDescent="0.2">
      <c r="B56" s="2" t="s">
        <v>267</v>
      </c>
      <c r="C56" s="4"/>
      <c r="D56" s="4"/>
      <c r="E56" s="4"/>
      <c r="F56" s="4"/>
      <c r="G56" s="4"/>
      <c r="H56" s="4"/>
      <c r="I56" s="4"/>
      <c r="J56" s="4"/>
      <c r="L56" s="36" t="s">
        <v>268</v>
      </c>
    </row>
    <row r="57" spans="1:12" x14ac:dyDescent="0.2">
      <c r="B57" s="6" t="s">
        <v>269</v>
      </c>
      <c r="C57" s="4"/>
      <c r="D57" s="4"/>
      <c r="E57" s="4"/>
      <c r="F57" s="4"/>
      <c r="G57" s="4"/>
      <c r="H57" s="4"/>
      <c r="I57" s="4"/>
      <c r="J57" s="4"/>
    </row>
    <row r="58" spans="1:12" x14ac:dyDescent="0.2">
      <c r="B58" s="2" t="s">
        <v>270</v>
      </c>
      <c r="C58" s="4"/>
      <c r="D58" s="4"/>
      <c r="E58" s="4"/>
      <c r="F58" s="4"/>
      <c r="G58" s="4"/>
      <c r="H58" s="4"/>
      <c r="I58" s="4"/>
      <c r="J58" s="4"/>
      <c r="L58" s="36" t="s">
        <v>271</v>
      </c>
    </row>
    <row r="59" spans="1:12" x14ac:dyDescent="0.2">
      <c r="B59" s="2" t="s">
        <v>272</v>
      </c>
      <c r="C59" s="4"/>
      <c r="D59" s="4"/>
      <c r="E59" s="4"/>
      <c r="F59" s="4"/>
      <c r="G59" s="4"/>
      <c r="H59" s="4"/>
      <c r="I59" s="4"/>
      <c r="J59" s="4"/>
      <c r="L59" s="36" t="s">
        <v>273</v>
      </c>
    </row>
    <row r="60" spans="1:12" x14ac:dyDescent="0.2">
      <c r="B60" s="2" t="s">
        <v>274</v>
      </c>
      <c r="C60" s="4"/>
      <c r="D60" s="4"/>
      <c r="E60" s="4"/>
      <c r="F60" s="4"/>
      <c r="G60" s="4"/>
      <c r="H60" s="4"/>
      <c r="I60" s="4"/>
      <c r="J60" s="4"/>
      <c r="L60" s="36" t="s">
        <v>275</v>
      </c>
    </row>
    <row r="61" spans="1:12" x14ac:dyDescent="0.2">
      <c r="B61" s="2" t="s">
        <v>276</v>
      </c>
      <c r="C61" s="4"/>
      <c r="D61" s="4"/>
      <c r="E61" s="4"/>
      <c r="F61" s="4"/>
      <c r="G61" s="4"/>
      <c r="H61" s="4"/>
      <c r="I61" s="4"/>
      <c r="J61" s="4"/>
      <c r="L61" s="36" t="s">
        <v>277</v>
      </c>
    </row>
    <row r="62" spans="1:12" x14ac:dyDescent="0.2">
      <c r="C62" s="4"/>
      <c r="D62" s="4"/>
      <c r="E62" s="4"/>
      <c r="F62" s="4"/>
      <c r="G62" s="4"/>
      <c r="H62" s="4"/>
      <c r="I62" s="4"/>
      <c r="J62" s="4"/>
    </row>
    <row r="63" spans="1:12" x14ac:dyDescent="0.2">
      <c r="C63" s="4"/>
      <c r="D63" s="4"/>
      <c r="E63" s="4"/>
      <c r="F63" s="4"/>
      <c r="G63" s="4"/>
      <c r="H63" s="4"/>
      <c r="I63" s="4"/>
      <c r="J63" s="4"/>
    </row>
    <row r="64" spans="1:12" x14ac:dyDescent="0.2">
      <c r="C64" s="4"/>
      <c r="D64" s="4"/>
      <c r="E64" s="4"/>
      <c r="F64" s="4"/>
      <c r="G64" s="4"/>
      <c r="H64" s="4"/>
      <c r="I64" s="4"/>
      <c r="J64" s="4"/>
    </row>
    <row r="65" spans="3:10" x14ac:dyDescent="0.2">
      <c r="C65" s="4"/>
      <c r="D65" s="4"/>
      <c r="E65" s="4"/>
      <c r="F65" s="4"/>
      <c r="G65" s="4"/>
      <c r="H65" s="4"/>
      <c r="I65" s="4"/>
      <c r="J65" s="4"/>
    </row>
    <row r="66" spans="3:10" x14ac:dyDescent="0.2">
      <c r="C66" s="4"/>
      <c r="D66" s="4"/>
      <c r="E66" s="4"/>
      <c r="F66" s="4"/>
      <c r="G66" s="4"/>
      <c r="H66" s="4"/>
      <c r="I66" s="4"/>
      <c r="J66" s="4"/>
    </row>
    <row r="67" spans="3:10" x14ac:dyDescent="0.2">
      <c r="C67" s="4"/>
      <c r="D67" s="4"/>
      <c r="E67" s="4"/>
      <c r="F67" s="4"/>
      <c r="G67" s="4"/>
      <c r="H67" s="4"/>
      <c r="I67" s="4"/>
      <c r="J67" s="4"/>
    </row>
    <row r="68" spans="3:10" x14ac:dyDescent="0.2">
      <c r="C68" s="4"/>
      <c r="D68" s="4"/>
      <c r="E68" s="4"/>
      <c r="F68" s="4"/>
      <c r="G68" s="4"/>
      <c r="H68" s="4"/>
      <c r="I68" s="4"/>
      <c r="J68" s="4"/>
    </row>
    <row r="69" spans="3:10" x14ac:dyDescent="0.2">
      <c r="C69" s="4"/>
      <c r="D69" s="4"/>
      <c r="E69" s="4"/>
      <c r="F69" s="4"/>
      <c r="G69" s="4"/>
      <c r="H69" s="4"/>
      <c r="I69" s="4"/>
      <c r="J69" s="4"/>
    </row>
    <row r="70" spans="3:10" x14ac:dyDescent="0.2">
      <c r="C70" s="4"/>
      <c r="D70" s="4"/>
      <c r="E70" s="4"/>
      <c r="F70" s="4"/>
      <c r="G70" s="4"/>
      <c r="H70" s="4"/>
      <c r="I70" s="4"/>
      <c r="J70" s="4"/>
    </row>
    <row r="71" spans="3:10" x14ac:dyDescent="0.2">
      <c r="C71" s="4"/>
      <c r="D71" s="4"/>
      <c r="E71" s="4"/>
      <c r="F71" s="4"/>
      <c r="G71" s="4"/>
      <c r="H71" s="4"/>
      <c r="I71" s="4"/>
      <c r="J71" s="4"/>
    </row>
    <row r="72" spans="3:10" x14ac:dyDescent="0.2">
      <c r="C72" s="4"/>
      <c r="D72" s="4"/>
      <c r="E72" s="4"/>
      <c r="F72" s="4"/>
      <c r="G72" s="4"/>
      <c r="H72" s="4"/>
      <c r="I72" s="4"/>
      <c r="J72" s="4"/>
    </row>
    <row r="73" spans="3:10" x14ac:dyDescent="0.2">
      <c r="C73" s="4"/>
      <c r="D73" s="4"/>
      <c r="E73" s="4"/>
      <c r="F73" s="4"/>
      <c r="G73" s="4"/>
      <c r="H73" s="4"/>
      <c r="I73" s="4"/>
      <c r="J73" s="4"/>
    </row>
    <row r="74" spans="3:10" x14ac:dyDescent="0.2">
      <c r="C74" s="4"/>
      <c r="D74" s="4"/>
      <c r="E74" s="4"/>
      <c r="F74" s="4"/>
      <c r="G74" s="4"/>
      <c r="H74" s="4"/>
      <c r="I74" s="4"/>
      <c r="J74" s="4"/>
    </row>
    <row r="75" spans="3:10" x14ac:dyDescent="0.2">
      <c r="C75" s="4"/>
      <c r="D75" s="4"/>
      <c r="E75" s="4"/>
      <c r="F75" s="4"/>
      <c r="G75" s="4"/>
      <c r="H75" s="4"/>
      <c r="I75" s="4"/>
      <c r="J75" s="4"/>
    </row>
    <row r="76" spans="3:10" x14ac:dyDescent="0.2">
      <c r="C76" s="4"/>
      <c r="D76" s="4"/>
      <c r="E76" s="4"/>
      <c r="F76" s="4"/>
      <c r="G76" s="4"/>
      <c r="H76" s="4"/>
      <c r="I76" s="4"/>
      <c r="J76" s="4"/>
    </row>
    <row r="77" spans="3:10" x14ac:dyDescent="0.2">
      <c r="C77" s="4"/>
      <c r="D77" s="4"/>
      <c r="E77" s="4"/>
      <c r="F77" s="4"/>
      <c r="G77" s="4"/>
      <c r="H77" s="4"/>
      <c r="I77" s="4"/>
      <c r="J77" s="4"/>
    </row>
    <row r="78" spans="3:10" x14ac:dyDescent="0.2">
      <c r="C78" s="4"/>
      <c r="D78" s="4"/>
      <c r="E78" s="4"/>
      <c r="F78" s="4"/>
      <c r="G78" s="4"/>
      <c r="H78" s="4"/>
      <c r="I78" s="4"/>
      <c r="J78" s="4"/>
    </row>
    <row r="79" spans="3:10" x14ac:dyDescent="0.2">
      <c r="C79" s="4"/>
      <c r="D79" s="4"/>
      <c r="E79" s="4"/>
      <c r="F79" s="4"/>
      <c r="G79" s="4"/>
      <c r="H79" s="4"/>
      <c r="I79" s="4"/>
      <c r="J79" s="4"/>
    </row>
    <row r="80" spans="3:10" x14ac:dyDescent="0.2">
      <c r="C80" s="4"/>
      <c r="D80" s="4"/>
      <c r="E80" s="4"/>
      <c r="F80" s="4"/>
      <c r="G80" s="4"/>
      <c r="H80" s="4"/>
      <c r="I80" s="4"/>
      <c r="J80" s="4"/>
    </row>
    <row r="81" spans="3:10" x14ac:dyDescent="0.2">
      <c r="C81" s="4"/>
      <c r="D81" s="4"/>
      <c r="E81" s="4"/>
      <c r="F81" s="4"/>
      <c r="G81" s="4"/>
      <c r="H81" s="4"/>
      <c r="I81" s="4"/>
      <c r="J81" s="4"/>
    </row>
    <row r="82" spans="3:10" x14ac:dyDescent="0.2">
      <c r="C82" s="4"/>
      <c r="D82" s="4"/>
      <c r="E82" s="4"/>
      <c r="F82" s="4"/>
      <c r="G82" s="4"/>
      <c r="H82" s="4"/>
      <c r="I82" s="4"/>
      <c r="J82" s="4"/>
    </row>
    <row r="83" spans="3:10" x14ac:dyDescent="0.2">
      <c r="C83" s="4"/>
      <c r="D83" s="4"/>
      <c r="E83" s="4"/>
      <c r="F83" s="4"/>
      <c r="G83" s="4"/>
      <c r="H83" s="4"/>
      <c r="I83" s="4"/>
      <c r="J83" s="4"/>
    </row>
    <row r="84" spans="3:10" x14ac:dyDescent="0.2">
      <c r="C84" s="4"/>
      <c r="D84" s="4"/>
      <c r="E84" s="4"/>
      <c r="F84" s="4"/>
      <c r="G84" s="4"/>
      <c r="H84" s="4"/>
      <c r="I84" s="4"/>
      <c r="J84" s="4"/>
    </row>
    <row r="85" spans="3:10" x14ac:dyDescent="0.2">
      <c r="C85" s="4"/>
      <c r="D85" s="4"/>
      <c r="E85" s="4"/>
      <c r="F85" s="4"/>
      <c r="G85" s="4"/>
      <c r="H85" s="4"/>
      <c r="I85" s="4"/>
      <c r="J85" s="4"/>
    </row>
    <row r="86" spans="3:10" x14ac:dyDescent="0.2">
      <c r="C86" s="4"/>
      <c r="D86" s="4"/>
      <c r="E86" s="4"/>
      <c r="F86" s="4"/>
      <c r="G86" s="4"/>
      <c r="H86" s="4"/>
      <c r="I86" s="4"/>
      <c r="J86" s="4"/>
    </row>
    <row r="87" spans="3:10" x14ac:dyDescent="0.2">
      <c r="C87" s="4"/>
      <c r="D87" s="4"/>
      <c r="E87" s="4"/>
      <c r="F87" s="4"/>
      <c r="G87" s="4"/>
      <c r="H87" s="4"/>
      <c r="I87" s="4"/>
      <c r="J87" s="4"/>
    </row>
    <row r="88" spans="3:10" x14ac:dyDescent="0.2">
      <c r="C88" s="4"/>
      <c r="D88" s="4"/>
      <c r="E88" s="4"/>
      <c r="F88" s="4"/>
      <c r="G88" s="4"/>
      <c r="H88" s="4"/>
      <c r="I88" s="4"/>
      <c r="J88" s="4"/>
    </row>
    <row r="89" spans="3:10" x14ac:dyDescent="0.2">
      <c r="C89" s="4"/>
      <c r="D89" s="4"/>
      <c r="E89" s="4"/>
      <c r="F89" s="4"/>
      <c r="G89" s="4"/>
      <c r="H89" s="4"/>
      <c r="I89" s="4"/>
      <c r="J89" s="4"/>
    </row>
    <row r="90" spans="3:10" x14ac:dyDescent="0.2">
      <c r="C90" s="4"/>
      <c r="D90" s="4"/>
      <c r="E90" s="4"/>
      <c r="F90" s="4"/>
      <c r="G90" s="4"/>
      <c r="H90" s="4"/>
      <c r="I90" s="4"/>
      <c r="J90" s="4"/>
    </row>
    <row r="91" spans="3:10" x14ac:dyDescent="0.2">
      <c r="C91" s="4"/>
      <c r="D91" s="4"/>
      <c r="E91" s="4"/>
      <c r="F91" s="4"/>
      <c r="G91" s="4"/>
      <c r="H91" s="4"/>
      <c r="I91" s="4"/>
      <c r="J91" s="4"/>
    </row>
    <row r="92" spans="3:10" x14ac:dyDescent="0.2">
      <c r="C92" s="4"/>
      <c r="D92" s="4"/>
      <c r="E92" s="4"/>
      <c r="F92" s="4"/>
      <c r="G92" s="4"/>
      <c r="H92" s="4"/>
      <c r="I92" s="4"/>
      <c r="J92" s="4"/>
    </row>
    <row r="93" spans="3:10" x14ac:dyDescent="0.2">
      <c r="C93" s="4"/>
      <c r="D93" s="4"/>
      <c r="E93" s="4"/>
      <c r="F93" s="4"/>
      <c r="G93" s="4"/>
      <c r="H93" s="4"/>
      <c r="I93" s="4"/>
      <c r="J93" s="4"/>
    </row>
    <row r="94" spans="3:10" x14ac:dyDescent="0.2">
      <c r="C94" s="4"/>
      <c r="D94" s="4"/>
      <c r="E94" s="4"/>
      <c r="F94" s="4"/>
      <c r="G94" s="4"/>
      <c r="H94" s="4"/>
      <c r="I94" s="4"/>
      <c r="J94" s="4"/>
    </row>
    <row r="95" spans="3:10" x14ac:dyDescent="0.2">
      <c r="C95" s="4"/>
      <c r="D95" s="4"/>
      <c r="E95" s="4"/>
      <c r="F95" s="4"/>
      <c r="G95" s="4"/>
      <c r="H95" s="4"/>
      <c r="I95" s="4"/>
      <c r="J95" s="4"/>
    </row>
    <row r="96" spans="3:10" x14ac:dyDescent="0.2">
      <c r="C96" s="4"/>
      <c r="D96" s="4"/>
      <c r="E96" s="4"/>
      <c r="F96" s="4"/>
      <c r="G96" s="4"/>
      <c r="H96" s="4"/>
      <c r="I96" s="4"/>
      <c r="J96" s="4"/>
    </row>
    <row r="97" spans="3:10" x14ac:dyDescent="0.2">
      <c r="C97" s="4"/>
      <c r="D97" s="4"/>
      <c r="E97" s="4"/>
      <c r="F97" s="4"/>
      <c r="G97" s="4"/>
      <c r="H97" s="4"/>
      <c r="I97" s="4"/>
      <c r="J97" s="4"/>
    </row>
    <row r="98" spans="3:10" x14ac:dyDescent="0.2">
      <c r="C98" s="4"/>
      <c r="D98" s="4"/>
      <c r="E98" s="4"/>
      <c r="F98" s="4"/>
      <c r="G98" s="4"/>
      <c r="H98" s="4"/>
      <c r="I98" s="4"/>
      <c r="J98" s="4"/>
    </row>
    <row r="99" spans="3:10" x14ac:dyDescent="0.2">
      <c r="C99" s="4"/>
      <c r="D99" s="4"/>
      <c r="E99" s="4"/>
      <c r="F99" s="4"/>
      <c r="G99" s="4"/>
      <c r="H99" s="4"/>
      <c r="I99" s="4"/>
      <c r="J99" s="4"/>
    </row>
    <row r="100" spans="3:10" x14ac:dyDescent="0.2">
      <c r="C100" s="4"/>
      <c r="D100" s="4"/>
      <c r="E100" s="4"/>
      <c r="F100" s="4"/>
      <c r="G100" s="4"/>
      <c r="H100" s="4"/>
      <c r="I100" s="4"/>
      <c r="J100" s="4"/>
    </row>
    <row r="101" spans="3:10" x14ac:dyDescent="0.2">
      <c r="C101" s="4"/>
      <c r="D101" s="4"/>
      <c r="E101" s="4"/>
      <c r="F101" s="4"/>
      <c r="G101" s="4"/>
      <c r="H101" s="4"/>
      <c r="I101" s="4"/>
      <c r="J101" s="4"/>
    </row>
    <row r="102" spans="3:10" x14ac:dyDescent="0.2">
      <c r="C102" s="4"/>
      <c r="D102" s="4"/>
      <c r="E102" s="4"/>
      <c r="F102" s="4"/>
      <c r="G102" s="4"/>
      <c r="H102" s="4"/>
      <c r="I102" s="4"/>
      <c r="J102" s="4"/>
    </row>
    <row r="103" spans="3:10" x14ac:dyDescent="0.2">
      <c r="C103" s="4"/>
      <c r="D103" s="4"/>
      <c r="E103" s="4"/>
      <c r="F103" s="4"/>
      <c r="G103" s="4"/>
      <c r="H103" s="4"/>
      <c r="I103" s="4"/>
      <c r="J103" s="4"/>
    </row>
    <row r="104" spans="3:10" x14ac:dyDescent="0.2">
      <c r="C104" s="4"/>
      <c r="D104" s="4"/>
      <c r="E104" s="4"/>
      <c r="F104" s="4"/>
      <c r="G104" s="4"/>
      <c r="H104" s="4"/>
      <c r="I104" s="4"/>
      <c r="J104" s="4"/>
    </row>
    <row r="105" spans="3:10" x14ac:dyDescent="0.2">
      <c r="C105" s="4"/>
      <c r="D105" s="4"/>
      <c r="E105" s="4"/>
      <c r="F105" s="4"/>
      <c r="G105" s="4"/>
      <c r="H105" s="4"/>
      <c r="I105" s="4"/>
      <c r="J105" s="4"/>
    </row>
    <row r="106" spans="3:10" x14ac:dyDescent="0.2">
      <c r="C106" s="4"/>
      <c r="D106" s="4"/>
      <c r="E106" s="4"/>
      <c r="F106" s="4"/>
      <c r="G106" s="4"/>
      <c r="H106" s="4"/>
      <c r="I106" s="4"/>
      <c r="J106" s="4"/>
    </row>
    <row r="107" spans="3:10" x14ac:dyDescent="0.2">
      <c r="C107" s="4"/>
      <c r="D107" s="4"/>
      <c r="E107" s="4"/>
      <c r="F107" s="4"/>
      <c r="G107" s="4"/>
      <c r="H107" s="4"/>
      <c r="I107" s="4"/>
      <c r="J107" s="4"/>
    </row>
    <row r="108" spans="3:10" x14ac:dyDescent="0.2">
      <c r="C108" s="4"/>
      <c r="D108" s="4"/>
      <c r="E108" s="4"/>
      <c r="F108" s="4"/>
      <c r="G108" s="4"/>
      <c r="H108" s="4"/>
      <c r="I108" s="4"/>
      <c r="J108" s="4"/>
    </row>
    <row r="109" spans="3:10" x14ac:dyDescent="0.2">
      <c r="C109" s="4"/>
      <c r="D109" s="4"/>
      <c r="E109" s="4"/>
      <c r="F109" s="4"/>
      <c r="G109" s="4"/>
      <c r="H109" s="4"/>
      <c r="I109" s="4"/>
      <c r="J109" s="4"/>
    </row>
    <row r="110" spans="3:10" x14ac:dyDescent="0.2">
      <c r="C110" s="4"/>
      <c r="D110" s="4"/>
      <c r="E110" s="4"/>
      <c r="F110" s="4"/>
      <c r="G110" s="4"/>
      <c r="H110" s="4"/>
      <c r="I110" s="4"/>
      <c r="J110" s="4"/>
    </row>
    <row r="111" spans="3:10" x14ac:dyDescent="0.2">
      <c r="C111" s="4"/>
      <c r="D111" s="4"/>
      <c r="E111" s="4"/>
      <c r="F111" s="4"/>
      <c r="G111" s="4"/>
      <c r="H111" s="4"/>
      <c r="I111" s="4"/>
      <c r="J111" s="4"/>
    </row>
    <row r="112" spans="3:10" x14ac:dyDescent="0.2">
      <c r="C112" s="4"/>
      <c r="D112" s="4"/>
      <c r="E112" s="4"/>
      <c r="F112" s="4"/>
      <c r="G112" s="4"/>
      <c r="H112" s="4"/>
      <c r="I112" s="4"/>
      <c r="J112" s="4"/>
    </row>
    <row r="113" spans="3:10" x14ac:dyDescent="0.2">
      <c r="C113" s="4"/>
      <c r="D113" s="4"/>
      <c r="E113" s="4"/>
      <c r="F113" s="4"/>
      <c r="G113" s="4"/>
      <c r="H113" s="4"/>
      <c r="I113" s="4"/>
      <c r="J113" s="4"/>
    </row>
  </sheetData>
  <hyperlinks>
    <hyperlink ref="A1" location="Main!A1" display="Main" xr:uid="{91165049-B644-4930-A67B-49555F58AE07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2A7DD-FB67-4EEC-9386-8586C3B2E8BA}">
  <dimension ref="A1:X76"/>
  <sheetViews>
    <sheetView showGridLines="0" workbookViewId="0">
      <selection activeCell="F7" sqref="F7"/>
    </sheetView>
  </sheetViews>
  <sheetFormatPr defaultRowHeight="12.75" x14ac:dyDescent="0.2"/>
  <cols>
    <col min="1" max="1" width="5.42578125" style="2" bestFit="1" customWidth="1"/>
    <col min="2" max="2" width="9.140625" style="2"/>
    <col min="3" max="3" width="9.28515625" style="2" bestFit="1" customWidth="1"/>
    <col min="4" max="4" width="9.140625" style="2"/>
    <col min="5" max="5" width="11.28515625" style="2" bestFit="1" customWidth="1"/>
    <col min="6" max="6" width="9.140625" style="2"/>
    <col min="7" max="22" width="9.28515625" style="2" bestFit="1" customWidth="1"/>
    <col min="23" max="16384" width="9.140625" style="2"/>
  </cols>
  <sheetData>
    <row r="1" spans="1:24" x14ac:dyDescent="0.2">
      <c r="A1" s="37" t="s">
        <v>6</v>
      </c>
      <c r="B1" s="38" t="s">
        <v>315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</row>
    <row r="2" spans="1:24" x14ac:dyDescent="0.2">
      <c r="E2" s="39"/>
    </row>
    <row r="3" spans="1:24" x14ac:dyDescent="0.2">
      <c r="B3" s="2" t="s">
        <v>316</v>
      </c>
      <c r="E3" s="40"/>
      <c r="G3" s="2" t="s">
        <v>317</v>
      </c>
      <c r="J3" s="40"/>
      <c r="L3" s="2" t="s">
        <v>317</v>
      </c>
      <c r="O3" s="40">
        <f>+J3</f>
        <v>0</v>
      </c>
    </row>
    <row r="4" spans="1:24" x14ac:dyDescent="0.2">
      <c r="B4" s="2" t="s">
        <v>318</v>
      </c>
      <c r="E4" s="41">
        <f ca="1">+TODAY()</f>
        <v>46234</v>
      </c>
      <c r="G4" s="2" t="s">
        <v>319</v>
      </c>
      <c r="J4" s="42" t="e">
        <f ca="1">V62</f>
        <v>#DIV/0!</v>
      </c>
      <c r="L4" s="2" t="s">
        <v>320</v>
      </c>
      <c r="O4" s="43">
        <f>+J15+O15+T15</f>
        <v>0</v>
      </c>
    </row>
    <row r="5" spans="1:24" x14ac:dyDescent="0.2">
      <c r="B5" s="2" t="s">
        <v>321</v>
      </c>
      <c r="E5" s="44"/>
      <c r="G5" s="2" t="s">
        <v>322</v>
      </c>
      <c r="J5" s="45" t="e">
        <f ca="1">J4/J3-1</f>
        <v>#DIV/0!</v>
      </c>
      <c r="L5" s="2" t="s">
        <v>322</v>
      </c>
      <c r="O5" s="45" t="e">
        <f>O4/O3-1</f>
        <v>#DIV/0!</v>
      </c>
    </row>
    <row r="7" spans="1:24" x14ac:dyDescent="0.2">
      <c r="A7" s="46" t="s">
        <v>192</v>
      </c>
      <c r="B7" s="47" t="s">
        <v>323</v>
      </c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</row>
    <row r="8" spans="1:24" x14ac:dyDescent="0.2">
      <c r="A8" s="46"/>
    </row>
    <row r="9" spans="1:24" x14ac:dyDescent="0.2">
      <c r="A9" s="46"/>
      <c r="B9" s="48" t="s">
        <v>324</v>
      </c>
      <c r="C9" s="49"/>
      <c r="D9" s="49"/>
      <c r="E9" s="49"/>
      <c r="G9" s="48" t="s">
        <v>325</v>
      </c>
      <c r="H9" s="48"/>
      <c r="I9" s="49"/>
      <c r="J9" s="49"/>
      <c r="L9" s="48" t="s">
        <v>326</v>
      </c>
      <c r="M9" s="49"/>
      <c r="N9" s="49"/>
      <c r="O9" s="49"/>
      <c r="Q9" s="48" t="s">
        <v>327</v>
      </c>
      <c r="R9" s="49"/>
      <c r="S9" s="49"/>
      <c r="T9" s="49"/>
    </row>
    <row r="10" spans="1:24" x14ac:dyDescent="0.2">
      <c r="A10" s="46"/>
      <c r="B10" s="9" t="s">
        <v>328</v>
      </c>
      <c r="G10" s="9" t="s">
        <v>328</v>
      </c>
      <c r="H10" s="9"/>
      <c r="I10" s="9" t="s">
        <v>329</v>
      </c>
      <c r="J10" s="9" t="s">
        <v>330</v>
      </c>
      <c r="L10" s="9" t="s">
        <v>328</v>
      </c>
      <c r="N10" s="9" t="s">
        <v>329</v>
      </c>
      <c r="O10" s="9" t="s">
        <v>330</v>
      </c>
      <c r="Q10" s="9" t="s">
        <v>328</v>
      </c>
      <c r="S10" s="9" t="s">
        <v>329</v>
      </c>
      <c r="T10" s="9" t="s">
        <v>330</v>
      </c>
    </row>
    <row r="11" spans="1:24" x14ac:dyDescent="0.2">
      <c r="B11" s="2" t="s">
        <v>22</v>
      </c>
      <c r="E11" s="44">
        <v>2</v>
      </c>
      <c r="G11" s="2" t="s">
        <v>331</v>
      </c>
      <c r="K11" s="1"/>
      <c r="L11" s="2" t="s">
        <v>331</v>
      </c>
      <c r="Q11" s="2" t="s">
        <v>331</v>
      </c>
    </row>
    <row r="12" spans="1:24" x14ac:dyDescent="0.2">
      <c r="B12" s="2" t="s">
        <v>332</v>
      </c>
      <c r="E12" s="44">
        <v>2</v>
      </c>
      <c r="G12" s="2" t="s">
        <v>332</v>
      </c>
      <c r="L12" s="2" t="s">
        <v>332</v>
      </c>
      <c r="Q12" s="2" t="s">
        <v>332</v>
      </c>
    </row>
    <row r="13" spans="1:24" x14ac:dyDescent="0.2">
      <c r="B13" s="2" t="s">
        <v>312</v>
      </c>
      <c r="E13" s="44">
        <v>2</v>
      </c>
      <c r="G13" s="2" t="s">
        <v>333</v>
      </c>
      <c r="J13" s="50"/>
      <c r="O13" s="50"/>
      <c r="T13" s="50"/>
    </row>
    <row r="14" spans="1:24" x14ac:dyDescent="0.2">
      <c r="B14" s="2" t="s">
        <v>334</v>
      </c>
      <c r="E14" s="44">
        <v>2</v>
      </c>
      <c r="G14" s="2" t="s">
        <v>335</v>
      </c>
      <c r="J14" s="50"/>
      <c r="L14" s="2" t="s">
        <v>335</v>
      </c>
      <c r="O14" s="50"/>
      <c r="Q14" s="2" t="s">
        <v>335</v>
      </c>
      <c r="T14" s="50"/>
    </row>
    <row r="15" spans="1:24" x14ac:dyDescent="0.2">
      <c r="B15" s="2" t="s">
        <v>336</v>
      </c>
      <c r="E15" s="44">
        <v>2</v>
      </c>
      <c r="G15" s="2" t="s">
        <v>337</v>
      </c>
      <c r="J15" s="50"/>
      <c r="L15" s="2" t="s">
        <v>337</v>
      </c>
      <c r="O15" s="50"/>
      <c r="Q15" s="2" t="s">
        <v>337</v>
      </c>
      <c r="T15" s="50"/>
    </row>
    <row r="17" spans="1:22" x14ac:dyDescent="0.2">
      <c r="B17" s="9" t="s">
        <v>338</v>
      </c>
    </row>
    <row r="18" spans="1:22" x14ac:dyDescent="0.2">
      <c r="B18" s="2" t="s">
        <v>312</v>
      </c>
      <c r="E18" s="50">
        <f>CHOOSE(E13,J18,O18,T18)</f>
        <v>0</v>
      </c>
      <c r="G18" s="2" t="s">
        <v>312</v>
      </c>
      <c r="J18" s="50"/>
      <c r="L18" s="2" t="s">
        <v>312</v>
      </c>
      <c r="O18" s="50"/>
      <c r="Q18" s="2" t="s">
        <v>312</v>
      </c>
      <c r="T18" s="50"/>
    </row>
    <row r="19" spans="1:22" x14ac:dyDescent="0.2">
      <c r="B19" s="2" t="s">
        <v>334</v>
      </c>
      <c r="E19" s="50">
        <f>CHOOSE(E14,J19,O19,T19)</f>
        <v>0</v>
      </c>
      <c r="G19" s="2" t="s">
        <v>334</v>
      </c>
      <c r="J19" s="50"/>
      <c r="L19" s="2" t="s">
        <v>334</v>
      </c>
      <c r="O19" s="50"/>
      <c r="Q19" s="2" t="s">
        <v>334</v>
      </c>
      <c r="T19" s="50"/>
    </row>
    <row r="20" spans="1:22" x14ac:dyDescent="0.2">
      <c r="B20" s="2" t="s">
        <v>339</v>
      </c>
      <c r="E20" s="50">
        <f>CHOOSE(E15,J20,O20,T20)</f>
        <v>0</v>
      </c>
      <c r="G20" s="2" t="s">
        <v>339</v>
      </c>
      <c r="J20" s="50"/>
      <c r="L20" s="2" t="s">
        <v>339</v>
      </c>
      <c r="O20" s="50"/>
      <c r="Q20" s="2" t="s">
        <v>339</v>
      </c>
      <c r="T20" s="50"/>
    </row>
    <row r="24" spans="1:22" x14ac:dyDescent="0.2">
      <c r="A24" s="46" t="s">
        <v>192</v>
      </c>
      <c r="B24" s="47" t="s">
        <v>340</v>
      </c>
      <c r="C24" s="47"/>
      <c r="D24" s="47"/>
      <c r="E24" s="47"/>
      <c r="F24" s="47"/>
      <c r="G24" s="51">
        <v>19</v>
      </c>
      <c r="H24" s="51">
        <f>G24+1</f>
        <v>20</v>
      </c>
      <c r="I24" s="51">
        <f t="shared" ref="I24:V24" si="0">H24+1</f>
        <v>21</v>
      </c>
      <c r="J24" s="51">
        <f t="shared" si="0"/>
        <v>22</v>
      </c>
      <c r="K24" s="51">
        <f t="shared" si="0"/>
        <v>23</v>
      </c>
      <c r="L24" s="51">
        <f t="shared" si="0"/>
        <v>24</v>
      </c>
      <c r="M24" s="51">
        <f t="shared" si="0"/>
        <v>25</v>
      </c>
      <c r="N24" s="51">
        <f t="shared" si="0"/>
        <v>26</v>
      </c>
      <c r="O24" s="51">
        <f t="shared" si="0"/>
        <v>27</v>
      </c>
      <c r="P24" s="51">
        <f t="shared" si="0"/>
        <v>28</v>
      </c>
      <c r="Q24" s="51">
        <f t="shared" si="0"/>
        <v>29</v>
      </c>
      <c r="R24" s="51">
        <f t="shared" si="0"/>
        <v>30</v>
      </c>
      <c r="S24" s="51">
        <f t="shared" si="0"/>
        <v>31</v>
      </c>
      <c r="T24" s="51">
        <f t="shared" si="0"/>
        <v>32</v>
      </c>
      <c r="U24" s="51">
        <f t="shared" si="0"/>
        <v>33</v>
      </c>
      <c r="V24" s="51">
        <f t="shared" si="0"/>
        <v>34</v>
      </c>
    </row>
    <row r="25" spans="1:22" x14ac:dyDescent="0.2">
      <c r="B25" s="2" t="s">
        <v>331</v>
      </c>
      <c r="G25" s="4"/>
      <c r="H25" s="4"/>
      <c r="I25" s="4"/>
      <c r="J25" s="4"/>
      <c r="K25" s="4"/>
      <c r="L25" s="4"/>
      <c r="M25" s="4">
        <f ca="1">L25*(1+M26)</f>
        <v>0</v>
      </c>
      <c r="N25" s="4">
        <f t="shared" ref="N25:V25" ca="1" si="1">M25*(1+N26)</f>
        <v>0</v>
      </c>
      <c r="O25" s="4">
        <f t="shared" ca="1" si="1"/>
        <v>0</v>
      </c>
      <c r="P25" s="4">
        <f t="shared" ca="1" si="1"/>
        <v>0</v>
      </c>
      <c r="Q25" s="4">
        <f t="shared" ca="1" si="1"/>
        <v>0</v>
      </c>
      <c r="R25" s="4">
        <f t="shared" ca="1" si="1"/>
        <v>0</v>
      </c>
      <c r="S25" s="4">
        <f t="shared" ca="1" si="1"/>
        <v>0</v>
      </c>
      <c r="T25" s="4">
        <f t="shared" ca="1" si="1"/>
        <v>0</v>
      </c>
      <c r="U25" s="4">
        <f t="shared" ca="1" si="1"/>
        <v>0</v>
      </c>
      <c r="V25" s="4">
        <f t="shared" ca="1" si="1"/>
        <v>0</v>
      </c>
    </row>
    <row r="26" spans="1:22" x14ac:dyDescent="0.2">
      <c r="B26" s="52" t="s">
        <v>341</v>
      </c>
      <c r="C26" s="53"/>
      <c r="G26" s="54"/>
      <c r="H26" s="55" t="e">
        <f t="shared" ref="H26:L26" si="2">H25/G25-1</f>
        <v>#DIV/0!</v>
      </c>
      <c r="I26" s="55" t="e">
        <f t="shared" si="2"/>
        <v>#DIV/0!</v>
      </c>
      <c r="J26" s="55" t="e">
        <f t="shared" si="2"/>
        <v>#DIV/0!</v>
      </c>
      <c r="K26" s="55" t="e">
        <f t="shared" si="2"/>
        <v>#DIV/0!</v>
      </c>
      <c r="L26" s="55" t="e">
        <f t="shared" si="2"/>
        <v>#DIV/0!</v>
      </c>
      <c r="M26" s="55" cm="1">
        <f t="array" aca="1" ref="M26" ca="1">OFFSET(M26,$E$11,,)</f>
        <v>0</v>
      </c>
      <c r="N26" s="55" cm="1">
        <f t="array" aca="1" ref="N26" ca="1">OFFSET(N26,$E$11,,)</f>
        <v>0</v>
      </c>
      <c r="O26" s="55" cm="1">
        <f t="array" aca="1" ref="O26" ca="1">OFFSET(O26,$E$11,,)</f>
        <v>0</v>
      </c>
      <c r="P26" s="55" cm="1">
        <f t="array" aca="1" ref="P26" ca="1">OFFSET(P26,$E$11,,)</f>
        <v>0</v>
      </c>
      <c r="Q26" s="55" cm="1">
        <f t="array" aca="1" ref="Q26" ca="1">OFFSET(Q26,$E$11,,)</f>
        <v>0</v>
      </c>
      <c r="R26" s="55" cm="1">
        <f t="array" aca="1" ref="R26" ca="1">OFFSET(R26,$E$11,,)</f>
        <v>0</v>
      </c>
      <c r="S26" s="55" cm="1">
        <f t="array" aca="1" ref="S26" ca="1">OFFSET(S26,$E$11,,)</f>
        <v>0</v>
      </c>
      <c r="T26" s="55" cm="1">
        <f t="array" aca="1" ref="T26" ca="1">OFFSET(T26,$E$11,,)</f>
        <v>0</v>
      </c>
      <c r="U26" s="55" cm="1">
        <f t="array" aca="1" ref="U26" ca="1">OFFSET(U26,$E$11,,)</f>
        <v>0</v>
      </c>
      <c r="V26" s="55" cm="1">
        <f t="array" aca="1" ref="V26" ca="1">OFFSET(V26,$E$11,,)</f>
        <v>0</v>
      </c>
    </row>
    <row r="27" spans="1:22" x14ac:dyDescent="0.2">
      <c r="B27" s="52" t="s">
        <v>325</v>
      </c>
      <c r="C27" s="53"/>
      <c r="I27" s="28"/>
      <c r="J27" s="28"/>
      <c r="K27" s="28"/>
      <c r="L27" s="28"/>
      <c r="M27" s="56"/>
      <c r="N27" s="56"/>
      <c r="O27" s="56"/>
      <c r="P27" s="56"/>
      <c r="Q27" s="56"/>
      <c r="R27" s="56"/>
      <c r="S27" s="56"/>
      <c r="T27" s="56"/>
      <c r="U27" s="56"/>
      <c r="V27" s="56"/>
    </row>
    <row r="28" spans="1:22" x14ac:dyDescent="0.2">
      <c r="B28" s="52" t="s">
        <v>342</v>
      </c>
      <c r="C28" s="53"/>
      <c r="I28" s="28"/>
      <c r="J28" s="28"/>
      <c r="K28" s="28"/>
      <c r="L28" s="28"/>
      <c r="M28" s="56"/>
      <c r="N28" s="56"/>
      <c r="O28" s="56"/>
      <c r="P28" s="56"/>
      <c r="Q28" s="56"/>
      <c r="R28" s="56"/>
      <c r="S28" s="56"/>
      <c r="T28" s="56"/>
      <c r="U28" s="56"/>
      <c r="V28" s="56"/>
    </row>
    <row r="29" spans="1:22" x14ac:dyDescent="0.2">
      <c r="B29" s="52" t="s">
        <v>343</v>
      </c>
      <c r="C29" s="53"/>
      <c r="I29" s="28"/>
      <c r="J29" s="28"/>
      <c r="K29" s="28"/>
      <c r="L29" s="28"/>
      <c r="M29" s="56"/>
      <c r="N29" s="56"/>
      <c r="O29" s="56"/>
      <c r="P29" s="56"/>
      <c r="Q29" s="56"/>
      <c r="R29" s="56"/>
      <c r="S29" s="56"/>
      <c r="T29" s="56"/>
      <c r="U29" s="56"/>
      <c r="V29" s="56"/>
    </row>
    <row r="31" spans="1:22" x14ac:dyDescent="0.2">
      <c r="B31" s="2" t="s">
        <v>332</v>
      </c>
      <c r="G31" s="4"/>
      <c r="H31" s="4"/>
      <c r="I31" s="4"/>
      <c r="J31" s="4"/>
      <c r="K31" s="4"/>
      <c r="L31" s="4"/>
      <c r="M31" s="4">
        <f ca="1">M32*M25</f>
        <v>0</v>
      </c>
      <c r="N31" s="4">
        <f t="shared" ref="N31:V31" ca="1" si="3">N32*N25</f>
        <v>0</v>
      </c>
      <c r="O31" s="4">
        <f t="shared" ca="1" si="3"/>
        <v>0</v>
      </c>
      <c r="P31" s="4">
        <f t="shared" ca="1" si="3"/>
        <v>0</v>
      </c>
      <c r="Q31" s="4">
        <f t="shared" ca="1" si="3"/>
        <v>0</v>
      </c>
      <c r="R31" s="4">
        <f t="shared" ca="1" si="3"/>
        <v>0</v>
      </c>
      <c r="S31" s="4">
        <f t="shared" ca="1" si="3"/>
        <v>0</v>
      </c>
      <c r="T31" s="4">
        <f t="shared" ca="1" si="3"/>
        <v>0</v>
      </c>
      <c r="U31" s="4">
        <f t="shared" ca="1" si="3"/>
        <v>0</v>
      </c>
      <c r="V31" s="4">
        <f t="shared" ca="1" si="3"/>
        <v>0</v>
      </c>
    </row>
    <row r="32" spans="1:22" x14ac:dyDescent="0.2">
      <c r="B32" s="52" t="s">
        <v>344</v>
      </c>
      <c r="G32" s="55" t="e">
        <f>G31/G25</f>
        <v>#DIV/0!</v>
      </c>
      <c r="H32" s="55" t="e">
        <f t="shared" ref="H32:L32" si="4">H31/H25</f>
        <v>#DIV/0!</v>
      </c>
      <c r="I32" s="55" t="e">
        <f t="shared" si="4"/>
        <v>#DIV/0!</v>
      </c>
      <c r="J32" s="55" t="e">
        <f t="shared" si="4"/>
        <v>#DIV/0!</v>
      </c>
      <c r="K32" s="55" t="e">
        <f t="shared" si="4"/>
        <v>#DIV/0!</v>
      </c>
      <c r="L32" s="55" t="e">
        <f t="shared" si="4"/>
        <v>#DIV/0!</v>
      </c>
      <c r="M32" s="55" cm="1">
        <f t="array" aca="1" ref="M32" ca="1">OFFSET(M32,$E$12,,)</f>
        <v>0</v>
      </c>
      <c r="N32" s="55" cm="1">
        <f t="array" aca="1" ref="N32" ca="1">OFFSET(N32,$E$12,,)</f>
        <v>0</v>
      </c>
      <c r="O32" s="55" cm="1">
        <f t="array" aca="1" ref="O32" ca="1">OFFSET(O32,$E$12,,)</f>
        <v>0</v>
      </c>
      <c r="P32" s="55" cm="1">
        <f t="array" aca="1" ref="P32" ca="1">OFFSET(P32,$E$12,,)</f>
        <v>0</v>
      </c>
      <c r="Q32" s="55" cm="1">
        <f t="array" aca="1" ref="Q32" ca="1">OFFSET(Q32,$E$12,,)</f>
        <v>0</v>
      </c>
      <c r="R32" s="55" cm="1">
        <f t="array" aca="1" ref="R32" ca="1">OFFSET(R32,$E$12,,)</f>
        <v>0</v>
      </c>
      <c r="S32" s="55" cm="1">
        <f t="array" aca="1" ref="S32" ca="1">OFFSET(S32,$E$12,,)</f>
        <v>0</v>
      </c>
      <c r="T32" s="55" cm="1">
        <f t="array" aca="1" ref="T32" ca="1">OFFSET(T32,$E$12,,)</f>
        <v>0</v>
      </c>
      <c r="U32" s="55" cm="1">
        <f t="array" aca="1" ref="U32" ca="1">OFFSET(U32,$E$12,,)</f>
        <v>0</v>
      </c>
      <c r="V32" s="55" cm="1">
        <f t="array" aca="1" ref="V32" ca="1">OFFSET(V32,$E$12,,)</f>
        <v>0</v>
      </c>
    </row>
    <row r="33" spans="2:22" x14ac:dyDescent="0.2">
      <c r="B33" s="52" t="s">
        <v>325</v>
      </c>
      <c r="M33" s="56"/>
      <c r="N33" s="56"/>
      <c r="O33" s="56"/>
      <c r="P33" s="56"/>
      <c r="Q33" s="56"/>
      <c r="R33" s="56"/>
      <c r="S33" s="56"/>
      <c r="T33" s="56"/>
      <c r="U33" s="56"/>
      <c r="V33" s="56"/>
    </row>
    <row r="34" spans="2:22" x14ac:dyDescent="0.2">
      <c r="B34" s="52" t="s">
        <v>342</v>
      </c>
      <c r="M34" s="56"/>
      <c r="N34" s="56"/>
      <c r="O34" s="56"/>
      <c r="P34" s="56"/>
      <c r="Q34" s="56"/>
      <c r="R34" s="56"/>
      <c r="S34" s="56"/>
      <c r="T34" s="56"/>
      <c r="U34" s="56"/>
      <c r="V34" s="56"/>
    </row>
    <row r="35" spans="2:22" x14ac:dyDescent="0.2">
      <c r="B35" s="52" t="s">
        <v>343</v>
      </c>
      <c r="M35" s="56"/>
      <c r="N35" s="56"/>
      <c r="O35" s="56"/>
      <c r="P35" s="56"/>
      <c r="Q35" s="56"/>
      <c r="R35" s="56"/>
      <c r="S35" s="56"/>
      <c r="T35" s="56"/>
      <c r="U35" s="56"/>
      <c r="V35" s="56"/>
    </row>
    <row r="37" spans="2:22" x14ac:dyDescent="0.2">
      <c r="B37" s="2" t="s">
        <v>345</v>
      </c>
      <c r="G37" s="4"/>
      <c r="H37" s="4"/>
      <c r="I37" s="4"/>
      <c r="J37" s="4"/>
      <c r="K37" s="4"/>
      <c r="L37" s="4"/>
      <c r="M37" s="4">
        <f ca="1">M38*M31</f>
        <v>0</v>
      </c>
      <c r="N37" s="4">
        <f t="shared" ref="N37:V37" ca="1" si="5">N38*N31</f>
        <v>0</v>
      </c>
      <c r="O37" s="4">
        <f t="shared" ca="1" si="5"/>
        <v>0</v>
      </c>
      <c r="P37" s="4">
        <f t="shared" ca="1" si="5"/>
        <v>0</v>
      </c>
      <c r="Q37" s="4">
        <f t="shared" ca="1" si="5"/>
        <v>0</v>
      </c>
      <c r="R37" s="4">
        <f t="shared" ca="1" si="5"/>
        <v>0</v>
      </c>
      <c r="S37" s="4">
        <f t="shared" ca="1" si="5"/>
        <v>0</v>
      </c>
      <c r="T37" s="4">
        <f t="shared" ca="1" si="5"/>
        <v>0</v>
      </c>
      <c r="U37" s="4">
        <f t="shared" ca="1" si="5"/>
        <v>0</v>
      </c>
      <c r="V37" s="4">
        <f t="shared" ca="1" si="5"/>
        <v>0</v>
      </c>
    </row>
    <row r="38" spans="2:22" x14ac:dyDescent="0.2">
      <c r="B38" s="53" t="s">
        <v>346</v>
      </c>
      <c r="G38" s="55" t="e">
        <f t="shared" ref="G38:L38" si="6">G37/G31</f>
        <v>#DIV/0!</v>
      </c>
      <c r="H38" s="55" t="e">
        <f t="shared" si="6"/>
        <v>#DIV/0!</v>
      </c>
      <c r="I38" s="55" t="e">
        <f t="shared" si="6"/>
        <v>#DIV/0!</v>
      </c>
      <c r="J38" s="55" t="e">
        <f t="shared" si="6"/>
        <v>#DIV/0!</v>
      </c>
      <c r="K38" s="55" t="e">
        <f t="shared" si="6"/>
        <v>#DIV/0!</v>
      </c>
      <c r="L38" s="55" t="e">
        <f t="shared" si="6"/>
        <v>#DIV/0!</v>
      </c>
      <c r="M38" s="55"/>
      <c r="N38" s="55"/>
      <c r="O38" s="55"/>
      <c r="P38" s="55"/>
      <c r="Q38" s="55"/>
      <c r="R38" s="55"/>
      <c r="S38" s="55"/>
      <c r="T38" s="55"/>
      <c r="U38" s="55"/>
      <c r="V38" s="55"/>
    </row>
    <row r="39" spans="2:22" x14ac:dyDescent="0.2">
      <c r="B39" s="53"/>
    </row>
    <row r="40" spans="2:22" x14ac:dyDescent="0.2">
      <c r="B40" s="57" t="s">
        <v>347</v>
      </c>
      <c r="C40" s="58"/>
      <c r="D40" s="58"/>
      <c r="E40" s="58"/>
      <c r="F40" s="58"/>
      <c r="G40" s="59">
        <f t="shared" ref="G40:V40" si="7">G31-G37</f>
        <v>0</v>
      </c>
      <c r="H40" s="59">
        <f t="shared" si="7"/>
        <v>0</v>
      </c>
      <c r="I40" s="59">
        <f t="shared" si="7"/>
        <v>0</v>
      </c>
      <c r="J40" s="59">
        <f t="shared" si="7"/>
        <v>0</v>
      </c>
      <c r="K40" s="59">
        <f t="shared" si="7"/>
        <v>0</v>
      </c>
      <c r="L40" s="59">
        <f t="shared" si="7"/>
        <v>0</v>
      </c>
      <c r="M40" s="59">
        <f t="shared" ca="1" si="7"/>
        <v>0</v>
      </c>
      <c r="N40" s="59">
        <f t="shared" ca="1" si="7"/>
        <v>0</v>
      </c>
      <c r="O40" s="59">
        <f t="shared" ca="1" si="7"/>
        <v>0</v>
      </c>
      <c r="P40" s="59">
        <f t="shared" ca="1" si="7"/>
        <v>0</v>
      </c>
      <c r="Q40" s="59">
        <f t="shared" ca="1" si="7"/>
        <v>0</v>
      </c>
      <c r="R40" s="59">
        <f t="shared" ca="1" si="7"/>
        <v>0</v>
      </c>
      <c r="S40" s="59">
        <f t="shared" ca="1" si="7"/>
        <v>0</v>
      </c>
      <c r="T40" s="59">
        <f t="shared" ca="1" si="7"/>
        <v>0</v>
      </c>
      <c r="U40" s="59">
        <f t="shared" ca="1" si="7"/>
        <v>0</v>
      </c>
      <c r="V40" s="60">
        <f t="shared" ca="1" si="7"/>
        <v>0</v>
      </c>
    </row>
    <row r="42" spans="2:22" x14ac:dyDescent="0.2">
      <c r="B42" s="2" t="s">
        <v>348</v>
      </c>
      <c r="G42" s="4"/>
      <c r="H42" s="4"/>
      <c r="I42" s="4"/>
      <c r="J42" s="4"/>
      <c r="K42" s="4"/>
      <c r="L42" s="4"/>
      <c r="M42" s="4">
        <f ca="1">M43*M25</f>
        <v>0</v>
      </c>
      <c r="N42" s="4">
        <f t="shared" ref="N42:V42" ca="1" si="8">N43*N25</f>
        <v>0</v>
      </c>
      <c r="O42" s="4">
        <f t="shared" ca="1" si="8"/>
        <v>0</v>
      </c>
      <c r="P42" s="4">
        <f t="shared" ca="1" si="8"/>
        <v>0</v>
      </c>
      <c r="Q42" s="4">
        <f t="shared" ca="1" si="8"/>
        <v>0</v>
      </c>
      <c r="R42" s="4">
        <f t="shared" ca="1" si="8"/>
        <v>0</v>
      </c>
      <c r="S42" s="4">
        <f t="shared" ca="1" si="8"/>
        <v>0</v>
      </c>
      <c r="T42" s="4">
        <f t="shared" ca="1" si="8"/>
        <v>0</v>
      </c>
      <c r="U42" s="4">
        <f t="shared" ca="1" si="8"/>
        <v>0</v>
      </c>
      <c r="V42" s="4">
        <f t="shared" ca="1" si="8"/>
        <v>0</v>
      </c>
    </row>
    <row r="43" spans="2:22" x14ac:dyDescent="0.2">
      <c r="B43" s="52" t="s">
        <v>344</v>
      </c>
      <c r="C43" s="54"/>
      <c r="D43" s="54"/>
      <c r="E43" s="54"/>
      <c r="F43" s="54"/>
      <c r="G43" s="61" t="e">
        <f t="shared" ref="G43:L43" si="9">G42/G25</f>
        <v>#DIV/0!</v>
      </c>
      <c r="H43" s="61" t="e">
        <f t="shared" si="9"/>
        <v>#DIV/0!</v>
      </c>
      <c r="I43" s="61" t="e">
        <f t="shared" si="9"/>
        <v>#DIV/0!</v>
      </c>
      <c r="J43" s="61" t="e">
        <f t="shared" si="9"/>
        <v>#DIV/0!</v>
      </c>
      <c r="K43" s="61" t="e">
        <f t="shared" si="9"/>
        <v>#DIV/0!</v>
      </c>
      <c r="L43" s="61" t="e">
        <f t="shared" si="9"/>
        <v>#DIV/0!</v>
      </c>
      <c r="M43" s="62"/>
      <c r="N43" s="62"/>
      <c r="O43" s="62"/>
      <c r="P43" s="62"/>
      <c r="Q43" s="62"/>
      <c r="R43" s="62"/>
      <c r="S43" s="62"/>
      <c r="T43" s="62"/>
      <c r="U43" s="62"/>
      <c r="V43" s="62"/>
    </row>
    <row r="45" spans="2:22" x14ac:dyDescent="0.2">
      <c r="B45" s="2" t="s">
        <v>171</v>
      </c>
      <c r="G45" s="4"/>
      <c r="H45" s="4"/>
      <c r="I45" s="4"/>
      <c r="J45" s="4"/>
      <c r="K45" s="4"/>
      <c r="L45" s="4"/>
      <c r="M45" s="4">
        <f ca="1">M46*M25</f>
        <v>0</v>
      </c>
      <c r="N45" s="4">
        <f t="shared" ref="N45:V45" ca="1" si="10">N46*N25</f>
        <v>0</v>
      </c>
      <c r="O45" s="4">
        <f t="shared" ca="1" si="10"/>
        <v>0</v>
      </c>
      <c r="P45" s="4">
        <f t="shared" ca="1" si="10"/>
        <v>0</v>
      </c>
      <c r="Q45" s="4">
        <f t="shared" ca="1" si="10"/>
        <v>0</v>
      </c>
      <c r="R45" s="4">
        <f t="shared" ca="1" si="10"/>
        <v>0</v>
      </c>
      <c r="S45" s="4">
        <f t="shared" ca="1" si="10"/>
        <v>0</v>
      </c>
      <c r="T45" s="4">
        <f t="shared" ca="1" si="10"/>
        <v>0</v>
      </c>
      <c r="U45" s="4">
        <f t="shared" ca="1" si="10"/>
        <v>0</v>
      </c>
      <c r="V45" s="4">
        <f t="shared" ca="1" si="10"/>
        <v>0</v>
      </c>
    </row>
    <row r="46" spans="2:22" x14ac:dyDescent="0.2">
      <c r="B46" s="52" t="s">
        <v>344</v>
      </c>
      <c r="G46" s="61" t="e">
        <f t="shared" ref="G46:L46" si="11">G45/G25</f>
        <v>#DIV/0!</v>
      </c>
      <c r="H46" s="61" t="e">
        <f t="shared" si="11"/>
        <v>#DIV/0!</v>
      </c>
      <c r="I46" s="61" t="e">
        <f t="shared" si="11"/>
        <v>#DIV/0!</v>
      </c>
      <c r="J46" s="61" t="e">
        <f t="shared" si="11"/>
        <v>#DIV/0!</v>
      </c>
      <c r="K46" s="61" t="e">
        <f t="shared" si="11"/>
        <v>#DIV/0!</v>
      </c>
      <c r="L46" s="61" t="e">
        <f t="shared" si="11"/>
        <v>#DIV/0!</v>
      </c>
      <c r="M46" s="62"/>
      <c r="N46" s="62"/>
      <c r="O46" s="62"/>
      <c r="P46" s="62"/>
      <c r="Q46" s="62"/>
      <c r="R46" s="62"/>
      <c r="S46" s="62"/>
      <c r="T46" s="62"/>
      <c r="U46" s="62"/>
      <c r="V46" s="62"/>
    </row>
    <row r="48" spans="2:22" x14ac:dyDescent="0.2">
      <c r="B48" s="2" t="s">
        <v>166</v>
      </c>
      <c r="G48" s="4"/>
      <c r="H48" s="4"/>
      <c r="I48" s="4"/>
      <c r="J48" s="4"/>
      <c r="K48" s="4"/>
      <c r="L48" s="4"/>
      <c r="M48" s="4">
        <f ca="1">M49*M25</f>
        <v>0</v>
      </c>
      <c r="N48" s="4">
        <f t="shared" ref="N48:V48" ca="1" si="12">N49*N25</f>
        <v>0</v>
      </c>
      <c r="O48" s="4">
        <f t="shared" ca="1" si="12"/>
        <v>0</v>
      </c>
      <c r="P48" s="4">
        <f t="shared" ca="1" si="12"/>
        <v>0</v>
      </c>
      <c r="Q48" s="4">
        <f t="shared" ca="1" si="12"/>
        <v>0</v>
      </c>
      <c r="R48" s="4">
        <f t="shared" ca="1" si="12"/>
        <v>0</v>
      </c>
      <c r="S48" s="4">
        <f t="shared" ca="1" si="12"/>
        <v>0</v>
      </c>
      <c r="T48" s="4">
        <f t="shared" ca="1" si="12"/>
        <v>0</v>
      </c>
      <c r="U48" s="4">
        <f t="shared" ca="1" si="12"/>
        <v>0</v>
      </c>
      <c r="V48" s="4">
        <f t="shared" ca="1" si="12"/>
        <v>0</v>
      </c>
    </row>
    <row r="49" spans="2:24" x14ac:dyDescent="0.2">
      <c r="B49" s="52" t="s">
        <v>344</v>
      </c>
      <c r="G49" s="61" t="e">
        <f t="shared" ref="G49:L49" si="13">G48/G25</f>
        <v>#DIV/0!</v>
      </c>
      <c r="H49" s="61" t="e">
        <f t="shared" si="13"/>
        <v>#DIV/0!</v>
      </c>
      <c r="I49" s="61" t="e">
        <f t="shared" si="13"/>
        <v>#DIV/0!</v>
      </c>
      <c r="J49" s="61" t="e">
        <f t="shared" si="13"/>
        <v>#DIV/0!</v>
      </c>
      <c r="K49" s="61" t="e">
        <f t="shared" si="13"/>
        <v>#DIV/0!</v>
      </c>
      <c r="L49" s="61" t="e">
        <f t="shared" si="13"/>
        <v>#DIV/0!</v>
      </c>
      <c r="M49" s="62"/>
      <c r="N49" s="62"/>
      <c r="O49" s="62"/>
      <c r="P49" s="62"/>
      <c r="Q49" s="62"/>
      <c r="R49" s="62"/>
      <c r="S49" s="62"/>
      <c r="T49" s="62"/>
      <c r="U49" s="62"/>
      <c r="V49" s="62"/>
    </row>
    <row r="51" spans="2:24" x14ac:dyDescent="0.2">
      <c r="B51" s="63" t="s">
        <v>349</v>
      </c>
      <c r="C51" s="64"/>
      <c r="D51" s="64"/>
      <c r="E51" s="64"/>
      <c r="F51" s="64"/>
      <c r="G51" s="65">
        <f>G40+G42+G45+G48</f>
        <v>0</v>
      </c>
      <c r="H51" s="65">
        <f t="shared" ref="H51:U51" si="14">H40+H42+H45+H48</f>
        <v>0</v>
      </c>
      <c r="I51" s="65">
        <f t="shared" si="14"/>
        <v>0</v>
      </c>
      <c r="J51" s="65">
        <f t="shared" si="14"/>
        <v>0</v>
      </c>
      <c r="K51" s="65">
        <f t="shared" si="14"/>
        <v>0</v>
      </c>
      <c r="L51" s="65">
        <f t="shared" si="14"/>
        <v>0</v>
      </c>
      <c r="M51" s="65">
        <f ca="1">M40+M42+M45+M48</f>
        <v>0</v>
      </c>
      <c r="N51" s="65">
        <f t="shared" ca="1" si="14"/>
        <v>0</v>
      </c>
      <c r="O51" s="65">
        <f t="shared" ca="1" si="14"/>
        <v>0</v>
      </c>
      <c r="P51" s="65">
        <f t="shared" ca="1" si="14"/>
        <v>0</v>
      </c>
      <c r="Q51" s="65">
        <f t="shared" ca="1" si="14"/>
        <v>0</v>
      </c>
      <c r="R51" s="65">
        <f t="shared" ca="1" si="14"/>
        <v>0</v>
      </c>
      <c r="S51" s="65">
        <f t="shared" ca="1" si="14"/>
        <v>0</v>
      </c>
      <c r="T51" s="65">
        <f t="shared" ca="1" si="14"/>
        <v>0</v>
      </c>
      <c r="U51" s="65">
        <f t="shared" ca="1" si="14"/>
        <v>0</v>
      </c>
      <c r="V51" s="66">
        <f ca="1">V40+V42+V45+V48</f>
        <v>0</v>
      </c>
    </row>
    <row r="52" spans="2:24" x14ac:dyDescent="0.2">
      <c r="B52" s="67" t="s">
        <v>350</v>
      </c>
      <c r="C52" s="68"/>
      <c r="D52" s="68"/>
      <c r="E52" s="68"/>
      <c r="F52" s="68"/>
      <c r="G52" s="69"/>
      <c r="H52" s="69"/>
      <c r="I52" s="69"/>
      <c r="J52" s="69"/>
      <c r="K52" s="69"/>
      <c r="L52" s="69"/>
      <c r="M52" s="69">
        <f ca="1">(M51/(1+$E$18)^M53)*M53</f>
        <v>0</v>
      </c>
      <c r="N52" s="69">
        <f ca="1">N51/(1+$E$18)^N53</f>
        <v>0</v>
      </c>
      <c r="O52" s="69">
        <f t="shared" ref="O52:U52" ca="1" si="15">O51/(1+$E$18)^O53</f>
        <v>0</v>
      </c>
      <c r="P52" s="69">
        <f t="shared" ca="1" si="15"/>
        <v>0</v>
      </c>
      <c r="Q52" s="69">
        <f t="shared" ca="1" si="15"/>
        <v>0</v>
      </c>
      <c r="R52" s="69">
        <f t="shared" ca="1" si="15"/>
        <v>0</v>
      </c>
      <c r="S52" s="69">
        <f t="shared" ca="1" si="15"/>
        <v>0</v>
      </c>
      <c r="T52" s="69">
        <f t="shared" ca="1" si="15"/>
        <v>0</v>
      </c>
      <c r="U52" s="69">
        <f t="shared" ca="1" si="15"/>
        <v>0</v>
      </c>
      <c r="V52" s="70">
        <f ca="1">V51/(1+$E$18)^V53</f>
        <v>0</v>
      </c>
    </row>
    <row r="53" spans="2:24" x14ac:dyDescent="0.2">
      <c r="B53" s="2" t="s">
        <v>351</v>
      </c>
      <c r="M53" s="2">
        <f ca="1">YEARFRAC(E4,E5)</f>
        <v>126.58611111111111</v>
      </c>
      <c r="N53" s="2">
        <f ca="1">M53+1</f>
        <v>127.58611111111111</v>
      </c>
      <c r="O53" s="2">
        <f ca="1">N53+1</f>
        <v>128.58611111111111</v>
      </c>
      <c r="P53" s="2">
        <f t="shared" ref="P53:V53" ca="1" si="16">O53+1</f>
        <v>129.58611111111111</v>
      </c>
      <c r="Q53" s="2">
        <f t="shared" ca="1" si="16"/>
        <v>130.58611111111111</v>
      </c>
      <c r="R53" s="2">
        <f t="shared" ca="1" si="16"/>
        <v>131.58611111111111</v>
      </c>
      <c r="S53" s="2">
        <f t="shared" ca="1" si="16"/>
        <v>132.58611111111111</v>
      </c>
      <c r="T53" s="2">
        <f t="shared" ca="1" si="16"/>
        <v>133.58611111111111</v>
      </c>
      <c r="U53" s="2">
        <f t="shared" ca="1" si="16"/>
        <v>134.58611111111111</v>
      </c>
      <c r="V53" s="2">
        <f t="shared" ca="1" si="16"/>
        <v>135.58611111111111</v>
      </c>
    </row>
    <row r="54" spans="2:24" x14ac:dyDescent="0.2">
      <c r="B54" s="2" t="s">
        <v>352</v>
      </c>
      <c r="N54" s="71"/>
      <c r="O54" s="71"/>
      <c r="P54" s="71"/>
      <c r="Q54" s="71"/>
      <c r="V54" s="4">
        <f ca="1">SUM(M52:V52)</f>
        <v>0</v>
      </c>
    </row>
    <row r="55" spans="2:24" x14ac:dyDescent="0.2">
      <c r="B55" s="2" t="s">
        <v>353</v>
      </c>
      <c r="N55" s="71"/>
      <c r="O55" s="71"/>
      <c r="P55" s="71"/>
      <c r="Q55" s="71"/>
      <c r="V55" s="4" t="e">
        <f ca="1">+(V40*(1+E19))*(1-(E19/E20))/(E18-E19)</f>
        <v>#DIV/0!</v>
      </c>
      <c r="X55" s="36" t="s">
        <v>354</v>
      </c>
    </row>
    <row r="56" spans="2:24" x14ac:dyDescent="0.2">
      <c r="B56" s="19" t="s">
        <v>355</v>
      </c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72"/>
      <c r="O56" s="72"/>
      <c r="P56" s="72"/>
      <c r="Q56" s="72"/>
      <c r="R56" s="72"/>
      <c r="S56" s="72"/>
      <c r="T56" s="72"/>
      <c r="U56" s="72"/>
      <c r="V56" s="73" t="e">
        <f ca="1">V55/(1+E18)^V53</f>
        <v>#DIV/0!</v>
      </c>
    </row>
    <row r="57" spans="2:24" x14ac:dyDescent="0.2">
      <c r="B57" s="74" t="s">
        <v>356</v>
      </c>
      <c r="C57" s="74"/>
      <c r="D57" s="74"/>
      <c r="E57" s="74"/>
      <c r="F57" s="74"/>
      <c r="G57" s="74"/>
      <c r="H57" s="74"/>
      <c r="I57" s="74"/>
      <c r="J57" s="74"/>
      <c r="K57" s="74"/>
      <c r="L57" s="74"/>
      <c r="M57" s="74"/>
      <c r="N57" s="75"/>
      <c r="O57" s="75"/>
      <c r="P57" s="75"/>
      <c r="Q57" s="75"/>
      <c r="R57" s="75"/>
      <c r="S57" s="75"/>
      <c r="T57" s="75"/>
      <c r="U57" s="75"/>
      <c r="V57" s="76" t="e">
        <f ca="1">V54+V56</f>
        <v>#DIV/0!</v>
      </c>
    </row>
    <row r="58" spans="2:24" x14ac:dyDescent="0.2">
      <c r="B58" s="2" t="s">
        <v>357</v>
      </c>
      <c r="N58" s="71"/>
      <c r="O58" s="71"/>
      <c r="P58" s="71"/>
      <c r="Q58" s="71"/>
      <c r="V58" s="77"/>
    </row>
    <row r="59" spans="2:24" x14ac:dyDescent="0.2">
      <c r="B59" s="19" t="s">
        <v>358</v>
      </c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72"/>
      <c r="O59" s="72"/>
      <c r="P59" s="72"/>
      <c r="Q59" s="72"/>
      <c r="R59" s="72"/>
      <c r="S59" s="72"/>
      <c r="T59" s="72"/>
      <c r="U59" s="72"/>
      <c r="V59" s="73"/>
    </row>
    <row r="60" spans="2:24" x14ac:dyDescent="0.2">
      <c r="B60" s="2" t="s">
        <v>359</v>
      </c>
      <c r="N60" s="71"/>
      <c r="O60" s="71"/>
      <c r="P60" s="71"/>
      <c r="Q60" s="71"/>
      <c r="V60" s="77" t="e">
        <f ca="1">V57+V58-V59</f>
        <v>#DIV/0!</v>
      </c>
    </row>
    <row r="61" spans="2:24" x14ac:dyDescent="0.2">
      <c r="B61" s="19" t="s">
        <v>360</v>
      </c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72"/>
      <c r="O61" s="72"/>
      <c r="P61" s="72"/>
      <c r="Q61" s="72"/>
      <c r="R61" s="72"/>
      <c r="S61" s="72"/>
      <c r="T61" s="72"/>
      <c r="U61" s="72"/>
      <c r="V61" s="73"/>
    </row>
    <row r="62" spans="2:24" x14ac:dyDescent="0.2">
      <c r="B62" s="2" t="s">
        <v>317</v>
      </c>
      <c r="V62" s="77" t="e">
        <f ca="1">V60/V61</f>
        <v>#DIV/0!</v>
      </c>
    </row>
    <row r="66" spans="1:22" x14ac:dyDescent="0.2">
      <c r="A66" s="46" t="s">
        <v>192</v>
      </c>
      <c r="B66" s="47" t="s">
        <v>361</v>
      </c>
      <c r="C66" s="47"/>
      <c r="D66" s="47"/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</row>
    <row r="68" spans="1:22" x14ac:dyDescent="0.2">
      <c r="B68" s="78"/>
      <c r="C68" s="95" t="s">
        <v>334</v>
      </c>
      <c r="D68" s="95"/>
      <c r="E68" s="95"/>
      <c r="F68" s="95"/>
      <c r="G68" s="95"/>
      <c r="H68" s="95"/>
      <c r="I68" s="95"/>
      <c r="J68" s="96"/>
      <c r="M68" s="78"/>
      <c r="N68" s="97" t="s">
        <v>362</v>
      </c>
      <c r="O68" s="97"/>
      <c r="P68" s="97"/>
      <c r="Q68" s="97"/>
      <c r="R68" s="97"/>
      <c r="S68" s="97"/>
      <c r="T68" s="97"/>
      <c r="U68" s="98"/>
    </row>
    <row r="69" spans="1:22" x14ac:dyDescent="0.2">
      <c r="B69" s="99" t="s">
        <v>312</v>
      </c>
      <c r="C69" s="79" t="e">
        <f ca="1">+J4</f>
        <v>#DIV/0!</v>
      </c>
      <c r="D69" s="80"/>
      <c r="E69" s="80"/>
      <c r="F69" s="80"/>
      <c r="G69" s="80"/>
      <c r="H69" s="80"/>
      <c r="I69" s="80"/>
      <c r="J69" s="80"/>
      <c r="M69" s="99" t="s">
        <v>312</v>
      </c>
      <c r="N69" s="79" t="e">
        <f ca="1">+J4</f>
        <v>#DIV/0!</v>
      </c>
      <c r="O69" s="80"/>
      <c r="P69" s="80"/>
      <c r="Q69" s="80"/>
      <c r="R69" s="80"/>
      <c r="S69" s="80"/>
      <c r="T69" s="80"/>
      <c r="U69" s="80"/>
    </row>
    <row r="70" spans="1:22" x14ac:dyDescent="0.2">
      <c r="B70" s="99"/>
      <c r="C70" s="81"/>
      <c r="D70" s="82"/>
      <c r="E70" s="82"/>
      <c r="F70" s="82"/>
      <c r="G70" s="83"/>
      <c r="H70" s="82"/>
      <c r="I70" s="82"/>
      <c r="J70" s="82"/>
      <c r="M70" s="99"/>
      <c r="N70" s="81"/>
      <c r="O70" s="82"/>
      <c r="P70" s="82"/>
      <c r="Q70" s="82"/>
      <c r="R70" s="83"/>
      <c r="S70" s="82"/>
      <c r="T70" s="82"/>
      <c r="U70" s="82"/>
    </row>
    <row r="71" spans="1:22" x14ac:dyDescent="0.2">
      <c r="B71" s="99"/>
      <c r="C71" s="81"/>
      <c r="D71" s="82"/>
      <c r="E71" s="82"/>
      <c r="F71" s="82"/>
      <c r="G71" s="83"/>
      <c r="H71" s="82"/>
      <c r="I71" s="82"/>
      <c r="J71" s="82"/>
      <c r="M71" s="99"/>
      <c r="N71" s="81"/>
      <c r="O71" s="82"/>
      <c r="P71" s="82"/>
      <c r="Q71" s="82"/>
      <c r="R71" s="83"/>
      <c r="S71" s="82"/>
      <c r="T71" s="82"/>
      <c r="U71" s="82"/>
    </row>
    <row r="72" spans="1:22" x14ac:dyDescent="0.2">
      <c r="B72" s="99"/>
      <c r="C72" s="81"/>
      <c r="D72" s="83"/>
      <c r="E72" s="83"/>
      <c r="F72" s="83"/>
      <c r="G72" s="83"/>
      <c r="H72" s="83"/>
      <c r="I72" s="83"/>
      <c r="J72" s="83"/>
      <c r="M72" s="99"/>
      <c r="N72" s="81"/>
      <c r="O72" s="83"/>
      <c r="P72" s="83"/>
      <c r="Q72" s="83"/>
      <c r="R72" s="83"/>
      <c r="S72" s="83"/>
      <c r="T72" s="83"/>
      <c r="U72" s="83"/>
    </row>
    <row r="73" spans="1:22" x14ac:dyDescent="0.2">
      <c r="B73" s="99"/>
      <c r="C73" s="81"/>
      <c r="D73" s="82"/>
      <c r="E73" s="82"/>
      <c r="F73" s="82"/>
      <c r="G73" s="83"/>
      <c r="H73" s="82"/>
      <c r="I73" s="82"/>
      <c r="J73" s="82"/>
      <c r="M73" s="99"/>
      <c r="N73" s="81"/>
      <c r="O73" s="82"/>
      <c r="P73" s="82"/>
      <c r="Q73" s="82"/>
      <c r="R73" s="83"/>
      <c r="S73" s="82"/>
      <c r="T73" s="82"/>
      <c r="U73" s="82"/>
    </row>
    <row r="74" spans="1:22" x14ac:dyDescent="0.2">
      <c r="B74" s="99"/>
      <c r="C74" s="81"/>
      <c r="D74" s="82"/>
      <c r="E74" s="82"/>
      <c r="F74" s="82"/>
      <c r="G74" s="83"/>
      <c r="H74" s="82"/>
      <c r="I74" s="82"/>
      <c r="J74" s="82"/>
      <c r="M74" s="99"/>
      <c r="N74" s="81"/>
      <c r="O74" s="82"/>
      <c r="P74" s="82"/>
      <c r="Q74" s="82"/>
      <c r="R74" s="83"/>
      <c r="S74" s="82"/>
      <c r="T74" s="82"/>
      <c r="U74" s="82"/>
    </row>
    <row r="75" spans="1:22" x14ac:dyDescent="0.2">
      <c r="B75" s="99"/>
      <c r="C75" s="81"/>
      <c r="D75" s="82"/>
      <c r="E75" s="82"/>
      <c r="F75" s="82"/>
      <c r="G75" s="83"/>
      <c r="H75" s="82"/>
      <c r="I75" s="82"/>
      <c r="J75" s="82"/>
      <c r="M75" s="99"/>
      <c r="N75" s="81"/>
      <c r="O75" s="82"/>
      <c r="P75" s="82"/>
      <c r="Q75" s="82"/>
      <c r="R75" s="83"/>
      <c r="S75" s="82"/>
      <c r="T75" s="82"/>
      <c r="U75" s="82"/>
    </row>
    <row r="76" spans="1:22" x14ac:dyDescent="0.2">
      <c r="B76" s="100"/>
      <c r="C76" s="81"/>
      <c r="D76" s="82"/>
      <c r="E76" s="82"/>
      <c r="F76" s="82"/>
      <c r="G76" s="83"/>
      <c r="H76" s="82"/>
      <c r="I76" s="82"/>
      <c r="J76" s="82"/>
      <c r="M76" s="100"/>
      <c r="N76" s="81"/>
      <c r="O76" s="82"/>
      <c r="P76" s="82"/>
      <c r="Q76" s="82"/>
      <c r="R76" s="83"/>
      <c r="S76" s="82"/>
      <c r="T76" s="82"/>
      <c r="U76" s="82"/>
    </row>
  </sheetData>
  <mergeCells count="4">
    <mergeCell ref="C68:J68"/>
    <mergeCell ref="N68:U68"/>
    <mergeCell ref="B69:B76"/>
    <mergeCell ref="M69:M76"/>
  </mergeCells>
  <conditionalFormatting sqref="D70:J76">
    <cfRule type="cellIs" dxfId="3" priority="3" operator="lessThan">
      <formula>$J$3</formula>
    </cfRule>
    <cfRule type="cellIs" dxfId="2" priority="4" operator="greaterThan">
      <formula>$J$3</formula>
    </cfRule>
  </conditionalFormatting>
  <conditionalFormatting sqref="O70:U76">
    <cfRule type="cellIs" dxfId="1" priority="1" operator="lessThan">
      <formula>$J$3</formula>
    </cfRule>
    <cfRule type="cellIs" dxfId="0" priority="2" operator="greaterThan">
      <formula>$J$3</formula>
    </cfRule>
  </conditionalFormatting>
  <dataValidations count="1">
    <dataValidation type="list" allowBlank="1" showInputMessage="1" showErrorMessage="1" sqref="E11:E15" xr:uid="{6081869B-AD02-4DDF-8D09-65B77001313A}">
      <formula1>"1,2,3"</formula1>
    </dataValidation>
  </dataValidations>
  <hyperlinks>
    <hyperlink ref="A1" location="Main!A1" display="Main" xr:uid="{C0C6AFE1-CA6A-46DB-ABD1-BC25536D8218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F60D2-37B1-4DAF-9BC1-79D4AB8F1764}">
  <dimension ref="A1:I48"/>
  <sheetViews>
    <sheetView showGridLines="0" zoomScaleNormal="100" workbookViewId="0">
      <selection activeCell="E7" sqref="E7"/>
    </sheetView>
  </sheetViews>
  <sheetFormatPr defaultRowHeight="12.75" x14ac:dyDescent="0.2"/>
  <cols>
    <col min="1" max="1" width="5.42578125" style="2" bestFit="1" customWidth="1"/>
    <col min="2" max="16384" width="9.140625" style="2"/>
  </cols>
  <sheetData>
    <row r="1" spans="1:8" x14ac:dyDescent="0.2">
      <c r="A1" s="7" t="s">
        <v>6</v>
      </c>
    </row>
    <row r="3" spans="1:8" x14ac:dyDescent="0.2">
      <c r="B3" s="47" t="s">
        <v>278</v>
      </c>
      <c r="C3" s="47"/>
      <c r="D3" s="47"/>
      <c r="E3" s="47"/>
      <c r="F3" s="47"/>
    </row>
    <row r="4" spans="1:8" x14ac:dyDescent="0.2">
      <c r="A4" s="35" t="s">
        <v>192</v>
      </c>
      <c r="B4" s="6" t="s">
        <v>279</v>
      </c>
    </row>
    <row r="5" spans="1:8" x14ac:dyDescent="0.2">
      <c r="B5" s="6" t="s">
        <v>280</v>
      </c>
    </row>
    <row r="6" spans="1:8" x14ac:dyDescent="0.2">
      <c r="B6" s="2" t="s">
        <v>281</v>
      </c>
      <c r="H6" s="36" t="s">
        <v>282</v>
      </c>
    </row>
    <row r="7" spans="1:8" x14ac:dyDescent="0.2">
      <c r="B7" s="2" t="s">
        <v>283</v>
      </c>
      <c r="H7" s="36" t="s">
        <v>284</v>
      </c>
    </row>
    <row r="8" spans="1:8" x14ac:dyDescent="0.2">
      <c r="B8" s="2" t="s">
        <v>280</v>
      </c>
      <c r="F8" s="2">
        <f>F6+F7</f>
        <v>0</v>
      </c>
      <c r="H8" s="36" t="s">
        <v>285</v>
      </c>
    </row>
    <row r="10" spans="1:8" x14ac:dyDescent="0.2">
      <c r="A10" s="35" t="s">
        <v>192</v>
      </c>
      <c r="B10" s="6" t="s">
        <v>286</v>
      </c>
    </row>
    <row r="11" spans="1:8" x14ac:dyDescent="0.2">
      <c r="B11" s="2" t="s">
        <v>287</v>
      </c>
      <c r="H11" s="36" t="s">
        <v>288</v>
      </c>
    </row>
    <row r="12" spans="1:8" x14ac:dyDescent="0.2">
      <c r="B12" s="2" t="s">
        <v>289</v>
      </c>
      <c r="H12" s="36" t="s">
        <v>290</v>
      </c>
    </row>
    <row r="13" spans="1:8" x14ac:dyDescent="0.2">
      <c r="B13" s="2" t="s">
        <v>291</v>
      </c>
      <c r="H13" s="36" t="s">
        <v>292</v>
      </c>
    </row>
    <row r="14" spans="1:8" x14ac:dyDescent="0.2">
      <c r="B14" s="2" t="s">
        <v>293</v>
      </c>
      <c r="H14" s="36" t="s">
        <v>294</v>
      </c>
    </row>
    <row r="15" spans="1:8" x14ac:dyDescent="0.2">
      <c r="B15" s="2" t="s">
        <v>295</v>
      </c>
      <c r="H15" s="36" t="s">
        <v>296</v>
      </c>
    </row>
    <row r="17" spans="1:8" x14ac:dyDescent="0.2">
      <c r="A17" s="35" t="s">
        <v>192</v>
      </c>
      <c r="B17" s="6" t="s">
        <v>297</v>
      </c>
    </row>
    <row r="18" spans="1:8" x14ac:dyDescent="0.2">
      <c r="B18" s="2" t="s">
        <v>298</v>
      </c>
      <c r="H18" s="36" t="s">
        <v>299</v>
      </c>
    </row>
    <row r="19" spans="1:8" x14ac:dyDescent="0.2">
      <c r="B19" s="2" t="s">
        <v>280</v>
      </c>
    </row>
    <row r="20" spans="1:8" x14ac:dyDescent="0.2">
      <c r="B20" s="2" t="s">
        <v>297</v>
      </c>
      <c r="F20" s="2">
        <f>F18-F19</f>
        <v>0</v>
      </c>
    </row>
    <row r="22" spans="1:8" x14ac:dyDescent="0.2">
      <c r="A22" s="35" t="s">
        <v>192</v>
      </c>
      <c r="B22" s="84" t="s">
        <v>279</v>
      </c>
      <c r="C22" s="74"/>
      <c r="D22" s="74"/>
      <c r="E22" s="74"/>
      <c r="F22" s="85">
        <f>F8+F15*F20</f>
        <v>0</v>
      </c>
      <c r="H22" s="36" t="s">
        <v>300</v>
      </c>
    </row>
    <row r="25" spans="1:8" x14ac:dyDescent="0.2">
      <c r="A25" s="35" t="s">
        <v>192</v>
      </c>
      <c r="B25" s="6" t="s">
        <v>301</v>
      </c>
    </row>
    <row r="26" spans="1:8" x14ac:dyDescent="0.2">
      <c r="B26" s="2" t="s">
        <v>302</v>
      </c>
      <c r="H26" s="36" t="s">
        <v>303</v>
      </c>
    </row>
    <row r="27" spans="1:8" x14ac:dyDescent="0.2">
      <c r="B27" s="2" t="s">
        <v>304</v>
      </c>
    </row>
    <row r="28" spans="1:8" x14ac:dyDescent="0.2">
      <c r="B28" s="2" t="s">
        <v>280</v>
      </c>
    </row>
    <row r="29" spans="1:8" x14ac:dyDescent="0.2">
      <c r="B29" s="2" t="s">
        <v>305</v>
      </c>
    </row>
    <row r="30" spans="1:8" x14ac:dyDescent="0.2">
      <c r="B30" s="2" t="s">
        <v>306</v>
      </c>
    </row>
    <row r="32" spans="1:8" x14ac:dyDescent="0.2">
      <c r="A32" s="35" t="s">
        <v>192</v>
      </c>
      <c r="B32" s="84" t="s">
        <v>301</v>
      </c>
      <c r="C32" s="74"/>
      <c r="D32" s="74"/>
      <c r="E32" s="74"/>
      <c r="F32" s="85">
        <f>F28+F29+F30</f>
        <v>0</v>
      </c>
    </row>
    <row r="34" spans="1:9" x14ac:dyDescent="0.2">
      <c r="A34" s="35" t="s">
        <v>192</v>
      </c>
      <c r="B34" s="6" t="s">
        <v>307</v>
      </c>
    </row>
    <row r="35" spans="1:9" x14ac:dyDescent="0.2">
      <c r="B35" s="2" t="s">
        <v>308</v>
      </c>
    </row>
    <row r="36" spans="1:9" x14ac:dyDescent="0.2">
      <c r="B36" s="2" t="s">
        <v>309</v>
      </c>
    </row>
    <row r="37" spans="1:9" x14ac:dyDescent="0.2">
      <c r="B37" s="2" t="s">
        <v>310</v>
      </c>
      <c r="F37" s="2">
        <f>F35+F36</f>
        <v>0</v>
      </c>
    </row>
    <row r="39" spans="1:9" x14ac:dyDescent="0.2">
      <c r="B39" s="2" t="s">
        <v>311</v>
      </c>
    </row>
    <row r="41" spans="1:9" x14ac:dyDescent="0.2">
      <c r="A41" s="35" t="s">
        <v>192</v>
      </c>
      <c r="B41" s="84" t="s">
        <v>312</v>
      </c>
      <c r="C41" s="74"/>
      <c r="D41" s="74"/>
      <c r="E41" s="74"/>
      <c r="F41" s="85" t="e">
        <f>(F32*(F35/F37)*(1-F39))+((F36/F38)*F22)</f>
        <v>#DIV/0!</v>
      </c>
      <c r="H41" s="36" t="s">
        <v>313</v>
      </c>
    </row>
    <row r="47" spans="1:9" x14ac:dyDescent="0.2">
      <c r="I47" s="2" t="e">
        <f>SLOPE(H48:H52,K48:K52)</f>
        <v>#DIV/0!</v>
      </c>
    </row>
    <row r="48" spans="1:9" x14ac:dyDescent="0.2">
      <c r="H48" s="2" t="s">
        <v>314</v>
      </c>
    </row>
  </sheetData>
  <hyperlinks>
    <hyperlink ref="A1" location="Main!A1" display="Main" xr:uid="{0FBE4F93-2C89-43EF-BB8A-A009324A351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Main</vt:lpstr>
      <vt:lpstr>Quarters</vt:lpstr>
      <vt:lpstr>Model</vt:lpstr>
      <vt:lpstr>Ratios</vt:lpstr>
      <vt:lpstr>DCF</vt:lpstr>
      <vt:lpstr>WACC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Settje</dc:creator>
  <cp:lastModifiedBy>Oscar Settje</cp:lastModifiedBy>
  <dcterms:created xsi:type="dcterms:W3CDTF">2024-07-02T09:23:32Z</dcterms:created>
  <dcterms:modified xsi:type="dcterms:W3CDTF">2026-07-31T16:49:35Z</dcterms:modified>
</cp:coreProperties>
</file>