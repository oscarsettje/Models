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8D6354F7-6676-434E-8441-AA0741FF50A3}" xr6:coauthVersionLast="47" xr6:coauthVersionMax="47" xr10:uidLastSave="{00000000-0000-0000-0000-000000000000}"/>
  <bookViews>
    <workbookView xWindow="-105" yWindow="0" windowWidth="19410" windowHeight="20985" activeTab="1" xr2:uid="{964FB9B6-5A0B-4BED-B971-24C834B20146}"/>
  </bookViews>
  <sheets>
    <sheet name="Main" sheetId="1" r:id="rId1"/>
    <sheet name="Model" sheetId="2" r:id="rId2"/>
    <sheet name="Ratio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2" l="1"/>
  <c r="O8" i="2"/>
  <c r="O49" i="2"/>
  <c r="O48" i="2"/>
  <c r="O47" i="2"/>
  <c r="O46" i="2"/>
  <c r="O45" i="2"/>
  <c r="O44" i="2"/>
  <c r="O43" i="2"/>
  <c r="O42" i="2"/>
  <c r="O41" i="2"/>
  <c r="O40" i="2"/>
  <c r="O39" i="2"/>
  <c r="O38" i="2"/>
  <c r="O34" i="2"/>
  <c r="O32" i="2"/>
  <c r="O30" i="2"/>
  <c r="O26" i="2"/>
  <c r="O25" i="2"/>
  <c r="O21" i="2"/>
  <c r="N31" i="2"/>
  <c r="N29" i="2"/>
  <c r="N28" i="2"/>
  <c r="N27" i="2"/>
  <c r="N24" i="2"/>
  <c r="N23" i="2"/>
  <c r="N22" i="2"/>
  <c r="N25" i="2" s="1"/>
  <c r="N20" i="2"/>
  <c r="N19" i="2"/>
  <c r="N21" i="2" s="1"/>
  <c r="N18" i="2"/>
  <c r="N44" i="2" s="1"/>
  <c r="N17" i="2"/>
  <c r="N43" i="2" s="1"/>
  <c r="N16" i="2"/>
  <c r="N42" i="2" s="1"/>
  <c r="N15" i="2"/>
  <c r="N41" i="2" s="1"/>
  <c r="N14" i="2"/>
  <c r="N13" i="2"/>
  <c r="N39" i="2" s="1"/>
  <c r="N12" i="2"/>
  <c r="N38" i="2" s="1"/>
  <c r="N8" i="2"/>
  <c r="N5" i="2"/>
  <c r="N4" i="2"/>
  <c r="N3" i="2"/>
  <c r="H5" i="1"/>
  <c r="H3" i="1"/>
  <c r="K51" i="4"/>
  <c r="K63" i="4" s="1"/>
  <c r="J51" i="4"/>
  <c r="K50" i="4"/>
  <c r="K56" i="4" s="1"/>
  <c r="J50" i="4"/>
  <c r="J56" i="4" s="1"/>
  <c r="K42" i="4"/>
  <c r="K43" i="4" s="1"/>
  <c r="J42" i="4"/>
  <c r="J43" i="4" s="1"/>
  <c r="J38" i="4"/>
  <c r="K37" i="4"/>
  <c r="J37" i="4"/>
  <c r="K36" i="4"/>
  <c r="J36" i="4"/>
  <c r="K32" i="4"/>
  <c r="J32" i="4"/>
  <c r="K31" i="4"/>
  <c r="J31" i="4"/>
  <c r="K27" i="4"/>
  <c r="J27" i="4"/>
  <c r="K22" i="4"/>
  <c r="J22" i="4"/>
  <c r="K14" i="4"/>
  <c r="J14" i="4"/>
  <c r="AA116" i="2"/>
  <c r="Z116" i="2"/>
  <c r="Z107" i="2"/>
  <c r="AA106" i="2"/>
  <c r="AA107" i="2" s="1"/>
  <c r="AA79" i="2"/>
  <c r="Z79" i="2"/>
  <c r="AA72" i="2"/>
  <c r="K39" i="4" s="1"/>
  <c r="Z72" i="2"/>
  <c r="J39" i="4" s="1"/>
  <c r="AA65" i="2"/>
  <c r="Z65" i="2"/>
  <c r="AA58" i="2"/>
  <c r="K40" i="4" s="1"/>
  <c r="Z58" i="2"/>
  <c r="J40" i="4" s="1"/>
  <c r="AA45" i="2"/>
  <c r="AA44" i="2"/>
  <c r="AA43" i="2"/>
  <c r="AA42" i="2"/>
  <c r="AA41" i="2"/>
  <c r="AA40" i="2"/>
  <c r="AA39" i="2"/>
  <c r="AA38" i="2"/>
  <c r="AA25" i="2"/>
  <c r="AA21" i="2"/>
  <c r="AA46" i="2" s="1"/>
  <c r="AA5" i="2"/>
  <c r="AA4" i="2"/>
  <c r="AA3" i="2"/>
  <c r="AA8" i="2"/>
  <c r="M6" i="2"/>
  <c r="M8" i="2" s="1"/>
  <c r="M10" i="2" s="1"/>
  <c r="L47" i="2"/>
  <c r="K47" i="2"/>
  <c r="M45" i="2"/>
  <c r="L45" i="2"/>
  <c r="K45" i="2"/>
  <c r="M44" i="2"/>
  <c r="L44" i="2"/>
  <c r="K44" i="2"/>
  <c r="M43" i="2"/>
  <c r="L43" i="2"/>
  <c r="K43" i="2"/>
  <c r="M42" i="2"/>
  <c r="L42" i="2"/>
  <c r="K42" i="2"/>
  <c r="M41" i="2"/>
  <c r="L41" i="2"/>
  <c r="K41" i="2"/>
  <c r="N40" i="2"/>
  <c r="M40" i="2"/>
  <c r="L40" i="2"/>
  <c r="K40" i="2"/>
  <c r="M39" i="2"/>
  <c r="L39" i="2"/>
  <c r="K39" i="2"/>
  <c r="M38" i="2"/>
  <c r="L38" i="2"/>
  <c r="K38" i="2"/>
  <c r="M25" i="2"/>
  <c r="M21" i="2"/>
  <c r="H4" i="1"/>
  <c r="I50" i="4" s="1"/>
  <c r="H6" i="2"/>
  <c r="H8" i="2" s="1"/>
  <c r="H10" i="2" s="1"/>
  <c r="L6" i="2"/>
  <c r="L8" i="2" s="1"/>
  <c r="L10" i="2" s="1"/>
  <c r="L30" i="2"/>
  <c r="L32" i="2" s="1"/>
  <c r="L49" i="2" s="1"/>
  <c r="L25" i="2"/>
  <c r="L21" i="2"/>
  <c r="L46" i="2" s="1"/>
  <c r="G6" i="2"/>
  <c r="G8" i="2" s="1"/>
  <c r="J8" i="2"/>
  <c r="I8" i="2"/>
  <c r="F8" i="2"/>
  <c r="E8" i="2"/>
  <c r="D8" i="2"/>
  <c r="C8" i="2"/>
  <c r="K6" i="2"/>
  <c r="K8" i="2" s="1"/>
  <c r="K10" i="2" s="1"/>
  <c r="K30" i="2"/>
  <c r="K32" i="2" s="1"/>
  <c r="K25" i="2"/>
  <c r="K21" i="2"/>
  <c r="K46" i="2" s="1"/>
  <c r="Z45" i="2"/>
  <c r="Z44" i="2"/>
  <c r="Z43" i="2"/>
  <c r="Z42" i="2"/>
  <c r="Z41" i="2"/>
  <c r="Z40" i="2"/>
  <c r="Z39" i="2"/>
  <c r="Z38" i="2"/>
  <c r="Y8" i="2"/>
  <c r="X8" i="2"/>
  <c r="X37" i="2" s="1"/>
  <c r="Z8" i="2"/>
  <c r="Z25" i="2"/>
  <c r="Z21" i="2"/>
  <c r="Z46" i="2" s="1"/>
  <c r="Y42" i="2"/>
  <c r="X42" i="2"/>
  <c r="W42" i="2"/>
  <c r="V42" i="2"/>
  <c r="Y41" i="2"/>
  <c r="X41" i="2"/>
  <c r="W41" i="2"/>
  <c r="V41" i="2"/>
  <c r="Y40" i="2"/>
  <c r="X40" i="2"/>
  <c r="W40" i="2"/>
  <c r="V40" i="2"/>
  <c r="Y39" i="2"/>
  <c r="X39" i="2"/>
  <c r="W39" i="2"/>
  <c r="V39" i="2"/>
  <c r="Y38" i="2"/>
  <c r="X38" i="2"/>
  <c r="W38" i="2"/>
  <c r="V38" i="2"/>
  <c r="U41" i="2"/>
  <c r="U40" i="2"/>
  <c r="U39" i="2"/>
  <c r="U38" i="2"/>
  <c r="J42" i="2"/>
  <c r="I42" i="2"/>
  <c r="H42" i="2"/>
  <c r="J41" i="2"/>
  <c r="I41" i="2"/>
  <c r="H41" i="2"/>
  <c r="J40" i="2"/>
  <c r="I40" i="2"/>
  <c r="H40" i="2"/>
  <c r="J39" i="2"/>
  <c r="I39" i="2"/>
  <c r="H39" i="2"/>
  <c r="J38" i="2"/>
  <c r="I38" i="2"/>
  <c r="H38" i="2"/>
  <c r="G41" i="2"/>
  <c r="G40" i="2"/>
  <c r="G39" i="2"/>
  <c r="G38" i="2"/>
  <c r="J45" i="2"/>
  <c r="J44" i="2"/>
  <c r="J43" i="2"/>
  <c r="H45" i="2"/>
  <c r="G45" i="2"/>
  <c r="H44" i="2"/>
  <c r="G44" i="2"/>
  <c r="H43" i="2"/>
  <c r="G43" i="2"/>
  <c r="G42" i="2"/>
  <c r="I45" i="2"/>
  <c r="I44" i="2"/>
  <c r="I43" i="2"/>
  <c r="X45" i="2"/>
  <c r="W45" i="2"/>
  <c r="V45" i="2"/>
  <c r="U45" i="2"/>
  <c r="X44" i="2"/>
  <c r="W44" i="2"/>
  <c r="V44" i="2"/>
  <c r="U44" i="2"/>
  <c r="X43" i="2"/>
  <c r="W43" i="2"/>
  <c r="V43" i="2"/>
  <c r="U43" i="2"/>
  <c r="U42" i="2"/>
  <c r="Y44" i="2"/>
  <c r="Y43" i="2"/>
  <c r="J25" i="2"/>
  <c r="I25" i="2"/>
  <c r="H25" i="2"/>
  <c r="G25" i="2"/>
  <c r="F25" i="2"/>
  <c r="E25" i="2"/>
  <c r="D25" i="2"/>
  <c r="C25" i="2"/>
  <c r="J21" i="2"/>
  <c r="I21" i="2"/>
  <c r="I46" i="2" s="1"/>
  <c r="H21" i="2"/>
  <c r="G21" i="2"/>
  <c r="F21" i="2"/>
  <c r="F46" i="2" s="1"/>
  <c r="D21" i="2"/>
  <c r="D46" i="2" s="1"/>
  <c r="C21" i="2"/>
  <c r="C46" i="2" s="1"/>
  <c r="E21" i="2"/>
  <c r="E46" i="2" s="1"/>
  <c r="I42" i="4"/>
  <c r="I43" i="4" s="1"/>
  <c r="H42" i="4"/>
  <c r="H43" i="4" s="1"/>
  <c r="G42" i="4"/>
  <c r="G43" i="4" s="1"/>
  <c r="F42" i="4"/>
  <c r="F43" i="4" s="1"/>
  <c r="E42" i="4"/>
  <c r="E43" i="4" s="1"/>
  <c r="D42" i="4"/>
  <c r="D43" i="4" s="1"/>
  <c r="H37" i="4"/>
  <c r="G37" i="4"/>
  <c r="F37" i="4"/>
  <c r="E37" i="4"/>
  <c r="D37" i="4"/>
  <c r="I37" i="4"/>
  <c r="H36" i="4"/>
  <c r="G36" i="4"/>
  <c r="F36" i="4"/>
  <c r="E36" i="4"/>
  <c r="D36" i="4"/>
  <c r="I36" i="4"/>
  <c r="H27" i="4"/>
  <c r="G27" i="4"/>
  <c r="F27" i="4"/>
  <c r="E27" i="4"/>
  <c r="D27" i="4"/>
  <c r="I27" i="4"/>
  <c r="H14" i="4"/>
  <c r="G14" i="4"/>
  <c r="F14" i="4"/>
  <c r="E14" i="4"/>
  <c r="D14" i="4"/>
  <c r="I14" i="4"/>
  <c r="X35" i="2"/>
  <c r="H50" i="4" s="1"/>
  <c r="U35" i="2"/>
  <c r="E50" i="4" s="1"/>
  <c r="E51" i="4" s="1"/>
  <c r="T35" i="2"/>
  <c r="D50" i="4" s="1"/>
  <c r="D58" i="4" s="1"/>
  <c r="W35" i="2"/>
  <c r="G50" i="4" s="1"/>
  <c r="T115" i="2"/>
  <c r="T116" i="2" s="1"/>
  <c r="V116" i="2"/>
  <c r="U116" i="2"/>
  <c r="Y116" i="2"/>
  <c r="X116" i="2"/>
  <c r="W116" i="2"/>
  <c r="T106" i="2"/>
  <c r="T107" i="2" s="1"/>
  <c r="V35" i="2"/>
  <c r="F50" i="4" s="1"/>
  <c r="F51" i="4" s="1"/>
  <c r="V79" i="2"/>
  <c r="U72" i="2"/>
  <c r="E39" i="4" s="1"/>
  <c r="T72" i="2"/>
  <c r="D39" i="4" s="1"/>
  <c r="Y72" i="2"/>
  <c r="X72" i="2"/>
  <c r="W72" i="2"/>
  <c r="V72" i="2"/>
  <c r="F38" i="4" s="1"/>
  <c r="X120" i="2"/>
  <c r="X107" i="2"/>
  <c r="W107" i="2"/>
  <c r="V107" i="2"/>
  <c r="U107" i="2"/>
  <c r="Y107" i="2"/>
  <c r="X79" i="2"/>
  <c r="W79" i="2"/>
  <c r="U79" i="2"/>
  <c r="T79" i="2"/>
  <c r="Y79" i="2"/>
  <c r="H22" i="4"/>
  <c r="G22" i="4"/>
  <c r="X65" i="2"/>
  <c r="W65" i="2"/>
  <c r="V65" i="2"/>
  <c r="U65" i="2"/>
  <c r="T65" i="2"/>
  <c r="Y65" i="2"/>
  <c r="X58" i="2"/>
  <c r="W58" i="2"/>
  <c r="V58" i="2"/>
  <c r="U58" i="2"/>
  <c r="T58" i="2"/>
  <c r="Y58" i="2"/>
  <c r="Y45" i="2"/>
  <c r="X25" i="2"/>
  <c r="W25" i="2"/>
  <c r="V25" i="2"/>
  <c r="U25" i="2"/>
  <c r="T25" i="2"/>
  <c r="Y25" i="2"/>
  <c r="X21" i="2"/>
  <c r="X46" i="2" s="1"/>
  <c r="W21" i="2"/>
  <c r="V21" i="2"/>
  <c r="U21" i="2"/>
  <c r="T21" i="2"/>
  <c r="Y21" i="2"/>
  <c r="Y46" i="2" s="1"/>
  <c r="K38" i="4" l="1"/>
  <c r="J44" i="4"/>
  <c r="Z80" i="2"/>
  <c r="Z82" i="2" s="1"/>
  <c r="J21" i="4" s="1"/>
  <c r="K44" i="4"/>
  <c r="AA80" i="2"/>
  <c r="AA82" i="2" s="1"/>
  <c r="K21" i="4" s="1"/>
  <c r="N46" i="2"/>
  <c r="N26" i="2"/>
  <c r="K58" i="4"/>
  <c r="J63" i="4"/>
  <c r="Z66" i="2"/>
  <c r="N45" i="2"/>
  <c r="J58" i="4"/>
  <c r="J55" i="4"/>
  <c r="K55" i="4"/>
  <c r="AA66" i="2"/>
  <c r="AA37" i="2"/>
  <c r="M26" i="2"/>
  <c r="M30" i="2" s="1"/>
  <c r="M32" i="2" s="1"/>
  <c r="AA26" i="2"/>
  <c r="K60" i="4" s="1"/>
  <c r="M46" i="2"/>
  <c r="K49" i="2"/>
  <c r="K48" i="2"/>
  <c r="K34" i="2"/>
  <c r="L34" i="2"/>
  <c r="L48" i="2"/>
  <c r="Z37" i="2"/>
  <c r="Y37" i="2"/>
  <c r="Z26" i="2"/>
  <c r="H26" i="2"/>
  <c r="H46" i="2"/>
  <c r="G26" i="2"/>
  <c r="I26" i="2"/>
  <c r="J26" i="2"/>
  <c r="G46" i="2"/>
  <c r="J46" i="2"/>
  <c r="C26" i="2"/>
  <c r="D26" i="2"/>
  <c r="F26" i="2"/>
  <c r="E26" i="2"/>
  <c r="M36" i="4"/>
  <c r="N42" i="4"/>
  <c r="D44" i="4"/>
  <c r="E31" i="4"/>
  <c r="H44" i="4"/>
  <c r="F40" i="4"/>
  <c r="F44" i="4"/>
  <c r="I44" i="4"/>
  <c r="E44" i="4"/>
  <c r="F31" i="4"/>
  <c r="F39" i="4"/>
  <c r="G31" i="4"/>
  <c r="H31" i="4"/>
  <c r="N36" i="4"/>
  <c r="N37" i="4"/>
  <c r="G56" i="4"/>
  <c r="G51" i="4"/>
  <c r="G55" i="4"/>
  <c r="G58" i="4"/>
  <c r="E63" i="4"/>
  <c r="I31" i="4"/>
  <c r="I32" i="4"/>
  <c r="I22" i="4"/>
  <c r="G40" i="4"/>
  <c r="G39" i="4"/>
  <c r="G38" i="4"/>
  <c r="D32" i="4"/>
  <c r="D22" i="4"/>
  <c r="D31" i="4"/>
  <c r="H39" i="4"/>
  <c r="H38" i="4"/>
  <c r="H40" i="4"/>
  <c r="E22" i="4"/>
  <c r="E32" i="4"/>
  <c r="I40" i="4"/>
  <c r="I39" i="4"/>
  <c r="I38" i="4"/>
  <c r="M43" i="4"/>
  <c r="M37" i="4"/>
  <c r="F63" i="4"/>
  <c r="H56" i="4"/>
  <c r="H55" i="4"/>
  <c r="H51" i="4"/>
  <c r="H58" i="4"/>
  <c r="D40" i="4"/>
  <c r="E58" i="4"/>
  <c r="N27" i="4"/>
  <c r="E40" i="4"/>
  <c r="F32" i="4"/>
  <c r="H32" i="4"/>
  <c r="F55" i="4"/>
  <c r="D38" i="4"/>
  <c r="F58" i="4"/>
  <c r="G32" i="4"/>
  <c r="D55" i="4"/>
  <c r="E55" i="4"/>
  <c r="D51" i="4"/>
  <c r="E56" i="4"/>
  <c r="F56" i="4"/>
  <c r="F22" i="4"/>
  <c r="E38" i="4"/>
  <c r="G44" i="4"/>
  <c r="N43" i="4"/>
  <c r="D56" i="4"/>
  <c r="I55" i="4"/>
  <c r="I56" i="4"/>
  <c r="I58" i="4"/>
  <c r="M42" i="4"/>
  <c r="M27" i="4"/>
  <c r="N14" i="4"/>
  <c r="M14" i="4"/>
  <c r="V80" i="2"/>
  <c r="V82" i="2" s="1"/>
  <c r="F21" i="4" s="1"/>
  <c r="W66" i="2"/>
  <c r="X66" i="2"/>
  <c r="Y66" i="2"/>
  <c r="T66" i="2"/>
  <c r="W80" i="2"/>
  <c r="W82" i="2" s="1"/>
  <c r="G21" i="4" s="1"/>
  <c r="T80" i="2"/>
  <c r="T82" i="2" s="1"/>
  <c r="D21" i="4" s="1"/>
  <c r="U80" i="2"/>
  <c r="U82" i="2" s="1"/>
  <c r="E21" i="4" s="1"/>
  <c r="U66" i="2"/>
  <c r="V66" i="2"/>
  <c r="X80" i="2"/>
  <c r="X82" i="2" s="1"/>
  <c r="H21" i="4" s="1"/>
  <c r="Y80" i="2"/>
  <c r="Y82" i="2" s="1"/>
  <c r="I21" i="4" s="1"/>
  <c r="V26" i="2"/>
  <c r="F60" i="4" s="1"/>
  <c r="W26" i="2"/>
  <c r="T26" i="2"/>
  <c r="T46" i="2"/>
  <c r="U26" i="2"/>
  <c r="E60" i="4" s="1"/>
  <c r="U46" i="2"/>
  <c r="V46" i="2"/>
  <c r="W46" i="2"/>
  <c r="X26" i="2"/>
  <c r="Y26" i="2"/>
  <c r="H7" i="1"/>
  <c r="I51" i="4" s="1"/>
  <c r="K61" i="4" l="1"/>
  <c r="J60" i="4"/>
  <c r="J33" i="4"/>
  <c r="J29" i="4"/>
  <c r="J30" i="4" s="1"/>
  <c r="J8" i="4"/>
  <c r="J41" i="4"/>
  <c r="K8" i="4"/>
  <c r="K41" i="4"/>
  <c r="K33" i="4"/>
  <c r="K29" i="4"/>
  <c r="K30" i="4" s="1"/>
  <c r="J6" i="4"/>
  <c r="J11" i="4"/>
  <c r="J24" i="4"/>
  <c r="J10" i="4"/>
  <c r="J7" i="4"/>
  <c r="AA47" i="2"/>
  <c r="K23" i="4"/>
  <c r="K6" i="4"/>
  <c r="K12" i="4"/>
  <c r="K10" i="4"/>
  <c r="K16" i="4"/>
  <c r="K7" i="4"/>
  <c r="K11" i="4"/>
  <c r="K24" i="4"/>
  <c r="N30" i="2"/>
  <c r="N32" i="2" s="1"/>
  <c r="N47" i="2"/>
  <c r="J61" i="4"/>
  <c r="AA30" i="2"/>
  <c r="AA32" i="2" s="1"/>
  <c r="M47" i="2"/>
  <c r="AA49" i="2"/>
  <c r="K62" i="4" s="1"/>
  <c r="AA48" i="2"/>
  <c r="M34" i="2"/>
  <c r="M49" i="2"/>
  <c r="M48" i="2"/>
  <c r="Z30" i="2"/>
  <c r="Z32" i="2" s="1"/>
  <c r="Z47" i="2"/>
  <c r="F30" i="2"/>
  <c r="F32" i="2" s="1"/>
  <c r="F47" i="2"/>
  <c r="C30" i="2"/>
  <c r="C32" i="2" s="1"/>
  <c r="C47" i="2"/>
  <c r="E30" i="2"/>
  <c r="E32" i="2" s="1"/>
  <c r="E47" i="2"/>
  <c r="D30" i="2"/>
  <c r="D32" i="2" s="1"/>
  <c r="D47" i="2"/>
  <c r="J30" i="2"/>
  <c r="J32" i="2" s="1"/>
  <c r="J47" i="2"/>
  <c r="I30" i="2"/>
  <c r="I32" i="2" s="1"/>
  <c r="I47" i="2"/>
  <c r="G30" i="2"/>
  <c r="G32" i="2" s="1"/>
  <c r="G34" i="2" s="1"/>
  <c r="G47" i="2"/>
  <c r="H30" i="2"/>
  <c r="H32" i="2" s="1"/>
  <c r="H47" i="2"/>
  <c r="N22" i="4"/>
  <c r="N31" i="4"/>
  <c r="N21" i="4"/>
  <c r="N32" i="4"/>
  <c r="M22" i="4"/>
  <c r="F61" i="4"/>
  <c r="I29" i="4"/>
  <c r="I30" i="4" s="1"/>
  <c r="I33" i="4"/>
  <c r="I41" i="4"/>
  <c r="I8" i="4"/>
  <c r="H33" i="4"/>
  <c r="H29" i="4"/>
  <c r="H30" i="4" s="1"/>
  <c r="H41" i="4"/>
  <c r="H8" i="4"/>
  <c r="M31" i="4"/>
  <c r="M38" i="4"/>
  <c r="N38" i="4"/>
  <c r="D63" i="4"/>
  <c r="D60" i="4"/>
  <c r="D61" i="4"/>
  <c r="M21" i="4"/>
  <c r="E61" i="4"/>
  <c r="H63" i="4"/>
  <c r="H61" i="4"/>
  <c r="H60" i="4"/>
  <c r="G41" i="4"/>
  <c r="G8" i="4"/>
  <c r="G33" i="4"/>
  <c r="V47" i="2"/>
  <c r="F11" i="4"/>
  <c r="F7" i="4"/>
  <c r="F10" i="4"/>
  <c r="F6" i="4"/>
  <c r="F24" i="4"/>
  <c r="F28" i="4"/>
  <c r="N55" i="4"/>
  <c r="I10" i="4"/>
  <c r="I7" i="4"/>
  <c r="I24" i="4"/>
  <c r="I11" i="4"/>
  <c r="I6" i="4"/>
  <c r="H10" i="4"/>
  <c r="H24" i="4"/>
  <c r="H6" i="4"/>
  <c r="H7" i="4"/>
  <c r="H11" i="4"/>
  <c r="M39" i="4"/>
  <c r="N39" i="4"/>
  <c r="M40" i="4"/>
  <c r="N40" i="4"/>
  <c r="E10" i="4"/>
  <c r="E24" i="4"/>
  <c r="E11" i="4"/>
  <c r="E7" i="4"/>
  <c r="E6" i="4"/>
  <c r="T47" i="2"/>
  <c r="D11" i="4"/>
  <c r="D7" i="4"/>
  <c r="D6" i="4"/>
  <c r="D10" i="4"/>
  <c r="D24" i="4"/>
  <c r="W47" i="2"/>
  <c r="G6" i="4"/>
  <c r="G10" i="4"/>
  <c r="G24" i="4"/>
  <c r="G11" i="4"/>
  <c r="G7" i="4"/>
  <c r="G29" i="4"/>
  <c r="M32" i="4"/>
  <c r="F29" i="4"/>
  <c r="F30" i="4" s="1"/>
  <c r="F33" i="4"/>
  <c r="F41" i="4"/>
  <c r="F8" i="4"/>
  <c r="E33" i="4"/>
  <c r="E29" i="4"/>
  <c r="E30" i="4" s="1"/>
  <c r="E41" i="4"/>
  <c r="E8" i="4"/>
  <c r="G61" i="4"/>
  <c r="G60" i="4"/>
  <c r="G63" i="4"/>
  <c r="M44" i="4"/>
  <c r="N44" i="4"/>
  <c r="D33" i="4"/>
  <c r="D8" i="4"/>
  <c r="D29" i="4"/>
  <c r="D30" i="4" s="1"/>
  <c r="D41" i="4"/>
  <c r="M55" i="4"/>
  <c r="I63" i="4"/>
  <c r="I61" i="4"/>
  <c r="I60" i="4"/>
  <c r="N58" i="4"/>
  <c r="M58" i="4"/>
  <c r="N56" i="4"/>
  <c r="M56" i="4"/>
  <c r="T30" i="2"/>
  <c r="T32" i="2" s="1"/>
  <c r="W30" i="2"/>
  <c r="W32" i="2" s="1"/>
  <c r="W34" i="2" s="1"/>
  <c r="V30" i="2"/>
  <c r="V32" i="2" s="1"/>
  <c r="Y47" i="2"/>
  <c r="Y30" i="2"/>
  <c r="Y32" i="2" s="1"/>
  <c r="X47" i="2"/>
  <c r="X30" i="2"/>
  <c r="X32" i="2" s="1"/>
  <c r="U47" i="2"/>
  <c r="U30" i="2"/>
  <c r="U32" i="2" s="1"/>
  <c r="AA34" i="2" l="1"/>
  <c r="K4" i="4"/>
  <c r="K15" i="4" s="1"/>
  <c r="K9" i="4"/>
  <c r="AA85" i="2"/>
  <c r="AA101" i="2" s="1"/>
  <c r="K5" i="4"/>
  <c r="K52" i="4"/>
  <c r="K17" i="4"/>
  <c r="Z34" i="2"/>
  <c r="J5" i="4"/>
  <c r="J4" i="4"/>
  <c r="J15" i="4" s="1"/>
  <c r="J9" i="4"/>
  <c r="Z85" i="2"/>
  <c r="Z101" i="2" s="1"/>
  <c r="J52" i="4"/>
  <c r="N49" i="2"/>
  <c r="N34" i="2"/>
  <c r="N48" i="2"/>
  <c r="Z48" i="2"/>
  <c r="Z49" i="2"/>
  <c r="H34" i="2"/>
  <c r="H48" i="2"/>
  <c r="H49" i="2"/>
  <c r="J34" i="2"/>
  <c r="J49" i="2"/>
  <c r="J48" i="2"/>
  <c r="D34" i="2"/>
  <c r="D49" i="2"/>
  <c r="D48" i="2"/>
  <c r="E34" i="2"/>
  <c r="E49" i="2"/>
  <c r="E48" i="2"/>
  <c r="G49" i="2"/>
  <c r="G48" i="2"/>
  <c r="I34" i="2"/>
  <c r="I48" i="2"/>
  <c r="I49" i="2"/>
  <c r="C34" i="2"/>
  <c r="C48" i="2"/>
  <c r="C49" i="2"/>
  <c r="F34" i="2"/>
  <c r="F49" i="2"/>
  <c r="F48" i="2"/>
  <c r="M41" i="4"/>
  <c r="W49" i="2"/>
  <c r="G12" i="4" s="1"/>
  <c r="M33" i="4"/>
  <c r="W85" i="2"/>
  <c r="W101" i="2" s="1"/>
  <c r="G5" i="4"/>
  <c r="G9" i="4"/>
  <c r="G4" i="4"/>
  <c r="G52" i="4"/>
  <c r="D9" i="4"/>
  <c r="D5" i="4"/>
  <c r="D4" i="4"/>
  <c r="D15" i="4" s="1"/>
  <c r="D52" i="4"/>
  <c r="D53" i="4" s="1"/>
  <c r="N8" i="4"/>
  <c r="N24" i="4"/>
  <c r="M24" i="4"/>
  <c r="F9" i="4"/>
  <c r="F4" i="4"/>
  <c r="F15" i="4" s="1"/>
  <c r="F5" i="4"/>
  <c r="F52" i="4"/>
  <c r="M29" i="4"/>
  <c r="G30" i="4"/>
  <c r="N30" i="4" s="1"/>
  <c r="N29" i="4"/>
  <c r="M7" i="4"/>
  <c r="N7" i="4"/>
  <c r="N11" i="4"/>
  <c r="M11" i="4"/>
  <c r="E5" i="4"/>
  <c r="E9" i="4"/>
  <c r="E4" i="4"/>
  <c r="E15" i="4" s="1"/>
  <c r="E52" i="4"/>
  <c r="N41" i="4"/>
  <c r="X85" i="2"/>
  <c r="X101" i="2" s="1"/>
  <c r="H9" i="4"/>
  <c r="H4" i="4"/>
  <c r="H15" i="4" s="1"/>
  <c r="H5" i="4"/>
  <c r="H52" i="4"/>
  <c r="M8" i="4"/>
  <c r="M10" i="4"/>
  <c r="N10" i="4"/>
  <c r="Y85" i="2"/>
  <c r="Y101" i="2" s="1"/>
  <c r="I5" i="4"/>
  <c r="I9" i="4"/>
  <c r="I4" i="4"/>
  <c r="I15" i="4" s="1"/>
  <c r="I52" i="4"/>
  <c r="N33" i="4"/>
  <c r="M6" i="4"/>
  <c r="N6" i="4"/>
  <c r="W48" i="2"/>
  <c r="N60" i="4"/>
  <c r="M60" i="4"/>
  <c r="M61" i="4"/>
  <c r="N61" i="4"/>
  <c r="N63" i="4"/>
  <c r="M63" i="4"/>
  <c r="U85" i="2"/>
  <c r="U34" i="2"/>
  <c r="V34" i="2"/>
  <c r="V85" i="2"/>
  <c r="T49" i="2"/>
  <c r="T85" i="2"/>
  <c r="T34" i="2"/>
  <c r="V49" i="2"/>
  <c r="T48" i="2"/>
  <c r="V48" i="2"/>
  <c r="Y34" i="2"/>
  <c r="Y48" i="2"/>
  <c r="Y49" i="2"/>
  <c r="X49" i="2"/>
  <c r="X34" i="2"/>
  <c r="X48" i="2"/>
  <c r="U48" i="2"/>
  <c r="U49" i="2"/>
  <c r="J25" i="4" l="1"/>
  <c r="J13" i="4"/>
  <c r="Z118" i="2"/>
  <c r="J57" i="4"/>
  <c r="J62" i="4"/>
  <c r="J23" i="4"/>
  <c r="J16" i="4"/>
  <c r="J12" i="4"/>
  <c r="K13" i="4"/>
  <c r="AA118" i="2"/>
  <c r="K25" i="4"/>
  <c r="K57" i="4"/>
  <c r="J53" i="4"/>
  <c r="J54" i="4"/>
  <c r="K54" i="4"/>
  <c r="K53" i="4"/>
  <c r="G16" i="4"/>
  <c r="G17" i="4" s="1"/>
  <c r="G23" i="4"/>
  <c r="G62" i="4"/>
  <c r="Y118" i="2"/>
  <c r="Y120" i="2" s="1"/>
  <c r="Z119" i="2" s="1"/>
  <c r="I13" i="4"/>
  <c r="I25" i="4"/>
  <c r="I57" i="4"/>
  <c r="D62" i="4"/>
  <c r="D16" i="4"/>
  <c r="D12" i="4"/>
  <c r="D23" i="4"/>
  <c r="I53" i="4"/>
  <c r="I54" i="4"/>
  <c r="F53" i="4"/>
  <c r="F54" i="4"/>
  <c r="W118" i="2"/>
  <c r="G13" i="4"/>
  <c r="G25" i="4"/>
  <c r="G57" i="4"/>
  <c r="H54" i="4"/>
  <c r="H53" i="4"/>
  <c r="E62" i="4"/>
  <c r="E12" i="4"/>
  <c r="E23" i="4"/>
  <c r="E16" i="4"/>
  <c r="M9" i="4"/>
  <c r="H12" i="4"/>
  <c r="H23" i="4"/>
  <c r="H16" i="4"/>
  <c r="H62" i="4"/>
  <c r="G54" i="4"/>
  <c r="G53" i="4"/>
  <c r="N52" i="4"/>
  <c r="M52" i="4"/>
  <c r="N9" i="4"/>
  <c r="X118" i="2"/>
  <c r="X119" i="2" s="1"/>
  <c r="W120" i="2" s="1"/>
  <c r="H13" i="4"/>
  <c r="H25" i="4"/>
  <c r="H57" i="4"/>
  <c r="M30" i="4"/>
  <c r="N5" i="4"/>
  <c r="I12" i="4"/>
  <c r="I23" i="4"/>
  <c r="I62" i="4"/>
  <c r="I16" i="4"/>
  <c r="E54" i="4"/>
  <c r="E53" i="4"/>
  <c r="M4" i="4"/>
  <c r="G15" i="4"/>
  <c r="N4" i="4"/>
  <c r="M5" i="4"/>
  <c r="F23" i="4"/>
  <c r="F16" i="4"/>
  <c r="F12" i="4"/>
  <c r="F62" i="4"/>
  <c r="T101" i="2"/>
  <c r="V101" i="2"/>
  <c r="U101" i="2"/>
  <c r="Z120" i="2" l="1"/>
  <c r="AA119" i="2" s="1"/>
  <c r="AA120" i="2" s="1"/>
  <c r="J17" i="4"/>
  <c r="E17" i="4"/>
  <c r="N23" i="4"/>
  <c r="W119" i="2"/>
  <c r="V120" i="2" s="1"/>
  <c r="H17" i="4"/>
  <c r="N16" i="4"/>
  <c r="I17" i="4"/>
  <c r="N12" i="4"/>
  <c r="M23" i="4"/>
  <c r="M16" i="4"/>
  <c r="U118" i="2"/>
  <c r="E13" i="4"/>
  <c r="E57" i="4"/>
  <c r="E25" i="4"/>
  <c r="V118" i="2"/>
  <c r="F13" i="4"/>
  <c r="F25" i="4"/>
  <c r="F57" i="4"/>
  <c r="T118" i="2"/>
  <c r="D25" i="4"/>
  <c r="M25" i="4" s="1"/>
  <c r="D13" i="4"/>
  <c r="M13" i="4" s="1"/>
  <c r="D57" i="4"/>
  <c r="M53" i="4"/>
  <c r="N53" i="4"/>
  <c r="F17" i="4"/>
  <c r="N54" i="4"/>
  <c r="M54" i="4"/>
  <c r="D17" i="4"/>
  <c r="N62" i="4"/>
  <c r="M62" i="4"/>
  <c r="M15" i="4"/>
  <c r="N15" i="4"/>
  <c r="M12" i="4"/>
  <c r="N57" i="4" l="1"/>
  <c r="V119" i="2"/>
  <c r="U120" i="2" s="1"/>
  <c r="U119" i="2" s="1"/>
  <c r="T120" i="2" s="1"/>
  <c r="T119" i="2" s="1"/>
  <c r="M17" i="4"/>
  <c r="N17" i="4"/>
  <c r="N25" i="4"/>
  <c r="M57" i="4"/>
  <c r="N13" i="4"/>
</calcChain>
</file>

<file path=xl/sharedStrings.xml><?xml version="1.0" encoding="utf-8"?>
<sst xmlns="http://schemas.openxmlformats.org/spreadsheetml/2006/main" count="411" uniqueCount="304">
  <si>
    <t>Ralph Lauren</t>
  </si>
  <si>
    <t>IR</t>
  </si>
  <si>
    <t>SEC</t>
  </si>
  <si>
    <t>Credit Score</t>
  </si>
  <si>
    <t>A3</t>
  </si>
  <si>
    <t>FY</t>
  </si>
  <si>
    <t>April 1 to March 30</t>
  </si>
  <si>
    <t>Price</t>
  </si>
  <si>
    <t>MC</t>
  </si>
  <si>
    <t>Ratios</t>
  </si>
  <si>
    <t>Debt</t>
  </si>
  <si>
    <t xml:space="preserve">Cash </t>
  </si>
  <si>
    <t>EV</t>
  </si>
  <si>
    <t>x</t>
  </si>
  <si>
    <t>Businessmodel</t>
  </si>
  <si>
    <t>Founded 1967 by Ralph Lauren RL Corp is a global leader in marketing, desing and distribution of luxury lifestyle products like appereal, footwear &amp; accessoires, home, hospitalitiy and fragrances</t>
  </si>
  <si>
    <t xml:space="preserve">Brands and Products </t>
  </si>
  <si>
    <t>Appereal:</t>
  </si>
  <si>
    <t>collection of men, women and children clothing which are sold under brand names like Ralph Lauren Collection, Ralph Lauren Purple Labe (luxury line), Double Rl,</t>
  </si>
  <si>
    <t>Polo Ralph Lauren, Lauren Ralph Lauren, Polo Golf Ralph Lauren, Ralph Lauren Golf, RLX Ralph Lauren, Ralph Lauren Children, Chaps and other</t>
  </si>
  <si>
    <t>Footwear &amp; Accessoires:</t>
  </si>
  <si>
    <t xml:space="preserve">include products for men, women, children: casual shoes, boat shoes, dress shoes, sneakers, sandals, eyewaer, watches, fashion jewelry, scarves, hats, gloves umbrellas and leather goods </t>
  </si>
  <si>
    <t xml:space="preserve">Sold under: Ralph Lauren Collection, RL Purple Label, Double RL, Polo RL, Lauren RL, Polo RL Children, Chaps </t>
  </si>
  <si>
    <t>Fragrances:</t>
  </si>
  <si>
    <t>Fragrances for men, women: women fragrances -&gt; RL Collection, Woman by RL, Romance Collection, Ralph Collection, Polo  Eath for man and woman (sustainable)</t>
  </si>
  <si>
    <t>Man fragrances: Ralphs Club, Purple Label, Polo Blue, Polo Red, Polo Green, Polo Black, Polo 67, Polo Safari, Polo Sport, Big Pony Men</t>
  </si>
  <si>
    <t>Home:</t>
  </si>
  <si>
    <t>Sold under Ralph Lauren, Polo, Lauren by RL and Chaps -&gt; include furniture, bed and bath, lighting, floor decoration etc</t>
  </si>
  <si>
    <t xml:space="preserve">Hospitality </t>
  </si>
  <si>
    <t>"Culinar Art": Several Bars and Resuranst across the globe like The Polo Bar in NY, RL Resturant in Chicago, The Bar at Ralph Lauren Milan, Ralphs Bar in Chengdu China etc.</t>
  </si>
  <si>
    <t>Distribution</t>
  </si>
  <si>
    <t xml:space="preserve">Noth America </t>
  </si>
  <si>
    <t>44% of sales, retail and wholesale business in the US and Canada, Retail: RL Stores, Outlet Stores, Concession based stores in store, ecommerce sites</t>
  </si>
  <si>
    <t>Wholesale is focused on sales on department stores, third party digital and licensee partners</t>
  </si>
  <si>
    <t>Europe</t>
  </si>
  <si>
    <t>30% of sales, Retail in Europe: RL Stores, Outlet Stores, Concession based stores in store, ecommerce sites</t>
  </si>
  <si>
    <t>Wholesale is focused on sales on department stores, third party digital and licensee partners vaires from country to country</t>
  </si>
  <si>
    <t>Asia</t>
  </si>
  <si>
    <t>24% of sales, retail and wholesale in Asia, Australia, New Zeeland, Retail; RL Stores, Outlet Stores, Concession based stores in store, ecommerce sites and third party ecommerce sites</t>
  </si>
  <si>
    <t>Non operating segments</t>
  </si>
  <si>
    <t xml:space="preserve">2% of sales -&gt; lincenses </t>
  </si>
  <si>
    <t>Retail</t>
  </si>
  <si>
    <t>D2C through 564 retail stores and 699 stores in store (total of 4,2 million and 0,7 million square feet), e commerce sites and thrid party digital partners</t>
  </si>
  <si>
    <t xml:space="preserve">RL Stores </t>
  </si>
  <si>
    <t>50 in America, 44 in Europe, 138 in Asia -&gt; Total 232 , opened 34 in FY24, closed 11 in FY24</t>
  </si>
  <si>
    <t xml:space="preserve">Outlet Stores </t>
  </si>
  <si>
    <t>180 in America, 59 in Europe, 93 in Asia, Total 332, opened 5 in FY24 and losed 17 in FY24</t>
  </si>
  <si>
    <t>Shop within Shop</t>
  </si>
  <si>
    <t xml:space="preserve">1 in America, 27 in Europe, 671 in Asia, Total 699,  </t>
  </si>
  <si>
    <t xml:space="preserve">Ecommerce </t>
  </si>
  <si>
    <t>https://www.ralphlauren.de</t>
  </si>
  <si>
    <t>Whole Sale</t>
  </si>
  <si>
    <t>84, Founder, Executive Chairman and Chief Creative Officer</t>
  </si>
  <si>
    <t>Patrice Louvet</t>
  </si>
  <si>
    <t>59, CEO and President since 2017, before he was at Procter&amp;Gamble</t>
  </si>
  <si>
    <t>Jane Hamilton Nielsen</t>
  </si>
  <si>
    <t>60, Chief Financial Officer since 2016 and Chief Operating Officer sine 2019, before she was at Coach Inc, and Pepsi</t>
  </si>
  <si>
    <t>David Lauren</t>
  </si>
  <si>
    <t>52, Chief Branding and Innovation Officer since 2022, was  a strategic advisor and vice chairman before</t>
  </si>
  <si>
    <t>Halide Alagöz</t>
  </si>
  <si>
    <t>52, Chief Product Officer since 2021, she was at H&amp;M corp before</t>
  </si>
  <si>
    <t>Main</t>
  </si>
  <si>
    <t>FY19</t>
  </si>
  <si>
    <t>FY20</t>
  </si>
  <si>
    <t>FY21</t>
  </si>
  <si>
    <t>FY22</t>
  </si>
  <si>
    <t>FY23</t>
  </si>
  <si>
    <t>FY24</t>
  </si>
  <si>
    <t>Wholesale</t>
  </si>
  <si>
    <t>Licensing</t>
  </si>
  <si>
    <t>n.a.</t>
  </si>
  <si>
    <t>FY25</t>
  </si>
  <si>
    <t>Revenue</t>
  </si>
  <si>
    <t>COGS</t>
  </si>
  <si>
    <t>Gross Profit</t>
  </si>
  <si>
    <t>SGA</t>
  </si>
  <si>
    <t>Impairment of Assets</t>
  </si>
  <si>
    <t>Restructruing and other</t>
  </si>
  <si>
    <t>Total OpEx</t>
  </si>
  <si>
    <t>Operating Profit</t>
  </si>
  <si>
    <t xml:space="preserve">Interest Expense </t>
  </si>
  <si>
    <t>Interest Income</t>
  </si>
  <si>
    <t>Other Income</t>
  </si>
  <si>
    <t>Pre Tax Income</t>
  </si>
  <si>
    <t>Tax Expenses</t>
  </si>
  <si>
    <t>Net Income</t>
  </si>
  <si>
    <t xml:space="preserve">Number of Shares </t>
  </si>
  <si>
    <t>EPS</t>
  </si>
  <si>
    <t>Revenue Growth</t>
  </si>
  <si>
    <t>Gross Margin</t>
  </si>
  <si>
    <t>Operarating Margin</t>
  </si>
  <si>
    <t>Profit Margin</t>
  </si>
  <si>
    <t>Tax Rate</t>
  </si>
  <si>
    <t>Cash &amp; Cash Equivalents</t>
  </si>
  <si>
    <t>Short -Term Investments</t>
  </si>
  <si>
    <t>Accounts Receivables</t>
  </si>
  <si>
    <t xml:space="preserve">Inventories </t>
  </si>
  <si>
    <t>Income Tax Receivable</t>
  </si>
  <si>
    <t>Prepaid Expenses and other Assets</t>
  </si>
  <si>
    <t>Total Current Assets</t>
  </si>
  <si>
    <t>PP&amp;E</t>
  </si>
  <si>
    <t>Operating Lease right of use Assets</t>
  </si>
  <si>
    <t>Deffered Taxes Assets</t>
  </si>
  <si>
    <t>Goodwill</t>
  </si>
  <si>
    <t>Intangibles net</t>
  </si>
  <si>
    <t>Other non-current Assets</t>
  </si>
  <si>
    <t>Total Non Current Assets</t>
  </si>
  <si>
    <t>Total Assets</t>
  </si>
  <si>
    <t>Short Term Debt</t>
  </si>
  <si>
    <t>Accounts Payables</t>
  </si>
  <si>
    <t>Current Income Tax Payables</t>
  </si>
  <si>
    <t>Current Operating Lease Liabilities</t>
  </si>
  <si>
    <t xml:space="preserve">Accrued Expenses and other </t>
  </si>
  <si>
    <t>Total Current Liabilities</t>
  </si>
  <si>
    <t>Total Long Term Debt</t>
  </si>
  <si>
    <t>Long Term Finace Lease Liabilities</t>
  </si>
  <si>
    <t>Long Term Operating Lease Liabilities</t>
  </si>
  <si>
    <t>Non Current Income Tax Payables</t>
  </si>
  <si>
    <t>Non Current Liabiltiy for unrecognized tax benefits</t>
  </si>
  <si>
    <t>Other Non-Current Laibilties</t>
  </si>
  <si>
    <t>Total Non Current Liabilites</t>
  </si>
  <si>
    <t>Total Liabilties</t>
  </si>
  <si>
    <t xml:space="preserve">Total Equity </t>
  </si>
  <si>
    <t xml:space="preserve">Total Liabilites &amp; Equity </t>
  </si>
  <si>
    <t>D&amp;A</t>
  </si>
  <si>
    <t>Deffered Income Tax expense/benefit</t>
  </si>
  <si>
    <t>Loss on Sale of Property</t>
  </si>
  <si>
    <t>Stock based compensation</t>
  </si>
  <si>
    <t>Bad Debt expense</t>
  </si>
  <si>
    <t>Other non-cash changes</t>
  </si>
  <si>
    <t>Change in WC:</t>
  </si>
  <si>
    <t>Accounts receivables</t>
  </si>
  <si>
    <t>Inventories</t>
  </si>
  <si>
    <t>Prepaid expenses and other current assets</t>
  </si>
  <si>
    <t>Accounts payable and accrued liabilities</t>
  </si>
  <si>
    <t xml:space="preserve">Income tax receivables and paybles </t>
  </si>
  <si>
    <t>Operating lease right of use assets and liabilities</t>
  </si>
  <si>
    <t>Other balance sheet changes</t>
  </si>
  <si>
    <t>CFFO</t>
  </si>
  <si>
    <t>CapEx</t>
  </si>
  <si>
    <t>Purchase of Investments</t>
  </si>
  <si>
    <t xml:space="preserve">Sales of Investments </t>
  </si>
  <si>
    <t>Sale of Property</t>
  </si>
  <si>
    <t>Other Investing Activities</t>
  </si>
  <si>
    <t>CFFI</t>
  </si>
  <si>
    <t>Issuance of Borrwings</t>
  </si>
  <si>
    <t>Repayment of Borrwings</t>
  </si>
  <si>
    <t>Issuance of long-term Debt</t>
  </si>
  <si>
    <t>Repayment of long-term Debt</t>
  </si>
  <si>
    <t>Payment of Lease Liabilites</t>
  </si>
  <si>
    <t>Payment of Dividends</t>
  </si>
  <si>
    <t>Repurchase of common stock</t>
  </si>
  <si>
    <t>Other</t>
  </si>
  <si>
    <t>CFFF</t>
  </si>
  <si>
    <t xml:space="preserve">Effect of exhange rates </t>
  </si>
  <si>
    <t>Net Change in Cash</t>
  </si>
  <si>
    <t>Cash and Cash equivalents BOP</t>
  </si>
  <si>
    <t>Cash and Cash equivalents EOP</t>
  </si>
  <si>
    <t>Average</t>
  </si>
  <si>
    <t>Median</t>
  </si>
  <si>
    <t>Beschreibung</t>
  </si>
  <si>
    <t>Etragskennzahlen</t>
  </si>
  <si>
    <t>Eigenkapitalrendite (ROE)</t>
  </si>
  <si>
    <t>Net Income/Book Value of Equity</t>
  </si>
  <si>
    <t>Umsatzrendite</t>
  </si>
  <si>
    <t>Net Income/Revenue</t>
  </si>
  <si>
    <t>EBIT-Marge</t>
  </si>
  <si>
    <t>EBIT/Revenue</t>
  </si>
  <si>
    <t>EBITDA-Marge</t>
  </si>
  <si>
    <t>EBITDA/Revenue</t>
  </si>
  <si>
    <t>Kapitalumschlag</t>
  </si>
  <si>
    <t>Revenue/Total Liabilties and Equity</t>
  </si>
  <si>
    <t>Return on Capital</t>
  </si>
  <si>
    <t>(Net Income+Interest paid on debt)/Total Liabilies and Equity</t>
  </si>
  <si>
    <t>Return on Assets</t>
  </si>
  <si>
    <t>EBIT/Total Assets</t>
  </si>
  <si>
    <t>Return on Capital Employed (ROCE)</t>
  </si>
  <si>
    <t>EBIT/(Long Term Assets + Working Capital (Exclusive of cash)-Accounts Payables)</t>
  </si>
  <si>
    <t>Return on Capital Invested (ROIC)</t>
  </si>
  <si>
    <t>(EBIT-Tax Expenses)/(Book Value of Equity + Book Value of Debt - Book Value of Cash)</t>
  </si>
  <si>
    <t>Umsatzverdienstrate</t>
  </si>
  <si>
    <t>Operativer Cahsflow/Revenue</t>
  </si>
  <si>
    <t>Retention Rate</t>
  </si>
  <si>
    <t>1 - Dividends/Net Income</t>
  </si>
  <si>
    <t>Expected Growth</t>
  </si>
  <si>
    <t>Retention rate * ROE</t>
  </si>
  <si>
    <t>Reinvestment Rate</t>
  </si>
  <si>
    <t>Net CapEx + Change in WC / EBIT * (1-t)</t>
  </si>
  <si>
    <t>Reinvestment rate * ROIC</t>
  </si>
  <si>
    <t>Kennzahlen zur finanziellen Stabilität</t>
  </si>
  <si>
    <t>EK-Quote</t>
  </si>
  <si>
    <t>Book Value of Equity/Total of Balance Sheet</t>
  </si>
  <si>
    <t>Gearing</t>
  </si>
  <si>
    <t>(Debt - Cash (Net Debt))/Book Value of Equity</t>
  </si>
  <si>
    <t>Dynamischer Verschuldungsgrad</t>
  </si>
  <si>
    <t>Net Debt/Free Cashflow</t>
  </si>
  <si>
    <t>Net Debt / EBITDA</t>
  </si>
  <si>
    <t>Net Debt/EBITDA</t>
  </si>
  <si>
    <t>Sachinvestitionsquote</t>
  </si>
  <si>
    <t>CapEx/CFFO</t>
  </si>
  <si>
    <t>Anlageabnutzungsgrad</t>
  </si>
  <si>
    <t>Accumlated Depreciation/Cost of fixed Assets</t>
  </si>
  <si>
    <t>Wachstumsquote</t>
  </si>
  <si>
    <t>CapeX/Depreciation</t>
  </si>
  <si>
    <t>Cash Burn Rate</t>
  </si>
  <si>
    <t>positiv</t>
  </si>
  <si>
    <t>Book Value of Equity/Absolute value of Loss</t>
  </si>
  <si>
    <t>Umlaufintensität</t>
  </si>
  <si>
    <t>Short term Assets/Total Assets</t>
  </si>
  <si>
    <t>Anlageintensität</t>
  </si>
  <si>
    <t>Long term Assets/Total Assets</t>
  </si>
  <si>
    <t>Anlagedeckungsgrad I</t>
  </si>
  <si>
    <t>Book Value of Equity/Long term Assets</t>
  </si>
  <si>
    <t>Anlagedeckungsgrad II</t>
  </si>
  <si>
    <t>Book Value of Equity + Long Term Borrowings/Long Term Assets</t>
  </si>
  <si>
    <t>Goodwill-Anteil</t>
  </si>
  <si>
    <t>Goodwill/Balance Sheet Total</t>
  </si>
  <si>
    <t>Kennzahlen WC Management</t>
  </si>
  <si>
    <t>Debitorenlaufzeit</t>
  </si>
  <si>
    <t>Accounts Receivables/Revenue*360</t>
  </si>
  <si>
    <t>Kreditorenlaufzeit</t>
  </si>
  <si>
    <t>Accounts Payable/Revenue*360</t>
  </si>
  <si>
    <t>Liquidität 1.Grades</t>
  </si>
  <si>
    <t>Cash and Cash Equivalents/Short term liabilites</t>
  </si>
  <si>
    <t>Liquidität 2.Grades</t>
  </si>
  <si>
    <t>(Cash and Cash Equivalents + Accounts Receivables) /Short term liabilities</t>
  </si>
  <si>
    <t>Liquidität 3.Grades</t>
  </si>
  <si>
    <t>Short term assets/short term liabilites</t>
  </si>
  <si>
    <t>Vorratsintensität</t>
  </si>
  <si>
    <t>Inventory/Balance Sheet Total</t>
  </si>
  <si>
    <t>Umschlaghäufigkeit der Vorräte</t>
  </si>
  <si>
    <t>Cogs/Inventory</t>
  </si>
  <si>
    <t>Lagedauer</t>
  </si>
  <si>
    <t>360/Umschlaghäufigkeit der Vorräte</t>
  </si>
  <si>
    <t>Geldumschlag</t>
  </si>
  <si>
    <t>Cash Conversion Cycle = Debitorenlaufzeit + Lagedauer - Kreditorenlaufzeit</t>
  </si>
  <si>
    <t>Auftragsrate</t>
  </si>
  <si>
    <t>Auftragsbestand/Revenue LTM</t>
  </si>
  <si>
    <t>Book to Bill Ratio</t>
  </si>
  <si>
    <t>Auftragseingang/Revenue</t>
  </si>
  <si>
    <t>Bewertungskennzahlen</t>
  </si>
  <si>
    <t>Equitymultiplikatoren:</t>
  </si>
  <si>
    <t>Market Cap</t>
  </si>
  <si>
    <t>KGV</t>
  </si>
  <si>
    <t>Share Price/EPS</t>
  </si>
  <si>
    <t>Einstandsrendite</t>
  </si>
  <si>
    <t>EPS/Share Price</t>
  </si>
  <si>
    <t>PEG Ratio</t>
  </si>
  <si>
    <t>P/E Ratio / Growth</t>
  </si>
  <si>
    <t>KBV</t>
  </si>
  <si>
    <t>Market Cap/Book Vakue of Equity</t>
  </si>
  <si>
    <t>KTBV</t>
  </si>
  <si>
    <t>Market Cap / Tangible Book Value</t>
  </si>
  <si>
    <t>KCV</t>
  </si>
  <si>
    <t>Share Price/Cashflow per share</t>
  </si>
  <si>
    <t>KUV</t>
  </si>
  <si>
    <t>Share Price/Revenue per Share</t>
  </si>
  <si>
    <t>Entitymultipliaktoren</t>
  </si>
  <si>
    <t>EV/EBITDA</t>
  </si>
  <si>
    <t>EV/EBIT</t>
  </si>
  <si>
    <t>EV/FCF</t>
  </si>
  <si>
    <t>EV/Sales</t>
  </si>
  <si>
    <t>EV/Revenue</t>
  </si>
  <si>
    <t>numbers in mio USD</t>
  </si>
  <si>
    <t>Notes</t>
  </si>
  <si>
    <t>Q224</t>
  </si>
  <si>
    <t>Q324</t>
  </si>
  <si>
    <t>Q124</t>
  </si>
  <si>
    <t>Q424</t>
  </si>
  <si>
    <t>Q125</t>
  </si>
  <si>
    <t>Q225</t>
  </si>
  <si>
    <t>Q325</t>
  </si>
  <si>
    <t>Q425</t>
  </si>
  <si>
    <t>Retail Growth</t>
  </si>
  <si>
    <t>Wholesale Growth</t>
  </si>
  <si>
    <t>Liecnesing Growth</t>
  </si>
  <si>
    <t>North America Revenue</t>
  </si>
  <si>
    <t>Europe Revenue</t>
  </si>
  <si>
    <t>Asia Revenue</t>
  </si>
  <si>
    <t>Other Revenue</t>
  </si>
  <si>
    <t>North America Growth</t>
  </si>
  <si>
    <t>Europe Growth</t>
  </si>
  <si>
    <t>Asia Growth</t>
  </si>
  <si>
    <t>Other Growth</t>
  </si>
  <si>
    <t>North America Stores</t>
  </si>
  <si>
    <t>Europe Stores</t>
  </si>
  <si>
    <t>Asia Stores</t>
  </si>
  <si>
    <t>RL Stores</t>
  </si>
  <si>
    <t>Total Stores</t>
  </si>
  <si>
    <t>Concessions</t>
  </si>
  <si>
    <t>Licensed Partner Stores</t>
  </si>
  <si>
    <t>Store Growth</t>
  </si>
  <si>
    <t>Shares</t>
  </si>
  <si>
    <t>Management</t>
  </si>
  <si>
    <t>Q126</t>
  </si>
  <si>
    <t>Q226</t>
  </si>
  <si>
    <t>Q326</t>
  </si>
  <si>
    <t>Q426</t>
  </si>
  <si>
    <t>Outlets</t>
  </si>
  <si>
    <t>FY26</t>
  </si>
  <si>
    <t>Q127</t>
  </si>
  <si>
    <t>Q227</t>
  </si>
  <si>
    <t>Q327</t>
  </si>
  <si>
    <t>Q427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</si>
</sst>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;[Red]#,##0.0"/>
    <numFmt numFmtId="165" formatCode="0.0%"/>
    <numFmt numFmtId="166" formatCode="#,##0.0;\(#,##0.0\)"/>
    <numFmt numFmtId="167" formatCode="#,##0.00;\(#,##0.00\)"/>
  </numFmts>
  <fonts count="11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33">
    <xf numFmtId="0" fontId="0" fillId="0" borderId="0" xfId="0"/>
    <xf numFmtId="0" fontId="7" fillId="0" borderId="0" xfId="0" applyFont="1"/>
    <xf numFmtId="0" fontId="4" fillId="0" borderId="0" xfId="0" applyFont="1"/>
    <xf numFmtId="164" fontId="4" fillId="0" borderId="0" xfId="0" applyNumberFormat="1" applyFont="1"/>
    <xf numFmtId="0" fontId="4" fillId="0" borderId="0" xfId="0" applyFont="1" applyAlignment="1">
      <alignment horizontal="right"/>
    </xf>
    <xf numFmtId="0" fontId="8" fillId="0" borderId="0" xfId="1" applyFont="1"/>
    <xf numFmtId="3" fontId="4" fillId="0" borderId="0" xfId="0" applyNumberFormat="1" applyFont="1"/>
    <xf numFmtId="0" fontId="9" fillId="0" borderId="0" xfId="0" applyFont="1"/>
    <xf numFmtId="0" fontId="4" fillId="0" borderId="0" xfId="0" applyFont="1" applyAlignment="1">
      <alignment horizontal="center"/>
    </xf>
    <xf numFmtId="0" fontId="10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166" fontId="4" fillId="0" borderId="0" xfId="0" applyNumberFormat="1" applyFont="1"/>
    <xf numFmtId="166" fontId="7" fillId="0" borderId="0" xfId="0" applyNumberFormat="1" applyFont="1"/>
    <xf numFmtId="167" fontId="4" fillId="0" borderId="0" xfId="0" applyNumberFormat="1" applyFont="1"/>
    <xf numFmtId="165" fontId="4" fillId="0" borderId="0" xfId="2" applyNumberFormat="1" applyFont="1"/>
    <xf numFmtId="165" fontId="4" fillId="0" borderId="0" xfId="2" applyNumberFormat="1" applyFont="1" applyAlignment="1">
      <alignment horizontal="right"/>
    </xf>
    <xf numFmtId="9" fontId="4" fillId="0" borderId="0" xfId="2" applyFont="1"/>
    <xf numFmtId="165" fontId="7" fillId="0" borderId="0" xfId="2" applyNumberFormat="1" applyFont="1" applyAlignment="1">
      <alignment horizontal="right"/>
    </xf>
    <xf numFmtId="9" fontId="7" fillId="0" borderId="0" xfId="2" applyFont="1"/>
    <xf numFmtId="165" fontId="7" fillId="0" borderId="0" xfId="2" applyNumberFormat="1" applyFont="1"/>
    <xf numFmtId="165" fontId="4" fillId="0" borderId="0" xfId="0" applyNumberFormat="1" applyFont="1"/>
    <xf numFmtId="9" fontId="4" fillId="0" borderId="0" xfId="0" applyNumberFormat="1" applyFont="1"/>
    <xf numFmtId="2" fontId="4" fillId="0" borderId="0" xfId="0" applyNumberFormat="1" applyFont="1"/>
    <xf numFmtId="2" fontId="4" fillId="0" borderId="0" xfId="2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9" fontId="4" fillId="0" borderId="0" xfId="0" applyNumberFormat="1" applyFont="1" applyAlignment="1">
      <alignment horizontal="right"/>
    </xf>
    <xf numFmtId="0" fontId="3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166" fontId="4" fillId="0" borderId="0" xfId="2" applyNumberFormat="1" applyFont="1"/>
    <xf numFmtId="166" fontId="2" fillId="0" borderId="0" xfId="0" applyNumberFormat="1" applyFont="1"/>
    <xf numFmtId="0" fontId="1" fillId="0" borderId="0" xfId="0" applyFont="1" applyAlignment="1">
      <alignment horizontal="right"/>
    </xf>
  </cellXfs>
  <cellStyles count="3">
    <cellStyle name="Hyperlink" xfId="1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1136650</xdr:colOff>
      <xdr:row>54</xdr:row>
      <xdr:rowOff>31750</xdr:rowOff>
    </xdr:from>
    <xdr:to>
      <xdr:col>12</xdr:col>
      <xdr:colOff>152400</xdr:colOff>
      <xdr:row>58</xdr:row>
      <xdr:rowOff>147307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78FE39-4083-388A-DD2D-B6D97F8F1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4300" y="10528300"/>
          <a:ext cx="7772400" cy="737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orporate.ralphlauren.com/investor-relations" TargetMode="External"/><Relationship Id="rId2" Type="http://schemas.openxmlformats.org/officeDocument/2006/relationships/hyperlink" Target="https://www.sec.gov/cgi-bin/browse-edgar?action=getcompany&amp;CIK=0001037038&amp;owner=include&amp;count=40&amp;hidefilings=0" TargetMode="External"/><Relationship Id="rId1" Type="http://schemas.openxmlformats.org/officeDocument/2006/relationships/hyperlink" Target="https://www.ralphlauren.de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5CDE8-C26A-4808-A8C2-0F2D976889B8}">
  <dimension ref="A1:K61"/>
  <sheetViews>
    <sheetView topLeftCell="C1" zoomScale="200" zoomScaleNormal="200" workbookViewId="0">
      <selection activeCell="H7" sqref="H7"/>
    </sheetView>
  </sheetViews>
  <sheetFormatPr defaultRowHeight="12.75" x14ac:dyDescent="0.2"/>
  <cols>
    <col min="1" max="1" width="3.5703125" style="2" customWidth="1"/>
    <col min="2" max="2" width="20.85546875" style="2" customWidth="1"/>
    <col min="3" max="3" width="10.28515625" style="2" customWidth="1"/>
    <col min="4" max="4" width="11.42578125" style="2" bestFit="1" customWidth="1"/>
    <col min="5" max="5" width="9.140625" style="2"/>
    <col min="6" max="6" width="9.85546875" style="2" bestFit="1" customWidth="1"/>
    <col min="7" max="9" width="9.140625" style="2"/>
    <col min="10" max="10" width="21" style="2" bestFit="1" customWidth="1"/>
    <col min="11" max="16384" width="9.140625" style="2"/>
  </cols>
  <sheetData>
    <row r="1" spans="1:11" x14ac:dyDescent="0.2">
      <c r="A1" s="1" t="s">
        <v>0</v>
      </c>
    </row>
    <row r="2" spans="1:11" x14ac:dyDescent="0.2">
      <c r="A2" s="2" t="s">
        <v>263</v>
      </c>
      <c r="G2" s="2" t="s">
        <v>7</v>
      </c>
      <c r="H2" s="2">
        <v>389.9</v>
      </c>
    </row>
    <row r="3" spans="1:11" x14ac:dyDescent="0.2">
      <c r="G3" s="2" t="s">
        <v>292</v>
      </c>
      <c r="H3" s="3">
        <f>37.700963+21.881276</f>
        <v>59.582239000000001</v>
      </c>
      <c r="I3" s="32" t="s">
        <v>300</v>
      </c>
    </row>
    <row r="4" spans="1:11" x14ac:dyDescent="0.2">
      <c r="B4" s="5" t="s">
        <v>1</v>
      </c>
      <c r="C4" s="5"/>
      <c r="G4" s="2" t="s">
        <v>8</v>
      </c>
      <c r="H4" s="3">
        <f>H3*H2</f>
        <v>23231.114986099998</v>
      </c>
    </row>
    <row r="5" spans="1:11" x14ac:dyDescent="0.2">
      <c r="B5" s="5" t="s">
        <v>2</v>
      </c>
      <c r="C5" s="5"/>
      <c r="G5" s="2" t="s">
        <v>11</v>
      </c>
      <c r="H5" s="3">
        <f>1719+222.6</f>
        <v>1941.6</v>
      </c>
      <c r="I5" s="32" t="s">
        <v>300</v>
      </c>
    </row>
    <row r="6" spans="1:11" x14ac:dyDescent="0.2">
      <c r="B6" s="2" t="s">
        <v>5</v>
      </c>
      <c r="C6" s="2" t="s">
        <v>6</v>
      </c>
      <c r="G6" s="2" t="s">
        <v>10</v>
      </c>
      <c r="H6" s="3">
        <v>1308.0999999999999</v>
      </c>
      <c r="I6" s="32" t="s">
        <v>300</v>
      </c>
    </row>
    <row r="7" spans="1:11" x14ac:dyDescent="0.2">
      <c r="G7" s="2" t="s">
        <v>12</v>
      </c>
      <c r="H7" s="3">
        <f>H4+H5-H6</f>
        <v>23864.614986099998</v>
      </c>
    </row>
    <row r="8" spans="1:11" x14ac:dyDescent="0.2">
      <c r="F8" s="6"/>
    </row>
    <row r="9" spans="1:11" x14ac:dyDescent="0.2">
      <c r="J9" s="7" t="s">
        <v>293</v>
      </c>
    </row>
    <row r="10" spans="1:11" x14ac:dyDescent="0.2">
      <c r="J10" s="2" t="s">
        <v>0</v>
      </c>
      <c r="K10" s="2" t="s">
        <v>52</v>
      </c>
    </row>
    <row r="11" spans="1:11" x14ac:dyDescent="0.2">
      <c r="J11" s="2" t="s">
        <v>53</v>
      </c>
      <c r="K11" s="2" t="s">
        <v>54</v>
      </c>
    </row>
    <row r="12" spans="1:11" x14ac:dyDescent="0.2">
      <c r="A12" s="8" t="s">
        <v>13</v>
      </c>
      <c r="B12" s="9" t="s">
        <v>264</v>
      </c>
      <c r="J12" s="2" t="s">
        <v>55</v>
      </c>
      <c r="K12" s="2" t="s">
        <v>56</v>
      </c>
    </row>
    <row r="13" spans="1:11" x14ac:dyDescent="0.2">
      <c r="B13" s="2" t="s">
        <v>3</v>
      </c>
      <c r="C13" s="2" t="s">
        <v>4</v>
      </c>
      <c r="J13" s="2" t="s">
        <v>57</v>
      </c>
      <c r="K13" s="2" t="s">
        <v>58</v>
      </c>
    </row>
    <row r="14" spans="1:11" x14ac:dyDescent="0.2">
      <c r="J14" s="2" t="s">
        <v>59</v>
      </c>
      <c r="K14" s="2" t="s">
        <v>60</v>
      </c>
    </row>
    <row r="15" spans="1:11" x14ac:dyDescent="0.2">
      <c r="A15" s="10" t="s">
        <v>13</v>
      </c>
      <c r="B15" s="7" t="s">
        <v>14</v>
      </c>
    </row>
    <row r="16" spans="1:11" x14ac:dyDescent="0.2">
      <c r="B16" s="2" t="s">
        <v>15</v>
      </c>
    </row>
    <row r="18" spans="1:3" x14ac:dyDescent="0.2">
      <c r="A18" s="10" t="s">
        <v>13</v>
      </c>
      <c r="B18" s="7" t="s">
        <v>16</v>
      </c>
    </row>
    <row r="19" spans="1:3" x14ac:dyDescent="0.2">
      <c r="B19" s="2" t="s">
        <v>17</v>
      </c>
      <c r="C19" s="2" t="s">
        <v>18</v>
      </c>
    </row>
    <row r="20" spans="1:3" x14ac:dyDescent="0.2">
      <c r="C20" s="2" t="s">
        <v>19</v>
      </c>
    </row>
    <row r="22" spans="1:3" x14ac:dyDescent="0.2">
      <c r="B22" s="2" t="s">
        <v>20</v>
      </c>
      <c r="C22" s="2" t="s">
        <v>21</v>
      </c>
    </row>
    <row r="23" spans="1:3" x14ac:dyDescent="0.2">
      <c r="C23" s="2" t="s">
        <v>22</v>
      </c>
    </row>
    <row r="25" spans="1:3" x14ac:dyDescent="0.2">
      <c r="B25" s="2" t="s">
        <v>23</v>
      </c>
      <c r="C25" s="2" t="s">
        <v>24</v>
      </c>
    </row>
    <row r="26" spans="1:3" x14ac:dyDescent="0.2">
      <c r="C26" s="2" t="s">
        <v>25</v>
      </c>
    </row>
    <row r="28" spans="1:3" x14ac:dyDescent="0.2">
      <c r="B28" s="2" t="s">
        <v>26</v>
      </c>
      <c r="C28" s="2" t="s">
        <v>27</v>
      </c>
    </row>
    <row r="30" spans="1:3" x14ac:dyDescent="0.2">
      <c r="B30" s="2" t="s">
        <v>28</v>
      </c>
      <c r="C30" s="2" t="s">
        <v>29</v>
      </c>
    </row>
    <row r="32" spans="1:3" x14ac:dyDescent="0.2">
      <c r="A32" s="10" t="s">
        <v>13</v>
      </c>
      <c r="B32" s="7" t="s">
        <v>30</v>
      </c>
    </row>
    <row r="34" spans="2:3" x14ac:dyDescent="0.2">
      <c r="B34" s="2" t="s">
        <v>31</v>
      </c>
      <c r="C34" s="2" t="s">
        <v>32</v>
      </c>
    </row>
    <row r="35" spans="2:3" x14ac:dyDescent="0.2">
      <c r="C35" s="2" t="s">
        <v>33</v>
      </c>
    </row>
    <row r="37" spans="2:3" x14ac:dyDescent="0.2">
      <c r="B37" s="2" t="s">
        <v>34</v>
      </c>
      <c r="C37" s="2" t="s">
        <v>35</v>
      </c>
    </row>
    <row r="38" spans="2:3" x14ac:dyDescent="0.2">
      <c r="C38" s="2" t="s">
        <v>36</v>
      </c>
    </row>
    <row r="40" spans="2:3" x14ac:dyDescent="0.2">
      <c r="B40" s="2" t="s">
        <v>37</v>
      </c>
      <c r="C40" s="2" t="s">
        <v>38</v>
      </c>
    </row>
    <row r="41" spans="2:3" x14ac:dyDescent="0.2">
      <c r="C41" s="2" t="s">
        <v>33</v>
      </c>
    </row>
    <row r="43" spans="2:3" x14ac:dyDescent="0.2">
      <c r="B43" s="2" t="s">
        <v>39</v>
      </c>
      <c r="C43" s="2" t="s">
        <v>40</v>
      </c>
    </row>
    <row r="45" spans="2:3" x14ac:dyDescent="0.2">
      <c r="B45" s="1" t="s">
        <v>41</v>
      </c>
      <c r="C45" s="2" t="s">
        <v>42</v>
      </c>
    </row>
    <row r="47" spans="2:3" x14ac:dyDescent="0.2">
      <c r="B47" s="2" t="s">
        <v>43</v>
      </c>
      <c r="C47" s="2" t="s">
        <v>44</v>
      </c>
    </row>
    <row r="50" spans="1:3" x14ac:dyDescent="0.2">
      <c r="B50" s="2" t="s">
        <v>45</v>
      </c>
      <c r="C50" s="2" t="s">
        <v>46</v>
      </c>
    </row>
    <row r="52" spans="1:3" x14ac:dyDescent="0.2">
      <c r="B52" s="2" t="s">
        <v>47</v>
      </c>
      <c r="C52" s="2" t="s">
        <v>48</v>
      </c>
    </row>
    <row r="54" spans="1:3" x14ac:dyDescent="0.2">
      <c r="B54" s="2" t="s">
        <v>49</v>
      </c>
      <c r="C54" s="5" t="s">
        <v>50</v>
      </c>
    </row>
    <row r="56" spans="1:3" x14ac:dyDescent="0.2">
      <c r="B56" s="1" t="s">
        <v>51</v>
      </c>
    </row>
    <row r="61" spans="1:3" x14ac:dyDescent="0.2">
      <c r="A61" s="10" t="s">
        <v>13</v>
      </c>
    </row>
  </sheetData>
  <hyperlinks>
    <hyperlink ref="C54" r:id="rId1" xr:uid="{F5DB0ED7-C030-4F62-8833-0DE5C4098825}"/>
    <hyperlink ref="B5" r:id="rId2" display="SEC:" xr:uid="{6255D668-83DF-4CD9-8CA6-8C9D01B09882}"/>
    <hyperlink ref="B4" r:id="rId3" xr:uid="{58EFC1CC-004F-475F-BF1F-0BD482493449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CD0C8-AF9F-4DAB-A92B-C0DC872AC0C1}">
  <dimension ref="A1:AH120"/>
  <sheetViews>
    <sheetView tabSelected="1" zoomScale="200" zoomScaleNormal="200" workbookViewId="0">
      <pane xSplit="2" ySplit="2" topLeftCell="Y3" activePane="bottomRight" state="frozen"/>
      <selection pane="topRight" activeCell="C1" sqref="C1"/>
      <selection pane="bottomLeft" activeCell="A3" sqref="A3"/>
      <selection pane="bottomRight" activeCell="AA19" sqref="AA19"/>
    </sheetView>
  </sheetViews>
  <sheetFormatPr defaultRowHeight="12.75" x14ac:dyDescent="0.2"/>
  <cols>
    <col min="1" max="1" width="4.140625" style="2" customWidth="1"/>
    <col min="2" max="2" width="40.5703125" style="2" customWidth="1"/>
    <col min="3" max="19" width="9.140625" style="12"/>
    <col min="20" max="26" width="8.7109375" style="12"/>
    <col min="27" max="16384" width="9.140625" style="12"/>
  </cols>
  <sheetData>
    <row r="1" spans="1:28" s="2" customFormat="1" x14ac:dyDescent="0.2">
      <c r="A1" s="5" t="s">
        <v>61</v>
      </c>
    </row>
    <row r="2" spans="1:28" s="2" customFormat="1" x14ac:dyDescent="0.2">
      <c r="C2" s="4" t="s">
        <v>267</v>
      </c>
      <c r="D2" s="4" t="s">
        <v>265</v>
      </c>
      <c r="E2" s="4" t="s">
        <v>266</v>
      </c>
      <c r="F2" s="4" t="s">
        <v>268</v>
      </c>
      <c r="G2" s="4" t="s">
        <v>269</v>
      </c>
      <c r="H2" s="4" t="s">
        <v>270</v>
      </c>
      <c r="I2" s="4" t="s">
        <v>271</v>
      </c>
      <c r="J2" s="4" t="s">
        <v>272</v>
      </c>
      <c r="K2" s="4" t="s">
        <v>294</v>
      </c>
      <c r="L2" s="4" t="s">
        <v>295</v>
      </c>
      <c r="M2" s="4" t="s">
        <v>296</v>
      </c>
      <c r="N2" s="4" t="s">
        <v>297</v>
      </c>
      <c r="O2" s="32" t="s">
        <v>300</v>
      </c>
      <c r="P2" s="32" t="s">
        <v>301</v>
      </c>
      <c r="Q2" s="32" t="s">
        <v>302</v>
      </c>
      <c r="R2" s="32" t="s">
        <v>303</v>
      </c>
      <c r="S2" s="4"/>
      <c r="T2" s="4" t="s">
        <v>62</v>
      </c>
      <c r="U2" s="4" t="s">
        <v>63</v>
      </c>
      <c r="V2" s="4" t="s">
        <v>64</v>
      </c>
      <c r="W2" s="4" t="s">
        <v>65</v>
      </c>
      <c r="X2" s="4" t="s">
        <v>66</v>
      </c>
      <c r="Y2" s="4" t="s">
        <v>67</v>
      </c>
      <c r="Z2" s="4" t="s">
        <v>71</v>
      </c>
      <c r="AA2" s="28" t="s">
        <v>299</v>
      </c>
    </row>
    <row r="3" spans="1:28" s="2" customFormat="1" x14ac:dyDescent="0.2">
      <c r="B3" s="2" t="s">
        <v>284</v>
      </c>
      <c r="C3" s="4"/>
      <c r="D3" s="4"/>
      <c r="E3" s="4"/>
      <c r="F3" s="4"/>
      <c r="G3" s="4">
        <v>228</v>
      </c>
      <c r="H3" s="4">
        <v>228</v>
      </c>
      <c r="I3" s="4"/>
      <c r="J3" s="4"/>
      <c r="K3" s="4">
        <v>225</v>
      </c>
      <c r="L3" s="4">
        <v>225</v>
      </c>
      <c r="M3" s="4">
        <v>225</v>
      </c>
      <c r="N3" s="2">
        <f>53+166</f>
        <v>219</v>
      </c>
      <c r="O3" s="2">
        <v>220</v>
      </c>
      <c r="S3" s="4"/>
      <c r="T3" s="4"/>
      <c r="U3" s="4"/>
      <c r="V3" s="4"/>
      <c r="W3" s="4"/>
      <c r="X3" s="4"/>
      <c r="Y3" s="4">
        <v>239</v>
      </c>
      <c r="Z3" s="4">
        <v>223</v>
      </c>
      <c r="AA3" s="2">
        <f>53+166</f>
        <v>219</v>
      </c>
    </row>
    <row r="4" spans="1:28" s="2" customFormat="1" x14ac:dyDescent="0.2">
      <c r="B4" s="2" t="s">
        <v>285</v>
      </c>
      <c r="C4" s="4"/>
      <c r="D4" s="4"/>
      <c r="E4" s="4"/>
      <c r="F4" s="4"/>
      <c r="G4" s="4">
        <v>103</v>
      </c>
      <c r="H4" s="4">
        <v>104</v>
      </c>
      <c r="I4" s="4"/>
      <c r="J4" s="4"/>
      <c r="K4" s="4">
        <v>106</v>
      </c>
      <c r="L4" s="4">
        <v>108</v>
      </c>
      <c r="M4" s="4">
        <v>112</v>
      </c>
      <c r="N4" s="2">
        <f>57+54</f>
        <v>111</v>
      </c>
      <c r="O4" s="2">
        <v>111</v>
      </c>
      <c r="S4" s="4"/>
      <c r="T4" s="4"/>
      <c r="U4" s="4"/>
      <c r="V4" s="4"/>
      <c r="W4" s="4"/>
      <c r="X4" s="4"/>
      <c r="Y4" s="4">
        <v>103</v>
      </c>
      <c r="Z4" s="4">
        <v>104</v>
      </c>
      <c r="AA4" s="2">
        <f>57+54</f>
        <v>111</v>
      </c>
    </row>
    <row r="5" spans="1:28" s="2" customFormat="1" x14ac:dyDescent="0.2">
      <c r="B5" s="2" t="s">
        <v>286</v>
      </c>
      <c r="C5" s="4"/>
      <c r="D5" s="4"/>
      <c r="E5" s="4"/>
      <c r="F5" s="4"/>
      <c r="G5" s="4">
        <v>234</v>
      </c>
      <c r="H5" s="4">
        <v>238</v>
      </c>
      <c r="I5" s="4"/>
      <c r="J5" s="4"/>
      <c r="K5" s="4">
        <v>238</v>
      </c>
      <c r="L5" s="4">
        <v>249</v>
      </c>
      <c r="M5" s="4">
        <v>263</v>
      </c>
      <c r="N5" s="2">
        <f>87+177</f>
        <v>264</v>
      </c>
      <c r="O5" s="2">
        <v>269</v>
      </c>
      <c r="S5" s="4"/>
      <c r="T5" s="4"/>
      <c r="U5" s="4"/>
      <c r="V5" s="4"/>
      <c r="W5" s="4"/>
      <c r="X5" s="4"/>
      <c r="Y5" s="4">
        <v>231</v>
      </c>
      <c r="Z5" s="4">
        <v>237</v>
      </c>
      <c r="AA5" s="2">
        <f>87+177</f>
        <v>264</v>
      </c>
    </row>
    <row r="6" spans="1:28" s="2" customFormat="1" x14ac:dyDescent="0.2">
      <c r="B6" s="2" t="s">
        <v>287</v>
      </c>
      <c r="C6" s="4"/>
      <c r="D6" s="4"/>
      <c r="E6" s="4"/>
      <c r="F6" s="4"/>
      <c r="G6" s="4">
        <f>+SUM(G3:G5)</f>
        <v>565</v>
      </c>
      <c r="H6" s="4">
        <f>+SUM(H3:H5)</f>
        <v>570</v>
      </c>
      <c r="I6" s="4"/>
      <c r="J6" s="4"/>
      <c r="K6" s="4">
        <f>+SUM(K3:K5)</f>
        <v>569</v>
      </c>
      <c r="L6" s="4">
        <f>+SUM(L3:L5)</f>
        <v>582</v>
      </c>
      <c r="M6" s="4">
        <f>+SUM(M3:M5)</f>
        <v>600</v>
      </c>
      <c r="N6" s="2">
        <v>287</v>
      </c>
      <c r="O6" s="2">
        <f>+SUM(O3:O5)</f>
        <v>600</v>
      </c>
      <c r="S6" s="4"/>
      <c r="T6" s="4"/>
      <c r="U6" s="4"/>
      <c r="V6" s="4"/>
      <c r="W6" s="4"/>
      <c r="X6" s="4"/>
      <c r="Y6" s="4">
        <v>232</v>
      </c>
      <c r="Z6" s="4">
        <v>252</v>
      </c>
      <c r="AA6" s="2">
        <v>287</v>
      </c>
    </row>
    <row r="7" spans="1:28" s="2" customFormat="1" x14ac:dyDescent="0.2">
      <c r="B7" s="27" t="s">
        <v>298</v>
      </c>
      <c r="C7" s="4"/>
      <c r="D7" s="4"/>
      <c r="E7" s="4"/>
      <c r="F7" s="4"/>
      <c r="G7" s="4">
        <v>697</v>
      </c>
      <c r="H7" s="4">
        <v>0</v>
      </c>
      <c r="I7" s="4"/>
      <c r="J7" s="4"/>
      <c r="K7" s="4">
        <v>0</v>
      </c>
      <c r="L7" s="4">
        <v>0</v>
      </c>
      <c r="M7" s="4">
        <v>0</v>
      </c>
      <c r="N7" s="2">
        <v>307</v>
      </c>
      <c r="O7" s="2">
        <v>0</v>
      </c>
      <c r="S7" s="4"/>
      <c r="T7" s="4"/>
      <c r="U7" s="4"/>
      <c r="V7" s="4"/>
      <c r="W7" s="4"/>
      <c r="X7" s="4"/>
      <c r="Y7" s="4">
        <v>332</v>
      </c>
      <c r="Z7" s="4">
        <v>312</v>
      </c>
      <c r="AA7" s="2">
        <v>307</v>
      </c>
    </row>
    <row r="8" spans="1:28" s="1" customFormat="1" x14ac:dyDescent="0.2">
      <c r="B8" s="1" t="s">
        <v>288</v>
      </c>
      <c r="C8" s="11">
        <f t="shared" ref="C8:M8" si="0">+C6+C7</f>
        <v>0</v>
      </c>
      <c r="D8" s="11">
        <f t="shared" si="0"/>
        <v>0</v>
      </c>
      <c r="E8" s="11">
        <f t="shared" si="0"/>
        <v>0</v>
      </c>
      <c r="F8" s="11">
        <f t="shared" si="0"/>
        <v>0</v>
      </c>
      <c r="G8" s="11">
        <f t="shared" si="0"/>
        <v>1262</v>
      </c>
      <c r="H8" s="11">
        <f t="shared" si="0"/>
        <v>570</v>
      </c>
      <c r="I8" s="11">
        <f t="shared" si="0"/>
        <v>0</v>
      </c>
      <c r="J8" s="11">
        <f t="shared" si="0"/>
        <v>0</v>
      </c>
      <c r="K8" s="11">
        <f t="shared" si="0"/>
        <v>569</v>
      </c>
      <c r="L8" s="11">
        <f t="shared" si="0"/>
        <v>582</v>
      </c>
      <c r="M8" s="11">
        <f t="shared" si="0"/>
        <v>600</v>
      </c>
      <c r="N8" s="11">
        <f>+N6+N7</f>
        <v>594</v>
      </c>
      <c r="O8" s="11">
        <f>+O6+O7</f>
        <v>600</v>
      </c>
      <c r="P8" s="11"/>
      <c r="Q8" s="11"/>
      <c r="R8" s="11"/>
      <c r="S8" s="11"/>
      <c r="T8" s="11"/>
      <c r="U8" s="11"/>
      <c r="V8" s="11"/>
      <c r="W8" s="11"/>
      <c r="X8" s="11">
        <f t="shared" ref="X8:Y8" si="1">+X6+X7</f>
        <v>0</v>
      </c>
      <c r="Y8" s="11">
        <f t="shared" si="1"/>
        <v>564</v>
      </c>
      <c r="Z8" s="11">
        <f>+Z6+Z7</f>
        <v>564</v>
      </c>
      <c r="AA8" s="11">
        <f>+AA6+AA7</f>
        <v>594</v>
      </c>
    </row>
    <row r="9" spans="1:28" s="2" customFormat="1" x14ac:dyDescent="0.2">
      <c r="A9" s="1"/>
      <c r="B9" s="2" t="s">
        <v>289</v>
      </c>
      <c r="C9" s="4"/>
      <c r="D9" s="4"/>
      <c r="E9" s="4"/>
      <c r="F9" s="4"/>
      <c r="G9" s="4"/>
      <c r="H9" s="4">
        <v>682</v>
      </c>
      <c r="I9" s="4"/>
      <c r="J9" s="4"/>
      <c r="K9" s="4">
        <v>665</v>
      </c>
      <c r="L9" s="4">
        <v>667</v>
      </c>
      <c r="M9" s="4">
        <v>663</v>
      </c>
      <c r="N9" s="2">
        <v>644</v>
      </c>
      <c r="O9" s="2">
        <v>623</v>
      </c>
      <c r="S9" s="4"/>
      <c r="T9" s="4"/>
      <c r="U9" s="4"/>
      <c r="V9" s="4"/>
      <c r="W9" s="4"/>
      <c r="X9" s="4"/>
      <c r="Y9" s="4">
        <v>699</v>
      </c>
      <c r="Z9" s="4">
        <v>671</v>
      </c>
      <c r="AA9" s="2">
        <v>644</v>
      </c>
    </row>
    <row r="10" spans="1:28" s="2" customFormat="1" x14ac:dyDescent="0.2">
      <c r="A10" s="1"/>
      <c r="B10" s="2" t="s">
        <v>290</v>
      </c>
      <c r="C10" s="4"/>
      <c r="D10" s="4"/>
      <c r="E10" s="4"/>
      <c r="F10" s="4"/>
      <c r="G10" s="4"/>
      <c r="H10" s="4">
        <f>+H8+H9</f>
        <v>1252</v>
      </c>
      <c r="I10" s="4"/>
      <c r="J10" s="4"/>
      <c r="K10" s="4">
        <f>+K8+K9</f>
        <v>1234</v>
      </c>
      <c r="L10" s="4">
        <f>+L8+L9</f>
        <v>1249</v>
      </c>
      <c r="M10" s="4">
        <f>+M8+M9</f>
        <v>1263</v>
      </c>
      <c r="N10" s="28" t="s">
        <v>70</v>
      </c>
      <c r="O10" s="28" t="s">
        <v>70</v>
      </c>
      <c r="P10" s="28"/>
      <c r="Q10" s="28"/>
      <c r="R10" s="28"/>
      <c r="S10" s="4"/>
      <c r="T10" s="4"/>
      <c r="U10" s="4"/>
      <c r="V10" s="4"/>
      <c r="W10" s="4"/>
      <c r="X10" s="4"/>
      <c r="Y10" s="4">
        <v>100</v>
      </c>
      <c r="Z10" s="4">
        <v>116</v>
      </c>
      <c r="AA10" s="28" t="s">
        <v>70</v>
      </c>
    </row>
    <row r="11" spans="1:28" s="2" customFormat="1" x14ac:dyDescent="0.2"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8" s="2" customFormat="1" x14ac:dyDescent="0.2">
      <c r="B12" s="2" t="s">
        <v>276</v>
      </c>
      <c r="C12" s="12"/>
      <c r="D12" s="12"/>
      <c r="E12" s="12">
        <v>933.3</v>
      </c>
      <c r="F12" s="12">
        <v>667.7</v>
      </c>
      <c r="G12" s="12">
        <v>608.20000000000005</v>
      </c>
      <c r="H12" s="12">
        <v>739.5</v>
      </c>
      <c r="I12" s="12">
        <v>997.7</v>
      </c>
      <c r="J12" s="12">
        <v>704.7</v>
      </c>
      <c r="K12" s="12">
        <v>656.2</v>
      </c>
      <c r="L12" s="12">
        <v>832.4</v>
      </c>
      <c r="M12" s="12">
        <v>1078.3</v>
      </c>
      <c r="N12" s="12">
        <f>+AA12-SUM(K12:M12)</f>
        <v>762.70000000000027</v>
      </c>
      <c r="O12" s="12">
        <v>740.3</v>
      </c>
      <c r="P12" s="12"/>
      <c r="Q12" s="12"/>
      <c r="R12" s="12"/>
      <c r="S12" s="12"/>
      <c r="T12" s="3"/>
      <c r="U12" s="3"/>
      <c r="V12" s="3"/>
      <c r="W12" s="3"/>
      <c r="X12" s="3"/>
      <c r="Y12" s="3">
        <v>2905.5</v>
      </c>
      <c r="Z12" s="3">
        <v>3050.1</v>
      </c>
      <c r="AA12" s="12">
        <v>3329.6</v>
      </c>
      <c r="AB12" s="12"/>
    </row>
    <row r="13" spans="1:28" s="2" customFormat="1" x14ac:dyDescent="0.2">
      <c r="B13" s="2" t="s">
        <v>277</v>
      </c>
      <c r="C13" s="12"/>
      <c r="D13" s="12"/>
      <c r="E13" s="12">
        <v>521.5</v>
      </c>
      <c r="F13" s="12">
        <v>469.2</v>
      </c>
      <c r="G13" s="12">
        <v>479.1</v>
      </c>
      <c r="H13" s="12">
        <v>565.9</v>
      </c>
      <c r="I13" s="12">
        <v>604.4</v>
      </c>
      <c r="J13" s="12">
        <v>525.5</v>
      </c>
      <c r="K13" s="12">
        <v>554.5</v>
      </c>
      <c r="L13" s="12">
        <v>688.3</v>
      </c>
      <c r="M13" s="12">
        <v>676.5</v>
      </c>
      <c r="N13" s="12">
        <f t="shared" ref="N13:N24" si="2">+AA13-SUM(K13:M13)</f>
        <v>619.60000000000014</v>
      </c>
      <c r="O13" s="12">
        <v>594.4</v>
      </c>
      <c r="P13" s="12"/>
      <c r="Q13" s="12"/>
      <c r="R13" s="12"/>
      <c r="S13" s="12"/>
      <c r="T13" s="3"/>
      <c r="U13" s="3"/>
      <c r="V13" s="3"/>
      <c r="W13" s="3"/>
      <c r="X13" s="3"/>
      <c r="Y13" s="3">
        <v>1968</v>
      </c>
      <c r="Z13" s="3">
        <v>2174.9</v>
      </c>
      <c r="AA13" s="12">
        <v>2538.9</v>
      </c>
      <c r="AB13" s="12"/>
    </row>
    <row r="14" spans="1:28" s="2" customFormat="1" x14ac:dyDescent="0.2">
      <c r="B14" s="2" t="s">
        <v>278</v>
      </c>
      <c r="C14" s="12"/>
      <c r="D14" s="12"/>
      <c r="E14" s="12">
        <v>446.4</v>
      </c>
      <c r="F14" s="12">
        <v>394.3</v>
      </c>
      <c r="G14" s="12">
        <v>390.9</v>
      </c>
      <c r="H14" s="12">
        <v>380.2</v>
      </c>
      <c r="I14" s="12">
        <v>506.7</v>
      </c>
      <c r="J14" s="12">
        <v>431.6</v>
      </c>
      <c r="K14" s="12">
        <v>474</v>
      </c>
      <c r="L14" s="12">
        <v>445.6</v>
      </c>
      <c r="M14" s="12">
        <v>620.29999999999995</v>
      </c>
      <c r="N14" s="12">
        <f t="shared" si="2"/>
        <v>563.59999999999991</v>
      </c>
      <c r="O14" s="12">
        <v>589.29999999999995</v>
      </c>
      <c r="P14" s="12"/>
      <c r="Q14" s="12"/>
      <c r="R14" s="12"/>
      <c r="S14" s="12"/>
      <c r="T14" s="3"/>
      <c r="U14" s="3"/>
      <c r="V14" s="3"/>
      <c r="W14" s="3"/>
      <c r="X14" s="3"/>
      <c r="Y14" s="3">
        <v>1566.6</v>
      </c>
      <c r="Z14" s="3">
        <v>1709.4</v>
      </c>
      <c r="AA14" s="12">
        <v>2103.5</v>
      </c>
      <c r="AB14" s="12"/>
    </row>
    <row r="15" spans="1:28" s="2" customFormat="1" x14ac:dyDescent="0.2">
      <c r="B15" s="2" t="s">
        <v>279</v>
      </c>
      <c r="C15" s="12"/>
      <c r="D15" s="12"/>
      <c r="E15" s="12">
        <v>32.799999999999997</v>
      </c>
      <c r="F15" s="12">
        <v>36.700000000000003</v>
      </c>
      <c r="G15" s="12">
        <v>34</v>
      </c>
      <c r="H15" s="12">
        <v>40.4</v>
      </c>
      <c r="I15" s="12">
        <v>34.700000000000003</v>
      </c>
      <c r="J15" s="12">
        <v>35.5</v>
      </c>
      <c r="K15" s="12">
        <v>34.4</v>
      </c>
      <c r="L15" s="12">
        <v>44.4</v>
      </c>
      <c r="M15" s="12">
        <v>30.9</v>
      </c>
      <c r="N15" s="12">
        <f t="shared" si="2"/>
        <v>32.800000000000011</v>
      </c>
      <c r="O15" s="12">
        <v>35.799999999999997</v>
      </c>
      <c r="P15" s="12"/>
      <c r="Q15" s="12"/>
      <c r="R15" s="12"/>
      <c r="S15" s="12"/>
      <c r="T15" s="3"/>
      <c r="U15" s="3"/>
      <c r="V15" s="3"/>
      <c r="W15" s="3"/>
      <c r="X15" s="3"/>
      <c r="Y15" s="3">
        <v>146.30000000000001</v>
      </c>
      <c r="Z15" s="3">
        <v>144.6</v>
      </c>
      <c r="AA15" s="12">
        <v>142.5</v>
      </c>
      <c r="AB15" s="12"/>
    </row>
    <row r="16" spans="1:28" s="2" customFormat="1" x14ac:dyDescent="0.2">
      <c r="B16" s="2" t="s">
        <v>41</v>
      </c>
      <c r="C16" s="12"/>
      <c r="D16" s="12"/>
      <c r="E16" s="12">
        <v>1415.8</v>
      </c>
      <c r="F16" s="12">
        <v>951.1</v>
      </c>
      <c r="G16" s="12">
        <v>1032.5999999999999</v>
      </c>
      <c r="H16" s="12">
        <v>1096.4000000000001</v>
      </c>
      <c r="I16" s="12">
        <v>1581.8</v>
      </c>
      <c r="J16" s="12">
        <v>1509.3</v>
      </c>
      <c r="K16" s="12">
        <v>1201.2</v>
      </c>
      <c r="L16" s="12">
        <v>1264.5</v>
      </c>
      <c r="M16" s="12">
        <v>1581.8</v>
      </c>
      <c r="N16" s="12">
        <f t="shared" si="2"/>
        <v>1485.1000000000004</v>
      </c>
      <c r="O16" s="12">
        <v>1201.2</v>
      </c>
      <c r="P16" s="12"/>
      <c r="Q16" s="12"/>
      <c r="R16" s="12"/>
      <c r="S16" s="3"/>
      <c r="T16" s="3">
        <v>3747.8</v>
      </c>
      <c r="U16" s="3">
        <v>3740.9</v>
      </c>
      <c r="V16" s="3">
        <v>2779.8</v>
      </c>
      <c r="W16" s="3">
        <v>3941.5</v>
      </c>
      <c r="X16" s="3">
        <v>4053.1</v>
      </c>
      <c r="Y16" s="3">
        <v>4351</v>
      </c>
      <c r="Z16" s="3">
        <v>4770.1000000000004</v>
      </c>
      <c r="AA16" s="12">
        <v>5532.6</v>
      </c>
      <c r="AB16" s="12"/>
    </row>
    <row r="17" spans="1:34" s="2" customFormat="1" x14ac:dyDescent="0.2">
      <c r="B17" s="2" t="s">
        <v>68</v>
      </c>
      <c r="C17" s="12"/>
      <c r="D17" s="12"/>
      <c r="E17" s="12">
        <v>485.4</v>
      </c>
      <c r="F17" s="12">
        <v>580.1</v>
      </c>
      <c r="G17" s="12">
        <v>445.6</v>
      </c>
      <c r="H17" s="12">
        <v>589.20000000000005</v>
      </c>
      <c r="I17" s="12">
        <v>527</v>
      </c>
      <c r="J17" s="12">
        <v>602.5</v>
      </c>
      <c r="K17" s="12">
        <v>483.5</v>
      </c>
      <c r="L17" s="12">
        <v>701.8</v>
      </c>
      <c r="M17" s="12">
        <v>527</v>
      </c>
      <c r="N17" s="12">
        <f t="shared" si="2"/>
        <v>727.10000000000014</v>
      </c>
      <c r="O17" s="12">
        <v>483.5</v>
      </c>
      <c r="P17" s="12"/>
      <c r="Q17" s="12"/>
      <c r="R17" s="12"/>
      <c r="S17" s="3"/>
      <c r="T17" s="3">
        <v>2392.5</v>
      </c>
      <c r="U17" s="3">
        <v>2250.8000000000002</v>
      </c>
      <c r="V17" s="3">
        <v>1498.6</v>
      </c>
      <c r="W17" s="3">
        <v>2127.3000000000002</v>
      </c>
      <c r="X17" s="3">
        <v>2233.3000000000002</v>
      </c>
      <c r="Y17" s="3">
        <v>2134.1</v>
      </c>
      <c r="Z17" s="3">
        <v>2164.3000000000002</v>
      </c>
      <c r="AA17" s="12">
        <v>2439.4</v>
      </c>
      <c r="AB17" s="12"/>
    </row>
    <row r="18" spans="1:34" s="2" customFormat="1" x14ac:dyDescent="0.2">
      <c r="B18" s="2" t="s">
        <v>69</v>
      </c>
      <c r="C18" s="12"/>
      <c r="D18" s="12"/>
      <c r="E18" s="12">
        <v>32.799999999999997</v>
      </c>
      <c r="F18" s="12">
        <v>36.700000000000003</v>
      </c>
      <c r="G18" s="12">
        <v>34</v>
      </c>
      <c r="H18" s="12">
        <v>40.4</v>
      </c>
      <c r="I18" s="12">
        <v>34.700000000000003</v>
      </c>
      <c r="J18" s="12">
        <v>35.5</v>
      </c>
      <c r="K18" s="12">
        <v>34.4</v>
      </c>
      <c r="L18" s="12">
        <v>44.4</v>
      </c>
      <c r="M18" s="12">
        <v>34.700000000000003</v>
      </c>
      <c r="N18" s="12">
        <f t="shared" si="2"/>
        <v>29</v>
      </c>
      <c r="O18" s="12">
        <v>34.4</v>
      </c>
      <c r="P18" s="12"/>
      <c r="Q18" s="12"/>
      <c r="R18" s="12"/>
      <c r="S18" s="3"/>
      <c r="T18" s="3">
        <v>172.7</v>
      </c>
      <c r="U18" s="3">
        <v>168.1</v>
      </c>
      <c r="V18" s="3">
        <v>122.4</v>
      </c>
      <c r="W18" s="3">
        <v>149.69999999999999</v>
      </c>
      <c r="X18" s="3">
        <v>157.19999999999999</v>
      </c>
      <c r="Y18" s="3">
        <v>146.30000000000001</v>
      </c>
      <c r="Z18" s="3">
        <v>144.6</v>
      </c>
      <c r="AA18" s="12">
        <v>142.5</v>
      </c>
      <c r="AB18" s="12"/>
    </row>
    <row r="19" spans="1:34" s="2" customFormat="1" x14ac:dyDescent="0.2">
      <c r="A19" s="10"/>
      <c r="B19" s="1" t="s">
        <v>72</v>
      </c>
      <c r="C19" s="13"/>
      <c r="D19" s="13"/>
      <c r="E19" s="13">
        <v>1934</v>
      </c>
      <c r="F19" s="13">
        <v>1567.9</v>
      </c>
      <c r="G19" s="13">
        <v>1512.2</v>
      </c>
      <c r="H19" s="13">
        <v>1726</v>
      </c>
      <c r="I19" s="13">
        <v>2143.5</v>
      </c>
      <c r="J19" s="13">
        <v>1697.3</v>
      </c>
      <c r="K19" s="13">
        <v>1719.1</v>
      </c>
      <c r="L19" s="13">
        <v>2010.7</v>
      </c>
      <c r="M19" s="13">
        <v>2406</v>
      </c>
      <c r="N19" s="13">
        <f t="shared" si="2"/>
        <v>1978.6999999999998</v>
      </c>
      <c r="O19" s="13">
        <v>1959.8</v>
      </c>
      <c r="P19" s="13"/>
      <c r="Q19" s="13"/>
      <c r="R19" s="13"/>
      <c r="S19" s="13"/>
      <c r="T19" s="13">
        <v>6313</v>
      </c>
      <c r="U19" s="13">
        <v>6159.8</v>
      </c>
      <c r="V19" s="13">
        <v>4400.8</v>
      </c>
      <c r="W19" s="13">
        <v>6218.5</v>
      </c>
      <c r="X19" s="13">
        <v>6443.6</v>
      </c>
      <c r="Y19" s="13">
        <v>6631.4</v>
      </c>
      <c r="Z19" s="13">
        <v>7079</v>
      </c>
      <c r="AA19" s="13">
        <v>8114.5</v>
      </c>
      <c r="AB19" s="13"/>
      <c r="AC19" s="13"/>
      <c r="AD19" s="13"/>
      <c r="AE19" s="1"/>
      <c r="AF19" s="1"/>
      <c r="AG19" s="1"/>
      <c r="AH19" s="1"/>
    </row>
    <row r="20" spans="1:34" s="2" customFormat="1" x14ac:dyDescent="0.2">
      <c r="B20" s="2" t="s">
        <v>73</v>
      </c>
      <c r="C20" s="12"/>
      <c r="D20" s="12"/>
      <c r="E20" s="12">
        <v>648</v>
      </c>
      <c r="F20" s="12">
        <v>524.20000000000005</v>
      </c>
      <c r="G20" s="12">
        <v>446.4</v>
      </c>
      <c r="H20" s="12">
        <v>570.29999999999995</v>
      </c>
      <c r="I20" s="12">
        <v>677.4</v>
      </c>
      <c r="J20" s="12">
        <v>532</v>
      </c>
      <c r="K20" s="12">
        <v>476.8</v>
      </c>
      <c r="L20" s="12">
        <v>644.29999999999995</v>
      </c>
      <c r="M20" s="12">
        <v>724.3</v>
      </c>
      <c r="N20" s="12">
        <f t="shared" si="2"/>
        <v>599.90000000000032</v>
      </c>
      <c r="O20" s="12">
        <v>515.6</v>
      </c>
      <c r="P20" s="12"/>
      <c r="Q20" s="12"/>
      <c r="R20" s="12"/>
      <c r="S20" s="12"/>
      <c r="T20" s="12">
        <v>2427</v>
      </c>
      <c r="U20" s="12">
        <v>2506.5</v>
      </c>
      <c r="V20" s="12">
        <v>1539.4</v>
      </c>
      <c r="W20" s="12">
        <v>2071</v>
      </c>
      <c r="X20" s="12">
        <v>2277.8000000000002</v>
      </c>
      <c r="Y20" s="12">
        <v>2199.6</v>
      </c>
      <c r="Z20" s="12">
        <v>2226.1</v>
      </c>
      <c r="AA20" s="12">
        <v>2445.3000000000002</v>
      </c>
      <c r="AB20" s="12"/>
      <c r="AC20" s="12"/>
      <c r="AD20" s="12"/>
    </row>
    <row r="21" spans="1:34" s="2" customFormat="1" x14ac:dyDescent="0.2">
      <c r="B21" s="2" t="s">
        <v>74</v>
      </c>
      <c r="C21" s="12">
        <f t="shared" ref="C21:D21" si="3">+C19-C20</f>
        <v>0</v>
      </c>
      <c r="D21" s="12">
        <f t="shared" si="3"/>
        <v>0</v>
      </c>
      <c r="E21" s="12">
        <f>+E19-E20</f>
        <v>1286</v>
      </c>
      <c r="F21" s="12">
        <f t="shared" ref="F21:O21" si="4">+F19-F20</f>
        <v>1043.7</v>
      </c>
      <c r="G21" s="12">
        <f t="shared" si="4"/>
        <v>1065.8000000000002</v>
      </c>
      <c r="H21" s="12">
        <f t="shared" si="4"/>
        <v>1155.7</v>
      </c>
      <c r="I21" s="12">
        <f t="shared" si="4"/>
        <v>1466.1</v>
      </c>
      <c r="J21" s="12">
        <f t="shared" si="4"/>
        <v>1165.3</v>
      </c>
      <c r="K21" s="12">
        <f t="shared" si="4"/>
        <v>1242.3</v>
      </c>
      <c r="L21" s="12">
        <f t="shared" si="4"/>
        <v>1366.4</v>
      </c>
      <c r="M21" s="12">
        <f t="shared" si="4"/>
        <v>1681.7</v>
      </c>
      <c r="N21" s="12">
        <f t="shared" si="4"/>
        <v>1378.7999999999995</v>
      </c>
      <c r="O21" s="12">
        <f t="shared" si="4"/>
        <v>1444.1999999999998</v>
      </c>
      <c r="P21" s="12"/>
      <c r="Q21" s="12"/>
      <c r="R21" s="12"/>
      <c r="S21" s="12"/>
      <c r="T21" s="12">
        <f t="shared" ref="T21:X21" si="5">T19-T20</f>
        <v>3886</v>
      </c>
      <c r="U21" s="12">
        <f t="shared" si="5"/>
        <v>3653.3</v>
      </c>
      <c r="V21" s="12">
        <f t="shared" si="5"/>
        <v>2861.4</v>
      </c>
      <c r="W21" s="12">
        <f t="shared" si="5"/>
        <v>4147.5</v>
      </c>
      <c r="X21" s="12">
        <f t="shared" si="5"/>
        <v>4165.8</v>
      </c>
      <c r="Y21" s="12">
        <f>Y19-Y20</f>
        <v>4431.7999999999993</v>
      </c>
      <c r="Z21" s="12">
        <f>Z19-Z20</f>
        <v>4852.8999999999996</v>
      </c>
      <c r="AA21" s="12">
        <f>AA19-AA20</f>
        <v>5669.2</v>
      </c>
      <c r="AB21" s="12"/>
      <c r="AC21" s="12"/>
      <c r="AD21" s="12"/>
    </row>
    <row r="22" spans="1:34" s="2" customFormat="1" x14ac:dyDescent="0.2">
      <c r="B22" s="2" t="s">
        <v>75</v>
      </c>
      <c r="C22" s="12"/>
      <c r="D22" s="12"/>
      <c r="E22" s="12">
        <v>967.6</v>
      </c>
      <c r="F22" s="12">
        <v>906.6</v>
      </c>
      <c r="G22" s="12">
        <v>849.9</v>
      </c>
      <c r="H22" s="12">
        <v>958.4</v>
      </c>
      <c r="I22" s="12">
        <v>1064.2</v>
      </c>
      <c r="J22" s="12">
        <v>990.5</v>
      </c>
      <c r="K22" s="12">
        <v>949.4</v>
      </c>
      <c r="L22" s="12">
        <v>1083.4000000000001</v>
      </c>
      <c r="M22" s="12">
        <v>1178.5999999999999</v>
      </c>
      <c r="N22" s="12">
        <f t="shared" si="2"/>
        <v>1160.4999999999995</v>
      </c>
      <c r="O22" s="12">
        <v>1077</v>
      </c>
      <c r="P22" s="12"/>
      <c r="Q22" s="12"/>
      <c r="R22" s="12"/>
      <c r="S22" s="12"/>
      <c r="T22" s="12">
        <v>3168.3</v>
      </c>
      <c r="U22" s="12">
        <v>3237.5</v>
      </c>
      <c r="V22" s="12">
        <v>2638.5</v>
      </c>
      <c r="W22" s="12">
        <v>3305.6</v>
      </c>
      <c r="X22" s="12">
        <v>3408.9</v>
      </c>
      <c r="Y22" s="12">
        <v>3600.5</v>
      </c>
      <c r="Z22" s="12">
        <v>3863</v>
      </c>
      <c r="AA22" s="12">
        <v>4371.8999999999996</v>
      </c>
      <c r="AB22" s="12"/>
      <c r="AC22" s="12"/>
      <c r="AD22" s="12"/>
    </row>
    <row r="23" spans="1:34" s="2" customFormat="1" x14ac:dyDescent="0.2">
      <c r="B23" s="2" t="s">
        <v>76</v>
      </c>
      <c r="C23" s="12"/>
      <c r="D23" s="12"/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0.8</v>
      </c>
      <c r="K23" s="12">
        <v>0</v>
      </c>
      <c r="L23" s="12">
        <v>0</v>
      </c>
      <c r="M23" s="12">
        <v>0</v>
      </c>
      <c r="N23" s="12">
        <f t="shared" si="2"/>
        <v>0</v>
      </c>
      <c r="O23" s="12">
        <v>0</v>
      </c>
      <c r="P23" s="12"/>
      <c r="Q23" s="12"/>
      <c r="R23" s="12"/>
      <c r="S23" s="12"/>
      <c r="T23" s="12">
        <v>25.8</v>
      </c>
      <c r="U23" s="12">
        <v>31.6</v>
      </c>
      <c r="V23" s="12">
        <v>96</v>
      </c>
      <c r="W23" s="12">
        <v>21.3</v>
      </c>
      <c r="X23" s="12">
        <v>9.6999999999999993</v>
      </c>
      <c r="Y23" s="12">
        <v>0</v>
      </c>
      <c r="Z23" s="12">
        <v>0.8</v>
      </c>
      <c r="AA23" s="12">
        <v>0</v>
      </c>
      <c r="AB23" s="12"/>
      <c r="AC23" s="12"/>
      <c r="AD23" s="12"/>
    </row>
    <row r="24" spans="1:34" s="2" customFormat="1" x14ac:dyDescent="0.2">
      <c r="B24" s="2" t="s">
        <v>77</v>
      </c>
      <c r="C24" s="12"/>
      <c r="D24" s="12"/>
      <c r="E24" s="12">
        <v>0.7</v>
      </c>
      <c r="F24" s="12">
        <v>29.3</v>
      </c>
      <c r="G24" s="12">
        <v>7.4</v>
      </c>
      <c r="H24" s="12">
        <v>18.399999999999999</v>
      </c>
      <c r="I24" s="12">
        <v>12.2</v>
      </c>
      <c r="J24" s="12">
        <v>19</v>
      </c>
      <c r="K24" s="12">
        <v>19.3</v>
      </c>
      <c r="L24" s="12">
        <v>37.299999999999997</v>
      </c>
      <c r="M24" s="12">
        <v>31.8</v>
      </c>
      <c r="N24" s="12">
        <f t="shared" si="2"/>
        <v>29.700000000000003</v>
      </c>
      <c r="O24" s="12">
        <v>24.8</v>
      </c>
      <c r="P24" s="12"/>
      <c r="Q24" s="12"/>
      <c r="R24" s="12"/>
      <c r="S24" s="12"/>
      <c r="T24" s="12">
        <v>130.1</v>
      </c>
      <c r="U24" s="12">
        <v>67.2</v>
      </c>
      <c r="V24" s="12">
        <v>170.5</v>
      </c>
      <c r="W24" s="12">
        <v>22.2</v>
      </c>
      <c r="X24" s="12">
        <v>43</v>
      </c>
      <c r="Y24" s="12">
        <v>74.900000000000006</v>
      </c>
      <c r="Z24" s="12">
        <v>57</v>
      </c>
      <c r="AA24" s="12">
        <v>118.1</v>
      </c>
      <c r="AB24" s="12"/>
      <c r="AC24" s="12"/>
      <c r="AD24" s="12"/>
    </row>
    <row r="25" spans="1:34" s="2" customFormat="1" x14ac:dyDescent="0.2">
      <c r="B25" s="2" t="s">
        <v>78</v>
      </c>
      <c r="C25" s="12">
        <f t="shared" ref="C25:O25" si="6">SUM(C22:C24)</f>
        <v>0</v>
      </c>
      <c r="D25" s="12">
        <f t="shared" si="6"/>
        <v>0</v>
      </c>
      <c r="E25" s="12">
        <f t="shared" si="6"/>
        <v>968.30000000000007</v>
      </c>
      <c r="F25" s="12">
        <f t="shared" si="6"/>
        <v>935.9</v>
      </c>
      <c r="G25" s="12">
        <f t="shared" si="6"/>
        <v>857.3</v>
      </c>
      <c r="H25" s="12">
        <f t="shared" si="6"/>
        <v>976.8</v>
      </c>
      <c r="I25" s="12">
        <f t="shared" si="6"/>
        <v>1076.4000000000001</v>
      </c>
      <c r="J25" s="12">
        <f t="shared" si="6"/>
        <v>1010.3</v>
      </c>
      <c r="K25" s="12">
        <f t="shared" si="6"/>
        <v>968.69999999999993</v>
      </c>
      <c r="L25" s="12">
        <f t="shared" si="6"/>
        <v>1120.7</v>
      </c>
      <c r="M25" s="12">
        <f t="shared" si="6"/>
        <v>1210.3999999999999</v>
      </c>
      <c r="N25" s="12">
        <f t="shared" si="6"/>
        <v>1190.1999999999996</v>
      </c>
      <c r="O25" s="12">
        <f t="shared" si="6"/>
        <v>1101.8</v>
      </c>
      <c r="P25" s="12"/>
      <c r="Q25" s="12"/>
      <c r="R25" s="12"/>
      <c r="S25" s="12"/>
      <c r="T25" s="12">
        <f t="shared" ref="T25:X25" si="7">SUM(T22:T24)</f>
        <v>3324.2000000000003</v>
      </c>
      <c r="U25" s="12">
        <f t="shared" si="7"/>
        <v>3336.2999999999997</v>
      </c>
      <c r="V25" s="12">
        <f t="shared" si="7"/>
        <v>2905</v>
      </c>
      <c r="W25" s="12">
        <f t="shared" si="7"/>
        <v>3349.1</v>
      </c>
      <c r="X25" s="12">
        <f t="shared" si="7"/>
        <v>3461.6</v>
      </c>
      <c r="Y25" s="12">
        <f>SUM(Y22:Y24)</f>
        <v>3675.4</v>
      </c>
      <c r="Z25" s="12">
        <f>SUM(Z22:Z24)</f>
        <v>3920.8</v>
      </c>
      <c r="AA25" s="12">
        <f>SUM(AA22:AA24)</f>
        <v>4490</v>
      </c>
      <c r="AB25" s="12"/>
      <c r="AC25" s="12"/>
      <c r="AD25" s="12"/>
    </row>
    <row r="26" spans="1:34" s="2" customFormat="1" x14ac:dyDescent="0.2">
      <c r="B26" s="2" t="s">
        <v>79</v>
      </c>
      <c r="C26" s="12">
        <f t="shared" ref="C26:J26" si="8">C21-C25</f>
        <v>0</v>
      </c>
      <c r="D26" s="12">
        <f t="shared" si="8"/>
        <v>0</v>
      </c>
      <c r="E26" s="12">
        <f t="shared" si="8"/>
        <v>317.69999999999993</v>
      </c>
      <c r="F26" s="12">
        <f t="shared" si="8"/>
        <v>107.80000000000007</v>
      </c>
      <c r="G26" s="12">
        <f t="shared" si="8"/>
        <v>208.50000000000023</v>
      </c>
      <c r="H26" s="12">
        <f t="shared" si="8"/>
        <v>178.90000000000009</v>
      </c>
      <c r="I26" s="12">
        <f t="shared" si="8"/>
        <v>389.69999999999982</v>
      </c>
      <c r="J26" s="12">
        <f t="shared" si="8"/>
        <v>155</v>
      </c>
      <c r="K26" s="12">
        <v>273.60000000000002</v>
      </c>
      <c r="L26" s="12">
        <v>245.7</v>
      </c>
      <c r="M26" s="12">
        <f>+M21-M25</f>
        <v>471.30000000000018</v>
      </c>
      <c r="N26" s="12">
        <f>+N21-N25</f>
        <v>188.59999999999991</v>
      </c>
      <c r="O26" s="12">
        <f>+O21-O25</f>
        <v>342.39999999999986</v>
      </c>
      <c r="P26" s="12"/>
      <c r="Q26" s="12"/>
      <c r="R26" s="12"/>
      <c r="S26" s="12"/>
      <c r="T26" s="12">
        <f t="shared" ref="T26:X26" si="9">T21-T25</f>
        <v>561.79999999999973</v>
      </c>
      <c r="U26" s="12">
        <f t="shared" si="9"/>
        <v>317.00000000000045</v>
      </c>
      <c r="V26" s="12">
        <f t="shared" si="9"/>
        <v>-43.599999999999909</v>
      </c>
      <c r="W26" s="12">
        <f t="shared" si="9"/>
        <v>798.40000000000009</v>
      </c>
      <c r="X26" s="12">
        <f t="shared" si="9"/>
        <v>704.20000000000027</v>
      </c>
      <c r="Y26" s="12">
        <f>Y21-Y25</f>
        <v>756.39999999999918</v>
      </c>
      <c r="Z26" s="12">
        <f>Z21-Z25</f>
        <v>932.09999999999945</v>
      </c>
      <c r="AA26" s="12">
        <f>AA21-AA25</f>
        <v>1179.1999999999998</v>
      </c>
      <c r="AB26" s="12"/>
      <c r="AC26" s="12"/>
      <c r="AD26" s="12"/>
    </row>
    <row r="27" spans="1:34" s="2" customFormat="1" x14ac:dyDescent="0.2">
      <c r="B27" s="2" t="s">
        <v>80</v>
      </c>
      <c r="C27" s="12"/>
      <c r="D27" s="12"/>
      <c r="E27" s="12">
        <v>10.6</v>
      </c>
      <c r="F27" s="12">
        <v>11.6</v>
      </c>
      <c r="G27" s="12">
        <v>10.9</v>
      </c>
      <c r="H27" s="12">
        <v>11.4</v>
      </c>
      <c r="I27" s="12">
        <v>11.6</v>
      </c>
      <c r="J27" s="12">
        <v>10.199999999999999</v>
      </c>
      <c r="K27" s="12">
        <v>11.5</v>
      </c>
      <c r="L27" s="12">
        <v>15.9</v>
      </c>
      <c r="M27" s="12">
        <v>13.3</v>
      </c>
      <c r="N27" s="12">
        <f t="shared" ref="N27:N31" si="10">+AA27-SUM(K27:M27)</f>
        <v>13.5</v>
      </c>
      <c r="O27" s="12">
        <v>13</v>
      </c>
      <c r="P27" s="12"/>
      <c r="Q27" s="12"/>
      <c r="R27" s="12"/>
      <c r="S27" s="12"/>
      <c r="T27" s="12">
        <v>20.7</v>
      </c>
      <c r="U27" s="12">
        <v>17.600000000000001</v>
      </c>
      <c r="V27" s="12">
        <v>48.5</v>
      </c>
      <c r="W27" s="12">
        <v>54</v>
      </c>
      <c r="X27" s="12">
        <v>40.4</v>
      </c>
      <c r="Y27" s="12">
        <v>42.2</v>
      </c>
      <c r="Z27" s="12">
        <v>44.1</v>
      </c>
      <c r="AA27" s="12">
        <v>54.2</v>
      </c>
      <c r="AB27" s="12"/>
      <c r="AC27" s="12"/>
      <c r="AD27" s="12"/>
    </row>
    <row r="28" spans="1:34" s="2" customFormat="1" x14ac:dyDescent="0.2">
      <c r="B28" s="2" t="s">
        <v>81</v>
      </c>
      <c r="C28" s="12"/>
      <c r="D28" s="12"/>
      <c r="E28" s="12">
        <v>20.7</v>
      </c>
      <c r="F28" s="12">
        <v>20.8</v>
      </c>
      <c r="G28" s="12">
        <v>20.100000000000001</v>
      </c>
      <c r="H28" s="12">
        <v>17.899999999999999</v>
      </c>
      <c r="I28" s="12">
        <v>17.8</v>
      </c>
      <c r="J28" s="12">
        <v>18.2</v>
      </c>
      <c r="K28" s="12">
        <v>14.8</v>
      </c>
      <c r="L28" s="12">
        <v>14.6</v>
      </c>
      <c r="M28" s="12">
        <v>11.9</v>
      </c>
      <c r="N28" s="12">
        <f t="shared" si="10"/>
        <v>12.400000000000006</v>
      </c>
      <c r="O28" s="12">
        <v>11.6</v>
      </c>
      <c r="P28" s="12"/>
      <c r="Q28" s="12"/>
      <c r="R28" s="12"/>
      <c r="S28" s="12"/>
      <c r="T28" s="12">
        <v>40.799999999999997</v>
      </c>
      <c r="U28" s="12">
        <v>34.4</v>
      </c>
      <c r="V28" s="12">
        <v>9.6999999999999993</v>
      </c>
      <c r="W28" s="12">
        <v>5.5</v>
      </c>
      <c r="X28" s="12">
        <v>32.200000000000003</v>
      </c>
      <c r="Y28" s="12">
        <v>73</v>
      </c>
      <c r="Z28" s="12">
        <v>74</v>
      </c>
      <c r="AA28" s="12">
        <v>53.7</v>
      </c>
      <c r="AB28" s="12"/>
      <c r="AC28" s="12"/>
      <c r="AD28" s="12"/>
    </row>
    <row r="29" spans="1:34" s="2" customFormat="1" x14ac:dyDescent="0.2">
      <c r="B29" s="2" t="s">
        <v>82</v>
      </c>
      <c r="C29" s="12"/>
      <c r="D29" s="12"/>
      <c r="E29" s="12">
        <v>2</v>
      </c>
      <c r="F29" s="12">
        <v>-5.5</v>
      </c>
      <c r="G29" s="12">
        <v>-1.1000000000000001</v>
      </c>
      <c r="H29" s="12">
        <v>2.7</v>
      </c>
      <c r="I29" s="12">
        <v>-12.2</v>
      </c>
      <c r="J29" s="12">
        <v>-0.7</v>
      </c>
      <c r="K29" s="12">
        <v>1.1000000000000001</v>
      </c>
      <c r="L29" s="12">
        <v>-1.6</v>
      </c>
      <c r="M29" s="12">
        <v>-6.1</v>
      </c>
      <c r="N29" s="12">
        <f t="shared" si="10"/>
        <v>5.6</v>
      </c>
      <c r="O29" s="12">
        <v>1.2</v>
      </c>
      <c r="P29" s="12"/>
      <c r="Q29" s="12"/>
      <c r="R29" s="12"/>
      <c r="S29" s="12"/>
      <c r="T29" s="12">
        <v>0.6</v>
      </c>
      <c r="U29" s="12">
        <v>-7.4</v>
      </c>
      <c r="V29" s="12">
        <v>7.6</v>
      </c>
      <c r="W29" s="12">
        <v>4.7</v>
      </c>
      <c r="X29" s="12">
        <v>-4.0999999999999996</v>
      </c>
      <c r="Y29" s="12">
        <v>-9.8000000000000007</v>
      </c>
      <c r="Z29" s="12">
        <v>-11.3</v>
      </c>
      <c r="AA29" s="12">
        <v>-1</v>
      </c>
      <c r="AB29" s="12"/>
      <c r="AC29" s="12"/>
      <c r="AD29" s="12"/>
    </row>
    <row r="30" spans="1:34" s="2" customFormat="1" x14ac:dyDescent="0.2">
      <c r="B30" s="2" t="s">
        <v>83</v>
      </c>
      <c r="C30" s="12">
        <f t="shared" ref="C30:O30" si="11">C26-C27+C28+C29</f>
        <v>0</v>
      </c>
      <c r="D30" s="12">
        <f t="shared" si="11"/>
        <v>0</v>
      </c>
      <c r="E30" s="12">
        <f t="shared" si="11"/>
        <v>329.7999999999999</v>
      </c>
      <c r="F30" s="12">
        <f t="shared" si="11"/>
        <v>111.50000000000007</v>
      </c>
      <c r="G30" s="12">
        <f t="shared" si="11"/>
        <v>216.60000000000022</v>
      </c>
      <c r="H30" s="12">
        <f t="shared" si="11"/>
        <v>188.10000000000008</v>
      </c>
      <c r="I30" s="12">
        <f t="shared" si="11"/>
        <v>383.69999999999982</v>
      </c>
      <c r="J30" s="12">
        <f t="shared" si="11"/>
        <v>162.30000000000001</v>
      </c>
      <c r="K30" s="12">
        <f t="shared" si="11"/>
        <v>278.00000000000006</v>
      </c>
      <c r="L30" s="12">
        <f t="shared" si="11"/>
        <v>242.79999999999998</v>
      </c>
      <c r="M30" s="12">
        <f t="shared" si="11"/>
        <v>463.80000000000013</v>
      </c>
      <c r="N30" s="12">
        <f t="shared" si="11"/>
        <v>193.09999999999991</v>
      </c>
      <c r="O30" s="12">
        <f t="shared" si="11"/>
        <v>342.19999999999987</v>
      </c>
      <c r="P30" s="12"/>
      <c r="Q30" s="12"/>
      <c r="R30" s="12"/>
      <c r="S30" s="12"/>
      <c r="T30" s="12">
        <f t="shared" ref="T30:X30" si="12">T26-T27+T28+T29</f>
        <v>582.49999999999966</v>
      </c>
      <c r="U30" s="12">
        <f t="shared" si="12"/>
        <v>326.40000000000043</v>
      </c>
      <c r="V30" s="12">
        <f t="shared" si="12"/>
        <v>-74.799999999999912</v>
      </c>
      <c r="W30" s="12">
        <f t="shared" si="12"/>
        <v>754.60000000000014</v>
      </c>
      <c r="X30" s="12">
        <f t="shared" si="12"/>
        <v>691.90000000000032</v>
      </c>
      <c r="Y30" s="12">
        <f>Y26-Y27+Y28+Y29</f>
        <v>777.39999999999918</v>
      </c>
      <c r="Z30" s="12">
        <f>Z26-Z27+Z28+Z29</f>
        <v>950.69999999999948</v>
      </c>
      <c r="AA30" s="12">
        <f>AA26-AA27+AA28+AA29</f>
        <v>1177.6999999999998</v>
      </c>
      <c r="AB30" s="12"/>
      <c r="AC30" s="12"/>
      <c r="AD30" s="12"/>
    </row>
    <row r="31" spans="1:34" s="2" customFormat="1" x14ac:dyDescent="0.2">
      <c r="B31" s="2" t="s">
        <v>84</v>
      </c>
      <c r="C31" s="12"/>
      <c r="D31" s="12"/>
      <c r="E31" s="12">
        <v>53.2</v>
      </c>
      <c r="F31" s="12">
        <v>20.8</v>
      </c>
      <c r="G31" s="12">
        <v>48</v>
      </c>
      <c r="H31" s="12">
        <v>40.200000000000003</v>
      </c>
      <c r="I31" s="12">
        <v>86.3</v>
      </c>
      <c r="J31" s="12">
        <v>33.299999999999997</v>
      </c>
      <c r="K31" s="12">
        <v>57.6</v>
      </c>
      <c r="L31" s="12">
        <v>35.299999999999997</v>
      </c>
      <c r="M31" s="12">
        <v>102.2</v>
      </c>
      <c r="N31" s="12">
        <f t="shared" si="10"/>
        <v>41.499999999999972</v>
      </c>
      <c r="O31" s="12">
        <v>80</v>
      </c>
      <c r="P31" s="12"/>
      <c r="Q31" s="12"/>
      <c r="R31" s="12"/>
      <c r="S31" s="12"/>
      <c r="T31" s="12">
        <v>151.6</v>
      </c>
      <c r="U31" s="12">
        <v>-57.9</v>
      </c>
      <c r="V31" s="12">
        <v>46.3</v>
      </c>
      <c r="W31" s="12">
        <v>154.5</v>
      </c>
      <c r="X31" s="12">
        <v>169.2</v>
      </c>
      <c r="Y31" s="12">
        <v>131.1</v>
      </c>
      <c r="Z31" s="12">
        <v>207.8</v>
      </c>
      <c r="AA31" s="12">
        <v>236.6</v>
      </c>
      <c r="AB31" s="12"/>
      <c r="AC31" s="12"/>
      <c r="AD31" s="12"/>
    </row>
    <row r="32" spans="1:34" s="2" customFormat="1" x14ac:dyDescent="0.2">
      <c r="B32" s="2" t="s">
        <v>85</v>
      </c>
      <c r="C32" s="12">
        <f t="shared" ref="C32:O32" si="13">C30-C31</f>
        <v>0</v>
      </c>
      <c r="D32" s="12">
        <f t="shared" si="13"/>
        <v>0</v>
      </c>
      <c r="E32" s="12">
        <f t="shared" si="13"/>
        <v>276.59999999999991</v>
      </c>
      <c r="F32" s="12">
        <f t="shared" si="13"/>
        <v>90.700000000000074</v>
      </c>
      <c r="G32" s="12">
        <f t="shared" si="13"/>
        <v>168.60000000000022</v>
      </c>
      <c r="H32" s="12">
        <f t="shared" si="13"/>
        <v>147.90000000000009</v>
      </c>
      <c r="I32" s="12">
        <f t="shared" si="13"/>
        <v>297.39999999999981</v>
      </c>
      <c r="J32" s="12">
        <f t="shared" si="13"/>
        <v>129</v>
      </c>
      <c r="K32" s="12">
        <f t="shared" si="13"/>
        <v>220.40000000000006</v>
      </c>
      <c r="L32" s="12">
        <f t="shared" si="13"/>
        <v>207.5</v>
      </c>
      <c r="M32" s="12">
        <f t="shared" si="13"/>
        <v>361.60000000000014</v>
      </c>
      <c r="N32" s="12">
        <f t="shared" si="13"/>
        <v>151.59999999999994</v>
      </c>
      <c r="O32" s="12">
        <f t="shared" si="13"/>
        <v>262.19999999999987</v>
      </c>
      <c r="P32" s="12"/>
      <c r="Q32" s="12"/>
      <c r="R32" s="12"/>
      <c r="S32" s="12"/>
      <c r="T32" s="12">
        <f t="shared" ref="T32:X32" si="14">T30-T31</f>
        <v>430.89999999999964</v>
      </c>
      <c r="U32" s="12">
        <f t="shared" si="14"/>
        <v>384.30000000000041</v>
      </c>
      <c r="V32" s="12">
        <f t="shared" si="14"/>
        <v>-121.09999999999991</v>
      </c>
      <c r="W32" s="12">
        <f t="shared" si="14"/>
        <v>600.10000000000014</v>
      </c>
      <c r="X32" s="12">
        <f t="shared" si="14"/>
        <v>522.70000000000027</v>
      </c>
      <c r="Y32" s="12">
        <f>Y30-Y31</f>
        <v>646.29999999999916</v>
      </c>
      <c r="Z32" s="12">
        <f>Z30-Z31</f>
        <v>742.89999999999941</v>
      </c>
      <c r="AA32" s="12">
        <f>AA30-AA31</f>
        <v>941.0999999999998</v>
      </c>
      <c r="AB32" s="12"/>
      <c r="AC32" s="12"/>
      <c r="AD32" s="12"/>
    </row>
    <row r="33" spans="2:30" s="2" customFormat="1" x14ac:dyDescent="0.2"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 s="2" customFormat="1" x14ac:dyDescent="0.2">
      <c r="B34" s="2" t="s">
        <v>87</v>
      </c>
      <c r="C34" s="14" t="e">
        <f t="shared" ref="C34:H34" si="15">+C32/C35</f>
        <v>#DIV/0!</v>
      </c>
      <c r="D34" s="14" t="e">
        <f t="shared" si="15"/>
        <v>#DIV/0!</v>
      </c>
      <c r="E34" s="14">
        <f t="shared" si="15"/>
        <v>4.2553846153846138</v>
      </c>
      <c r="F34" s="14" t="e">
        <f t="shared" si="15"/>
        <v>#DIV/0!</v>
      </c>
      <c r="G34" s="14">
        <f t="shared" si="15"/>
        <v>2.6677215189873453</v>
      </c>
      <c r="H34" s="14">
        <f t="shared" si="15"/>
        <v>2.3626198083067105</v>
      </c>
      <c r="I34" s="14">
        <f>+I32/I35</f>
        <v>4.7583999999999973</v>
      </c>
      <c r="J34" s="14" t="e">
        <f t="shared" ref="J34:O34" si="16">+J32/J35</f>
        <v>#DIV/0!</v>
      </c>
      <c r="K34" s="14">
        <f t="shared" si="16"/>
        <v>3.6131147540983615</v>
      </c>
      <c r="L34" s="14">
        <f t="shared" si="16"/>
        <v>3.3960720130932898</v>
      </c>
      <c r="M34" s="14">
        <f t="shared" si="16"/>
        <v>5.9181669394435374</v>
      </c>
      <c r="N34" s="14">
        <f t="shared" si="16"/>
        <v>2.481178396072012</v>
      </c>
      <c r="O34" s="14">
        <f t="shared" si="16"/>
        <v>4.362728785357735</v>
      </c>
      <c r="P34" s="14"/>
      <c r="Q34" s="14"/>
      <c r="R34" s="14"/>
      <c r="S34" s="12"/>
      <c r="T34" s="12">
        <f t="shared" ref="T34:AA34" si="17">T32/T35</f>
        <v>5.5191935752436772</v>
      </c>
      <c r="U34" s="12">
        <f t="shared" si="17"/>
        <v>5.2892357240183383</v>
      </c>
      <c r="V34" s="12">
        <f t="shared" si="17"/>
        <v>-1.6559325046833751</v>
      </c>
      <c r="W34" s="12">
        <f t="shared" si="17"/>
        <v>8.5636817695326446</v>
      </c>
      <c r="X34" s="12">
        <f t="shared" si="17"/>
        <v>7.9918659409210493</v>
      </c>
      <c r="Y34" s="12">
        <f t="shared" si="17"/>
        <v>10.669544543672828</v>
      </c>
      <c r="Z34" s="12">
        <f t="shared" si="17"/>
        <v>11.86741214057507</v>
      </c>
      <c r="AA34" s="12">
        <f t="shared" si="17"/>
        <v>15.427868852459014</v>
      </c>
      <c r="AB34" s="12"/>
      <c r="AC34" s="12"/>
      <c r="AD34" s="12"/>
    </row>
    <row r="35" spans="2:30" s="2" customFormat="1" x14ac:dyDescent="0.2">
      <c r="B35" s="2" t="s">
        <v>86</v>
      </c>
      <c r="C35" s="12"/>
      <c r="D35" s="12"/>
      <c r="E35" s="12">
        <v>65</v>
      </c>
      <c r="F35" s="12"/>
      <c r="G35" s="12">
        <v>63.2</v>
      </c>
      <c r="H35" s="12">
        <v>62.6</v>
      </c>
      <c r="I35" s="12">
        <v>62.5</v>
      </c>
      <c r="J35" s="12"/>
      <c r="K35" s="12">
        <v>61</v>
      </c>
      <c r="L35" s="12">
        <v>61.1</v>
      </c>
      <c r="M35" s="12">
        <v>61.1</v>
      </c>
      <c r="N35" s="12">
        <v>61.1</v>
      </c>
      <c r="O35" s="12">
        <v>60.1</v>
      </c>
      <c r="P35" s="12"/>
      <c r="Q35" s="12"/>
      <c r="R35" s="12"/>
      <c r="S35" s="12"/>
      <c r="T35" s="12">
        <f>52.192+25.881</f>
        <v>78.073000000000008</v>
      </c>
      <c r="U35" s="12">
        <f>47.777+24.88^1</f>
        <v>72.656999999999996</v>
      </c>
      <c r="V35" s="12">
        <f>48.25+24.881</f>
        <v>73.131</v>
      </c>
      <c r="W35" s="12">
        <f>45.194+24.881</f>
        <v>70.075000000000003</v>
      </c>
      <c r="X35" s="12">
        <f>40.523+24.881</f>
        <v>65.403999999999996</v>
      </c>
      <c r="Y35" s="12">
        <v>60.574281999999997</v>
      </c>
      <c r="Z35" s="12">
        <v>62.6</v>
      </c>
      <c r="AA35" s="12">
        <v>61</v>
      </c>
      <c r="AB35" s="12"/>
      <c r="AC35" s="12"/>
      <c r="AD35" s="12"/>
    </row>
    <row r="36" spans="2:30" s="2" customFormat="1" x14ac:dyDescent="0.2"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 s="2" customFormat="1" x14ac:dyDescent="0.2">
      <c r="B37" s="2" t="s">
        <v>291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5" t="e">
        <f t="shared" ref="X37:Y37" si="18">+X8/W8-1</f>
        <v>#DIV/0!</v>
      </c>
      <c r="Y37" s="15" t="e">
        <f t="shared" si="18"/>
        <v>#DIV/0!</v>
      </c>
      <c r="Z37" s="15">
        <f>+Z8/Y8-1</f>
        <v>0</v>
      </c>
      <c r="AA37" s="15">
        <f>+AA8/Z8-1</f>
        <v>5.3191489361702038E-2</v>
      </c>
      <c r="AB37" s="12"/>
      <c r="AC37" s="12"/>
      <c r="AD37" s="12"/>
    </row>
    <row r="38" spans="2:30" s="2" customFormat="1" x14ac:dyDescent="0.2">
      <c r="B38" s="2" t="s">
        <v>280</v>
      </c>
      <c r="C38" s="16" t="s">
        <v>70</v>
      </c>
      <c r="D38" s="16" t="s">
        <v>70</v>
      </c>
      <c r="E38" s="16" t="s">
        <v>70</v>
      </c>
      <c r="F38" s="16" t="s">
        <v>70</v>
      </c>
      <c r="G38" s="17" t="e">
        <f t="shared" ref="G38:J45" si="19">+G12/C12-1</f>
        <v>#DIV/0!</v>
      </c>
      <c r="H38" s="17" t="e">
        <f t="shared" si="19"/>
        <v>#DIV/0!</v>
      </c>
      <c r="I38" s="17">
        <f t="shared" si="19"/>
        <v>6.9002464373727701E-2</v>
      </c>
      <c r="J38" s="17">
        <f t="shared" si="19"/>
        <v>5.541410813239489E-2</v>
      </c>
      <c r="K38" s="17">
        <f t="shared" ref="K38:K45" si="20">+K12/G12-1</f>
        <v>7.89214074317659E-2</v>
      </c>
      <c r="L38" s="17">
        <f t="shared" ref="L38:L45" si="21">+L12/H12-1</f>
        <v>0.12562542258282616</v>
      </c>
      <c r="M38" s="17">
        <f t="shared" ref="M38:M45" si="22">+M12/I12-1</f>
        <v>8.0785807356920758E-2</v>
      </c>
      <c r="N38" s="17">
        <f t="shared" ref="N38:O45" si="23">+N12/J12-1</f>
        <v>8.2304526748971485E-2</v>
      </c>
      <c r="O38" s="17">
        <f t="shared" si="23"/>
        <v>0.12816214568729034</v>
      </c>
      <c r="P38" s="17"/>
      <c r="Q38" s="17"/>
      <c r="R38" s="17"/>
      <c r="S38" s="12"/>
      <c r="T38" s="16" t="s">
        <v>70</v>
      </c>
      <c r="U38" s="15" t="e">
        <f t="shared" ref="U38:AA41" si="24">U12/T12-1</f>
        <v>#DIV/0!</v>
      </c>
      <c r="V38" s="15" t="e">
        <f t="shared" si="24"/>
        <v>#DIV/0!</v>
      </c>
      <c r="W38" s="15" t="e">
        <f t="shared" si="24"/>
        <v>#DIV/0!</v>
      </c>
      <c r="X38" s="15" t="e">
        <f t="shared" si="24"/>
        <v>#DIV/0!</v>
      </c>
      <c r="Y38" s="15" t="e">
        <f t="shared" si="24"/>
        <v>#DIV/0!</v>
      </c>
      <c r="Z38" s="15">
        <f t="shared" si="24"/>
        <v>4.9767681982447076E-2</v>
      </c>
      <c r="AA38" s="15">
        <f t="shared" si="24"/>
        <v>9.1636339792138033E-2</v>
      </c>
      <c r="AB38" s="12"/>
      <c r="AC38" s="12"/>
      <c r="AD38" s="12"/>
    </row>
    <row r="39" spans="2:30" s="2" customFormat="1" x14ac:dyDescent="0.2">
      <c r="B39" s="2" t="s">
        <v>281</v>
      </c>
      <c r="C39" s="16" t="s">
        <v>70</v>
      </c>
      <c r="D39" s="16" t="s">
        <v>70</v>
      </c>
      <c r="E39" s="16" t="s">
        <v>70</v>
      </c>
      <c r="F39" s="16" t="s">
        <v>70</v>
      </c>
      <c r="G39" s="17" t="e">
        <f t="shared" si="19"/>
        <v>#DIV/0!</v>
      </c>
      <c r="H39" s="17" t="e">
        <f t="shared" si="19"/>
        <v>#DIV/0!</v>
      </c>
      <c r="I39" s="17">
        <f t="shared" si="19"/>
        <v>0.1589645254074783</v>
      </c>
      <c r="J39" s="17">
        <f t="shared" si="19"/>
        <v>0.11999147485080996</v>
      </c>
      <c r="K39" s="17">
        <f t="shared" si="20"/>
        <v>0.1573784178668336</v>
      </c>
      <c r="L39" s="17">
        <f t="shared" si="21"/>
        <v>0.21629263120692688</v>
      </c>
      <c r="M39" s="17">
        <f t="shared" si="22"/>
        <v>0.11929185969556588</v>
      </c>
      <c r="N39" s="17">
        <f t="shared" si="23"/>
        <v>0.1790675547098004</v>
      </c>
      <c r="O39" s="17">
        <f t="shared" si="23"/>
        <v>7.195671776375101E-2</v>
      </c>
      <c r="P39" s="17"/>
      <c r="Q39" s="17"/>
      <c r="R39" s="17"/>
      <c r="S39" s="12"/>
      <c r="T39" s="16" t="s">
        <v>70</v>
      </c>
      <c r="U39" s="15" t="e">
        <f t="shared" si="24"/>
        <v>#DIV/0!</v>
      </c>
      <c r="V39" s="15" t="e">
        <f t="shared" si="24"/>
        <v>#DIV/0!</v>
      </c>
      <c r="W39" s="15" t="e">
        <f t="shared" si="24"/>
        <v>#DIV/0!</v>
      </c>
      <c r="X39" s="15" t="e">
        <f t="shared" si="24"/>
        <v>#DIV/0!</v>
      </c>
      <c r="Y39" s="15" t="e">
        <f t="shared" si="24"/>
        <v>#DIV/0!</v>
      </c>
      <c r="Z39" s="15">
        <f t="shared" si="24"/>
        <v>0.1051321138211383</v>
      </c>
      <c r="AA39" s="15">
        <f t="shared" si="24"/>
        <v>0.16736401673640167</v>
      </c>
      <c r="AB39" s="12"/>
      <c r="AC39" s="12"/>
      <c r="AD39" s="12"/>
    </row>
    <row r="40" spans="2:30" s="2" customFormat="1" x14ac:dyDescent="0.2">
      <c r="B40" s="2" t="s">
        <v>282</v>
      </c>
      <c r="C40" s="16" t="s">
        <v>70</v>
      </c>
      <c r="D40" s="16" t="s">
        <v>70</v>
      </c>
      <c r="E40" s="16" t="s">
        <v>70</v>
      </c>
      <c r="F40" s="16" t="s">
        <v>70</v>
      </c>
      <c r="G40" s="17" t="e">
        <f t="shared" si="19"/>
        <v>#DIV/0!</v>
      </c>
      <c r="H40" s="17" t="e">
        <f t="shared" si="19"/>
        <v>#DIV/0!</v>
      </c>
      <c r="I40" s="17">
        <f t="shared" si="19"/>
        <v>0.13508064516129026</v>
      </c>
      <c r="J40" s="17">
        <f t="shared" si="19"/>
        <v>9.4598021810804012E-2</v>
      </c>
      <c r="K40" s="17">
        <f t="shared" si="20"/>
        <v>0.21258633921719117</v>
      </c>
      <c r="L40" s="17">
        <f t="shared" si="21"/>
        <v>0.17201472908995274</v>
      </c>
      <c r="M40" s="17">
        <f t="shared" si="22"/>
        <v>0.22419577659364509</v>
      </c>
      <c r="N40" s="17">
        <f t="shared" si="23"/>
        <v>0.30583873957367902</v>
      </c>
      <c r="O40" s="17">
        <f t="shared" si="23"/>
        <v>0.24324894514767914</v>
      </c>
      <c r="P40" s="17"/>
      <c r="Q40" s="17"/>
      <c r="R40" s="17"/>
      <c r="S40" s="12"/>
      <c r="T40" s="16" t="s">
        <v>70</v>
      </c>
      <c r="U40" s="15" t="e">
        <f t="shared" si="24"/>
        <v>#DIV/0!</v>
      </c>
      <c r="V40" s="15" t="e">
        <f t="shared" si="24"/>
        <v>#DIV/0!</v>
      </c>
      <c r="W40" s="15" t="e">
        <f t="shared" si="24"/>
        <v>#DIV/0!</v>
      </c>
      <c r="X40" s="15" t="e">
        <f t="shared" si="24"/>
        <v>#DIV/0!</v>
      </c>
      <c r="Y40" s="15" t="e">
        <f t="shared" si="24"/>
        <v>#DIV/0!</v>
      </c>
      <c r="Z40" s="15">
        <f t="shared" si="24"/>
        <v>9.1152815013404886E-2</v>
      </c>
      <c r="AA40" s="15">
        <f t="shared" si="24"/>
        <v>0.23054873054873037</v>
      </c>
      <c r="AB40" s="12"/>
      <c r="AC40" s="12"/>
      <c r="AD40" s="12"/>
    </row>
    <row r="41" spans="2:30" s="2" customFormat="1" x14ac:dyDescent="0.2">
      <c r="B41" s="2" t="s">
        <v>283</v>
      </c>
      <c r="C41" s="16" t="s">
        <v>70</v>
      </c>
      <c r="D41" s="16" t="s">
        <v>70</v>
      </c>
      <c r="E41" s="16" t="s">
        <v>70</v>
      </c>
      <c r="F41" s="16" t="s">
        <v>70</v>
      </c>
      <c r="G41" s="17" t="e">
        <f t="shared" si="19"/>
        <v>#DIV/0!</v>
      </c>
      <c r="H41" s="17" t="e">
        <f t="shared" si="19"/>
        <v>#DIV/0!</v>
      </c>
      <c r="I41" s="17">
        <f t="shared" si="19"/>
        <v>5.7926829268292845E-2</v>
      </c>
      <c r="J41" s="17">
        <f t="shared" si="19"/>
        <v>-3.2697547683923744E-2</v>
      </c>
      <c r="K41" s="17">
        <f t="shared" si="20"/>
        <v>1.1764705882352899E-2</v>
      </c>
      <c r="L41" s="17">
        <f t="shared" si="21"/>
        <v>9.9009900990099098E-2</v>
      </c>
      <c r="M41" s="17">
        <f t="shared" si="22"/>
        <v>-0.10951008645533156</v>
      </c>
      <c r="N41" s="17">
        <f t="shared" si="23"/>
        <v>-7.6056338028168691E-2</v>
      </c>
      <c r="O41" s="17">
        <f t="shared" si="23"/>
        <v>4.0697674418604501E-2</v>
      </c>
      <c r="P41" s="17"/>
      <c r="Q41" s="17"/>
      <c r="R41" s="17"/>
      <c r="S41" s="12"/>
      <c r="T41" s="16" t="s">
        <v>70</v>
      </c>
      <c r="U41" s="15" t="e">
        <f t="shared" si="24"/>
        <v>#DIV/0!</v>
      </c>
      <c r="V41" s="15" t="e">
        <f t="shared" si="24"/>
        <v>#DIV/0!</v>
      </c>
      <c r="W41" s="15" t="e">
        <f t="shared" si="24"/>
        <v>#DIV/0!</v>
      </c>
      <c r="X41" s="15" t="e">
        <f t="shared" si="24"/>
        <v>#DIV/0!</v>
      </c>
      <c r="Y41" s="15" t="e">
        <f t="shared" si="24"/>
        <v>#DIV/0!</v>
      </c>
      <c r="Z41" s="15">
        <f t="shared" si="24"/>
        <v>-1.1619958988380197E-2</v>
      </c>
      <c r="AA41" s="15">
        <f t="shared" si="24"/>
        <v>-1.4522821576763434E-2</v>
      </c>
      <c r="AB41" s="12"/>
      <c r="AC41" s="12"/>
      <c r="AD41" s="12"/>
    </row>
    <row r="42" spans="2:30" s="2" customFormat="1" x14ac:dyDescent="0.2">
      <c r="B42" s="2" t="s">
        <v>273</v>
      </c>
      <c r="C42" s="16" t="s">
        <v>70</v>
      </c>
      <c r="D42" s="16" t="s">
        <v>70</v>
      </c>
      <c r="E42" s="16" t="s">
        <v>70</v>
      </c>
      <c r="F42" s="16" t="s">
        <v>70</v>
      </c>
      <c r="G42" s="17" t="e">
        <f t="shared" si="19"/>
        <v>#DIV/0!</v>
      </c>
      <c r="H42" s="17" t="e">
        <f t="shared" si="19"/>
        <v>#DIV/0!</v>
      </c>
      <c r="I42" s="17">
        <f t="shared" si="19"/>
        <v>0.11724819889814952</v>
      </c>
      <c r="J42" s="17">
        <f t="shared" si="19"/>
        <v>0.58689937966565031</v>
      </c>
      <c r="K42" s="17">
        <f t="shared" si="20"/>
        <v>0.16327716443927964</v>
      </c>
      <c r="L42" s="17">
        <f t="shared" si="21"/>
        <v>0.15331995622035755</v>
      </c>
      <c r="M42" s="17">
        <f t="shared" si="22"/>
        <v>0</v>
      </c>
      <c r="N42" s="17">
        <f t="shared" si="23"/>
        <v>-1.6033923010666973E-2</v>
      </c>
      <c r="O42" s="17">
        <f t="shared" si="23"/>
        <v>0</v>
      </c>
      <c r="P42" s="17"/>
      <c r="Q42" s="17"/>
      <c r="R42" s="17"/>
      <c r="S42" s="12"/>
      <c r="T42" s="16" t="s">
        <v>70</v>
      </c>
      <c r="U42" s="15">
        <f>U16/T16-1</f>
        <v>-1.8410801003255761E-3</v>
      </c>
      <c r="V42" s="15">
        <f t="shared" ref="V42:AA42" si="25">V16/U16-1</f>
        <v>-0.25691678473094703</v>
      </c>
      <c r="W42" s="15">
        <f t="shared" si="25"/>
        <v>0.41790776314842781</v>
      </c>
      <c r="X42" s="15">
        <f t="shared" si="25"/>
        <v>2.831409361918058E-2</v>
      </c>
      <c r="Y42" s="15">
        <f t="shared" si="25"/>
        <v>7.3499296834521832E-2</v>
      </c>
      <c r="Z42" s="15">
        <f t="shared" si="25"/>
        <v>9.632268444035863E-2</v>
      </c>
      <c r="AA42" s="15">
        <f t="shared" si="25"/>
        <v>0.15984989832498275</v>
      </c>
      <c r="AB42" s="12"/>
      <c r="AC42" s="12"/>
      <c r="AD42" s="12"/>
    </row>
    <row r="43" spans="2:30" s="2" customFormat="1" x14ac:dyDescent="0.2">
      <c r="B43" s="2" t="s">
        <v>274</v>
      </c>
      <c r="C43" s="16" t="s">
        <v>70</v>
      </c>
      <c r="D43" s="16" t="s">
        <v>70</v>
      </c>
      <c r="E43" s="16" t="s">
        <v>70</v>
      </c>
      <c r="F43" s="16" t="s">
        <v>70</v>
      </c>
      <c r="G43" s="17" t="e">
        <f t="shared" si="19"/>
        <v>#DIV/0!</v>
      </c>
      <c r="H43" s="17" t="e">
        <f t="shared" si="19"/>
        <v>#DIV/0!</v>
      </c>
      <c r="I43" s="17">
        <f t="shared" si="19"/>
        <v>8.5702513391017865E-2</v>
      </c>
      <c r="J43" s="17">
        <f t="shared" si="19"/>
        <v>3.8614032063437387E-2</v>
      </c>
      <c r="K43" s="17">
        <f t="shared" si="20"/>
        <v>8.5053859964093315E-2</v>
      </c>
      <c r="L43" s="17">
        <f t="shared" si="21"/>
        <v>0.19110658520027135</v>
      </c>
      <c r="M43" s="17">
        <f t="shared" si="22"/>
        <v>0</v>
      </c>
      <c r="N43" s="17">
        <f t="shared" si="23"/>
        <v>0.20680497925311236</v>
      </c>
      <c r="O43" s="17">
        <f t="shared" si="23"/>
        <v>0</v>
      </c>
      <c r="P43" s="17"/>
      <c r="Q43" s="17"/>
      <c r="R43" s="17"/>
      <c r="S43" s="12"/>
      <c r="T43" s="16" t="s">
        <v>70</v>
      </c>
      <c r="U43" s="15">
        <f>U17/T17-1</f>
        <v>-5.9226750261232919E-2</v>
      </c>
      <c r="V43" s="15">
        <f t="shared" ref="V43:AA45" si="26">V17/U17-1</f>
        <v>-0.33419228718677818</v>
      </c>
      <c r="W43" s="15">
        <f t="shared" si="26"/>
        <v>0.41952488989723768</v>
      </c>
      <c r="X43" s="15">
        <f t="shared" si="26"/>
        <v>4.9828421003149437E-2</v>
      </c>
      <c r="Y43" s="15">
        <f t="shared" si="26"/>
        <v>-4.4418573411543538E-2</v>
      </c>
      <c r="Z43" s="15">
        <f t="shared" si="26"/>
        <v>1.4151164425284746E-2</v>
      </c>
      <c r="AA43" s="15">
        <f t="shared" si="26"/>
        <v>0.12710807189391482</v>
      </c>
      <c r="AB43" s="12"/>
      <c r="AC43" s="12"/>
      <c r="AD43" s="12"/>
    </row>
    <row r="44" spans="2:30" s="2" customFormat="1" x14ac:dyDescent="0.2">
      <c r="B44" s="2" t="s">
        <v>275</v>
      </c>
      <c r="C44" s="16" t="s">
        <v>70</v>
      </c>
      <c r="D44" s="16" t="s">
        <v>70</v>
      </c>
      <c r="E44" s="16" t="s">
        <v>70</v>
      </c>
      <c r="F44" s="16" t="s">
        <v>70</v>
      </c>
      <c r="G44" s="17" t="e">
        <f t="shared" si="19"/>
        <v>#DIV/0!</v>
      </c>
      <c r="H44" s="17" t="e">
        <f t="shared" si="19"/>
        <v>#DIV/0!</v>
      </c>
      <c r="I44" s="17">
        <f t="shared" si="19"/>
        <v>5.7926829268292845E-2</v>
      </c>
      <c r="J44" s="17">
        <f t="shared" si="19"/>
        <v>-3.2697547683923744E-2</v>
      </c>
      <c r="K44" s="17">
        <f t="shared" si="20"/>
        <v>1.1764705882352899E-2</v>
      </c>
      <c r="L44" s="17">
        <f t="shared" si="21"/>
        <v>9.9009900990099098E-2</v>
      </c>
      <c r="M44" s="17">
        <f t="shared" si="22"/>
        <v>0</v>
      </c>
      <c r="N44" s="17">
        <f t="shared" si="23"/>
        <v>-0.18309859154929575</v>
      </c>
      <c r="O44" s="17">
        <f t="shared" si="23"/>
        <v>0</v>
      </c>
      <c r="P44" s="17"/>
      <c r="Q44" s="17"/>
      <c r="R44" s="17"/>
      <c r="S44" s="12"/>
      <c r="T44" s="16" t="s">
        <v>70</v>
      </c>
      <c r="U44" s="15">
        <f>U18/T18-1</f>
        <v>-2.6635784597567991E-2</v>
      </c>
      <c r="V44" s="15">
        <f t="shared" si="26"/>
        <v>-0.27186198691255203</v>
      </c>
      <c r="W44" s="15">
        <f t="shared" si="26"/>
        <v>0.22303921568627438</v>
      </c>
      <c r="X44" s="15">
        <f t="shared" si="26"/>
        <v>5.0100200400801542E-2</v>
      </c>
      <c r="Y44" s="15">
        <f t="shared" si="26"/>
        <v>-6.9338422391857391E-2</v>
      </c>
      <c r="Z44" s="15">
        <f t="shared" si="26"/>
        <v>-1.1619958988380197E-2</v>
      </c>
      <c r="AA44" s="15">
        <f t="shared" si="26"/>
        <v>-1.4522821576763434E-2</v>
      </c>
      <c r="AB44" s="12"/>
      <c r="AC44" s="12"/>
      <c r="AD44" s="12"/>
    </row>
    <row r="45" spans="2:30" s="2" customFormat="1" x14ac:dyDescent="0.2">
      <c r="B45" s="1" t="s">
        <v>88</v>
      </c>
      <c r="C45" s="18" t="s">
        <v>70</v>
      </c>
      <c r="D45" s="18" t="s">
        <v>70</v>
      </c>
      <c r="E45" s="18" t="s">
        <v>70</v>
      </c>
      <c r="F45" s="18" t="s">
        <v>70</v>
      </c>
      <c r="G45" s="19" t="e">
        <f t="shared" si="19"/>
        <v>#DIV/0!</v>
      </c>
      <c r="H45" s="19" t="e">
        <f t="shared" si="19"/>
        <v>#DIV/0!</v>
      </c>
      <c r="I45" s="19">
        <f t="shared" si="19"/>
        <v>0.1083247156153051</v>
      </c>
      <c r="J45" s="19">
        <f t="shared" si="19"/>
        <v>8.2530773646278366E-2</v>
      </c>
      <c r="K45" s="19">
        <f t="shared" si="20"/>
        <v>0.13682052638539877</v>
      </c>
      <c r="L45" s="19">
        <f t="shared" si="21"/>
        <v>0.16494785631517961</v>
      </c>
      <c r="M45" s="19">
        <f t="shared" si="22"/>
        <v>0.12246326102169358</v>
      </c>
      <c r="N45" s="19">
        <f t="shared" si="23"/>
        <v>0.16579272962941127</v>
      </c>
      <c r="O45" s="19">
        <f t="shared" si="23"/>
        <v>0.14001512419289175</v>
      </c>
      <c r="P45" s="19"/>
      <c r="Q45" s="19"/>
      <c r="R45" s="19"/>
      <c r="S45" s="1"/>
      <c r="T45" s="18" t="s">
        <v>70</v>
      </c>
      <c r="U45" s="20">
        <f>U19/T19-1</f>
        <v>-2.4267384761603061E-2</v>
      </c>
      <c r="V45" s="20">
        <f t="shared" si="26"/>
        <v>-0.28556121952011426</v>
      </c>
      <c r="W45" s="20">
        <f t="shared" si="26"/>
        <v>0.413038538447555</v>
      </c>
      <c r="X45" s="20">
        <f t="shared" si="26"/>
        <v>3.6198440138297094E-2</v>
      </c>
      <c r="Y45" s="20">
        <f t="shared" si="26"/>
        <v>2.9145198336333555E-2</v>
      </c>
      <c r="Z45" s="20">
        <f t="shared" si="26"/>
        <v>6.7497059444461271E-2</v>
      </c>
      <c r="AA45" s="20">
        <f t="shared" si="26"/>
        <v>0.14627772284220941</v>
      </c>
    </row>
    <row r="46" spans="2:30" s="2" customFormat="1" x14ac:dyDescent="0.2">
      <c r="B46" s="2" t="s">
        <v>89</v>
      </c>
      <c r="C46" s="15" t="e">
        <f t="shared" ref="C46:J46" si="27">C21/C19</f>
        <v>#DIV/0!</v>
      </c>
      <c r="D46" s="15" t="e">
        <f t="shared" si="27"/>
        <v>#DIV/0!</v>
      </c>
      <c r="E46" s="15">
        <f t="shared" si="27"/>
        <v>0.66494312306101344</v>
      </c>
      <c r="F46" s="15">
        <f t="shared" si="27"/>
        <v>0.66566745328145926</v>
      </c>
      <c r="G46" s="15">
        <f t="shared" si="27"/>
        <v>0.70480095225499284</v>
      </c>
      <c r="H46" s="15">
        <f t="shared" si="27"/>
        <v>0.66958285052143685</v>
      </c>
      <c r="I46" s="15">
        <f t="shared" si="27"/>
        <v>0.68397480755773266</v>
      </c>
      <c r="J46" s="15">
        <f t="shared" si="27"/>
        <v>0.68656100866081426</v>
      </c>
      <c r="K46" s="15">
        <f t="shared" ref="K46:N46" si="28">K21/K19</f>
        <v>0.72264557035658195</v>
      </c>
      <c r="L46" s="15">
        <f t="shared" si="28"/>
        <v>0.67956433083005918</v>
      </c>
      <c r="M46" s="15">
        <f t="shared" si="28"/>
        <v>0.6989609310058188</v>
      </c>
      <c r="N46" s="15">
        <f t="shared" si="28"/>
        <v>0.69682114519634086</v>
      </c>
      <c r="O46" s="15">
        <f t="shared" ref="O46" si="29">O21/O19</f>
        <v>0.73691192978875386</v>
      </c>
      <c r="P46" s="15"/>
      <c r="Q46" s="15"/>
      <c r="R46" s="15"/>
      <c r="T46" s="15">
        <f t="shared" ref="T46:Y46" si="30">T21/T19</f>
        <v>0.61555520354823379</v>
      </c>
      <c r="U46" s="15">
        <f t="shared" si="30"/>
        <v>0.59308743790382801</v>
      </c>
      <c r="V46" s="15">
        <f t="shared" si="30"/>
        <v>0.65019996364297394</v>
      </c>
      <c r="W46" s="15">
        <f t="shared" si="30"/>
        <v>0.66696148588887993</v>
      </c>
      <c r="X46" s="15">
        <f t="shared" si="30"/>
        <v>0.64650195542864242</v>
      </c>
      <c r="Y46" s="15">
        <f t="shared" si="30"/>
        <v>0.66830533522333135</v>
      </c>
      <c r="Z46" s="15">
        <f t="shared" ref="Z46:AA46" si="31">Z21/Z19</f>
        <v>0.68553468003955353</v>
      </c>
      <c r="AA46" s="15">
        <f t="shared" si="31"/>
        <v>0.69865056380553325</v>
      </c>
    </row>
    <row r="47" spans="2:30" s="2" customFormat="1" x14ac:dyDescent="0.2">
      <c r="B47" s="2" t="s">
        <v>90</v>
      </c>
      <c r="C47" s="15" t="e">
        <f t="shared" ref="C47:J47" si="32">C26/C19</f>
        <v>#DIV/0!</v>
      </c>
      <c r="D47" s="15" t="e">
        <f t="shared" si="32"/>
        <v>#DIV/0!</v>
      </c>
      <c r="E47" s="15">
        <f t="shared" si="32"/>
        <v>0.16427094105480866</v>
      </c>
      <c r="F47" s="15">
        <f t="shared" si="32"/>
        <v>6.8754384845972363E-2</v>
      </c>
      <c r="G47" s="15">
        <f t="shared" si="32"/>
        <v>0.1378785874884276</v>
      </c>
      <c r="H47" s="15">
        <f t="shared" si="32"/>
        <v>0.10365005793742763</v>
      </c>
      <c r="I47" s="15">
        <f t="shared" si="32"/>
        <v>0.18180545836249118</v>
      </c>
      <c r="J47" s="15">
        <f t="shared" si="32"/>
        <v>9.1321510634537209E-2</v>
      </c>
      <c r="K47" s="15">
        <f t="shared" ref="K47:N47" si="33">K26/K19</f>
        <v>0.15915304519806878</v>
      </c>
      <c r="L47" s="15">
        <f t="shared" si="33"/>
        <v>0.1221962500621674</v>
      </c>
      <c r="M47" s="15">
        <f t="shared" si="33"/>
        <v>0.19588528678304246</v>
      </c>
      <c r="N47" s="15">
        <f t="shared" si="33"/>
        <v>9.5315105877596368E-2</v>
      </c>
      <c r="O47" s="15">
        <f t="shared" ref="O47" si="34">O26/O19</f>
        <v>0.17471170527604851</v>
      </c>
      <c r="P47" s="15"/>
      <c r="Q47" s="15"/>
      <c r="R47" s="15"/>
      <c r="T47" s="15">
        <f t="shared" ref="T47:Y47" si="35">T26/T19</f>
        <v>8.8990971012197009E-2</v>
      </c>
      <c r="U47" s="15">
        <f t="shared" si="35"/>
        <v>5.1462709828241249E-2</v>
      </c>
      <c r="V47" s="15">
        <f t="shared" si="35"/>
        <v>-9.9072895837120315E-3</v>
      </c>
      <c r="W47" s="15">
        <f t="shared" si="35"/>
        <v>0.12839109109913968</v>
      </c>
      <c r="X47" s="15">
        <f t="shared" si="35"/>
        <v>0.10928673412378177</v>
      </c>
      <c r="Y47" s="15">
        <f t="shared" si="35"/>
        <v>0.11406339536146201</v>
      </c>
      <c r="Z47" s="15">
        <f t="shared" ref="Z47:AA47" si="36">Z26/Z19</f>
        <v>0.13167113999152416</v>
      </c>
      <c r="AA47" s="15">
        <f t="shared" si="36"/>
        <v>0.14532010598311662</v>
      </c>
    </row>
    <row r="48" spans="2:30" s="2" customFormat="1" x14ac:dyDescent="0.2">
      <c r="B48" s="2" t="s">
        <v>91</v>
      </c>
      <c r="C48" s="15" t="e">
        <f t="shared" ref="C48:J48" si="37">C32/C19</f>
        <v>#DIV/0!</v>
      </c>
      <c r="D48" s="15" t="e">
        <f t="shared" si="37"/>
        <v>#DIV/0!</v>
      </c>
      <c r="E48" s="15">
        <f t="shared" si="37"/>
        <v>0.1430196483971044</v>
      </c>
      <c r="F48" s="15">
        <f t="shared" si="37"/>
        <v>5.7848077045730001E-2</v>
      </c>
      <c r="G48" s="15">
        <f t="shared" si="37"/>
        <v>0.1114931887316494</v>
      </c>
      <c r="H48" s="15">
        <f t="shared" si="37"/>
        <v>8.5689455388180819E-2</v>
      </c>
      <c r="I48" s="15">
        <f t="shared" si="37"/>
        <v>0.13874504315372047</v>
      </c>
      <c r="J48" s="15">
        <f t="shared" si="37"/>
        <v>7.6003063689389028E-2</v>
      </c>
      <c r="K48" s="15">
        <f t="shared" ref="K48:N48" si="38">K32/K19</f>
        <v>0.12820661974288877</v>
      </c>
      <c r="L48" s="15">
        <f t="shared" si="38"/>
        <v>0.10319789128164321</v>
      </c>
      <c r="M48" s="15">
        <f t="shared" si="38"/>
        <v>0.15029093931837079</v>
      </c>
      <c r="N48" s="15">
        <f t="shared" si="38"/>
        <v>7.6615959973720088E-2</v>
      </c>
      <c r="O48" s="15">
        <f t="shared" ref="O48" si="39">O32/O19</f>
        <v>0.13378916215940395</v>
      </c>
      <c r="P48" s="15"/>
      <c r="Q48" s="15"/>
      <c r="R48" s="15"/>
      <c r="T48" s="15">
        <f t="shared" ref="T48:Y48" si="40">T32/T19</f>
        <v>6.8255979724378205E-2</v>
      </c>
      <c r="U48" s="15">
        <f t="shared" si="40"/>
        <v>6.2388389233416733E-2</v>
      </c>
      <c r="V48" s="15">
        <f t="shared" si="40"/>
        <v>-2.7517724050172675E-2</v>
      </c>
      <c r="W48" s="15">
        <f t="shared" si="40"/>
        <v>9.6502371954651459E-2</v>
      </c>
      <c r="X48" s="15">
        <f t="shared" si="40"/>
        <v>8.1119250108634966E-2</v>
      </c>
      <c r="Y48" s="15">
        <f t="shared" si="40"/>
        <v>9.7460566396235973E-2</v>
      </c>
      <c r="Z48" s="15">
        <f t="shared" ref="Z48:AA48" si="41">Z32/Z19</f>
        <v>0.10494420115835562</v>
      </c>
      <c r="AA48" s="15">
        <f t="shared" si="41"/>
        <v>0.11597757101484993</v>
      </c>
      <c r="AC48" s="21"/>
    </row>
    <row r="49" spans="1:27" s="2" customFormat="1" x14ac:dyDescent="0.2">
      <c r="B49" s="2" t="s">
        <v>92</v>
      </c>
      <c r="C49" s="15" t="e">
        <f t="shared" ref="C49:J49" si="42">C31/C32</f>
        <v>#DIV/0!</v>
      </c>
      <c r="D49" s="15" t="e">
        <f t="shared" si="42"/>
        <v>#DIV/0!</v>
      </c>
      <c r="E49" s="15">
        <f t="shared" si="42"/>
        <v>0.19233550253073037</v>
      </c>
      <c r="F49" s="15">
        <f t="shared" si="42"/>
        <v>0.22932745314222694</v>
      </c>
      <c r="G49" s="15">
        <f t="shared" si="42"/>
        <v>0.28469750889679679</v>
      </c>
      <c r="H49" s="15">
        <f t="shared" si="42"/>
        <v>0.27180527383367126</v>
      </c>
      <c r="I49" s="15">
        <f t="shared" si="42"/>
        <v>0.29018157363819791</v>
      </c>
      <c r="J49" s="15">
        <f t="shared" si="42"/>
        <v>0.25813953488372093</v>
      </c>
      <c r="K49" s="15">
        <f t="shared" ref="K49:N49" si="43">K31/K32</f>
        <v>0.26134301270417415</v>
      </c>
      <c r="L49" s="15">
        <f t="shared" si="43"/>
        <v>0.17012048192771084</v>
      </c>
      <c r="M49" s="15">
        <f t="shared" si="43"/>
        <v>0.28263274336283178</v>
      </c>
      <c r="N49" s="15">
        <f t="shared" si="43"/>
        <v>0.27374670184696565</v>
      </c>
      <c r="O49" s="15">
        <f t="shared" ref="O49" si="44">O31/O32</f>
        <v>0.30511060259344025</v>
      </c>
      <c r="P49" s="15"/>
      <c r="Q49" s="15"/>
      <c r="R49" s="15"/>
      <c r="T49" s="15">
        <f t="shared" ref="T49:Y49" si="45">T31/T32</f>
        <v>0.35182176839173851</v>
      </c>
      <c r="U49" s="15">
        <f t="shared" si="45"/>
        <v>-0.15066354410616689</v>
      </c>
      <c r="V49" s="15">
        <f t="shared" si="45"/>
        <v>-0.38232865400495486</v>
      </c>
      <c r="W49" s="15">
        <f t="shared" si="45"/>
        <v>0.2574570904849191</v>
      </c>
      <c r="X49" s="15">
        <f t="shared" si="45"/>
        <v>0.32370384541802161</v>
      </c>
      <c r="Y49" s="15">
        <f t="shared" si="45"/>
        <v>0.20284697508896823</v>
      </c>
      <c r="Z49" s="15">
        <f t="shared" ref="Z49:AA49" si="46">Z31/Z32</f>
        <v>0.27971463184816286</v>
      </c>
      <c r="AA49" s="15">
        <f t="shared" si="46"/>
        <v>0.25140792689406022</v>
      </c>
    </row>
    <row r="50" spans="1:27" s="2" customFormat="1" x14ac:dyDescent="0.2">
      <c r="T50" s="3"/>
      <c r="U50" s="3"/>
      <c r="V50" s="3"/>
      <c r="W50" s="3"/>
      <c r="X50" s="3"/>
      <c r="Y50" s="3"/>
      <c r="Z50" s="3"/>
    </row>
    <row r="51" spans="1:27" x14ac:dyDescent="0.2">
      <c r="Y51" s="30"/>
    </row>
    <row r="52" spans="1:27" x14ac:dyDescent="0.2">
      <c r="B52" s="2" t="s">
        <v>93</v>
      </c>
      <c r="T52" s="12">
        <v>584.1</v>
      </c>
      <c r="U52" s="12">
        <v>1620.4</v>
      </c>
      <c r="V52" s="12">
        <v>2579</v>
      </c>
      <c r="W52" s="12">
        <v>1863.8</v>
      </c>
      <c r="X52" s="12">
        <v>1529.3</v>
      </c>
      <c r="Y52" s="12">
        <v>1662.2</v>
      </c>
      <c r="Z52" s="12">
        <v>1922.5</v>
      </c>
      <c r="AA52" s="12">
        <v>1988</v>
      </c>
    </row>
    <row r="53" spans="1:27" x14ac:dyDescent="0.2">
      <c r="B53" s="2" t="s">
        <v>94</v>
      </c>
      <c r="T53" s="12">
        <v>1403.4</v>
      </c>
      <c r="U53" s="12">
        <v>495.9</v>
      </c>
      <c r="V53" s="12">
        <v>197.5</v>
      </c>
      <c r="W53" s="12">
        <v>734.6</v>
      </c>
      <c r="X53" s="12">
        <v>36.4</v>
      </c>
      <c r="Y53" s="12">
        <v>121</v>
      </c>
      <c r="Z53" s="12">
        <v>160.5</v>
      </c>
      <c r="AA53" s="12">
        <v>77</v>
      </c>
    </row>
    <row r="54" spans="1:27" x14ac:dyDescent="0.2">
      <c r="B54" s="2" t="s">
        <v>95</v>
      </c>
      <c r="T54" s="12">
        <v>398.1</v>
      </c>
      <c r="U54" s="12">
        <v>277.10000000000002</v>
      </c>
      <c r="V54" s="12">
        <v>451.5</v>
      </c>
      <c r="W54" s="12">
        <v>405.4</v>
      </c>
      <c r="X54" s="12">
        <v>447.7</v>
      </c>
      <c r="Y54" s="12">
        <v>446.5</v>
      </c>
      <c r="Z54" s="12">
        <v>459.5</v>
      </c>
      <c r="AA54" s="12">
        <v>491.7</v>
      </c>
    </row>
    <row r="55" spans="1:27" x14ac:dyDescent="0.2">
      <c r="B55" s="2" t="s">
        <v>96</v>
      </c>
      <c r="T55" s="12">
        <v>817.8</v>
      </c>
      <c r="U55" s="12">
        <v>736.2</v>
      </c>
      <c r="V55" s="12">
        <v>759</v>
      </c>
      <c r="W55" s="12">
        <v>977.3</v>
      </c>
      <c r="X55" s="12">
        <v>1071.3</v>
      </c>
      <c r="Y55" s="12">
        <v>902.2</v>
      </c>
      <c r="Z55" s="12">
        <v>949.6</v>
      </c>
      <c r="AA55" s="12">
        <v>1014.3</v>
      </c>
    </row>
    <row r="56" spans="1:27" x14ac:dyDescent="0.2">
      <c r="B56" s="2" t="s">
        <v>97</v>
      </c>
      <c r="T56" s="12">
        <v>32.1</v>
      </c>
      <c r="U56" s="12">
        <v>84.8</v>
      </c>
      <c r="V56" s="12">
        <v>54.4</v>
      </c>
      <c r="W56" s="12">
        <v>63.7</v>
      </c>
      <c r="X56" s="12">
        <v>50.7</v>
      </c>
      <c r="Y56" s="12">
        <v>56</v>
      </c>
      <c r="Z56" s="12">
        <v>55.4</v>
      </c>
      <c r="AA56" s="12">
        <v>77.8</v>
      </c>
    </row>
    <row r="57" spans="1:27" x14ac:dyDescent="0.2">
      <c r="B57" s="2" t="s">
        <v>98</v>
      </c>
      <c r="T57" s="12">
        <v>359.3</v>
      </c>
      <c r="U57" s="12">
        <v>160.80000000000001</v>
      </c>
      <c r="V57" s="12">
        <v>166.6</v>
      </c>
      <c r="W57" s="12">
        <v>172.5</v>
      </c>
      <c r="X57" s="12">
        <v>188.7</v>
      </c>
      <c r="Y57" s="12">
        <v>171.9</v>
      </c>
      <c r="Z57" s="12">
        <v>242.4</v>
      </c>
      <c r="AA57" s="12">
        <v>238.4</v>
      </c>
    </row>
    <row r="58" spans="1:27" s="31" customFormat="1" x14ac:dyDescent="0.2">
      <c r="A58" s="29"/>
      <c r="B58" s="29" t="s">
        <v>99</v>
      </c>
      <c r="T58" s="31">
        <f t="shared" ref="T58:X58" si="47">SUM(T52:T57)</f>
        <v>3594.7999999999997</v>
      </c>
      <c r="U58" s="31">
        <f t="shared" si="47"/>
        <v>3375.2000000000007</v>
      </c>
      <c r="V58" s="31">
        <f t="shared" si="47"/>
        <v>4208</v>
      </c>
      <c r="W58" s="31">
        <f t="shared" si="47"/>
        <v>4217.3</v>
      </c>
      <c r="X58" s="31">
        <f t="shared" si="47"/>
        <v>3324.0999999999995</v>
      </c>
      <c r="Y58" s="31">
        <f>SUM(Y52:Y57)</f>
        <v>3359.7999999999997</v>
      </c>
      <c r="Z58" s="31">
        <f t="shared" ref="Z58:AA58" si="48">SUM(Z52:Z57)</f>
        <v>3789.9</v>
      </c>
      <c r="AA58" s="31">
        <f t="shared" si="48"/>
        <v>3887.2000000000003</v>
      </c>
    </row>
    <row r="59" spans="1:27" x14ac:dyDescent="0.2">
      <c r="B59" s="2" t="s">
        <v>100</v>
      </c>
      <c r="T59" s="12">
        <v>1039.2</v>
      </c>
      <c r="U59" s="12">
        <v>979.5</v>
      </c>
      <c r="V59" s="12">
        <v>1014</v>
      </c>
      <c r="W59" s="12">
        <v>969.5</v>
      </c>
      <c r="X59" s="12">
        <v>955.5</v>
      </c>
      <c r="Y59" s="12">
        <v>850.4</v>
      </c>
      <c r="Z59" s="12">
        <v>846.4</v>
      </c>
      <c r="AA59" s="12">
        <v>1070.5999999999999</v>
      </c>
    </row>
    <row r="60" spans="1:27" x14ac:dyDescent="0.2">
      <c r="B60" s="2" t="s">
        <v>101</v>
      </c>
      <c r="T60" s="12">
        <v>0</v>
      </c>
      <c r="U60" s="12">
        <v>1511.6</v>
      </c>
      <c r="V60" s="12">
        <v>1239.5</v>
      </c>
      <c r="W60" s="12">
        <v>1111.3</v>
      </c>
      <c r="X60" s="12">
        <v>1134</v>
      </c>
      <c r="Y60" s="12">
        <v>1014.6</v>
      </c>
      <c r="Z60" s="12">
        <v>1013.1</v>
      </c>
      <c r="AA60" s="12">
        <v>1299.5999999999999</v>
      </c>
    </row>
    <row r="61" spans="1:27" x14ac:dyDescent="0.2">
      <c r="B61" s="2" t="s">
        <v>102</v>
      </c>
      <c r="T61" s="12">
        <v>67</v>
      </c>
      <c r="U61" s="12">
        <v>245.2</v>
      </c>
      <c r="V61" s="12">
        <v>283.89999999999998</v>
      </c>
      <c r="W61" s="12">
        <v>303.8</v>
      </c>
      <c r="X61" s="12">
        <v>255.1</v>
      </c>
      <c r="Y61" s="12">
        <v>288.3</v>
      </c>
      <c r="Z61" s="12">
        <v>335.4</v>
      </c>
      <c r="AA61" s="12">
        <v>345.1</v>
      </c>
    </row>
    <row r="62" spans="1:27" x14ac:dyDescent="0.2">
      <c r="B62" s="2" t="s">
        <v>103</v>
      </c>
      <c r="T62" s="12">
        <v>919.6</v>
      </c>
      <c r="U62" s="12">
        <v>915.5</v>
      </c>
      <c r="V62" s="12">
        <v>934.6</v>
      </c>
      <c r="W62" s="12">
        <v>908.7</v>
      </c>
      <c r="X62" s="12">
        <v>898.9</v>
      </c>
      <c r="Y62" s="12">
        <v>888.1</v>
      </c>
      <c r="Z62" s="12">
        <v>888.5</v>
      </c>
      <c r="AA62" s="12">
        <v>904.2</v>
      </c>
    </row>
    <row r="63" spans="1:27" x14ac:dyDescent="0.2">
      <c r="B63" s="2" t="s">
        <v>104</v>
      </c>
      <c r="T63" s="12">
        <v>163.69999999999999</v>
      </c>
      <c r="U63" s="12">
        <v>141</v>
      </c>
      <c r="V63" s="12">
        <v>121.1</v>
      </c>
      <c r="W63" s="12">
        <v>102.9</v>
      </c>
      <c r="X63" s="12">
        <v>88.9</v>
      </c>
      <c r="Y63" s="12">
        <v>75.7</v>
      </c>
      <c r="Z63" s="12">
        <v>62.8</v>
      </c>
      <c r="AA63" s="12">
        <v>93.3</v>
      </c>
    </row>
    <row r="64" spans="1:27" x14ac:dyDescent="0.2">
      <c r="B64" s="2" t="s">
        <v>105</v>
      </c>
      <c r="T64" s="12">
        <v>158.5</v>
      </c>
      <c r="U64" s="12">
        <v>111.9</v>
      </c>
      <c r="V64" s="12">
        <v>86.4</v>
      </c>
      <c r="W64" s="12">
        <v>111.2</v>
      </c>
      <c r="X64" s="12">
        <v>133</v>
      </c>
      <c r="Y64" s="12">
        <v>125.7</v>
      </c>
      <c r="Z64" s="12">
        <v>111.2</v>
      </c>
      <c r="AA64" s="12">
        <v>139.5</v>
      </c>
    </row>
    <row r="65" spans="1:27" s="31" customFormat="1" x14ac:dyDescent="0.2">
      <c r="A65" s="2"/>
      <c r="B65" s="29" t="s">
        <v>106</v>
      </c>
      <c r="T65" s="31">
        <f t="shared" ref="T65:X65" si="49">SUM(T59:T64)</f>
        <v>2348</v>
      </c>
      <c r="U65" s="31">
        <f t="shared" si="49"/>
        <v>3904.7</v>
      </c>
      <c r="V65" s="31">
        <f t="shared" si="49"/>
        <v>3679.5</v>
      </c>
      <c r="W65" s="31">
        <f t="shared" si="49"/>
        <v>3507.4</v>
      </c>
      <c r="X65" s="31">
        <f t="shared" si="49"/>
        <v>3465.4</v>
      </c>
      <c r="Y65" s="31">
        <f>SUM(Y59:Y64)</f>
        <v>3242.7999999999997</v>
      </c>
      <c r="Z65" s="31">
        <f t="shared" ref="Z65:AA65" si="50">SUM(Z59:Z64)</f>
        <v>3257.4</v>
      </c>
      <c r="AA65" s="31">
        <f t="shared" si="50"/>
        <v>3852.3</v>
      </c>
    </row>
    <row r="66" spans="1:27" x14ac:dyDescent="0.2">
      <c r="B66" s="1" t="s">
        <v>107</v>
      </c>
      <c r="T66" s="13">
        <f t="shared" ref="T66:Y66" si="51">T58+T65</f>
        <v>5942.7999999999993</v>
      </c>
      <c r="U66" s="13">
        <f t="shared" si="51"/>
        <v>7279.9000000000005</v>
      </c>
      <c r="V66" s="13">
        <f t="shared" si="51"/>
        <v>7887.5</v>
      </c>
      <c r="W66" s="13">
        <f t="shared" si="51"/>
        <v>7724.7000000000007</v>
      </c>
      <c r="X66" s="13">
        <f t="shared" si="51"/>
        <v>6789.5</v>
      </c>
      <c r="Y66" s="13">
        <f t="shared" si="51"/>
        <v>6602.5999999999995</v>
      </c>
      <c r="Z66" s="13">
        <f t="shared" ref="Z66:AA66" si="52">Z58+Z65</f>
        <v>7047.3</v>
      </c>
      <c r="AA66" s="13">
        <f t="shared" si="52"/>
        <v>7739.5</v>
      </c>
    </row>
    <row r="67" spans="1:27" x14ac:dyDescent="0.2">
      <c r="B67" s="2" t="s">
        <v>108</v>
      </c>
      <c r="T67" s="12">
        <v>0</v>
      </c>
      <c r="U67" s="12">
        <v>774.6</v>
      </c>
      <c r="V67" s="12">
        <v>0</v>
      </c>
      <c r="W67" s="12">
        <v>499.8</v>
      </c>
      <c r="X67" s="12">
        <v>0</v>
      </c>
      <c r="Y67" s="12">
        <v>0</v>
      </c>
      <c r="Z67" s="12">
        <v>399.7</v>
      </c>
      <c r="AA67" s="31">
        <v>0</v>
      </c>
    </row>
    <row r="68" spans="1:27" x14ac:dyDescent="0.2">
      <c r="B68" s="2" t="s">
        <v>109</v>
      </c>
      <c r="T68" s="12">
        <v>202.3</v>
      </c>
      <c r="U68" s="12">
        <v>246.8</v>
      </c>
      <c r="V68" s="12">
        <v>355.9</v>
      </c>
      <c r="W68" s="12">
        <v>448.7</v>
      </c>
      <c r="X68" s="12">
        <v>371.6</v>
      </c>
      <c r="Y68" s="12">
        <v>332.2</v>
      </c>
      <c r="Z68" s="12">
        <v>436</v>
      </c>
      <c r="AA68" s="12">
        <v>431</v>
      </c>
    </row>
    <row r="69" spans="1:27" x14ac:dyDescent="0.2">
      <c r="B69" s="2" t="s">
        <v>110</v>
      </c>
      <c r="T69" s="12">
        <v>29.4</v>
      </c>
      <c r="U69" s="12">
        <v>65.099999999999994</v>
      </c>
      <c r="V69" s="12">
        <v>50.6</v>
      </c>
      <c r="W69" s="12">
        <v>53.8</v>
      </c>
      <c r="X69" s="12">
        <v>59.7</v>
      </c>
      <c r="Y69" s="12">
        <v>79.8</v>
      </c>
      <c r="Z69" s="12">
        <v>146.5</v>
      </c>
      <c r="AA69" s="12">
        <v>80</v>
      </c>
    </row>
    <row r="70" spans="1:27" x14ac:dyDescent="0.2">
      <c r="B70" s="2" t="s">
        <v>111</v>
      </c>
      <c r="T70" s="12">
        <v>0</v>
      </c>
      <c r="U70" s="12">
        <v>288.39999999999998</v>
      </c>
      <c r="V70" s="12">
        <v>302.89999999999998</v>
      </c>
      <c r="W70" s="12">
        <v>262</v>
      </c>
      <c r="X70" s="12">
        <v>266.7</v>
      </c>
      <c r="Y70" s="12">
        <v>245.5</v>
      </c>
      <c r="Z70" s="12">
        <v>225.4</v>
      </c>
      <c r="AA70" s="12">
        <v>211.7</v>
      </c>
    </row>
    <row r="71" spans="1:27" x14ac:dyDescent="0.2">
      <c r="B71" s="2" t="s">
        <v>112</v>
      </c>
      <c r="T71" s="12">
        <v>968.4</v>
      </c>
      <c r="U71" s="12">
        <v>717.1</v>
      </c>
      <c r="V71" s="12">
        <v>875.4</v>
      </c>
      <c r="W71" s="12">
        <v>991.4</v>
      </c>
      <c r="X71" s="12">
        <v>795.5</v>
      </c>
      <c r="Y71" s="12">
        <v>809.7</v>
      </c>
      <c r="Z71" s="12">
        <v>926.1</v>
      </c>
      <c r="AA71" s="12">
        <v>1103.8</v>
      </c>
    </row>
    <row r="72" spans="1:27" x14ac:dyDescent="0.2">
      <c r="B72" s="29" t="s">
        <v>113</v>
      </c>
      <c r="T72" s="31">
        <f t="shared" ref="T72:U72" si="53">SUM(T67:T71)</f>
        <v>1200.0999999999999</v>
      </c>
      <c r="U72" s="31">
        <f t="shared" si="53"/>
        <v>2092</v>
      </c>
      <c r="V72" s="31">
        <f>SUM(V67:V71)</f>
        <v>1584.8</v>
      </c>
      <c r="W72" s="31">
        <f t="shared" ref="W72:AA72" si="54">SUM(W67:W71)</f>
        <v>2255.6999999999998</v>
      </c>
      <c r="X72" s="31">
        <f t="shared" si="54"/>
        <v>1493.5</v>
      </c>
      <c r="Y72" s="31">
        <f t="shared" si="54"/>
        <v>1467.2</v>
      </c>
      <c r="Z72" s="31">
        <f t="shared" si="54"/>
        <v>2133.7000000000003</v>
      </c>
      <c r="AA72" s="31">
        <f t="shared" si="54"/>
        <v>1826.5</v>
      </c>
    </row>
    <row r="73" spans="1:27" x14ac:dyDescent="0.2">
      <c r="B73" s="2" t="s">
        <v>114</v>
      </c>
      <c r="T73" s="12">
        <v>689.1</v>
      </c>
      <c r="U73" s="12">
        <v>396.4</v>
      </c>
      <c r="V73" s="12">
        <v>1632.9</v>
      </c>
      <c r="W73" s="12">
        <v>1136.5</v>
      </c>
      <c r="X73" s="12">
        <v>1138.5</v>
      </c>
      <c r="Y73" s="12">
        <v>1140.5</v>
      </c>
      <c r="Z73" s="12">
        <v>742.9</v>
      </c>
      <c r="AA73" s="12">
        <v>1238.9000000000001</v>
      </c>
    </row>
    <row r="74" spans="1:27" x14ac:dyDescent="0.2">
      <c r="B74" s="2" t="s">
        <v>115</v>
      </c>
      <c r="T74" s="12">
        <v>0</v>
      </c>
      <c r="U74" s="12">
        <v>0</v>
      </c>
      <c r="V74" s="12">
        <v>0</v>
      </c>
      <c r="W74" s="12">
        <v>341.6</v>
      </c>
      <c r="X74" s="12">
        <v>315.3</v>
      </c>
      <c r="Y74" s="12">
        <v>256.10000000000002</v>
      </c>
      <c r="Z74" s="12">
        <v>234.8</v>
      </c>
      <c r="AA74" s="12">
        <v>212.3</v>
      </c>
    </row>
    <row r="75" spans="1:27" x14ac:dyDescent="0.2">
      <c r="B75" s="2" t="s">
        <v>116</v>
      </c>
      <c r="T75" s="12">
        <v>0</v>
      </c>
      <c r="U75" s="12">
        <v>1568.3</v>
      </c>
      <c r="V75" s="12">
        <v>1294.5</v>
      </c>
      <c r="W75" s="12">
        <v>1132.2</v>
      </c>
      <c r="X75" s="12">
        <v>1141.0999999999999</v>
      </c>
      <c r="Y75" s="12">
        <v>1014</v>
      </c>
      <c r="Z75" s="12">
        <v>1044.7</v>
      </c>
      <c r="AA75" s="12">
        <v>1325.8</v>
      </c>
    </row>
    <row r="76" spans="1:27" x14ac:dyDescent="0.2">
      <c r="B76" s="2" t="s">
        <v>117</v>
      </c>
      <c r="T76" s="12">
        <v>146.69999999999999</v>
      </c>
      <c r="U76" s="12">
        <v>132.69999999999999</v>
      </c>
      <c r="V76" s="12">
        <v>118.7</v>
      </c>
      <c r="W76" s="12">
        <v>98.9</v>
      </c>
      <c r="X76" s="12">
        <v>75.900000000000006</v>
      </c>
      <c r="Y76" s="12">
        <v>42.2</v>
      </c>
      <c r="Z76" s="12">
        <v>193.3</v>
      </c>
      <c r="AA76" s="12">
        <v>168.7</v>
      </c>
    </row>
    <row r="77" spans="1:27" x14ac:dyDescent="0.2">
      <c r="B77" s="2" t="s">
        <v>118</v>
      </c>
      <c r="T77" s="12">
        <v>78.8</v>
      </c>
      <c r="U77" s="12">
        <v>88.9</v>
      </c>
      <c r="V77" s="12">
        <v>91.4</v>
      </c>
      <c r="W77" s="12">
        <v>91.9</v>
      </c>
      <c r="X77" s="12">
        <v>93.8</v>
      </c>
      <c r="Y77" s="12">
        <v>118.7</v>
      </c>
      <c r="Z77" s="12">
        <v>0</v>
      </c>
      <c r="AA77" s="12">
        <v>0</v>
      </c>
    </row>
    <row r="78" spans="1:27" x14ac:dyDescent="0.2">
      <c r="B78" s="2" t="s">
        <v>119</v>
      </c>
      <c r="T78" s="12">
        <v>540.9</v>
      </c>
      <c r="U78" s="12">
        <v>308.5</v>
      </c>
      <c r="V78" s="12">
        <v>560.79999999999995</v>
      </c>
      <c r="W78" s="12">
        <v>131.9</v>
      </c>
      <c r="X78" s="12">
        <v>100.9</v>
      </c>
      <c r="Y78" s="12">
        <v>113.6</v>
      </c>
      <c r="Z78" s="12">
        <v>109.4</v>
      </c>
      <c r="AA78" s="12">
        <v>125.9</v>
      </c>
    </row>
    <row r="79" spans="1:27" s="31" customFormat="1" x14ac:dyDescent="0.2">
      <c r="A79" s="2"/>
      <c r="B79" s="29" t="s">
        <v>120</v>
      </c>
      <c r="T79" s="31">
        <f t="shared" ref="T79:X79" si="55">SUM(T73:T78)</f>
        <v>1455.5</v>
      </c>
      <c r="U79" s="31">
        <f t="shared" si="55"/>
        <v>2494.7999999999997</v>
      </c>
      <c r="V79" s="31">
        <f>SUM(V73:V78)</f>
        <v>3698.3</v>
      </c>
      <c r="W79" s="31">
        <f t="shared" si="55"/>
        <v>2933.0000000000005</v>
      </c>
      <c r="X79" s="31">
        <f t="shared" si="55"/>
        <v>2865.5</v>
      </c>
      <c r="Y79" s="31">
        <f>SUM(Y73:Y78)</f>
        <v>2685.0999999999995</v>
      </c>
      <c r="Z79" s="31">
        <f t="shared" ref="Z79:AA79" si="56">SUM(Z73:Z78)</f>
        <v>2325.1000000000004</v>
      </c>
      <c r="AA79" s="31">
        <f t="shared" si="56"/>
        <v>3071.6</v>
      </c>
    </row>
    <row r="80" spans="1:27" x14ac:dyDescent="0.2">
      <c r="B80" s="1" t="s">
        <v>121</v>
      </c>
      <c r="T80" s="13">
        <f t="shared" ref="T80:Y80" si="57">T72+T79</f>
        <v>2655.6</v>
      </c>
      <c r="U80" s="13">
        <f t="shared" si="57"/>
        <v>4586.7999999999993</v>
      </c>
      <c r="V80" s="13">
        <f t="shared" si="57"/>
        <v>5283.1</v>
      </c>
      <c r="W80" s="13">
        <f t="shared" si="57"/>
        <v>5188.7000000000007</v>
      </c>
      <c r="X80" s="13">
        <f t="shared" si="57"/>
        <v>4359</v>
      </c>
      <c r="Y80" s="13">
        <f t="shared" si="57"/>
        <v>4152.2999999999993</v>
      </c>
      <c r="Z80" s="13">
        <f t="shared" ref="Z80:AA80" si="58">Z72+Z79</f>
        <v>4458.8000000000011</v>
      </c>
      <c r="AA80" s="13">
        <f t="shared" si="58"/>
        <v>4898.1000000000004</v>
      </c>
    </row>
    <row r="81" spans="2:27" x14ac:dyDescent="0.2">
      <c r="B81" s="29" t="s">
        <v>122</v>
      </c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>
        <v>3287.2000000000003</v>
      </c>
      <c r="U81" s="31">
        <v>2693.1000000000013</v>
      </c>
      <c r="V81" s="31">
        <v>2604.3999999999987</v>
      </c>
      <c r="W81" s="31">
        <v>2536</v>
      </c>
      <c r="X81" s="31">
        <v>2430.4999999999991</v>
      </c>
      <c r="Y81" s="31">
        <v>2450.3000000000006</v>
      </c>
      <c r="Z81" s="12">
        <v>2588.5</v>
      </c>
      <c r="AA81" s="12">
        <v>2841.4</v>
      </c>
    </row>
    <row r="82" spans="2:27" x14ac:dyDescent="0.2">
      <c r="B82" s="1" t="s">
        <v>123</v>
      </c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>
        <f t="shared" ref="T82:Y82" si="59">T81+T80</f>
        <v>5942.8</v>
      </c>
      <c r="U82" s="13">
        <f t="shared" si="59"/>
        <v>7279.9000000000005</v>
      </c>
      <c r="V82" s="13">
        <f t="shared" si="59"/>
        <v>7887.4999999999991</v>
      </c>
      <c r="W82" s="13">
        <f t="shared" si="59"/>
        <v>7724.7000000000007</v>
      </c>
      <c r="X82" s="13">
        <f t="shared" si="59"/>
        <v>6789.4999999999991</v>
      </c>
      <c r="Y82" s="13">
        <f t="shared" si="59"/>
        <v>6602.6</v>
      </c>
      <c r="Z82" s="13">
        <f t="shared" ref="Z82:AA82" si="60">Z81+Z80</f>
        <v>7047.3000000000011</v>
      </c>
      <c r="AA82" s="13">
        <f t="shared" si="60"/>
        <v>7739.5</v>
      </c>
    </row>
    <row r="85" spans="2:27" x14ac:dyDescent="0.2">
      <c r="B85" s="2" t="s">
        <v>85</v>
      </c>
      <c r="T85" s="12">
        <f t="shared" ref="T85:Y85" si="61">T32</f>
        <v>430.89999999999964</v>
      </c>
      <c r="U85" s="12">
        <f t="shared" si="61"/>
        <v>384.30000000000041</v>
      </c>
      <c r="V85" s="12">
        <f t="shared" si="61"/>
        <v>-121.09999999999991</v>
      </c>
      <c r="W85" s="12">
        <f t="shared" si="61"/>
        <v>600.10000000000014</v>
      </c>
      <c r="X85" s="12">
        <f t="shared" si="61"/>
        <v>522.70000000000027</v>
      </c>
      <c r="Y85" s="12">
        <f t="shared" si="61"/>
        <v>646.29999999999916</v>
      </c>
      <c r="Z85" s="12">
        <f t="shared" ref="Z85:AA85" si="62">Z32</f>
        <v>742.89999999999941</v>
      </c>
      <c r="AA85" s="12">
        <f t="shared" si="62"/>
        <v>941.0999999999998</v>
      </c>
    </row>
    <row r="86" spans="2:27" x14ac:dyDescent="0.2">
      <c r="B86" s="2" t="s">
        <v>124</v>
      </c>
      <c r="T86" s="12">
        <v>281.3</v>
      </c>
      <c r="U86" s="12">
        <v>269.5</v>
      </c>
      <c r="V86" s="12">
        <v>247.6</v>
      </c>
      <c r="W86" s="12">
        <v>229.7</v>
      </c>
      <c r="X86" s="12">
        <v>220.5</v>
      </c>
      <c r="Y86" s="12">
        <v>229</v>
      </c>
      <c r="Z86" s="12">
        <v>219.6</v>
      </c>
      <c r="AA86" s="12">
        <v>233</v>
      </c>
    </row>
    <row r="87" spans="2:27" x14ac:dyDescent="0.2">
      <c r="B87" s="2" t="s">
        <v>125</v>
      </c>
      <c r="T87" s="12">
        <v>8.5</v>
      </c>
      <c r="U87" s="12">
        <v>-168.8</v>
      </c>
      <c r="V87" s="12">
        <v>35.6</v>
      </c>
      <c r="W87" s="12">
        <v>-46.1</v>
      </c>
      <c r="X87" s="12">
        <v>3.9</v>
      </c>
      <c r="Y87" s="12">
        <v>-41.1</v>
      </c>
      <c r="Z87" s="12">
        <v>-50</v>
      </c>
      <c r="AA87" s="12">
        <v>8.4</v>
      </c>
    </row>
    <row r="88" spans="2:27" x14ac:dyDescent="0.2">
      <c r="B88" s="2" t="s">
        <v>126</v>
      </c>
      <c r="T88" s="12">
        <v>11.6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</row>
    <row r="89" spans="2:27" x14ac:dyDescent="0.2">
      <c r="B89" s="2" t="s">
        <v>127</v>
      </c>
      <c r="T89" s="12">
        <v>88.6</v>
      </c>
      <c r="U89" s="12">
        <v>100.6</v>
      </c>
      <c r="V89" s="12">
        <v>72.7</v>
      </c>
      <c r="W89" s="12">
        <v>81.7</v>
      </c>
      <c r="X89" s="12">
        <v>75.5</v>
      </c>
      <c r="Y89" s="12">
        <v>99.5</v>
      </c>
      <c r="Z89" s="12">
        <v>107.9</v>
      </c>
      <c r="AA89" s="12">
        <v>111</v>
      </c>
    </row>
    <row r="90" spans="2:27" x14ac:dyDescent="0.2">
      <c r="B90" s="2" t="s">
        <v>76</v>
      </c>
      <c r="T90" s="12">
        <v>25.8</v>
      </c>
      <c r="U90" s="12">
        <v>38.700000000000003</v>
      </c>
      <c r="V90" s="12">
        <v>96</v>
      </c>
      <c r="W90" s="12">
        <v>21.3</v>
      </c>
      <c r="X90" s="12">
        <v>9.6999999999999993</v>
      </c>
      <c r="Y90" s="12">
        <v>0</v>
      </c>
      <c r="Z90" s="12">
        <v>0</v>
      </c>
      <c r="AA90" s="12">
        <v>0</v>
      </c>
    </row>
    <row r="91" spans="2:27" x14ac:dyDescent="0.2">
      <c r="B91" s="2" t="s">
        <v>128</v>
      </c>
      <c r="T91" s="12">
        <v>0.4</v>
      </c>
      <c r="U91" s="12">
        <v>58.7</v>
      </c>
      <c r="V91" s="12">
        <v>-27.6</v>
      </c>
      <c r="W91" s="12">
        <v>-2.2000000000000002</v>
      </c>
      <c r="X91" s="12">
        <v>2.2999999999999998</v>
      </c>
      <c r="Y91" s="12">
        <v>7.3</v>
      </c>
      <c r="Z91" s="12">
        <v>9.1999999999999993</v>
      </c>
      <c r="AA91" s="12">
        <v>13.6</v>
      </c>
    </row>
    <row r="92" spans="2:27" x14ac:dyDescent="0.2">
      <c r="B92" s="2" t="s">
        <v>129</v>
      </c>
      <c r="T92" s="12">
        <v>6.5</v>
      </c>
      <c r="U92" s="12">
        <v>-2.2999999999999998</v>
      </c>
      <c r="V92" s="12">
        <v>1.8</v>
      </c>
      <c r="W92" s="12">
        <v>1</v>
      </c>
      <c r="X92" s="12">
        <v>1</v>
      </c>
      <c r="Y92" s="12">
        <v>13.7</v>
      </c>
      <c r="Z92" s="12">
        <v>3.6</v>
      </c>
      <c r="AA92" s="12">
        <v>5.4</v>
      </c>
    </row>
    <row r="93" spans="2:27" x14ac:dyDescent="0.2">
      <c r="B93" s="9" t="s">
        <v>130</v>
      </c>
    </row>
    <row r="94" spans="2:27" x14ac:dyDescent="0.2">
      <c r="B94" s="2" t="s">
        <v>131</v>
      </c>
      <c r="T94" s="12">
        <v>10.1</v>
      </c>
      <c r="U94" s="12">
        <v>57.6</v>
      </c>
      <c r="V94" s="12">
        <v>-143</v>
      </c>
      <c r="W94" s="12">
        <v>32.4</v>
      </c>
      <c r="X94" s="12">
        <v>-52.6</v>
      </c>
      <c r="Y94" s="12">
        <v>-15.3</v>
      </c>
      <c r="Z94" s="12">
        <v>-27.6</v>
      </c>
      <c r="AA94" s="12">
        <v>-35.6</v>
      </c>
    </row>
    <row r="95" spans="2:27" x14ac:dyDescent="0.2">
      <c r="B95" s="2" t="s">
        <v>132</v>
      </c>
      <c r="T95" s="12">
        <v>-83.6</v>
      </c>
      <c r="U95" s="12">
        <v>72.3</v>
      </c>
      <c r="V95" s="12">
        <v>3.7</v>
      </c>
      <c r="W95" s="12">
        <v>-269.3</v>
      </c>
      <c r="X95" s="12">
        <v>-106.2</v>
      </c>
      <c r="Y95" s="12">
        <v>149.1</v>
      </c>
      <c r="Z95" s="12">
        <v>-52.6</v>
      </c>
      <c r="AA95" s="12">
        <v>-44.2</v>
      </c>
    </row>
    <row r="96" spans="2:27" x14ac:dyDescent="0.2">
      <c r="B96" s="2" t="s">
        <v>133</v>
      </c>
      <c r="T96" s="12">
        <v>-40.5</v>
      </c>
      <c r="U96" s="12">
        <v>58.2</v>
      </c>
      <c r="V96" s="12">
        <v>5.2</v>
      </c>
      <c r="W96" s="12">
        <v>-28.3</v>
      </c>
      <c r="X96" s="12">
        <v>-19.899999999999999</v>
      </c>
      <c r="Y96" s="12">
        <v>16.100000000000001</v>
      </c>
      <c r="Z96" s="12">
        <v>-47.4</v>
      </c>
      <c r="AA96" s="12">
        <v>-20</v>
      </c>
    </row>
    <row r="97" spans="2:27" x14ac:dyDescent="0.2">
      <c r="B97" s="2" t="s">
        <v>134</v>
      </c>
      <c r="T97" s="12">
        <v>-4.7</v>
      </c>
      <c r="U97" s="12">
        <v>-64.3</v>
      </c>
      <c r="V97" s="12">
        <v>296.8</v>
      </c>
      <c r="W97" s="12">
        <v>194.6</v>
      </c>
      <c r="X97" s="12">
        <v>-225</v>
      </c>
      <c r="Y97" s="12">
        <v>15.6</v>
      </c>
      <c r="Z97" s="12">
        <v>226.2</v>
      </c>
      <c r="AA97" s="12">
        <v>142.19999999999999</v>
      </c>
    </row>
    <row r="98" spans="2:27" x14ac:dyDescent="0.2">
      <c r="B98" s="2" t="s">
        <v>135</v>
      </c>
      <c r="T98" s="12">
        <v>29.7</v>
      </c>
      <c r="U98" s="12">
        <v>-42.5</v>
      </c>
      <c r="V98" s="12">
        <v>-37.799999999999997</v>
      </c>
      <c r="W98" s="12">
        <v>-62.3</v>
      </c>
      <c r="X98" s="12">
        <v>5.7</v>
      </c>
      <c r="Y98" s="12">
        <v>-18.5</v>
      </c>
      <c r="Z98" s="12">
        <v>27.9</v>
      </c>
      <c r="AA98" s="12">
        <v>-94.1</v>
      </c>
    </row>
    <row r="99" spans="2:27" x14ac:dyDescent="0.2">
      <c r="B99" s="2" t="s">
        <v>136</v>
      </c>
      <c r="T99" s="12">
        <v>-16.5</v>
      </c>
      <c r="U99" s="12">
        <v>0</v>
      </c>
      <c r="V99" s="12">
        <v>-3.2</v>
      </c>
      <c r="W99" s="12">
        <v>-61.6</v>
      </c>
      <c r="X99" s="12">
        <v>-17.5</v>
      </c>
      <c r="Y99" s="12">
        <v>-36.299999999999997</v>
      </c>
      <c r="Z99" s="12">
        <v>11.7</v>
      </c>
      <c r="AA99" s="12">
        <v>-22.3</v>
      </c>
    </row>
    <row r="100" spans="2:27" x14ac:dyDescent="0.2">
      <c r="B100" s="2" t="s">
        <v>137</v>
      </c>
      <c r="T100" s="12">
        <v>35.700000000000003</v>
      </c>
      <c r="U100" s="12">
        <v>-7.4</v>
      </c>
      <c r="V100" s="12">
        <v>-45.8</v>
      </c>
      <c r="W100" s="12">
        <v>24.9</v>
      </c>
      <c r="X100" s="12">
        <v>-9.1</v>
      </c>
      <c r="Y100" s="12">
        <v>4.3</v>
      </c>
      <c r="Z100" s="12">
        <v>63.7</v>
      </c>
      <c r="AA100" s="12">
        <v>-84.3</v>
      </c>
    </row>
    <row r="101" spans="2:27" x14ac:dyDescent="0.2">
      <c r="B101" s="1" t="s">
        <v>138</v>
      </c>
      <c r="T101" s="13">
        <f t="shared" ref="T101:X101" si="63">T85+SUM(T86:T92)+SUM(T94:T100)</f>
        <v>783.79999999999973</v>
      </c>
      <c r="U101" s="13">
        <f>U85+SUM(U86:U92)+SUM(U94:U100)</f>
        <v>754.60000000000036</v>
      </c>
      <c r="V101" s="13">
        <f t="shared" si="63"/>
        <v>380.90000000000003</v>
      </c>
      <c r="W101" s="13">
        <f t="shared" si="63"/>
        <v>715.90000000000032</v>
      </c>
      <c r="X101" s="13">
        <f t="shared" si="63"/>
        <v>411.00000000000017</v>
      </c>
      <c r="Y101" s="13">
        <f>Y85+SUM(Y86:Y92)+SUM(Y94:Y100)</f>
        <v>1069.6999999999991</v>
      </c>
      <c r="Z101" s="13">
        <f t="shared" ref="Z101:AA101" si="64">Z85+SUM(Z86:Z92)+SUM(Z94:Z100)</f>
        <v>1235.0999999999995</v>
      </c>
      <c r="AA101" s="13">
        <f t="shared" si="64"/>
        <v>1154.1999999999998</v>
      </c>
    </row>
    <row r="102" spans="2:27" x14ac:dyDescent="0.2">
      <c r="B102" s="2" t="s">
        <v>139</v>
      </c>
      <c r="T102" s="12">
        <v>-197.7</v>
      </c>
      <c r="U102" s="12">
        <v>-270.3</v>
      </c>
      <c r="V102" s="12">
        <v>-107.8</v>
      </c>
      <c r="W102" s="12">
        <v>-166.9</v>
      </c>
      <c r="X102" s="12">
        <v>-217.5</v>
      </c>
      <c r="Y102" s="12">
        <v>-164.8</v>
      </c>
      <c r="Z102" s="12">
        <v>-216.2</v>
      </c>
      <c r="AA102" s="12">
        <v>-408.1</v>
      </c>
    </row>
    <row r="103" spans="2:27" x14ac:dyDescent="0.2">
      <c r="B103" s="2" t="s">
        <v>140</v>
      </c>
      <c r="T103" s="12">
        <v>-3030.8</v>
      </c>
      <c r="U103" s="12">
        <v>-1289.7</v>
      </c>
      <c r="V103" s="12">
        <v>-704.6</v>
      </c>
      <c r="W103" s="12">
        <v>-1510.6</v>
      </c>
      <c r="X103" s="12">
        <v>-598.6</v>
      </c>
      <c r="Y103" s="12">
        <v>-392.8</v>
      </c>
      <c r="Z103" s="12">
        <v>-781.8</v>
      </c>
      <c r="AA103" s="12">
        <v>-634</v>
      </c>
    </row>
    <row r="104" spans="2:27" x14ac:dyDescent="0.2">
      <c r="B104" s="2" t="s">
        <v>141</v>
      </c>
      <c r="T104" s="12">
        <v>2357.5</v>
      </c>
      <c r="U104" s="12">
        <v>2240.4</v>
      </c>
      <c r="V104" s="12">
        <v>1007.2</v>
      </c>
      <c r="W104" s="12">
        <v>964.6</v>
      </c>
      <c r="X104" s="12">
        <v>1293.4000000000001</v>
      </c>
      <c r="Y104" s="12">
        <v>304.3</v>
      </c>
      <c r="Z104" s="12">
        <v>734.3</v>
      </c>
      <c r="AA104" s="12">
        <v>723.6</v>
      </c>
    </row>
    <row r="105" spans="2:27" x14ac:dyDescent="0.2">
      <c r="B105" s="2" t="s">
        <v>142</v>
      </c>
      <c r="T105" s="12">
        <v>20</v>
      </c>
      <c r="U105" s="12">
        <v>20.8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</row>
    <row r="106" spans="2:27" x14ac:dyDescent="0.2">
      <c r="B106" s="2" t="s">
        <v>143</v>
      </c>
      <c r="T106" s="12">
        <f>-23.8-4.5</f>
        <v>-28.3</v>
      </c>
      <c r="U106" s="12">
        <v>0.9</v>
      </c>
      <c r="V106" s="12">
        <v>0.2</v>
      </c>
      <c r="W106" s="12">
        <v>-5</v>
      </c>
      <c r="X106" s="12">
        <v>-5.8</v>
      </c>
      <c r="Y106" s="12">
        <v>-3.5</v>
      </c>
      <c r="Z106" s="12">
        <v>-0.4</v>
      </c>
      <c r="AA106" s="12">
        <f>-41.2+3.1</f>
        <v>-38.1</v>
      </c>
    </row>
    <row r="107" spans="2:27" x14ac:dyDescent="0.2">
      <c r="B107" s="1" t="s">
        <v>144</v>
      </c>
      <c r="T107" s="13">
        <f t="shared" ref="T107:X107" si="65">SUM(T102:T106)</f>
        <v>-879.3</v>
      </c>
      <c r="U107" s="13">
        <f t="shared" si="65"/>
        <v>702.1</v>
      </c>
      <c r="V107" s="13">
        <f t="shared" si="65"/>
        <v>195.00000000000006</v>
      </c>
      <c r="W107" s="13">
        <f t="shared" si="65"/>
        <v>-717.9</v>
      </c>
      <c r="X107" s="13">
        <f t="shared" si="65"/>
        <v>471.50000000000006</v>
      </c>
      <c r="Y107" s="13">
        <f>SUM(Y102:Y106)</f>
        <v>-256.8</v>
      </c>
      <c r="Z107" s="13">
        <f t="shared" ref="Z107:AA107" si="66">SUM(Z102:Z106)</f>
        <v>-264.10000000000002</v>
      </c>
      <c r="AA107" s="13">
        <f t="shared" si="66"/>
        <v>-356.59999999999991</v>
      </c>
    </row>
    <row r="108" spans="2:27" x14ac:dyDescent="0.2">
      <c r="B108" s="2" t="s">
        <v>145</v>
      </c>
      <c r="T108" s="12">
        <v>0</v>
      </c>
      <c r="U108" s="12">
        <v>475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</row>
    <row r="109" spans="2:27" x14ac:dyDescent="0.2">
      <c r="B109" s="2" t="s">
        <v>146</v>
      </c>
      <c r="T109" s="12">
        <v>-9.9</v>
      </c>
      <c r="U109" s="12">
        <v>0</v>
      </c>
      <c r="V109" s="12">
        <v>-475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</row>
    <row r="110" spans="2:27" x14ac:dyDescent="0.2">
      <c r="B110" s="2" t="s">
        <v>147</v>
      </c>
      <c r="T110" s="12">
        <v>398.1</v>
      </c>
      <c r="U110" s="12">
        <v>0</v>
      </c>
      <c r="V110" s="12">
        <v>1241.9000000000001</v>
      </c>
      <c r="W110" s="12">
        <v>0</v>
      </c>
      <c r="X110" s="12">
        <v>0</v>
      </c>
      <c r="Y110" s="12">
        <v>0</v>
      </c>
      <c r="Z110" s="12">
        <v>0</v>
      </c>
      <c r="AA110" s="12">
        <v>498.2</v>
      </c>
    </row>
    <row r="111" spans="2:27" x14ac:dyDescent="0.2">
      <c r="B111" s="2" t="s">
        <v>148</v>
      </c>
      <c r="T111" s="12">
        <v>-300</v>
      </c>
      <c r="U111" s="12">
        <v>0</v>
      </c>
      <c r="V111" s="12">
        <v>-300</v>
      </c>
      <c r="W111" s="12">
        <v>0</v>
      </c>
      <c r="X111" s="12">
        <v>-500</v>
      </c>
      <c r="Y111" s="12">
        <v>0</v>
      </c>
      <c r="Z111" s="12">
        <v>0</v>
      </c>
      <c r="AA111" s="12">
        <v>-400</v>
      </c>
    </row>
    <row r="112" spans="2:27" x14ac:dyDescent="0.2">
      <c r="B112" s="2" t="s">
        <v>149</v>
      </c>
      <c r="T112" s="12">
        <v>-19.600000000000001</v>
      </c>
      <c r="U112" s="12">
        <v>-13.6</v>
      </c>
      <c r="V112" s="12">
        <v>-13.9</v>
      </c>
      <c r="W112" s="12">
        <v>-23.1</v>
      </c>
      <c r="X112" s="12">
        <v>-21.9</v>
      </c>
      <c r="Y112" s="12">
        <v>-21.3</v>
      </c>
      <c r="Z112" s="12">
        <v>-22</v>
      </c>
      <c r="AA112" s="12">
        <v>-23.2</v>
      </c>
    </row>
    <row r="113" spans="2:27" x14ac:dyDescent="0.2">
      <c r="B113" s="2" t="s">
        <v>150</v>
      </c>
      <c r="T113" s="12">
        <v>-190.7</v>
      </c>
      <c r="U113" s="12">
        <v>-203.9</v>
      </c>
      <c r="V113" s="12">
        <v>-49.8</v>
      </c>
      <c r="W113" s="12">
        <v>-150</v>
      </c>
      <c r="X113" s="12">
        <v>-198.3</v>
      </c>
      <c r="Y113" s="12">
        <v>-194.6</v>
      </c>
      <c r="Z113" s="12">
        <v>-201.1</v>
      </c>
      <c r="AA113" s="12">
        <v>-216.5</v>
      </c>
    </row>
    <row r="114" spans="2:27" x14ac:dyDescent="0.2">
      <c r="B114" s="2" t="s">
        <v>151</v>
      </c>
      <c r="T114" s="12">
        <v>-502.6</v>
      </c>
      <c r="U114" s="12">
        <v>-694.8</v>
      </c>
      <c r="V114" s="12">
        <v>-37.700000000000003</v>
      </c>
      <c r="W114" s="12">
        <v>-492.6</v>
      </c>
      <c r="X114" s="12">
        <v>-488.6</v>
      </c>
      <c r="Y114" s="12">
        <v>-449.7</v>
      </c>
      <c r="Z114" s="12">
        <v>-480.9</v>
      </c>
      <c r="AA114" s="12">
        <v>-623.79999999999995</v>
      </c>
    </row>
    <row r="115" spans="2:27" x14ac:dyDescent="0.2">
      <c r="B115" s="2" t="s">
        <v>152</v>
      </c>
      <c r="T115" s="12">
        <f>21.8-2.8</f>
        <v>19</v>
      </c>
      <c r="U115" s="12">
        <v>-0.9</v>
      </c>
      <c r="V115" s="12">
        <v>-8.6999999999999993</v>
      </c>
      <c r="W115" s="12">
        <v>0</v>
      </c>
      <c r="X115" s="12">
        <v>0</v>
      </c>
      <c r="Y115" s="12">
        <v>0</v>
      </c>
      <c r="Z115" s="12">
        <v>0</v>
      </c>
      <c r="AA115" s="12">
        <v>-4.4000000000000004</v>
      </c>
    </row>
    <row r="116" spans="2:27" x14ac:dyDescent="0.2">
      <c r="B116" s="1" t="s">
        <v>153</v>
      </c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>
        <f t="shared" ref="T116:V116" si="67">SUM(T108:T115)</f>
        <v>-605.69999999999993</v>
      </c>
      <c r="U116" s="13">
        <f t="shared" si="67"/>
        <v>-438.19999999999993</v>
      </c>
      <c r="V116" s="13">
        <f t="shared" si="67"/>
        <v>356.80000000000013</v>
      </c>
      <c r="W116" s="13">
        <f>SUM(W108:W115)</f>
        <v>-665.7</v>
      </c>
      <c r="X116" s="13">
        <f t="shared" ref="X116:AA116" si="68">SUM(X108:X115)</f>
        <v>-1208.8000000000002</v>
      </c>
      <c r="Y116" s="13">
        <f t="shared" si="68"/>
        <v>-665.6</v>
      </c>
      <c r="Z116" s="13">
        <f t="shared" si="68"/>
        <v>-704</v>
      </c>
      <c r="AA116" s="13">
        <f t="shared" si="68"/>
        <v>-769.69999999999993</v>
      </c>
    </row>
    <row r="117" spans="2:27" x14ac:dyDescent="0.2">
      <c r="B117" s="2" t="s">
        <v>154</v>
      </c>
      <c r="T117" s="12">
        <v>-27.8</v>
      </c>
      <c r="U117" s="12">
        <v>-15.2</v>
      </c>
      <c r="V117" s="12">
        <v>25.5</v>
      </c>
      <c r="W117" s="12">
        <v>-48.3</v>
      </c>
      <c r="X117" s="12">
        <v>-8.8000000000000007</v>
      </c>
      <c r="Y117" s="12">
        <v>-13.6</v>
      </c>
      <c r="Z117" s="12">
        <v>-8.23</v>
      </c>
      <c r="AA117" s="12">
        <v>37.4</v>
      </c>
    </row>
    <row r="118" spans="2:27" x14ac:dyDescent="0.2">
      <c r="B118" s="1" t="s">
        <v>155</v>
      </c>
      <c r="T118" s="13">
        <f t="shared" ref="T118:X118" si="69">T101+T107+T116+T117</f>
        <v>-729.00000000000011</v>
      </c>
      <c r="U118" s="13">
        <f t="shared" si="69"/>
        <v>1003.3000000000003</v>
      </c>
      <c r="V118" s="13">
        <f t="shared" si="69"/>
        <v>958.20000000000027</v>
      </c>
      <c r="W118" s="13">
        <f t="shared" si="69"/>
        <v>-715.99999999999966</v>
      </c>
      <c r="X118" s="13">
        <f t="shared" si="69"/>
        <v>-335.09999999999997</v>
      </c>
      <c r="Y118" s="13">
        <f>Y101+Y107+Y116+Y117</f>
        <v>133.69999999999916</v>
      </c>
      <c r="Z118" s="13">
        <f t="shared" ref="Z118:AA118" si="70">Z101+Z107+Z116+Z117</f>
        <v>258.76999999999941</v>
      </c>
      <c r="AA118" s="13">
        <f t="shared" si="70"/>
        <v>65.299999999999983</v>
      </c>
    </row>
    <row r="119" spans="2:27" x14ac:dyDescent="0.2">
      <c r="B119" s="2" t="s">
        <v>156</v>
      </c>
      <c r="T119" s="12">
        <f>T120-T118</f>
        <v>1355.4999999999991</v>
      </c>
      <c r="U119" s="12">
        <f>U120-U118</f>
        <v>626.49999999999898</v>
      </c>
      <c r="V119" s="12">
        <f>V120-V118</f>
        <v>1629.7999999999993</v>
      </c>
      <c r="W119" s="12">
        <f>W120-W118</f>
        <v>2587.9999999999995</v>
      </c>
      <c r="X119" s="12">
        <f>X120-X118</f>
        <v>1872</v>
      </c>
      <c r="Y119" s="12">
        <v>1536.9</v>
      </c>
      <c r="Z119" s="12">
        <f>+Y120</f>
        <v>1670.5999999999992</v>
      </c>
      <c r="AA119" s="12">
        <f>+Z120</f>
        <v>1929.3699999999985</v>
      </c>
    </row>
    <row r="120" spans="2:27" x14ac:dyDescent="0.2">
      <c r="B120" s="2" t="s">
        <v>157</v>
      </c>
      <c r="T120" s="12">
        <f>U119</f>
        <v>626.49999999999898</v>
      </c>
      <c r="U120" s="12">
        <f>V119</f>
        <v>1629.7999999999993</v>
      </c>
      <c r="V120" s="12">
        <f>W119</f>
        <v>2587.9999999999995</v>
      </c>
      <c r="W120" s="12">
        <f>X119</f>
        <v>1872</v>
      </c>
      <c r="X120" s="12">
        <f>Y119</f>
        <v>1536.9</v>
      </c>
      <c r="Y120" s="12">
        <f>Y119+Y118</f>
        <v>1670.5999999999992</v>
      </c>
      <c r="Z120" s="12">
        <f>+Z118+Z119</f>
        <v>1929.3699999999985</v>
      </c>
      <c r="AA120" s="12">
        <f>+AA119+AA118</f>
        <v>1994.6699999999985</v>
      </c>
    </row>
  </sheetData>
  <hyperlinks>
    <hyperlink ref="A1" location="Main!A1" display="Main" xr:uid="{5A46FF83-2395-41B8-B04B-7AA595AC812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BCB99-A63D-488B-8623-A5EEB19E3317}">
  <dimension ref="A1:R63"/>
  <sheetViews>
    <sheetView zoomScale="200" zoomScaleNormal="200" workbookViewId="0">
      <pane xSplit="2" ySplit="2" topLeftCell="G45" activePane="bottomRight" state="frozen"/>
      <selection pane="topRight" activeCell="C1" sqref="C1"/>
      <selection pane="bottomLeft" activeCell="A3" sqref="A3"/>
      <selection pane="bottomRight" activeCell="I59" sqref="I59"/>
    </sheetView>
  </sheetViews>
  <sheetFormatPr defaultRowHeight="12.75" x14ac:dyDescent="0.2"/>
  <cols>
    <col min="1" max="1" width="4.5703125" style="2" customWidth="1"/>
    <col min="2" max="2" width="35" style="2" customWidth="1"/>
    <col min="3" max="3" width="9.140625" style="2"/>
    <col min="4" max="5" width="8.85546875" style="2" bestFit="1" customWidth="1"/>
    <col min="6" max="6" width="9" style="2" bestFit="1" customWidth="1"/>
    <col min="7" max="9" width="8.85546875" style="2" bestFit="1" customWidth="1"/>
    <col min="10" max="11" width="8.85546875" style="2" customWidth="1"/>
    <col min="12" max="16384" width="9.140625" style="2"/>
  </cols>
  <sheetData>
    <row r="1" spans="1:16" x14ac:dyDescent="0.2">
      <c r="A1" s="5" t="s">
        <v>61</v>
      </c>
    </row>
    <row r="2" spans="1:16" x14ac:dyDescent="0.2">
      <c r="B2" s="7" t="s">
        <v>9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  <c r="I2" s="4" t="s">
        <v>67</v>
      </c>
      <c r="J2" s="28" t="s">
        <v>71</v>
      </c>
      <c r="K2" s="28" t="s">
        <v>299</v>
      </c>
      <c r="L2" s="4"/>
      <c r="M2" s="4" t="s">
        <v>158</v>
      </c>
      <c r="N2" s="4" t="s">
        <v>159</v>
      </c>
      <c r="O2" s="4"/>
      <c r="P2" s="4" t="s">
        <v>160</v>
      </c>
    </row>
    <row r="3" spans="1:16" x14ac:dyDescent="0.2">
      <c r="B3" s="7" t="s">
        <v>161</v>
      </c>
    </row>
    <row r="4" spans="1:16" x14ac:dyDescent="0.2">
      <c r="B4" s="2" t="s">
        <v>162</v>
      </c>
      <c r="D4" s="17">
        <f>Model!T32/Model!T81</f>
        <v>0.13108420540277427</v>
      </c>
      <c r="E4" s="17">
        <f>Model!U32/Model!U81</f>
        <v>0.14269800601537269</v>
      </c>
      <c r="F4" s="17">
        <f>Model!V32/Model!V81</f>
        <v>-4.649823375825525E-2</v>
      </c>
      <c r="G4" s="17">
        <f>Model!W32/Model!W81</f>
        <v>0.23663249211356471</v>
      </c>
      <c r="H4" s="17">
        <f>Model!X32/Model!X81</f>
        <v>0.21505862991154104</v>
      </c>
      <c r="I4" s="17">
        <f>Model!Y32/Model!Y81</f>
        <v>0.26376362078112842</v>
      </c>
      <c r="J4" s="17">
        <f>Model!Z32/Model!Z81</f>
        <v>0.28700019316206277</v>
      </c>
      <c r="K4" s="17">
        <f>Model!AA32/Model!AA81</f>
        <v>0.33120996691771654</v>
      </c>
      <c r="L4" s="17"/>
      <c r="M4" s="22">
        <f t="shared" ref="M4:M17" si="0">AVERAGE(G4:I4,D4)</f>
        <v>0.21163473705225211</v>
      </c>
      <c r="N4" s="22">
        <f>MEDIAN(G4:I4,D4:E4)</f>
        <v>0.21505862991154104</v>
      </c>
      <c r="P4" s="2" t="s">
        <v>163</v>
      </c>
    </row>
    <row r="5" spans="1:16" x14ac:dyDescent="0.2">
      <c r="B5" s="2" t="s">
        <v>164</v>
      </c>
      <c r="D5" s="17">
        <f>Model!T32/Model!T19</f>
        <v>6.8255979724378205E-2</v>
      </c>
      <c r="E5" s="17">
        <f>Model!U32/Model!U19</f>
        <v>6.2388389233416733E-2</v>
      </c>
      <c r="F5" s="17">
        <f>Model!V32/Model!V19</f>
        <v>-2.7517724050172675E-2</v>
      </c>
      <c r="G5" s="17">
        <f>Model!W32/Model!W19</f>
        <v>9.6502371954651459E-2</v>
      </c>
      <c r="H5" s="17">
        <f>Model!X32/Model!X19</f>
        <v>8.1119250108634966E-2</v>
      </c>
      <c r="I5" s="17">
        <f>Model!Y32/Model!Y19</f>
        <v>9.7460566396235973E-2</v>
      </c>
      <c r="J5" s="17">
        <f>Model!Z32/Model!Z19</f>
        <v>0.10494420115835562</v>
      </c>
      <c r="K5" s="17">
        <f>Model!AA32/Model!AA19</f>
        <v>0.11597757101484993</v>
      </c>
      <c r="L5" s="17"/>
      <c r="M5" s="22">
        <f t="shared" si="0"/>
        <v>8.583454204597514E-2</v>
      </c>
      <c r="N5" s="22">
        <f t="shared" ref="N5:N17" si="1">MEDIAN(G5:I5,D5:E5)</f>
        <v>8.1119250108634966E-2</v>
      </c>
      <c r="P5" s="2" t="s">
        <v>165</v>
      </c>
    </row>
    <row r="6" spans="1:16" x14ac:dyDescent="0.2">
      <c r="B6" s="2" t="s">
        <v>166</v>
      </c>
      <c r="D6" s="17">
        <f>Model!T26/Model!T19</f>
        <v>8.8990971012197009E-2</v>
      </c>
      <c r="E6" s="17">
        <f>Model!U26/Model!U19</f>
        <v>5.1462709828241249E-2</v>
      </c>
      <c r="F6" s="17">
        <f>Model!V26/Model!V19</f>
        <v>-9.9072895837120315E-3</v>
      </c>
      <c r="G6" s="17">
        <f>Model!W26/Model!W19</f>
        <v>0.12839109109913968</v>
      </c>
      <c r="H6" s="17">
        <f>Model!X26/Model!X19</f>
        <v>0.10928673412378177</v>
      </c>
      <c r="I6" s="17">
        <f>Model!Y26/Model!Y19</f>
        <v>0.11406339536146201</v>
      </c>
      <c r="J6" s="17">
        <f>Model!Z26/Model!Z19</f>
        <v>0.13167113999152416</v>
      </c>
      <c r="K6" s="17">
        <f>Model!AA26/Model!AA19</f>
        <v>0.14532010598311662</v>
      </c>
      <c r="L6" s="17"/>
      <c r="M6" s="22">
        <f t="shared" si="0"/>
        <v>0.11018304789914513</v>
      </c>
      <c r="N6" s="22">
        <f t="shared" si="1"/>
        <v>0.10928673412378177</v>
      </c>
      <c r="P6" s="2" t="s">
        <v>167</v>
      </c>
    </row>
    <row r="7" spans="1:16" x14ac:dyDescent="0.2">
      <c r="B7" s="2" t="s">
        <v>168</v>
      </c>
      <c r="D7" s="17">
        <f>(Model!T26+Model!T86)/Model!T19</f>
        <v>0.13354981783621095</v>
      </c>
      <c r="E7" s="17">
        <f>(Model!U26+Model!U86)/Model!U19</f>
        <v>9.5214130328906854E-2</v>
      </c>
      <c r="F7" s="17">
        <f>(Model!V26+Model!V86)/Model!V19</f>
        <v>4.6355208143973842E-2</v>
      </c>
      <c r="G7" s="17">
        <f>(Model!W26+Model!W86)/Model!W19</f>
        <v>0.16532925946771732</v>
      </c>
      <c r="H7" s="17">
        <f>(Model!X26+Model!X86)/Model!X19</f>
        <v>0.14350673536532377</v>
      </c>
      <c r="I7" s="17">
        <f>(Model!Y26+Model!Y86)/Model!Y19</f>
        <v>0.1485960732273727</v>
      </c>
      <c r="J7" s="17">
        <f>(Model!Z26+Model!Z86)/Model!Z19</f>
        <v>0.16269247068795017</v>
      </c>
      <c r="K7" s="17">
        <f>(Model!AA26+Model!AA86)/Model!AA19</f>
        <v>0.17403413642245361</v>
      </c>
      <c r="M7" s="22">
        <f t="shared" si="0"/>
        <v>0.14774547147415618</v>
      </c>
      <c r="N7" s="22">
        <f t="shared" si="1"/>
        <v>0.14350673536532377</v>
      </c>
      <c r="P7" s="2" t="s">
        <v>169</v>
      </c>
    </row>
    <row r="8" spans="1:16" x14ac:dyDescent="0.2">
      <c r="B8" s="2" t="s">
        <v>170</v>
      </c>
      <c r="D8" s="3">
        <f>Model!T19/Model!T66</f>
        <v>1.0622938682102714</v>
      </c>
      <c r="E8" s="3">
        <f>Model!U19/Model!U66</f>
        <v>0.84613799640104947</v>
      </c>
      <c r="F8" s="3">
        <f>Model!V19/Model!V66</f>
        <v>0.55794611727416799</v>
      </c>
      <c r="G8" s="3">
        <f>Model!W19/Model!W66</f>
        <v>0.80501508149183776</v>
      </c>
      <c r="H8" s="3">
        <f>Model!X19/Model!X66</f>
        <v>0.94905368583842709</v>
      </c>
      <c r="I8" s="3">
        <f>Model!Y19/Model!Y66</f>
        <v>1.0043619180322902</v>
      </c>
      <c r="J8" s="3">
        <f>Model!Z19/Model!Z66</f>
        <v>1.0044981766066436</v>
      </c>
      <c r="K8" s="3">
        <f>Model!AA19/Model!AA66</f>
        <v>1.0484527424252212</v>
      </c>
      <c r="M8" s="23">
        <f t="shared" si="0"/>
        <v>0.95518113839320651</v>
      </c>
      <c r="N8" s="23">
        <f>AVERAGE(H8:L8,E8)</f>
        <v>0.9705009038607264</v>
      </c>
      <c r="P8" s="2" t="s">
        <v>171</v>
      </c>
    </row>
    <row r="9" spans="1:16" x14ac:dyDescent="0.2">
      <c r="B9" s="2" t="s">
        <v>172</v>
      </c>
      <c r="D9" s="17">
        <f>(Model!T32+Model!T27)/Model!T66</f>
        <v>7.5991115299185522E-2</v>
      </c>
      <c r="E9" s="17">
        <f>(Model!U32+Model!U27)/Model!U66</f>
        <v>5.5206802291240323E-2</v>
      </c>
      <c r="F9" s="17">
        <f>(Model!V32+Model!V27)/Model!V66</f>
        <v>-9.2044374009508604E-3</v>
      </c>
      <c r="G9" s="17">
        <f>(Model!W32+Model!W27)/Model!W66</f>
        <v>8.4676427563529985E-2</v>
      </c>
      <c r="H9" s="17">
        <f>(Model!X32+Model!X27)/Model!X66</f>
        <v>8.2936887841520035E-2</v>
      </c>
      <c r="I9" s="17">
        <f>(Model!Y32+Model!Y27)/Model!Y66</f>
        <v>0.10427710295944011</v>
      </c>
      <c r="J9" s="17">
        <f>(Model!Z32+Model!Z27)/Model!Z66</f>
        <v>0.11167397442992344</v>
      </c>
      <c r="K9" s="17">
        <f>(Model!AA32+Model!AA27)/Model!AA66</f>
        <v>0.12860003876219392</v>
      </c>
      <c r="M9" s="22">
        <f t="shared" si="0"/>
        <v>8.6970383415918909E-2</v>
      </c>
      <c r="N9" s="22">
        <f t="shared" si="1"/>
        <v>8.2936887841520035E-2</v>
      </c>
      <c r="P9" s="2" t="s">
        <v>173</v>
      </c>
    </row>
    <row r="10" spans="1:16" x14ac:dyDescent="0.2">
      <c r="B10" s="2" t="s">
        <v>174</v>
      </c>
      <c r="D10" s="17">
        <f>Model!T26/Model!T66</f>
        <v>9.4534562832334898E-2</v>
      </c>
      <c r="E10" s="17">
        <f>Model!U26/Model!U66</f>
        <v>4.3544554183436647E-2</v>
      </c>
      <c r="F10" s="17">
        <f>Model!V26/Model!V66</f>
        <v>-5.5277337559429358E-3</v>
      </c>
      <c r="G10" s="17">
        <f>Model!W26/Model!W66</f>
        <v>0.1033567646639999</v>
      </c>
      <c r="H10" s="17">
        <f>Model!X26/Model!X66</f>
        <v>0.1037189778334193</v>
      </c>
      <c r="I10" s="17">
        <f>Model!Y26/Model!Y66</f>
        <v>0.11456093054251344</v>
      </c>
      <c r="J10" s="17">
        <f>Model!Z26/Model!Z66</f>
        <v>0.13226342003320413</v>
      </c>
      <c r="K10" s="17">
        <f>Model!AA26/Model!AA66</f>
        <v>0.15236126364752242</v>
      </c>
      <c r="M10" s="22">
        <f t="shared" si="0"/>
        <v>0.10404280896806689</v>
      </c>
      <c r="N10" s="22">
        <f t="shared" si="1"/>
        <v>0.1033567646639999</v>
      </c>
      <c r="P10" s="2" t="s">
        <v>175</v>
      </c>
    </row>
    <row r="11" spans="1:16" x14ac:dyDescent="0.2">
      <c r="B11" s="2" t="s">
        <v>176</v>
      </c>
      <c r="D11" s="17">
        <f>Model!T26/(Model!T65+SUM(Model!T53:T57)-Model!T68)</f>
        <v>0.10895198200294773</v>
      </c>
      <c r="E11" s="17">
        <f>Model!U26/(Model!U65+SUM(Model!U53:U57)-Model!U68)</f>
        <v>5.8565965229922308E-2</v>
      </c>
      <c r="F11" s="17">
        <f>Model!V26/(Model!V65+SUM(Model!V53:V57)-Model!V68)</f>
        <v>-8.8034567701813001E-3</v>
      </c>
      <c r="G11" s="17">
        <f>Model!W26/(Model!W65+SUM(Model!W53:W57)-Model!W68)</f>
        <v>0.1475185691585677</v>
      </c>
      <c r="H11" s="17">
        <f>Model!X26/(Model!X65+SUM(Model!X53:X57)-Model!X68)</f>
        <v>0.1440494211021561</v>
      </c>
      <c r="I11" s="17">
        <f>Model!Y26/(Model!Y65+SUM(Model!Y53:Y57)-Model!Y68)</f>
        <v>0.16414218132893521</v>
      </c>
      <c r="J11" s="17">
        <f>Model!Z26/(Model!Z65+SUM(Model!Z53:Z57)-Model!Z68)</f>
        <v>0.19879286811124369</v>
      </c>
      <c r="K11" s="17">
        <f>Model!AA26/(Model!AA65+SUM(Model!AA53:AA57)-Model!AA68)</f>
        <v>0.22163330514049429</v>
      </c>
      <c r="M11" s="22">
        <f t="shared" si="0"/>
        <v>0.14116553839815169</v>
      </c>
      <c r="N11" s="22">
        <f t="shared" si="1"/>
        <v>0.1440494211021561</v>
      </c>
      <c r="P11" s="2" t="s">
        <v>177</v>
      </c>
    </row>
    <row r="12" spans="1:16" x14ac:dyDescent="0.2">
      <c r="B12" s="2" t="s">
        <v>178</v>
      </c>
      <c r="D12" s="17">
        <f>(Model!T26*(1-Model!T49))/(Model!T80+Model!T81-Model!T52)</f>
        <v>6.7954266989665613E-2</v>
      </c>
      <c r="E12" s="17">
        <f>(Model!U26*(1-Model!U49))/(Model!U80+Model!U81-Model!U52)</f>
        <v>6.4450983917599694E-2</v>
      </c>
      <c r="F12" s="17">
        <f>(Model!V26*(1-Model!V49))/(Model!V80+Model!V81-Model!V52)</f>
        <v>-1.1353401019989813E-2</v>
      </c>
      <c r="G12" s="17">
        <f>(Model!W26*(1-Model!W49))/(Model!W80+Model!W81-Model!W52)</f>
        <v>0.10115276816817223</v>
      </c>
      <c r="H12" s="17">
        <f>(Model!X26*(1-Model!X49))/(Model!X80+Model!X81-Model!X52)</f>
        <v>9.0537955221594135E-2</v>
      </c>
      <c r="I12" s="17">
        <f>(Model!Y26*(1-Model!Y49))/(Model!Y80+Model!Y81-Model!Y52)</f>
        <v>0.12204812323753214</v>
      </c>
      <c r="J12" s="17">
        <f>(Model!Z26*(1-Model!Z49))/(Model!Z80+Model!Z81-Model!Z52)</f>
        <v>0.13100569615484053</v>
      </c>
      <c r="K12" s="17">
        <f>(Model!AA26*(1-Model!AA49))/(Model!AA80+Model!AA81-Model!AA52)</f>
        <v>0.1534799222127313</v>
      </c>
      <c r="M12" s="22">
        <f t="shared" si="0"/>
        <v>9.542327840424103E-2</v>
      </c>
      <c r="N12" s="22">
        <f t="shared" si="1"/>
        <v>9.0537955221594135E-2</v>
      </c>
      <c r="P12" s="2" t="s">
        <v>179</v>
      </c>
    </row>
    <row r="13" spans="1:16" x14ac:dyDescent="0.2">
      <c r="B13" s="2" t="s">
        <v>180</v>
      </c>
      <c r="D13" s="17">
        <f>Model!T101/Model!T19</f>
        <v>0.12415650245525102</v>
      </c>
      <c r="E13" s="17">
        <f>Model!U101/Model!U19</f>
        <v>0.12250397740186375</v>
      </c>
      <c r="F13" s="17">
        <f>Model!V101/Model!V19</f>
        <v>8.6552445009998188E-2</v>
      </c>
      <c r="G13" s="17">
        <f>Model!W101/Model!W19</f>
        <v>0.11512422609954175</v>
      </c>
      <c r="H13" s="17">
        <f>Model!X101/Model!X19</f>
        <v>6.3784220001241565E-2</v>
      </c>
      <c r="I13" s="17">
        <f>Model!Y101/Model!Y19</f>
        <v>0.1613083210181861</v>
      </c>
      <c r="J13" s="17">
        <f>Model!Z101/Model!Z19</f>
        <v>0.17447379573386063</v>
      </c>
      <c r="K13" s="17">
        <f>Model!AA101/Model!AA19</f>
        <v>0.14223920142953969</v>
      </c>
      <c r="M13" s="22">
        <f t="shared" si="0"/>
        <v>0.11609331739355511</v>
      </c>
      <c r="N13" s="22">
        <f t="shared" si="1"/>
        <v>0.12250397740186375</v>
      </c>
      <c r="P13" s="2" t="s">
        <v>181</v>
      </c>
    </row>
    <row r="14" spans="1:16" x14ac:dyDescent="0.2">
      <c r="B14" s="2" t="s">
        <v>182</v>
      </c>
      <c r="D14" s="17">
        <f>1-(Model!T113/Model!T114)</f>
        <v>0.62057302029446881</v>
      </c>
      <c r="E14" s="17">
        <f>1-(Model!U113/Model!U114)</f>
        <v>0.70653425446171558</v>
      </c>
      <c r="F14" s="17">
        <f>1-(Model!V113/Model!V114)</f>
        <v>-0.32095490716180364</v>
      </c>
      <c r="G14" s="17">
        <f>1-(Model!W113/Model!W114)</f>
        <v>0.69549330085261873</v>
      </c>
      <c r="H14" s="17">
        <f>1-(Model!X113/Model!X114)</f>
        <v>0.59414654113794518</v>
      </c>
      <c r="I14" s="17">
        <f>1-(Model!Y113/Model!Y114)</f>
        <v>0.56726706693351125</v>
      </c>
      <c r="J14" s="17">
        <f>1-(Model!Z113/Model!Z114)</f>
        <v>0.5818257433977958</v>
      </c>
      <c r="K14" s="17">
        <f>1-(Model!AA113/Model!AA114)</f>
        <v>0.65293363257454318</v>
      </c>
      <c r="M14" s="22">
        <f t="shared" si="0"/>
        <v>0.61936998230463591</v>
      </c>
      <c r="N14" s="22">
        <f t="shared" si="1"/>
        <v>0.62057302029446881</v>
      </c>
      <c r="P14" s="2" t="s">
        <v>183</v>
      </c>
    </row>
    <row r="15" spans="1:16" x14ac:dyDescent="0.2">
      <c r="B15" s="2" t="s">
        <v>184</v>
      </c>
      <c r="D15" s="22">
        <f t="shared" ref="D15:H15" si="2">D14*D4</f>
        <v>8.134732125970015E-2</v>
      </c>
      <c r="E15" s="22">
        <f t="shared" si="2"/>
        <v>0.10082102929324475</v>
      </c>
      <c r="F15" s="22">
        <f t="shared" si="2"/>
        <v>1.4923836299068658E-2</v>
      </c>
      <c r="G15" s="22">
        <f t="shared" si="2"/>
        <v>0.16457631302904438</v>
      </c>
      <c r="H15" s="22">
        <f t="shared" si="2"/>
        <v>0.12777634110380753</v>
      </c>
      <c r="I15" s="22">
        <f>I14*I4</f>
        <v>0.14962441552427366</v>
      </c>
      <c r="J15" s="22">
        <f t="shared" ref="J15:K15" si="3">J14*J4</f>
        <v>0.16698410074182815</v>
      </c>
      <c r="K15" s="22">
        <f t="shared" si="3"/>
        <v>0.21625812684447893</v>
      </c>
      <c r="M15" s="22">
        <f t="shared" si="0"/>
        <v>0.13083109772920642</v>
      </c>
      <c r="N15" s="22">
        <f t="shared" si="1"/>
        <v>0.12777634110380753</v>
      </c>
      <c r="P15" s="2" t="s">
        <v>185</v>
      </c>
    </row>
    <row r="16" spans="1:16" x14ac:dyDescent="0.2">
      <c r="B16" s="2" t="s">
        <v>186</v>
      </c>
      <c r="D16" s="17">
        <f>(-Model!T102+SUM(Model!T94:T100))/(Model!T26*(1-Model!T49))</f>
        <v>0.35123223560095407</v>
      </c>
      <c r="E16" s="17">
        <f>(-Model!U102+SUM(Model!U94:U100))/(Model!U26*(1-Model!U49))</f>
        <v>0.94363328182716921</v>
      </c>
      <c r="F16" s="17">
        <f>(-Model!V102+SUM(Model!V94:V100))/(Model!V26*(1-Model!V49))</f>
        <v>-3.0479746911753476</v>
      </c>
      <c r="G16" s="17">
        <f>(-Model!W102+SUM(Model!W94:W100))/(Model!W26*(1-Model!W49))</f>
        <v>-4.5543004770761675E-3</v>
      </c>
      <c r="H16" s="17">
        <f>(-Model!X102+SUM(Model!X94:X100))/(Model!X26*(1-Model!X49))</f>
        <v>-0.43485769561254406</v>
      </c>
      <c r="I16" s="17">
        <f>(-Model!Y102+SUM(Model!Y94:Y100))/(Model!Y26*(1-Model!Y49))</f>
        <v>0.46403900997204856</v>
      </c>
      <c r="J16" s="17">
        <f>(-Model!Z102+SUM(Model!Z94:Z100))/(Model!Z26*(1-Model!Z49))</f>
        <v>0.62274904032789258</v>
      </c>
      <c r="K16" s="17">
        <f>(-Model!AA102+SUM(Model!AA94:AA100))/(Model!AA26*(1-Model!AA49))</f>
        <v>0.28298260455898461</v>
      </c>
      <c r="M16" s="22">
        <f t="shared" si="0"/>
        <v>9.3964812370845599E-2</v>
      </c>
      <c r="N16" s="22">
        <f t="shared" si="1"/>
        <v>0.35123223560095407</v>
      </c>
      <c r="P16" s="2" t="s">
        <v>187</v>
      </c>
    </row>
    <row r="17" spans="2:18" x14ac:dyDescent="0.2">
      <c r="B17" s="2" t="s">
        <v>184</v>
      </c>
      <c r="D17" s="22">
        <f t="shared" ref="D17:H17" si="4">D16*D12</f>
        <v>2.3867729113404366E-2</v>
      </c>
      <c r="E17" s="22">
        <f t="shared" si="4"/>
        <v>6.0818093471154702E-2</v>
      </c>
      <c r="F17" s="22">
        <f t="shared" si="4"/>
        <v>3.4604878967693327E-2</v>
      </c>
      <c r="G17" s="22">
        <f t="shared" si="4"/>
        <v>-4.6068010032588176E-4</v>
      </c>
      <c r="H17" s="22">
        <f t="shared" si="4"/>
        <v>-3.937112657313413E-2</v>
      </c>
      <c r="I17" s="22">
        <f>I16*I12</f>
        <v>5.6635090276090989E-2</v>
      </c>
      <c r="J17" s="22">
        <f t="shared" ref="J17:K17" si="5">J16*J12</f>
        <v>8.1583671557914433E-2</v>
      </c>
      <c r="K17" s="22">
        <f t="shared" si="5"/>
        <v>4.3432148135269057E-2</v>
      </c>
      <c r="M17" s="22">
        <f t="shared" si="0"/>
        <v>1.0167753179008835E-2</v>
      </c>
      <c r="N17" s="22">
        <f t="shared" si="1"/>
        <v>2.3867729113404366E-2</v>
      </c>
      <c r="P17" s="2" t="s">
        <v>188</v>
      </c>
    </row>
    <row r="20" spans="2:18" x14ac:dyDescent="0.2">
      <c r="B20" s="7" t="s">
        <v>189</v>
      </c>
    </row>
    <row r="21" spans="2:18" x14ac:dyDescent="0.2">
      <c r="B21" s="2" t="s">
        <v>190</v>
      </c>
      <c r="D21" s="17">
        <f>Model!T81/Model!T82</f>
        <v>0.55313993403782735</v>
      </c>
      <c r="E21" s="17">
        <f>Model!U81/Model!U82</f>
        <v>0.36993640022527796</v>
      </c>
      <c r="F21" s="17">
        <f>Model!V81/Model!V82</f>
        <v>0.33019334389857358</v>
      </c>
      <c r="G21" s="17">
        <f>Model!W81/Model!W82</f>
        <v>0.32829753906300563</v>
      </c>
      <c r="H21" s="17">
        <f>Model!X81/Model!X82</f>
        <v>0.35797923263863307</v>
      </c>
      <c r="I21" s="17">
        <f>Model!Y81/Model!Y82</f>
        <v>0.37111138036531072</v>
      </c>
      <c r="J21" s="17">
        <f>Model!Z81/Model!Z82</f>
        <v>0.36730379010401143</v>
      </c>
      <c r="K21" s="17">
        <f>Model!AA81/Model!AA82</f>
        <v>0.36712965953872989</v>
      </c>
      <c r="M21" s="22">
        <f t="shared" ref="M21:M33" si="6">AVERAGE(G21:I21,D21)</f>
        <v>0.40263202152619421</v>
      </c>
      <c r="N21" s="22">
        <f t="shared" ref="N21:N33" si="7">MEDIAN(G21:I21,D21:E21)</f>
        <v>0.36993640022527796</v>
      </c>
      <c r="P21" s="2" t="s">
        <v>191</v>
      </c>
    </row>
    <row r="22" spans="2:18" x14ac:dyDescent="0.2">
      <c r="B22" s="2" t="s">
        <v>192</v>
      </c>
      <c r="D22" s="17">
        <f>(Model!T67+Model!T73+Model!T74+Model!T75-Model!T52-Model!T53)/Model!T81</f>
        <v>-0.39498661474811392</v>
      </c>
      <c r="E22" s="17">
        <f>(Model!U67+Model!U73+Model!U74+Model!U75-Model!U52-Model!U53)/Model!U81</f>
        <v>0.23133192232000291</v>
      </c>
      <c r="F22" s="17">
        <f>(Model!V67+Model!V73+Model!V74+Model!V75-Model!V52-Model!V53)/Model!V81</f>
        <v>5.794040853939493E-2</v>
      </c>
      <c r="G22" s="17">
        <f>(Model!W67+Model!W73+Model!W74+Model!W75-Model!W52-Model!W53)/Model!W81</f>
        <v>0.20177444794952695</v>
      </c>
      <c r="H22" s="17">
        <f>(Model!X67+Model!X73+Model!X74+Model!X75-Model!X52-Model!X53)/Model!X81</f>
        <v>0.42345196461633405</v>
      </c>
      <c r="I22" s="17">
        <f>(Model!Y67+Model!Y73+Model!Y74+Model!Y75-Model!Y52-Model!Y53)/Model!Y81</f>
        <v>0.25605027955760506</v>
      </c>
      <c r="J22" s="17">
        <f>(Model!Z67+Model!Z73+Model!Z74+Model!Z75-Model!Z52-Model!Z53)/Model!Z81</f>
        <v>0.1310025111068186</v>
      </c>
      <c r="K22" s="17">
        <f>(Model!AA67+Model!AA73+Model!AA74+Model!AA75-Model!AA52-Model!AA53)/Model!AA81</f>
        <v>0.2505806996550996</v>
      </c>
      <c r="M22" s="22">
        <f t="shared" si="6"/>
        <v>0.12157251934383803</v>
      </c>
      <c r="N22" s="22">
        <f t="shared" si="7"/>
        <v>0.23133192232000291</v>
      </c>
      <c r="P22" s="2" t="s">
        <v>193</v>
      </c>
    </row>
    <row r="23" spans="2:18" x14ac:dyDescent="0.2">
      <c r="B23" s="2" t="s">
        <v>194</v>
      </c>
      <c r="D23" s="17">
        <f>(Model!T67+Model!T73+Model!T74+Model!T75-Model!T52-Model!T53)/(Model!T26*(1-Model!T49)+Model!T86+Model!T102+SUM(Model!T94:T100))</f>
        <v>-3.4354065857466791</v>
      </c>
      <c r="E23" s="17">
        <f>(Model!U67+Model!U73+Model!U74+Model!U75-Model!U52-Model!U53)/(Model!U26*(1-Model!U49)+Model!U86+Model!U102+SUM(Model!U94:U100))</f>
        <v>1.422828098672291</v>
      </c>
      <c r="F23" s="17">
        <f>(Model!V67+Model!V73+Model!V74+Model!V75-Model!V52-Model!V53)/(Model!V26*(1-Model!V49)+Model!V86+Model!V102+SUM(Model!V94:V100))</f>
        <v>0.9708521072772508</v>
      </c>
      <c r="G23" s="17">
        <f>(Model!W67+Model!W73+Model!W74+Model!W75-Model!W52-Model!W53)/(Model!W26*(1-Model!W49)+Model!W86+Model!W102+SUM(Model!W94:W100))</f>
        <v>1.0527804515936778</v>
      </c>
      <c r="H23" s="17">
        <f>(Model!X67+Model!X73+Model!X74+Model!X75-Model!X52-Model!X53)/(Model!X26*(1-Model!X49)+Model!X86+Model!X102+SUM(Model!X94:X100))</f>
        <v>18.833345586356071</v>
      </c>
      <c r="I23" s="17">
        <f>(Model!Y67+Model!Y73+Model!Y74+Model!Y75-Model!Y52-Model!Y53)/(Model!Y26*(1-Model!Y49)+Model!Y86+Model!Y102+SUM(Model!Y94:Y100))</f>
        <v>0.80213095480752494</v>
      </c>
      <c r="J23" s="17">
        <f>(Model!Z67+Model!Z73+Model!Z74+Model!Z75-Model!Z52-Model!Z53)/(Model!Z26*(1-Model!Z49)+Model!Z86+Model!Z102+SUM(Model!Z94:Z100))</f>
        <v>0.38680108686212644</v>
      </c>
      <c r="K23" s="17">
        <f>(Model!AA67+Model!AA73+Model!AA74+Model!AA75-Model!AA52-Model!AA53)/(Model!AA26*(1-Model!AA49)+Model!AA86+Model!AA102+SUM(Model!AA94:AA100))</f>
        <v>1.2961013119834393</v>
      </c>
      <c r="M23" s="22">
        <f t="shared" si="6"/>
        <v>4.3132126017526478</v>
      </c>
      <c r="N23" s="22">
        <f t="shared" si="7"/>
        <v>1.0527804515936778</v>
      </c>
      <c r="P23" s="2" t="s">
        <v>195</v>
      </c>
    </row>
    <row r="24" spans="2:18" x14ac:dyDescent="0.2">
      <c r="B24" s="2" t="s">
        <v>196</v>
      </c>
      <c r="D24" s="17">
        <f>(Model!T67+Model!T73+Model!T74+Model!T75-Model!T52-Model!T53)/(Model!T26+Model!T86)</f>
        <v>-1.5400308385719377</v>
      </c>
      <c r="E24" s="17">
        <f>(Model!U67+Model!U73+Model!U74+Model!U75-Model!U52-Model!U53)/(Model!U26+Model!U86)</f>
        <v>1.0622335890878085</v>
      </c>
      <c r="F24" s="17">
        <f>(Model!V67+Model!V73+Model!V74+Model!V75-Model!V52-Model!V53)/(Model!V26+Model!V86)</f>
        <v>0.73970588235294132</v>
      </c>
      <c r="G24" s="17">
        <f>(Model!W67+Model!W73+Model!W74+Model!W75-Model!W52-Model!W53)/(Model!W26+Model!W86)</f>
        <v>0.49771423013325583</v>
      </c>
      <c r="H24" s="17">
        <f>(Model!X67+Model!X73+Model!X74+Model!X75-Model!X52-Model!X53)/(Model!X26+Model!X86)</f>
        <v>1.1130096247431591</v>
      </c>
      <c r="I24" s="17">
        <f>(Model!Y67+Model!Y73+Model!Y74+Model!Y75-Model!Y52-Model!Y53)/(Model!Y26+Model!Y86)</f>
        <v>0.63669575806779011</v>
      </c>
      <c r="J24" s="17">
        <f>(Model!Z67+Model!Z73+Model!Z74+Model!Z75-Model!Z52-Model!Z53)/(Model!Z26+Model!Z86)</f>
        <v>0.29443431449162116</v>
      </c>
      <c r="K24" s="17">
        <f>(Model!AA67+Model!AA73+Model!AA74+Model!AA75-Model!AA52-Model!AA53)/(Model!AA26+Model!AA86)</f>
        <v>0.50417787848746642</v>
      </c>
      <c r="M24" s="22">
        <f t="shared" si="6"/>
        <v>0.17684719359306683</v>
      </c>
      <c r="N24" s="22">
        <f t="shared" si="7"/>
        <v>0.63669575806779011</v>
      </c>
      <c r="P24" s="2" t="s">
        <v>197</v>
      </c>
    </row>
    <row r="25" spans="2:18" x14ac:dyDescent="0.2">
      <c r="B25" s="2" t="s">
        <v>198</v>
      </c>
      <c r="D25" s="17">
        <f>(-Model!T102/Model!T101)</f>
        <v>0.25223271242663953</v>
      </c>
      <c r="E25" s="17">
        <f>(-Model!U102/Model!U101)</f>
        <v>0.35820302146832744</v>
      </c>
      <c r="F25" s="17">
        <f>(-Model!V102/Model!V101)</f>
        <v>0.28301391441323176</v>
      </c>
      <c r="G25" s="17">
        <f>(-Model!W102/Model!W101)</f>
        <v>0.23313311915071927</v>
      </c>
      <c r="H25" s="17">
        <f>(-Model!X102/Model!X101)</f>
        <v>0.52919708029197055</v>
      </c>
      <c r="I25" s="17">
        <f>(-Model!Y102/Model!Y101)</f>
        <v>0.15406188651023664</v>
      </c>
      <c r="J25" s="17">
        <f>(-Model!Z102/Model!Z101)</f>
        <v>0.17504655493482316</v>
      </c>
      <c r="K25" s="17">
        <f>(-Model!AA102/Model!AA101)</f>
        <v>0.35357823600762439</v>
      </c>
      <c r="M25" s="22">
        <f t="shared" si="6"/>
        <v>0.29215619959489153</v>
      </c>
      <c r="N25" s="22">
        <f t="shared" si="7"/>
        <v>0.25223271242663953</v>
      </c>
      <c r="P25" s="23" t="s">
        <v>199</v>
      </c>
    </row>
    <row r="26" spans="2:18" x14ac:dyDescent="0.2">
      <c r="B26" s="2" t="s">
        <v>200</v>
      </c>
      <c r="D26" s="4" t="s">
        <v>70</v>
      </c>
      <c r="E26" s="4" t="s">
        <v>70</v>
      </c>
      <c r="F26" s="4" t="s">
        <v>70</v>
      </c>
      <c r="G26" s="4" t="s">
        <v>70</v>
      </c>
      <c r="H26" s="4" t="s">
        <v>70</v>
      </c>
      <c r="I26" s="4" t="s">
        <v>70</v>
      </c>
      <c r="J26" s="4" t="s">
        <v>70</v>
      </c>
      <c r="K26" s="4" t="s">
        <v>70</v>
      </c>
      <c r="M26" s="4" t="s">
        <v>70</v>
      </c>
      <c r="N26" s="4" t="s">
        <v>70</v>
      </c>
      <c r="P26" s="2" t="s">
        <v>201</v>
      </c>
    </row>
    <row r="27" spans="2:18" x14ac:dyDescent="0.2">
      <c r="B27" s="2" t="s">
        <v>202</v>
      </c>
      <c r="D27" s="24">
        <f>-Model!T102/Model!T86</f>
        <v>0.70280838961962311</v>
      </c>
      <c r="E27" s="24">
        <f>-Model!U102/Model!U86</f>
        <v>1.0029684601113174</v>
      </c>
      <c r="F27" s="24">
        <f>-Model!V102/Model!V86</f>
        <v>0.43537964458804523</v>
      </c>
      <c r="G27" s="24">
        <f>-Model!W102/Model!W86</f>
        <v>0.72659991292990866</v>
      </c>
      <c r="H27" s="24">
        <f>-Model!X102/Model!X86</f>
        <v>0.98639455782312924</v>
      </c>
      <c r="I27" s="24">
        <f>-Model!Y102/Model!Y86</f>
        <v>0.71965065502183412</v>
      </c>
      <c r="J27" s="24">
        <f>-Model!Z102/Model!Z86</f>
        <v>0.98451730418943528</v>
      </c>
      <c r="K27" s="24">
        <f>-Model!AA102/Model!AA86</f>
        <v>1.7515021459227469</v>
      </c>
      <c r="M27" s="24">
        <f>AVERAGE(G27:I27,D27)</f>
        <v>0.78386337884862378</v>
      </c>
      <c r="N27" s="24">
        <f>MEDIAN(G27:I27,D27:E27)</f>
        <v>0.72659991292990866</v>
      </c>
      <c r="P27" s="2" t="s">
        <v>203</v>
      </c>
      <c r="Q27" s="24"/>
      <c r="R27" s="24"/>
    </row>
    <row r="28" spans="2:18" x14ac:dyDescent="0.2">
      <c r="B28" s="2" t="s">
        <v>204</v>
      </c>
      <c r="D28" s="4" t="s">
        <v>205</v>
      </c>
      <c r="E28" s="4" t="s">
        <v>205</v>
      </c>
      <c r="F28" s="25">
        <f>(Model!V81/-Model!V26)</f>
        <v>59.733944954128539</v>
      </c>
      <c r="G28" s="4" t="s">
        <v>205</v>
      </c>
      <c r="H28" s="4" t="s">
        <v>205</v>
      </c>
      <c r="I28" s="4" t="s">
        <v>205</v>
      </c>
      <c r="J28" s="4" t="s">
        <v>205</v>
      </c>
      <c r="K28" s="4" t="s">
        <v>205</v>
      </c>
      <c r="M28" s="22" t="s">
        <v>205</v>
      </c>
      <c r="N28" s="22" t="s">
        <v>205</v>
      </c>
      <c r="P28" s="2" t="s">
        <v>206</v>
      </c>
    </row>
    <row r="29" spans="2:18" x14ac:dyDescent="0.2">
      <c r="B29" s="2" t="s">
        <v>207</v>
      </c>
      <c r="D29" s="17">
        <f>Model!T58/Model!T66</f>
        <v>0.60490004711583767</v>
      </c>
      <c r="E29" s="17">
        <f>Model!U58/Model!U66</f>
        <v>0.46363274220799744</v>
      </c>
      <c r="F29" s="17">
        <f>Model!V58/Model!V66</f>
        <v>0.53350237717908078</v>
      </c>
      <c r="G29" s="17">
        <f>Model!W58/Model!W66</f>
        <v>0.54595000453092024</v>
      </c>
      <c r="H29" s="17">
        <f>Model!X58/Model!X66</f>
        <v>0.48959422637896743</v>
      </c>
      <c r="I29" s="17">
        <f>Model!Y58/Model!Y66</f>
        <v>0.50886014600308971</v>
      </c>
      <c r="J29" s="17">
        <f>Model!Z58/Model!Z66</f>
        <v>0.53778042654633684</v>
      </c>
      <c r="K29" s="17">
        <f>Model!AA58/Model!AA66</f>
        <v>0.50225466761418702</v>
      </c>
      <c r="M29" s="22">
        <f t="shared" si="6"/>
        <v>0.53732610600720376</v>
      </c>
      <c r="N29" s="22">
        <f t="shared" si="7"/>
        <v>0.50886014600308971</v>
      </c>
      <c r="P29" s="2" t="s">
        <v>208</v>
      </c>
    </row>
    <row r="30" spans="2:18" x14ac:dyDescent="0.2">
      <c r="B30" s="2" t="s">
        <v>209</v>
      </c>
      <c r="D30" s="22">
        <f t="shared" ref="D30:H30" si="8">1-D29</f>
        <v>0.39509995288416233</v>
      </c>
      <c r="E30" s="22">
        <f t="shared" si="8"/>
        <v>0.53636725779200256</v>
      </c>
      <c r="F30" s="22">
        <f t="shared" si="8"/>
        <v>0.46649762282091922</v>
      </c>
      <c r="G30" s="22">
        <f t="shared" si="8"/>
        <v>0.45404999546907976</v>
      </c>
      <c r="H30" s="22">
        <f t="shared" si="8"/>
        <v>0.51040577362103257</v>
      </c>
      <c r="I30" s="22">
        <f>1-I29</f>
        <v>0.49113985399691029</v>
      </c>
      <c r="J30" s="22">
        <f t="shared" ref="J30:K30" si="9">1-J29</f>
        <v>0.46221957345366316</v>
      </c>
      <c r="K30" s="22">
        <f t="shared" si="9"/>
        <v>0.49774533238581298</v>
      </c>
      <c r="M30" s="22">
        <f t="shared" si="6"/>
        <v>0.46267389399279624</v>
      </c>
      <c r="N30" s="22">
        <f t="shared" si="7"/>
        <v>0.49113985399691029</v>
      </c>
      <c r="P30" s="2" t="s">
        <v>210</v>
      </c>
    </row>
    <row r="31" spans="2:18" x14ac:dyDescent="0.2">
      <c r="B31" s="2" t="s">
        <v>211</v>
      </c>
      <c r="D31" s="17">
        <f>Model!T81/Model!T65</f>
        <v>1.4000000000000001</v>
      </c>
      <c r="E31" s="17">
        <f>Model!U81/Model!U65</f>
        <v>0.68970727584705649</v>
      </c>
      <c r="F31" s="17">
        <f>Model!V81/Model!V65</f>
        <v>0.70781356162522047</v>
      </c>
      <c r="G31" s="17">
        <f>Model!W81/Model!W65</f>
        <v>0.72304270969949247</v>
      </c>
      <c r="H31" s="17">
        <f>Model!X81/Model!X65</f>
        <v>0.70136203612858516</v>
      </c>
      <c r="I31" s="17">
        <f>Model!Y81/Model!Y65</f>
        <v>0.75561243369927245</v>
      </c>
      <c r="J31" s="17">
        <f>Model!Z81/Model!Z65</f>
        <v>0.7946521765825505</v>
      </c>
      <c r="K31" s="17">
        <f>Model!AA81/Model!AA65</f>
        <v>0.7375853386288711</v>
      </c>
      <c r="M31" s="22">
        <f t="shared" si="6"/>
        <v>0.89500429488183753</v>
      </c>
      <c r="N31" s="22">
        <f t="shared" si="7"/>
        <v>0.72304270969949247</v>
      </c>
      <c r="P31" s="2" t="s">
        <v>212</v>
      </c>
    </row>
    <row r="32" spans="2:18" x14ac:dyDescent="0.2">
      <c r="B32" s="2" t="s">
        <v>213</v>
      </c>
      <c r="D32" s="17">
        <f>(Model!T81+Model!T73)/Model!T81</f>
        <v>1.2096312971525918</v>
      </c>
      <c r="E32" s="17">
        <f>(Model!U81+Model!U73)/Model!U81</f>
        <v>1.1471909695146856</v>
      </c>
      <c r="F32" s="17">
        <f>(Model!V81+Model!V73)/Model!V81</f>
        <v>1.6269774228229157</v>
      </c>
      <c r="G32" s="17">
        <f>(Model!W81+Model!W73)/Model!W81</f>
        <v>1.4481466876971609</v>
      </c>
      <c r="H32" s="17">
        <f>(Model!X81+Model!X73)/Model!X81</f>
        <v>1.4684221353630942</v>
      </c>
      <c r="I32" s="17">
        <f>(Model!Y81+Model!Y73)/Model!Y81</f>
        <v>1.4654532098110433</v>
      </c>
      <c r="J32" s="17">
        <f>(Model!Z81+Model!Z73)/Model!Z81</f>
        <v>1.2870001931620629</v>
      </c>
      <c r="K32" s="17">
        <f>(Model!AA81+Model!AA73)/Model!AA81</f>
        <v>1.4360174561835715</v>
      </c>
      <c r="M32" s="22">
        <f t="shared" si="6"/>
        <v>1.3979133325059725</v>
      </c>
      <c r="N32" s="22">
        <f t="shared" si="7"/>
        <v>1.4481466876971609</v>
      </c>
      <c r="P32" s="2" t="s">
        <v>214</v>
      </c>
    </row>
    <row r="33" spans="2:16" x14ac:dyDescent="0.2">
      <c r="B33" s="2" t="s">
        <v>215</v>
      </c>
      <c r="D33" s="17">
        <f>Model!T62/Model!T66</f>
        <v>0.154741872518005</v>
      </c>
      <c r="E33" s="17">
        <f>Model!U62/Model!U66</f>
        <v>0.1257572219398618</v>
      </c>
      <c r="F33" s="17">
        <f>Model!V62/Model!V66</f>
        <v>0.11849128367670365</v>
      </c>
      <c r="G33" s="17">
        <f>Model!W62/Model!W66</f>
        <v>0.11763563633539166</v>
      </c>
      <c r="H33" s="17">
        <f>Model!X62/Model!X66</f>
        <v>0.13239561086972532</v>
      </c>
      <c r="I33" s="17">
        <f>Model!Y62/Model!Y66</f>
        <v>0.13450761821100779</v>
      </c>
      <c r="J33" s="17">
        <f>Model!Z62/Model!Z66</f>
        <v>0.12607665347012331</v>
      </c>
      <c r="K33" s="17">
        <f>Model!AA62/Model!AA66</f>
        <v>0.11682925253569353</v>
      </c>
      <c r="M33" s="22">
        <f t="shared" si="6"/>
        <v>0.13482018448353245</v>
      </c>
      <c r="N33" s="22">
        <f t="shared" si="7"/>
        <v>0.13239561086972532</v>
      </c>
      <c r="P33" s="2" t="s">
        <v>216</v>
      </c>
    </row>
    <row r="35" spans="2:16" x14ac:dyDescent="0.2">
      <c r="B35" s="7" t="s">
        <v>217</v>
      </c>
    </row>
    <row r="36" spans="2:16" x14ac:dyDescent="0.2">
      <c r="B36" s="2" t="s">
        <v>218</v>
      </c>
      <c r="D36" s="23">
        <f>Model!T54/Model!T19*360</f>
        <v>22.701726595913193</v>
      </c>
      <c r="E36" s="23">
        <f>Model!U54/Model!U19*360</f>
        <v>16.19468164550797</v>
      </c>
      <c r="F36" s="23">
        <f>Model!V54/Model!V19*360</f>
        <v>36.934193782948554</v>
      </c>
      <c r="G36" s="23">
        <f>Model!W54/Model!W19*360</f>
        <v>23.469325400016082</v>
      </c>
      <c r="H36" s="23">
        <f>Model!X54/Model!X19*360</f>
        <v>25.012725805450366</v>
      </c>
      <c r="I36" s="23">
        <f>Model!Y54/Model!Y19*360</f>
        <v>24.239225502910397</v>
      </c>
      <c r="J36" s="23">
        <f>Model!Z54/Model!Z19*360</f>
        <v>23.367707303291425</v>
      </c>
      <c r="K36" s="23">
        <f>Model!AA54/Model!AA19*360</f>
        <v>21.814283073510381</v>
      </c>
      <c r="M36" s="23">
        <f t="shared" ref="M36:M44" si="10">AVERAGE(G36:I36,D36)</f>
        <v>23.855750826072509</v>
      </c>
      <c r="N36" s="23">
        <f t="shared" ref="N36:N44" si="11">MEDIAN(G36:I36,D36:E36)</f>
        <v>23.469325400016082</v>
      </c>
      <c r="P36" s="2" t="s">
        <v>219</v>
      </c>
    </row>
    <row r="37" spans="2:16" x14ac:dyDescent="0.2">
      <c r="B37" s="2" t="s">
        <v>220</v>
      </c>
      <c r="D37" s="23">
        <f>Model!T68/Model!T19*360</f>
        <v>11.536195152859181</v>
      </c>
      <c r="E37" s="23">
        <f>Model!U68/Model!U19*360</f>
        <v>14.423844930030196</v>
      </c>
      <c r="F37" s="23">
        <f>Model!V68/Model!V19*360</f>
        <v>29.113797491365204</v>
      </c>
      <c r="G37" s="23">
        <f>Model!W68/Model!W19*360</f>
        <v>25.976039237758304</v>
      </c>
      <c r="H37" s="23">
        <f>Model!X68/Model!X19*360</f>
        <v>20.761065243031844</v>
      </c>
      <c r="I37" s="23">
        <f>Model!Y68/Model!Y19*360</f>
        <v>18.034200922882047</v>
      </c>
      <c r="J37" s="23">
        <f>Model!Z68/Model!Z19*360</f>
        <v>22.172623251871734</v>
      </c>
      <c r="K37" s="23">
        <f>Model!AA68/Model!AA19*360</f>
        <v>19.121326021319859</v>
      </c>
      <c r="M37" s="23">
        <f t="shared" si="10"/>
        <v>19.076875139132845</v>
      </c>
      <c r="N37" s="23">
        <f t="shared" si="11"/>
        <v>18.034200922882047</v>
      </c>
      <c r="P37" s="2" t="s">
        <v>221</v>
      </c>
    </row>
    <row r="38" spans="2:16" x14ac:dyDescent="0.2">
      <c r="B38" s="2" t="s">
        <v>222</v>
      </c>
      <c r="D38" s="17">
        <f>Model!T52/Model!T72</f>
        <v>0.48670944087992674</v>
      </c>
      <c r="E38" s="17">
        <f>Model!U52/Model!U72</f>
        <v>0.77456978967495227</v>
      </c>
      <c r="F38" s="17">
        <f>Model!V52/Model!V72</f>
        <v>1.6273346794548209</v>
      </c>
      <c r="G38" s="17">
        <f>Model!W52/Model!W72</f>
        <v>0.82626235758301192</v>
      </c>
      <c r="H38" s="17">
        <f>Model!X52/Model!X72</f>
        <v>1.0239705390023435</v>
      </c>
      <c r="I38" s="17">
        <f>Model!Y52/Model!Y72</f>
        <v>1.1329062159214831</v>
      </c>
      <c r="J38" s="17">
        <f>Model!Z52/Model!Z72</f>
        <v>0.90101701270094192</v>
      </c>
      <c r="K38" s="17">
        <f>Model!AA52/Model!AA72</f>
        <v>1.0884204763208323</v>
      </c>
      <c r="M38" s="22">
        <f t="shared" si="10"/>
        <v>0.86746213834669128</v>
      </c>
      <c r="N38" s="22">
        <f t="shared" si="11"/>
        <v>0.82626235758301192</v>
      </c>
      <c r="P38" s="2" t="s">
        <v>223</v>
      </c>
    </row>
    <row r="39" spans="2:16" x14ac:dyDescent="0.2">
      <c r="B39" s="2" t="s">
        <v>224</v>
      </c>
      <c r="D39" s="17">
        <f>(Model!T52+Model!T54)/Model!T72</f>
        <v>0.81843179735022087</v>
      </c>
      <c r="E39" s="17">
        <f>(Model!U52+Model!U54)/Model!U72</f>
        <v>0.90702676864244747</v>
      </c>
      <c r="F39" s="17">
        <f>(Model!V52+Model!V54)/Model!V72</f>
        <v>1.9122286723876831</v>
      </c>
      <c r="G39" s="17">
        <f>(Model!W52+Model!W54)/Model!W72</f>
        <v>1.005984838409363</v>
      </c>
      <c r="H39" s="17">
        <f>(Model!X52+Model!X54)/Model!X72</f>
        <v>1.3237361901573486</v>
      </c>
      <c r="I39" s="17">
        <f>(Model!Y52+Model!Y54)/Model!Y72</f>
        <v>1.4372273718647763</v>
      </c>
      <c r="J39" s="17">
        <f>(Model!Z52+Model!Z54)/Model!Z72</f>
        <v>1.1163706237990343</v>
      </c>
      <c r="K39" s="17">
        <f>(Model!AA52+Model!AA54)/Model!AA72</f>
        <v>1.3576238707911306</v>
      </c>
      <c r="M39" s="22">
        <f t="shared" si="10"/>
        <v>1.1463450494454273</v>
      </c>
      <c r="N39" s="22">
        <f t="shared" si="11"/>
        <v>1.005984838409363</v>
      </c>
      <c r="P39" s="2" t="s">
        <v>225</v>
      </c>
    </row>
    <row r="40" spans="2:16" x14ac:dyDescent="0.2">
      <c r="B40" s="2" t="s">
        <v>226</v>
      </c>
      <c r="D40" s="17">
        <f>Model!T58/Model!T72</f>
        <v>2.9954170485792853</v>
      </c>
      <c r="E40" s="17">
        <f>Model!U58/Model!U72</f>
        <v>1.6133843212237098</v>
      </c>
      <c r="F40" s="17">
        <f>Model!V58/Model!V72</f>
        <v>2.6552246340232206</v>
      </c>
      <c r="G40" s="17">
        <f>Model!W58/Model!W72</f>
        <v>1.8696191869486194</v>
      </c>
      <c r="H40" s="17">
        <f>Model!X58/Model!X72</f>
        <v>2.2257114161365914</v>
      </c>
      <c r="I40" s="17">
        <f>Model!Y58/Model!Y72</f>
        <v>2.2899400218102506</v>
      </c>
      <c r="J40" s="17">
        <f>Model!Z58/Model!Z72</f>
        <v>1.7762103388480104</v>
      </c>
      <c r="K40" s="17">
        <f>Model!AA58/Model!AA72</f>
        <v>2.1282233780454423</v>
      </c>
      <c r="M40" s="22">
        <f t="shared" si="10"/>
        <v>2.3451719183686865</v>
      </c>
      <c r="N40" s="22">
        <f t="shared" si="11"/>
        <v>2.2257114161365914</v>
      </c>
      <c r="P40" s="2" t="s">
        <v>227</v>
      </c>
    </row>
    <row r="41" spans="2:16" x14ac:dyDescent="0.2">
      <c r="B41" s="2" t="s">
        <v>228</v>
      </c>
      <c r="D41" s="17">
        <f>Model!T55/Model!T66</f>
        <v>0.13761190011442417</v>
      </c>
      <c r="E41" s="17">
        <f>Model!U55/Model!U66</f>
        <v>0.10112776274399374</v>
      </c>
      <c r="F41" s="17">
        <f>Model!V55/Model!V66</f>
        <v>9.6228209191759118E-2</v>
      </c>
      <c r="G41" s="17">
        <f>Model!W55/Model!W66</f>
        <v>0.12651624011288462</v>
      </c>
      <c r="H41" s="17">
        <f>Model!X55/Model!X66</f>
        <v>0.15778776051255614</v>
      </c>
      <c r="I41" s="17">
        <f>Model!Y55/Model!Y66</f>
        <v>0.13664314058098326</v>
      </c>
      <c r="J41" s="17">
        <f>Model!Z55/Model!Z66</f>
        <v>0.13474664055737659</v>
      </c>
      <c r="K41" s="17">
        <f>Model!AA55/Model!AA66</f>
        <v>0.13105497771173849</v>
      </c>
      <c r="M41" s="22">
        <f t="shared" si="10"/>
        <v>0.13963976033021205</v>
      </c>
      <c r="N41" s="22">
        <f t="shared" si="11"/>
        <v>0.13664314058098326</v>
      </c>
      <c r="P41" s="2" t="s">
        <v>229</v>
      </c>
    </row>
    <row r="42" spans="2:16" x14ac:dyDescent="0.2">
      <c r="B42" s="2" t="s">
        <v>230</v>
      </c>
      <c r="D42" s="23">
        <f>Model!T20/Model!T55</f>
        <v>2.9677182685253118</v>
      </c>
      <c r="E42" s="23">
        <f>Model!U20/Model!U55</f>
        <v>3.404645476772616</v>
      </c>
      <c r="F42" s="23">
        <f>Model!V20/Model!V55</f>
        <v>2.0281949934123849</v>
      </c>
      <c r="G42" s="23">
        <f>Model!W20/Model!W55</f>
        <v>2.1191036529213139</v>
      </c>
      <c r="H42" s="23">
        <f>Model!X20/Model!X55</f>
        <v>2.1262018108839729</v>
      </c>
      <c r="I42" s="23">
        <f>Model!Y20/Model!Y55</f>
        <v>2.4380403458213253</v>
      </c>
      <c r="J42" s="23">
        <f>Model!Z20/Model!Z55</f>
        <v>2.3442502106149958</v>
      </c>
      <c r="K42" s="23">
        <f>Model!AA20/Model!AA55</f>
        <v>2.4108251996450756</v>
      </c>
      <c r="M42" s="23">
        <f t="shared" si="10"/>
        <v>2.412766019537981</v>
      </c>
      <c r="N42" s="23">
        <f t="shared" si="11"/>
        <v>2.4380403458213253</v>
      </c>
      <c r="P42" s="2" t="s">
        <v>231</v>
      </c>
    </row>
    <row r="43" spans="2:16" x14ac:dyDescent="0.2">
      <c r="B43" s="2" t="s">
        <v>232</v>
      </c>
      <c r="D43" s="23">
        <f t="shared" ref="D43:H43" si="12">360/D42</f>
        <v>121.3053152039555</v>
      </c>
      <c r="E43" s="23">
        <f t="shared" si="12"/>
        <v>105.737881508079</v>
      </c>
      <c r="F43" s="23">
        <f t="shared" si="12"/>
        <v>177.49772638690396</v>
      </c>
      <c r="G43" s="23">
        <f t="shared" si="12"/>
        <v>169.88314823756639</v>
      </c>
      <c r="H43" s="23">
        <f t="shared" si="12"/>
        <v>169.31600667310562</v>
      </c>
      <c r="I43" s="23">
        <f>360/I42</f>
        <v>147.65957446808511</v>
      </c>
      <c r="J43" s="23">
        <f t="shared" ref="J43:K43" si="13">360/J42</f>
        <v>153.5672251920399</v>
      </c>
      <c r="K43" s="23">
        <f t="shared" si="13"/>
        <v>149.32646301067354</v>
      </c>
      <c r="M43" s="23">
        <f t="shared" si="10"/>
        <v>152.04101114567817</v>
      </c>
      <c r="N43" s="23">
        <f t="shared" si="11"/>
        <v>147.65957446808511</v>
      </c>
      <c r="P43" s="2" t="s">
        <v>233</v>
      </c>
    </row>
    <row r="44" spans="2:16" x14ac:dyDescent="0.2">
      <c r="B44" s="2" t="s">
        <v>234</v>
      </c>
      <c r="D44" s="23">
        <f t="shared" ref="D44:H44" si="14">D36+D43-D37</f>
        <v>132.47084664700949</v>
      </c>
      <c r="E44" s="23">
        <f t="shared" si="14"/>
        <v>107.50871822355677</v>
      </c>
      <c r="F44" s="23">
        <f t="shared" si="14"/>
        <v>185.3181226784873</v>
      </c>
      <c r="G44" s="23">
        <f t="shared" si="14"/>
        <v>167.37643439982418</v>
      </c>
      <c r="H44" s="23">
        <f t="shared" si="14"/>
        <v>173.56766723552414</v>
      </c>
      <c r="I44" s="23">
        <f>I36+I43-I37</f>
        <v>153.86459904811346</v>
      </c>
      <c r="J44" s="23">
        <f t="shared" ref="J44:K44" si="15">J36+J43-J37</f>
        <v>154.76230924345961</v>
      </c>
      <c r="K44" s="23">
        <f t="shared" si="15"/>
        <v>152.01942006286407</v>
      </c>
      <c r="M44" s="23">
        <f t="shared" si="10"/>
        <v>156.81988683261781</v>
      </c>
      <c r="N44" s="23">
        <f t="shared" si="11"/>
        <v>153.86459904811346</v>
      </c>
      <c r="P44" s="2" t="s">
        <v>235</v>
      </c>
    </row>
    <row r="45" spans="2:16" x14ac:dyDescent="0.2">
      <c r="B45" s="2" t="s">
        <v>236</v>
      </c>
      <c r="D45" s="26" t="s">
        <v>70</v>
      </c>
      <c r="E45" s="26" t="s">
        <v>70</v>
      </c>
      <c r="F45" s="26" t="s">
        <v>70</v>
      </c>
      <c r="G45" s="26" t="s">
        <v>70</v>
      </c>
      <c r="H45" s="26" t="s">
        <v>70</v>
      </c>
      <c r="I45" s="26" t="s">
        <v>70</v>
      </c>
      <c r="J45" s="26" t="s">
        <v>70</v>
      </c>
      <c r="K45" s="26" t="s">
        <v>70</v>
      </c>
      <c r="M45" s="26" t="s">
        <v>70</v>
      </c>
      <c r="N45" s="26" t="s">
        <v>70</v>
      </c>
      <c r="P45" s="2" t="s">
        <v>237</v>
      </c>
    </row>
    <row r="46" spans="2:16" x14ac:dyDescent="0.2">
      <c r="B46" s="2" t="s">
        <v>238</v>
      </c>
      <c r="D46" s="26" t="s">
        <v>70</v>
      </c>
      <c r="E46" s="26" t="s">
        <v>70</v>
      </c>
      <c r="F46" s="26" t="s">
        <v>70</v>
      </c>
      <c r="G46" s="26" t="s">
        <v>70</v>
      </c>
      <c r="H46" s="26" t="s">
        <v>70</v>
      </c>
      <c r="I46" s="26" t="s">
        <v>70</v>
      </c>
      <c r="J46" s="26" t="s">
        <v>70</v>
      </c>
      <c r="K46" s="26" t="s">
        <v>70</v>
      </c>
      <c r="M46" s="26" t="s">
        <v>70</v>
      </c>
      <c r="N46" s="26" t="s">
        <v>70</v>
      </c>
      <c r="P46" s="2" t="s">
        <v>239</v>
      </c>
    </row>
    <row r="48" spans="2:16" x14ac:dyDescent="0.2">
      <c r="B48" s="7" t="s">
        <v>240</v>
      </c>
    </row>
    <row r="49" spans="2:16" x14ac:dyDescent="0.2">
      <c r="B49" s="9" t="s">
        <v>241</v>
      </c>
    </row>
    <row r="50" spans="2:16" x14ac:dyDescent="0.2">
      <c r="B50" s="2" t="s">
        <v>242</v>
      </c>
      <c r="D50" s="3">
        <f>131.6*Model!T35</f>
        <v>10274.406800000001</v>
      </c>
      <c r="E50" s="3">
        <f>73.8*Model!U35</f>
        <v>5362.0865999999996</v>
      </c>
      <c r="F50" s="3">
        <f>133.3*Model!V35</f>
        <v>9748.3623000000007</v>
      </c>
      <c r="G50" s="3">
        <f>106.7*Model!W35</f>
        <v>7477.0025000000005</v>
      </c>
      <c r="H50" s="3">
        <f>113.7*Model!X35</f>
        <v>7436.4348</v>
      </c>
      <c r="I50" s="3">
        <f>Main!H4</f>
        <v>23231.114986099998</v>
      </c>
      <c r="J50" s="3">
        <f>Main!I4</f>
        <v>0</v>
      </c>
      <c r="K50" s="3">
        <f>Main!J4</f>
        <v>0</v>
      </c>
    </row>
    <row r="51" spans="2:16" x14ac:dyDescent="0.2">
      <c r="B51" s="2" t="s">
        <v>12</v>
      </c>
      <c r="D51" s="3">
        <f>(Model!T67+Model!T73+Model!T74+Model!T75-Model!T52-Model!T53)+D50</f>
        <v>8976.006800000001</v>
      </c>
      <c r="E51" s="3">
        <f>(Model!U67+Model!U73+Model!U74+Model!U75-Model!U52-Model!U53)+E50</f>
        <v>5985.0865999999996</v>
      </c>
      <c r="F51" s="3">
        <f>(Model!V67+Model!V73+Model!V74+Model!V75-Model!V52-Model!V53)+F50</f>
        <v>9899.2623000000003</v>
      </c>
      <c r="G51" s="3">
        <f>(Model!W67+Model!W73+Model!W74+Model!W75-Model!W52-Model!W53)+G50</f>
        <v>7988.7025000000012</v>
      </c>
      <c r="H51" s="3">
        <f>(Model!X67+Model!X73+Model!X74+Model!X75-Model!X52-Model!X53)+H50</f>
        <v>8465.6347999999998</v>
      </c>
      <c r="I51" s="3">
        <f>Main!H7</f>
        <v>23864.614986099998</v>
      </c>
      <c r="J51" s="3">
        <f>Main!I7</f>
        <v>0</v>
      </c>
      <c r="K51" s="3">
        <f>Main!J7</f>
        <v>0</v>
      </c>
    </row>
    <row r="52" spans="2:16" x14ac:dyDescent="0.2">
      <c r="B52" s="2" t="s">
        <v>243</v>
      </c>
      <c r="D52" s="23">
        <f>D50/Model!T32</f>
        <v>23.844063123694614</v>
      </c>
      <c r="E52" s="23">
        <f>E50/Model!U32</f>
        <v>13.952866510538627</v>
      </c>
      <c r="F52" s="23">
        <f>F50/Model!V32</f>
        <v>-80.498450041288251</v>
      </c>
      <c r="G52" s="23">
        <f>G50/Model!W32</f>
        <v>12.459594234294283</v>
      </c>
      <c r="H52" s="23">
        <f>H50/Model!X32</f>
        <v>14.226965372106363</v>
      </c>
      <c r="I52" s="23">
        <f>I50/Model!Y32</f>
        <v>35.944785681726792</v>
      </c>
      <c r="J52" s="23">
        <f>J50/Model!Z32</f>
        <v>0</v>
      </c>
      <c r="K52" s="23">
        <f>K50/Model!AA32</f>
        <v>0</v>
      </c>
      <c r="M52" s="23">
        <f t="shared" ref="M52:M63" si="16">AVERAGE(G52:I52,D52)</f>
        <v>21.618852102955511</v>
      </c>
      <c r="N52" s="23">
        <f>MEDIAN(G52:I52,D52:E52)</f>
        <v>14.226965372106363</v>
      </c>
      <c r="P52" s="2" t="s">
        <v>244</v>
      </c>
    </row>
    <row r="53" spans="2:16" x14ac:dyDescent="0.2">
      <c r="B53" s="2" t="s">
        <v>245</v>
      </c>
      <c r="D53" s="17">
        <f>D52/131.6</f>
        <v>0.18118588999767946</v>
      </c>
      <c r="E53" s="17">
        <f>E52/73.8</f>
        <v>0.18906323185011689</v>
      </c>
      <c r="F53" s="17">
        <f>F52/133.3</f>
        <v>-0.60388934764657343</v>
      </c>
      <c r="G53" s="17">
        <f>G52/106.7</f>
        <v>0.11677220463256122</v>
      </c>
      <c r="H53" s="17">
        <f>H52/113.7</f>
        <v>0.12512722402907972</v>
      </c>
      <c r="I53" s="17">
        <f>I52/Main!H2</f>
        <v>9.2189755531487033E-2</v>
      </c>
      <c r="J53" s="17" t="e">
        <f>J52/Main!I2</f>
        <v>#DIV/0!</v>
      </c>
      <c r="K53" s="17" t="e">
        <f>K52/Main!J2</f>
        <v>#DIV/0!</v>
      </c>
      <c r="M53" s="17">
        <f t="shared" si="16"/>
        <v>0.12881876854770186</v>
      </c>
      <c r="N53" s="17">
        <f t="shared" ref="N53:N63" si="17">MEDIAN(G53:I53,D53:E53)</f>
        <v>0.12512722402907972</v>
      </c>
      <c r="P53" s="2" t="s">
        <v>246</v>
      </c>
    </row>
    <row r="54" spans="2:16" x14ac:dyDescent="0.2">
      <c r="B54" s="2" t="s">
        <v>247</v>
      </c>
      <c r="D54" s="25" t="s">
        <v>70</v>
      </c>
      <c r="E54" s="23">
        <f>E52/(Model!U32/Model!T32-1)</f>
        <v>-129.01910256204266</v>
      </c>
      <c r="F54" s="23">
        <f>F52/(Model!V32/Model!U32-1)</f>
        <v>61.210040266852168</v>
      </c>
      <c r="G54" s="23">
        <f>G52/(Model!W32/Model!V32-1)</f>
        <v>-2.0921476175444211</v>
      </c>
      <c r="H54" s="23">
        <f>H52/(Model!X32/Model!W32-1)</f>
        <v>-110.30493436435457</v>
      </c>
      <c r="I54" s="23">
        <f>I52/(Model!Y32/Model!X32-1)</f>
        <v>152.00921906018431</v>
      </c>
      <c r="J54" s="23">
        <f>J52/(Model!Z32/Model!Y32-1)</f>
        <v>0</v>
      </c>
      <c r="K54" s="23">
        <f>K52/(Model!AA32/Model!Z32-1)</f>
        <v>0</v>
      </c>
      <c r="M54" s="23">
        <f t="shared" si="16"/>
        <v>13.204045692761772</v>
      </c>
      <c r="N54" s="23">
        <f t="shared" si="17"/>
        <v>-56.198540990949496</v>
      </c>
      <c r="P54" s="2" t="s">
        <v>248</v>
      </c>
    </row>
    <row r="55" spans="2:16" x14ac:dyDescent="0.2">
      <c r="B55" s="2" t="s">
        <v>249</v>
      </c>
      <c r="D55" s="23">
        <f>D50/Model!T81</f>
        <v>3.1255800681431003</v>
      </c>
      <c r="E55" s="23">
        <f>E50/Model!U81</f>
        <v>1.9910462292525333</v>
      </c>
      <c r="F55" s="23">
        <f>F50/Model!V81</f>
        <v>3.7430357471970535</v>
      </c>
      <c r="G55" s="23">
        <f>G50/Model!W81</f>
        <v>2.9483448343848582</v>
      </c>
      <c r="H55" s="23">
        <f>H50/Model!X81</f>
        <v>3.0596316807241322</v>
      </c>
      <c r="I55" s="23">
        <f>I50/Model!Y81</f>
        <v>9.4809268196139218</v>
      </c>
      <c r="J55" s="23">
        <f>J50/Model!Z81</f>
        <v>0</v>
      </c>
      <c r="K55" s="23">
        <f>K50/Model!AA81</f>
        <v>0</v>
      </c>
      <c r="M55" s="23">
        <f t="shared" si="16"/>
        <v>4.6536208507165036</v>
      </c>
      <c r="N55" s="23">
        <f t="shared" si="17"/>
        <v>3.0596316807241322</v>
      </c>
      <c r="P55" s="2" t="s">
        <v>250</v>
      </c>
    </row>
    <row r="56" spans="2:16" x14ac:dyDescent="0.2">
      <c r="B56" s="2" t="s">
        <v>251</v>
      </c>
      <c r="D56" s="23">
        <f>D50/(Model!T81-Model!T63-Model!T62)</f>
        <v>4.6619205953083158</v>
      </c>
      <c r="E56" s="23">
        <f>E50/(Model!U81-Model!U63-Model!U62)</f>
        <v>3.2763574483685662</v>
      </c>
      <c r="F56" s="23">
        <f>F50/(Model!V81-Model!V63-Model!V62)</f>
        <v>6.2945452960547605</v>
      </c>
      <c r="G56" s="23">
        <f>G50/(Model!W81-Model!W63-Model!W62)</f>
        <v>4.9048822487536086</v>
      </c>
      <c r="H56" s="23">
        <f>H50/(Model!X81-Model!X63-Model!X62)</f>
        <v>5.1545260969016464</v>
      </c>
      <c r="I56" s="23">
        <f>I50/(Model!Y81-Model!Y63-Model!Y62)</f>
        <v>15.628062553716774</v>
      </c>
      <c r="J56" s="23">
        <f>J50/(Model!Z81-Model!Z63-Model!Z62)</f>
        <v>0</v>
      </c>
      <c r="K56" s="23">
        <f>K50/(Model!AA81-Model!AA63-Model!AA62)</f>
        <v>0</v>
      </c>
      <c r="M56" s="23">
        <f t="shared" si="16"/>
        <v>7.5873478736700868</v>
      </c>
      <c r="N56" s="23">
        <f t="shared" si="17"/>
        <v>4.9048822487536086</v>
      </c>
      <c r="P56" s="2" t="s">
        <v>252</v>
      </c>
    </row>
    <row r="57" spans="2:16" x14ac:dyDescent="0.2">
      <c r="B57" s="2" t="s">
        <v>253</v>
      </c>
      <c r="D57" s="23">
        <f>D50/Model!T101</f>
        <v>13.108454707833637</v>
      </c>
      <c r="E57" s="23">
        <f>E50/Model!U101</f>
        <v>7.1058661542539054</v>
      </c>
      <c r="F57" s="23">
        <f>F50/Model!V101</f>
        <v>25.592970070884746</v>
      </c>
      <c r="G57" s="23">
        <f>G50/Model!W101</f>
        <v>10.444199608883919</v>
      </c>
      <c r="H57" s="23">
        <f>H50/Model!X101</f>
        <v>18.093515328467145</v>
      </c>
      <c r="I57" s="23">
        <f>I50/Model!Y101</f>
        <v>21.71741141076939</v>
      </c>
      <c r="J57" s="23">
        <f>J50/Model!Z101</f>
        <v>0</v>
      </c>
      <c r="K57" s="23">
        <f>K50/Model!AA101</f>
        <v>0</v>
      </c>
      <c r="M57" s="23">
        <f t="shared" si="16"/>
        <v>15.840895263988523</v>
      </c>
      <c r="N57" s="23">
        <f t="shared" si="17"/>
        <v>13.108454707833637</v>
      </c>
      <c r="P57" s="2" t="s">
        <v>254</v>
      </c>
    </row>
    <row r="58" spans="2:16" x14ac:dyDescent="0.2">
      <c r="B58" s="2" t="s">
        <v>255</v>
      </c>
      <c r="D58" s="23">
        <f>D50/Model!T19</f>
        <v>1.6274998891176937</v>
      </c>
      <c r="E58" s="23">
        <f>E50/Model!U19</f>
        <v>0.87049686678138893</v>
      </c>
      <c r="F58" s="23">
        <f>F50/Model!V19</f>
        <v>2.2151341347027813</v>
      </c>
      <c r="G58" s="23">
        <f>G50/Model!W19</f>
        <v>1.2023803972018976</v>
      </c>
      <c r="H58" s="23">
        <f>H50/Model!X19</f>
        <v>1.154080762306785</v>
      </c>
      <c r="I58" s="23">
        <f>I50/Model!Y19</f>
        <v>3.5031991715324065</v>
      </c>
      <c r="J58" s="23">
        <f>J50/Model!Z19</f>
        <v>0</v>
      </c>
      <c r="K58" s="23">
        <f>K50/Model!AA19</f>
        <v>0</v>
      </c>
      <c r="M58" s="23">
        <f t="shared" si="16"/>
        <v>1.8717900550396958</v>
      </c>
      <c r="N58" s="23">
        <f t="shared" si="17"/>
        <v>1.2023803972018976</v>
      </c>
      <c r="P58" s="2" t="s">
        <v>256</v>
      </c>
    </row>
    <row r="59" spans="2:16" x14ac:dyDescent="0.2">
      <c r="B59" s="9" t="s">
        <v>257</v>
      </c>
      <c r="M59" s="23"/>
      <c r="N59" s="23"/>
    </row>
    <row r="60" spans="2:16" x14ac:dyDescent="0.2">
      <c r="B60" s="2" t="s">
        <v>258</v>
      </c>
      <c r="D60" s="23">
        <f>D51/(Model!T26+Model!T86)</f>
        <v>10.646431977226905</v>
      </c>
      <c r="E60" s="23">
        <f>E51/(Model!U26+Model!U86)</f>
        <v>10.204751236146624</v>
      </c>
      <c r="F60" s="23">
        <f>F51/(Model!V26+Model!V86)</f>
        <v>48.525795588235276</v>
      </c>
      <c r="G60" s="23">
        <f>G51/(Model!W26+Model!W86)</f>
        <v>7.7703555101643813</v>
      </c>
      <c r="H60" s="23">
        <f>H51/(Model!X26+Model!X86)</f>
        <v>9.155006813020437</v>
      </c>
      <c r="I60" s="23">
        <f>I51/(Model!Y26+Model!Y86)</f>
        <v>24.218200716561821</v>
      </c>
      <c r="J60" s="23">
        <f>J51/(Model!Z26+Model!Z86)</f>
        <v>0</v>
      </c>
      <c r="K60" s="23">
        <f>K51/(Model!AA26+Model!AA86)</f>
        <v>0</v>
      </c>
      <c r="M60" s="23">
        <f t="shared" si="16"/>
        <v>12.947498754243385</v>
      </c>
      <c r="N60" s="23">
        <f t="shared" si="17"/>
        <v>10.204751236146624</v>
      </c>
      <c r="P60" s="2" t="s">
        <v>258</v>
      </c>
    </row>
    <row r="61" spans="2:16" x14ac:dyDescent="0.2">
      <c r="B61" s="2" t="s">
        <v>259</v>
      </c>
      <c r="D61" s="23">
        <f>Ratios!D51/Model!T26</f>
        <v>15.977228195087228</v>
      </c>
      <c r="E61" s="23">
        <f>Ratios!E51/Model!U26</f>
        <v>18.880399369085143</v>
      </c>
      <c r="F61" s="23">
        <f>Ratios!F51/Model!V26</f>
        <v>-227.04730045871608</v>
      </c>
      <c r="G61" s="23">
        <f>Ratios!G51/Model!W26</f>
        <v>10.005889904809619</v>
      </c>
      <c r="H61" s="23">
        <f>Ratios!H51/Model!X26</f>
        <v>12.021634194831009</v>
      </c>
      <c r="I61" s="23">
        <f>Ratios!I51/Model!Y26</f>
        <v>31.550257781729275</v>
      </c>
      <c r="J61" s="23">
        <f>Ratios!J51/Model!Z26</f>
        <v>0</v>
      </c>
      <c r="K61" s="23">
        <f>Ratios!K51/Model!AA26</f>
        <v>0</v>
      </c>
      <c r="M61" s="23">
        <f t="shared" si="16"/>
        <v>17.388752519114284</v>
      </c>
      <c r="N61" s="23">
        <f t="shared" si="17"/>
        <v>15.977228195087228</v>
      </c>
      <c r="P61" s="2" t="s">
        <v>259</v>
      </c>
    </row>
    <row r="62" spans="2:16" x14ac:dyDescent="0.2">
      <c r="B62" s="2" t="s">
        <v>260</v>
      </c>
      <c r="D62" s="23">
        <f>D51/(Model!T26*(1-Model!T49)+Model!T86+Model!T102+SUM(Model!T94:T100))</f>
        <v>23.749409176237659</v>
      </c>
      <c r="E62" s="23">
        <f>E51/(Model!U26*(1-Model!U49)+Model!U86+Model!U102+SUM(Model!U94:U100))</f>
        <v>13.668939626752815</v>
      </c>
      <c r="F62" s="23">
        <f>F51/(Model!V26*(1-Model!V49)+Model!V86+Model!V102+SUM(Model!V94:V100))</f>
        <v>63.68932845888164</v>
      </c>
      <c r="G62" s="23">
        <f>G51/(Model!W26*(1-Model!W49)+Model!W86+Model!W102+SUM(Model!W94:W100))</f>
        <v>16.436095027550397</v>
      </c>
      <c r="H62" s="23">
        <f>H51/(Model!X26*(1-Model!X49)+Model!X86+Model!X102+SUM(Model!X94:X100))</f>
        <v>154.91277282965646</v>
      </c>
      <c r="I62" s="23">
        <f>I51/(Model!Y26*(1-Model!Y49)+Model!Y86+Model!Y102+SUM(Model!Y94:Y100))</f>
        <v>30.510912344460252</v>
      </c>
      <c r="J62" s="23">
        <f>J51/(Model!Z26*(1-Model!Z49)+Model!Z86+Model!Z102+SUM(Model!Z94:Z100))</f>
        <v>0</v>
      </c>
      <c r="K62" s="23">
        <f>K51/(Model!AA26*(1-Model!AA49)+Model!AA86+Model!AA102+SUM(Model!AA94:AA100))</f>
        <v>0</v>
      </c>
      <c r="M62" s="23">
        <f t="shared" si="16"/>
        <v>56.402297344476196</v>
      </c>
      <c r="N62" s="23">
        <f t="shared" si="17"/>
        <v>23.749409176237659</v>
      </c>
      <c r="P62" s="2" t="s">
        <v>260</v>
      </c>
    </row>
    <row r="63" spans="2:16" x14ac:dyDescent="0.2">
      <c r="B63" s="2" t="s">
        <v>261</v>
      </c>
      <c r="D63" s="23">
        <f>D51/Model!T19</f>
        <v>1.4218290511642644</v>
      </c>
      <c r="E63" s="23">
        <f>E51/Model!U19</f>
        <v>0.97163651417253794</v>
      </c>
      <c r="F63" s="23">
        <f>F51/Model!V19</f>
        <v>2.2494233548445739</v>
      </c>
      <c r="G63" s="23">
        <f>G51/Model!W19</f>
        <v>1.2846671222963739</v>
      </c>
      <c r="H63" s="23">
        <f>H51/Model!X19</f>
        <v>1.3138051399838599</v>
      </c>
      <c r="I63" s="23">
        <f>I51/Model!Y19</f>
        <v>3.5987295271134299</v>
      </c>
      <c r="J63" s="23">
        <f>J51/Model!Z19</f>
        <v>0</v>
      </c>
      <c r="K63" s="23">
        <f>K51/Model!AA19</f>
        <v>0</v>
      </c>
      <c r="M63" s="23">
        <f t="shared" si="16"/>
        <v>1.9047577101394821</v>
      </c>
      <c r="N63" s="23">
        <f t="shared" si="17"/>
        <v>1.3138051399838599</v>
      </c>
      <c r="P63" s="2" t="s">
        <v>262</v>
      </c>
    </row>
  </sheetData>
  <hyperlinks>
    <hyperlink ref="A1" location="Main!A1" display="Main" xr:uid="{56587087-4FCD-48F6-BCF6-2206100A6B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Ratios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Oscar Settje</dc:creator>
  <cp:keywords/>
  <dc:description/>
  <cp:lastModifiedBy>Oscar Settje</cp:lastModifiedBy>
  <cp:revision/>
  <dcterms:created xsi:type="dcterms:W3CDTF">2024-05-10T16:41:46Z</dcterms:created>
  <dcterms:modified xsi:type="dcterms:W3CDTF">2026-08-12T15:15:05Z</dcterms:modified>
  <cp:category/>
  <cp:contentStatus/>
</cp:coreProperties>
</file>