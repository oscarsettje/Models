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4D2006D-B5D1-4B78-8A0A-8B0F23A26EEE}" xr6:coauthVersionLast="47" xr6:coauthVersionMax="47" xr10:uidLastSave="{00000000-0000-0000-0000-000000000000}"/>
  <bookViews>
    <workbookView xWindow="-105" yWindow="0" windowWidth="19410" windowHeight="20925" xr2:uid="{D4AB9EB7-16BE-40D6-9423-80AAF9AE2F0E}"/>
  </bookViews>
  <sheets>
    <sheet name="Main" sheetId="1" r:id="rId1"/>
    <sheet name="Model" sheetId="2" r:id="rId2"/>
    <sheet name="Paten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0" i="1" l="1"/>
  <c r="F22" i="2"/>
  <c r="G22" i="2"/>
  <c r="G21" i="2"/>
  <c r="L5" i="1"/>
  <c r="L7" i="1" s="1"/>
  <c r="L4" i="1"/>
  <c r="F18" i="2" l="1"/>
  <c r="G18" i="2"/>
</calcChain>
</file>

<file path=xl/sharedStrings.xml><?xml version="1.0" encoding="utf-8"?>
<sst xmlns="http://schemas.openxmlformats.org/spreadsheetml/2006/main" count="47" uniqueCount="43">
  <si>
    <t>Cerebras</t>
  </si>
  <si>
    <t>https://www.sec.gov/Archives/edgar/data/2021728/000162828026025762/cerebras-sx1april2026.htm</t>
  </si>
  <si>
    <t>numbers in mio USD</t>
  </si>
  <si>
    <t>Price</t>
  </si>
  <si>
    <t>Shares</t>
  </si>
  <si>
    <t>MC</t>
  </si>
  <si>
    <t>Cash</t>
  </si>
  <si>
    <t>EV</t>
  </si>
  <si>
    <t>Debt</t>
  </si>
  <si>
    <t>Main</t>
  </si>
  <si>
    <t>Number</t>
  </si>
  <si>
    <t>Name</t>
  </si>
  <si>
    <t>Inventor</t>
  </si>
  <si>
    <t>Issued</t>
  </si>
  <si>
    <t>Notes</t>
  </si>
  <si>
    <t>link</t>
  </si>
  <si>
    <t>https://patents.google.com/patent/US10366967B2/en</t>
  </si>
  <si>
    <t>https://patents.google.com/patent/US10726329B2/en</t>
  </si>
  <si>
    <t>https://patents.google.com/patent/US11853867B2/en</t>
  </si>
  <si>
    <t>Cerebras Systems Inc</t>
  </si>
  <si>
    <t xml:space="preserve">IPO Price </t>
  </si>
  <si>
    <t>openend at 350</t>
  </si>
  <si>
    <t>FY25</t>
  </si>
  <si>
    <t>FY24</t>
  </si>
  <si>
    <t>Hardware Revenue</t>
  </si>
  <si>
    <t>Cloud and Services</t>
  </si>
  <si>
    <t>Revenue</t>
  </si>
  <si>
    <t>Hardware COGS</t>
  </si>
  <si>
    <t>Cloud COGS</t>
  </si>
  <si>
    <t>Gross Profit</t>
  </si>
  <si>
    <t>R&amp;D</t>
  </si>
  <si>
    <t>S&amp;M</t>
  </si>
  <si>
    <t>G&amp;A</t>
  </si>
  <si>
    <t>Operating Income</t>
  </si>
  <si>
    <t>Other Income</t>
  </si>
  <si>
    <t>Pretax Income</t>
  </si>
  <si>
    <t>Tax Expense</t>
  </si>
  <si>
    <t>Net Income</t>
  </si>
  <si>
    <t>EPS</t>
  </si>
  <si>
    <t>Q425</t>
  </si>
  <si>
    <t>Revenue-Multiple</t>
  </si>
  <si>
    <t>Revenue Growth</t>
  </si>
  <si>
    <t>Gross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</si>
</sst>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;\(#,##0.0\)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165" fontId="0" fillId="0" borderId="0" xfId="0" applyNumberFormat="1"/>
    <xf numFmtId="9" fontId="0" fillId="0" borderId="0" xfId="2" applyFont="1"/>
    <xf numFmtId="165" fontId="1" fillId="0" borderId="0" xfId="0" applyNumberFormat="1" applyFont="1"/>
    <xf numFmtId="0" fontId="0" fillId="0" borderId="0" xfId="0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4C9F-5032-4350-9CE7-6BCADDDC4220}">
  <dimension ref="A1:M19"/>
  <sheetViews>
    <sheetView tabSelected="1" topLeftCell="E1" zoomScale="200" zoomScaleNormal="200" workbookViewId="0">
      <selection activeCell="M10" sqref="M10"/>
    </sheetView>
  </sheetViews>
  <sheetFormatPr defaultRowHeight="12.75" x14ac:dyDescent="0.2"/>
  <cols>
    <col min="1" max="1" width="3.42578125" customWidth="1"/>
  </cols>
  <sheetData>
    <row r="1" spans="1:13" x14ac:dyDescent="0.2">
      <c r="A1" s="1" t="s">
        <v>0</v>
      </c>
    </row>
    <row r="2" spans="1:13" x14ac:dyDescent="0.2">
      <c r="A2" t="s">
        <v>2</v>
      </c>
      <c r="K2" t="s">
        <v>3</v>
      </c>
      <c r="L2">
        <v>311.07</v>
      </c>
    </row>
    <row r="3" spans="1:13" x14ac:dyDescent="0.2">
      <c r="K3" t="s">
        <v>4</v>
      </c>
      <c r="L3" s="3">
        <v>215.23</v>
      </c>
      <c r="M3" s="6" t="s">
        <v>39</v>
      </c>
    </row>
    <row r="4" spans="1:13" x14ac:dyDescent="0.2">
      <c r="K4" t="s">
        <v>5</v>
      </c>
      <c r="L4" s="3">
        <f>+L2*L3</f>
        <v>66951.596099999995</v>
      </c>
    </row>
    <row r="5" spans="1:13" x14ac:dyDescent="0.2">
      <c r="K5" t="s">
        <v>6</v>
      </c>
      <c r="L5" s="3">
        <f>701.706+406.531</f>
        <v>1108.2370000000001</v>
      </c>
      <c r="M5" s="6" t="s">
        <v>39</v>
      </c>
    </row>
    <row r="6" spans="1:13" x14ac:dyDescent="0.2">
      <c r="K6" t="s">
        <v>8</v>
      </c>
      <c r="L6" s="3">
        <v>0</v>
      </c>
      <c r="M6" s="6" t="s">
        <v>39</v>
      </c>
    </row>
    <row r="7" spans="1:13" x14ac:dyDescent="0.2">
      <c r="K7" t="s">
        <v>7</v>
      </c>
      <c r="L7" s="3">
        <f>+L4-L5+L6</f>
        <v>65843.359100000001</v>
      </c>
    </row>
    <row r="10" spans="1:13" x14ac:dyDescent="0.2">
      <c r="K10" t="s">
        <v>40</v>
      </c>
      <c r="M10">
        <f>+L4/Model!G5</f>
        <v>131.27995611687265</v>
      </c>
    </row>
    <row r="14" spans="1:13" x14ac:dyDescent="0.2">
      <c r="B14" t="s">
        <v>19</v>
      </c>
    </row>
    <row r="15" spans="1:13" x14ac:dyDescent="0.2">
      <c r="B15" t="s">
        <v>20</v>
      </c>
      <c r="C15">
        <v>185</v>
      </c>
      <c r="D15" s="4" t="s">
        <v>21</v>
      </c>
    </row>
    <row r="19" spans="2:2" x14ac:dyDescent="0.2">
      <c r="B19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91BE-36FB-4AB0-8BD8-E4DD9097BD85}">
  <dimension ref="A1:CB414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3" sqref="B23"/>
    </sheetView>
  </sheetViews>
  <sheetFormatPr defaultRowHeight="12.75" x14ac:dyDescent="0.2"/>
  <cols>
    <col min="1" max="1" width="5" bestFit="1" customWidth="1"/>
    <col min="2" max="2" width="25.28515625" customWidth="1"/>
  </cols>
  <sheetData>
    <row r="1" spans="1:80" x14ac:dyDescent="0.2">
      <c r="A1" s="2" t="s">
        <v>9</v>
      </c>
    </row>
    <row r="2" spans="1:80" x14ac:dyDescent="0.2">
      <c r="F2" s="6" t="s">
        <v>23</v>
      </c>
      <c r="G2" s="6" t="s">
        <v>22</v>
      </c>
    </row>
    <row r="3" spans="1:80" x14ac:dyDescent="0.2">
      <c r="B3" t="s">
        <v>24</v>
      </c>
      <c r="C3" s="3"/>
      <c r="D3" s="3"/>
      <c r="E3" s="3"/>
      <c r="F3" s="3">
        <v>211.96499999999997</v>
      </c>
      <c r="G3" s="3">
        <v>358.44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</row>
    <row r="4" spans="1:80" x14ac:dyDescent="0.2">
      <c r="B4" t="s">
        <v>25</v>
      </c>
      <c r="C4" s="3"/>
      <c r="D4" s="3"/>
      <c r="E4" s="3"/>
      <c r="F4" s="3">
        <v>78.286999999999992</v>
      </c>
      <c r="G4" s="3">
        <v>151.55099999999999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spans="1:80" x14ac:dyDescent="0.2">
      <c r="B5" s="1" t="s">
        <v>26</v>
      </c>
      <c r="C5" s="5"/>
      <c r="D5" s="5"/>
      <c r="E5" s="3"/>
      <c r="F5" s="5">
        <v>290.25199999999995</v>
      </c>
      <c r="G5" s="5">
        <v>509.99099999999999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</row>
    <row r="6" spans="1:80" x14ac:dyDescent="0.2">
      <c r="B6" t="s">
        <v>27</v>
      </c>
      <c r="C6" s="3"/>
      <c r="D6" s="3"/>
      <c r="E6" s="3"/>
      <c r="F6" s="3">
        <v>137.30999999999997</v>
      </c>
      <c r="G6" s="3">
        <v>204.74600000000001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</row>
    <row r="7" spans="1:80" x14ac:dyDescent="0.2">
      <c r="B7" t="s">
        <v>28</v>
      </c>
      <c r="C7" s="3"/>
      <c r="D7" s="3"/>
      <c r="E7" s="3"/>
      <c r="F7" s="3">
        <v>30.204000000000001</v>
      </c>
      <c r="G7" s="3">
        <v>106.17400000000001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</row>
    <row r="8" spans="1:80" x14ac:dyDescent="0.2">
      <c r="B8" t="s">
        <v>29</v>
      </c>
      <c r="C8" s="3"/>
      <c r="D8" s="3"/>
      <c r="E8" s="3"/>
      <c r="F8" s="3">
        <v>122.73799999999996</v>
      </c>
      <c r="G8" s="3">
        <v>199.071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</row>
    <row r="9" spans="1:80" x14ac:dyDescent="0.2">
      <c r="B9" t="s">
        <v>30</v>
      </c>
      <c r="C9" s="3"/>
      <c r="D9" s="3"/>
      <c r="E9" s="3"/>
      <c r="F9" s="3">
        <v>158.23400000000001</v>
      </c>
      <c r="G9" s="3">
        <v>243.31900000000002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</row>
    <row r="10" spans="1:80" x14ac:dyDescent="0.2">
      <c r="B10" t="s">
        <v>31</v>
      </c>
      <c r="C10" s="3"/>
      <c r="D10" s="3"/>
      <c r="E10" s="3"/>
      <c r="F10" s="3">
        <v>20.979999999999997</v>
      </c>
      <c r="G10" s="3">
        <v>76.45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</row>
    <row r="11" spans="1:80" x14ac:dyDescent="0.2">
      <c r="B11" t="s">
        <v>32</v>
      </c>
      <c r="C11" s="3"/>
      <c r="D11" s="3"/>
      <c r="E11" s="3"/>
      <c r="F11" s="3">
        <v>44.962000000000003</v>
      </c>
      <c r="G11" s="3">
        <v>30.969000000000001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</row>
    <row r="12" spans="1:80" x14ac:dyDescent="0.2">
      <c r="B12" t="s">
        <v>33</v>
      </c>
      <c r="C12" s="3"/>
      <c r="D12" s="3"/>
      <c r="E12" s="3"/>
      <c r="F12" s="3">
        <v>-101.43800000000006</v>
      </c>
      <c r="G12" s="3">
        <v>-151.66700000000006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</row>
    <row r="13" spans="1:80" x14ac:dyDescent="0.2">
      <c r="B13" t="s">
        <v>34</v>
      </c>
      <c r="C13" s="3"/>
      <c r="D13" s="3"/>
      <c r="E13" s="3"/>
      <c r="F13" s="3">
        <v>-378.23699999999997</v>
      </c>
      <c r="G13" s="3">
        <v>390.74599999999998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</row>
    <row r="14" spans="1:80" x14ac:dyDescent="0.2">
      <c r="B14" t="s">
        <v>35</v>
      </c>
      <c r="C14" s="3"/>
      <c r="D14" s="3"/>
      <c r="E14" s="3"/>
      <c r="F14" s="3">
        <v>-479.67500000000007</v>
      </c>
      <c r="G14" s="3">
        <v>239.07899999999992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</row>
    <row r="15" spans="1:80" x14ac:dyDescent="0.2">
      <c r="B15" t="s">
        <v>36</v>
      </c>
      <c r="C15" s="3"/>
      <c r="D15" s="3"/>
      <c r="E15" s="3"/>
      <c r="F15" s="3">
        <v>1.9269999999999998</v>
      </c>
      <c r="G15" s="3">
        <v>7.0569999999999995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</row>
    <row r="16" spans="1:80" x14ac:dyDescent="0.2">
      <c r="B16" t="s">
        <v>37</v>
      </c>
      <c r="C16" s="3"/>
      <c r="D16" s="3"/>
      <c r="E16" s="3"/>
      <c r="F16" s="3">
        <v>-481.60200000000009</v>
      </c>
      <c r="G16" s="3">
        <v>232.02199999999993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</row>
    <row r="17" spans="2:80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</row>
    <row r="18" spans="2:80" x14ac:dyDescent="0.2">
      <c r="B18" t="s">
        <v>38</v>
      </c>
      <c r="C18" s="3"/>
      <c r="D18" s="3"/>
      <c r="E18" s="3"/>
      <c r="F18" s="3">
        <f>+F16/F19</f>
        <v>-9.834231805929921</v>
      </c>
      <c r="G18" s="3">
        <f>+G16/G19</f>
        <v>4.3274768725753496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</row>
    <row r="19" spans="2:80" x14ac:dyDescent="0.2">
      <c r="B19" t="s">
        <v>4</v>
      </c>
      <c r="C19" s="3"/>
      <c r="D19" s="3"/>
      <c r="E19" s="3"/>
      <c r="F19" s="3">
        <v>48.972000000000001</v>
      </c>
      <c r="G19" s="3">
        <v>53.616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</row>
    <row r="20" spans="2:80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</row>
    <row r="21" spans="2:80" x14ac:dyDescent="0.2">
      <c r="B21" s="1" t="s">
        <v>41</v>
      </c>
      <c r="C21" s="3"/>
      <c r="D21" s="3"/>
      <c r="E21" s="3"/>
      <c r="F21" s="3"/>
      <c r="G21" s="4">
        <f>+G5/F5-1</f>
        <v>0.75706282816311377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</row>
    <row r="22" spans="2:80" x14ac:dyDescent="0.2">
      <c r="B22" t="s">
        <v>42</v>
      </c>
      <c r="C22" s="3"/>
      <c r="D22" s="3"/>
      <c r="E22" s="3"/>
      <c r="F22" s="4">
        <f>+F8/F5</f>
        <v>0.42286702589473968</v>
      </c>
      <c r="G22" s="4">
        <f>+G8/G5</f>
        <v>0.39034218250910313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</row>
    <row r="23" spans="2:80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2:80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</row>
    <row r="25" spans="2:80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2:80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2:80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2:80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2:80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2:80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2:80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2:80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3:8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3:8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3:8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3:8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</row>
    <row r="37" spans="3:8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3:8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</row>
    <row r="39" spans="3:8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</row>
    <row r="40" spans="3:8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</row>
    <row r="41" spans="3:8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</row>
    <row r="42" spans="3:8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</row>
    <row r="43" spans="3:8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3:8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</row>
    <row r="45" spans="3:8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</row>
    <row r="46" spans="3:8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</row>
    <row r="47" spans="3:8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3:8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</row>
    <row r="49" spans="3:8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</row>
    <row r="50" spans="3:8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</row>
    <row r="51" spans="3:8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</row>
    <row r="52" spans="3:8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</row>
    <row r="53" spans="3:8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</row>
    <row r="54" spans="3:8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</row>
    <row r="55" spans="3:8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</row>
    <row r="56" spans="3:8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</row>
    <row r="57" spans="3:8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3:8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</row>
    <row r="59" spans="3:8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</row>
    <row r="60" spans="3:8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</row>
    <row r="61" spans="3:8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</row>
    <row r="62" spans="3:8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</row>
    <row r="63" spans="3:8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</row>
    <row r="64" spans="3:8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</row>
    <row r="65" spans="3:8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</row>
    <row r="66" spans="3:8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</row>
    <row r="67" spans="3:8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</row>
    <row r="68" spans="3:8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</row>
    <row r="69" spans="3:8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</row>
    <row r="70" spans="3:8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</row>
    <row r="71" spans="3:8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</row>
    <row r="72" spans="3:8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</row>
    <row r="73" spans="3:8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</row>
    <row r="74" spans="3:8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</row>
    <row r="75" spans="3:8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</row>
    <row r="76" spans="3:8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</row>
    <row r="77" spans="3:8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</row>
    <row r="78" spans="3:8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</row>
    <row r="79" spans="3:8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</row>
    <row r="80" spans="3:8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</row>
    <row r="81" spans="3:8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</row>
    <row r="82" spans="3:8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</row>
    <row r="83" spans="3:8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</row>
    <row r="84" spans="3:8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</row>
    <row r="85" spans="3:8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</row>
    <row r="86" spans="3:8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</row>
    <row r="87" spans="3:8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</row>
    <row r="88" spans="3:8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</row>
    <row r="89" spans="3:8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</row>
    <row r="90" spans="3:8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</row>
    <row r="91" spans="3:8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</row>
    <row r="92" spans="3:8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</row>
    <row r="93" spans="3:8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</row>
    <row r="94" spans="3:8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</row>
    <row r="95" spans="3:8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</row>
    <row r="96" spans="3:8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</row>
    <row r="97" spans="3:8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</row>
    <row r="98" spans="3:8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</row>
    <row r="99" spans="3:8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</row>
    <row r="100" spans="3:8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</row>
    <row r="101" spans="3:8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</row>
    <row r="102" spans="3:8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</row>
    <row r="103" spans="3:8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</row>
    <row r="104" spans="3:8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</row>
    <row r="105" spans="3:8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</row>
    <row r="106" spans="3:8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</row>
    <row r="107" spans="3:8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</row>
    <row r="108" spans="3:8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</row>
    <row r="109" spans="3:8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</row>
    <row r="110" spans="3:8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</row>
    <row r="111" spans="3:8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</row>
    <row r="112" spans="3:8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</row>
    <row r="113" spans="3:8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</row>
    <row r="114" spans="3:8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</row>
    <row r="115" spans="3:8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</row>
    <row r="116" spans="3:8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</row>
    <row r="117" spans="3:8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</row>
    <row r="118" spans="3:8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</row>
    <row r="119" spans="3:8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</row>
    <row r="120" spans="3:8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</row>
    <row r="121" spans="3:8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</row>
    <row r="122" spans="3:8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</row>
    <row r="123" spans="3:8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</row>
    <row r="124" spans="3:8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</row>
    <row r="125" spans="3:8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</row>
    <row r="126" spans="3:8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</row>
    <row r="127" spans="3:8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</row>
    <row r="128" spans="3:8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</row>
    <row r="129" spans="3:8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</row>
    <row r="130" spans="3:8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</row>
    <row r="131" spans="3:8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</row>
    <row r="132" spans="3:8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</row>
    <row r="133" spans="3:8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</row>
    <row r="134" spans="3:8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</row>
    <row r="135" spans="3:8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</row>
    <row r="136" spans="3:8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</row>
    <row r="137" spans="3:8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</row>
    <row r="138" spans="3:8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</row>
    <row r="139" spans="3:8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</row>
    <row r="140" spans="3:8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</row>
    <row r="141" spans="3:8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</row>
    <row r="142" spans="3:8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</row>
    <row r="143" spans="3:8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</row>
    <row r="144" spans="3:8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</row>
    <row r="145" spans="3:8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</row>
    <row r="146" spans="3:8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</row>
    <row r="147" spans="3:8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</row>
    <row r="148" spans="3:8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</row>
    <row r="149" spans="3:8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</row>
    <row r="150" spans="3:8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</row>
    <row r="151" spans="3:8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</row>
    <row r="152" spans="3:8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</row>
    <row r="153" spans="3:8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</row>
    <row r="154" spans="3:8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</row>
    <row r="155" spans="3:8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</row>
    <row r="156" spans="3:8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</row>
    <row r="157" spans="3:8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</row>
    <row r="158" spans="3:8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</row>
    <row r="159" spans="3:8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</row>
    <row r="160" spans="3:8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</row>
    <row r="161" spans="3:8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</row>
    <row r="162" spans="3:8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</row>
    <row r="163" spans="3:8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</row>
    <row r="164" spans="3:8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</row>
    <row r="165" spans="3:8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</row>
    <row r="166" spans="3:8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</row>
    <row r="167" spans="3:8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</row>
    <row r="168" spans="3:8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</row>
    <row r="169" spans="3:8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</row>
    <row r="170" spans="3:8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</row>
    <row r="171" spans="3:8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</row>
    <row r="172" spans="3:8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</row>
    <row r="173" spans="3:8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</row>
    <row r="174" spans="3:8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</row>
    <row r="175" spans="3:8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</row>
    <row r="176" spans="3:8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</row>
    <row r="177" spans="3:8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</row>
    <row r="178" spans="3:8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</row>
    <row r="179" spans="3:8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</row>
    <row r="180" spans="3:8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</row>
    <row r="181" spans="3:8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</row>
    <row r="182" spans="3:8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</row>
    <row r="183" spans="3:8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</row>
    <row r="184" spans="3:8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</row>
    <row r="185" spans="3:8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</row>
    <row r="186" spans="3:8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</row>
    <row r="187" spans="3:8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</row>
    <row r="188" spans="3:8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</row>
    <row r="189" spans="3:8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</row>
    <row r="190" spans="3:8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</row>
    <row r="191" spans="3:8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</row>
    <row r="192" spans="3:8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</row>
    <row r="193" spans="3:8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</row>
    <row r="194" spans="3:8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</row>
    <row r="195" spans="3:8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</row>
    <row r="196" spans="3:8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</row>
    <row r="197" spans="3:8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</row>
    <row r="198" spans="3:8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</row>
    <row r="199" spans="3:8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</row>
    <row r="200" spans="3:8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</row>
    <row r="201" spans="3:8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</row>
    <row r="202" spans="3:8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</row>
    <row r="203" spans="3:8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</row>
    <row r="204" spans="3:8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</row>
    <row r="205" spans="3:8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</row>
    <row r="206" spans="3:8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</row>
    <row r="207" spans="3:8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</row>
    <row r="208" spans="3:8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</row>
    <row r="209" spans="3:8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</row>
    <row r="210" spans="3:8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</row>
    <row r="211" spans="3:8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</row>
    <row r="212" spans="3:8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</row>
    <row r="213" spans="3:8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</row>
    <row r="214" spans="3:8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</row>
    <row r="215" spans="3:8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</row>
    <row r="216" spans="3:8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</row>
    <row r="217" spans="3:8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</row>
    <row r="218" spans="3:8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</row>
    <row r="219" spans="3:8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</row>
    <row r="220" spans="3:8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</row>
    <row r="221" spans="3:8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</row>
    <row r="222" spans="3:8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</row>
    <row r="223" spans="3:8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</row>
    <row r="224" spans="3:8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</row>
    <row r="225" spans="3:8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</row>
    <row r="226" spans="3:8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</row>
    <row r="227" spans="3:8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</row>
    <row r="228" spans="3:8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</row>
    <row r="229" spans="3:8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</row>
    <row r="230" spans="3:8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</row>
    <row r="231" spans="3:8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</row>
    <row r="232" spans="3:8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</row>
    <row r="233" spans="3:8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</row>
    <row r="234" spans="3:8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</row>
    <row r="235" spans="3:8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</row>
    <row r="236" spans="3:8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</row>
    <row r="237" spans="3:8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</row>
    <row r="238" spans="3:8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</row>
    <row r="239" spans="3:8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</row>
    <row r="240" spans="3:8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</row>
    <row r="241" spans="3:8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</row>
    <row r="242" spans="3:8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</row>
    <row r="243" spans="3:8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</row>
    <row r="244" spans="3:8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</row>
    <row r="245" spans="3:8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</row>
    <row r="246" spans="3:8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</row>
    <row r="247" spans="3:8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</row>
    <row r="248" spans="3:8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</row>
    <row r="249" spans="3:8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</row>
    <row r="250" spans="3:8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</row>
    <row r="251" spans="3:8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</row>
    <row r="252" spans="3:8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</row>
    <row r="253" spans="3:8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</row>
    <row r="254" spans="3:8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</row>
    <row r="255" spans="3:8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</row>
    <row r="256" spans="3:8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</row>
    <row r="257" spans="3:8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</row>
    <row r="258" spans="3:8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</row>
    <row r="259" spans="3:8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</row>
    <row r="260" spans="3:8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</row>
    <row r="261" spans="3:8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</row>
    <row r="262" spans="3:8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</row>
    <row r="263" spans="3:8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</row>
    <row r="264" spans="3:8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</row>
    <row r="265" spans="3:8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</row>
    <row r="266" spans="3:8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</row>
    <row r="267" spans="3:8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</row>
    <row r="268" spans="3:8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</row>
    <row r="269" spans="3:8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</row>
    <row r="270" spans="3:8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</row>
    <row r="271" spans="3:8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</row>
    <row r="272" spans="3:8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</row>
    <row r="273" spans="3:8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</row>
    <row r="274" spans="3:8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</row>
    <row r="275" spans="3:8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</row>
    <row r="276" spans="3:8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</row>
    <row r="277" spans="3:8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</row>
    <row r="278" spans="3:8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</row>
    <row r="279" spans="3:8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</row>
    <row r="280" spans="3:8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</row>
    <row r="281" spans="3:8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</row>
    <row r="282" spans="3:8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</row>
    <row r="283" spans="3:8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</row>
    <row r="284" spans="3:8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</row>
    <row r="285" spans="3:8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</row>
    <row r="286" spans="3:8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</row>
    <row r="287" spans="3:8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</row>
    <row r="288" spans="3:8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</row>
    <row r="289" spans="3:8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</row>
    <row r="290" spans="3:8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</row>
    <row r="291" spans="3:8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</row>
    <row r="292" spans="3:8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</row>
    <row r="293" spans="3:8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</row>
    <row r="294" spans="3:8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</row>
    <row r="295" spans="3:8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</row>
    <row r="296" spans="3:8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</row>
    <row r="297" spans="3:8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</row>
    <row r="298" spans="3:8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</row>
    <row r="299" spans="3:8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</row>
    <row r="300" spans="3:8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</row>
    <row r="301" spans="3:8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</row>
    <row r="302" spans="3:8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</row>
    <row r="303" spans="3:8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</row>
    <row r="304" spans="3:8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</row>
    <row r="305" spans="3:8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</row>
    <row r="306" spans="3:8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</row>
    <row r="307" spans="3:8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</row>
    <row r="308" spans="3:8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</row>
    <row r="309" spans="3:8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</row>
    <row r="310" spans="3:8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</row>
    <row r="311" spans="3:8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</row>
    <row r="312" spans="3:8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</row>
    <row r="313" spans="3:8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</row>
    <row r="314" spans="3:8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</row>
    <row r="315" spans="3:8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</row>
    <row r="316" spans="3:8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</row>
    <row r="317" spans="3:8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</row>
    <row r="318" spans="3:8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</row>
    <row r="319" spans="3:8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</row>
    <row r="320" spans="3:8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</row>
    <row r="321" spans="3:8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</row>
    <row r="322" spans="3:8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</row>
    <row r="323" spans="3:8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</row>
    <row r="324" spans="3:8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</row>
    <row r="325" spans="3:8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</row>
    <row r="326" spans="3:8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</row>
    <row r="327" spans="3:8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</row>
    <row r="328" spans="3:8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</row>
    <row r="329" spans="3:8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</row>
    <row r="330" spans="3:8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</row>
    <row r="331" spans="3:8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</row>
    <row r="332" spans="3:8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</row>
    <row r="333" spans="3:8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</row>
    <row r="334" spans="3:8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</row>
    <row r="335" spans="3:8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</row>
    <row r="336" spans="3:8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</row>
    <row r="337" spans="3:8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</row>
    <row r="338" spans="3:8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</row>
    <row r="339" spans="3:8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</row>
    <row r="340" spans="3:8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</row>
    <row r="341" spans="3:8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</row>
    <row r="342" spans="3:8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</row>
    <row r="343" spans="3:8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</row>
    <row r="344" spans="3:8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</row>
    <row r="345" spans="3:8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</row>
    <row r="346" spans="3:8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</row>
    <row r="347" spans="3:8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</row>
    <row r="348" spans="3:8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</row>
    <row r="349" spans="3:8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</row>
    <row r="350" spans="3:8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</row>
    <row r="351" spans="3:8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</row>
    <row r="352" spans="3:8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</row>
    <row r="353" spans="3:8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</row>
    <row r="354" spans="3:8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</row>
    <row r="355" spans="3:8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</row>
    <row r="356" spans="3:8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</row>
    <row r="357" spans="3:8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</row>
    <row r="358" spans="3:8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</row>
    <row r="359" spans="3:8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</row>
    <row r="360" spans="3:8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</row>
    <row r="361" spans="3:8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</row>
    <row r="362" spans="3:8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</row>
    <row r="363" spans="3:8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</row>
    <row r="364" spans="3:8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</row>
    <row r="365" spans="3:8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</row>
    <row r="366" spans="3:8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</row>
    <row r="367" spans="3:8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</row>
    <row r="368" spans="3:8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</row>
    <row r="369" spans="3:8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</row>
    <row r="370" spans="3:8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</row>
    <row r="371" spans="3:8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</row>
    <row r="372" spans="3:8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</row>
    <row r="373" spans="3:8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</row>
    <row r="374" spans="3:8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</row>
    <row r="375" spans="3:8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</row>
    <row r="376" spans="3:8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</row>
    <row r="377" spans="3:8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</row>
    <row r="378" spans="3:8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</row>
    <row r="379" spans="3:8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</row>
    <row r="380" spans="3:8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</row>
    <row r="381" spans="3:8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</row>
    <row r="382" spans="3:8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</row>
    <row r="383" spans="3:8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</row>
    <row r="384" spans="3:8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</row>
    <row r="385" spans="3:8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</row>
    <row r="386" spans="3:8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</row>
    <row r="387" spans="3:8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</row>
    <row r="388" spans="3:8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</row>
    <row r="389" spans="3:8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</row>
    <row r="390" spans="3:8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</row>
    <row r="391" spans="3:8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</row>
    <row r="392" spans="3:8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</row>
    <row r="393" spans="3:8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</row>
    <row r="394" spans="3:8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</row>
    <row r="395" spans="3:8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</row>
    <row r="396" spans="3:8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</row>
    <row r="397" spans="3:8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</row>
    <row r="398" spans="3:8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</row>
    <row r="399" spans="3:8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</row>
    <row r="400" spans="3:8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</row>
    <row r="401" spans="3:8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</row>
    <row r="402" spans="3:8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</row>
    <row r="403" spans="3:8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</row>
    <row r="404" spans="3:8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</row>
    <row r="405" spans="3:8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</row>
    <row r="406" spans="3:8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</row>
    <row r="407" spans="3:8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</row>
    <row r="408" spans="3:8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</row>
    <row r="409" spans="3:8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</row>
    <row r="410" spans="3:8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</row>
    <row r="411" spans="3:8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</row>
    <row r="412" spans="3:8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</row>
    <row r="413" spans="3:8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</row>
    <row r="414" spans="3:8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</row>
  </sheetData>
  <hyperlinks>
    <hyperlink ref="A1" location="Main!A1" display="Main" xr:uid="{2D545B43-9BF8-4B18-81B2-3159BDDBDFE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F0216-F942-4962-936D-4D74D761CD8A}">
  <dimension ref="A1:G6"/>
  <sheetViews>
    <sheetView workbookViewId="0">
      <selection activeCell="G6" sqref="G6"/>
    </sheetView>
  </sheetViews>
  <sheetFormatPr defaultRowHeight="12.75" x14ac:dyDescent="0.2"/>
  <cols>
    <col min="1" max="1" width="5" bestFit="1" customWidth="1"/>
  </cols>
  <sheetData>
    <row r="1" spans="1:7" x14ac:dyDescent="0.2">
      <c r="A1" s="2" t="s">
        <v>9</v>
      </c>
    </row>
    <row r="3" spans="1:7" x14ac:dyDescent="0.2">
      <c r="B3" t="s">
        <v>10</v>
      </c>
      <c r="C3" t="s">
        <v>11</v>
      </c>
      <c r="D3" t="s">
        <v>12</v>
      </c>
      <c r="E3" t="s">
        <v>13</v>
      </c>
      <c r="F3" t="s">
        <v>14</v>
      </c>
      <c r="G3" t="s">
        <v>15</v>
      </c>
    </row>
    <row r="4" spans="1:7" x14ac:dyDescent="0.2">
      <c r="G4" t="s">
        <v>16</v>
      </c>
    </row>
    <row r="5" spans="1:7" x14ac:dyDescent="0.2">
      <c r="G5" t="s">
        <v>17</v>
      </c>
    </row>
    <row r="6" spans="1:7" x14ac:dyDescent="0.2">
      <c r="G6" t="s">
        <v>18</v>
      </c>
    </row>
  </sheetData>
  <hyperlinks>
    <hyperlink ref="A1" location="Main!A1" display="Main" xr:uid="{9914CA0D-C089-4A69-A1B7-656A978B16D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Patents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2026-04-23T16:08:53Z</dcterms:created>
  <dcterms:modified xsi:type="dcterms:W3CDTF">2026-05-15T11:42:01Z</dcterms:modified>
</cp:coreProperties>
</file>