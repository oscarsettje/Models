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90B18C1-ECC8-49E0-90D9-D81BD9FAF84B}" xr6:coauthVersionLast="47" xr6:coauthVersionMax="47" xr10:uidLastSave="{00000000-0000-0000-0000-000000000000}"/>
  <bookViews>
    <workbookView xWindow="19095" yWindow="0" windowWidth="19410" windowHeight="20925" activeTab="1" xr2:uid="{D4AB9EB7-16BE-40D6-9423-80AAF9AE2F0E}"/>
  </bookViews>
  <sheets>
    <sheet name="Main" sheetId="1" r:id="rId1"/>
    <sheet name="Model" sheetId="2" r:id="rId2"/>
    <sheet name="Pat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2" l="1"/>
  <c r="H22" i="2"/>
  <c r="F22" i="2"/>
  <c r="E22" i="2"/>
  <c r="D22" i="2"/>
  <c r="C22" i="2"/>
  <c r="G22" i="2"/>
  <c r="G21" i="2"/>
  <c r="J18" i="2"/>
  <c r="I18" i="2"/>
  <c r="H18" i="2"/>
  <c r="F18" i="2"/>
  <c r="E18" i="2"/>
  <c r="D18" i="2"/>
  <c r="C18" i="2"/>
  <c r="G18" i="2"/>
  <c r="F14" i="2"/>
  <c r="E14" i="2"/>
  <c r="D14" i="2"/>
  <c r="C14" i="2"/>
  <c r="J16" i="2"/>
  <c r="I16" i="2"/>
  <c r="H16" i="2"/>
  <c r="F16" i="2"/>
  <c r="E16" i="2"/>
  <c r="D16" i="2"/>
  <c r="C16" i="2"/>
  <c r="G16" i="2"/>
  <c r="G14" i="2"/>
  <c r="J12" i="2"/>
  <c r="I12" i="2"/>
  <c r="H12" i="2"/>
  <c r="F12" i="2"/>
  <c r="E12" i="2"/>
  <c r="D12" i="2"/>
  <c r="C12" i="2"/>
  <c r="G12" i="2"/>
  <c r="I8" i="2"/>
  <c r="H8" i="2"/>
  <c r="G8" i="2"/>
  <c r="F8" i="2"/>
  <c r="E8" i="2"/>
  <c r="D8" i="2"/>
  <c r="C8" i="2"/>
  <c r="J8" i="2"/>
  <c r="L5" i="1"/>
  <c r="L3" i="1"/>
  <c r="L22" i="2"/>
  <c r="M22" i="2"/>
  <c r="M21" i="2"/>
  <c r="L4" i="1"/>
  <c r="M10" i="1" s="1"/>
  <c r="L7" i="1" l="1"/>
  <c r="L18" i="2"/>
  <c r="M18" i="2"/>
</calcChain>
</file>

<file path=xl/sharedStrings.xml><?xml version="1.0" encoding="utf-8"?>
<sst xmlns="http://schemas.openxmlformats.org/spreadsheetml/2006/main" count="55" uniqueCount="50">
  <si>
    <t>Cerebras</t>
  </si>
  <si>
    <t>https://www.sec.gov/Archives/edgar/data/2021728/000162828026025762/cerebras-sx1april2026.htm</t>
  </si>
  <si>
    <t>numbers in mio USD</t>
  </si>
  <si>
    <t>Price</t>
  </si>
  <si>
    <t>Shares</t>
  </si>
  <si>
    <t>MC</t>
  </si>
  <si>
    <t>Cash</t>
  </si>
  <si>
    <t>EV</t>
  </si>
  <si>
    <t>Debt</t>
  </si>
  <si>
    <t>Main</t>
  </si>
  <si>
    <t>Number</t>
  </si>
  <si>
    <t>Name</t>
  </si>
  <si>
    <t>Inventor</t>
  </si>
  <si>
    <t>Issued</t>
  </si>
  <si>
    <t>Notes</t>
  </si>
  <si>
    <t>link</t>
  </si>
  <si>
    <t>https://patents.google.com/patent/US10366967B2/en</t>
  </si>
  <si>
    <t>https://patents.google.com/patent/US10726329B2/en</t>
  </si>
  <si>
    <t>https://patents.google.com/patent/US11853867B2/en</t>
  </si>
  <si>
    <t>Cerebras Systems Inc</t>
  </si>
  <si>
    <t xml:space="preserve">IPO Price </t>
  </si>
  <si>
    <t>openend at 350</t>
  </si>
  <si>
    <t>FY25</t>
  </si>
  <si>
    <t>FY24</t>
  </si>
  <si>
    <t>Hardware Revenue</t>
  </si>
  <si>
    <t>Cloud and Services</t>
  </si>
  <si>
    <t>Revenue</t>
  </si>
  <si>
    <t>Hardware COGS</t>
  </si>
  <si>
    <t>Cloud COGS</t>
  </si>
  <si>
    <t>Gross Profit</t>
  </si>
  <si>
    <t>R&amp;D</t>
  </si>
  <si>
    <t>S&amp;M</t>
  </si>
  <si>
    <t>G&amp;A</t>
  </si>
  <si>
    <t>Operating Income</t>
  </si>
  <si>
    <t>Other Income</t>
  </si>
  <si>
    <t>Pretax Income</t>
  </si>
  <si>
    <t>Tax Expense</t>
  </si>
  <si>
    <t>Net Income</t>
  </si>
  <si>
    <t>EPS</t>
  </si>
  <si>
    <t>Q425</t>
  </si>
  <si>
    <t>Revenue-Multiple</t>
  </si>
  <si>
    <t>Revenue Growth</t>
  </si>
  <si>
    <t>Gross Margin</t>
  </si>
  <si>
    <t>Q126</t>
  </si>
  <si>
    <t>Q125</t>
  </si>
  <si>
    <t>Q225</t>
  </si>
  <si>
    <t>Q325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</si>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</sst>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6" formatCode="#,##0.00;\(#,##0.00\)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9" fontId="0" fillId="0" borderId="0" xfId="2" applyFont="1"/>
    <xf numFmtId="164" fontId="1" fillId="0" borderId="0" xfId="0" applyNumberFormat="1" applyFont="1"/>
    <xf numFmtId="0" fontId="0" fillId="0" borderId="0" xfId="0" applyAlignment="1">
      <alignment horizontal="right"/>
    </xf>
    <xf numFmtId="166" fontId="0" fillId="0" borderId="0" xfId="0" applyNumberForma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4C9F-5032-4350-9CE7-6BCADDDC4220}">
  <dimension ref="A1:M19"/>
  <sheetViews>
    <sheetView topLeftCell="E1" zoomScale="200" zoomScaleNormal="200" workbookViewId="0">
      <selection activeCell="L6" sqref="L6"/>
    </sheetView>
  </sheetViews>
  <sheetFormatPr defaultRowHeight="12.75" x14ac:dyDescent="0.2"/>
  <cols>
    <col min="1" max="1" width="3.42578125" customWidth="1"/>
  </cols>
  <sheetData>
    <row r="1" spans="1:13" x14ac:dyDescent="0.2">
      <c r="A1" s="1" t="s">
        <v>0</v>
      </c>
    </row>
    <row r="2" spans="1:13" x14ac:dyDescent="0.2">
      <c r="A2" t="s">
        <v>2</v>
      </c>
      <c r="K2" t="s">
        <v>3</v>
      </c>
      <c r="L2">
        <v>204.45</v>
      </c>
    </row>
    <row r="3" spans="1:13" x14ac:dyDescent="0.2">
      <c r="K3" t="s">
        <v>4</v>
      </c>
      <c r="L3" s="3">
        <f>92.130188+130.720379+3.682</f>
        <v>226.532567</v>
      </c>
      <c r="M3" s="6" t="s">
        <v>43</v>
      </c>
    </row>
    <row r="4" spans="1:13" x14ac:dyDescent="0.2">
      <c r="K4" t="s">
        <v>5</v>
      </c>
      <c r="L4" s="3">
        <f>+L2*L3</f>
        <v>46314.58332315</v>
      </c>
    </row>
    <row r="5" spans="1:13" x14ac:dyDescent="0.2">
      <c r="K5" t="s">
        <v>6</v>
      </c>
      <c r="L5" s="3">
        <f>1716.016</f>
        <v>1716.0160000000001</v>
      </c>
      <c r="M5" s="6" t="s">
        <v>43</v>
      </c>
    </row>
    <row r="6" spans="1:13" x14ac:dyDescent="0.2">
      <c r="K6" t="s">
        <v>8</v>
      </c>
      <c r="L6" s="3">
        <v>0</v>
      </c>
      <c r="M6" s="6" t="s">
        <v>43</v>
      </c>
    </row>
    <row r="7" spans="1:13" x14ac:dyDescent="0.2">
      <c r="K7" t="s">
        <v>7</v>
      </c>
      <c r="L7" s="3">
        <f>+L4-L5+L6</f>
        <v>44598.567323149997</v>
      </c>
    </row>
    <row r="10" spans="1:13" x14ac:dyDescent="0.2">
      <c r="K10" t="s">
        <v>40</v>
      </c>
      <c r="M10">
        <f>+L4/Model!M5</f>
        <v>90.814511085783863</v>
      </c>
    </row>
    <row r="14" spans="1:13" x14ac:dyDescent="0.2">
      <c r="B14" t="s">
        <v>19</v>
      </c>
    </row>
    <row r="15" spans="1:13" x14ac:dyDescent="0.2">
      <c r="B15" t="s">
        <v>20</v>
      </c>
      <c r="C15">
        <v>185</v>
      </c>
      <c r="D15" s="4" t="s">
        <v>21</v>
      </c>
    </row>
    <row r="19" spans="2:2" x14ac:dyDescent="0.2">
      <c r="B1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91BE-36FB-4AB0-8BD8-E4DD9097BD85}">
  <dimension ref="A1:CH414"/>
  <sheetViews>
    <sheetView tabSelected="1" zoomScale="200" zoomScaleNormal="2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22" sqref="G22:I22"/>
    </sheetView>
  </sheetViews>
  <sheetFormatPr defaultRowHeight="12.75" x14ac:dyDescent="0.2"/>
  <cols>
    <col min="1" max="1" width="5" bestFit="1" customWidth="1"/>
    <col min="2" max="2" width="25.28515625" customWidth="1"/>
  </cols>
  <sheetData>
    <row r="1" spans="1:86" x14ac:dyDescent="0.2">
      <c r="A1" s="2" t="s">
        <v>9</v>
      </c>
    </row>
    <row r="2" spans="1:86" x14ac:dyDescent="0.2">
      <c r="C2" s="6" t="s">
        <v>44</v>
      </c>
      <c r="D2" s="6" t="s">
        <v>45</v>
      </c>
      <c r="E2" s="6" t="s">
        <v>46</v>
      </c>
      <c r="F2" s="6" t="s">
        <v>39</v>
      </c>
      <c r="G2" s="6" t="s">
        <v>43</v>
      </c>
      <c r="H2" s="6" t="s">
        <v>47</v>
      </c>
      <c r="I2" s="6" t="s">
        <v>48</v>
      </c>
      <c r="J2" s="6" t="s">
        <v>49</v>
      </c>
      <c r="L2" s="6" t="s">
        <v>23</v>
      </c>
      <c r="M2" s="6" t="s">
        <v>22</v>
      </c>
    </row>
    <row r="3" spans="1:86" x14ac:dyDescent="0.2">
      <c r="B3" t="s">
        <v>24</v>
      </c>
      <c r="C3" s="3">
        <v>69.674000000000007</v>
      </c>
      <c r="D3" s="3"/>
      <c r="E3" s="3"/>
      <c r="F3" s="3"/>
      <c r="G3" s="3">
        <v>110.593</v>
      </c>
      <c r="H3" s="3"/>
      <c r="I3" s="3"/>
      <c r="J3" s="3"/>
      <c r="K3" s="3"/>
      <c r="L3" s="3">
        <v>211.96499999999997</v>
      </c>
      <c r="M3" s="3">
        <v>358.44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</row>
    <row r="4" spans="1:86" x14ac:dyDescent="0.2">
      <c r="B4" t="s">
        <v>25</v>
      </c>
      <c r="C4" s="3">
        <v>29.838000000000001</v>
      </c>
      <c r="D4" s="3"/>
      <c r="E4" s="3"/>
      <c r="F4" s="3"/>
      <c r="G4" s="3">
        <v>82.813000000000002</v>
      </c>
      <c r="H4" s="3"/>
      <c r="I4" s="3"/>
      <c r="J4" s="3"/>
      <c r="K4" s="3"/>
      <c r="L4" s="3">
        <v>78.286999999999992</v>
      </c>
      <c r="M4" s="3">
        <v>151.55099999999999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</row>
    <row r="5" spans="1:86" x14ac:dyDescent="0.2">
      <c r="B5" s="1" t="s">
        <v>26</v>
      </c>
      <c r="C5" s="5">
        <v>99.512</v>
      </c>
      <c r="D5" s="5"/>
      <c r="E5" s="5"/>
      <c r="F5" s="5"/>
      <c r="G5" s="5">
        <v>193.40600000000001</v>
      </c>
      <c r="H5" s="5"/>
      <c r="I5" s="5"/>
      <c r="J5" s="5"/>
      <c r="K5" s="3"/>
      <c r="L5" s="5">
        <v>290.25199999999995</v>
      </c>
      <c r="M5" s="5">
        <v>509.99099999999999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</row>
    <row r="6" spans="1:86" x14ac:dyDescent="0.2">
      <c r="B6" t="s">
        <v>27</v>
      </c>
      <c r="C6" s="3">
        <v>48.41</v>
      </c>
      <c r="D6" s="3"/>
      <c r="E6" s="3"/>
      <c r="F6" s="3"/>
      <c r="G6" s="3">
        <v>64.930999999999997</v>
      </c>
      <c r="H6" s="3"/>
      <c r="I6" s="3"/>
      <c r="J6" s="3"/>
      <c r="K6" s="3"/>
      <c r="L6" s="3">
        <v>137.30999999999997</v>
      </c>
      <c r="M6" s="3">
        <v>204.74600000000001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</row>
    <row r="7" spans="1:86" x14ac:dyDescent="0.2">
      <c r="B7" t="s">
        <v>28</v>
      </c>
      <c r="C7" s="3">
        <v>9.4979999999999993</v>
      </c>
      <c r="D7" s="3"/>
      <c r="E7" s="3"/>
      <c r="F7" s="3"/>
      <c r="G7" s="3">
        <v>42.298999999999999</v>
      </c>
      <c r="H7" s="3"/>
      <c r="I7" s="3"/>
      <c r="J7" s="3"/>
      <c r="K7" s="3"/>
      <c r="L7" s="3">
        <v>30.204000000000001</v>
      </c>
      <c r="M7" s="3">
        <v>106.17400000000001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x14ac:dyDescent="0.2">
      <c r="B8" t="s">
        <v>29</v>
      </c>
      <c r="C8" s="3">
        <f t="shared" ref="C8:I8" si="0">+C5-C6-C7</f>
        <v>41.604000000000006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86.176000000000016</v>
      </c>
      <c r="H8" s="3">
        <f t="shared" si="0"/>
        <v>0</v>
      </c>
      <c r="I8" s="3">
        <f t="shared" si="0"/>
        <v>0</v>
      </c>
      <c r="J8" s="3">
        <f>+J5-J6-J7</f>
        <v>0</v>
      </c>
      <c r="K8" s="3"/>
      <c r="L8" s="3">
        <v>122.73799999999996</v>
      </c>
      <c r="M8" s="3">
        <v>199.071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</row>
    <row r="9" spans="1:86" x14ac:dyDescent="0.2">
      <c r="B9" t="s">
        <v>30</v>
      </c>
      <c r="C9" s="3">
        <v>52.750999999999998</v>
      </c>
      <c r="D9" s="3"/>
      <c r="E9" s="3"/>
      <c r="F9" s="3"/>
      <c r="G9" s="3">
        <v>75.495000000000005</v>
      </c>
      <c r="H9" s="3"/>
      <c r="I9" s="3"/>
      <c r="J9" s="3"/>
      <c r="K9" s="3"/>
      <c r="L9" s="3">
        <v>158.23400000000001</v>
      </c>
      <c r="M9" s="3">
        <v>243.31900000000002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</row>
    <row r="10" spans="1:86" x14ac:dyDescent="0.2">
      <c r="B10" t="s">
        <v>31</v>
      </c>
      <c r="C10" s="3">
        <v>10.326000000000001</v>
      </c>
      <c r="D10" s="3"/>
      <c r="E10" s="3"/>
      <c r="F10" s="3"/>
      <c r="G10" s="3">
        <v>14.701000000000001</v>
      </c>
      <c r="H10" s="3"/>
      <c r="I10" s="3"/>
      <c r="J10" s="3"/>
      <c r="K10" s="3"/>
      <c r="L10" s="3">
        <v>20.979999999999997</v>
      </c>
      <c r="M10" s="3">
        <v>76.45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</row>
    <row r="11" spans="1:86" x14ac:dyDescent="0.2">
      <c r="B11" t="s">
        <v>32</v>
      </c>
      <c r="C11" s="3">
        <v>6.9969999999999999</v>
      </c>
      <c r="D11" s="3"/>
      <c r="E11" s="3"/>
      <c r="F11" s="3"/>
      <c r="G11" s="3">
        <v>11.016999999999999</v>
      </c>
      <c r="H11" s="3"/>
      <c r="I11" s="3"/>
      <c r="J11" s="3"/>
      <c r="K11" s="3"/>
      <c r="L11" s="3">
        <v>44.962000000000003</v>
      </c>
      <c r="M11" s="3">
        <v>30.969000000000001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</row>
    <row r="12" spans="1:86" x14ac:dyDescent="0.2">
      <c r="B12" t="s">
        <v>33</v>
      </c>
      <c r="C12" s="3">
        <f t="shared" ref="C12:F12" si="1">+C8-SUM(C9:C11)</f>
        <v>-28.469999999999992</v>
      </c>
      <c r="D12" s="3">
        <f t="shared" si="1"/>
        <v>0</v>
      </c>
      <c r="E12" s="3">
        <f t="shared" si="1"/>
        <v>0</v>
      </c>
      <c r="F12" s="3">
        <f t="shared" si="1"/>
        <v>0</v>
      </c>
      <c r="G12" s="3">
        <f>+G8-SUM(G9:G11)</f>
        <v>-15.036999999999978</v>
      </c>
      <c r="H12" s="3">
        <f t="shared" ref="H12:J12" si="2">+H8-SUM(H9:H11)</f>
        <v>0</v>
      </c>
      <c r="I12" s="3">
        <f t="shared" si="2"/>
        <v>0</v>
      </c>
      <c r="J12" s="3">
        <f t="shared" si="2"/>
        <v>0</v>
      </c>
      <c r="K12" s="3"/>
      <c r="L12" s="3">
        <v>-101.43800000000006</v>
      </c>
      <c r="M12" s="3">
        <v>-151.66700000000006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pans="1:86" x14ac:dyDescent="0.2">
      <c r="B13" t="s">
        <v>34</v>
      </c>
      <c r="C13" s="3">
        <v>6.2859999999999996</v>
      </c>
      <c r="D13" s="3"/>
      <c r="E13" s="3"/>
      <c r="F13" s="3"/>
      <c r="G13" s="3">
        <v>2.528</v>
      </c>
      <c r="H13" s="3"/>
      <c r="I13" s="3"/>
      <c r="J13" s="3"/>
      <c r="K13" s="3"/>
      <c r="L13" s="3">
        <v>-378.23699999999997</v>
      </c>
      <c r="M13" s="3">
        <v>390.74599999999998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</row>
    <row r="14" spans="1:86" x14ac:dyDescent="0.2">
      <c r="B14" t="s">
        <v>35</v>
      </c>
      <c r="C14" s="3">
        <f t="shared" ref="C14:F14" si="3">+C12+C13</f>
        <v>-22.18399999999999</v>
      </c>
      <c r="D14" s="3">
        <f t="shared" si="3"/>
        <v>0</v>
      </c>
      <c r="E14" s="3">
        <f t="shared" si="3"/>
        <v>0</v>
      </c>
      <c r="F14" s="3">
        <f t="shared" si="3"/>
        <v>0</v>
      </c>
      <c r="G14" s="3">
        <f>+G12+G13</f>
        <v>-12.508999999999977</v>
      </c>
      <c r="H14" s="3"/>
      <c r="I14" s="3"/>
      <c r="J14" s="3"/>
      <c r="K14" s="3"/>
      <c r="L14" s="3">
        <v>-479.67500000000007</v>
      </c>
      <c r="M14" s="3">
        <v>239.07899999999992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</row>
    <row r="15" spans="1:86" x14ac:dyDescent="0.2">
      <c r="B15" t="s">
        <v>36</v>
      </c>
      <c r="C15" s="3">
        <v>1.6830000000000001</v>
      </c>
      <c r="D15" s="3"/>
      <c r="E15" s="3"/>
      <c r="F15" s="3"/>
      <c r="G15" s="3">
        <v>1.4970000000000001</v>
      </c>
      <c r="H15" s="3"/>
      <c r="I15" s="3"/>
      <c r="J15" s="3"/>
      <c r="K15" s="3"/>
      <c r="L15" s="3">
        <v>1.9269999999999998</v>
      </c>
      <c r="M15" s="3">
        <v>7.0569999999999995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</row>
    <row r="16" spans="1:86" x14ac:dyDescent="0.2">
      <c r="B16" t="s">
        <v>37</v>
      </c>
      <c r="C16" s="3">
        <f t="shared" ref="C16:F16" si="4">+C14-C15</f>
        <v>-23.86699999999999</v>
      </c>
      <c r="D16" s="3">
        <f t="shared" si="4"/>
        <v>0</v>
      </c>
      <c r="E16" s="3">
        <f t="shared" si="4"/>
        <v>0</v>
      </c>
      <c r="F16" s="3">
        <f t="shared" si="4"/>
        <v>0</v>
      </c>
      <c r="G16" s="3">
        <f>+G14-G15</f>
        <v>-14.005999999999977</v>
      </c>
      <c r="H16" s="3">
        <f t="shared" ref="H16:J16" si="5">+H14-H15</f>
        <v>0</v>
      </c>
      <c r="I16" s="3">
        <f t="shared" si="5"/>
        <v>0</v>
      </c>
      <c r="J16" s="3">
        <f t="shared" si="5"/>
        <v>0</v>
      </c>
      <c r="K16" s="3"/>
      <c r="L16" s="3">
        <v>-481.60200000000009</v>
      </c>
      <c r="M16" s="3">
        <v>232.02199999999993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</row>
    <row r="17" spans="2:86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</row>
    <row r="18" spans="2:86" x14ac:dyDescent="0.2">
      <c r="B18" t="s">
        <v>38</v>
      </c>
      <c r="C18" s="7">
        <f t="shared" ref="C18:F18" si="6">+C16/C19</f>
        <v>-0.45895429109859026</v>
      </c>
      <c r="D18" s="7" t="e">
        <f t="shared" si="6"/>
        <v>#DIV/0!</v>
      </c>
      <c r="E18" s="7" t="e">
        <f t="shared" si="6"/>
        <v>#DIV/0!</v>
      </c>
      <c r="F18" s="7" t="e">
        <f t="shared" si="6"/>
        <v>#DIV/0!</v>
      </c>
      <c r="G18" s="7">
        <f>+G16/G19</f>
        <v>-0.22300417157596372</v>
      </c>
      <c r="H18" s="7" t="e">
        <f t="shared" ref="H18:J18" si="7">+H16/H19</f>
        <v>#DIV/0!</v>
      </c>
      <c r="I18" s="7" t="e">
        <f t="shared" si="7"/>
        <v>#DIV/0!</v>
      </c>
      <c r="J18" s="7" t="e">
        <f t="shared" si="7"/>
        <v>#DIV/0!</v>
      </c>
      <c r="K18" s="3"/>
      <c r="L18" s="3">
        <f>+L16/L19</f>
        <v>-9.834231805929921</v>
      </c>
      <c r="M18" s="3">
        <f>+M16/M19</f>
        <v>4.3274768725753496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pans="2:86" x14ac:dyDescent="0.2">
      <c r="B19" t="s">
        <v>4</v>
      </c>
      <c r="C19" s="3">
        <v>52.003</v>
      </c>
      <c r="D19" s="3"/>
      <c r="E19" s="3"/>
      <c r="F19" s="3"/>
      <c r="G19" s="3">
        <v>62.805999999999997</v>
      </c>
      <c r="H19" s="3"/>
      <c r="I19" s="3"/>
      <c r="J19" s="3"/>
      <c r="K19" s="3"/>
      <c r="L19" s="3">
        <v>48.972000000000001</v>
      </c>
      <c r="M19" s="3">
        <v>53.616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</row>
    <row r="20" spans="2:86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</row>
    <row r="21" spans="2:86" x14ac:dyDescent="0.2">
      <c r="B21" s="1" t="s">
        <v>41</v>
      </c>
      <c r="C21" s="3"/>
      <c r="D21" s="3"/>
      <c r="E21" s="3"/>
      <c r="F21" s="3"/>
      <c r="G21" s="4">
        <f>+G5/C5-1</f>
        <v>0.94354449714607291</v>
      </c>
      <c r="H21" s="3"/>
      <c r="I21" s="3"/>
      <c r="J21" s="3"/>
      <c r="K21" s="3"/>
      <c r="L21" s="3"/>
      <c r="M21" s="4">
        <f>+M5/L5-1</f>
        <v>0.75706282816311377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</row>
    <row r="22" spans="2:86" x14ac:dyDescent="0.2">
      <c r="B22" t="s">
        <v>42</v>
      </c>
      <c r="C22" s="4">
        <f t="shared" ref="C22:G22" si="8">+C8/C5</f>
        <v>0.41808023152986579</v>
      </c>
      <c r="D22" s="4" t="e">
        <f t="shared" si="8"/>
        <v>#DIV/0!</v>
      </c>
      <c r="E22" s="4" t="e">
        <f t="shared" si="8"/>
        <v>#DIV/0!</v>
      </c>
      <c r="F22" s="4" t="e">
        <f t="shared" si="8"/>
        <v>#DIV/0!</v>
      </c>
      <c r="G22" s="4">
        <f>+G8/G5</f>
        <v>0.44557045800026895</v>
      </c>
      <c r="H22" s="4" t="e">
        <f t="shared" ref="H22:I22" si="9">+H8/H5</f>
        <v>#DIV/0!</v>
      </c>
      <c r="I22" s="4" t="e">
        <f t="shared" si="9"/>
        <v>#DIV/0!</v>
      </c>
      <c r="J22" s="3"/>
      <c r="K22" s="3"/>
      <c r="L22" s="4">
        <f>+L8/L5</f>
        <v>0.42286702589473968</v>
      </c>
      <c r="M22" s="4">
        <f>+M8/M5</f>
        <v>0.39034218250910313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  <row r="23" spans="2:86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2:86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pans="2:86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2:86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2:86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2:86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2:86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2:86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2:86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2:86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3:86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3:86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3:86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3:86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3:86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pans="3:86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</row>
    <row r="39" spans="3:86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3:86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  <row r="41" spans="3:86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</row>
    <row r="42" spans="3:86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3:86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3:8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  <row r="45" spans="3:86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</row>
    <row r="46" spans="3:8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</row>
    <row r="47" spans="3:8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pans="3:8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pans="3:8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3:8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3:8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pans="3:8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pans="3:8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pans="3:8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3:8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3:8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3:8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  <row r="58" spans="3:8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</row>
    <row r="59" spans="3:8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</row>
    <row r="60" spans="3:8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3:8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  <row r="62" spans="3:8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</row>
    <row r="63" spans="3:8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</row>
    <row r="64" spans="3:8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</row>
    <row r="65" spans="3:8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</row>
    <row r="66" spans="3:8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</row>
    <row r="67" spans="3:8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</row>
    <row r="68" spans="3:8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</row>
    <row r="69" spans="3:8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</row>
    <row r="70" spans="3:8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</row>
    <row r="71" spans="3:8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</row>
    <row r="72" spans="3:8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</row>
    <row r="73" spans="3:8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</row>
    <row r="74" spans="3:8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</row>
    <row r="75" spans="3:8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</row>
    <row r="76" spans="3:8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3:8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3:8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  <row r="79" spans="3:8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</row>
    <row r="80" spans="3:8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</row>
    <row r="81" spans="3:8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</row>
    <row r="82" spans="3:8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</row>
    <row r="83" spans="3:8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</row>
    <row r="84" spans="3:8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</row>
    <row r="85" spans="3:8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</row>
    <row r="86" spans="3:8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</row>
    <row r="87" spans="3:8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</row>
    <row r="88" spans="3:8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</row>
    <row r="89" spans="3:8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</row>
    <row r="90" spans="3:8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</row>
    <row r="91" spans="3:8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</row>
    <row r="92" spans="3:8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</row>
    <row r="93" spans="3:8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</row>
    <row r="94" spans="3:8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</row>
    <row r="95" spans="3:8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</row>
    <row r="96" spans="3:8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</row>
    <row r="97" spans="3:8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spans="3:8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</row>
    <row r="99" spans="3:8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spans="3:8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</row>
    <row r="101" spans="3:8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spans="3:8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</row>
    <row r="103" spans="3:8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</row>
    <row r="104" spans="3:8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</row>
    <row r="105" spans="3:8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</row>
    <row r="106" spans="3:8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</row>
    <row r="107" spans="3:8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</row>
    <row r="108" spans="3:8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</row>
    <row r="109" spans="3:8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</row>
    <row r="110" spans="3:8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</row>
    <row r="111" spans="3:8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</row>
    <row r="112" spans="3:8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</row>
    <row r="113" spans="3:8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</row>
    <row r="114" spans="3:8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</row>
    <row r="115" spans="3:8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</row>
    <row r="116" spans="3:8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</row>
    <row r="117" spans="3:8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</row>
    <row r="118" spans="3:8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</row>
    <row r="119" spans="3:8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</row>
    <row r="120" spans="3:8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</row>
    <row r="121" spans="3:8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</row>
    <row r="122" spans="3:8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</row>
    <row r="123" spans="3:8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</row>
    <row r="124" spans="3:8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</row>
    <row r="125" spans="3:8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</row>
    <row r="126" spans="3:8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</row>
    <row r="127" spans="3:8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</row>
    <row r="128" spans="3:8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</row>
    <row r="129" spans="3:8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</row>
    <row r="130" spans="3:8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</row>
    <row r="131" spans="3:8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</row>
    <row r="132" spans="3:8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</row>
    <row r="133" spans="3:8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</row>
    <row r="134" spans="3:8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</row>
    <row r="135" spans="3:8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</row>
    <row r="136" spans="3:8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</row>
    <row r="137" spans="3:8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</row>
    <row r="138" spans="3:8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</row>
    <row r="139" spans="3:8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</row>
    <row r="140" spans="3:8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</row>
    <row r="141" spans="3:8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</row>
    <row r="142" spans="3:8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</row>
    <row r="143" spans="3:8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</row>
    <row r="144" spans="3:8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</row>
    <row r="145" spans="3:8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</row>
    <row r="146" spans="3:8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</row>
    <row r="147" spans="3:8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</row>
    <row r="148" spans="3:8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</row>
    <row r="149" spans="3:8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</row>
    <row r="150" spans="3:8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</row>
    <row r="151" spans="3:8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</row>
    <row r="152" spans="3:8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</row>
    <row r="153" spans="3:8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</row>
    <row r="154" spans="3:8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</row>
    <row r="155" spans="3:8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</row>
    <row r="156" spans="3:8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</row>
    <row r="157" spans="3:8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</row>
    <row r="158" spans="3:8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</row>
    <row r="159" spans="3:8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</row>
    <row r="160" spans="3:8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</row>
    <row r="161" spans="3:8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</row>
    <row r="162" spans="3:8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</row>
    <row r="163" spans="3:8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</row>
    <row r="164" spans="3:8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</row>
    <row r="165" spans="3:8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</row>
    <row r="166" spans="3:8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</row>
    <row r="167" spans="3:8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</row>
    <row r="168" spans="3:8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</row>
    <row r="169" spans="3:8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</row>
    <row r="170" spans="3:8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</row>
    <row r="171" spans="3:8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</row>
    <row r="172" spans="3:8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</row>
    <row r="173" spans="3:8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</row>
    <row r="174" spans="3:8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</row>
    <row r="175" spans="3:8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</row>
    <row r="176" spans="3:8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</row>
    <row r="177" spans="3:8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</row>
    <row r="178" spans="3:8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</row>
    <row r="179" spans="3:8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</row>
    <row r="180" spans="3:8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</row>
    <row r="181" spans="3:8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</row>
    <row r="182" spans="3:8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</row>
    <row r="183" spans="3:8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</row>
    <row r="184" spans="3:8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</row>
    <row r="185" spans="3:8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</row>
    <row r="186" spans="3:8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</row>
    <row r="187" spans="3:8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</row>
    <row r="188" spans="3:8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</row>
    <row r="189" spans="3:8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</row>
    <row r="190" spans="3:8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</row>
    <row r="191" spans="3:8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</row>
    <row r="192" spans="3:8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</row>
    <row r="193" spans="3:8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</row>
    <row r="194" spans="3:8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</row>
    <row r="195" spans="3:8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</row>
    <row r="196" spans="3:8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</row>
    <row r="197" spans="3:8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</row>
    <row r="198" spans="3:8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</row>
    <row r="199" spans="3:8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</row>
    <row r="200" spans="3:8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</row>
    <row r="201" spans="3:8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</row>
    <row r="202" spans="3:8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</row>
    <row r="203" spans="3:8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</row>
    <row r="204" spans="3:8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</row>
    <row r="205" spans="3:8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</row>
    <row r="206" spans="3:8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</row>
    <row r="207" spans="3:8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</row>
    <row r="208" spans="3:8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</row>
    <row r="209" spans="3:8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</row>
    <row r="210" spans="3:8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</row>
    <row r="211" spans="3:8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</row>
    <row r="212" spans="3:8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</row>
    <row r="213" spans="3:8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</row>
    <row r="214" spans="3:8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</row>
    <row r="215" spans="3:8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</row>
    <row r="216" spans="3:8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</row>
    <row r="217" spans="3:8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</row>
    <row r="218" spans="3:8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</row>
    <row r="219" spans="3:8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</row>
    <row r="220" spans="3:8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</row>
    <row r="221" spans="3:8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</row>
    <row r="222" spans="3:8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</row>
    <row r="223" spans="3:8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</row>
    <row r="224" spans="3:8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</row>
    <row r="225" spans="3:8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</row>
    <row r="226" spans="3:8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</row>
    <row r="227" spans="3:8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</row>
    <row r="228" spans="3:8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</row>
    <row r="229" spans="3:8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</row>
    <row r="230" spans="3:8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</row>
    <row r="231" spans="3:8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</row>
    <row r="232" spans="3:8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</row>
    <row r="233" spans="3:8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</row>
    <row r="234" spans="3:8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</row>
    <row r="235" spans="3:8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</row>
    <row r="236" spans="3:8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</row>
    <row r="237" spans="3:8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</row>
    <row r="238" spans="3:8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</row>
    <row r="239" spans="3:8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</row>
    <row r="240" spans="3:8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</row>
    <row r="241" spans="3:8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</row>
    <row r="242" spans="3:8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</row>
    <row r="243" spans="3:8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</row>
    <row r="244" spans="3:8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</row>
    <row r="245" spans="3:8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</row>
    <row r="246" spans="3:8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</row>
    <row r="247" spans="3:8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</row>
    <row r="248" spans="3:8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</row>
    <row r="249" spans="3:8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</row>
    <row r="250" spans="3:8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</row>
    <row r="251" spans="3:8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</row>
    <row r="252" spans="3:8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</row>
    <row r="253" spans="3:8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</row>
    <row r="254" spans="3:8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</row>
    <row r="255" spans="3:8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</row>
    <row r="256" spans="3:8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</row>
    <row r="257" spans="3:8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</row>
    <row r="258" spans="3:8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</row>
    <row r="259" spans="3:8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</row>
    <row r="260" spans="3:8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</row>
    <row r="261" spans="3:8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</row>
    <row r="262" spans="3:8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</row>
    <row r="263" spans="3:8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</row>
    <row r="264" spans="3:8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</row>
    <row r="265" spans="3:8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</row>
    <row r="266" spans="3:8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</row>
    <row r="267" spans="3:8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</row>
    <row r="268" spans="3:8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</row>
    <row r="269" spans="3:8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</row>
    <row r="270" spans="3:8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</row>
    <row r="271" spans="3:8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</row>
    <row r="272" spans="3:8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</row>
    <row r="273" spans="3:8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</row>
    <row r="274" spans="3:8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</row>
    <row r="275" spans="3:8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</row>
    <row r="276" spans="3:8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</row>
    <row r="277" spans="3:8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</row>
    <row r="278" spans="3:8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</row>
    <row r="279" spans="3:8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</row>
    <row r="280" spans="3:8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</row>
    <row r="281" spans="3:8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</row>
    <row r="282" spans="3:8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</row>
    <row r="283" spans="3:8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</row>
    <row r="284" spans="3:8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</row>
    <row r="285" spans="3:8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</row>
    <row r="286" spans="3:8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</row>
    <row r="287" spans="3:8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</row>
    <row r="288" spans="3:8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</row>
    <row r="289" spans="3:8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</row>
    <row r="290" spans="3:8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</row>
    <row r="291" spans="3:8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</row>
    <row r="292" spans="3:8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</row>
    <row r="293" spans="3:8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</row>
    <row r="294" spans="3:8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</row>
    <row r="295" spans="3:8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</row>
    <row r="296" spans="3:8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</row>
    <row r="297" spans="3:8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</row>
    <row r="298" spans="3:8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</row>
    <row r="299" spans="3:86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</row>
    <row r="300" spans="3:86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</row>
    <row r="301" spans="3:86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</row>
    <row r="302" spans="3:86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</row>
    <row r="303" spans="3:86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</row>
    <row r="304" spans="3:86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</row>
    <row r="305" spans="3:86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</row>
    <row r="306" spans="3:86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</row>
    <row r="307" spans="3:86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</row>
    <row r="308" spans="3:86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</row>
    <row r="309" spans="3:86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</row>
    <row r="310" spans="3:86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</row>
    <row r="311" spans="3:86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</row>
    <row r="312" spans="3:86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</row>
    <row r="313" spans="3:86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</row>
    <row r="314" spans="3:86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</row>
    <row r="315" spans="3:86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</row>
    <row r="316" spans="3:86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</row>
    <row r="317" spans="3:86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</row>
    <row r="318" spans="3:86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</row>
    <row r="319" spans="3:86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</row>
    <row r="320" spans="3:86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</row>
    <row r="321" spans="3:8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</row>
    <row r="322" spans="3:8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</row>
    <row r="323" spans="3:8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</row>
    <row r="324" spans="3:8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</row>
    <row r="325" spans="3:8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</row>
    <row r="326" spans="3:8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</row>
    <row r="327" spans="3:8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</row>
    <row r="328" spans="3:8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</row>
    <row r="329" spans="3:8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</row>
    <row r="330" spans="3:8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</row>
    <row r="331" spans="3:8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</row>
    <row r="332" spans="3:8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</row>
    <row r="333" spans="3:8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</row>
    <row r="334" spans="3:8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</row>
    <row r="335" spans="3:8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</row>
    <row r="336" spans="3:8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</row>
    <row r="337" spans="3:8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</row>
    <row r="338" spans="3:86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</row>
    <row r="339" spans="3:86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</row>
    <row r="340" spans="3:86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</row>
    <row r="341" spans="3:86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</row>
    <row r="342" spans="3:86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</row>
    <row r="343" spans="3:86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</row>
    <row r="344" spans="3:86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</row>
    <row r="345" spans="3:86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</row>
    <row r="346" spans="3:86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</row>
    <row r="347" spans="3:86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</row>
    <row r="348" spans="3:86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</row>
    <row r="349" spans="3:86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</row>
    <row r="350" spans="3:86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</row>
    <row r="351" spans="3:86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</row>
    <row r="352" spans="3:86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</row>
    <row r="353" spans="3:86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</row>
    <row r="354" spans="3:86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</row>
    <row r="355" spans="3:86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</row>
    <row r="356" spans="3:86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</row>
    <row r="357" spans="3:86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</row>
    <row r="358" spans="3:86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</row>
    <row r="359" spans="3:86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</row>
    <row r="360" spans="3:86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</row>
    <row r="361" spans="3:86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</row>
    <row r="362" spans="3:86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</row>
    <row r="363" spans="3:86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</row>
    <row r="364" spans="3:86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</row>
    <row r="365" spans="3:86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</row>
    <row r="366" spans="3:86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</row>
    <row r="367" spans="3:86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</row>
    <row r="368" spans="3:86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</row>
    <row r="369" spans="3:8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</row>
    <row r="370" spans="3:8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</row>
    <row r="371" spans="3:8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</row>
    <row r="372" spans="3:8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</row>
    <row r="373" spans="3:8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</row>
    <row r="374" spans="3:8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</row>
    <row r="375" spans="3:8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</row>
    <row r="376" spans="3:8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</row>
    <row r="377" spans="3:8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</row>
    <row r="378" spans="3:8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</row>
    <row r="379" spans="3:8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</row>
    <row r="380" spans="3:8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</row>
    <row r="381" spans="3:8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</row>
    <row r="382" spans="3:8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</row>
    <row r="383" spans="3:8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</row>
    <row r="384" spans="3:8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</row>
    <row r="385" spans="3:8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</row>
    <row r="386" spans="3:8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</row>
    <row r="387" spans="3:8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</row>
    <row r="388" spans="3:8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</row>
    <row r="389" spans="3:8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</row>
    <row r="390" spans="3:8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</row>
    <row r="391" spans="3:8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</row>
    <row r="392" spans="3:8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</row>
    <row r="393" spans="3:8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</row>
    <row r="394" spans="3:8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</row>
    <row r="395" spans="3:8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</row>
    <row r="396" spans="3:8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</row>
    <row r="397" spans="3:8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</row>
    <row r="398" spans="3:8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</row>
    <row r="399" spans="3:8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</row>
    <row r="400" spans="3:8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</row>
    <row r="401" spans="3:8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</row>
    <row r="402" spans="3:8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</row>
    <row r="403" spans="3:8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</row>
    <row r="404" spans="3:8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</row>
    <row r="405" spans="3:8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</row>
    <row r="406" spans="3:8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</row>
    <row r="407" spans="3:8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</row>
    <row r="408" spans="3:8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</row>
    <row r="409" spans="3:8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</row>
    <row r="410" spans="3:8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</row>
    <row r="411" spans="3:8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</row>
    <row r="412" spans="3:8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</row>
    <row r="413" spans="3:8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</row>
    <row r="414" spans="3:8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</row>
  </sheetData>
  <hyperlinks>
    <hyperlink ref="A1" location="Main!A1" display="Main" xr:uid="{2D545B43-9BF8-4B18-81B2-3159BDDBDF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0216-F942-4962-936D-4D74D761CD8A}">
  <dimension ref="A1:G6"/>
  <sheetViews>
    <sheetView workbookViewId="0">
      <selection activeCell="G6" sqref="G6"/>
    </sheetView>
  </sheetViews>
  <sheetFormatPr defaultRowHeight="12.75" x14ac:dyDescent="0.2"/>
  <cols>
    <col min="1" max="1" width="5" bestFit="1" customWidth="1"/>
  </cols>
  <sheetData>
    <row r="1" spans="1:7" x14ac:dyDescent="0.2">
      <c r="A1" s="2" t="s">
        <v>9</v>
      </c>
    </row>
    <row r="3" spans="1:7" x14ac:dyDescent="0.2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G4" t="s">
        <v>16</v>
      </c>
    </row>
    <row r="5" spans="1:7" x14ac:dyDescent="0.2">
      <c r="G5" t="s">
        <v>17</v>
      </c>
    </row>
    <row r="6" spans="1:7" x14ac:dyDescent="0.2">
      <c r="G6" t="s">
        <v>18</v>
      </c>
    </row>
  </sheetData>
  <hyperlinks>
    <hyperlink ref="A1" location="Main!A1" display="Main" xr:uid="{9914CA0D-C089-4A69-A1B7-656A978B16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Patents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2026-04-23T16:08:53Z</dcterms:created>
  <dcterms:modified xsi:type="dcterms:W3CDTF">2026-07-05T12:38:14Z</dcterms:modified>
</cp:coreProperties>
</file>