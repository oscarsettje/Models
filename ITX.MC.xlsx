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F594752-B9D4-46B6-B691-E1410E3EFBD5}" xr6:coauthVersionLast="47" xr6:coauthVersionMax="47" xr10:uidLastSave="{00000000-0000-0000-0000-000000000000}"/>
  <bookViews>
    <workbookView xWindow="19095" yWindow="0" windowWidth="19410" windowHeight="20985" xr2:uid="{D8A593F9-CE2E-4D8C-B815-D7E0264BAFFB}"/>
  </bookViews>
  <sheets>
    <sheet name="Main" sheetId="1" r:id="rId1"/>
    <sheet name="Model" sheetId="2" r:id="rId2"/>
    <sheet name="Ratios" sheetId="3" r:id="rId3"/>
    <sheet name="DC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P46" i="2"/>
  <c r="P44" i="2"/>
  <c r="P42" i="2"/>
  <c r="P41" i="2"/>
  <c r="P61" i="2" s="1"/>
  <c r="P40" i="2"/>
  <c r="P39" i="2"/>
  <c r="P38" i="2"/>
  <c r="P37" i="2"/>
  <c r="P36" i="2"/>
  <c r="P34" i="2"/>
  <c r="P33" i="2"/>
  <c r="P32" i="2"/>
  <c r="P31" i="2"/>
  <c r="P30" i="2"/>
  <c r="P29" i="2"/>
  <c r="P56" i="2" s="1"/>
  <c r="O61" i="2"/>
  <c r="N61" i="2"/>
  <c r="O59" i="2"/>
  <c r="N59" i="2"/>
  <c r="O58" i="2"/>
  <c r="N58" i="2"/>
  <c r="O57" i="2"/>
  <c r="N57" i="2"/>
  <c r="O56" i="2"/>
  <c r="N56" i="2"/>
  <c r="O55" i="2"/>
  <c r="N55" i="2"/>
  <c r="P10" i="2"/>
  <c r="O10" i="2"/>
  <c r="P3" i="2"/>
  <c r="N10" i="2"/>
  <c r="O3" i="2"/>
  <c r="AA19" i="2"/>
  <c r="O46" i="2"/>
  <c r="O44" i="2"/>
  <c r="O42" i="2"/>
  <c r="O34" i="2"/>
  <c r="O37" i="2" s="1"/>
  <c r="O40" i="2" s="1"/>
  <c r="O31" i="2"/>
  <c r="N43" i="2"/>
  <c r="N35" i="2"/>
  <c r="Z3" i="2"/>
  <c r="AA3" i="2"/>
  <c r="K32" i="3"/>
  <c r="J32" i="3"/>
  <c r="K30" i="3"/>
  <c r="K31" i="3"/>
  <c r="K23" i="3"/>
  <c r="K24" i="3" s="1"/>
  <c r="K21" i="3"/>
  <c r="K20" i="3"/>
  <c r="AA115" i="2"/>
  <c r="AA106" i="2"/>
  <c r="AA109" i="2" s="1"/>
  <c r="AA102" i="2"/>
  <c r="AA103" i="2" s="1"/>
  <c r="AA89" i="2"/>
  <c r="AA84" i="2"/>
  <c r="AA79" i="2"/>
  <c r="AA74" i="2"/>
  <c r="AA68" i="2"/>
  <c r="AA75" i="2" s="1"/>
  <c r="K22" i="3" s="1"/>
  <c r="AA55" i="2"/>
  <c r="AA54" i="2"/>
  <c r="AA53" i="2"/>
  <c r="AA52" i="2"/>
  <c r="AA51" i="2"/>
  <c r="AA50" i="2"/>
  <c r="AA49" i="2"/>
  <c r="V56" i="4"/>
  <c r="AA31" i="2"/>
  <c r="AA56" i="2" s="1"/>
  <c r="I3" i="2"/>
  <c r="M3" i="2"/>
  <c r="M10" i="2" s="1"/>
  <c r="L3" i="2"/>
  <c r="L41" i="2"/>
  <c r="L38" i="2"/>
  <c r="M38" i="2" s="1"/>
  <c r="N38" i="2" s="1"/>
  <c r="L39" i="2"/>
  <c r="L36" i="2"/>
  <c r="L33" i="2"/>
  <c r="M33" i="2" s="1"/>
  <c r="L32" i="2"/>
  <c r="L30" i="2"/>
  <c r="L29" i="2"/>
  <c r="L10" i="2"/>
  <c r="K55" i="2"/>
  <c r="J47" i="2"/>
  <c r="K31" i="2"/>
  <c r="K34" i="2" s="1"/>
  <c r="K37" i="2" s="1"/>
  <c r="K40" i="2" s="1"/>
  <c r="K42" i="2" s="1"/>
  <c r="K44" i="2" s="1"/>
  <c r="K46" i="2" s="1"/>
  <c r="J23" i="3"/>
  <c r="J24" i="3" s="1"/>
  <c r="J21" i="3"/>
  <c r="J20" i="3"/>
  <c r="J30" i="3"/>
  <c r="J5" i="1"/>
  <c r="Z119" i="2"/>
  <c r="Z115" i="2"/>
  <c r="Z106" i="2"/>
  <c r="Z109" i="2" s="1"/>
  <c r="Z102" i="2"/>
  <c r="Z89" i="2"/>
  <c r="C84" i="2"/>
  <c r="D84" i="2"/>
  <c r="E84" i="2"/>
  <c r="F84" i="2"/>
  <c r="G84" i="2"/>
  <c r="H84" i="2"/>
  <c r="I84" i="2"/>
  <c r="J84" i="2"/>
  <c r="T84" i="2"/>
  <c r="U84" i="2"/>
  <c r="V84" i="2"/>
  <c r="W84" i="2"/>
  <c r="X84" i="2"/>
  <c r="Z84" i="2"/>
  <c r="Z79" i="2"/>
  <c r="Z74" i="2"/>
  <c r="Z68" i="2"/>
  <c r="Z54" i="2"/>
  <c r="Z53" i="2"/>
  <c r="Z52" i="2"/>
  <c r="Z51" i="2"/>
  <c r="Z50" i="2"/>
  <c r="Z49" i="2"/>
  <c r="Z20" i="2"/>
  <c r="Z19" i="2"/>
  <c r="Z12" i="2"/>
  <c r="O33" i="4"/>
  <c r="P33" i="4" s="1"/>
  <c r="Q33" i="4" s="1"/>
  <c r="R33" i="4" s="1"/>
  <c r="S33" i="4" s="1"/>
  <c r="T33" i="4" s="1"/>
  <c r="U33" i="4" s="1"/>
  <c r="V33" i="4" s="1"/>
  <c r="N33" i="4"/>
  <c r="O27" i="4"/>
  <c r="P27" i="4" s="1"/>
  <c r="Q27" i="4" s="1"/>
  <c r="R27" i="4" s="1"/>
  <c r="N27" i="4"/>
  <c r="O25" i="4"/>
  <c r="P25" i="4" s="1"/>
  <c r="Q25" i="4" s="1"/>
  <c r="R25" i="4" s="1"/>
  <c r="S25" i="4" s="1"/>
  <c r="T25" i="4" s="1"/>
  <c r="U25" i="4" s="1"/>
  <c r="V25" i="4" s="1"/>
  <c r="N25" i="4"/>
  <c r="M51" i="4"/>
  <c r="N51" i="4" s="1"/>
  <c r="O51" i="4" s="1"/>
  <c r="P51" i="4" s="1"/>
  <c r="Q51" i="4" s="1"/>
  <c r="R51" i="4" s="1"/>
  <c r="S51" i="4" s="1"/>
  <c r="T51" i="4" s="1"/>
  <c r="U51" i="4" s="1"/>
  <c r="V51" i="4" s="1"/>
  <c r="H29" i="2"/>
  <c r="I29" i="2" s="1"/>
  <c r="I55" i="2" s="1"/>
  <c r="H30" i="2"/>
  <c r="I30" i="2" s="1"/>
  <c r="G31" i="2"/>
  <c r="H39" i="2"/>
  <c r="I39" i="2" s="1"/>
  <c r="H38" i="2"/>
  <c r="I38" i="2" s="1"/>
  <c r="H36" i="2"/>
  <c r="H33" i="2"/>
  <c r="I33" i="2" s="1"/>
  <c r="H32" i="2"/>
  <c r="I32" i="2" s="1"/>
  <c r="O26" i="4"/>
  <c r="O24" i="4" s="1" a="1"/>
  <c r="O24" i="4" s="1"/>
  <c r="N26" i="4"/>
  <c r="V59" i="4"/>
  <c r="V57" i="4"/>
  <c r="E18" i="4"/>
  <c r="E17" i="4"/>
  <c r="O47" i="4"/>
  <c r="P47" i="4" s="1"/>
  <c r="Q47" i="4" s="1"/>
  <c r="R47" i="4" s="1"/>
  <c r="S47" i="4" s="1"/>
  <c r="T47" i="4" s="1"/>
  <c r="U47" i="4" s="1"/>
  <c r="V47" i="4" s="1"/>
  <c r="N47" i="4"/>
  <c r="O44" i="4"/>
  <c r="P44" i="4" s="1"/>
  <c r="Q44" i="4" s="1"/>
  <c r="R44" i="4" s="1"/>
  <c r="S44" i="4" s="1"/>
  <c r="T44" i="4" s="1"/>
  <c r="U44" i="4" s="1"/>
  <c r="V44" i="4" s="1"/>
  <c r="N44" i="4"/>
  <c r="O41" i="4"/>
  <c r="P41" i="4" s="1"/>
  <c r="Q41" i="4" s="1"/>
  <c r="R41" i="4" s="1"/>
  <c r="S41" i="4" s="1"/>
  <c r="T41" i="4" s="1"/>
  <c r="U41" i="4" s="1"/>
  <c r="V41" i="4" s="1"/>
  <c r="N41" i="4"/>
  <c r="V30" i="4" a="1"/>
  <c r="V30" i="4" s="1"/>
  <c r="U30" i="4" a="1"/>
  <c r="U30" i="4" s="1"/>
  <c r="T30" i="4" a="1"/>
  <c r="T30" i="4" s="1"/>
  <c r="S30" i="4" a="1"/>
  <c r="S30" i="4" s="1"/>
  <c r="R30" i="4" a="1"/>
  <c r="R30" i="4" s="1"/>
  <c r="Q30" i="4" a="1"/>
  <c r="Q30" i="4" s="1"/>
  <c r="P30" i="4" a="1"/>
  <c r="P30" i="4" s="1"/>
  <c r="O30" i="4" a="1"/>
  <c r="O30" i="4" s="1"/>
  <c r="N30" i="4" a="1"/>
  <c r="N30" i="4" s="1"/>
  <c r="M30" i="4" a="1"/>
  <c r="M30" i="4" s="1"/>
  <c r="N24" i="4" a="1"/>
  <c r="N24" i="4" s="1"/>
  <c r="M24" i="4" a="1"/>
  <c r="M24" i="4" s="1"/>
  <c r="L43" i="4"/>
  <c r="K43" i="4"/>
  <c r="J43" i="4"/>
  <c r="L40" i="4"/>
  <c r="K40" i="4"/>
  <c r="J40" i="4"/>
  <c r="I40" i="4"/>
  <c r="H40" i="4"/>
  <c r="G40" i="4"/>
  <c r="L35" i="4"/>
  <c r="K35" i="4"/>
  <c r="J35" i="4"/>
  <c r="I35" i="4"/>
  <c r="H35" i="4"/>
  <c r="G35" i="4"/>
  <c r="J3" i="4"/>
  <c r="H22" i="4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P55" i="2" l="1"/>
  <c r="P58" i="2"/>
  <c r="P57" i="2"/>
  <c r="P59" i="2"/>
  <c r="AA118" i="2"/>
  <c r="AA120" i="2" s="1"/>
  <c r="AA90" i="2"/>
  <c r="K33" i="3"/>
  <c r="L55" i="2"/>
  <c r="N33" i="2"/>
  <c r="M41" i="2"/>
  <c r="N41" i="2" s="1"/>
  <c r="K61" i="2"/>
  <c r="M36" i="2"/>
  <c r="N36" i="2" s="1"/>
  <c r="M32" i="2"/>
  <c r="N32" i="2" s="1"/>
  <c r="K25" i="3"/>
  <c r="AA34" i="2"/>
  <c r="M29" i="2"/>
  <c r="N29" i="2" s="1"/>
  <c r="M30" i="2"/>
  <c r="N30" i="2" s="1"/>
  <c r="L31" i="2"/>
  <c r="M39" i="2"/>
  <c r="N39" i="2" s="1"/>
  <c r="K56" i="2"/>
  <c r="K57" i="2"/>
  <c r="K58" i="2"/>
  <c r="K59" i="2"/>
  <c r="Z75" i="2"/>
  <c r="J22" i="3" s="1"/>
  <c r="Z90" i="2"/>
  <c r="H31" i="2"/>
  <c r="J25" i="3"/>
  <c r="P26" i="4"/>
  <c r="N31" i="2" l="1"/>
  <c r="N34" i="2" s="1"/>
  <c r="N37" i="2" s="1"/>
  <c r="N40" i="2" s="1"/>
  <c r="N42" i="2" s="1"/>
  <c r="N44" i="2" s="1"/>
  <c r="N46" i="2" s="1"/>
  <c r="L56" i="2"/>
  <c r="L34" i="2"/>
  <c r="AA57" i="2"/>
  <c r="AA37" i="2"/>
  <c r="M31" i="2"/>
  <c r="M55" i="2"/>
  <c r="K39" i="3"/>
  <c r="K40" i="3"/>
  <c r="P24" i="4" a="1"/>
  <c r="P24" i="4" s="1"/>
  <c r="Q26" i="4"/>
  <c r="M56" i="2" l="1"/>
  <c r="M34" i="2"/>
  <c r="AA58" i="2"/>
  <c r="K7" i="3"/>
  <c r="K5" i="3"/>
  <c r="AA40" i="2"/>
  <c r="L57" i="2"/>
  <c r="L37" i="2"/>
  <c r="K41" i="3"/>
  <c r="Q24" i="4" a="1"/>
  <c r="Q24" i="4" s="1"/>
  <c r="R26" i="4"/>
  <c r="L40" i="2" l="1"/>
  <c r="L58" i="2"/>
  <c r="AA61" i="2"/>
  <c r="AA42" i="2"/>
  <c r="M57" i="2"/>
  <c r="M37" i="2"/>
  <c r="R24" i="4" a="1"/>
  <c r="R24" i="4" s="1"/>
  <c r="S26" i="4"/>
  <c r="AB10" i="2"/>
  <c r="AC10" i="2" s="1"/>
  <c r="AD10" i="2" s="1"/>
  <c r="AE10" i="2" s="1"/>
  <c r="AA17" i="2"/>
  <c r="X19" i="2"/>
  <c r="W19" i="2"/>
  <c r="V19" i="2"/>
  <c r="W20" i="2"/>
  <c r="V20" i="2"/>
  <c r="Y20" i="2"/>
  <c r="AA20" i="2" s="1"/>
  <c r="AB20" i="2" s="1"/>
  <c r="Y19" i="2"/>
  <c r="X17" i="2"/>
  <c r="X20" i="2" s="1"/>
  <c r="M16" i="3"/>
  <c r="M15" i="3"/>
  <c r="H32" i="3"/>
  <c r="G32" i="3"/>
  <c r="F32" i="3"/>
  <c r="E32" i="3"/>
  <c r="D32" i="3"/>
  <c r="I32" i="3"/>
  <c r="H30" i="3"/>
  <c r="H31" i="3" s="1"/>
  <c r="G30" i="3"/>
  <c r="G31" i="3" s="1"/>
  <c r="F30" i="3"/>
  <c r="F31" i="3" s="1"/>
  <c r="E30" i="3"/>
  <c r="E31" i="3" s="1"/>
  <c r="D30" i="3"/>
  <c r="D31" i="3" s="1"/>
  <c r="I30" i="3"/>
  <c r="I31" i="3" s="1"/>
  <c r="H23" i="3"/>
  <c r="H24" i="3" s="1"/>
  <c r="G23" i="3"/>
  <c r="G24" i="3" s="1"/>
  <c r="F23" i="3"/>
  <c r="F24" i="3" s="1"/>
  <c r="E23" i="3"/>
  <c r="E24" i="3" s="1"/>
  <c r="D23" i="3"/>
  <c r="D24" i="3" s="1"/>
  <c r="I23" i="3"/>
  <c r="I24" i="3" s="1"/>
  <c r="L42" i="2" l="1"/>
  <c r="L61" i="2"/>
  <c r="AA15" i="2"/>
  <c r="AA12" i="2" s="1"/>
  <c r="M40" i="2"/>
  <c r="M58" i="2"/>
  <c r="AA59" i="2"/>
  <c r="AA44" i="2"/>
  <c r="K6" i="3"/>
  <c r="K11" i="3"/>
  <c r="AC20" i="2"/>
  <c r="AD20" i="2" s="1"/>
  <c r="AE20" i="2" s="1"/>
  <c r="AB17" i="2"/>
  <c r="J31" i="3"/>
  <c r="J33" i="3" s="1"/>
  <c r="S24" i="4" a="1"/>
  <c r="S24" i="4" s="1"/>
  <c r="T26" i="4"/>
  <c r="I33" i="3"/>
  <c r="M24" i="3"/>
  <c r="M23" i="3"/>
  <c r="D33" i="3"/>
  <c r="E33" i="3"/>
  <c r="F33" i="3"/>
  <c r="G33" i="3"/>
  <c r="H33" i="3"/>
  <c r="K12" i="3" l="1"/>
  <c r="AA14" i="2"/>
  <c r="AA13" i="2"/>
  <c r="L44" i="2"/>
  <c r="L46" i="2" s="1"/>
  <c r="L59" i="2"/>
  <c r="K9" i="3"/>
  <c r="AA46" i="2"/>
  <c r="K4" i="3"/>
  <c r="K35" i="3"/>
  <c r="M42" i="2"/>
  <c r="M61" i="2"/>
  <c r="AC17" i="2"/>
  <c r="AB15" i="2"/>
  <c r="Z31" i="2"/>
  <c r="U26" i="4"/>
  <c r="T24" i="4" a="1"/>
  <c r="T24" i="4" s="1"/>
  <c r="J39" i="3"/>
  <c r="M44" i="2" l="1"/>
  <c r="M46" i="2" s="1"/>
  <c r="M59" i="2"/>
  <c r="K10" i="3"/>
  <c r="Z34" i="2"/>
  <c r="Z56" i="2"/>
  <c r="AD17" i="2"/>
  <c r="AC15" i="2"/>
  <c r="V26" i="4"/>
  <c r="V24" i="4" s="1" a="1"/>
  <c r="V24" i="4" s="1"/>
  <c r="U24" i="4" a="1"/>
  <c r="U24" i="4" s="1"/>
  <c r="E2" i="3"/>
  <c r="F2" i="3" s="1"/>
  <c r="G2" i="3" s="1"/>
  <c r="H2" i="3" s="1"/>
  <c r="I2" i="3" s="1"/>
  <c r="J2" i="3" s="1"/>
  <c r="J55" i="2"/>
  <c r="H55" i="2"/>
  <c r="G55" i="2"/>
  <c r="J89" i="2"/>
  <c r="I89" i="2"/>
  <c r="H89" i="2"/>
  <c r="G89" i="2"/>
  <c r="F89" i="2"/>
  <c r="E89" i="2"/>
  <c r="D89" i="2"/>
  <c r="C89" i="2"/>
  <c r="J79" i="2"/>
  <c r="I79" i="2"/>
  <c r="H79" i="2"/>
  <c r="G79" i="2"/>
  <c r="F79" i="2"/>
  <c r="E79" i="2"/>
  <c r="D79" i="2"/>
  <c r="C79" i="2"/>
  <c r="J74" i="2"/>
  <c r="I74" i="2"/>
  <c r="H74" i="2"/>
  <c r="G74" i="2"/>
  <c r="F74" i="2"/>
  <c r="E74" i="2"/>
  <c r="D74" i="2"/>
  <c r="C74" i="2"/>
  <c r="J68" i="2"/>
  <c r="I68" i="2"/>
  <c r="H68" i="2"/>
  <c r="G68" i="2"/>
  <c r="F68" i="2"/>
  <c r="E68" i="2"/>
  <c r="D68" i="2"/>
  <c r="C68" i="2"/>
  <c r="J31" i="2"/>
  <c r="J56" i="2" s="1"/>
  <c r="I31" i="2"/>
  <c r="I56" i="2" s="1"/>
  <c r="G34" i="2"/>
  <c r="F31" i="2"/>
  <c r="F34" i="2" s="1"/>
  <c r="E31" i="2"/>
  <c r="E34" i="2" s="1"/>
  <c r="D31" i="2"/>
  <c r="D34" i="2" s="1"/>
  <c r="C31" i="2"/>
  <c r="C34" i="2" s="1"/>
  <c r="U2" i="2"/>
  <c r="V2" i="2" s="1"/>
  <c r="W2" i="2" s="1"/>
  <c r="X2" i="2" s="1"/>
  <c r="Y2" i="2" s="1"/>
  <c r="Z2" i="2" s="1"/>
  <c r="AA2" i="2" s="1"/>
  <c r="AB2" i="2" s="1"/>
  <c r="AC2" i="2" s="1"/>
  <c r="AD2" i="2" s="1"/>
  <c r="AE2" i="2" s="1"/>
  <c r="U120" i="2"/>
  <c r="T120" i="2"/>
  <c r="T105" i="2"/>
  <c r="U105" i="2"/>
  <c r="T96" i="2"/>
  <c r="U96" i="2"/>
  <c r="T68" i="2"/>
  <c r="U68" i="2"/>
  <c r="X29" i="2"/>
  <c r="W29" i="2"/>
  <c r="V29" i="2"/>
  <c r="U29" i="2"/>
  <c r="T29" i="2"/>
  <c r="Y29" i="2"/>
  <c r="Z55" i="2" s="1"/>
  <c r="V120" i="2"/>
  <c r="W120" i="2"/>
  <c r="V105" i="2"/>
  <c r="W102" i="2"/>
  <c r="J46" i="4" s="1"/>
  <c r="V102" i="2"/>
  <c r="I46" i="4" s="1"/>
  <c r="U102" i="2"/>
  <c r="H46" i="4" s="1"/>
  <c r="T102" i="2"/>
  <c r="G46" i="4" s="1"/>
  <c r="V68" i="2"/>
  <c r="W68" i="2"/>
  <c r="X120" i="2"/>
  <c r="X115" i="2"/>
  <c r="W115" i="2"/>
  <c r="V115" i="2"/>
  <c r="U115" i="2"/>
  <c r="T115" i="2"/>
  <c r="Y115" i="2"/>
  <c r="X109" i="2"/>
  <c r="W109" i="2"/>
  <c r="Y109" i="2"/>
  <c r="X102" i="2"/>
  <c r="K46" i="4" s="1"/>
  <c r="Y102" i="2"/>
  <c r="L46" i="4" s="1"/>
  <c r="Z37" i="2" l="1"/>
  <c r="Z58" i="2" s="1"/>
  <c r="AA60" i="2"/>
  <c r="J75" i="2"/>
  <c r="J40" i="3"/>
  <c r="Z57" i="2"/>
  <c r="K23" i="4"/>
  <c r="K47" i="4" s="1"/>
  <c r="X12" i="2"/>
  <c r="U109" i="2"/>
  <c r="H43" i="4"/>
  <c r="L23" i="4"/>
  <c r="L47" i="4" s="1"/>
  <c r="Y12" i="2"/>
  <c r="G23" i="4"/>
  <c r="G41" i="4" s="1"/>
  <c r="T12" i="2"/>
  <c r="T109" i="2"/>
  <c r="G43" i="4"/>
  <c r="V109" i="2"/>
  <c r="I43" i="4"/>
  <c r="I23" i="4"/>
  <c r="V12" i="2"/>
  <c r="H75" i="2"/>
  <c r="H23" i="4"/>
  <c r="H47" i="4" s="1"/>
  <c r="U12" i="2"/>
  <c r="J23" i="4"/>
  <c r="J47" i="4" s="1"/>
  <c r="W12" i="2"/>
  <c r="AE17" i="2"/>
  <c r="AE15" i="2" s="1"/>
  <c r="AD15" i="2"/>
  <c r="C90" i="2"/>
  <c r="G90" i="2"/>
  <c r="H90" i="2"/>
  <c r="C75" i="2"/>
  <c r="E75" i="2"/>
  <c r="F90" i="2"/>
  <c r="D75" i="2"/>
  <c r="I90" i="2"/>
  <c r="I75" i="2"/>
  <c r="D90" i="2"/>
  <c r="E90" i="2"/>
  <c r="J90" i="2"/>
  <c r="F75" i="2"/>
  <c r="I20" i="3"/>
  <c r="I21" i="3"/>
  <c r="I39" i="3"/>
  <c r="D21" i="3"/>
  <c r="D20" i="3"/>
  <c r="D39" i="3"/>
  <c r="E21" i="3"/>
  <c r="E20" i="3"/>
  <c r="E39" i="3"/>
  <c r="F20" i="3"/>
  <c r="F21" i="3"/>
  <c r="F39" i="3"/>
  <c r="G37" i="2"/>
  <c r="G40" i="2" s="1"/>
  <c r="G42" i="2" s="1"/>
  <c r="G44" i="2" s="1"/>
  <c r="G46" i="2" s="1"/>
  <c r="G60" i="2"/>
  <c r="G20" i="3"/>
  <c r="G21" i="3"/>
  <c r="G39" i="3"/>
  <c r="H56" i="2"/>
  <c r="H34" i="2"/>
  <c r="H57" i="2" s="1"/>
  <c r="H21" i="3"/>
  <c r="H20" i="3"/>
  <c r="H39" i="3"/>
  <c r="I34" i="2"/>
  <c r="I57" i="2" s="1"/>
  <c r="F37" i="2"/>
  <c r="F57" i="2"/>
  <c r="C57" i="2"/>
  <c r="C37" i="2"/>
  <c r="D37" i="2"/>
  <c r="D57" i="2"/>
  <c r="E37" i="2"/>
  <c r="E57" i="2"/>
  <c r="J34" i="2"/>
  <c r="C56" i="2"/>
  <c r="D56" i="2"/>
  <c r="E56" i="2"/>
  <c r="F56" i="2"/>
  <c r="G57" i="2"/>
  <c r="G56" i="2"/>
  <c r="G7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Y54" i="2"/>
  <c r="Y53" i="2"/>
  <c r="Y52" i="2"/>
  <c r="Y51" i="2"/>
  <c r="Y50" i="2"/>
  <c r="Y49" i="2"/>
  <c r="X89" i="2"/>
  <c r="W89" i="2"/>
  <c r="V89" i="2"/>
  <c r="U89" i="2"/>
  <c r="T89" i="2"/>
  <c r="Y89" i="2"/>
  <c r="Y84" i="2"/>
  <c r="X79" i="2"/>
  <c r="H37" i="3" s="1"/>
  <c r="W79" i="2"/>
  <c r="G37" i="3" s="1"/>
  <c r="V79" i="2"/>
  <c r="F37" i="3" s="1"/>
  <c r="U79" i="2"/>
  <c r="E37" i="3" s="1"/>
  <c r="T79" i="2"/>
  <c r="D37" i="3" s="1"/>
  <c r="Y79" i="2"/>
  <c r="I37" i="3" s="1"/>
  <c r="X74" i="2"/>
  <c r="W74" i="2"/>
  <c r="V74" i="2"/>
  <c r="U74" i="2"/>
  <c r="T74" i="2"/>
  <c r="X68" i="2"/>
  <c r="Y74" i="2"/>
  <c r="Y68" i="2"/>
  <c r="X31" i="2"/>
  <c r="X34" i="2" s="1"/>
  <c r="K29" i="4" s="1"/>
  <c r="W31" i="2"/>
  <c r="W34" i="2" s="1"/>
  <c r="J29" i="4" s="1"/>
  <c r="V31" i="2"/>
  <c r="V34" i="2" s="1"/>
  <c r="I29" i="4" s="1"/>
  <c r="U31" i="2"/>
  <c r="U34" i="2" s="1"/>
  <c r="H29" i="4" s="1"/>
  <c r="T31" i="2"/>
  <c r="T34" i="2" s="1"/>
  <c r="G29" i="4" s="1"/>
  <c r="J41" i="3" l="1"/>
  <c r="Z40" i="2"/>
  <c r="J5" i="3"/>
  <c r="J7" i="3"/>
  <c r="Z61" i="2"/>
  <c r="Z93" i="2"/>
  <c r="Z103" i="2" s="1"/>
  <c r="Z118" i="2" s="1"/>
  <c r="G44" i="4"/>
  <c r="G47" i="4"/>
  <c r="J8" i="1"/>
  <c r="I44" i="4"/>
  <c r="W14" i="2"/>
  <c r="W13" i="2"/>
  <c r="I24" i="4"/>
  <c r="I41" i="4"/>
  <c r="U14" i="2"/>
  <c r="U13" i="2"/>
  <c r="G30" i="4"/>
  <c r="G38" i="4"/>
  <c r="G49" i="4" s="1"/>
  <c r="G36" i="4"/>
  <c r="I47" i="4"/>
  <c r="J38" i="4"/>
  <c r="J49" i="4" s="1"/>
  <c r="J30" i="4"/>
  <c r="J36" i="4"/>
  <c r="K38" i="4"/>
  <c r="K49" i="4" s="1"/>
  <c r="K30" i="4"/>
  <c r="K36" i="4"/>
  <c r="Y13" i="2"/>
  <c r="Y14" i="2"/>
  <c r="H44" i="4"/>
  <c r="X14" i="2"/>
  <c r="X13" i="2"/>
  <c r="J24" i="4"/>
  <c r="J41" i="4"/>
  <c r="J44" i="4"/>
  <c r="H24" i="4"/>
  <c r="H41" i="4"/>
  <c r="V14" i="2"/>
  <c r="V13" i="2"/>
  <c r="H38" i="4"/>
  <c r="H49" i="4" s="1"/>
  <c r="H36" i="4"/>
  <c r="H30" i="4"/>
  <c r="I30" i="4"/>
  <c r="I38" i="4"/>
  <c r="I49" i="4" s="1"/>
  <c r="I36" i="4"/>
  <c r="T13" i="2"/>
  <c r="T14" i="2"/>
  <c r="L24" i="4"/>
  <c r="L41" i="4"/>
  <c r="L44" i="4"/>
  <c r="M23" i="4"/>
  <c r="K24" i="4"/>
  <c r="K41" i="4"/>
  <c r="K44" i="4"/>
  <c r="H25" i="3"/>
  <c r="G25" i="3"/>
  <c r="G61" i="2"/>
  <c r="G59" i="2"/>
  <c r="T37" i="2"/>
  <c r="D41" i="3" s="1"/>
  <c r="D40" i="3"/>
  <c r="F25" i="3"/>
  <c r="M37" i="3"/>
  <c r="G58" i="2"/>
  <c r="M39" i="3"/>
  <c r="W37" i="2"/>
  <c r="G41" i="3" s="1"/>
  <c r="G40" i="3"/>
  <c r="W60" i="2"/>
  <c r="X37" i="2"/>
  <c r="H41" i="3" s="1"/>
  <c r="X60" i="2"/>
  <c r="H40" i="3"/>
  <c r="M20" i="3"/>
  <c r="D25" i="3"/>
  <c r="M21" i="3"/>
  <c r="U37" i="2"/>
  <c r="E41" i="3" s="1"/>
  <c r="U60" i="2"/>
  <c r="E40" i="3"/>
  <c r="V37" i="2"/>
  <c r="F41" i="3" s="1"/>
  <c r="V60" i="2"/>
  <c r="F40" i="3"/>
  <c r="E25" i="3"/>
  <c r="I25" i="3"/>
  <c r="H37" i="2"/>
  <c r="H40" i="2" s="1"/>
  <c r="I37" i="2"/>
  <c r="I40" i="2" s="1"/>
  <c r="D58" i="2"/>
  <c r="D40" i="2"/>
  <c r="C58" i="2"/>
  <c r="C40" i="2"/>
  <c r="E40" i="2"/>
  <c r="E58" i="2"/>
  <c r="J57" i="2"/>
  <c r="J37" i="2"/>
  <c r="F40" i="2"/>
  <c r="F58" i="2"/>
  <c r="Y31" i="2"/>
  <c r="C8" i="1"/>
  <c r="C13" i="1"/>
  <c r="C12" i="1"/>
  <c r="C11" i="1"/>
  <c r="C10" i="1"/>
  <c r="C9" i="1"/>
  <c r="Y55" i="2"/>
  <c r="T56" i="2"/>
  <c r="T57" i="2"/>
  <c r="X55" i="2"/>
  <c r="U57" i="2"/>
  <c r="V57" i="2"/>
  <c r="U56" i="2"/>
  <c r="W57" i="2"/>
  <c r="V56" i="2"/>
  <c r="X57" i="2"/>
  <c r="U55" i="2"/>
  <c r="W56" i="2"/>
  <c r="V55" i="2"/>
  <c r="X56" i="2"/>
  <c r="W55" i="2"/>
  <c r="W90" i="2"/>
  <c r="V90" i="2"/>
  <c r="Y90" i="2"/>
  <c r="T90" i="2"/>
  <c r="Y75" i="2"/>
  <c r="I22" i="3" s="1"/>
  <c r="X75" i="2"/>
  <c r="U90" i="2"/>
  <c r="T75" i="2"/>
  <c r="X90" i="2"/>
  <c r="U75" i="2"/>
  <c r="V75" i="2"/>
  <c r="W75" i="2"/>
  <c r="G22" i="3" s="1"/>
  <c r="T40" i="2" l="1"/>
  <c r="T61" i="2" s="1"/>
  <c r="D11" i="3" s="1"/>
  <c r="J6" i="3"/>
  <c r="J11" i="3"/>
  <c r="N23" i="4"/>
  <c r="M43" i="4"/>
  <c r="M40" i="4"/>
  <c r="M46" i="4"/>
  <c r="H58" i="2"/>
  <c r="D7" i="3"/>
  <c r="U40" i="2"/>
  <c r="U42" i="2" s="1"/>
  <c r="U59" i="2" s="1"/>
  <c r="U58" i="2"/>
  <c r="H7" i="3"/>
  <c r="X58" i="2"/>
  <c r="V58" i="2"/>
  <c r="T58" i="2"/>
  <c r="E7" i="3"/>
  <c r="F5" i="3"/>
  <c r="F22" i="3"/>
  <c r="G7" i="3"/>
  <c r="M25" i="3"/>
  <c r="W40" i="2"/>
  <c r="W42" i="2" s="1"/>
  <c r="W44" i="2" s="1"/>
  <c r="G35" i="3" s="1"/>
  <c r="D5" i="3"/>
  <c r="D22" i="3"/>
  <c r="W58" i="2"/>
  <c r="E5" i="3"/>
  <c r="E22" i="3"/>
  <c r="G5" i="3"/>
  <c r="H5" i="3"/>
  <c r="H22" i="3"/>
  <c r="F7" i="3"/>
  <c r="X40" i="2"/>
  <c r="X42" i="2" s="1"/>
  <c r="V40" i="2"/>
  <c r="I58" i="2"/>
  <c r="D61" i="2"/>
  <c r="D42" i="2"/>
  <c r="J58" i="2"/>
  <c r="J40" i="2"/>
  <c r="Z42" i="2" s="1"/>
  <c r="Z59" i="2" s="1"/>
  <c r="F61" i="2"/>
  <c r="F42" i="2"/>
  <c r="C61" i="2"/>
  <c r="C42" i="2"/>
  <c r="E61" i="2"/>
  <c r="E42" i="2"/>
  <c r="I42" i="2"/>
  <c r="I61" i="2"/>
  <c r="H42" i="2"/>
  <c r="H61" i="2"/>
  <c r="Y34" i="2"/>
  <c r="Y56" i="2"/>
  <c r="T42" i="2" l="1"/>
  <c r="T44" i="2" s="1"/>
  <c r="D35" i="3" s="1"/>
  <c r="D6" i="3"/>
  <c r="D12" i="3" s="1"/>
  <c r="T93" i="2"/>
  <c r="T103" i="2" s="1"/>
  <c r="T118" i="2" s="1"/>
  <c r="J12" i="3"/>
  <c r="L29" i="4"/>
  <c r="Z60" i="2"/>
  <c r="U61" i="2"/>
  <c r="E6" i="3" s="1"/>
  <c r="L36" i="4"/>
  <c r="L30" i="4"/>
  <c r="L38" i="4"/>
  <c r="L49" i="4" s="1"/>
  <c r="N46" i="4"/>
  <c r="O23" i="4"/>
  <c r="N43" i="4"/>
  <c r="N40" i="4"/>
  <c r="U44" i="2"/>
  <c r="E35" i="3" s="1"/>
  <c r="W93" i="2"/>
  <c r="W103" i="2" s="1"/>
  <c r="W118" i="2" s="1"/>
  <c r="U93" i="2"/>
  <c r="U103" i="2" s="1"/>
  <c r="U118" i="2" s="1"/>
  <c r="M22" i="3"/>
  <c r="X93" i="2"/>
  <c r="X103" i="2" s="1"/>
  <c r="X118" i="2" s="1"/>
  <c r="X61" i="2"/>
  <c r="H6" i="3" s="1"/>
  <c r="I40" i="3"/>
  <c r="M40" i="3" s="1"/>
  <c r="Y60" i="2"/>
  <c r="W61" i="2"/>
  <c r="G11" i="3" s="1"/>
  <c r="W59" i="2"/>
  <c r="V42" i="2"/>
  <c r="V93" i="2"/>
  <c r="V103" i="2" s="1"/>
  <c r="V118" i="2" s="1"/>
  <c r="V61" i="2"/>
  <c r="I59" i="2"/>
  <c r="I44" i="2"/>
  <c r="I46" i="2" s="1"/>
  <c r="W46" i="2"/>
  <c r="G9" i="3"/>
  <c r="G4" i="3"/>
  <c r="D59" i="2"/>
  <c r="D44" i="2"/>
  <c r="D46" i="2" s="1"/>
  <c r="E59" i="2"/>
  <c r="E44" i="2"/>
  <c r="E46" i="2" s="1"/>
  <c r="J61" i="2"/>
  <c r="J42" i="2"/>
  <c r="Z44" i="2" s="1"/>
  <c r="K36" i="3" s="1"/>
  <c r="C59" i="2"/>
  <c r="C44" i="2"/>
  <c r="C46" i="2" s="1"/>
  <c r="H59" i="2"/>
  <c r="H44" i="2"/>
  <c r="H46" i="2" s="1"/>
  <c r="F59" i="2"/>
  <c r="F44" i="2"/>
  <c r="F46" i="2" s="1"/>
  <c r="Y37" i="2"/>
  <c r="Y57" i="2"/>
  <c r="X44" i="2"/>
  <c r="H35" i="3" s="1"/>
  <c r="H36" i="3" s="1"/>
  <c r="X59" i="2"/>
  <c r="T59" i="2" l="1"/>
  <c r="E36" i="3"/>
  <c r="D4" i="3"/>
  <c r="T46" i="2"/>
  <c r="D9" i="3"/>
  <c r="D10" i="3" s="1"/>
  <c r="E4" i="3"/>
  <c r="E9" i="3"/>
  <c r="E10" i="3" s="1"/>
  <c r="U46" i="2"/>
  <c r="J9" i="3"/>
  <c r="J4" i="3"/>
  <c r="E11" i="3"/>
  <c r="O40" i="4"/>
  <c r="O46" i="4"/>
  <c r="O43" i="4"/>
  <c r="P23" i="4"/>
  <c r="H11" i="3"/>
  <c r="H12" i="3" s="1"/>
  <c r="G6" i="3"/>
  <c r="G12" i="3" s="1"/>
  <c r="I7" i="3"/>
  <c r="M7" i="3" s="1"/>
  <c r="I41" i="3"/>
  <c r="M41" i="3" s="1"/>
  <c r="E12" i="3"/>
  <c r="F6" i="3"/>
  <c r="F11" i="3"/>
  <c r="V59" i="2"/>
  <c r="V44" i="2"/>
  <c r="Z46" i="2"/>
  <c r="J35" i="3"/>
  <c r="G10" i="3"/>
  <c r="I5" i="3"/>
  <c r="M5" i="3" s="1"/>
  <c r="J59" i="2"/>
  <c r="J44" i="2"/>
  <c r="J46" i="2" s="1"/>
  <c r="X46" i="2"/>
  <c r="H9" i="3"/>
  <c r="H4" i="3"/>
  <c r="Y40" i="2"/>
  <c r="Y58" i="2"/>
  <c r="J10" i="3" l="1"/>
  <c r="P43" i="4"/>
  <c r="Q23" i="4"/>
  <c r="P40" i="4"/>
  <c r="P46" i="4"/>
  <c r="F12" i="3"/>
  <c r="F35" i="3"/>
  <c r="F36" i="3" s="1"/>
  <c r="F4" i="3"/>
  <c r="F9" i="3"/>
  <c r="G36" i="3"/>
  <c r="V46" i="2"/>
  <c r="H10" i="3"/>
  <c r="Y61" i="2"/>
  <c r="Y93" i="2"/>
  <c r="Y103" i="2" s="1"/>
  <c r="Y118" i="2" s="1"/>
  <c r="Y42" i="2"/>
  <c r="F10" i="3" l="1"/>
  <c r="R23" i="4"/>
  <c r="Q40" i="4"/>
  <c r="Q46" i="4"/>
  <c r="Q43" i="4"/>
  <c r="I6" i="3"/>
  <c r="M6" i="3" s="1"/>
  <c r="I11" i="3"/>
  <c r="Y44" i="2"/>
  <c r="Y59" i="2"/>
  <c r="R43" i="4" l="1"/>
  <c r="R46" i="4"/>
  <c r="R40" i="4"/>
  <c r="S23" i="4"/>
  <c r="I35" i="3"/>
  <c r="J36" i="3"/>
  <c r="Y46" i="2"/>
  <c r="I9" i="3"/>
  <c r="I4" i="3"/>
  <c r="M4" i="3" s="1"/>
  <c r="I12" i="3"/>
  <c r="M12" i="3" s="1"/>
  <c r="M11" i="3"/>
  <c r="S46" i="4" l="1"/>
  <c r="S40" i="4"/>
  <c r="S43" i="4"/>
  <c r="T23" i="4"/>
  <c r="I36" i="3"/>
  <c r="M36" i="3" s="1"/>
  <c r="M35" i="3"/>
  <c r="I10" i="3"/>
  <c r="M10" i="3" s="1"/>
  <c r="M9" i="3"/>
  <c r="T46" i="4" l="1"/>
  <c r="U23" i="4"/>
  <c r="T43" i="4"/>
  <c r="T40" i="4"/>
  <c r="M29" i="4"/>
  <c r="M35" i="4" s="1"/>
  <c r="V23" i="4" l="1"/>
  <c r="V29" i="4" s="1"/>
  <c r="V35" i="4" s="1"/>
  <c r="U43" i="4"/>
  <c r="U46" i="4"/>
  <c r="U40" i="4"/>
  <c r="M38" i="4"/>
  <c r="N29" i="4"/>
  <c r="N35" i="4" s="1"/>
  <c r="N38" i="4" s="1"/>
  <c r="O29" i="4"/>
  <c r="O35" i="4" s="1"/>
  <c r="O38" i="4" s="1"/>
  <c r="P29" i="4"/>
  <c r="P35" i="4" s="1"/>
  <c r="P38" i="4" s="1"/>
  <c r="Q29" i="4"/>
  <c r="Q35" i="4" s="1"/>
  <c r="R29" i="4"/>
  <c r="R35" i="4" s="1"/>
  <c r="S29" i="4"/>
  <c r="S35" i="4" s="1"/>
  <c r="T29" i="4"/>
  <c r="T35" i="4" s="1"/>
  <c r="U29" i="4"/>
  <c r="U35" i="4" s="1"/>
  <c r="V43" i="4" l="1"/>
  <c r="V40" i="4"/>
  <c r="V46" i="4"/>
  <c r="P49" i="4"/>
  <c r="P50" i="4" s="1"/>
  <c r="O49" i="4"/>
  <c r="O50" i="4" s="1"/>
  <c r="N49" i="4"/>
  <c r="N50" i="4" s="1"/>
  <c r="M49" i="4"/>
  <c r="M50" i="4" s="1"/>
  <c r="T38" i="4"/>
  <c r="S38" i="4"/>
  <c r="V38" i="4"/>
  <c r="U38" i="4"/>
  <c r="Q38" i="4"/>
  <c r="R38" i="4"/>
  <c r="U49" i="4" l="1"/>
  <c r="U50" i="4" s="1"/>
  <c r="V49" i="4"/>
  <c r="V53" i="4" s="1"/>
  <c r="V54" i="4" s="1"/>
  <c r="T49" i="4"/>
  <c r="T50" i="4" s="1"/>
  <c r="R49" i="4"/>
  <c r="R50" i="4" s="1"/>
  <c r="Q49" i="4"/>
  <c r="Q50" i="4" s="1"/>
  <c r="S49" i="4"/>
  <c r="S50" i="4" s="1"/>
  <c r="V50" i="4" l="1"/>
  <c r="V52" i="4" s="1"/>
  <c r="V55" i="4" s="1"/>
  <c r="V58" i="4" s="1"/>
  <c r="V60" i="4" s="1"/>
  <c r="J4" i="4" s="1"/>
  <c r="J5" i="4" s="1"/>
  <c r="Z13" i="2" l="1"/>
  <c r="Z14" i="2"/>
  <c r="AB13" i="2" l="1"/>
  <c r="AC13" i="2" s="1"/>
  <c r="AB12" i="2"/>
  <c r="AB29" i="2" s="1"/>
  <c r="AD13" i="2" l="1"/>
  <c r="AC12" i="2"/>
  <c r="AC29" i="2" s="1"/>
  <c r="AE13" i="2"/>
  <c r="AE12" i="2" s="1"/>
  <c r="AE29" i="2" s="1"/>
  <c r="AD12" i="2"/>
  <c r="AD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  <author>tc={47700220-B2F3-4A53-8B93-A3C412B2CF44}</author>
    <author>tc={22C9C0C7-3B75-4CCE-8F41-47126FFC7C03}</author>
  </authors>
  <commentList>
    <comment ref="Z2" authorId="0" shapeId="0" xr:uid="{32FF3501-E8D1-4A2A-A667-54A210BCECE0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01.02.2024 - 31.01.2025</t>
        </r>
      </text>
    </comment>
    <comment ref="L3" authorId="1" shapeId="0" xr:uid="{47700220-B2F3-4A53-8B93-A3C412B2CF4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Zara Home &amp; Lefties</t>
      </text>
    </comment>
    <comment ref="L22" authorId="2" shapeId="0" xr:uid="{22C9C0C7-3B75-4CCE-8F41-47126FFC7C0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Zara Home &amp; Lefties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<sst xmlns="http://schemas.openxmlformats.org/spreadsheetml/2006/main" count="297" uniqueCount="211">
  <si>
    <t>Inditex</t>
  </si>
  <si>
    <t>Price</t>
  </si>
  <si>
    <t>Shares</t>
  </si>
  <si>
    <t>MC</t>
  </si>
  <si>
    <t>Cash</t>
  </si>
  <si>
    <t>Debt</t>
  </si>
  <si>
    <t>EV</t>
  </si>
  <si>
    <t>Revenues</t>
  </si>
  <si>
    <t>Q123</t>
  </si>
  <si>
    <t>Q223</t>
  </si>
  <si>
    <t>Q323</t>
  </si>
  <si>
    <t>Q424</t>
  </si>
  <si>
    <t>Q423</t>
  </si>
  <si>
    <t>Q124</t>
  </si>
  <si>
    <t>Q224</t>
  </si>
  <si>
    <t>Q324</t>
  </si>
  <si>
    <t>Zara</t>
  </si>
  <si>
    <t>Paul&amp;Bear</t>
  </si>
  <si>
    <t>Massimo Duti</t>
  </si>
  <si>
    <t>Bershka</t>
  </si>
  <si>
    <t>Stardivarius</t>
  </si>
  <si>
    <t>Oysho</t>
  </si>
  <si>
    <t>x</t>
  </si>
  <si>
    <t>COGS</t>
  </si>
  <si>
    <t>Gross Profit</t>
  </si>
  <si>
    <t>Operating Income (EBITDA)</t>
  </si>
  <si>
    <t>OpEx</t>
  </si>
  <si>
    <t>Other Operating Income</t>
  </si>
  <si>
    <t>D&amp;A</t>
  </si>
  <si>
    <t>Other Results</t>
  </si>
  <si>
    <t>EBIT</t>
  </si>
  <si>
    <t>Financial Income</t>
  </si>
  <si>
    <t>Income from consilidated companies</t>
  </si>
  <si>
    <t>EBT</t>
  </si>
  <si>
    <t>Income Tax</t>
  </si>
  <si>
    <t>Net Income</t>
  </si>
  <si>
    <t>Minorities</t>
  </si>
  <si>
    <t>Net Income to Firm</t>
  </si>
  <si>
    <t>EPS</t>
  </si>
  <si>
    <t>Right of Use</t>
  </si>
  <si>
    <t>Intnagibles</t>
  </si>
  <si>
    <t>PP&amp;E</t>
  </si>
  <si>
    <t>Financial Investments</t>
  </si>
  <si>
    <t>Other</t>
  </si>
  <si>
    <t>Total Non Current Assets</t>
  </si>
  <si>
    <t>Inventories</t>
  </si>
  <si>
    <t>Receivables</t>
  </si>
  <si>
    <t>Short Term Investments</t>
  </si>
  <si>
    <t xml:space="preserve">Cash and Cash Equivalents </t>
  </si>
  <si>
    <t>Total Assets</t>
  </si>
  <si>
    <t>Total Current Assets</t>
  </si>
  <si>
    <t>Equity</t>
  </si>
  <si>
    <t>Minorites</t>
  </si>
  <si>
    <t>Total Equity</t>
  </si>
  <si>
    <t>Deffered Taxes</t>
  </si>
  <si>
    <t>Financial Debt</t>
  </si>
  <si>
    <t>Lease Liabilities</t>
  </si>
  <si>
    <t>Total Non Current Liabilities</t>
  </si>
  <si>
    <t>Payables</t>
  </si>
  <si>
    <t>Total Current Liabilities</t>
  </si>
  <si>
    <t>Equity &amp; Liabilities</t>
  </si>
  <si>
    <t>Revenue Growth</t>
  </si>
  <si>
    <t>Gross Margin</t>
  </si>
  <si>
    <t>EBITDA Margin</t>
  </si>
  <si>
    <t>EBIT Margin</t>
  </si>
  <si>
    <t>Net Margin</t>
  </si>
  <si>
    <t>Tax Rate</t>
  </si>
  <si>
    <t>Finance Lease Liabilities</t>
  </si>
  <si>
    <t>Change in WC:</t>
  </si>
  <si>
    <t>Change in Inventories</t>
  </si>
  <si>
    <t>Change in Receivables</t>
  </si>
  <si>
    <t>Change in Current Liabilties</t>
  </si>
  <si>
    <t>Total</t>
  </si>
  <si>
    <t>CFFO</t>
  </si>
  <si>
    <t>Investments in Intangibles</t>
  </si>
  <si>
    <t>Investments in Tangibles</t>
  </si>
  <si>
    <t>Other long term financial investments</t>
  </si>
  <si>
    <t>Other Asset Investments</t>
  </si>
  <si>
    <t>Short Term Financial Investments</t>
  </si>
  <si>
    <t>CFFI</t>
  </si>
  <si>
    <t>CFFF</t>
  </si>
  <si>
    <t>Change in Long Term Debt</t>
  </si>
  <si>
    <t>Stock Bubacks</t>
  </si>
  <si>
    <t>Change in Current Debt</t>
  </si>
  <si>
    <t>Lease Payments fixed Charges</t>
  </si>
  <si>
    <t>Dividends</t>
  </si>
  <si>
    <t>Exchange Rates</t>
  </si>
  <si>
    <t>Change in Cash</t>
  </si>
  <si>
    <t>Cash BOP</t>
  </si>
  <si>
    <t>Cash EOP</t>
  </si>
  <si>
    <t>Main</t>
  </si>
  <si>
    <t>Investors</t>
  </si>
  <si>
    <t>Segments/Brands</t>
  </si>
  <si>
    <t>% of Rev.</t>
  </si>
  <si>
    <t>Customers</t>
  </si>
  <si>
    <t>Competitiors</t>
  </si>
  <si>
    <t>Products</t>
  </si>
  <si>
    <t>Uterqüe</t>
  </si>
  <si>
    <t>Profitabilty</t>
  </si>
  <si>
    <t>ROE</t>
  </si>
  <si>
    <t>ROIC</t>
  </si>
  <si>
    <t>ROCE</t>
  </si>
  <si>
    <t>Average</t>
  </si>
  <si>
    <t>Reinvestment Rate</t>
  </si>
  <si>
    <t>Retention Rate</t>
  </si>
  <si>
    <t>Expected Growth</t>
  </si>
  <si>
    <t>Financial Stabiltiy</t>
  </si>
  <si>
    <t>Gearing</t>
  </si>
  <si>
    <t>Net Debt/EBITDA</t>
  </si>
  <si>
    <t>Distribution Margin</t>
  </si>
  <si>
    <t>WC Managment</t>
  </si>
  <si>
    <t>Multiples</t>
  </si>
  <si>
    <t xml:space="preserve">Shares </t>
  </si>
  <si>
    <t>Net Debt</t>
  </si>
  <si>
    <t>P/E</t>
  </si>
  <si>
    <t>PEG</t>
  </si>
  <si>
    <t>Equity-Multiples</t>
  </si>
  <si>
    <t>Entity -Multiples</t>
  </si>
  <si>
    <t>P/B</t>
  </si>
  <si>
    <t>EV/Sales</t>
  </si>
  <si>
    <t>EV/EBITDA</t>
  </si>
  <si>
    <t>EV/EBIT</t>
  </si>
  <si>
    <t>Debitors</t>
  </si>
  <si>
    <t>Creditors</t>
  </si>
  <si>
    <t>Inventory-Intensity</t>
  </si>
  <si>
    <t>Inventory Turnover</t>
  </si>
  <si>
    <t>Storage Duration</t>
  </si>
  <si>
    <t>Cash Conversion Cycle</t>
  </si>
  <si>
    <t>Start FY</t>
  </si>
  <si>
    <t>End FY</t>
  </si>
  <si>
    <t>n.a.</t>
  </si>
  <si>
    <t>Online Sale</t>
  </si>
  <si>
    <t>Views on Website</t>
  </si>
  <si>
    <t>Social Media Follower</t>
  </si>
  <si>
    <t>App Users</t>
  </si>
  <si>
    <t>Number of Stores</t>
  </si>
  <si>
    <t>n.a</t>
  </si>
  <si>
    <t>Sales in Stores</t>
  </si>
  <si>
    <t>Revenue per Store</t>
  </si>
  <si>
    <t>Revenue per Website Visit</t>
  </si>
  <si>
    <t>Revenue per App User</t>
  </si>
  <si>
    <t>Revenue per Square Meter</t>
  </si>
  <si>
    <t>Selling Space in Square Meter</t>
  </si>
  <si>
    <t>Fast Fashion</t>
  </si>
  <si>
    <t>Indexy</t>
  </si>
  <si>
    <t>DCF</t>
  </si>
  <si>
    <t>Ticker</t>
  </si>
  <si>
    <t>Share Price</t>
  </si>
  <si>
    <t>Date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</si>
  <si>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</si>
  <si>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</si>
  <si>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</si>
  <si>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</si>
  <si>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</si>
  <si>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</si>
  <si>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</si>
  <si>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</si>
  <si>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</si>
  <si>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</si>
  <si>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</si>
  <si>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>Revenue</t>
  </si>
  <si>
    <t xml:space="preserve">Revenue </t>
  </si>
  <si>
    <t>WACC</t>
  </si>
  <si>
    <t>TGR</t>
  </si>
  <si>
    <t>Valuation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</si>
  <si>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</si>
  <si>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</si>
  <si>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</si>
  <si>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</si>
  <si>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</si>
  <si>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</si>
  <si>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</si>
  <si>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</si>
  <si>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CapEx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</si>
  <si>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</si>
  <si>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</si>
  <si>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</si>
  <si>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</si>
  <si>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</si>
  <si>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</si>
  <si>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</si>
  <si>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</si>
  <si>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(+) Cash</t>
  </si>
  <si>
    <t>(-) Debt</t>
  </si>
  <si>
    <t>Equity Value</t>
  </si>
  <si>
    <t xml:space="preserve">Number of Shares </t>
  </si>
  <si>
    <t>Sensitivity Analysis</t>
  </si>
  <si>
    <t>numbers in mio USD</t>
  </si>
  <si>
    <t>ITX.MC</t>
  </si>
  <si>
    <t>CEO: Oscar Garcia Maceiras</t>
  </si>
  <si>
    <t>ROA</t>
  </si>
  <si>
    <t>Q125</t>
  </si>
  <si>
    <t>Q225</t>
  </si>
  <si>
    <t>Q325</t>
  </si>
  <si>
    <t>Q425</t>
  </si>
  <si>
    <t>Zara Stores</t>
  </si>
  <si>
    <t>Pull&amp;Bear Stores</t>
  </si>
  <si>
    <t>Massimo Dutti Stores</t>
  </si>
  <si>
    <t>Bershka Stores</t>
  </si>
  <si>
    <t>Stradivarius Stores</t>
  </si>
  <si>
    <t>Oysho Stores</t>
  </si>
  <si>
    <t>Uterqüe Stores</t>
  </si>
  <si>
    <t>New Brand: Lefties - high budget Zara pieces</t>
  </si>
  <si>
    <t>FY25</t>
  </si>
  <si>
    <t>Notes</t>
  </si>
  <si>
    <t>John Galliano will desing collections for Zara:</t>
  </si>
  <si>
    <t>https://www.businessoffashion.com/articles/retail/zara-taps-john-galliano-to-design-seasonal-collections/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</si>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</sst>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[Red]#,##0.0"/>
    <numFmt numFmtId="165" formatCode="#,##0.00_);\(#,##0.00\)"/>
    <numFmt numFmtId="166" formatCode="##\F\Y"/>
    <numFmt numFmtId="167" formatCode="0.0"/>
    <numFmt numFmtId="168" formatCode="0.0%"/>
    <numFmt numFmtId="169" formatCode="&quot;FY&quot;0&quot;A&quot;"/>
    <numFmt numFmtId="170" formatCode="&quot;FY&quot;0&quot;E&quot;"/>
    <numFmt numFmtId="171" formatCode="#,##0.0;\(#,##0.0\)"/>
    <numFmt numFmtId="172" formatCode="#,##0;[Red]#,##0"/>
    <numFmt numFmtId="173" formatCode="#,##0;\(#,##0\)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9">
    <xf numFmtId="0" fontId="0" fillId="0" borderId="0" xfId="0"/>
    <xf numFmtId="0" fontId="13" fillId="0" borderId="0" xfId="0" applyFont="1"/>
    <xf numFmtId="0" fontId="7" fillId="0" borderId="0" xfId="0" applyFont="1"/>
    <xf numFmtId="164" fontId="7" fillId="0" borderId="0" xfId="0" applyNumberFormat="1" applyFont="1"/>
    <xf numFmtId="16" fontId="7" fillId="0" borderId="0" xfId="0" applyNumberFormat="1" applyFont="1"/>
    <xf numFmtId="172" fontId="7" fillId="0" borderId="0" xfId="0" applyNumberFormat="1" applyFont="1"/>
    <xf numFmtId="0" fontId="7" fillId="0" borderId="0" xfId="0" applyFont="1" applyAlignment="1">
      <alignment horizontal="right"/>
    </xf>
    <xf numFmtId="0" fontId="15" fillId="0" borderId="0" xfId="2" applyFont="1"/>
    <xf numFmtId="0" fontId="13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164" fontId="7" fillId="0" borderId="1" xfId="0" applyNumberFormat="1" applyFont="1" applyBorder="1"/>
    <xf numFmtId="9" fontId="7" fillId="0" borderId="0" xfId="1" applyFont="1" applyBorder="1"/>
    <xf numFmtId="0" fontId="7" fillId="0" borderId="2" xfId="0" applyFont="1" applyBorder="1"/>
    <xf numFmtId="165" fontId="7" fillId="0" borderId="0" xfId="0" applyNumberFormat="1" applyFont="1"/>
    <xf numFmtId="164" fontId="7" fillId="0" borderId="3" xfId="0" applyNumberFormat="1" applyFont="1" applyBorder="1"/>
    <xf numFmtId="9" fontId="7" fillId="0" borderId="4" xfId="1" applyFont="1" applyBorder="1"/>
    <xf numFmtId="0" fontId="7" fillId="0" borderId="4" xfId="0" applyFont="1" applyBorder="1"/>
    <xf numFmtId="0" fontId="7" fillId="0" borderId="5" xfId="0" applyFont="1" applyBorder="1"/>
    <xf numFmtId="166" fontId="7" fillId="0" borderId="0" xfId="0" applyNumberFormat="1" applyFont="1"/>
    <xf numFmtId="173" fontId="7" fillId="0" borderId="0" xfId="0" applyNumberFormat="1" applyFont="1"/>
    <xf numFmtId="173" fontId="7" fillId="0" borderId="0" xfId="0" applyNumberFormat="1" applyFont="1" applyAlignment="1">
      <alignment horizontal="right"/>
    </xf>
    <xf numFmtId="173" fontId="7" fillId="2" borderId="0" xfId="0" applyNumberFormat="1" applyFont="1" applyFill="1"/>
    <xf numFmtId="171" fontId="7" fillId="0" borderId="0" xfId="0" applyNumberFormat="1" applyFont="1" applyAlignment="1">
      <alignment horizontal="right"/>
    </xf>
    <xf numFmtId="171" fontId="7" fillId="0" borderId="0" xfId="0" applyNumberFormat="1" applyFont="1"/>
    <xf numFmtId="173" fontId="7" fillId="0" borderId="0" xfId="1" applyNumberFormat="1" applyFont="1"/>
    <xf numFmtId="164" fontId="13" fillId="0" borderId="0" xfId="0" applyNumberFormat="1" applyFont="1"/>
    <xf numFmtId="173" fontId="13" fillId="0" borderId="0" xfId="0" applyNumberFormat="1" applyFont="1"/>
    <xf numFmtId="9" fontId="7" fillId="0" borderId="0" xfId="1" applyFont="1"/>
    <xf numFmtId="9" fontId="13" fillId="0" borderId="0" xfId="1" applyFont="1"/>
    <xf numFmtId="9" fontId="7" fillId="0" borderId="0" xfId="0" applyNumberFormat="1" applyFont="1"/>
    <xf numFmtId="0" fontId="7" fillId="0" borderId="0" xfId="0" applyFont="1" applyAlignment="1">
      <alignment horizontal="center"/>
    </xf>
    <xf numFmtId="0" fontId="16" fillId="0" borderId="0" xfId="0" applyFont="1"/>
    <xf numFmtId="2" fontId="7" fillId="0" borderId="0" xfId="0" applyNumberFormat="1" applyFont="1"/>
    <xf numFmtId="167" fontId="7" fillId="0" borderId="0" xfId="0" applyNumberFormat="1" applyFont="1"/>
    <xf numFmtId="0" fontId="13" fillId="0" borderId="4" xfId="0" applyFont="1" applyBorder="1"/>
    <xf numFmtId="0" fontId="7" fillId="0" borderId="9" xfId="0" applyFont="1" applyBorder="1"/>
    <xf numFmtId="0" fontId="7" fillId="3" borderId="10" xfId="0" applyFont="1" applyFill="1" applyBorder="1" applyAlignment="1">
      <alignment horizontal="center"/>
    </xf>
    <xf numFmtId="14" fontId="7" fillId="3" borderId="10" xfId="0" applyNumberFormat="1" applyFont="1" applyFill="1" applyBorder="1" applyAlignment="1">
      <alignment horizontal="center"/>
    </xf>
    <xf numFmtId="2" fontId="7" fillId="3" borderId="10" xfId="0" applyNumberFormat="1" applyFont="1" applyFill="1" applyBorder="1" applyAlignment="1">
      <alignment horizontal="center"/>
    </xf>
    <xf numFmtId="9" fontId="7" fillId="3" borderId="11" xfId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4" borderId="0" xfId="0" applyFont="1" applyFill="1"/>
    <xf numFmtId="0" fontId="12" fillId="5" borderId="0" xfId="0" applyFont="1" applyFill="1"/>
    <xf numFmtId="0" fontId="14" fillId="5" borderId="0" xfId="0" applyFont="1" applyFill="1"/>
    <xf numFmtId="0" fontId="17" fillId="0" borderId="0" xfId="0" applyFont="1"/>
    <xf numFmtId="0" fontId="7" fillId="3" borderId="11" xfId="0" applyFont="1" applyFill="1" applyBorder="1" applyAlignment="1">
      <alignment horizontal="center"/>
    </xf>
    <xf numFmtId="168" fontId="7" fillId="3" borderId="11" xfId="1" applyNumberFormat="1" applyFont="1" applyFill="1" applyBorder="1" applyAlignment="1">
      <alignment horizontal="center"/>
    </xf>
    <xf numFmtId="169" fontId="12" fillId="4" borderId="0" xfId="0" applyNumberFormat="1" applyFont="1" applyFill="1"/>
    <xf numFmtId="170" fontId="12" fillId="4" borderId="0" xfId="0" applyNumberFormat="1" applyFont="1" applyFill="1"/>
    <xf numFmtId="0" fontId="1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18" fillId="0" borderId="0" xfId="0" applyFont="1"/>
    <xf numFmtId="9" fontId="18" fillId="0" borderId="0" xfId="1" applyFont="1"/>
    <xf numFmtId="168" fontId="7" fillId="3" borderId="11" xfId="1" applyNumberFormat="1" applyFont="1" applyFill="1" applyBorder="1" applyAlignment="1">
      <alignment horizontal="right"/>
    </xf>
    <xf numFmtId="0" fontId="13" fillId="6" borderId="6" xfId="0" applyFont="1" applyFill="1" applyBorder="1"/>
    <xf numFmtId="0" fontId="13" fillId="6" borderId="7" xfId="0" applyFont="1" applyFill="1" applyBorder="1"/>
    <xf numFmtId="164" fontId="13" fillId="6" borderId="7" xfId="0" applyNumberFormat="1" applyFont="1" applyFill="1" applyBorder="1"/>
    <xf numFmtId="164" fontId="13" fillId="6" borderId="8" xfId="0" applyNumberFormat="1" applyFont="1" applyFill="1" applyBorder="1"/>
    <xf numFmtId="168" fontId="18" fillId="0" borderId="0" xfId="1" applyNumberFormat="1" applyFont="1"/>
    <xf numFmtId="168" fontId="18" fillId="0" borderId="0" xfId="0" applyNumberFormat="1" applyFont="1"/>
    <xf numFmtId="164" fontId="13" fillId="6" borderId="12" xfId="0" applyNumberFormat="1" applyFont="1" applyFill="1" applyBorder="1"/>
    <xf numFmtId="164" fontId="13" fillId="6" borderId="13" xfId="0" applyNumberFormat="1" applyFont="1" applyFill="1" applyBorder="1"/>
    <xf numFmtId="164" fontId="13" fillId="6" borderId="14" xfId="0" applyNumberFormat="1" applyFont="1" applyFill="1" applyBorder="1"/>
    <xf numFmtId="164" fontId="13" fillId="6" borderId="3" xfId="0" applyNumberFormat="1" applyFont="1" applyFill="1" applyBorder="1"/>
    <xf numFmtId="164" fontId="13" fillId="6" borderId="4" xfId="0" applyNumberFormat="1" applyFont="1" applyFill="1" applyBorder="1"/>
    <xf numFmtId="164" fontId="13" fillId="6" borderId="5" xfId="0" applyNumberFormat="1" applyFont="1" applyFill="1" applyBorder="1"/>
    <xf numFmtId="164" fontId="7" fillId="0" borderId="4" xfId="0" applyNumberFormat="1" applyFont="1" applyBorder="1"/>
    <xf numFmtId="164" fontId="7" fillId="0" borderId="7" xfId="0" applyNumberFormat="1" applyFont="1" applyBorder="1"/>
    <xf numFmtId="0" fontId="7" fillId="7" borderId="12" xfId="0" applyFont="1" applyFill="1" applyBorder="1"/>
    <xf numFmtId="2" fontId="19" fillId="7" borderId="13" xfId="0" applyNumberFormat="1" applyFont="1" applyFill="1" applyBorder="1"/>
    <xf numFmtId="10" fontId="12" fillId="7" borderId="13" xfId="0" applyNumberFormat="1" applyFont="1" applyFill="1" applyBorder="1"/>
    <xf numFmtId="168" fontId="12" fillId="7" borderId="0" xfId="0" applyNumberFormat="1" applyFont="1" applyFill="1"/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73" fontId="4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right"/>
    </xf>
    <xf numFmtId="173" fontId="2" fillId="0" borderId="0" xfId="0" applyNumberFormat="1" applyFont="1"/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0" fontId="13" fillId="7" borderId="13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 textRotation="90"/>
    </xf>
    <xf numFmtId="0" fontId="13" fillId="7" borderId="16" xfId="0" applyFont="1" applyFill="1" applyBorder="1" applyAlignment="1">
      <alignment horizontal="center" vertical="center" textRotation="90"/>
    </xf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28576</xdr:colOff>
      <xdr:row>0</xdr:row>
      <xdr:rowOff>144463</xdr:rowOff>
    </xdr:from>
    <xdr:to>
      <xdr:col>27</xdr:col>
      <xdr:colOff>34926</xdr:colOff>
      <xdr:row>120</xdr:row>
      <xdr:rowOff>157163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83B3E78-DDA6-4E04-465C-85756F7BC794}"/>
            </a:ext>
          </a:extLst>
        </xdr:cNvPr>
        <xdr:cNvCxnSpPr/>
      </xdr:nvCxnSpPr>
      <xdr:spPr>
        <a:xfrm>
          <a:off x="14906626" y="144463"/>
          <a:ext cx="6350" cy="19443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9526</xdr:colOff>
      <xdr:row>1</xdr:row>
      <xdr:rowOff>57150</xdr:rowOff>
    </xdr:from>
    <xdr:to>
      <xdr:col>16</xdr:col>
      <xdr:colOff>15876</xdr:colOff>
      <xdr:row>121</xdr:row>
      <xdr:rowOff>69850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5B7C7BF-8A6F-4B1D-9288-10510974E36F}"/>
            </a:ext>
          </a:extLst>
        </xdr:cNvPr>
        <xdr:cNvCxnSpPr/>
      </xdr:nvCxnSpPr>
      <xdr:spPr>
        <a:xfrm>
          <a:off x="10820401" y="219075"/>
          <a:ext cx="6350" cy="19443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009BB609-2756-4C96-9ACA-3132A5D457FB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5-09-10T11:25:42.66" personId="{009BB609-2756-4C96-9ACA-3132A5D457FB}" id="{47700220-B2F3-4A53-8B93-A3C412B2CF44}">
    <text>Includes Zara Home &amp; Lefties</text>
  </threadedComment>
  <threadedComment ref="L22" dT="2025-09-10T11:25:42.66" personId="{009BB609-2756-4C96-9ACA-3132A5D457FB}" id="{22C9C0C7-3B75-4CCE-8F41-47126FFC7C03}">
    <text>Includes Zara Home &amp; Lefties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tex.com/itxcomweb/en/investor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593E-5163-482C-A654-07C73293509B}">
  <dimension ref="A1:K20"/>
  <sheetViews>
    <sheetView tabSelected="1" topLeftCell="D1" zoomScale="200" zoomScaleNormal="200" workbookViewId="0">
      <selection activeCell="J8" sqref="J8"/>
    </sheetView>
  </sheetViews>
  <sheetFormatPr defaultRowHeight="12.75" x14ac:dyDescent="0.2"/>
  <cols>
    <col min="1" max="1" width="3.5703125" style="2" customWidth="1"/>
    <col min="2" max="2" width="16.7109375" style="2" customWidth="1"/>
    <col min="3" max="3" width="9.140625" style="2"/>
    <col min="4" max="4" width="15.42578125" style="2" customWidth="1"/>
    <col min="5" max="5" width="11.140625" style="2" customWidth="1"/>
    <col min="6" max="9" width="9.140625" style="2"/>
    <col min="10" max="10" width="9" style="2" customWidth="1"/>
    <col min="11" max="16384" width="9.140625" style="2"/>
  </cols>
  <sheetData>
    <row r="1" spans="1:11" x14ac:dyDescent="0.2">
      <c r="A1" s="1" t="s">
        <v>0</v>
      </c>
    </row>
    <row r="2" spans="1:11" x14ac:dyDescent="0.2">
      <c r="A2" s="2" t="s">
        <v>187</v>
      </c>
    </row>
    <row r="3" spans="1:11" x14ac:dyDescent="0.2">
      <c r="I3" s="2" t="s">
        <v>1</v>
      </c>
      <c r="J3" s="87">
        <v>54.85</v>
      </c>
    </row>
    <row r="4" spans="1:11" x14ac:dyDescent="0.2">
      <c r="B4" s="2" t="s">
        <v>188</v>
      </c>
      <c r="C4" s="2" t="s">
        <v>128</v>
      </c>
      <c r="D4" s="4">
        <v>45323</v>
      </c>
      <c r="I4" s="2" t="s">
        <v>2</v>
      </c>
      <c r="J4" s="5">
        <v>3115.9215389999999</v>
      </c>
      <c r="K4" s="88" t="s">
        <v>208</v>
      </c>
    </row>
    <row r="5" spans="1:11" x14ac:dyDescent="0.2">
      <c r="B5" s="7" t="s">
        <v>91</v>
      </c>
      <c r="C5" s="2" t="s">
        <v>129</v>
      </c>
      <c r="D5" s="4">
        <v>45322</v>
      </c>
      <c r="I5" s="2" t="s">
        <v>3</v>
      </c>
      <c r="J5" s="5">
        <f>J4*J3</f>
        <v>170908.29641415001</v>
      </c>
    </row>
    <row r="6" spans="1:11" x14ac:dyDescent="0.2">
      <c r="I6" s="2" t="s">
        <v>4</v>
      </c>
      <c r="J6" s="5">
        <f>6038+4361</f>
        <v>10399</v>
      </c>
      <c r="K6" s="88" t="s">
        <v>208</v>
      </c>
    </row>
    <row r="7" spans="1:11" x14ac:dyDescent="0.2">
      <c r="B7" s="8" t="s">
        <v>92</v>
      </c>
      <c r="C7" s="9" t="s">
        <v>93</v>
      </c>
      <c r="D7" s="10" t="s">
        <v>96</v>
      </c>
      <c r="E7" s="9" t="s">
        <v>94</v>
      </c>
      <c r="F7" s="9" t="s">
        <v>95</v>
      </c>
      <c r="G7" s="11"/>
      <c r="I7" s="2" t="s">
        <v>5</v>
      </c>
      <c r="J7" s="5">
        <v>1</v>
      </c>
      <c r="K7" s="88" t="s">
        <v>208</v>
      </c>
    </row>
    <row r="8" spans="1:11" x14ac:dyDescent="0.2">
      <c r="B8" s="12" t="s">
        <v>16</v>
      </c>
      <c r="C8" s="13">
        <f>Model!Y22/Model!$Y$29</f>
        <v>0.72467799816396361</v>
      </c>
      <c r="D8" s="2" t="s">
        <v>143</v>
      </c>
      <c r="G8" s="14"/>
      <c r="I8" s="2" t="s">
        <v>6</v>
      </c>
      <c r="J8" s="5">
        <f>J5-J6+J7</f>
        <v>160510.29641415001</v>
      </c>
    </row>
    <row r="9" spans="1:11" x14ac:dyDescent="0.2">
      <c r="B9" s="12" t="s">
        <v>17</v>
      </c>
      <c r="C9" s="13">
        <f>Model!Y23/Model!$Y$29</f>
        <v>6.5624391465212678E-2</v>
      </c>
      <c r="D9" s="2" t="s">
        <v>143</v>
      </c>
      <c r="G9" s="14"/>
    </row>
    <row r="10" spans="1:11" x14ac:dyDescent="0.2">
      <c r="B10" s="12" t="s">
        <v>18</v>
      </c>
      <c r="C10" s="13">
        <f>Model!Y24/Model!$Y$29</f>
        <v>5.1158650235068298E-2</v>
      </c>
      <c r="D10" s="2" t="s">
        <v>143</v>
      </c>
      <c r="G10" s="14"/>
      <c r="I10" s="2" t="s">
        <v>189</v>
      </c>
    </row>
    <row r="11" spans="1:11" x14ac:dyDescent="0.2">
      <c r="B11" s="12" t="s">
        <v>19</v>
      </c>
      <c r="C11" s="13">
        <f>Model!Y25/Model!$Y$29</f>
        <v>7.2912899546554652E-2</v>
      </c>
      <c r="D11" s="2" t="s">
        <v>143</v>
      </c>
      <c r="G11" s="14"/>
      <c r="J11" s="15"/>
    </row>
    <row r="12" spans="1:11" x14ac:dyDescent="0.2">
      <c r="B12" s="12" t="s">
        <v>20</v>
      </c>
      <c r="C12" s="13">
        <f>Model!Y26/Model!$Y$29</f>
        <v>6.4928923136840344E-2</v>
      </c>
      <c r="D12" s="2" t="s">
        <v>143</v>
      </c>
      <c r="G12" s="14"/>
      <c r="I12" s="3"/>
      <c r="K12" s="3"/>
    </row>
    <row r="13" spans="1:11" x14ac:dyDescent="0.2">
      <c r="B13" s="16" t="s">
        <v>21</v>
      </c>
      <c r="C13" s="17">
        <f>Model!Y27/Model!$Y$29</f>
        <v>2.0697137452360421E-2</v>
      </c>
      <c r="D13" s="18" t="s">
        <v>143</v>
      </c>
      <c r="E13" s="18"/>
      <c r="F13" s="18"/>
      <c r="G13" s="19"/>
    </row>
    <row r="17" spans="2:2" x14ac:dyDescent="0.2">
      <c r="B17" s="46" t="s">
        <v>204</v>
      </c>
    </row>
    <row r="18" spans="2:2" x14ac:dyDescent="0.2">
      <c r="B18" s="75" t="s">
        <v>202</v>
      </c>
    </row>
    <row r="19" spans="2:2" x14ac:dyDescent="0.2">
      <c r="B19" s="78" t="s">
        <v>205</v>
      </c>
    </row>
    <row r="20" spans="2:2" x14ac:dyDescent="0.2">
      <c r="B20" s="2" t="s">
        <v>206</v>
      </c>
    </row>
  </sheetData>
  <hyperlinks>
    <hyperlink ref="B5" r:id="rId1" display="Investores" xr:uid="{F6BE6CB2-628B-4D71-B3EB-E132452959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ABEB-D09F-4AA0-ADD3-13F567FA4650}">
  <dimension ref="A1:AT135"/>
  <sheetViews>
    <sheetView zoomScale="200" zoomScaleNormal="200" workbookViewId="0">
      <pane xSplit="2" ySplit="2" topLeftCell="M37" activePane="bottomRight" state="frozen"/>
      <selection pane="topRight" activeCell="C1" sqref="C1"/>
      <selection pane="bottomLeft" activeCell="A3" sqref="A3"/>
      <selection pane="bottomRight" activeCell="P65" sqref="P65"/>
    </sheetView>
  </sheetViews>
  <sheetFormatPr defaultRowHeight="12.75" x14ac:dyDescent="0.2"/>
  <cols>
    <col min="1" max="1" width="5.140625" style="2" customWidth="1"/>
    <col min="2" max="2" width="32.42578125" style="3" customWidth="1"/>
    <col min="3" max="10" width="8.7109375" style="3"/>
    <col min="11" max="18" width="9.140625" style="3"/>
    <col min="19" max="25" width="8.7109375" style="3"/>
    <col min="26" max="16384" width="9.140625" style="2"/>
  </cols>
  <sheetData>
    <row r="1" spans="1:33" x14ac:dyDescent="0.2">
      <c r="A1" s="7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3" x14ac:dyDescent="0.2">
      <c r="B2" s="2"/>
      <c r="C2" s="6" t="s">
        <v>8</v>
      </c>
      <c r="D2" s="6" t="s">
        <v>9</v>
      </c>
      <c r="E2" s="6" t="s">
        <v>10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11</v>
      </c>
      <c r="K2" s="6" t="s">
        <v>191</v>
      </c>
      <c r="L2" s="6" t="s">
        <v>192</v>
      </c>
      <c r="M2" s="6" t="s">
        <v>193</v>
      </c>
      <c r="N2" s="6" t="s">
        <v>194</v>
      </c>
      <c r="O2" s="79" t="s">
        <v>207</v>
      </c>
      <c r="P2" s="79" t="s">
        <v>208</v>
      </c>
      <c r="Q2" s="79" t="s">
        <v>209</v>
      </c>
      <c r="R2" s="79" t="s">
        <v>210</v>
      </c>
      <c r="S2" s="2"/>
      <c r="T2" s="20">
        <v>18</v>
      </c>
      <c r="U2" s="20">
        <f>T2+1</f>
        <v>19</v>
      </c>
      <c r="V2" s="20">
        <f t="shared" ref="V2:AE2" si="0">U2+1</f>
        <v>20</v>
      </c>
      <c r="W2" s="20">
        <f t="shared" si="0"/>
        <v>21</v>
      </c>
      <c r="X2" s="20">
        <f t="shared" si="0"/>
        <v>22</v>
      </c>
      <c r="Y2" s="20">
        <f t="shared" si="0"/>
        <v>23</v>
      </c>
      <c r="Z2" s="20">
        <f t="shared" si="0"/>
        <v>24</v>
      </c>
      <c r="AA2" s="20">
        <f t="shared" si="0"/>
        <v>25</v>
      </c>
      <c r="AB2" s="20">
        <f t="shared" si="0"/>
        <v>26</v>
      </c>
      <c r="AC2" s="20">
        <f t="shared" si="0"/>
        <v>27</v>
      </c>
      <c r="AD2" s="20">
        <f t="shared" si="0"/>
        <v>28</v>
      </c>
      <c r="AE2" s="20">
        <f t="shared" si="0"/>
        <v>29</v>
      </c>
      <c r="AF2" s="20"/>
    </row>
    <row r="3" spans="1:33" s="81" customFormat="1" x14ac:dyDescent="0.2">
      <c r="A3" s="2"/>
      <c r="B3" s="74" t="s">
        <v>195</v>
      </c>
      <c r="I3" s="81">
        <f>1588+203+407</f>
        <v>2198</v>
      </c>
      <c r="L3" s="81">
        <f>1534+379+210</f>
        <v>2123</v>
      </c>
      <c r="M3" s="82">
        <f>1528+380+213</f>
        <v>2121</v>
      </c>
      <c r="N3" s="82"/>
      <c r="O3" s="82">
        <f>1495+376+217</f>
        <v>2088</v>
      </c>
      <c r="P3" s="82">
        <f>1487+374+223</f>
        <v>2084</v>
      </c>
      <c r="Q3" s="82"/>
      <c r="R3" s="82"/>
      <c r="Z3" s="81">
        <f>1550+391+209</f>
        <v>2150</v>
      </c>
      <c r="AA3" s="81">
        <f>1500+374+215</f>
        <v>2089</v>
      </c>
    </row>
    <row r="4" spans="1:33" s="81" customFormat="1" x14ac:dyDescent="0.2">
      <c r="A4" s="2"/>
      <c r="B4" s="74" t="s">
        <v>196</v>
      </c>
      <c r="I4" s="81">
        <v>812</v>
      </c>
      <c r="L4" s="81">
        <v>801</v>
      </c>
      <c r="M4" s="82">
        <v>800</v>
      </c>
      <c r="N4" s="82"/>
      <c r="O4" s="82">
        <v>792</v>
      </c>
      <c r="P4" s="82">
        <v>789</v>
      </c>
      <c r="Q4" s="82"/>
      <c r="R4" s="82"/>
      <c r="Z4" s="81">
        <v>800</v>
      </c>
      <c r="AA4" s="81">
        <v>791</v>
      </c>
    </row>
    <row r="5" spans="1:33" s="81" customFormat="1" x14ac:dyDescent="0.2">
      <c r="A5" s="2"/>
      <c r="B5" s="74" t="s">
        <v>197</v>
      </c>
      <c r="I5" s="81">
        <v>542</v>
      </c>
      <c r="L5" s="81">
        <v>518</v>
      </c>
      <c r="M5" s="82">
        <v>519</v>
      </c>
      <c r="N5" s="82"/>
      <c r="O5" s="82">
        <v>509</v>
      </c>
      <c r="P5" s="82">
        <v>509</v>
      </c>
      <c r="Q5" s="82"/>
      <c r="R5" s="82"/>
      <c r="Z5" s="81">
        <v>528</v>
      </c>
      <c r="AA5" s="81">
        <v>511</v>
      </c>
    </row>
    <row r="6" spans="1:33" s="81" customFormat="1" x14ac:dyDescent="0.2">
      <c r="A6" s="2"/>
      <c r="B6" s="74" t="s">
        <v>198</v>
      </c>
      <c r="I6" s="81">
        <v>855</v>
      </c>
      <c r="L6" s="81">
        <v>856</v>
      </c>
      <c r="M6" s="82">
        <v>859</v>
      </c>
      <c r="N6" s="82"/>
      <c r="O6" s="82">
        <v>851</v>
      </c>
      <c r="P6" s="82">
        <v>849</v>
      </c>
      <c r="Q6" s="82"/>
      <c r="R6" s="82"/>
      <c r="Z6" s="81">
        <v>854</v>
      </c>
      <c r="AA6" s="81">
        <v>852</v>
      </c>
    </row>
    <row r="7" spans="1:33" s="81" customFormat="1" x14ac:dyDescent="0.2">
      <c r="A7" s="2"/>
      <c r="B7" s="74" t="s">
        <v>199</v>
      </c>
      <c r="I7" s="81">
        <v>845</v>
      </c>
      <c r="L7" s="81">
        <v>839</v>
      </c>
      <c r="M7" s="82">
        <v>839</v>
      </c>
      <c r="N7" s="82"/>
      <c r="O7" s="82">
        <v>837</v>
      </c>
      <c r="P7" s="82">
        <v>835</v>
      </c>
      <c r="Q7" s="82"/>
      <c r="R7" s="82"/>
      <c r="Z7" s="81">
        <v>835</v>
      </c>
      <c r="AA7" s="81">
        <v>834</v>
      </c>
    </row>
    <row r="8" spans="1:33" s="81" customFormat="1" x14ac:dyDescent="0.2">
      <c r="A8" s="2"/>
      <c r="B8" s="74" t="s">
        <v>200</v>
      </c>
      <c r="I8" s="81">
        <v>407</v>
      </c>
      <c r="L8" s="81">
        <v>391</v>
      </c>
      <c r="M8" s="82">
        <v>389</v>
      </c>
      <c r="N8" s="82"/>
      <c r="O8" s="82">
        <v>379</v>
      </c>
      <c r="P8" s="82">
        <v>378</v>
      </c>
      <c r="Q8" s="82"/>
      <c r="R8" s="82"/>
      <c r="Z8" s="81">
        <v>396</v>
      </c>
      <c r="AA8" s="81">
        <v>383</v>
      </c>
    </row>
    <row r="9" spans="1:33" s="81" customFormat="1" x14ac:dyDescent="0.2">
      <c r="A9" s="2"/>
      <c r="B9" s="74" t="s">
        <v>201</v>
      </c>
      <c r="I9" s="81">
        <v>203</v>
      </c>
      <c r="L9" s="81">
        <v>0</v>
      </c>
      <c r="M9" s="82">
        <v>0</v>
      </c>
      <c r="N9" s="82">
        <v>0</v>
      </c>
      <c r="O9" s="82">
        <v>0</v>
      </c>
      <c r="P9" s="82">
        <v>0</v>
      </c>
      <c r="Q9" s="82"/>
      <c r="R9" s="82"/>
      <c r="Z9" s="81">
        <v>0</v>
      </c>
      <c r="AA9" s="81">
        <v>0</v>
      </c>
    </row>
    <row r="10" spans="1:33" x14ac:dyDescent="0.2">
      <c r="B10" s="27" t="s">
        <v>135</v>
      </c>
      <c r="C10" s="28">
        <v>5801</v>
      </c>
      <c r="D10" s="28">
        <v>5745</v>
      </c>
      <c r="E10" s="28"/>
      <c r="F10" s="28"/>
      <c r="G10" s="28">
        <v>5698</v>
      </c>
      <c r="H10" s="28">
        <v>5667</v>
      </c>
      <c r="I10" s="28">
        <v>5659</v>
      </c>
      <c r="J10" s="28">
        <v>5563</v>
      </c>
      <c r="K10" s="28">
        <v>5562</v>
      </c>
      <c r="L10" s="28">
        <f>+SUM(L3:L9)</f>
        <v>5528</v>
      </c>
      <c r="M10" s="28">
        <f>+SUM(M3:M9)</f>
        <v>5527</v>
      </c>
      <c r="N10" s="28">
        <f t="shared" ref="N10:O10" si="1">+SUM(N3:N9)</f>
        <v>0</v>
      </c>
      <c r="O10" s="28">
        <f>+SUM(O3:O9)</f>
        <v>5456</v>
      </c>
      <c r="P10" s="28">
        <f>+SUM(P3:P9)</f>
        <v>5444</v>
      </c>
      <c r="Q10" s="28"/>
      <c r="R10" s="28"/>
      <c r="S10" s="28"/>
      <c r="T10" s="28">
        <v>7490</v>
      </c>
      <c r="U10" s="28">
        <v>7469</v>
      </c>
      <c r="V10" s="28">
        <v>6829</v>
      </c>
      <c r="W10" s="28">
        <v>6477</v>
      </c>
      <c r="X10" s="28">
        <v>5815</v>
      </c>
      <c r="Y10" s="28">
        <v>5692</v>
      </c>
      <c r="Z10" s="28">
        <v>5563</v>
      </c>
      <c r="AA10" s="28">
        <v>5460</v>
      </c>
      <c r="AB10" s="28">
        <f t="shared" ref="AB10:AE10" si="2">AA10*0.97</f>
        <v>5296.2</v>
      </c>
      <c r="AC10" s="28">
        <f t="shared" si="2"/>
        <v>5137.3139999999994</v>
      </c>
      <c r="AD10" s="28">
        <f t="shared" si="2"/>
        <v>4983.1945799999994</v>
      </c>
      <c r="AE10" s="28">
        <f t="shared" si="2"/>
        <v>4833.6987425999996</v>
      </c>
      <c r="AF10" s="21"/>
      <c r="AG10" s="21"/>
    </row>
    <row r="11" spans="1:33" x14ac:dyDescent="0.2">
      <c r="B11" s="3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>
        <v>4962.0810000000001</v>
      </c>
      <c r="U11" s="21">
        <v>5086.732</v>
      </c>
      <c r="V11" s="21">
        <v>4826.5559999999996</v>
      </c>
      <c r="W11" s="21">
        <v>4742.1570000000002</v>
      </c>
      <c r="X11" s="21">
        <v>4473.3580000000002</v>
      </c>
      <c r="Y11" s="21">
        <v>4557.17</v>
      </c>
      <c r="Z11" s="21">
        <v>4650.5749999999998</v>
      </c>
      <c r="AA11" s="21">
        <v>4650.5749999999998</v>
      </c>
      <c r="AB11" s="21"/>
      <c r="AC11" s="21"/>
      <c r="AD11" s="21"/>
      <c r="AE11" s="21"/>
      <c r="AF11" s="21"/>
      <c r="AG11" s="21"/>
    </row>
    <row r="12" spans="1:33" x14ac:dyDescent="0.2">
      <c r="B12" s="3" t="s">
        <v>137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>
        <f t="shared" ref="T12:Z12" si="3">T29-T15</f>
        <v>22945</v>
      </c>
      <c r="U12" s="21">
        <f t="shared" si="3"/>
        <v>24387</v>
      </c>
      <c r="V12" s="21">
        <f t="shared" si="3"/>
        <v>13802</v>
      </c>
      <c r="W12" s="21">
        <f t="shared" si="3"/>
        <v>20216</v>
      </c>
      <c r="X12" s="21">
        <f t="shared" si="3"/>
        <v>24769</v>
      </c>
      <c r="Y12" s="21">
        <f t="shared" si="3"/>
        <v>26847</v>
      </c>
      <c r="Z12" s="21">
        <f t="shared" si="3"/>
        <v>28432</v>
      </c>
      <c r="AA12" s="21">
        <f t="shared" ref="AA12" si="4">AA29-AA15</f>
        <v>29149.919999999998</v>
      </c>
      <c r="AB12" s="21">
        <f t="shared" ref="AB12:AE12" si="5">AB13*AB10</f>
        <v>29689.193519999997</v>
      </c>
      <c r="AC12" s="21">
        <f t="shared" si="5"/>
        <v>30238.443600119994</v>
      </c>
      <c r="AD12" s="21">
        <f t="shared" si="5"/>
        <v>30797.854806722215</v>
      </c>
      <c r="AE12" s="21">
        <f t="shared" si="5"/>
        <v>31367.61512064658</v>
      </c>
      <c r="AF12" s="21"/>
      <c r="AG12" s="21"/>
    </row>
    <row r="13" spans="1:33" x14ac:dyDescent="0.2">
      <c r="B13" s="3" t="s">
        <v>138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>
        <f t="shared" ref="T13:X13" si="6">T12/T10</f>
        <v>3.0634178905206944</v>
      </c>
      <c r="U13" s="21">
        <f t="shared" si="6"/>
        <v>3.2650957290132547</v>
      </c>
      <c r="V13" s="21">
        <f t="shared" si="6"/>
        <v>2.0210865426856057</v>
      </c>
      <c r="W13" s="21">
        <f t="shared" si="6"/>
        <v>3.1211980855334258</v>
      </c>
      <c r="X13" s="21">
        <f t="shared" si="6"/>
        <v>4.2595012897678419</v>
      </c>
      <c r="Y13" s="21">
        <f>Y12/Y10</f>
        <v>4.7166198172874205</v>
      </c>
      <c r="Z13" s="21">
        <f>Z12/Z10</f>
        <v>5.1109113787524718</v>
      </c>
      <c r="AA13" s="21">
        <f>AA12/AA10</f>
        <v>5.3388131868131863</v>
      </c>
      <c r="AB13" s="21">
        <f t="shared" ref="AB13:AE13" si="7">AA13*1.05</f>
        <v>5.6057538461538456</v>
      </c>
      <c r="AC13" s="21">
        <f t="shared" si="7"/>
        <v>5.8860415384615381</v>
      </c>
      <c r="AD13" s="21">
        <f t="shared" si="7"/>
        <v>6.180343615384615</v>
      </c>
      <c r="AE13" s="21">
        <f t="shared" si="7"/>
        <v>6.4893607961538464</v>
      </c>
      <c r="AF13" s="21"/>
      <c r="AG13" s="21"/>
    </row>
    <row r="14" spans="1:33" x14ac:dyDescent="0.2">
      <c r="B14" s="3" t="s">
        <v>141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>
        <f t="shared" ref="T14:X14" si="8">T12/T11</f>
        <v>4.6240680069511155</v>
      </c>
      <c r="U14" s="21">
        <f t="shared" si="8"/>
        <v>4.7942372430865241</v>
      </c>
      <c r="V14" s="21">
        <f t="shared" si="8"/>
        <v>2.8595959520618845</v>
      </c>
      <c r="W14" s="21">
        <f t="shared" si="8"/>
        <v>4.2630389504185544</v>
      </c>
      <c r="X14" s="21">
        <f t="shared" si="8"/>
        <v>5.5370037452848617</v>
      </c>
      <c r="Y14" s="21">
        <f>Y12/Y11</f>
        <v>5.8911561341797647</v>
      </c>
      <c r="Z14" s="21">
        <f>Z12/Z11</f>
        <v>6.1136526128489495</v>
      </c>
      <c r="AA14" s="21">
        <f>AA12/AA11</f>
        <v>6.2680249216494737</v>
      </c>
      <c r="AB14" s="21"/>
      <c r="AC14" s="21"/>
      <c r="AD14" s="21"/>
      <c r="AE14" s="21"/>
      <c r="AF14" s="21"/>
      <c r="AG14" s="21"/>
    </row>
    <row r="15" spans="1:33" x14ac:dyDescent="0.2">
      <c r="B15" s="2" t="s">
        <v>131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>
        <v>3200</v>
      </c>
      <c r="U15" s="21">
        <v>3900</v>
      </c>
      <c r="V15" s="21">
        <v>6600</v>
      </c>
      <c r="W15" s="21">
        <v>7500</v>
      </c>
      <c r="X15" s="21">
        <v>7800</v>
      </c>
      <c r="Y15" s="21">
        <v>9100</v>
      </c>
      <c r="Z15" s="21">
        <v>10200</v>
      </c>
      <c r="AA15" s="21">
        <f>AA17*AA20</f>
        <v>10714.08</v>
      </c>
      <c r="AB15" s="21">
        <f t="shared" ref="AB15:AE15" si="9">AB17*AB20</f>
        <v>11254.069632000001</v>
      </c>
      <c r="AC15" s="21">
        <f t="shared" si="9"/>
        <v>11821.2747414528</v>
      </c>
      <c r="AD15" s="21">
        <f t="shared" si="9"/>
        <v>12417.066988422022</v>
      </c>
      <c r="AE15" s="21">
        <f t="shared" si="9"/>
        <v>13042.887164638492</v>
      </c>
      <c r="AF15" s="21"/>
      <c r="AG15" s="21"/>
    </row>
    <row r="16" spans="1:33" x14ac:dyDescent="0.2">
      <c r="B16" s="2" t="s">
        <v>134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 t="s">
        <v>136</v>
      </c>
      <c r="U16" s="22" t="s">
        <v>136</v>
      </c>
      <c r="V16" s="21">
        <v>132</v>
      </c>
      <c r="W16" s="21">
        <v>146</v>
      </c>
      <c r="X16" s="21">
        <v>149</v>
      </c>
      <c r="Y16" s="21">
        <v>152</v>
      </c>
      <c r="Z16" s="21">
        <v>218</v>
      </c>
      <c r="AA16" s="21"/>
      <c r="AB16" s="21"/>
      <c r="AC16" s="21"/>
      <c r="AD16" s="21"/>
      <c r="AE16" s="21"/>
      <c r="AF16" s="21"/>
      <c r="AG16" s="21"/>
    </row>
    <row r="17" spans="2:33" x14ac:dyDescent="0.2">
      <c r="B17" s="3" t="s">
        <v>132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2" t="s">
        <v>136</v>
      </c>
      <c r="U17" s="22" t="s">
        <v>136</v>
      </c>
      <c r="V17" s="21">
        <v>5300</v>
      </c>
      <c r="W17" s="21">
        <v>6200</v>
      </c>
      <c r="X17" s="23">
        <f>Y17/1.1</f>
        <v>5909.090909090909</v>
      </c>
      <c r="Y17" s="21">
        <v>6500</v>
      </c>
      <c r="Z17" s="21">
        <v>8100</v>
      </c>
      <c r="AA17" s="21">
        <f t="shared" ref="AA17:AE17" si="10">Z17*1.01</f>
        <v>8181</v>
      </c>
      <c r="AB17" s="21">
        <f t="shared" si="10"/>
        <v>8262.81</v>
      </c>
      <c r="AC17" s="21">
        <f t="shared" si="10"/>
        <v>8345.4380999999994</v>
      </c>
      <c r="AD17" s="21">
        <f t="shared" si="10"/>
        <v>8428.892480999999</v>
      </c>
      <c r="AE17" s="21">
        <f t="shared" si="10"/>
        <v>8513.181405809999</v>
      </c>
      <c r="AF17" s="21"/>
      <c r="AG17" s="21"/>
    </row>
    <row r="18" spans="2:33" x14ac:dyDescent="0.2">
      <c r="B18" s="3" t="s">
        <v>133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4" t="s">
        <v>136</v>
      </c>
      <c r="U18" s="24" t="s">
        <v>136</v>
      </c>
      <c r="V18" s="25">
        <v>200</v>
      </c>
      <c r="W18" s="25">
        <v>228</v>
      </c>
      <c r="X18" s="25">
        <v>240</v>
      </c>
      <c r="Y18" s="25">
        <v>251</v>
      </c>
      <c r="Z18" s="25">
        <v>257</v>
      </c>
      <c r="AA18" s="25"/>
      <c r="AB18" s="25"/>
      <c r="AC18" s="25"/>
      <c r="AD18" s="25"/>
      <c r="AE18" s="25"/>
      <c r="AF18" s="25"/>
      <c r="AG18" s="25"/>
    </row>
    <row r="19" spans="2:33" x14ac:dyDescent="0.2">
      <c r="B19" s="3" t="s">
        <v>140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4" t="s">
        <v>136</v>
      </c>
      <c r="U19" s="24" t="s">
        <v>136</v>
      </c>
      <c r="V19" s="25">
        <f t="shared" ref="V19:X19" si="11">V15/V16</f>
        <v>50</v>
      </c>
      <c r="W19" s="25">
        <f t="shared" si="11"/>
        <v>51.369863013698627</v>
      </c>
      <c r="X19" s="25">
        <f t="shared" si="11"/>
        <v>52.348993288590606</v>
      </c>
      <c r="Y19" s="25">
        <f>Y15/Y16</f>
        <v>59.868421052631582</v>
      </c>
      <c r="Z19" s="25">
        <f>Z15/Z16</f>
        <v>46.788990825688074</v>
      </c>
      <c r="AA19" s="25" t="e">
        <f>AA15/AA16</f>
        <v>#DIV/0!</v>
      </c>
      <c r="AB19" s="25"/>
      <c r="AC19" s="25"/>
      <c r="AD19" s="25"/>
      <c r="AE19" s="25"/>
      <c r="AF19" s="25"/>
      <c r="AG19" s="25"/>
    </row>
    <row r="20" spans="2:33" x14ac:dyDescent="0.2">
      <c r="B20" s="3" t="s">
        <v>139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4" t="s">
        <v>136</v>
      </c>
      <c r="U20" s="24" t="s">
        <v>136</v>
      </c>
      <c r="V20" s="25">
        <f t="shared" ref="V20:X20" si="12">V15/V17</f>
        <v>1.2452830188679245</v>
      </c>
      <c r="W20" s="25">
        <f t="shared" si="12"/>
        <v>1.2096774193548387</v>
      </c>
      <c r="X20" s="25">
        <f t="shared" si="12"/>
        <v>1.32</v>
      </c>
      <c r="Y20" s="25">
        <f>Y15/Y17</f>
        <v>1.4</v>
      </c>
      <c r="Z20" s="25">
        <f>Z15/Z17</f>
        <v>1.2592592592592593</v>
      </c>
      <c r="AA20" s="25">
        <f t="shared" ref="AA20:AD20" si="13">Z20*1.04</f>
        <v>1.3096296296296297</v>
      </c>
      <c r="AB20" s="25">
        <f t="shared" si="13"/>
        <v>1.362014814814815</v>
      </c>
      <c r="AC20" s="25">
        <f t="shared" si="13"/>
        <v>1.4164954074074076</v>
      </c>
      <c r="AD20" s="25">
        <f t="shared" si="13"/>
        <v>1.473155223703704</v>
      </c>
      <c r="AE20" s="25">
        <f>AD20*1.04</f>
        <v>1.5320814326518521</v>
      </c>
      <c r="AF20" s="25"/>
      <c r="AG20" s="25"/>
    </row>
    <row r="21" spans="2:33" x14ac:dyDescent="0.2"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6"/>
      <c r="V21" s="26"/>
      <c r="W21" s="26"/>
      <c r="X21" s="26"/>
      <c r="Y21" s="26"/>
      <c r="Z21" s="21"/>
      <c r="AA21" s="21"/>
      <c r="AB21" s="21"/>
      <c r="AC21" s="21"/>
      <c r="AD21" s="21"/>
      <c r="AE21" s="21"/>
      <c r="AF21" s="21"/>
      <c r="AG21" s="21"/>
    </row>
    <row r="22" spans="2:33" x14ac:dyDescent="0.2">
      <c r="B22" s="3" t="s">
        <v>16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>
        <v>18021</v>
      </c>
      <c r="U22" s="21">
        <v>19564</v>
      </c>
      <c r="V22" s="21">
        <v>14129</v>
      </c>
      <c r="W22" s="21">
        <v>19586</v>
      </c>
      <c r="X22" s="21">
        <v>23761</v>
      </c>
      <c r="Y22" s="21">
        <v>26050</v>
      </c>
      <c r="Z22" s="21">
        <v>27778</v>
      </c>
      <c r="AA22" s="21">
        <v>28051</v>
      </c>
      <c r="AB22" s="21"/>
      <c r="AC22" s="21"/>
      <c r="AD22" s="21"/>
      <c r="AE22" s="21"/>
      <c r="AF22" s="21"/>
      <c r="AG22" s="21"/>
    </row>
    <row r="23" spans="2:33" x14ac:dyDescent="0.2">
      <c r="B23" s="3" t="s">
        <v>17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>
        <v>1862</v>
      </c>
      <c r="U23" s="21">
        <v>1970</v>
      </c>
      <c r="V23" s="21">
        <v>1425</v>
      </c>
      <c r="W23" s="21">
        <v>1876</v>
      </c>
      <c r="X23" s="21">
        <v>2152</v>
      </c>
      <c r="Y23" s="21">
        <v>2359</v>
      </c>
      <c r="Z23" s="21">
        <v>2469</v>
      </c>
      <c r="AA23" s="21">
        <v>2546</v>
      </c>
      <c r="AB23" s="21"/>
      <c r="AC23" s="21"/>
      <c r="AD23" s="21"/>
      <c r="AE23" s="21"/>
      <c r="AF23" s="21"/>
      <c r="AG23" s="21"/>
    </row>
    <row r="24" spans="2:33" x14ac:dyDescent="0.2">
      <c r="B24" s="3" t="s">
        <v>18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>
        <v>1802</v>
      </c>
      <c r="U24" s="21">
        <v>1900</v>
      </c>
      <c r="V24" s="21">
        <v>1271</v>
      </c>
      <c r="W24" s="21">
        <v>1653</v>
      </c>
      <c r="X24" s="21">
        <v>1593</v>
      </c>
      <c r="Y24" s="21">
        <v>1839</v>
      </c>
      <c r="Z24" s="21">
        <v>1960</v>
      </c>
      <c r="AA24" s="21">
        <v>2019</v>
      </c>
      <c r="AB24" s="21"/>
      <c r="AC24" s="21"/>
      <c r="AD24" s="21"/>
      <c r="AE24" s="21"/>
      <c r="AF24" s="21"/>
      <c r="AG24" s="21"/>
    </row>
    <row r="25" spans="2:33" x14ac:dyDescent="0.2">
      <c r="B25" s="3" t="s">
        <v>19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>
        <v>2240</v>
      </c>
      <c r="U25" s="21">
        <v>2384</v>
      </c>
      <c r="V25" s="21">
        <v>1772</v>
      </c>
      <c r="W25" s="21">
        <v>2177</v>
      </c>
      <c r="X25" s="21">
        <v>2384</v>
      </c>
      <c r="Y25" s="21">
        <v>2621</v>
      </c>
      <c r="Z25" s="21">
        <v>2930</v>
      </c>
      <c r="AA25" s="21">
        <v>3286</v>
      </c>
      <c r="AB25" s="21"/>
      <c r="AC25" s="21"/>
      <c r="AD25" s="21"/>
      <c r="AE25" s="21"/>
      <c r="AF25" s="21"/>
      <c r="AG25" s="21"/>
    </row>
    <row r="26" spans="2:33" x14ac:dyDescent="0.2">
      <c r="B26" s="3" t="s">
        <v>20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>
        <v>1534</v>
      </c>
      <c r="U26" s="21">
        <v>1750</v>
      </c>
      <c r="V26" s="21">
        <v>1283</v>
      </c>
      <c r="W26" s="21">
        <v>1824</v>
      </c>
      <c r="X26" s="21">
        <v>2056</v>
      </c>
      <c r="Y26" s="21">
        <v>2334</v>
      </c>
      <c r="Z26" s="21">
        <v>2664</v>
      </c>
      <c r="AA26" s="21">
        <v>3002</v>
      </c>
      <c r="AB26" s="21"/>
      <c r="AC26" s="21"/>
      <c r="AD26" s="21"/>
      <c r="AE26" s="21"/>
      <c r="AF26" s="21"/>
      <c r="AG26" s="21"/>
    </row>
    <row r="27" spans="2:33" x14ac:dyDescent="0.2">
      <c r="B27" s="3" t="s">
        <v>21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>
        <v>585</v>
      </c>
      <c r="U27" s="21">
        <v>604</v>
      </c>
      <c r="V27" s="21">
        <v>522</v>
      </c>
      <c r="W27" s="21">
        <v>600</v>
      </c>
      <c r="X27" s="21">
        <v>623</v>
      </c>
      <c r="Y27" s="21">
        <v>744</v>
      </c>
      <c r="Z27" s="21">
        <v>831</v>
      </c>
      <c r="AA27" s="21">
        <v>960</v>
      </c>
      <c r="AB27" s="21"/>
      <c r="AC27" s="21"/>
      <c r="AD27" s="21"/>
      <c r="AE27" s="21"/>
      <c r="AF27" s="21"/>
      <c r="AG27" s="21"/>
    </row>
    <row r="28" spans="2:33" x14ac:dyDescent="0.2">
      <c r="B28" s="3" t="s">
        <v>97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>
        <v>101</v>
      </c>
      <c r="U28" s="21">
        <v>115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/>
      <c r="AC28" s="21"/>
      <c r="AD28" s="21"/>
      <c r="AE28" s="21"/>
      <c r="AF28" s="21"/>
      <c r="AG28" s="21"/>
    </row>
    <row r="29" spans="2:33" x14ac:dyDescent="0.2">
      <c r="B29" s="27" t="s">
        <v>7</v>
      </c>
      <c r="C29" s="28">
        <v>7611</v>
      </c>
      <c r="D29" s="28">
        <v>9239</v>
      </c>
      <c r="E29" s="28">
        <v>8758</v>
      </c>
      <c r="F29" s="28">
        <v>10338</v>
      </c>
      <c r="G29" s="28">
        <v>8150</v>
      </c>
      <c r="H29" s="28">
        <f>18065-G29</f>
        <v>9915</v>
      </c>
      <c r="I29" s="28">
        <f>27422-SUM(G29:H29)</f>
        <v>9357</v>
      </c>
      <c r="J29" s="28">
        <v>11210</v>
      </c>
      <c r="K29" s="28">
        <v>8274</v>
      </c>
      <c r="L29" s="28">
        <f>18357-K29</f>
        <v>10083</v>
      </c>
      <c r="M29" s="28">
        <f>28171-SUM(K29:L29)</f>
        <v>9814</v>
      </c>
      <c r="N29" s="28">
        <f>+AA29-SUM(K29:M29)</f>
        <v>11693</v>
      </c>
      <c r="O29" s="28">
        <v>8750</v>
      </c>
      <c r="P29" s="28">
        <f>19755-O29</f>
        <v>11005</v>
      </c>
      <c r="Q29" s="28"/>
      <c r="R29" s="28"/>
      <c r="S29" s="21"/>
      <c r="T29" s="28">
        <f t="shared" ref="T29:X29" si="14">SUM(T22:T28)</f>
        <v>26145</v>
      </c>
      <c r="U29" s="28">
        <f t="shared" si="14"/>
        <v>28287</v>
      </c>
      <c r="V29" s="28">
        <f t="shared" si="14"/>
        <v>20402</v>
      </c>
      <c r="W29" s="28">
        <f t="shared" si="14"/>
        <v>27716</v>
      </c>
      <c r="X29" s="28">
        <f t="shared" si="14"/>
        <v>32569</v>
      </c>
      <c r="Y29" s="28">
        <f>SUM(Y22:Y28)</f>
        <v>35947</v>
      </c>
      <c r="Z29" s="28">
        <v>38632</v>
      </c>
      <c r="AA29" s="28">
        <v>39864</v>
      </c>
      <c r="AB29" s="28">
        <f>AB12+AB15</f>
        <v>40943.263152</v>
      </c>
      <c r="AC29" s="28">
        <f>AC12+AC15</f>
        <v>42059.718341572792</v>
      </c>
      <c r="AD29" s="28">
        <f>AD12+AD15</f>
        <v>43214.921795144241</v>
      </c>
      <c r="AE29" s="28">
        <f>AE12+AE15</f>
        <v>44410.502285285074</v>
      </c>
      <c r="AF29" s="21"/>
      <c r="AG29" s="21"/>
    </row>
    <row r="30" spans="2:33" x14ac:dyDescent="0.2">
      <c r="B30" s="3" t="s">
        <v>23</v>
      </c>
      <c r="C30" s="21">
        <v>3008</v>
      </c>
      <c r="D30" s="21">
        <v>4042</v>
      </c>
      <c r="E30" s="21">
        <v>3356</v>
      </c>
      <c r="F30" s="21">
        <v>4780</v>
      </c>
      <c r="G30" s="21">
        <v>3210</v>
      </c>
      <c r="H30" s="21">
        <f>7524-G30</f>
        <v>4314</v>
      </c>
      <c r="I30" s="21">
        <f>11132-SUM(G30:H30)</f>
        <v>3608</v>
      </c>
      <c r="J30" s="21">
        <v>5157</v>
      </c>
      <c r="K30" s="21">
        <v>3262</v>
      </c>
      <c r="L30" s="21">
        <f>7654-K30</f>
        <v>4392</v>
      </c>
      <c r="M30" s="21">
        <f>11361-SUM(K30:L30)</f>
        <v>3707</v>
      </c>
      <c r="N30" s="77">
        <f>+AA30-SUM(K30:M30)</f>
        <v>5281</v>
      </c>
      <c r="O30" s="77">
        <v>3391</v>
      </c>
      <c r="P30" s="77">
        <f>8159-O30</f>
        <v>4768</v>
      </c>
      <c r="Q30" s="77"/>
      <c r="R30" s="77"/>
      <c r="S30" s="21"/>
      <c r="T30" s="21">
        <v>11329</v>
      </c>
      <c r="U30" s="21">
        <v>12479</v>
      </c>
      <c r="V30" s="21">
        <v>9013</v>
      </c>
      <c r="W30" s="21">
        <v>11902</v>
      </c>
      <c r="X30" s="21">
        <v>14011</v>
      </c>
      <c r="Y30" s="21">
        <v>15186</v>
      </c>
      <c r="Z30" s="21">
        <v>16288</v>
      </c>
      <c r="AA30" s="21">
        <v>16642</v>
      </c>
      <c r="AB30" s="21"/>
      <c r="AC30" s="21"/>
      <c r="AD30" s="21"/>
      <c r="AE30" s="21"/>
      <c r="AF30" s="21"/>
      <c r="AG30" s="21"/>
    </row>
    <row r="31" spans="2:33" x14ac:dyDescent="0.2">
      <c r="B31" s="3" t="s">
        <v>24</v>
      </c>
      <c r="C31" s="21">
        <f t="shared" ref="C31:J31" si="15">C29-C30</f>
        <v>4603</v>
      </c>
      <c r="D31" s="21">
        <f t="shared" si="15"/>
        <v>5197</v>
      </c>
      <c r="E31" s="21">
        <f t="shared" si="15"/>
        <v>5402</v>
      </c>
      <c r="F31" s="21">
        <f t="shared" si="15"/>
        <v>5558</v>
      </c>
      <c r="G31" s="21">
        <f>G29-G30</f>
        <v>4940</v>
      </c>
      <c r="H31" s="21">
        <f>H29-H30</f>
        <v>5601</v>
      </c>
      <c r="I31" s="21">
        <f t="shared" si="15"/>
        <v>5749</v>
      </c>
      <c r="J31" s="21">
        <f t="shared" si="15"/>
        <v>6053</v>
      </c>
      <c r="K31" s="21">
        <f t="shared" ref="K31:P31" si="16">K29-K30</f>
        <v>5012</v>
      </c>
      <c r="L31" s="21">
        <f t="shared" si="16"/>
        <v>5691</v>
      </c>
      <c r="M31" s="21">
        <f t="shared" si="16"/>
        <v>6107</v>
      </c>
      <c r="N31" s="21">
        <f t="shared" si="16"/>
        <v>6412</v>
      </c>
      <c r="O31" s="21">
        <f t="shared" si="16"/>
        <v>5359</v>
      </c>
      <c r="P31" s="21">
        <f t="shared" si="16"/>
        <v>6237</v>
      </c>
      <c r="Q31" s="21"/>
      <c r="R31" s="21"/>
      <c r="S31" s="21"/>
      <c r="T31" s="21">
        <f t="shared" ref="T31:X31" si="17">T29-T30</f>
        <v>14816</v>
      </c>
      <c r="U31" s="21">
        <f t="shared" si="17"/>
        <v>15808</v>
      </c>
      <c r="V31" s="21">
        <f t="shared" si="17"/>
        <v>11389</v>
      </c>
      <c r="W31" s="21">
        <f t="shared" si="17"/>
        <v>15814</v>
      </c>
      <c r="X31" s="21">
        <f t="shared" si="17"/>
        <v>18558</v>
      </c>
      <c r="Y31" s="21">
        <f>Y29-Y30</f>
        <v>20761</v>
      </c>
      <c r="Z31" s="21">
        <f>Z29-Z30</f>
        <v>22344</v>
      </c>
      <c r="AA31" s="21">
        <f>AA29-AA30</f>
        <v>23222</v>
      </c>
      <c r="AB31" s="21"/>
      <c r="AC31" s="21"/>
      <c r="AD31" s="21"/>
      <c r="AE31" s="21"/>
      <c r="AF31" s="21"/>
      <c r="AG31" s="21"/>
    </row>
    <row r="32" spans="2:33" x14ac:dyDescent="0.2">
      <c r="B32" s="3" t="s">
        <v>26</v>
      </c>
      <c r="C32" s="21">
        <v>2398</v>
      </c>
      <c r="D32" s="21">
        <v>2718</v>
      </c>
      <c r="E32" s="21">
        <v>2617</v>
      </c>
      <c r="F32" s="21">
        <v>3120</v>
      </c>
      <c r="G32" s="21">
        <v>2553</v>
      </c>
      <c r="H32" s="21">
        <f>5467-G32</f>
        <v>2914</v>
      </c>
      <c r="I32" s="21">
        <f>8276-SUM(G32:H32)</f>
        <v>2809</v>
      </c>
      <c r="J32" s="21">
        <v>3278</v>
      </c>
      <c r="K32" s="21">
        <v>2612</v>
      </c>
      <c r="L32" s="21">
        <f>5584-K32</f>
        <v>2972</v>
      </c>
      <c r="M32" s="21">
        <f>8479-SUM(K32:L32)</f>
        <v>2895</v>
      </c>
      <c r="N32" s="77">
        <f>+AA32-SUM(K32:M32)</f>
        <v>3399</v>
      </c>
      <c r="O32" s="77">
        <v>2779</v>
      </c>
      <c r="P32" s="77">
        <f>6048-O32</f>
        <v>3269</v>
      </c>
      <c r="Q32" s="77"/>
      <c r="R32" s="77"/>
      <c r="S32" s="21"/>
      <c r="T32" s="21">
        <v>9329</v>
      </c>
      <c r="U32" s="21">
        <v>8176</v>
      </c>
      <c r="V32" s="21">
        <v>6807</v>
      </c>
      <c r="W32" s="21">
        <v>8596</v>
      </c>
      <c r="X32" s="21">
        <v>9867</v>
      </c>
      <c r="Y32" s="21">
        <v>10853</v>
      </c>
      <c r="Z32" s="21">
        <v>11555</v>
      </c>
      <c r="AA32" s="21">
        <v>11878</v>
      </c>
      <c r="AB32" s="21"/>
      <c r="AC32" s="21"/>
      <c r="AD32" s="21"/>
      <c r="AE32" s="21"/>
      <c r="AF32" s="21"/>
      <c r="AG32" s="21"/>
    </row>
    <row r="33" spans="2:33" x14ac:dyDescent="0.2">
      <c r="B33" s="3" t="s">
        <v>27</v>
      </c>
      <c r="C33" s="21">
        <v>-10</v>
      </c>
      <c r="D33" s="21">
        <v>-12</v>
      </c>
      <c r="E33" s="21">
        <v>-19</v>
      </c>
      <c r="F33" s="21">
        <v>-18</v>
      </c>
      <c r="G33" s="21">
        <v>-17</v>
      </c>
      <c r="H33" s="21">
        <f>-34-G33</f>
        <v>-17</v>
      </c>
      <c r="I33" s="21">
        <f>-48-H33-G33</f>
        <v>-14</v>
      </c>
      <c r="J33" s="21">
        <v>-13</v>
      </c>
      <c r="K33" s="21">
        <v>-6</v>
      </c>
      <c r="L33" s="21">
        <f>-5-K33</f>
        <v>1</v>
      </c>
      <c r="M33" s="21">
        <f>-29-SUM(K33:L33)</f>
        <v>-24</v>
      </c>
      <c r="N33" s="77">
        <f>+AA33-SUM(K33:M33)</f>
        <v>-48</v>
      </c>
      <c r="O33" s="77">
        <v>-12</v>
      </c>
      <c r="P33" s="77">
        <f>-35-O33</f>
        <v>-23</v>
      </c>
      <c r="Q33" s="77"/>
      <c r="R33" s="77"/>
      <c r="S33" s="21"/>
      <c r="T33" s="21">
        <v>-30</v>
      </c>
      <c r="U33" s="21">
        <v>-33</v>
      </c>
      <c r="V33" s="21">
        <v>-31</v>
      </c>
      <c r="W33" s="21">
        <v>-35</v>
      </c>
      <c r="X33" s="21">
        <v>-43</v>
      </c>
      <c r="Y33" s="21">
        <v>-59</v>
      </c>
      <c r="Z33" s="21">
        <v>-60</v>
      </c>
      <c r="AA33" s="21">
        <v>-77</v>
      </c>
      <c r="AB33" s="21"/>
      <c r="AC33" s="21"/>
      <c r="AD33" s="21"/>
      <c r="AE33" s="21"/>
      <c r="AF33" s="21"/>
      <c r="AG33" s="21"/>
    </row>
    <row r="34" spans="2:33" x14ac:dyDescent="0.2">
      <c r="B34" s="3" t="s">
        <v>25</v>
      </c>
      <c r="C34" s="21">
        <f t="shared" ref="C34:J34" si="18">C31-C32+C33</f>
        <v>2195</v>
      </c>
      <c r="D34" s="21">
        <f t="shared" si="18"/>
        <v>2467</v>
      </c>
      <c r="E34" s="21">
        <f t="shared" si="18"/>
        <v>2766</v>
      </c>
      <c r="F34" s="21">
        <f t="shared" si="18"/>
        <v>2420</v>
      </c>
      <c r="G34" s="21">
        <f t="shared" si="18"/>
        <v>2370</v>
      </c>
      <c r="H34" s="21">
        <f>H31-H32+H33</f>
        <v>2670</v>
      </c>
      <c r="I34" s="21">
        <f t="shared" si="18"/>
        <v>2926</v>
      </c>
      <c r="J34" s="21">
        <f t="shared" si="18"/>
        <v>2762</v>
      </c>
      <c r="K34" s="21">
        <f t="shared" ref="K34:P34" si="19">K31-K32+K33</f>
        <v>2394</v>
      </c>
      <c r="L34" s="21">
        <f t="shared" si="19"/>
        <v>2720</v>
      </c>
      <c r="M34" s="21">
        <f t="shared" si="19"/>
        <v>3188</v>
      </c>
      <c r="N34" s="21">
        <f t="shared" si="19"/>
        <v>2965</v>
      </c>
      <c r="O34" s="21">
        <f t="shared" si="19"/>
        <v>2568</v>
      </c>
      <c r="P34" s="21">
        <f t="shared" si="19"/>
        <v>2945</v>
      </c>
      <c r="Q34" s="21"/>
      <c r="R34" s="21"/>
      <c r="S34" s="21"/>
      <c r="T34" s="21">
        <f t="shared" ref="T34:X34" si="20">T31-T32+T33</f>
        <v>5457</v>
      </c>
      <c r="U34" s="21">
        <f t="shared" si="20"/>
        <v>7599</v>
      </c>
      <c r="V34" s="21">
        <f t="shared" si="20"/>
        <v>4551</v>
      </c>
      <c r="W34" s="21">
        <f t="shared" si="20"/>
        <v>7183</v>
      </c>
      <c r="X34" s="21">
        <f t="shared" si="20"/>
        <v>8648</v>
      </c>
      <c r="Y34" s="21">
        <f>Y31-Y32+Y33</f>
        <v>9849</v>
      </c>
      <c r="Z34" s="21">
        <f>Z31-Z32+Z33</f>
        <v>10729</v>
      </c>
      <c r="AA34" s="21">
        <f>AA31-AA32+AA33</f>
        <v>11267</v>
      </c>
      <c r="AB34" s="21"/>
      <c r="AC34" s="21"/>
      <c r="AD34" s="21"/>
      <c r="AE34" s="21"/>
      <c r="AF34" s="21"/>
      <c r="AG34" s="21"/>
    </row>
    <row r="35" spans="2:33" x14ac:dyDescent="0.2">
      <c r="B35" s="3" t="s">
        <v>29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77">
        <f>+AA35-SUM(K35:M35)</f>
        <v>0</v>
      </c>
      <c r="O35" s="77">
        <v>0</v>
      </c>
      <c r="P35" s="77">
        <v>0</v>
      </c>
      <c r="Q35" s="77"/>
      <c r="R35" s="77"/>
      <c r="S35" s="21"/>
      <c r="T35" s="21">
        <v>0</v>
      </c>
      <c r="U35" s="21">
        <v>0</v>
      </c>
      <c r="V35" s="21">
        <v>0</v>
      </c>
      <c r="W35" s="21">
        <v>0</v>
      </c>
      <c r="X35" s="21">
        <v>-231</v>
      </c>
      <c r="Y35" s="21">
        <v>0</v>
      </c>
      <c r="Z35" s="21">
        <v>0</v>
      </c>
      <c r="AA35" s="21">
        <v>0</v>
      </c>
      <c r="AB35" s="21"/>
      <c r="AC35" s="21"/>
      <c r="AD35" s="21"/>
      <c r="AE35" s="21"/>
      <c r="AF35" s="21"/>
      <c r="AG35" s="21"/>
    </row>
    <row r="36" spans="2:33" x14ac:dyDescent="0.2">
      <c r="B36" s="3" t="s">
        <v>28</v>
      </c>
      <c r="C36" s="21">
        <v>712</v>
      </c>
      <c r="D36" s="21">
        <v>786</v>
      </c>
      <c r="E36" s="21">
        <v>739</v>
      </c>
      <c r="F36" s="21">
        <v>804</v>
      </c>
      <c r="G36" s="21">
        <v>734</v>
      </c>
      <c r="H36" s="21">
        <f>1499-G36</f>
        <v>765</v>
      </c>
      <c r="I36" s="21">
        <v>794</v>
      </c>
      <c r="J36" s="21">
        <v>880</v>
      </c>
      <c r="K36" s="21">
        <v>752</v>
      </c>
      <c r="L36" s="21">
        <f>1542-K36</f>
        <v>790</v>
      </c>
      <c r="M36" s="21">
        <f>2359-SUM(K36:L36)</f>
        <v>817</v>
      </c>
      <c r="N36" s="77">
        <f>+AA36-SUM(K36:M36)</f>
        <v>911</v>
      </c>
      <c r="O36" s="77">
        <v>812</v>
      </c>
      <c r="P36" s="77">
        <f>1670-O36</f>
        <v>858</v>
      </c>
      <c r="Q36" s="77"/>
      <c r="R36" s="77"/>
      <c r="S36" s="21"/>
      <c r="T36" s="21">
        <v>1100</v>
      </c>
      <c r="U36" s="21">
        <v>2826</v>
      </c>
      <c r="V36" s="21">
        <v>3045</v>
      </c>
      <c r="W36" s="21">
        <v>2901</v>
      </c>
      <c r="X36" s="21">
        <v>2899</v>
      </c>
      <c r="Y36" s="21">
        <v>3041</v>
      </c>
      <c r="Z36" s="21">
        <v>3174</v>
      </c>
      <c r="AA36" s="21">
        <v>3270</v>
      </c>
      <c r="AB36" s="21"/>
      <c r="AC36" s="21"/>
      <c r="AD36" s="21"/>
      <c r="AE36" s="21"/>
      <c r="AF36" s="21"/>
      <c r="AG36" s="21"/>
    </row>
    <row r="37" spans="2:33" x14ac:dyDescent="0.2">
      <c r="B37" s="3" t="s">
        <v>30</v>
      </c>
      <c r="C37" s="21">
        <f t="shared" ref="C37:J37" si="21">C34+C35-C36</f>
        <v>1483</v>
      </c>
      <c r="D37" s="21">
        <f t="shared" si="21"/>
        <v>1681</v>
      </c>
      <c r="E37" s="21">
        <f t="shared" si="21"/>
        <v>2027</v>
      </c>
      <c r="F37" s="21">
        <f t="shared" si="21"/>
        <v>1616</v>
      </c>
      <c r="G37" s="21">
        <f t="shared" si="21"/>
        <v>1636</v>
      </c>
      <c r="H37" s="21">
        <f t="shared" si="21"/>
        <v>1905</v>
      </c>
      <c r="I37" s="21">
        <f t="shared" si="21"/>
        <v>2132</v>
      </c>
      <c r="J37" s="21">
        <f t="shared" si="21"/>
        <v>1882</v>
      </c>
      <c r="K37" s="21">
        <f t="shared" ref="K37:P37" si="22">K34+K35-K36</f>
        <v>1642</v>
      </c>
      <c r="L37" s="21">
        <f t="shared" si="22"/>
        <v>1930</v>
      </c>
      <c r="M37" s="21">
        <f t="shared" si="22"/>
        <v>2371</v>
      </c>
      <c r="N37" s="21">
        <f t="shared" si="22"/>
        <v>2054</v>
      </c>
      <c r="O37" s="21">
        <f t="shared" si="22"/>
        <v>1756</v>
      </c>
      <c r="P37" s="21">
        <f t="shared" si="22"/>
        <v>2087</v>
      </c>
      <c r="Q37" s="21"/>
      <c r="R37" s="21"/>
      <c r="S37" s="21"/>
      <c r="T37" s="21">
        <f t="shared" ref="T37:X37" si="23">T34+T35-T36</f>
        <v>4357</v>
      </c>
      <c r="U37" s="21">
        <f t="shared" si="23"/>
        <v>4773</v>
      </c>
      <c r="V37" s="21">
        <f t="shared" si="23"/>
        <v>1506</v>
      </c>
      <c r="W37" s="21">
        <f t="shared" si="23"/>
        <v>4282</v>
      </c>
      <c r="X37" s="21">
        <f t="shared" si="23"/>
        <v>5518</v>
      </c>
      <c r="Y37" s="21">
        <f>Y34+Y35-Y36</f>
        <v>6808</v>
      </c>
      <c r="Z37" s="21">
        <f>Z34+Z35-Z36</f>
        <v>7555</v>
      </c>
      <c r="AA37" s="21">
        <f>AA34+AA35-AA36</f>
        <v>7997</v>
      </c>
      <c r="AB37" s="21"/>
      <c r="AC37" s="21"/>
      <c r="AD37" s="21"/>
      <c r="AE37" s="21"/>
      <c r="AF37" s="21"/>
      <c r="AG37" s="21"/>
    </row>
    <row r="38" spans="2:33" x14ac:dyDescent="0.2">
      <c r="B38" s="3" t="s">
        <v>31</v>
      </c>
      <c r="C38" s="21">
        <v>10</v>
      </c>
      <c r="D38" s="21">
        <v>44</v>
      </c>
      <c r="E38" s="21">
        <v>-56</v>
      </c>
      <c r="F38" s="21">
        <v>-9</v>
      </c>
      <c r="G38" s="21">
        <v>21</v>
      </c>
      <c r="H38" s="21">
        <f>12-G38</f>
        <v>-9</v>
      </c>
      <c r="I38" s="21">
        <f>14-H38-G38</f>
        <v>2</v>
      </c>
      <c r="J38" s="21">
        <v>-90</v>
      </c>
      <c r="K38" s="21">
        <v>5</v>
      </c>
      <c r="L38" s="21">
        <f>-12-K38</f>
        <v>-17</v>
      </c>
      <c r="M38" s="21">
        <f>-49-SUM(K38:L38)</f>
        <v>-37</v>
      </c>
      <c r="N38" s="77">
        <f>+AA38-SUM(K38:M38)</f>
        <v>-31</v>
      </c>
      <c r="O38" s="77">
        <v>-16</v>
      </c>
      <c r="P38" s="77">
        <f>-51-O38</f>
        <v>-35</v>
      </c>
      <c r="Q38" s="77"/>
      <c r="R38" s="77"/>
      <c r="S38" s="21"/>
      <c r="T38" s="21">
        <v>17</v>
      </c>
      <c r="U38" s="21">
        <v>-152</v>
      </c>
      <c r="V38" s="21">
        <v>-139</v>
      </c>
      <c r="W38" s="21">
        <v>-142</v>
      </c>
      <c r="X38" s="21">
        <v>-214</v>
      </c>
      <c r="Y38" s="21">
        <v>-11</v>
      </c>
      <c r="Z38" s="21">
        <v>-77</v>
      </c>
      <c r="AA38" s="21">
        <v>-80</v>
      </c>
      <c r="AB38" s="21"/>
      <c r="AC38" s="21"/>
      <c r="AD38" s="21"/>
      <c r="AE38" s="21"/>
      <c r="AF38" s="21"/>
      <c r="AG38" s="21"/>
    </row>
    <row r="39" spans="2:33" x14ac:dyDescent="0.2">
      <c r="B39" s="3" t="s">
        <v>32</v>
      </c>
      <c r="C39" s="21">
        <v>12</v>
      </c>
      <c r="D39" s="21">
        <v>22</v>
      </c>
      <c r="E39" s="21">
        <v>14</v>
      </c>
      <c r="F39" s="21">
        <v>24</v>
      </c>
      <c r="G39" s="21">
        <v>14</v>
      </c>
      <c r="H39" s="21">
        <f>45-G39</f>
        <v>31</v>
      </c>
      <c r="I39" s="21">
        <f>67-SUM(G39:H39)</f>
        <v>22</v>
      </c>
      <c r="J39" s="21">
        <v>32</v>
      </c>
      <c r="K39" s="21">
        <v>25</v>
      </c>
      <c r="L39" s="21">
        <f>42-K39</f>
        <v>17</v>
      </c>
      <c r="M39" s="21">
        <f>69-SUM(K39:L39)</f>
        <v>27</v>
      </c>
      <c r="N39" s="77">
        <f>+AA39-SUM(K39:M39)</f>
        <v>33</v>
      </c>
      <c r="O39" s="80">
        <v>23</v>
      </c>
      <c r="P39" s="77">
        <f>52-O39</f>
        <v>29</v>
      </c>
      <c r="Q39" s="77"/>
      <c r="R39" s="77"/>
      <c r="S39" s="21"/>
      <c r="T39" s="21">
        <v>54</v>
      </c>
      <c r="U39" s="21">
        <v>61</v>
      </c>
      <c r="V39" s="21">
        <v>33</v>
      </c>
      <c r="W39" s="21">
        <v>58</v>
      </c>
      <c r="X39" s="21">
        <v>53</v>
      </c>
      <c r="Y39" s="21">
        <v>72</v>
      </c>
      <c r="Z39" s="21">
        <v>99</v>
      </c>
      <c r="AA39" s="21">
        <v>102</v>
      </c>
      <c r="AB39" s="21"/>
      <c r="AC39" s="21"/>
      <c r="AD39" s="21"/>
      <c r="AE39" s="21"/>
      <c r="AF39" s="21"/>
      <c r="AG39" s="21"/>
    </row>
    <row r="40" spans="2:33" x14ac:dyDescent="0.2">
      <c r="B40" s="3" t="s">
        <v>33</v>
      </c>
      <c r="C40" s="21">
        <f t="shared" ref="C40:J40" si="24">C37+C38+C39</f>
        <v>1505</v>
      </c>
      <c r="D40" s="21">
        <f t="shared" si="24"/>
        <v>1747</v>
      </c>
      <c r="E40" s="21">
        <f t="shared" si="24"/>
        <v>1985</v>
      </c>
      <c r="F40" s="21">
        <f t="shared" si="24"/>
        <v>1631</v>
      </c>
      <c r="G40" s="21">
        <f t="shared" si="24"/>
        <v>1671</v>
      </c>
      <c r="H40" s="21">
        <f t="shared" si="24"/>
        <v>1927</v>
      </c>
      <c r="I40" s="21">
        <f t="shared" si="24"/>
        <v>2156</v>
      </c>
      <c r="J40" s="21">
        <f t="shared" si="24"/>
        <v>1824</v>
      </c>
      <c r="K40" s="21">
        <f t="shared" ref="K40:P40" si="25">K37+K38+K39</f>
        <v>1672</v>
      </c>
      <c r="L40" s="21">
        <f t="shared" si="25"/>
        <v>1930</v>
      </c>
      <c r="M40" s="21">
        <f t="shared" si="25"/>
        <v>2361</v>
      </c>
      <c r="N40" s="21">
        <f t="shared" si="25"/>
        <v>2056</v>
      </c>
      <c r="O40" s="21">
        <f t="shared" si="25"/>
        <v>1763</v>
      </c>
      <c r="P40" s="21">
        <f t="shared" si="25"/>
        <v>2081</v>
      </c>
      <c r="Q40" s="21"/>
      <c r="R40" s="21"/>
      <c r="S40" s="21"/>
      <c r="T40" s="21">
        <f t="shared" ref="T40:X40" si="26">T37+T38+T39</f>
        <v>4428</v>
      </c>
      <c r="U40" s="21">
        <f t="shared" si="26"/>
        <v>4682</v>
      </c>
      <c r="V40" s="21">
        <f t="shared" si="26"/>
        <v>1400</v>
      </c>
      <c r="W40" s="21">
        <f t="shared" si="26"/>
        <v>4198</v>
      </c>
      <c r="X40" s="21">
        <f t="shared" si="26"/>
        <v>5357</v>
      </c>
      <c r="Y40" s="21">
        <f>Y37+Y38+Y39</f>
        <v>6869</v>
      </c>
      <c r="Z40" s="21">
        <f>Z37+Z38+Z39</f>
        <v>7577</v>
      </c>
      <c r="AA40" s="21">
        <f>AA37+AA38+AA39</f>
        <v>8019</v>
      </c>
      <c r="AB40" s="21"/>
      <c r="AC40" s="21"/>
      <c r="AD40" s="21"/>
      <c r="AE40" s="21"/>
      <c r="AF40" s="21"/>
      <c r="AG40" s="21"/>
    </row>
    <row r="41" spans="2:33" x14ac:dyDescent="0.2">
      <c r="B41" s="3" t="s">
        <v>34</v>
      </c>
      <c r="C41" s="21">
        <v>333</v>
      </c>
      <c r="D41" s="21">
        <v>399</v>
      </c>
      <c r="E41" s="21">
        <v>392</v>
      </c>
      <c r="F41" s="21">
        <v>351</v>
      </c>
      <c r="G41" s="21">
        <v>373</v>
      </c>
      <c r="H41" s="21">
        <v>448</v>
      </c>
      <c r="I41" s="21">
        <v>474</v>
      </c>
      <c r="J41" s="21">
        <v>406</v>
      </c>
      <c r="K41" s="21">
        <v>366</v>
      </c>
      <c r="L41" s="21">
        <f>810-K41</f>
        <v>444</v>
      </c>
      <c r="M41" s="21">
        <f>1341-SUM(K41:L41)</f>
        <v>531</v>
      </c>
      <c r="N41" s="77">
        <f>+AA41-SUM(K41:M41)</f>
        <v>459</v>
      </c>
      <c r="O41" s="77">
        <v>388</v>
      </c>
      <c r="P41" s="77">
        <f>865-O41</f>
        <v>477</v>
      </c>
      <c r="Q41" s="77"/>
      <c r="R41" s="77"/>
      <c r="S41" s="21"/>
      <c r="T41" s="21">
        <v>980</v>
      </c>
      <c r="U41" s="21">
        <v>1034</v>
      </c>
      <c r="V41" s="21">
        <v>297</v>
      </c>
      <c r="W41" s="21">
        <v>949</v>
      </c>
      <c r="X41" s="21">
        <v>1211</v>
      </c>
      <c r="Y41" s="21">
        <v>1475</v>
      </c>
      <c r="Z41" s="21">
        <v>1700</v>
      </c>
      <c r="AA41" s="21">
        <v>1800</v>
      </c>
      <c r="AB41" s="21"/>
      <c r="AC41" s="21"/>
      <c r="AD41" s="21"/>
      <c r="AE41" s="21"/>
      <c r="AF41" s="21"/>
      <c r="AG41" s="21"/>
    </row>
    <row r="42" spans="2:33" x14ac:dyDescent="0.2">
      <c r="B42" s="3" t="s">
        <v>35</v>
      </c>
      <c r="C42" s="21">
        <f t="shared" ref="C42:J42" si="27">C40-C41</f>
        <v>1172</v>
      </c>
      <c r="D42" s="21">
        <f t="shared" si="27"/>
        <v>1348</v>
      </c>
      <c r="E42" s="21">
        <f t="shared" si="27"/>
        <v>1593</v>
      </c>
      <c r="F42" s="21">
        <f t="shared" si="27"/>
        <v>1280</v>
      </c>
      <c r="G42" s="21">
        <f t="shared" si="27"/>
        <v>1298</v>
      </c>
      <c r="H42" s="21">
        <f t="shared" si="27"/>
        <v>1479</v>
      </c>
      <c r="I42" s="21">
        <f t="shared" si="27"/>
        <v>1682</v>
      </c>
      <c r="J42" s="21">
        <f t="shared" si="27"/>
        <v>1418</v>
      </c>
      <c r="K42" s="21">
        <f t="shared" ref="K42:P42" si="28">K40-K41</f>
        <v>1306</v>
      </c>
      <c r="L42" s="21">
        <f t="shared" si="28"/>
        <v>1486</v>
      </c>
      <c r="M42" s="21">
        <f t="shared" si="28"/>
        <v>1830</v>
      </c>
      <c r="N42" s="21">
        <f t="shared" si="28"/>
        <v>1597</v>
      </c>
      <c r="O42" s="21">
        <f t="shared" si="28"/>
        <v>1375</v>
      </c>
      <c r="P42" s="21">
        <f t="shared" si="28"/>
        <v>1604</v>
      </c>
      <c r="Q42" s="21"/>
      <c r="R42" s="21"/>
      <c r="S42" s="21"/>
      <c r="T42" s="21">
        <f t="shared" ref="T42:X42" si="29">T40-T41</f>
        <v>3448</v>
      </c>
      <c r="U42" s="21">
        <f t="shared" si="29"/>
        <v>3648</v>
      </c>
      <c r="V42" s="21">
        <f t="shared" si="29"/>
        <v>1103</v>
      </c>
      <c r="W42" s="21">
        <f t="shared" si="29"/>
        <v>3249</v>
      </c>
      <c r="X42" s="21">
        <f t="shared" si="29"/>
        <v>4146</v>
      </c>
      <c r="Y42" s="21">
        <f>Y40-Y41</f>
        <v>5394</v>
      </c>
      <c r="Z42" s="21">
        <f>Z40-Z41</f>
        <v>5877</v>
      </c>
      <c r="AA42" s="21">
        <f>AA40-AA41</f>
        <v>6219</v>
      </c>
      <c r="AB42" s="28"/>
      <c r="AC42" s="21"/>
      <c r="AD42" s="21"/>
      <c r="AE42" s="21"/>
      <c r="AF42" s="21"/>
      <c r="AG42" s="21"/>
    </row>
    <row r="43" spans="2:33" x14ac:dyDescent="0.2">
      <c r="B43" s="3" t="s">
        <v>36</v>
      </c>
      <c r="C43" s="21">
        <v>4</v>
      </c>
      <c r="D43" s="21">
        <v>3</v>
      </c>
      <c r="E43" s="21">
        <v>5</v>
      </c>
      <c r="F43" s="21">
        <v>2</v>
      </c>
      <c r="G43" s="21">
        <v>5</v>
      </c>
      <c r="H43" s="21">
        <v>5</v>
      </c>
      <c r="I43" s="21">
        <v>1</v>
      </c>
      <c r="J43" s="21">
        <v>0</v>
      </c>
      <c r="K43" s="21">
        <v>0</v>
      </c>
      <c r="L43" s="21">
        <v>0</v>
      </c>
      <c r="M43" s="21">
        <v>0</v>
      </c>
      <c r="N43" s="77">
        <f>+AA43-SUM(K43:M43)</f>
        <v>0</v>
      </c>
      <c r="O43" s="77">
        <v>0</v>
      </c>
      <c r="P43" s="77">
        <v>0</v>
      </c>
      <c r="Q43" s="77"/>
      <c r="R43" s="77"/>
      <c r="S43" s="21"/>
      <c r="T43" s="21">
        <v>4</v>
      </c>
      <c r="U43" s="21">
        <v>8</v>
      </c>
      <c r="V43" s="21">
        <v>-2</v>
      </c>
      <c r="W43" s="21">
        <v>7</v>
      </c>
      <c r="X43" s="21">
        <v>17</v>
      </c>
      <c r="Y43" s="21">
        <v>14</v>
      </c>
      <c r="Z43" s="21">
        <v>11</v>
      </c>
      <c r="AA43" s="21">
        <v>0</v>
      </c>
      <c r="AB43" s="21"/>
      <c r="AC43" s="21"/>
      <c r="AD43" s="21"/>
      <c r="AE43" s="21"/>
      <c r="AF43" s="21"/>
      <c r="AG43" s="21"/>
    </row>
    <row r="44" spans="2:33" x14ac:dyDescent="0.2">
      <c r="B44" s="3" t="s">
        <v>37</v>
      </c>
      <c r="C44" s="21">
        <f t="shared" ref="C44:J44" si="30">C42-C43</f>
        <v>1168</v>
      </c>
      <c r="D44" s="21">
        <f t="shared" si="30"/>
        <v>1345</v>
      </c>
      <c r="E44" s="21">
        <f t="shared" si="30"/>
        <v>1588</v>
      </c>
      <c r="F44" s="21">
        <f t="shared" si="30"/>
        <v>1278</v>
      </c>
      <c r="G44" s="21">
        <f t="shared" si="30"/>
        <v>1293</v>
      </c>
      <c r="H44" s="21">
        <f t="shared" si="30"/>
        <v>1474</v>
      </c>
      <c r="I44" s="21">
        <f t="shared" si="30"/>
        <v>1681</v>
      </c>
      <c r="J44" s="21">
        <f t="shared" si="30"/>
        <v>1418</v>
      </c>
      <c r="K44" s="21">
        <f t="shared" ref="K44:P44" si="31">K42-K43</f>
        <v>1306</v>
      </c>
      <c r="L44" s="21">
        <f t="shared" si="31"/>
        <v>1486</v>
      </c>
      <c r="M44" s="21">
        <f t="shared" si="31"/>
        <v>1830</v>
      </c>
      <c r="N44" s="21">
        <f t="shared" si="31"/>
        <v>1597</v>
      </c>
      <c r="O44" s="21">
        <f t="shared" si="31"/>
        <v>1375</v>
      </c>
      <c r="P44" s="21">
        <f t="shared" si="31"/>
        <v>1604</v>
      </c>
      <c r="Q44" s="21"/>
      <c r="R44" s="21"/>
      <c r="S44" s="21"/>
      <c r="T44" s="21">
        <f t="shared" ref="T44:W44" si="32">T42-T43</f>
        <v>3444</v>
      </c>
      <c r="U44" s="21">
        <f t="shared" si="32"/>
        <v>3640</v>
      </c>
      <c r="V44" s="21">
        <f t="shared" si="32"/>
        <v>1105</v>
      </c>
      <c r="W44" s="21">
        <f t="shared" si="32"/>
        <v>3242</v>
      </c>
      <c r="X44" s="21">
        <f>X42-X43</f>
        <v>4129</v>
      </c>
      <c r="Y44" s="21">
        <f>Y42-Y43</f>
        <v>5380</v>
      </c>
      <c r="Z44" s="21">
        <f>Z42-Z43</f>
        <v>5866</v>
      </c>
      <c r="AA44" s="21">
        <f>AA42-AA43</f>
        <v>6219</v>
      </c>
      <c r="AB44" s="21"/>
      <c r="AC44" s="21"/>
      <c r="AD44" s="21"/>
      <c r="AE44" s="21"/>
      <c r="AF44" s="21"/>
      <c r="AG44" s="21"/>
    </row>
    <row r="45" spans="2:33" x14ac:dyDescent="0.2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2:33" x14ac:dyDescent="0.2">
      <c r="B46" s="3" t="s">
        <v>38</v>
      </c>
      <c r="C46" s="3">
        <f t="shared" ref="C46:L46" si="33">C44/C47</f>
        <v>0.37522047202407066</v>
      </c>
      <c r="D46" s="3">
        <f t="shared" si="33"/>
        <v>0.43208179355511561</v>
      </c>
      <c r="E46" s="3">
        <f t="shared" si="33"/>
        <v>0.51014564175875354</v>
      </c>
      <c r="F46" s="3">
        <f t="shared" si="33"/>
        <v>0.41055801647839235</v>
      </c>
      <c r="G46" s="3">
        <f t="shared" si="33"/>
        <v>0.41528106837439188</v>
      </c>
      <c r="H46" s="3">
        <f t="shared" si="33"/>
        <v>0.47332237715124015</v>
      </c>
      <c r="I46" s="3">
        <f t="shared" si="33"/>
        <v>0.53975871249438667</v>
      </c>
      <c r="J46" s="3">
        <f t="shared" si="33"/>
        <v>0.45095283906809808</v>
      </c>
      <c r="K46" s="3">
        <f t="shared" si="33"/>
        <v>0.41922963299327271</v>
      </c>
      <c r="L46" s="3">
        <f t="shared" si="33"/>
        <v>0.47692228260726244</v>
      </c>
      <c r="M46" s="3">
        <f t="shared" ref="M46:P46" si="34">M44/M47</f>
        <v>0.58729164123314104</v>
      </c>
      <c r="N46" s="3">
        <f t="shared" si="34"/>
        <v>0.51250099914428515</v>
      </c>
      <c r="O46" s="3">
        <f t="shared" si="34"/>
        <v>0.44125450349761663</v>
      </c>
      <c r="P46" s="3">
        <f t="shared" si="34"/>
        <v>0.5147754781125764</v>
      </c>
      <c r="T46" s="3">
        <f>T44/T47</f>
        <v>1.1060789241132536</v>
      </c>
      <c r="U46" s="3">
        <f t="shared" ref="U46:X46" si="35">U44/U47</f>
        <v>1.1687703803030633</v>
      </c>
      <c r="V46" s="3">
        <f t="shared" si="35"/>
        <v>0.35475144224142657</v>
      </c>
      <c r="W46" s="3">
        <f t="shared" si="35"/>
        <v>1.0412481436744843</v>
      </c>
      <c r="X46" s="3">
        <f t="shared" si="35"/>
        <v>1.3266053525994213</v>
      </c>
      <c r="Y46" s="3">
        <f>Y44/Y47</f>
        <v>1.7283271742204624</v>
      </c>
      <c r="Z46" s="3">
        <f>Z44/Z47</f>
        <v>1.8655073018148542</v>
      </c>
      <c r="AA46" s="3">
        <f>AA44/AA47</f>
        <v>1.9957693886526668</v>
      </c>
    </row>
    <row r="47" spans="2:33" x14ac:dyDescent="0.2">
      <c r="B47" s="3" t="s">
        <v>2</v>
      </c>
      <c r="C47" s="5">
        <v>3112.8365509999999</v>
      </c>
      <c r="D47" s="5">
        <v>3112.8365509999999</v>
      </c>
      <c r="E47" s="5">
        <v>3112.8365509999999</v>
      </c>
      <c r="F47" s="5">
        <v>3112.8365509999999</v>
      </c>
      <c r="G47" s="5">
        <v>3113.5539239999998</v>
      </c>
      <c r="H47" s="5">
        <v>3114.1565900000001</v>
      </c>
      <c r="I47" s="5">
        <v>3114.354546</v>
      </c>
      <c r="J47" s="5">
        <f>+Z47</f>
        <v>3144.4529830000001</v>
      </c>
      <c r="K47" s="5">
        <v>3115.2378010000002</v>
      </c>
      <c r="L47" s="5">
        <v>3115.8116409999998</v>
      </c>
      <c r="M47" s="5">
        <v>3115.9987160000001</v>
      </c>
      <c r="N47" s="5">
        <v>3116.0914859999998</v>
      </c>
      <c r="O47" s="5">
        <v>3116.1155050000002</v>
      </c>
      <c r="P47" s="5">
        <v>3115.9215389999999</v>
      </c>
      <c r="Q47" s="5"/>
      <c r="R47" s="5"/>
      <c r="S47" s="5"/>
      <c r="T47" s="5">
        <v>3113.701857</v>
      </c>
      <c r="U47" s="5">
        <v>3114.3841950000001</v>
      </c>
      <c r="V47" s="5">
        <v>3114.8569630000002</v>
      </c>
      <c r="W47" s="5">
        <v>3113.5709769999999</v>
      </c>
      <c r="X47" s="5">
        <v>3112.4554050000002</v>
      </c>
      <c r="Y47" s="5">
        <v>3112.8365509999999</v>
      </c>
      <c r="Z47" s="5">
        <v>3144.4529830000001</v>
      </c>
      <c r="AA47" s="5">
        <v>3116.0914859999998</v>
      </c>
    </row>
    <row r="49" spans="2:44" x14ac:dyDescent="0.2">
      <c r="B49" s="3" t="s">
        <v>16</v>
      </c>
      <c r="U49" s="29">
        <f t="shared" ref="U49:AA54" si="36">U22/T22-1</f>
        <v>8.562232950446691E-2</v>
      </c>
      <c r="V49" s="29">
        <f t="shared" si="36"/>
        <v>-0.27780617460641999</v>
      </c>
      <c r="W49" s="29">
        <f t="shared" si="36"/>
        <v>0.3862269091938566</v>
      </c>
      <c r="X49" s="29">
        <f t="shared" si="36"/>
        <v>0.21316246298376385</v>
      </c>
      <c r="Y49" s="29">
        <f t="shared" si="36"/>
        <v>9.6334329363242377E-2</v>
      </c>
      <c r="Z49" s="29">
        <f t="shared" si="36"/>
        <v>6.6333973128598789E-2</v>
      </c>
      <c r="AA49" s="29">
        <f t="shared" si="36"/>
        <v>9.827921376629023E-3</v>
      </c>
    </row>
    <row r="50" spans="2:44" x14ac:dyDescent="0.2">
      <c r="B50" s="3" t="s">
        <v>17</v>
      </c>
      <c r="U50" s="29">
        <f t="shared" si="36"/>
        <v>5.8002148227712214E-2</v>
      </c>
      <c r="V50" s="29">
        <f t="shared" si="36"/>
        <v>-0.2766497461928934</v>
      </c>
      <c r="W50" s="29">
        <f t="shared" si="36"/>
        <v>0.31649122807017549</v>
      </c>
      <c r="X50" s="29">
        <f t="shared" si="36"/>
        <v>0.14712153518123672</v>
      </c>
      <c r="Y50" s="29">
        <f t="shared" si="36"/>
        <v>9.6189591078067016E-2</v>
      </c>
      <c r="Z50" s="29">
        <f t="shared" si="36"/>
        <v>4.6629927935565973E-2</v>
      </c>
      <c r="AA50" s="29">
        <f t="shared" si="36"/>
        <v>3.1186715269339915E-2</v>
      </c>
    </row>
    <row r="51" spans="2:44" x14ac:dyDescent="0.2">
      <c r="B51" s="3" t="s">
        <v>18</v>
      </c>
      <c r="U51" s="29">
        <f t="shared" si="36"/>
        <v>5.4384017758046577E-2</v>
      </c>
      <c r="V51" s="29">
        <f t="shared" si="36"/>
        <v>-0.33105263157894738</v>
      </c>
      <c r="W51" s="29">
        <f t="shared" si="36"/>
        <v>0.30055074744295829</v>
      </c>
      <c r="X51" s="29">
        <f t="shared" si="36"/>
        <v>-3.6297640653357499E-2</v>
      </c>
      <c r="Y51" s="29">
        <f t="shared" si="36"/>
        <v>0.15442561205273075</v>
      </c>
      <c r="Z51" s="29">
        <f t="shared" si="36"/>
        <v>6.579662860250135E-2</v>
      </c>
      <c r="AA51" s="29">
        <f t="shared" si="36"/>
        <v>3.0102040816326614E-2</v>
      </c>
    </row>
    <row r="52" spans="2:44" x14ac:dyDescent="0.2">
      <c r="B52" s="3" t="s">
        <v>19</v>
      </c>
      <c r="U52" s="29">
        <f t="shared" si="36"/>
        <v>6.4285714285714279E-2</v>
      </c>
      <c r="V52" s="29">
        <f t="shared" si="36"/>
        <v>-0.25671140939597314</v>
      </c>
      <c r="W52" s="29">
        <f t="shared" si="36"/>
        <v>0.22855530474040631</v>
      </c>
      <c r="X52" s="29">
        <f t="shared" si="36"/>
        <v>9.5084979329352226E-2</v>
      </c>
      <c r="Y52" s="29">
        <f t="shared" si="36"/>
        <v>9.941275167785224E-2</v>
      </c>
      <c r="Z52" s="29">
        <f t="shared" si="36"/>
        <v>0.11789393361312483</v>
      </c>
      <c r="AA52" s="29">
        <f t="shared" si="36"/>
        <v>0.12150170648464154</v>
      </c>
    </row>
    <row r="53" spans="2:44" x14ac:dyDescent="0.2">
      <c r="B53" s="3" t="s">
        <v>20</v>
      </c>
      <c r="U53" s="29">
        <f t="shared" si="36"/>
        <v>0.14080834419817467</v>
      </c>
      <c r="V53" s="29">
        <f t="shared" si="36"/>
        <v>-0.2668571428571429</v>
      </c>
      <c r="W53" s="29">
        <f t="shared" si="36"/>
        <v>0.42166796570537812</v>
      </c>
      <c r="X53" s="29">
        <f t="shared" si="36"/>
        <v>0.12719298245614041</v>
      </c>
      <c r="Y53" s="29">
        <f t="shared" si="36"/>
        <v>0.13521400778210113</v>
      </c>
      <c r="Z53" s="29">
        <f t="shared" si="36"/>
        <v>0.1413881748071979</v>
      </c>
      <c r="AA53" s="29">
        <f t="shared" si="36"/>
        <v>0.12687687687687688</v>
      </c>
    </row>
    <row r="54" spans="2:44" x14ac:dyDescent="0.2">
      <c r="B54" s="3" t="s">
        <v>21</v>
      </c>
      <c r="U54" s="29">
        <f t="shared" si="36"/>
        <v>3.2478632478632585E-2</v>
      </c>
      <c r="V54" s="29">
        <f t="shared" si="36"/>
        <v>-0.13576158940397354</v>
      </c>
      <c r="W54" s="29">
        <f t="shared" si="36"/>
        <v>0.14942528735632177</v>
      </c>
      <c r="X54" s="29">
        <f t="shared" si="36"/>
        <v>3.833333333333333E-2</v>
      </c>
      <c r="Y54" s="29">
        <f t="shared" si="36"/>
        <v>0.1942215088282504</v>
      </c>
      <c r="Z54" s="29">
        <f t="shared" si="36"/>
        <v>0.11693548387096775</v>
      </c>
      <c r="AA54" s="29">
        <f t="shared" si="36"/>
        <v>0.15523465703971118</v>
      </c>
    </row>
    <row r="55" spans="2:44" x14ac:dyDescent="0.2">
      <c r="B55" s="27" t="s">
        <v>61</v>
      </c>
      <c r="C55" s="27"/>
      <c r="D55" s="27"/>
      <c r="E55" s="27"/>
      <c r="F55" s="27"/>
      <c r="G55" s="30">
        <f t="shared" ref="G55:M55" si="37">G29/C29-1</f>
        <v>7.0818552095651022E-2</v>
      </c>
      <c r="H55" s="30">
        <f t="shared" si="37"/>
        <v>7.3168091784825195E-2</v>
      </c>
      <c r="I55" s="30">
        <f t="shared" si="37"/>
        <v>6.839461064169905E-2</v>
      </c>
      <c r="J55" s="30">
        <f t="shared" si="37"/>
        <v>8.434900367575926E-2</v>
      </c>
      <c r="K55" s="30">
        <f t="shared" si="37"/>
        <v>1.5214723926380458E-2</v>
      </c>
      <c r="L55" s="30">
        <f t="shared" si="37"/>
        <v>1.6944024205748809E-2</v>
      </c>
      <c r="M55" s="30">
        <f t="shared" si="37"/>
        <v>4.8840440312065914E-2</v>
      </c>
      <c r="N55" s="30">
        <f t="shared" ref="N55" si="38">N29/J29-1</f>
        <v>4.3086529884032165E-2</v>
      </c>
      <c r="O55" s="30">
        <f t="shared" ref="O55" si="39">O29/K29-1</f>
        <v>5.7529610829103239E-2</v>
      </c>
      <c r="P55" s="30">
        <f t="shared" ref="P55" si="40">P29/L29-1</f>
        <v>9.144103937320236E-2</v>
      </c>
      <c r="Q55" s="30"/>
      <c r="R55" s="30"/>
      <c r="S55" s="27"/>
      <c r="T55" s="27"/>
      <c r="U55" s="30">
        <f t="shared" ref="U55:AA55" si="41">U29/T29-1</f>
        <v>8.192771084337358E-2</v>
      </c>
      <c r="V55" s="30">
        <f t="shared" si="41"/>
        <v>-0.27874995581008943</v>
      </c>
      <c r="W55" s="30">
        <f t="shared" si="41"/>
        <v>0.3584942652681109</v>
      </c>
      <c r="X55" s="30">
        <f t="shared" si="41"/>
        <v>0.17509741665463996</v>
      </c>
      <c r="Y55" s="30">
        <f t="shared" si="41"/>
        <v>0.10371825969480186</v>
      </c>
      <c r="Z55" s="30">
        <f t="shared" si="41"/>
        <v>7.4693298467187752E-2</v>
      </c>
      <c r="AA55" s="30">
        <f t="shared" si="41"/>
        <v>3.1890660592255093E-2</v>
      </c>
    </row>
    <row r="56" spans="2:44" x14ac:dyDescent="0.2">
      <c r="B56" s="3" t="s">
        <v>62</v>
      </c>
      <c r="C56" s="29">
        <f t="shared" ref="C56:J56" si="42">C31/C29</f>
        <v>0.60478255157009586</v>
      </c>
      <c r="D56" s="29">
        <f t="shared" si="42"/>
        <v>0.56250676480138539</v>
      </c>
      <c r="E56" s="29">
        <f t="shared" si="42"/>
        <v>0.61680749029458781</v>
      </c>
      <c r="F56" s="29">
        <f t="shared" si="42"/>
        <v>0.53762816792416324</v>
      </c>
      <c r="G56" s="29">
        <f t="shared" si="42"/>
        <v>0.60613496932515343</v>
      </c>
      <c r="H56" s="29">
        <f t="shared" si="42"/>
        <v>0.56490166414523446</v>
      </c>
      <c r="I56" s="29">
        <f t="shared" si="42"/>
        <v>0.61440632681414986</v>
      </c>
      <c r="J56" s="29">
        <f t="shared" si="42"/>
        <v>0.53996431757359498</v>
      </c>
      <c r="K56" s="29">
        <f t="shared" ref="K56:L56" si="43">K31/K29</f>
        <v>0.60575296108291032</v>
      </c>
      <c r="L56" s="29">
        <f t="shared" si="43"/>
        <v>0.56441535257363884</v>
      </c>
      <c r="M56" s="29">
        <f t="shared" ref="M56:P56" si="44">M31/M29</f>
        <v>0.62227430201752598</v>
      </c>
      <c r="N56" s="29">
        <f t="shared" si="44"/>
        <v>0.54836226802360388</v>
      </c>
      <c r="O56" s="29">
        <f t="shared" si="44"/>
        <v>0.61245714285714281</v>
      </c>
      <c r="P56" s="29">
        <f t="shared" si="44"/>
        <v>0.56674238982280778</v>
      </c>
      <c r="Q56" s="29"/>
      <c r="R56" s="29"/>
      <c r="T56" s="29">
        <f t="shared" ref="T56:Z56" si="45">T31/T29</f>
        <v>0.56668579078217629</v>
      </c>
      <c r="U56" s="29">
        <f t="shared" si="45"/>
        <v>0.55884328490119139</v>
      </c>
      <c r="V56" s="29">
        <f t="shared" si="45"/>
        <v>0.55822958533477107</v>
      </c>
      <c r="W56" s="29">
        <f t="shared" si="45"/>
        <v>0.57057295425025256</v>
      </c>
      <c r="X56" s="29">
        <f t="shared" si="45"/>
        <v>0.56980564340323625</v>
      </c>
      <c r="Y56" s="29">
        <f t="shared" si="45"/>
        <v>0.57754471861351431</v>
      </c>
      <c r="Z56" s="29">
        <f t="shared" si="45"/>
        <v>0.57838061710499067</v>
      </c>
      <c r="AA56" s="29">
        <f t="shared" ref="AA56" si="46">AA31/AA29</f>
        <v>0.58253060405378287</v>
      </c>
    </row>
    <row r="57" spans="2:44" x14ac:dyDescent="0.2">
      <c r="B57" s="3" t="s">
        <v>63</v>
      </c>
      <c r="C57" s="29">
        <f t="shared" ref="C57:J57" si="47">C34/C29</f>
        <v>0.28839837077913544</v>
      </c>
      <c r="D57" s="29">
        <f t="shared" si="47"/>
        <v>0.26702024028574523</v>
      </c>
      <c r="E57" s="29">
        <f t="shared" si="47"/>
        <v>0.3158255309431377</v>
      </c>
      <c r="F57" s="29">
        <f t="shared" si="47"/>
        <v>0.23408783130199265</v>
      </c>
      <c r="G57" s="29">
        <f t="shared" si="47"/>
        <v>0.29079754601226993</v>
      </c>
      <c r="H57" s="29">
        <f t="shared" si="47"/>
        <v>0.2692889561270802</v>
      </c>
      <c r="I57" s="29">
        <f t="shared" si="47"/>
        <v>0.31270706422998823</v>
      </c>
      <c r="J57" s="29">
        <f t="shared" si="47"/>
        <v>0.24638715432649419</v>
      </c>
      <c r="K57" s="29">
        <f t="shared" ref="K57:L57" si="48">K34/K29</f>
        <v>0.28934010152284262</v>
      </c>
      <c r="L57" s="29">
        <f t="shared" si="48"/>
        <v>0.26976098383417635</v>
      </c>
      <c r="M57" s="29">
        <f t="shared" ref="M57:P57" si="49">M34/M29</f>
        <v>0.32484206235989405</v>
      </c>
      <c r="N57" s="29">
        <f t="shared" si="49"/>
        <v>0.25357051227229965</v>
      </c>
      <c r="O57" s="29">
        <f t="shared" si="49"/>
        <v>0.29348571428571429</v>
      </c>
      <c r="P57" s="29">
        <f t="shared" si="49"/>
        <v>0.26760563380281688</v>
      </c>
      <c r="Q57" s="29"/>
      <c r="R57" s="29"/>
      <c r="T57" s="29">
        <f t="shared" ref="T57:Z57" si="50">T34/T29</f>
        <v>0.20872059667240389</v>
      </c>
      <c r="U57" s="29">
        <f t="shared" si="50"/>
        <v>0.26863930427404814</v>
      </c>
      <c r="V57" s="29">
        <f t="shared" si="50"/>
        <v>0.22306636604254484</v>
      </c>
      <c r="W57" s="29">
        <f t="shared" si="50"/>
        <v>0.25916438158464422</v>
      </c>
      <c r="X57" s="29">
        <f t="shared" si="50"/>
        <v>0.26552857011268383</v>
      </c>
      <c r="Y57" s="29">
        <f t="shared" si="50"/>
        <v>0.27398670264556152</v>
      </c>
      <c r="Z57" s="29">
        <f t="shared" si="50"/>
        <v>0.27772313108303998</v>
      </c>
      <c r="AA57" s="29">
        <f t="shared" ref="AA57" si="51">AA34/AA29</f>
        <v>0.28263596227172388</v>
      </c>
    </row>
    <row r="58" spans="2:44" x14ac:dyDescent="0.2">
      <c r="B58" s="3" t="s">
        <v>64</v>
      </c>
      <c r="C58" s="29">
        <f t="shared" ref="C58:J58" si="52">C37/C29</f>
        <v>0.194849559847589</v>
      </c>
      <c r="D58" s="29">
        <f t="shared" si="52"/>
        <v>0.18194609806256087</v>
      </c>
      <c r="E58" s="29">
        <f t="shared" si="52"/>
        <v>0.23144553551039049</v>
      </c>
      <c r="F58" s="29">
        <f t="shared" si="52"/>
        <v>0.1563165022248017</v>
      </c>
      <c r="G58" s="29">
        <f t="shared" si="52"/>
        <v>0.2007361963190184</v>
      </c>
      <c r="H58" s="29">
        <f t="shared" si="52"/>
        <v>0.19213313161875945</v>
      </c>
      <c r="I58" s="29">
        <f t="shared" si="52"/>
        <v>0.22785080688254783</v>
      </c>
      <c r="J58" s="29">
        <f t="shared" si="52"/>
        <v>0.16788581623550403</v>
      </c>
      <c r="K58" s="29">
        <f t="shared" ref="K58:L58" si="53">K37/K29</f>
        <v>0.1984529852550157</v>
      </c>
      <c r="L58" s="29">
        <f t="shared" si="53"/>
        <v>0.19141128632351484</v>
      </c>
      <c r="M58" s="29">
        <f t="shared" ref="M58:P58" si="54">M37/M29</f>
        <v>0.24159364173629508</v>
      </c>
      <c r="N58" s="29">
        <f t="shared" si="54"/>
        <v>0.17566065167194048</v>
      </c>
      <c r="O58" s="29">
        <f t="shared" si="54"/>
        <v>0.20068571428571427</v>
      </c>
      <c r="P58" s="29">
        <f t="shared" si="54"/>
        <v>0.18964107223989096</v>
      </c>
      <c r="Q58" s="29"/>
      <c r="R58" s="29"/>
      <c r="T58" s="29">
        <f t="shared" ref="T58:Z58" si="55">T37/T29</f>
        <v>0.16664754255115702</v>
      </c>
      <c r="U58" s="29">
        <f t="shared" si="55"/>
        <v>0.16873475448085692</v>
      </c>
      <c r="V58" s="29">
        <f t="shared" si="55"/>
        <v>7.3816292520341137E-2</v>
      </c>
      <c r="W58" s="29">
        <f t="shared" si="55"/>
        <v>0.15449559821041997</v>
      </c>
      <c r="X58" s="29">
        <f t="shared" si="55"/>
        <v>0.16942491326107648</v>
      </c>
      <c r="Y58" s="29">
        <f t="shared" si="55"/>
        <v>0.18938993518235181</v>
      </c>
      <c r="Z58" s="29">
        <f t="shared" si="55"/>
        <v>0.1955632636156554</v>
      </c>
      <c r="AA58" s="29">
        <f t="shared" ref="AA58" si="56">AA37/AA29</f>
        <v>0.20060706401766004</v>
      </c>
    </row>
    <row r="59" spans="2:44" x14ac:dyDescent="0.2">
      <c r="B59" s="3" t="s">
        <v>65</v>
      </c>
      <c r="C59" s="29">
        <f t="shared" ref="C59:J59" si="57">C42/C29</f>
        <v>0.15398764945473656</v>
      </c>
      <c r="D59" s="29">
        <f t="shared" si="57"/>
        <v>0.14590323628098278</v>
      </c>
      <c r="E59" s="29">
        <f t="shared" si="57"/>
        <v>0.18189084265814112</v>
      </c>
      <c r="F59" s="29">
        <f t="shared" si="57"/>
        <v>0.12381505126716967</v>
      </c>
      <c r="G59" s="29">
        <f t="shared" si="57"/>
        <v>0.15926380368098159</v>
      </c>
      <c r="H59" s="29">
        <f t="shared" si="57"/>
        <v>0.14916792738275339</v>
      </c>
      <c r="I59" s="29">
        <f t="shared" si="57"/>
        <v>0.17975846959495564</v>
      </c>
      <c r="J59" s="29">
        <f t="shared" si="57"/>
        <v>0.12649420160570918</v>
      </c>
      <c r="K59" s="29">
        <f t="shared" ref="K59:L59" si="58">K42/K29</f>
        <v>0.15784384819917816</v>
      </c>
      <c r="L59" s="29">
        <f t="shared" si="58"/>
        <v>0.14737677278587721</v>
      </c>
      <c r="M59" s="29">
        <f t="shared" ref="M59:P59" si="59">M42/M29</f>
        <v>0.18646831057672714</v>
      </c>
      <c r="N59" s="29">
        <f t="shared" si="59"/>
        <v>0.13657743949371418</v>
      </c>
      <c r="O59" s="29">
        <f t="shared" si="59"/>
        <v>0.15714285714285714</v>
      </c>
      <c r="P59" s="29">
        <f t="shared" si="59"/>
        <v>0.14575193094048161</v>
      </c>
      <c r="Q59" s="29"/>
      <c r="R59" s="29"/>
      <c r="T59" s="29">
        <f t="shared" ref="T59:Z59" si="60">T42/T29</f>
        <v>0.13187990055459936</v>
      </c>
      <c r="U59" s="29">
        <f t="shared" si="60"/>
        <v>0.12896383497719802</v>
      </c>
      <c r="V59" s="29">
        <f t="shared" si="60"/>
        <v>5.4063327124791685E-2</v>
      </c>
      <c r="W59" s="29">
        <f t="shared" si="60"/>
        <v>0.11722470775003609</v>
      </c>
      <c r="X59" s="29">
        <f t="shared" si="60"/>
        <v>0.12729896527372656</v>
      </c>
      <c r="Y59" s="29">
        <f t="shared" si="60"/>
        <v>0.15005424652961305</v>
      </c>
      <c r="Z59" s="29">
        <f t="shared" si="60"/>
        <v>0.15212776972458067</v>
      </c>
      <c r="AA59" s="29">
        <f t="shared" ref="AA59" si="61">AA42/AA29</f>
        <v>0.15600541842263696</v>
      </c>
    </row>
    <row r="60" spans="2:44" x14ac:dyDescent="0.2">
      <c r="B60" s="3" t="s">
        <v>109</v>
      </c>
      <c r="C60" s="29"/>
      <c r="D60" s="29"/>
      <c r="E60" s="29"/>
      <c r="F60" s="29"/>
      <c r="G60" s="29">
        <f>(G34-C34)/(G29-C29)</f>
        <v>0.32467532467532467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T60" s="29"/>
      <c r="U60" s="29">
        <f t="shared" ref="U60:AA60" si="62">(U34-T34)/(U29-T29)</f>
        <v>1</v>
      </c>
      <c r="V60" s="29">
        <f t="shared" si="62"/>
        <v>0.38655675332910588</v>
      </c>
      <c r="W60" s="29">
        <f t="shared" si="62"/>
        <v>0.35985780694558384</v>
      </c>
      <c r="X60" s="29">
        <f t="shared" si="62"/>
        <v>0.30187512878631773</v>
      </c>
      <c r="Y60" s="29">
        <f t="shared" si="62"/>
        <v>0.35553582001184131</v>
      </c>
      <c r="Z60" s="29">
        <f t="shared" si="62"/>
        <v>0.32774674115456237</v>
      </c>
      <c r="AA60" s="29">
        <f t="shared" si="62"/>
        <v>0.43668831168831168</v>
      </c>
    </row>
    <row r="61" spans="2:44" x14ac:dyDescent="0.2">
      <c r="B61" s="3" t="s">
        <v>66</v>
      </c>
      <c r="C61" s="29">
        <f t="shared" ref="C61:M61" si="63">C41/C40</f>
        <v>0.22126245847176079</v>
      </c>
      <c r="D61" s="29">
        <f t="shared" si="63"/>
        <v>0.22839152833428736</v>
      </c>
      <c r="E61" s="29">
        <f t="shared" si="63"/>
        <v>0.19748110831234256</v>
      </c>
      <c r="F61" s="29">
        <f t="shared" si="63"/>
        <v>0.21520539546290618</v>
      </c>
      <c r="G61" s="29">
        <f t="shared" si="63"/>
        <v>0.2232196289646918</v>
      </c>
      <c r="H61" s="29">
        <f t="shared" si="63"/>
        <v>0.23248572911261028</v>
      </c>
      <c r="I61" s="29">
        <f t="shared" si="63"/>
        <v>0.21985157699443414</v>
      </c>
      <c r="J61" s="29">
        <f t="shared" si="63"/>
        <v>0.22258771929824561</v>
      </c>
      <c r="K61" s="29">
        <f t="shared" si="63"/>
        <v>0.21889952153110048</v>
      </c>
      <c r="L61" s="29">
        <f t="shared" si="63"/>
        <v>0.23005181347150258</v>
      </c>
      <c r="M61" s="29">
        <f t="shared" si="63"/>
        <v>0.22490470139771285</v>
      </c>
      <c r="N61" s="29">
        <f t="shared" ref="N61:P61" si="64">N41/N40</f>
        <v>0.2232490272373541</v>
      </c>
      <c r="O61" s="29">
        <f t="shared" si="64"/>
        <v>0.22007941009642654</v>
      </c>
      <c r="P61" s="29">
        <f t="shared" si="64"/>
        <v>0.22921672272945698</v>
      </c>
      <c r="Q61" s="29"/>
      <c r="R61" s="29"/>
      <c r="T61" s="29">
        <f t="shared" ref="T61:Z61" si="65">T41/T40</f>
        <v>0.22131887985546522</v>
      </c>
      <c r="U61" s="29">
        <f t="shared" si="65"/>
        <v>0.22084579239641178</v>
      </c>
      <c r="V61" s="29">
        <f t="shared" si="65"/>
        <v>0.21214285714285713</v>
      </c>
      <c r="W61" s="29">
        <f t="shared" si="65"/>
        <v>0.22606002858504048</v>
      </c>
      <c r="X61" s="29">
        <f t="shared" si="65"/>
        <v>0.22605936158297554</v>
      </c>
      <c r="Y61" s="29">
        <f t="shared" si="65"/>
        <v>0.21473285776677828</v>
      </c>
      <c r="Z61" s="29">
        <f t="shared" si="65"/>
        <v>0.22436320443447275</v>
      </c>
      <c r="AA61" s="29">
        <f t="shared" ref="AA61" si="66">AA41/AA40</f>
        <v>0.22446689113355781</v>
      </c>
    </row>
    <row r="63" spans="2:44" x14ac:dyDescent="0.2">
      <c r="B63" s="21" t="s">
        <v>39</v>
      </c>
      <c r="C63" s="21"/>
      <c r="D63" s="21"/>
      <c r="E63" s="21"/>
      <c r="F63" s="21"/>
      <c r="G63" s="21">
        <v>4774</v>
      </c>
      <c r="H63" s="21"/>
      <c r="I63" s="21">
        <v>5065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>
        <v>0</v>
      </c>
      <c r="U63" s="21">
        <v>6043</v>
      </c>
      <c r="V63" s="21">
        <v>5477</v>
      </c>
      <c r="W63" s="21">
        <v>5224</v>
      </c>
      <c r="X63" s="21">
        <v>4910</v>
      </c>
      <c r="Y63" s="21">
        <v>5097</v>
      </c>
      <c r="Z63" s="21">
        <v>5269</v>
      </c>
      <c r="AA63" s="21">
        <v>5542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</row>
    <row r="64" spans="2:44" x14ac:dyDescent="0.2">
      <c r="B64" s="21" t="s">
        <v>40</v>
      </c>
      <c r="C64" s="21"/>
      <c r="D64" s="21"/>
      <c r="E64" s="21"/>
      <c r="F64" s="21"/>
      <c r="G64" s="21">
        <v>1483</v>
      </c>
      <c r="H64" s="21"/>
      <c r="I64" s="21">
        <v>1597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>
        <v>1016</v>
      </c>
      <c r="U64" s="21">
        <v>618</v>
      </c>
      <c r="V64" s="21">
        <v>645</v>
      </c>
      <c r="W64" s="21">
        <v>790</v>
      </c>
      <c r="X64" s="21">
        <v>1003</v>
      </c>
      <c r="Y64" s="21">
        <v>1420</v>
      </c>
      <c r="Z64" s="21">
        <v>1607</v>
      </c>
      <c r="AA64" s="21">
        <v>1840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</row>
    <row r="65" spans="2:44" x14ac:dyDescent="0.2">
      <c r="B65" s="21" t="s">
        <v>41</v>
      </c>
      <c r="C65" s="21"/>
      <c r="D65" s="21"/>
      <c r="E65" s="21"/>
      <c r="F65" s="21"/>
      <c r="G65" s="21">
        <v>8715</v>
      </c>
      <c r="H65" s="21"/>
      <c r="I65" s="21">
        <v>9477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>
        <v>8359</v>
      </c>
      <c r="U65" s="21">
        <v>8376</v>
      </c>
      <c r="V65" s="21">
        <v>7422</v>
      </c>
      <c r="W65" s="21">
        <v>7503</v>
      </c>
      <c r="X65" s="21">
        <v>7615</v>
      </c>
      <c r="Y65" s="21">
        <v>8361</v>
      </c>
      <c r="Z65" s="21">
        <v>10014</v>
      </c>
      <c r="AA65" s="21">
        <v>11142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</row>
    <row r="66" spans="2:44" x14ac:dyDescent="0.2">
      <c r="B66" s="21" t="s">
        <v>42</v>
      </c>
      <c r="C66" s="21"/>
      <c r="D66" s="21"/>
      <c r="E66" s="21"/>
      <c r="F66" s="21"/>
      <c r="G66" s="21">
        <v>413</v>
      </c>
      <c r="H66" s="21"/>
      <c r="I66" s="21">
        <v>453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>
        <v>267</v>
      </c>
      <c r="U66" s="21">
        <v>249</v>
      </c>
      <c r="V66" s="21">
        <v>261</v>
      </c>
      <c r="W66" s="21">
        <v>307</v>
      </c>
      <c r="X66" s="21">
        <v>335</v>
      </c>
      <c r="Y66" s="21">
        <v>398</v>
      </c>
      <c r="Z66" s="21">
        <v>450</v>
      </c>
      <c r="AA66" s="21">
        <v>471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</row>
    <row r="67" spans="2:44" x14ac:dyDescent="0.2">
      <c r="B67" s="21" t="s">
        <v>43</v>
      </c>
      <c r="C67" s="21"/>
      <c r="D67" s="21"/>
      <c r="E67" s="21"/>
      <c r="F67" s="21"/>
      <c r="G67" s="21">
        <v>1506</v>
      </c>
      <c r="H67" s="21"/>
      <c r="I67" s="21">
        <v>1400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>
        <v>1422</v>
      </c>
      <c r="U67" s="21">
        <v>1692</v>
      </c>
      <c r="V67" s="21">
        <v>1656</v>
      </c>
      <c r="W67" s="21">
        <v>1519</v>
      </c>
      <c r="X67" s="21">
        <v>1481</v>
      </c>
      <c r="Y67" s="21">
        <v>1443</v>
      </c>
      <c r="Z67" s="21">
        <v>1017</v>
      </c>
      <c r="AA67" s="21">
        <v>952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</row>
    <row r="68" spans="2:44" x14ac:dyDescent="0.2">
      <c r="B68" s="21" t="s">
        <v>44</v>
      </c>
      <c r="C68" s="21">
        <f t="shared" ref="C68:J68" si="67">SUM(C63:C67)</f>
        <v>0</v>
      </c>
      <c r="D68" s="21">
        <f t="shared" si="67"/>
        <v>0</v>
      </c>
      <c r="E68" s="21">
        <f t="shared" si="67"/>
        <v>0</v>
      </c>
      <c r="F68" s="21">
        <f t="shared" si="67"/>
        <v>0</v>
      </c>
      <c r="G68" s="21">
        <f t="shared" si="67"/>
        <v>16891</v>
      </c>
      <c r="H68" s="21">
        <f t="shared" si="67"/>
        <v>0</v>
      </c>
      <c r="I68" s="21">
        <f t="shared" si="67"/>
        <v>17992</v>
      </c>
      <c r="J68" s="21">
        <f t="shared" si="67"/>
        <v>0</v>
      </c>
      <c r="K68" s="21"/>
      <c r="L68" s="21"/>
      <c r="M68" s="21"/>
      <c r="N68" s="21"/>
      <c r="O68" s="21"/>
      <c r="P68" s="21"/>
      <c r="Q68" s="21"/>
      <c r="R68" s="21"/>
      <c r="S68" s="21"/>
      <c r="T68" s="21">
        <f t="shared" ref="T68:AA68" si="68">SUM(T63:T67)</f>
        <v>11064</v>
      </c>
      <c r="U68" s="21">
        <f t="shared" si="68"/>
        <v>16978</v>
      </c>
      <c r="V68" s="21">
        <f t="shared" si="68"/>
        <v>15461</v>
      </c>
      <c r="W68" s="21">
        <f t="shared" si="68"/>
        <v>15343</v>
      </c>
      <c r="X68" s="21">
        <f t="shared" si="68"/>
        <v>15344</v>
      </c>
      <c r="Y68" s="21">
        <f t="shared" si="68"/>
        <v>16719</v>
      </c>
      <c r="Z68" s="21">
        <f t="shared" si="68"/>
        <v>18357</v>
      </c>
      <c r="AA68" s="21">
        <f t="shared" si="68"/>
        <v>19947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</row>
    <row r="69" spans="2:44" x14ac:dyDescent="0.2">
      <c r="B69" s="21" t="s">
        <v>45</v>
      </c>
      <c r="C69" s="21"/>
      <c r="D69" s="21"/>
      <c r="E69" s="21"/>
      <c r="F69" s="21"/>
      <c r="G69" s="21">
        <v>3566</v>
      </c>
      <c r="H69" s="21"/>
      <c r="I69" s="21">
        <v>4290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>
        <v>2716</v>
      </c>
      <c r="U69" s="21">
        <v>2269</v>
      </c>
      <c r="V69" s="21">
        <v>2321</v>
      </c>
      <c r="W69" s="21">
        <v>3042</v>
      </c>
      <c r="X69" s="21">
        <v>3191</v>
      </c>
      <c r="Y69" s="21">
        <v>2966</v>
      </c>
      <c r="Z69" s="21">
        <v>3321</v>
      </c>
      <c r="AA69" s="21">
        <v>3249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</row>
    <row r="70" spans="2:44" x14ac:dyDescent="0.2">
      <c r="B70" s="21" t="s">
        <v>46</v>
      </c>
      <c r="C70" s="21"/>
      <c r="D70" s="21"/>
      <c r="E70" s="21"/>
      <c r="F70" s="21"/>
      <c r="G70" s="21">
        <v>1131</v>
      </c>
      <c r="H70" s="21"/>
      <c r="I70" s="21">
        <v>1159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>
        <v>820</v>
      </c>
      <c r="U70" s="21">
        <v>780</v>
      </c>
      <c r="V70" s="21">
        <v>715</v>
      </c>
      <c r="W70" s="21">
        <v>842</v>
      </c>
      <c r="X70" s="21">
        <v>851</v>
      </c>
      <c r="Y70" s="21">
        <v>1038</v>
      </c>
      <c r="Z70" s="21">
        <v>1088</v>
      </c>
      <c r="AA70" s="21">
        <v>1166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</row>
    <row r="71" spans="2:44" x14ac:dyDescent="0.2">
      <c r="B71" s="21" t="s">
        <v>47</v>
      </c>
      <c r="C71" s="21"/>
      <c r="D71" s="21"/>
      <c r="E71" s="21"/>
      <c r="F71" s="21"/>
      <c r="G71" s="21">
        <v>3978</v>
      </c>
      <c r="H71" s="21"/>
      <c r="I71" s="21">
        <v>3569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>
        <v>1929</v>
      </c>
      <c r="U71" s="21">
        <v>3319</v>
      </c>
      <c r="V71" s="21">
        <v>176</v>
      </c>
      <c r="W71" s="21">
        <v>2374</v>
      </c>
      <c r="X71" s="21">
        <v>4522</v>
      </c>
      <c r="Y71" s="21">
        <v>4415</v>
      </c>
      <c r="Z71" s="21">
        <v>5120</v>
      </c>
      <c r="AA71" s="21">
        <v>5684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</row>
    <row r="72" spans="2:44" x14ac:dyDescent="0.2">
      <c r="B72" s="21" t="s">
        <v>48</v>
      </c>
      <c r="C72" s="21"/>
      <c r="D72" s="21"/>
      <c r="E72" s="21"/>
      <c r="F72" s="21"/>
      <c r="G72" s="21">
        <v>7668</v>
      </c>
      <c r="H72" s="21"/>
      <c r="I72" s="21">
        <v>8268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>
        <v>4866</v>
      </c>
      <c r="U72" s="21">
        <v>4780</v>
      </c>
      <c r="V72" s="21">
        <v>7398</v>
      </c>
      <c r="W72" s="21">
        <v>7021</v>
      </c>
      <c r="X72" s="21">
        <v>5561</v>
      </c>
      <c r="Y72" s="21">
        <v>7007</v>
      </c>
      <c r="Z72" s="21">
        <v>6382</v>
      </c>
      <c r="AA72" s="21">
        <v>5276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</row>
    <row r="73" spans="2:44" x14ac:dyDescent="0.2">
      <c r="B73" s="21" t="s">
        <v>43</v>
      </c>
      <c r="C73" s="21"/>
      <c r="D73" s="21"/>
      <c r="E73" s="21"/>
      <c r="F73" s="21"/>
      <c r="G73" s="21">
        <v>736</v>
      </c>
      <c r="H73" s="21"/>
      <c r="I73" s="21">
        <v>813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>
        <v>289</v>
      </c>
      <c r="U73" s="21">
        <v>265</v>
      </c>
      <c r="V73" s="21">
        <v>347</v>
      </c>
      <c r="W73" s="21">
        <v>323</v>
      </c>
      <c r="X73" s="21">
        <v>515</v>
      </c>
      <c r="Y73" s="21">
        <v>590</v>
      </c>
      <c r="Z73" s="21">
        <v>445</v>
      </c>
      <c r="AA73" s="21">
        <v>316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</row>
    <row r="74" spans="2:44" x14ac:dyDescent="0.2">
      <c r="B74" s="21" t="s">
        <v>50</v>
      </c>
      <c r="C74" s="21">
        <f t="shared" ref="C74:J74" si="69">SUM(C69:C73)</f>
        <v>0</v>
      </c>
      <c r="D74" s="21">
        <f t="shared" si="69"/>
        <v>0</v>
      </c>
      <c r="E74" s="21">
        <f t="shared" si="69"/>
        <v>0</v>
      </c>
      <c r="F74" s="21">
        <f t="shared" si="69"/>
        <v>0</v>
      </c>
      <c r="G74" s="21">
        <f t="shared" si="69"/>
        <v>17079</v>
      </c>
      <c r="H74" s="21">
        <f t="shared" si="69"/>
        <v>0</v>
      </c>
      <c r="I74" s="21">
        <f t="shared" si="69"/>
        <v>18099</v>
      </c>
      <c r="J74" s="21">
        <f t="shared" si="69"/>
        <v>0</v>
      </c>
      <c r="K74" s="21"/>
      <c r="L74" s="21"/>
      <c r="M74" s="21"/>
      <c r="N74" s="21"/>
      <c r="O74" s="21"/>
      <c r="P74" s="21"/>
      <c r="Q74" s="21"/>
      <c r="R74" s="21"/>
      <c r="S74" s="21"/>
      <c r="T74" s="21">
        <f t="shared" ref="T74:X74" si="70">SUM(T69:T73)</f>
        <v>10620</v>
      </c>
      <c r="U74" s="21">
        <f t="shared" si="70"/>
        <v>11413</v>
      </c>
      <c r="V74" s="21">
        <f t="shared" si="70"/>
        <v>10957</v>
      </c>
      <c r="W74" s="21">
        <f t="shared" si="70"/>
        <v>13602</v>
      </c>
      <c r="X74" s="21">
        <f t="shared" si="70"/>
        <v>14640</v>
      </c>
      <c r="Y74" s="21">
        <f>SUM(Y69:Y73)</f>
        <v>16016</v>
      </c>
      <c r="Z74" s="21">
        <f>SUM(Z69:Z73)</f>
        <v>16356</v>
      </c>
      <c r="AA74" s="21">
        <f>SUM(AA69:AA73)</f>
        <v>15691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</row>
    <row r="75" spans="2:44" x14ac:dyDescent="0.2">
      <c r="B75" s="28" t="s">
        <v>49</v>
      </c>
      <c r="C75" s="28">
        <f t="shared" ref="C75:J75" si="71">C68+C74</f>
        <v>0</v>
      </c>
      <c r="D75" s="28">
        <f t="shared" si="71"/>
        <v>0</v>
      </c>
      <c r="E75" s="28">
        <f t="shared" si="71"/>
        <v>0</v>
      </c>
      <c r="F75" s="28">
        <f t="shared" si="71"/>
        <v>0</v>
      </c>
      <c r="G75" s="28">
        <f t="shared" si="71"/>
        <v>33970</v>
      </c>
      <c r="H75" s="28">
        <f t="shared" si="71"/>
        <v>0</v>
      </c>
      <c r="I75" s="28">
        <f t="shared" si="71"/>
        <v>36091</v>
      </c>
      <c r="J75" s="28">
        <f t="shared" si="71"/>
        <v>0</v>
      </c>
      <c r="K75" s="28"/>
      <c r="L75" s="28"/>
      <c r="M75" s="28"/>
      <c r="N75" s="28"/>
      <c r="O75" s="28"/>
      <c r="P75" s="28"/>
      <c r="Q75" s="28"/>
      <c r="R75" s="28"/>
      <c r="S75" s="28"/>
      <c r="T75" s="28">
        <f t="shared" ref="T75:AA75" si="72">T68+T74</f>
        <v>21684</v>
      </c>
      <c r="U75" s="28">
        <f t="shared" si="72"/>
        <v>28391</v>
      </c>
      <c r="V75" s="28">
        <f t="shared" si="72"/>
        <v>26418</v>
      </c>
      <c r="W75" s="28">
        <f t="shared" si="72"/>
        <v>28945</v>
      </c>
      <c r="X75" s="28">
        <f t="shared" si="72"/>
        <v>29984</v>
      </c>
      <c r="Y75" s="28">
        <f t="shared" si="72"/>
        <v>32735</v>
      </c>
      <c r="Z75" s="28">
        <f t="shared" si="72"/>
        <v>34713</v>
      </c>
      <c r="AA75" s="28">
        <f t="shared" si="72"/>
        <v>35638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</row>
    <row r="76" spans="2:44" x14ac:dyDescent="0.2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</row>
    <row r="77" spans="2:44" x14ac:dyDescent="0.2">
      <c r="B77" s="21" t="s">
        <v>51</v>
      </c>
      <c r="C77" s="21"/>
      <c r="D77" s="21"/>
      <c r="E77" s="21"/>
      <c r="F77" s="21"/>
      <c r="G77" s="21">
        <v>17519</v>
      </c>
      <c r="H77" s="21"/>
      <c r="I77" s="21">
        <v>18140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>
        <v>14653</v>
      </c>
      <c r="U77" s="21">
        <v>14913</v>
      </c>
      <c r="V77" s="21">
        <v>14520</v>
      </c>
      <c r="W77" s="21">
        <v>15733</v>
      </c>
      <c r="X77" s="21">
        <v>17008</v>
      </c>
      <c r="Y77" s="21">
        <v>18642</v>
      </c>
      <c r="Z77" s="21">
        <v>19676</v>
      </c>
      <c r="AA77" s="21">
        <v>20395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</row>
    <row r="78" spans="2:44" x14ac:dyDescent="0.2">
      <c r="B78" s="21" t="s">
        <v>52</v>
      </c>
      <c r="C78" s="21"/>
      <c r="D78" s="21"/>
      <c r="E78" s="21"/>
      <c r="F78" s="21"/>
      <c r="G78" s="21">
        <v>35</v>
      </c>
      <c r="H78" s="21"/>
      <c r="I78" s="21">
        <v>0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>
        <v>30</v>
      </c>
      <c r="U78" s="21">
        <v>36</v>
      </c>
      <c r="V78" s="21">
        <v>30</v>
      </c>
      <c r="W78" s="21">
        <v>26</v>
      </c>
      <c r="X78" s="21">
        <v>25</v>
      </c>
      <c r="Y78" s="21">
        <v>30</v>
      </c>
      <c r="Z78" s="21">
        <v>0</v>
      </c>
      <c r="AA78" s="21">
        <v>0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</row>
    <row r="79" spans="2:44" x14ac:dyDescent="0.2">
      <c r="B79" s="28" t="s">
        <v>53</v>
      </c>
      <c r="C79" s="28">
        <f t="shared" ref="C79:J79" si="73">C77+C78</f>
        <v>0</v>
      </c>
      <c r="D79" s="28">
        <f t="shared" si="73"/>
        <v>0</v>
      </c>
      <c r="E79" s="28">
        <f t="shared" si="73"/>
        <v>0</v>
      </c>
      <c r="F79" s="28">
        <f t="shared" si="73"/>
        <v>0</v>
      </c>
      <c r="G79" s="28">
        <f t="shared" si="73"/>
        <v>17554</v>
      </c>
      <c r="H79" s="28">
        <f t="shared" si="73"/>
        <v>0</v>
      </c>
      <c r="I79" s="28">
        <f t="shared" si="73"/>
        <v>18140</v>
      </c>
      <c r="J79" s="28">
        <f t="shared" si="73"/>
        <v>0</v>
      </c>
      <c r="K79" s="28"/>
      <c r="L79" s="28"/>
      <c r="M79" s="28"/>
      <c r="N79" s="28"/>
      <c r="O79" s="28"/>
      <c r="P79" s="28"/>
      <c r="Q79" s="28"/>
      <c r="R79" s="28"/>
      <c r="S79" s="28"/>
      <c r="T79" s="28">
        <f t="shared" ref="T79:X79" si="74">T77+T78</f>
        <v>14683</v>
      </c>
      <c r="U79" s="28">
        <f t="shared" si="74"/>
        <v>14949</v>
      </c>
      <c r="V79" s="28">
        <f t="shared" si="74"/>
        <v>14550</v>
      </c>
      <c r="W79" s="28">
        <f t="shared" si="74"/>
        <v>15759</v>
      </c>
      <c r="X79" s="28">
        <f t="shared" si="74"/>
        <v>17033</v>
      </c>
      <c r="Y79" s="28">
        <f>Y77+Y78</f>
        <v>18672</v>
      </c>
      <c r="Z79" s="28">
        <f>Z77+Z78</f>
        <v>19676</v>
      </c>
      <c r="AA79" s="28">
        <f>AA77+AA78</f>
        <v>20395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</row>
    <row r="80" spans="2:44" x14ac:dyDescent="0.2">
      <c r="B80" s="21" t="s">
        <v>54</v>
      </c>
      <c r="C80" s="21"/>
      <c r="D80" s="21"/>
      <c r="E80" s="21"/>
      <c r="F80" s="21"/>
      <c r="G80" s="21">
        <v>444</v>
      </c>
      <c r="H80" s="21"/>
      <c r="I80" s="21">
        <v>391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>
        <v>312</v>
      </c>
      <c r="U80" s="21">
        <v>370</v>
      </c>
      <c r="V80" s="21">
        <v>396</v>
      </c>
      <c r="W80" s="21">
        <v>359</v>
      </c>
      <c r="X80" s="21">
        <v>384</v>
      </c>
      <c r="Y80" s="21">
        <v>394</v>
      </c>
      <c r="Z80" s="21">
        <v>72</v>
      </c>
      <c r="AA80" s="21">
        <v>101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</row>
    <row r="81" spans="2:46" x14ac:dyDescent="0.2">
      <c r="B81" s="21" t="s">
        <v>55</v>
      </c>
      <c r="C81" s="21"/>
      <c r="D81" s="21"/>
      <c r="E81" s="21"/>
      <c r="F81" s="21"/>
      <c r="G81" s="21">
        <v>0</v>
      </c>
      <c r="H81" s="21"/>
      <c r="I81" s="21">
        <v>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>
        <v>5</v>
      </c>
      <c r="U81" s="21">
        <v>6</v>
      </c>
      <c r="V81" s="21">
        <v>3</v>
      </c>
      <c r="W81" s="21">
        <v>1</v>
      </c>
      <c r="X81" s="21">
        <v>0</v>
      </c>
      <c r="Y81" s="21">
        <v>0</v>
      </c>
      <c r="Z81" s="21">
        <v>0</v>
      </c>
      <c r="AA81" s="21">
        <v>0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</row>
    <row r="82" spans="2:46" x14ac:dyDescent="0.2">
      <c r="B82" s="21" t="s">
        <v>56</v>
      </c>
      <c r="C82" s="21"/>
      <c r="D82" s="21"/>
      <c r="E82" s="21"/>
      <c r="F82" s="21"/>
      <c r="G82" s="21">
        <v>3790</v>
      </c>
      <c r="H82" s="21"/>
      <c r="I82" s="21">
        <v>4010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>
        <v>0</v>
      </c>
      <c r="U82" s="21">
        <v>5163</v>
      </c>
      <c r="V82" s="21">
        <v>4599</v>
      </c>
      <c r="W82" s="21">
        <v>4262</v>
      </c>
      <c r="X82" s="21">
        <v>3924</v>
      </c>
      <c r="Y82" s="21">
        <v>4123</v>
      </c>
      <c r="Z82" s="21">
        <v>4180</v>
      </c>
      <c r="AA82" s="21">
        <v>4394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</row>
    <row r="83" spans="2:46" x14ac:dyDescent="0.2">
      <c r="B83" s="21" t="s">
        <v>43</v>
      </c>
      <c r="C83" s="21"/>
      <c r="D83" s="21"/>
      <c r="E83" s="21"/>
      <c r="F83" s="21"/>
      <c r="G83" s="21">
        <v>570</v>
      </c>
      <c r="H83" s="21"/>
      <c r="I83" s="21">
        <v>598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>
        <v>1301</v>
      </c>
      <c r="U83" s="21">
        <v>597</v>
      </c>
      <c r="V83" s="21">
        <v>532</v>
      </c>
      <c r="W83" s="21">
        <v>536</v>
      </c>
      <c r="X83" s="21">
        <v>505</v>
      </c>
      <c r="Y83" s="21">
        <v>610</v>
      </c>
      <c r="Z83" s="21">
        <v>599</v>
      </c>
      <c r="AA83" s="21">
        <v>576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</row>
    <row r="84" spans="2:46" x14ac:dyDescent="0.2">
      <c r="B84" s="21" t="s">
        <v>57</v>
      </c>
      <c r="C84" s="21">
        <f t="shared" ref="C84:J84" si="75">SUM(C80:C83)</f>
        <v>0</v>
      </c>
      <c r="D84" s="21">
        <f t="shared" si="75"/>
        <v>0</v>
      </c>
      <c r="E84" s="21">
        <f t="shared" si="75"/>
        <v>0</v>
      </c>
      <c r="F84" s="21">
        <f t="shared" si="75"/>
        <v>0</v>
      </c>
      <c r="G84" s="21">
        <f t="shared" si="75"/>
        <v>4804</v>
      </c>
      <c r="H84" s="21">
        <f t="shared" si="75"/>
        <v>0</v>
      </c>
      <c r="I84" s="21">
        <f t="shared" si="75"/>
        <v>4999</v>
      </c>
      <c r="J84" s="21">
        <f t="shared" si="75"/>
        <v>0</v>
      </c>
      <c r="K84" s="21"/>
      <c r="L84" s="21"/>
      <c r="M84" s="21"/>
      <c r="N84" s="21"/>
      <c r="O84" s="21"/>
      <c r="P84" s="21"/>
      <c r="Q84" s="21"/>
      <c r="R84" s="21"/>
      <c r="S84" s="21"/>
      <c r="T84" s="21">
        <f t="shared" ref="T84:X84" si="76">SUM(T80:T83)</f>
        <v>1618</v>
      </c>
      <c r="U84" s="21">
        <f t="shared" si="76"/>
        <v>6136</v>
      </c>
      <c r="V84" s="21">
        <f t="shared" si="76"/>
        <v>5530</v>
      </c>
      <c r="W84" s="21">
        <f t="shared" si="76"/>
        <v>5158</v>
      </c>
      <c r="X84" s="21">
        <f t="shared" si="76"/>
        <v>4813</v>
      </c>
      <c r="Y84" s="21">
        <f>SUM(Y80:Y83)</f>
        <v>5127</v>
      </c>
      <c r="Z84" s="21">
        <f>SUM(Z80:Z83)</f>
        <v>4851</v>
      </c>
      <c r="AA84" s="21">
        <f>SUM(AA80:AA83)</f>
        <v>5071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</row>
    <row r="85" spans="2:46" x14ac:dyDescent="0.2">
      <c r="B85" s="21" t="s">
        <v>55</v>
      </c>
      <c r="C85" s="21"/>
      <c r="D85" s="21"/>
      <c r="E85" s="21"/>
      <c r="F85" s="21"/>
      <c r="G85" s="21">
        <v>22</v>
      </c>
      <c r="H85" s="21"/>
      <c r="I85" s="21">
        <v>13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>
        <v>84</v>
      </c>
      <c r="U85" s="21">
        <v>32</v>
      </c>
      <c r="V85" s="21">
        <v>11</v>
      </c>
      <c r="W85" s="21">
        <v>35</v>
      </c>
      <c r="X85" s="21">
        <v>13</v>
      </c>
      <c r="Y85" s="21">
        <v>16</v>
      </c>
      <c r="Z85" s="21">
        <v>7</v>
      </c>
      <c r="AA85" s="21">
        <v>2</v>
      </c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</row>
    <row r="86" spans="2:46" x14ac:dyDescent="0.2">
      <c r="B86" s="21" t="s">
        <v>56</v>
      </c>
      <c r="C86" s="21"/>
      <c r="D86" s="21"/>
      <c r="E86" s="21"/>
      <c r="F86" s="21"/>
      <c r="G86" s="21">
        <v>1443</v>
      </c>
      <c r="H86" s="21"/>
      <c r="I86" s="21">
        <v>1499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>
        <v>0</v>
      </c>
      <c r="U86" s="21">
        <v>1649</v>
      </c>
      <c r="V86" s="21">
        <v>1552</v>
      </c>
      <c r="W86" s="21">
        <v>1562</v>
      </c>
      <c r="X86" s="21">
        <v>1517</v>
      </c>
      <c r="Y86" s="21">
        <v>1428</v>
      </c>
      <c r="Z86" s="21">
        <v>1542</v>
      </c>
      <c r="AA86" s="21">
        <v>1539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</row>
    <row r="87" spans="2:46" x14ac:dyDescent="0.2">
      <c r="B87" s="21" t="s">
        <v>58</v>
      </c>
      <c r="C87" s="21"/>
      <c r="D87" s="21"/>
      <c r="E87" s="21"/>
      <c r="F87" s="21"/>
      <c r="G87" s="21">
        <v>10126</v>
      </c>
      <c r="H87" s="21"/>
      <c r="I87" s="21">
        <v>11392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>
        <v>5251</v>
      </c>
      <c r="U87" s="21">
        <v>5585</v>
      </c>
      <c r="V87" s="21">
        <v>4747</v>
      </c>
      <c r="W87" s="21">
        <v>6411</v>
      </c>
      <c r="X87" s="21">
        <v>6561</v>
      </c>
      <c r="Y87" s="21">
        <v>7467</v>
      </c>
      <c r="Z87" s="21">
        <v>8590</v>
      </c>
      <c r="AA87" s="21">
        <v>8587</v>
      </c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</row>
    <row r="88" spans="2:46" x14ac:dyDescent="0.2">
      <c r="B88" s="21" t="s">
        <v>43</v>
      </c>
      <c r="C88" s="21"/>
      <c r="D88" s="21"/>
      <c r="E88" s="21"/>
      <c r="F88" s="21"/>
      <c r="G88" s="21">
        <v>21</v>
      </c>
      <c r="H88" s="21"/>
      <c r="I88" s="21">
        <v>48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>
        <v>47</v>
      </c>
      <c r="U88" s="21">
        <v>40</v>
      </c>
      <c r="V88" s="21">
        <v>27</v>
      </c>
      <c r="W88" s="21">
        <v>22</v>
      </c>
      <c r="X88" s="21">
        <v>46</v>
      </c>
      <c r="Y88" s="21">
        <v>26</v>
      </c>
      <c r="Z88" s="21">
        <v>48</v>
      </c>
      <c r="AA88" s="21">
        <v>43</v>
      </c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</row>
    <row r="89" spans="2:46" x14ac:dyDescent="0.2">
      <c r="B89" s="21" t="s">
        <v>59</v>
      </c>
      <c r="C89" s="21">
        <f t="shared" ref="C89:J89" si="77">SUM(C85:C88)</f>
        <v>0</v>
      </c>
      <c r="D89" s="21">
        <f t="shared" si="77"/>
        <v>0</v>
      </c>
      <c r="E89" s="21">
        <f t="shared" si="77"/>
        <v>0</v>
      </c>
      <c r="F89" s="21">
        <f t="shared" si="77"/>
        <v>0</v>
      </c>
      <c r="G89" s="21">
        <f t="shared" si="77"/>
        <v>11612</v>
      </c>
      <c r="H89" s="21">
        <f t="shared" si="77"/>
        <v>0</v>
      </c>
      <c r="I89" s="21">
        <f t="shared" si="77"/>
        <v>12952</v>
      </c>
      <c r="J89" s="21">
        <f t="shared" si="77"/>
        <v>0</v>
      </c>
      <c r="K89" s="21"/>
      <c r="L89" s="21"/>
      <c r="M89" s="21"/>
      <c r="N89" s="21"/>
      <c r="O89" s="21"/>
      <c r="P89" s="21"/>
      <c r="Q89" s="21"/>
      <c r="R89" s="21"/>
      <c r="S89" s="21"/>
      <c r="T89" s="21">
        <f t="shared" ref="T89:X89" si="78">SUM(T85:T88)</f>
        <v>5382</v>
      </c>
      <c r="U89" s="21">
        <f t="shared" si="78"/>
        <v>7306</v>
      </c>
      <c r="V89" s="21">
        <f t="shared" si="78"/>
        <v>6337</v>
      </c>
      <c r="W89" s="21">
        <f t="shared" si="78"/>
        <v>8030</v>
      </c>
      <c r="X89" s="21">
        <f t="shared" si="78"/>
        <v>8137</v>
      </c>
      <c r="Y89" s="21">
        <f>SUM(Y85:Y88)</f>
        <v>8937</v>
      </c>
      <c r="Z89" s="21">
        <f>SUM(Z85:Z88)</f>
        <v>10187</v>
      </c>
      <c r="AA89" s="21">
        <f>SUM(AA85:AA88)</f>
        <v>10171</v>
      </c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</row>
    <row r="90" spans="2:46" x14ac:dyDescent="0.2">
      <c r="B90" s="28" t="s">
        <v>60</v>
      </c>
      <c r="C90" s="28">
        <f t="shared" ref="C90:J90" si="79">C79+C84+C89</f>
        <v>0</v>
      </c>
      <c r="D90" s="28">
        <f t="shared" si="79"/>
        <v>0</v>
      </c>
      <c r="E90" s="28">
        <f t="shared" si="79"/>
        <v>0</v>
      </c>
      <c r="F90" s="28">
        <f t="shared" si="79"/>
        <v>0</v>
      </c>
      <c r="G90" s="28">
        <f t="shared" si="79"/>
        <v>33970</v>
      </c>
      <c r="H90" s="28">
        <f t="shared" si="79"/>
        <v>0</v>
      </c>
      <c r="I90" s="28">
        <f t="shared" si="79"/>
        <v>36091</v>
      </c>
      <c r="J90" s="28">
        <f t="shared" si="79"/>
        <v>0</v>
      </c>
      <c r="K90" s="28"/>
      <c r="L90" s="28"/>
      <c r="M90" s="28"/>
      <c r="N90" s="28"/>
      <c r="O90" s="28"/>
      <c r="P90" s="28"/>
      <c r="Q90" s="28"/>
      <c r="R90" s="28"/>
      <c r="S90" s="28"/>
      <c r="T90" s="28">
        <f t="shared" ref="T90:AA90" si="80">T79+T84+T89</f>
        <v>21683</v>
      </c>
      <c r="U90" s="28">
        <f t="shared" si="80"/>
        <v>28391</v>
      </c>
      <c r="V90" s="28">
        <f t="shared" si="80"/>
        <v>26417</v>
      </c>
      <c r="W90" s="28">
        <f t="shared" si="80"/>
        <v>28947</v>
      </c>
      <c r="X90" s="28">
        <f t="shared" si="80"/>
        <v>29983</v>
      </c>
      <c r="Y90" s="28">
        <f t="shared" si="80"/>
        <v>32736</v>
      </c>
      <c r="Z90" s="28">
        <f t="shared" si="80"/>
        <v>34714</v>
      </c>
      <c r="AA90" s="28">
        <f t="shared" si="80"/>
        <v>35637</v>
      </c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</row>
    <row r="91" spans="2:46" x14ac:dyDescent="0.2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</row>
    <row r="92" spans="2:46" x14ac:dyDescent="0.2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</row>
    <row r="93" spans="2:46" x14ac:dyDescent="0.2">
      <c r="B93" s="21" t="s">
        <v>33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>
        <f t="shared" ref="T93:Z93" si="81">T40</f>
        <v>4428</v>
      </c>
      <c r="U93" s="21">
        <f t="shared" si="81"/>
        <v>4682</v>
      </c>
      <c r="V93" s="21">
        <f t="shared" si="81"/>
        <v>1400</v>
      </c>
      <c r="W93" s="21">
        <f t="shared" si="81"/>
        <v>4198</v>
      </c>
      <c r="X93" s="21">
        <f t="shared" si="81"/>
        <v>5357</v>
      </c>
      <c r="Y93" s="21">
        <f t="shared" si="81"/>
        <v>6869</v>
      </c>
      <c r="Z93" s="21">
        <f t="shared" si="81"/>
        <v>7577</v>
      </c>
      <c r="AA93" s="21">
        <v>8020</v>
      </c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</row>
    <row r="94" spans="2:46" x14ac:dyDescent="0.2">
      <c r="B94" s="21" t="s">
        <v>28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>
        <v>1100</v>
      </c>
      <c r="U94" s="21">
        <v>2826</v>
      </c>
      <c r="V94" s="21">
        <v>3045</v>
      </c>
      <c r="W94" s="21">
        <v>2901</v>
      </c>
      <c r="X94" s="21">
        <v>2899</v>
      </c>
      <c r="Y94" s="21">
        <v>3041</v>
      </c>
      <c r="Z94" s="21">
        <v>3174</v>
      </c>
      <c r="AA94" s="21">
        <v>3270</v>
      </c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</row>
    <row r="95" spans="2:46" x14ac:dyDescent="0.2">
      <c r="B95" s="21" t="s">
        <v>67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>
        <v>0</v>
      </c>
      <c r="U95" s="21">
        <v>142</v>
      </c>
      <c r="V95" s="21">
        <v>120</v>
      </c>
      <c r="W95" s="21">
        <v>92</v>
      </c>
      <c r="X95" s="21">
        <v>116</v>
      </c>
      <c r="Y95" s="21">
        <v>196</v>
      </c>
      <c r="Z95" s="21">
        <v>223</v>
      </c>
      <c r="AA95" s="21">
        <v>215</v>
      </c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</row>
    <row r="96" spans="2:46" x14ac:dyDescent="0.2">
      <c r="B96" s="21" t="s">
        <v>43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>
        <f>-48-33</f>
        <v>-81</v>
      </c>
      <c r="U96" s="21">
        <f>272-19</f>
        <v>253</v>
      </c>
      <c r="V96" s="21">
        <v>-250</v>
      </c>
      <c r="W96" s="21">
        <v>74</v>
      </c>
      <c r="X96" s="21">
        <v>146</v>
      </c>
      <c r="Y96" s="21">
        <v>76</v>
      </c>
      <c r="Z96" s="21">
        <v>51</v>
      </c>
      <c r="AA96" s="21">
        <v>114</v>
      </c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</row>
    <row r="97" spans="2:46" x14ac:dyDescent="0.2">
      <c r="B97" s="21" t="s">
        <v>34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>
        <v>-1070</v>
      </c>
      <c r="U97" s="21">
        <v>-1207</v>
      </c>
      <c r="V97" s="21">
        <v>-452</v>
      </c>
      <c r="W97" s="21">
        <v>-734</v>
      </c>
      <c r="X97" s="21">
        <v>-1176</v>
      </c>
      <c r="Y97" s="21">
        <v>-1460</v>
      </c>
      <c r="Z97" s="21">
        <v>-1539</v>
      </c>
      <c r="AA97" s="21">
        <v>-1585</v>
      </c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</row>
    <row r="98" spans="2:46" x14ac:dyDescent="0.2">
      <c r="B98" s="21" t="s">
        <v>68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</row>
    <row r="99" spans="2:46" x14ac:dyDescent="0.2">
      <c r="B99" s="21" t="s">
        <v>69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>
        <v>-70</v>
      </c>
      <c r="U99" s="21">
        <v>201</v>
      </c>
      <c r="V99" s="21">
        <v>93</v>
      </c>
      <c r="W99" s="21">
        <v>-759</v>
      </c>
      <c r="X99" s="21">
        <v>-193</v>
      </c>
      <c r="Y99" s="21">
        <v>130</v>
      </c>
      <c r="Z99" s="21">
        <v>-427</v>
      </c>
      <c r="AA99" s="21">
        <v>9</v>
      </c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</row>
    <row r="100" spans="2:46" x14ac:dyDescent="0.2">
      <c r="B100" s="21" t="s">
        <v>70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>
        <v>-142</v>
      </c>
      <c r="U100" s="21">
        <v>-10</v>
      </c>
      <c r="V100" s="21">
        <v>34</v>
      </c>
      <c r="W100" s="21">
        <v>-154</v>
      </c>
      <c r="X100" s="21">
        <v>-58</v>
      </c>
      <c r="Y100" s="21">
        <v>-341</v>
      </c>
      <c r="Z100" s="21">
        <v>-164</v>
      </c>
      <c r="AA100" s="21">
        <v>-149</v>
      </c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</row>
    <row r="101" spans="2:46" x14ac:dyDescent="0.2">
      <c r="B101" s="21" t="s">
        <v>71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>
        <v>-137</v>
      </c>
      <c r="U101" s="21">
        <v>14</v>
      </c>
      <c r="V101" s="21">
        <v>-974</v>
      </c>
      <c r="W101" s="21">
        <v>1136</v>
      </c>
      <c r="X101" s="21">
        <v>-418</v>
      </c>
      <c r="Y101" s="21">
        <v>154</v>
      </c>
      <c r="Z101" s="21">
        <v>392</v>
      </c>
      <c r="AA101" s="21">
        <v>-663</v>
      </c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</row>
    <row r="102" spans="2:46" x14ac:dyDescent="0.2">
      <c r="B102" s="21" t="s">
        <v>72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>
        <f t="shared" ref="T102:W102" si="82">SUM(T99:T101)</f>
        <v>-349</v>
      </c>
      <c r="U102" s="21">
        <f t="shared" si="82"/>
        <v>205</v>
      </c>
      <c r="V102" s="21">
        <f t="shared" si="82"/>
        <v>-847</v>
      </c>
      <c r="W102" s="21">
        <f t="shared" si="82"/>
        <v>223</v>
      </c>
      <c r="X102" s="21">
        <f>SUM(X99:X101)</f>
        <v>-669</v>
      </c>
      <c r="Y102" s="21">
        <f>SUM(Y99:Y101)</f>
        <v>-57</v>
      </c>
      <c r="Z102" s="21">
        <f>SUM(Z99:Z101)</f>
        <v>-199</v>
      </c>
      <c r="AA102" s="21">
        <f>SUM(AA99:AA101)</f>
        <v>-803</v>
      </c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</row>
    <row r="103" spans="2:46" x14ac:dyDescent="0.2">
      <c r="B103" s="28" t="s">
        <v>73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>
        <f t="shared" ref="T103:X103" si="83">T93+SUM(T94:T97)+T102</f>
        <v>4028</v>
      </c>
      <c r="U103" s="28">
        <f t="shared" si="83"/>
        <v>6901</v>
      </c>
      <c r="V103" s="28">
        <f t="shared" si="83"/>
        <v>3016</v>
      </c>
      <c r="W103" s="28">
        <f t="shared" si="83"/>
        <v>6754</v>
      </c>
      <c r="X103" s="28">
        <f t="shared" si="83"/>
        <v>6673</v>
      </c>
      <c r="Y103" s="28">
        <f>Y93+SUM(Y94:Y97)+Y102</f>
        <v>8665</v>
      </c>
      <c r="Z103" s="28">
        <f>Z93+SUM(Z94:Z97)+Z102</f>
        <v>9287</v>
      </c>
      <c r="AA103" s="28">
        <f>AA93+SUM(AA94:AA97)+AA102</f>
        <v>9231</v>
      </c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</row>
    <row r="104" spans="2:46" x14ac:dyDescent="0.2">
      <c r="B104" s="21" t="s">
        <v>74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>
        <v>-230</v>
      </c>
      <c r="U104" s="21">
        <v>-238</v>
      </c>
      <c r="V104" s="21">
        <v>-241</v>
      </c>
      <c r="W104" s="21">
        <v>-460</v>
      </c>
      <c r="X104" s="21">
        <v>-388</v>
      </c>
      <c r="Y104" s="21">
        <v>-473</v>
      </c>
      <c r="Z104" s="21">
        <v>-465</v>
      </c>
      <c r="AA104" s="21">
        <v>-519</v>
      </c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</row>
    <row r="105" spans="2:46" x14ac:dyDescent="0.2">
      <c r="B105" s="21" t="s">
        <v>75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>
        <f>-1391+159</f>
        <v>-1232</v>
      </c>
      <c r="U105" s="21">
        <f>-914+40</f>
        <v>-874</v>
      </c>
      <c r="V105" s="21">
        <f>-467+36-5</f>
        <v>-436</v>
      </c>
      <c r="W105" s="21">
        <v>-666</v>
      </c>
      <c r="X105" s="21">
        <v>-1027</v>
      </c>
      <c r="Y105" s="21">
        <v>-1399</v>
      </c>
      <c r="Z105" s="21">
        <v>-2207</v>
      </c>
      <c r="AA105" s="21">
        <v>-2193</v>
      </c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</row>
    <row r="106" spans="2:46" x14ac:dyDescent="0.2">
      <c r="B106" s="21" t="s">
        <v>76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>
        <v>24</v>
      </c>
      <c r="U106" s="21">
        <v>70</v>
      </c>
      <c r="V106" s="21">
        <v>12</v>
      </c>
      <c r="W106" s="21">
        <v>25</v>
      </c>
      <c r="X106" s="21">
        <v>24</v>
      </c>
      <c r="Y106" s="21">
        <v>61</v>
      </c>
      <c r="Z106" s="21">
        <f>51-14</f>
        <v>37</v>
      </c>
      <c r="AA106" s="21">
        <f>-16+55</f>
        <v>39</v>
      </c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</row>
    <row r="107" spans="2:46" x14ac:dyDescent="0.2">
      <c r="B107" s="21" t="s">
        <v>77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>
        <v>20</v>
      </c>
      <c r="U107" s="21">
        <v>56</v>
      </c>
      <c r="V107" s="21">
        <v>36</v>
      </c>
      <c r="W107" s="21">
        <v>46</v>
      </c>
      <c r="X107" s="21">
        <v>36</v>
      </c>
      <c r="Y107" s="21">
        <v>-6</v>
      </c>
      <c r="Z107" s="21">
        <v>51</v>
      </c>
      <c r="AA107" s="21">
        <v>3</v>
      </c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</row>
    <row r="108" spans="2:46" x14ac:dyDescent="0.2">
      <c r="B108" s="21" t="s">
        <v>78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>
        <v>-457</v>
      </c>
      <c r="U108" s="21">
        <v>-1390</v>
      </c>
      <c r="V108" s="21">
        <v>3143</v>
      </c>
      <c r="W108" s="21">
        <v>-2198</v>
      </c>
      <c r="X108" s="21">
        <v>-2148</v>
      </c>
      <c r="Y108" s="21">
        <v>107</v>
      </c>
      <c r="Z108" s="21">
        <v>-705</v>
      </c>
      <c r="AA108" s="21">
        <v>-545</v>
      </c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</row>
    <row r="109" spans="2:46" x14ac:dyDescent="0.2">
      <c r="B109" s="28" t="s">
        <v>79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>
        <f t="shared" ref="T109:X109" si="84">SUM(T104:T108)</f>
        <v>-1875</v>
      </c>
      <c r="U109" s="28">
        <f t="shared" si="84"/>
        <v>-2376</v>
      </c>
      <c r="V109" s="28">
        <f t="shared" si="84"/>
        <v>2514</v>
      </c>
      <c r="W109" s="28">
        <f t="shared" si="84"/>
        <v>-3253</v>
      </c>
      <c r="X109" s="28">
        <f t="shared" si="84"/>
        <v>-3503</v>
      </c>
      <c r="Y109" s="28">
        <f>SUM(Y104:Y108)</f>
        <v>-1710</v>
      </c>
      <c r="Z109" s="28">
        <f>SUM(Z104:Z108)</f>
        <v>-3289</v>
      </c>
      <c r="AA109" s="28">
        <f>SUM(AA104:AA108)</f>
        <v>-3215</v>
      </c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</row>
    <row r="110" spans="2:46" x14ac:dyDescent="0.2">
      <c r="B110" s="21" t="s">
        <v>81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>
        <v>2</v>
      </c>
      <c r="U110" s="21">
        <v>-3</v>
      </c>
      <c r="V110" s="21">
        <v>-6</v>
      </c>
      <c r="W110" s="21">
        <v>-5</v>
      </c>
      <c r="X110" s="21">
        <v>-1</v>
      </c>
      <c r="Y110" s="21">
        <v>-1</v>
      </c>
      <c r="Z110" s="21">
        <v>0</v>
      </c>
      <c r="AA110" s="21">
        <v>0</v>
      </c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</row>
    <row r="111" spans="2:46" x14ac:dyDescent="0.2">
      <c r="B111" s="21" t="s">
        <v>82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>
        <v>0</v>
      </c>
      <c r="U111" s="21">
        <v>0</v>
      </c>
      <c r="V111" s="21">
        <v>0</v>
      </c>
      <c r="W111" s="21">
        <v>-71</v>
      </c>
      <c r="X111" s="21">
        <v>-61</v>
      </c>
      <c r="Y111" s="21">
        <v>0</v>
      </c>
      <c r="Z111" s="21">
        <v>0</v>
      </c>
      <c r="AA111" s="21">
        <v>0</v>
      </c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</row>
    <row r="112" spans="2:46" x14ac:dyDescent="0.2">
      <c r="B112" s="21" t="s">
        <v>83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>
        <v>73</v>
      </c>
      <c r="U112" s="21">
        <v>-49</v>
      </c>
      <c r="V112" s="21">
        <v>-17</v>
      </c>
      <c r="W112" s="21">
        <v>27</v>
      </c>
      <c r="X112" s="21">
        <v>-17</v>
      </c>
      <c r="Y112" s="21">
        <v>4</v>
      </c>
      <c r="Z112" s="21">
        <v>-8</v>
      </c>
      <c r="AA112" s="21">
        <v>-5</v>
      </c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</row>
    <row r="113" spans="2:46" x14ac:dyDescent="0.2">
      <c r="B113" s="21" t="s">
        <v>84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>
        <v>0</v>
      </c>
      <c r="U113" s="21">
        <v>-1836</v>
      </c>
      <c r="V113" s="21">
        <v>-1673</v>
      </c>
      <c r="W113" s="21">
        <v>-1668</v>
      </c>
      <c r="X113" s="21">
        <v>-1621</v>
      </c>
      <c r="Y113" s="21">
        <v>-1733</v>
      </c>
      <c r="Z113" s="21">
        <v>-1802</v>
      </c>
      <c r="AA113" s="21">
        <v>-1834</v>
      </c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</row>
    <row r="114" spans="2:46" x14ac:dyDescent="0.2">
      <c r="B114" s="21" t="s">
        <v>85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>
        <v>-2335</v>
      </c>
      <c r="U114" s="21">
        <v>-2741</v>
      </c>
      <c r="V114" s="21">
        <v>-1090</v>
      </c>
      <c r="W114" s="21">
        <v>-2192</v>
      </c>
      <c r="X114" s="21">
        <v>-2914</v>
      </c>
      <c r="Y114" s="21">
        <v>-3744</v>
      </c>
      <c r="Z114" s="21">
        <v>-4797</v>
      </c>
      <c r="AA114" s="21">
        <v>-5235</v>
      </c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</row>
    <row r="115" spans="2:46" x14ac:dyDescent="0.2">
      <c r="B115" s="28" t="s">
        <v>80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>
        <f t="shared" ref="T115:X115" si="85">SUM(T110:T114)</f>
        <v>-2260</v>
      </c>
      <c r="U115" s="28">
        <f t="shared" si="85"/>
        <v>-4629</v>
      </c>
      <c r="V115" s="28">
        <f t="shared" si="85"/>
        <v>-2786</v>
      </c>
      <c r="W115" s="28">
        <f t="shared" si="85"/>
        <v>-3909</v>
      </c>
      <c r="X115" s="28">
        <f t="shared" si="85"/>
        <v>-4614</v>
      </c>
      <c r="Y115" s="28">
        <f>SUM(Y110:Y114)</f>
        <v>-5474</v>
      </c>
      <c r="Z115" s="28">
        <f>SUM(Z110:Z114)</f>
        <v>-6607</v>
      </c>
      <c r="AA115" s="28">
        <f>SUM(AA110:AA114)</f>
        <v>-7074</v>
      </c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</row>
    <row r="116" spans="2:46" x14ac:dyDescent="0.2">
      <c r="B116" s="21" t="s">
        <v>86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>
        <v>41</v>
      </c>
      <c r="U116" s="21">
        <v>20</v>
      </c>
      <c r="V116" s="21">
        <v>-127</v>
      </c>
      <c r="W116" s="21">
        <v>31</v>
      </c>
      <c r="X116" s="21">
        <v>-17</v>
      </c>
      <c r="Y116" s="21">
        <v>38</v>
      </c>
      <c r="Z116" s="21">
        <v>-18</v>
      </c>
      <c r="AA116" s="21">
        <v>-48</v>
      </c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</row>
    <row r="117" spans="2:46" x14ac:dyDescent="0.2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</row>
    <row r="118" spans="2:46" x14ac:dyDescent="0.2">
      <c r="B118" s="28" t="s">
        <v>87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>
        <f t="shared" ref="T118:X118" si="86">T103+T109+T115+T116</f>
        <v>-66</v>
      </c>
      <c r="U118" s="28">
        <f t="shared" si="86"/>
        <v>-84</v>
      </c>
      <c r="V118" s="28">
        <f t="shared" si="86"/>
        <v>2617</v>
      </c>
      <c r="W118" s="28">
        <f t="shared" si="86"/>
        <v>-377</v>
      </c>
      <c r="X118" s="28">
        <f t="shared" si="86"/>
        <v>-1461</v>
      </c>
      <c r="Y118" s="28">
        <f>Y103+Y109+Y115+Y116</f>
        <v>1519</v>
      </c>
      <c r="Z118" s="28">
        <f>Z103+Z109+Z115+Z116</f>
        <v>-627</v>
      </c>
      <c r="AA118" s="28">
        <f>AA103+AA109+AA115+AA116</f>
        <v>-1106</v>
      </c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</row>
    <row r="119" spans="2:46" x14ac:dyDescent="0.2">
      <c r="B119" s="21" t="s">
        <v>88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>
        <v>4931</v>
      </c>
      <c r="U119" s="21">
        <v>4866</v>
      </c>
      <c r="V119" s="21">
        <v>4780</v>
      </c>
      <c r="W119" s="21">
        <v>7398</v>
      </c>
      <c r="X119" s="21">
        <v>7021</v>
      </c>
      <c r="Y119" s="21">
        <v>5561</v>
      </c>
      <c r="Z119" s="21">
        <f>+Y120</f>
        <v>7007</v>
      </c>
      <c r="AA119" s="21">
        <v>6382</v>
      </c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</row>
    <row r="120" spans="2:46" x14ac:dyDescent="0.2">
      <c r="B120" s="21" t="s">
        <v>89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>
        <f>U119</f>
        <v>4866</v>
      </c>
      <c r="U120" s="21">
        <f>V119</f>
        <v>4780</v>
      </c>
      <c r="V120" s="21">
        <f>W119</f>
        <v>7398</v>
      </c>
      <c r="W120" s="21">
        <f>X119</f>
        <v>7021</v>
      </c>
      <c r="X120" s="21">
        <f>Y119</f>
        <v>5561</v>
      </c>
      <c r="Y120" s="21">
        <v>7007</v>
      </c>
      <c r="Z120" s="21">
        <v>6382</v>
      </c>
      <c r="AA120" s="21">
        <f>+AA118+AA119</f>
        <v>5276</v>
      </c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</row>
    <row r="121" spans="2:46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21"/>
      <c r="AT121" s="21"/>
    </row>
    <row r="122" spans="2:46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21"/>
      <c r="AT122" s="21"/>
    </row>
    <row r="123" spans="2:46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21"/>
      <c r="AT123" s="21"/>
    </row>
    <row r="124" spans="2:46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21"/>
      <c r="AT124" s="21"/>
    </row>
    <row r="125" spans="2:46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21"/>
      <c r="AT125" s="21"/>
    </row>
    <row r="126" spans="2:46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21"/>
      <c r="AT126" s="21"/>
    </row>
    <row r="127" spans="2:46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21"/>
      <c r="AT127" s="21"/>
    </row>
    <row r="128" spans="2:46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21"/>
      <c r="AT128" s="21"/>
    </row>
    <row r="129" spans="3:46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21"/>
      <c r="AT129" s="21"/>
    </row>
    <row r="130" spans="3:46" x14ac:dyDescent="0.2"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</row>
    <row r="131" spans="3:46" x14ac:dyDescent="0.2"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</row>
    <row r="132" spans="3:46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3:46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3:46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3:46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</sheetData>
  <hyperlinks>
    <hyperlink ref="A1" location="Main!A1" display="Main" xr:uid="{FEEC87D1-13F9-4BB3-A534-997D447714A7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9D9B-400B-44F9-9FC5-6F43BD0B79BE}">
  <dimension ref="A1:M41"/>
  <sheetViews>
    <sheetView zoomScale="200" zoomScaleNormal="2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3" sqref="K3"/>
    </sheetView>
  </sheetViews>
  <sheetFormatPr defaultRowHeight="12.75" x14ac:dyDescent="0.2"/>
  <cols>
    <col min="1" max="1" width="4.7109375" style="2" bestFit="1" customWidth="1"/>
    <col min="2" max="2" width="20" style="2" customWidth="1"/>
    <col min="3" max="3" width="9.140625" style="2"/>
    <col min="4" max="4" width="9.28515625" style="2" bestFit="1" customWidth="1"/>
    <col min="5" max="5" width="9.5703125" style="2" bestFit="1" customWidth="1"/>
    <col min="6" max="8" width="9.28515625" style="2" bestFit="1" customWidth="1"/>
    <col min="9" max="10" width="9.5703125" style="2" bestFit="1" customWidth="1"/>
    <col min="11" max="12" width="9.140625" style="2"/>
    <col min="13" max="13" width="9.28515625" style="2" bestFit="1" customWidth="1"/>
    <col min="14" max="16384" width="9.140625" style="2"/>
  </cols>
  <sheetData>
    <row r="1" spans="1:13" x14ac:dyDescent="0.2">
      <c r="A1" s="7" t="s">
        <v>90</v>
      </c>
    </row>
    <row r="2" spans="1:13" x14ac:dyDescent="0.2">
      <c r="D2" s="20">
        <v>18</v>
      </c>
      <c r="E2" s="20">
        <f>D2+1</f>
        <v>19</v>
      </c>
      <c r="F2" s="20">
        <f t="shared" ref="F2:J2" si="0">E2+1</f>
        <v>20</v>
      </c>
      <c r="G2" s="20">
        <f t="shared" si="0"/>
        <v>21</v>
      </c>
      <c r="H2" s="20">
        <f t="shared" si="0"/>
        <v>22</v>
      </c>
      <c r="I2" s="20">
        <f t="shared" si="0"/>
        <v>23</v>
      </c>
      <c r="J2" s="20">
        <f t="shared" si="0"/>
        <v>24</v>
      </c>
      <c r="K2" s="76" t="s">
        <v>203</v>
      </c>
      <c r="M2" s="6" t="s">
        <v>102</v>
      </c>
    </row>
    <row r="3" spans="1:13" x14ac:dyDescent="0.2">
      <c r="A3" s="32" t="s">
        <v>22</v>
      </c>
      <c r="B3" s="33" t="s">
        <v>98</v>
      </c>
    </row>
    <row r="4" spans="1:13" x14ac:dyDescent="0.2">
      <c r="B4" s="2" t="s">
        <v>99</v>
      </c>
      <c r="D4" s="29">
        <f>Model!T44/Model!T77</f>
        <v>0.2350371937487204</v>
      </c>
      <c r="E4" s="29">
        <f>Model!U44/Model!U77</f>
        <v>0.24408234426339434</v>
      </c>
      <c r="F4" s="29">
        <f>Model!V44/Model!V77</f>
        <v>7.6101928374655653E-2</v>
      </c>
      <c r="G4" s="29">
        <f>Model!W44/Model!W77</f>
        <v>0.20606368778999556</v>
      </c>
      <c r="H4" s="29">
        <f>Model!X44/Model!X77</f>
        <v>0.24276810912511759</v>
      </c>
      <c r="I4" s="29">
        <f>Model!Y44/Model!Y77</f>
        <v>0.28859564424417983</v>
      </c>
      <c r="J4" s="29">
        <f>Model!Z44/Model!Z77</f>
        <v>0.29812970115877213</v>
      </c>
      <c r="K4" s="29">
        <f>Model!AA44/Model!AA77</f>
        <v>0.30492767835253737</v>
      </c>
      <c r="M4" s="31">
        <f>AVERAGE(G4:I4,D4:E4)</f>
        <v>0.24330939583428152</v>
      </c>
    </row>
    <row r="5" spans="1:13" x14ac:dyDescent="0.2">
      <c r="B5" s="2" t="s">
        <v>190</v>
      </c>
      <c r="D5" s="29">
        <f>Model!T37/Model!T75</f>
        <v>0.2009315624423538</v>
      </c>
      <c r="E5" s="29">
        <f>Model!U37/Model!U75</f>
        <v>0.16811665668697826</v>
      </c>
      <c r="F5" s="29">
        <f>Model!V37/Model!V75</f>
        <v>5.7006586418351123E-2</v>
      </c>
      <c r="G5" s="29">
        <f>Model!W37/Model!W75</f>
        <v>0.14793574019692521</v>
      </c>
      <c r="H5" s="29">
        <f>Model!X37/Model!X75</f>
        <v>0.18403148345784417</v>
      </c>
      <c r="I5" s="29">
        <f>Model!Y37/Model!Y75</f>
        <v>0.20797311745837788</v>
      </c>
      <c r="J5" s="29">
        <f>Model!Z37/Model!Z75</f>
        <v>0.21764180566358424</v>
      </c>
      <c r="K5" s="29">
        <f>Model!AA37/Model!AA75</f>
        <v>0.22439530837869689</v>
      </c>
      <c r="M5" s="31">
        <f t="shared" ref="M5:M12" si="1">AVERAGE(G5:I5,D5:E5)</f>
        <v>0.18179771204849587</v>
      </c>
    </row>
    <row r="6" spans="1:13" x14ac:dyDescent="0.2">
      <c r="B6" s="2" t="s">
        <v>100</v>
      </c>
      <c r="D6" s="29">
        <f>(Model!T37*(1-Model!T61))/(Model!T79+Model!T82+Model!T83+Model!T85+Model!T86-Model!T72-Model!T71)</f>
        <v>0.36587012190981749</v>
      </c>
      <c r="E6" s="29">
        <f>(Model!U37*(1-Model!U61))/(Model!U79+Model!U82+Model!U83+Model!U85+Model!U86-Model!U72-Model!U71)</f>
        <v>0.26022692833894945</v>
      </c>
      <c r="F6" s="29">
        <f>(Model!V37*(1-Model!V61))/(Model!V79+Model!V82+Model!V83+Model!V85+Model!V86-Model!V72-Model!V71)</f>
        <v>8.6796843975337018E-2</v>
      </c>
      <c r="G6" s="29">
        <f>(Model!W37*(1-Model!W61))/(Model!W79+Model!W82+Model!W83+Model!W85+Model!W86-Model!W72-Model!W71)</f>
        <v>0.259739082812043</v>
      </c>
      <c r="H6" s="29">
        <f>(Model!X37*(1-Model!X61))/(Model!X79+Model!X82+Model!X83+Model!X85+Model!X86-Model!X72-Model!X71)</f>
        <v>0.33082380066505085</v>
      </c>
      <c r="I6" s="29">
        <f>(Model!Y37*(1-Model!Y61))/(Model!Y79+Model!Y82+Model!Y83+Model!Y85+Model!Y86-Model!Y72-Model!Y71)</f>
        <v>0.39816032653040684</v>
      </c>
      <c r="J6" s="29">
        <f>(Model!Z37*(1-Model!Z61))/(Model!Z79+Model!Z82+Model!Z83+Model!Z85+Model!Z86-Model!Z72-Model!Z71)</f>
        <v>0.40407778171959441</v>
      </c>
      <c r="K6" s="29">
        <f>(Model!AA37*(1-Model!AA61))/(Model!AA79+Model!AA82+Model!AA83+Model!AA85+Model!AA86-Model!AA72-Model!AA71)</f>
        <v>0.38893379352846724</v>
      </c>
      <c r="M6" s="31">
        <f t="shared" si="1"/>
        <v>0.3229640520512535</v>
      </c>
    </row>
    <row r="7" spans="1:13" x14ac:dyDescent="0.2">
      <c r="B7" s="2" t="s">
        <v>101</v>
      </c>
      <c r="D7" s="29">
        <f>Model!T37/(Model!T68+Model!T69+Model!T70+Model!T73-Model!T87)</f>
        <v>0.45206474372276406</v>
      </c>
      <c r="E7" s="29">
        <f>Model!U37/(Model!U68+Model!U69+Model!U70+Model!U73-Model!U87)</f>
        <v>0.32453933501053922</v>
      </c>
      <c r="F7" s="29">
        <f>Model!V37/(Model!V68+Model!V69+Model!V70+Model!V73-Model!V87)</f>
        <v>0.1068312406895084</v>
      </c>
      <c r="G7" s="29">
        <f>Model!W37/(Model!W68+Model!W69+Model!W70+Model!W73-Model!W87)</f>
        <v>0.32589999238907069</v>
      </c>
      <c r="H7" s="29">
        <f>Model!X37/(Model!X68+Model!X69+Model!X70+Model!X73-Model!X87)</f>
        <v>0.41364317841079462</v>
      </c>
      <c r="I7" s="29">
        <f>Model!Y37/(Model!Y68+Model!Y69+Model!Y70+Model!Y73-Model!Y87)</f>
        <v>0.49169435215946844</v>
      </c>
      <c r="J7" s="29">
        <f>Model!Z37/(Model!Z68+Model!Z69+Model!Z70+Model!Z73-Model!Z87)</f>
        <v>0.51672252239928873</v>
      </c>
      <c r="K7" s="29">
        <f>Model!AA37/(Model!AA68+Model!AA69+Model!AA70+Model!AA73-Model!AA87)</f>
        <v>0.49698589273506927</v>
      </c>
      <c r="M7" s="31">
        <f t="shared" si="1"/>
        <v>0.40156832033852741</v>
      </c>
    </row>
    <row r="9" spans="1:13" x14ac:dyDescent="0.2">
      <c r="B9" s="2" t="s">
        <v>104</v>
      </c>
      <c r="D9" s="29">
        <f>1-(-Model!T114/Model!T44)</f>
        <v>0.32200929152148661</v>
      </c>
      <c r="E9" s="29">
        <f>1-(-Model!U114/Model!U44)</f>
        <v>0.24697802197802199</v>
      </c>
      <c r="F9" s="29">
        <f>1-(-Model!V114/Model!V44)</f>
        <v>1.3574660633484115E-2</v>
      </c>
      <c r="G9" s="29">
        <f>1-(-Model!W114/Model!W44)</f>
        <v>0.32387415175817391</v>
      </c>
      <c r="H9" s="29">
        <f>1-(-Model!X114/Model!X44)</f>
        <v>0.29426011140712038</v>
      </c>
      <c r="I9" s="29">
        <f>1-(-Model!Y114/Model!Y44)</f>
        <v>0.30408921933085498</v>
      </c>
      <c r="J9" s="29">
        <f>1-(-Model!Z114/Model!Z44)</f>
        <v>0.18223661779747702</v>
      </c>
      <c r="K9" s="29">
        <f>1-(-Model!AA114/Model!AA44)</f>
        <v>0.15822479498311626</v>
      </c>
      <c r="M9" s="31">
        <f t="shared" si="1"/>
        <v>0.29824215919913161</v>
      </c>
    </row>
    <row r="10" spans="1:13" x14ac:dyDescent="0.2">
      <c r="B10" s="2" t="s">
        <v>105</v>
      </c>
      <c r="D10" s="29">
        <f t="shared" ref="D10:H10" si="2">D9*D4</f>
        <v>7.5684160240223841E-2</v>
      </c>
      <c r="E10" s="29">
        <f t="shared" si="2"/>
        <v>6.0282974585931737E-2</v>
      </c>
      <c r="F10" s="29">
        <f t="shared" si="2"/>
        <v>1.0330578512396658E-3</v>
      </c>
      <c r="G10" s="29">
        <f t="shared" si="2"/>
        <v>6.6738702091145991E-2</v>
      </c>
      <c r="H10" s="29">
        <f t="shared" si="2"/>
        <v>7.1436970837253061E-2</v>
      </c>
      <c r="I10" s="29">
        <f>I9*I4</f>
        <v>8.7758824160497795E-2</v>
      </c>
      <c r="J10" s="29">
        <f>J9*J4</f>
        <v>5.4330148404147197E-2</v>
      </c>
      <c r="K10" s="29">
        <f>K9*K4</f>
        <v>4.8247119392007841E-2</v>
      </c>
      <c r="M10" s="31">
        <f t="shared" si="1"/>
        <v>7.2380326383010479E-2</v>
      </c>
    </row>
    <row r="11" spans="1:13" x14ac:dyDescent="0.2">
      <c r="B11" s="2" t="s">
        <v>103</v>
      </c>
      <c r="D11" s="29">
        <f>(-Model!T102-Model!T109)/(Model!T37*(1-Model!T61))</f>
        <v>0.65552246245341128</v>
      </c>
      <c r="E11" s="29">
        <f>(-Model!U102-Model!U109)/(Model!U37*(1-Model!U61))</f>
        <v>0.58377429602184805</v>
      </c>
      <c r="F11" s="29">
        <f>(-Model!V102-Model!V109)/(Model!V37*(1-Model!V61))</f>
        <v>-1.4049573841232232</v>
      </c>
      <c r="G11" s="29">
        <f>(-Model!W102-Model!W109)/(Model!W37*(1-Model!W61))</f>
        <v>0.9142999340579625</v>
      </c>
      <c r="H11" s="29">
        <f>(-Model!X102-Model!X109)/(Model!X37*(1-Model!X61))</f>
        <v>0.97691089303488976</v>
      </c>
      <c r="I11" s="29">
        <f>(-Model!Y102-Model!Y109)/(Model!Y37*(1-Model!Y61))</f>
        <v>0.33052139470805142</v>
      </c>
      <c r="J11" s="29">
        <f>(-Model!Z102-Model!Z109)/(Model!Z37*(1-Model!Z61))</f>
        <v>0.59522834475600461</v>
      </c>
      <c r="K11" s="29">
        <f>(-Model!AA102-Model!AA109)/(Model!AA37*(1-Model!AA61))</f>
        <v>0.64786197863272532</v>
      </c>
      <c r="M11" s="31">
        <f t="shared" si="1"/>
        <v>0.69220579605523258</v>
      </c>
    </row>
    <row r="12" spans="1:13" x14ac:dyDescent="0.2">
      <c r="B12" s="2" t="s">
        <v>105</v>
      </c>
      <c r="D12" s="29">
        <f t="shared" ref="D12:H12" si="3">D11*D6</f>
        <v>0.23983608325245334</v>
      </c>
      <c r="E12" s="29">
        <f t="shared" si="3"/>
        <v>0.15191379189699811</v>
      </c>
      <c r="F12" s="29">
        <f t="shared" si="3"/>
        <v>-0.12194586686174104</v>
      </c>
      <c r="G12" s="29">
        <f t="shared" si="3"/>
        <v>0.23747942628732657</v>
      </c>
      <c r="H12" s="29">
        <f t="shared" si="3"/>
        <v>0.32318537454489116</v>
      </c>
      <c r="I12" s="29">
        <f>I11*I6</f>
        <v>0.13160050644224325</v>
      </c>
      <c r="J12" s="29">
        <f>J11*J6</f>
        <v>0.24051854916563231</v>
      </c>
      <c r="K12" s="29">
        <f>K11*K6</f>
        <v>0.25197541703248466</v>
      </c>
      <c r="M12" s="31">
        <f t="shared" si="1"/>
        <v>0.21680303648478247</v>
      </c>
    </row>
    <row r="14" spans="1:13" x14ac:dyDescent="0.2">
      <c r="A14" s="32" t="s">
        <v>22</v>
      </c>
      <c r="B14" s="33" t="s">
        <v>106</v>
      </c>
    </row>
    <row r="15" spans="1:13" x14ac:dyDescent="0.2">
      <c r="B15" s="2" t="s">
        <v>107</v>
      </c>
      <c r="M15" s="31" t="e">
        <f t="shared" ref="M15:M16" si="4">AVERAGE(G15:I15,D15:E15)</f>
        <v>#DIV/0!</v>
      </c>
    </row>
    <row r="16" spans="1:13" x14ac:dyDescent="0.2">
      <c r="B16" s="2" t="s">
        <v>108</v>
      </c>
      <c r="M16" s="31" t="e">
        <f t="shared" si="4"/>
        <v>#DIV/0!</v>
      </c>
    </row>
    <row r="19" spans="1:13" x14ac:dyDescent="0.2">
      <c r="A19" s="32" t="s">
        <v>22</v>
      </c>
      <c r="B19" s="33" t="s">
        <v>110</v>
      </c>
    </row>
    <row r="20" spans="1:13" x14ac:dyDescent="0.2">
      <c r="B20" s="2" t="s">
        <v>122</v>
      </c>
      <c r="D20" s="34">
        <f>Model!T70/Model!T29*360</f>
        <v>11.290877796901894</v>
      </c>
      <c r="E20" s="34">
        <f>Model!U70/Model!U29*360</f>
        <v>9.9268215081132674</v>
      </c>
      <c r="F20" s="34">
        <f>Model!V70/Model!V29*360</f>
        <v>12.61641015586707</v>
      </c>
      <c r="G20" s="34">
        <f>Model!W70/Model!W29*360</f>
        <v>10.936643094241592</v>
      </c>
      <c r="H20" s="34">
        <f>Model!X70/Model!X29*360</f>
        <v>9.4064908348429483</v>
      </c>
      <c r="I20" s="34">
        <f>Model!Y70/Model!Y29*360</f>
        <v>10.39530419784683</v>
      </c>
      <c r="J20" s="34">
        <f>Model!Z70/Model!Z29*360</f>
        <v>10.138745081797474</v>
      </c>
      <c r="K20" s="34">
        <f>Model!AA70/Model!AA29*360</f>
        <v>10.529801324503312</v>
      </c>
      <c r="M20" s="34">
        <f>AVERAGE(D20:I20)</f>
        <v>10.7620912646356</v>
      </c>
    </row>
    <row r="21" spans="1:13" x14ac:dyDescent="0.2">
      <c r="B21" s="2" t="s">
        <v>123</v>
      </c>
      <c r="D21" s="34">
        <f>Model!T87/Model!T29*360</f>
        <v>72.302925989672971</v>
      </c>
      <c r="E21" s="34">
        <f>Model!U87/Model!U29*360</f>
        <v>71.078587336939236</v>
      </c>
      <c r="F21" s="34">
        <f>Model!V87/Model!V29*360</f>
        <v>83.762376237623769</v>
      </c>
      <c r="G21" s="34">
        <f>Model!W87/Model!W29*360</f>
        <v>83.27175638620291</v>
      </c>
      <c r="H21" s="34">
        <f>Model!X87/Model!X29*360</f>
        <v>72.521723110933706</v>
      </c>
      <c r="I21" s="34">
        <f>Model!Y87/Model!Y29*360</f>
        <v>74.780092914568669</v>
      </c>
      <c r="J21" s="34">
        <f>Model!Z87/Model!Z29*360</f>
        <v>80.047628908676742</v>
      </c>
      <c r="K21" s="34">
        <f>Model!AA87/Model!AA29*360</f>
        <v>77.546658639373874</v>
      </c>
      <c r="M21" s="34">
        <f t="shared" ref="M21" si="5">AVERAGE(D21:I21)</f>
        <v>76.286243662656872</v>
      </c>
    </row>
    <row r="22" spans="1:13" x14ac:dyDescent="0.2">
      <c r="B22" s="2" t="s">
        <v>124</v>
      </c>
      <c r="D22" s="29">
        <f>Model!T69/Model!T75</f>
        <v>0.12525364323925475</v>
      </c>
      <c r="E22" s="29">
        <f>Model!U69/Model!U75</f>
        <v>7.9919692860413505E-2</v>
      </c>
      <c r="F22" s="29">
        <f>Model!V69/Model!V75</f>
        <v>8.7856764327352566E-2</v>
      </c>
      <c r="G22" s="29">
        <f>Model!W69/Model!W75</f>
        <v>0.10509587148039386</v>
      </c>
      <c r="H22" s="29">
        <f>Model!X69/Model!X75</f>
        <v>0.10642342582710779</v>
      </c>
      <c r="I22" s="29">
        <f>Model!Y69/Model!Y75</f>
        <v>9.0606384603635251E-2</v>
      </c>
      <c r="J22" s="29">
        <f>Model!Z69/Model!Z75</f>
        <v>9.5670210007778062E-2</v>
      </c>
      <c r="K22" s="29">
        <f>Model!AA69/Model!AA75</f>
        <v>9.1166732139850715E-2</v>
      </c>
      <c r="M22" s="29">
        <f>AVERAGE(D22:I22)</f>
        <v>9.9192630389692948E-2</v>
      </c>
    </row>
    <row r="23" spans="1:13" x14ac:dyDescent="0.2">
      <c r="B23" s="2" t="s">
        <v>125</v>
      </c>
      <c r="D23" s="34">
        <f>Model!T30/Model!T69</f>
        <v>4.1712076583210607</v>
      </c>
      <c r="E23" s="34">
        <f>Model!U30/Model!U69</f>
        <v>5.4997796386073157</v>
      </c>
      <c r="F23" s="34">
        <f>Model!V30/Model!V69</f>
        <v>3.8832399827660491</v>
      </c>
      <c r="G23" s="34">
        <f>Model!W30/Model!W69</f>
        <v>3.9125575279421434</v>
      </c>
      <c r="H23" s="34">
        <f>Model!X30/Model!X69</f>
        <v>4.3907865872767156</v>
      </c>
      <c r="I23" s="34">
        <f>Model!Y30/Model!Y69</f>
        <v>5.1200269723533376</v>
      </c>
      <c r="J23" s="34">
        <f>Model!Z30/Model!Z69</f>
        <v>4.9045468232460099</v>
      </c>
      <c r="K23" s="34">
        <f>Model!AA30/Model!AA69</f>
        <v>5.1221914435210838</v>
      </c>
      <c r="M23" s="34">
        <f>AVERAGE(D23:I23)</f>
        <v>4.4962663945444374</v>
      </c>
    </row>
    <row r="24" spans="1:13" x14ac:dyDescent="0.2">
      <c r="B24" s="2" t="s">
        <v>126</v>
      </c>
      <c r="D24" s="34">
        <f t="shared" ref="D24:H24" si="6">360/D23</f>
        <v>86.305940506664314</v>
      </c>
      <c r="E24" s="34">
        <f t="shared" si="6"/>
        <v>65.457168042311082</v>
      </c>
      <c r="F24" s="34">
        <f t="shared" si="6"/>
        <v>92.706091201597687</v>
      </c>
      <c r="G24" s="34">
        <f t="shared" si="6"/>
        <v>92.011426650983026</v>
      </c>
      <c r="H24" s="34">
        <f t="shared" si="6"/>
        <v>81.989865105988159</v>
      </c>
      <c r="I24" s="34">
        <f>360/I23</f>
        <v>70.312129593046237</v>
      </c>
      <c r="J24" s="34">
        <f>360/J23</f>
        <v>73.401277013752463</v>
      </c>
      <c r="K24" s="34">
        <f>360/K23</f>
        <v>70.282417978608336</v>
      </c>
      <c r="M24" s="34">
        <f>AVERAGE(D24:I24)</f>
        <v>81.463770183431748</v>
      </c>
    </row>
    <row r="25" spans="1:13" x14ac:dyDescent="0.2">
      <c r="B25" s="2" t="s">
        <v>127</v>
      </c>
      <c r="D25" s="34">
        <f t="shared" ref="D25:H25" si="7">D24+D20-D21</f>
        <v>25.293892313893238</v>
      </c>
      <c r="E25" s="34">
        <f t="shared" si="7"/>
        <v>4.3054022134851095</v>
      </c>
      <c r="F25" s="34">
        <f t="shared" si="7"/>
        <v>21.56012511984099</v>
      </c>
      <c r="G25" s="34">
        <f t="shared" si="7"/>
        <v>19.676313359021705</v>
      </c>
      <c r="H25" s="34">
        <f t="shared" si="7"/>
        <v>18.874632829897408</v>
      </c>
      <c r="I25" s="34">
        <f>I24+I20-I21</f>
        <v>5.9273408763243935</v>
      </c>
      <c r="J25" s="34">
        <f>J24+J20-J21</f>
        <v>3.4923931868732012</v>
      </c>
      <c r="K25" s="34">
        <f>K24+K20-K21</f>
        <v>3.265560663737773</v>
      </c>
      <c r="M25" s="34">
        <f>AVERAGE(D25:I25)</f>
        <v>15.939617785410475</v>
      </c>
    </row>
    <row r="28" spans="1:13" x14ac:dyDescent="0.2">
      <c r="A28" s="32" t="s">
        <v>22</v>
      </c>
      <c r="B28" s="33" t="s">
        <v>111</v>
      </c>
    </row>
    <row r="29" spans="1:13" x14ac:dyDescent="0.2">
      <c r="B29" s="2" t="s">
        <v>1</v>
      </c>
      <c r="D29" s="2">
        <v>28.05</v>
      </c>
      <c r="E29" s="2">
        <v>33.1</v>
      </c>
      <c r="F29" s="2">
        <v>30.01</v>
      </c>
      <c r="G29" s="2">
        <v>30.04</v>
      </c>
      <c r="H29" s="2">
        <v>31.05</v>
      </c>
      <c r="I29" s="2">
        <v>42.73</v>
      </c>
      <c r="J29" s="3">
        <v>59</v>
      </c>
      <c r="K29" s="3">
        <v>52.8</v>
      </c>
      <c r="M29" s="34"/>
    </row>
    <row r="30" spans="1:13" x14ac:dyDescent="0.2">
      <c r="B30" s="2" t="s">
        <v>112</v>
      </c>
      <c r="D30" s="3">
        <f>Model!T47</f>
        <v>3113.701857</v>
      </c>
      <c r="E30" s="3">
        <f>Model!U47</f>
        <v>3114.3841950000001</v>
      </c>
      <c r="F30" s="3">
        <f>Model!V47</f>
        <v>3114.8569630000002</v>
      </c>
      <c r="G30" s="3">
        <f>Model!W47</f>
        <v>3113.5709769999999</v>
      </c>
      <c r="H30" s="3">
        <f>Model!X47</f>
        <v>3112.4554050000002</v>
      </c>
      <c r="I30" s="3">
        <f>Model!Y47</f>
        <v>3112.8365509999999</v>
      </c>
      <c r="J30" s="3">
        <f>Model!Z47</f>
        <v>3144.4529830000001</v>
      </c>
      <c r="K30" s="3">
        <f>Model!AA47</f>
        <v>3116.0914859999998</v>
      </c>
    </row>
    <row r="31" spans="1:13" x14ac:dyDescent="0.2">
      <c r="B31" s="2" t="s">
        <v>3</v>
      </c>
      <c r="D31" s="21">
        <f t="shared" ref="D31:H31" si="8">D29*D30</f>
        <v>87339.337088850007</v>
      </c>
      <c r="E31" s="21">
        <f t="shared" si="8"/>
        <v>103086.11685450001</v>
      </c>
      <c r="F31" s="21">
        <f t="shared" si="8"/>
        <v>93476.857459630017</v>
      </c>
      <c r="G31" s="21">
        <f t="shared" si="8"/>
        <v>93531.672149079997</v>
      </c>
      <c r="H31" s="21">
        <f t="shared" si="8"/>
        <v>96641.740325250008</v>
      </c>
      <c r="I31" s="21">
        <f>I29*I30</f>
        <v>133011.50582422997</v>
      </c>
      <c r="J31" s="21">
        <f>J29*J30</f>
        <v>185522.725997</v>
      </c>
      <c r="K31" s="21">
        <f>K29*K30</f>
        <v>164529.63046079999</v>
      </c>
    </row>
    <row r="32" spans="1:13" x14ac:dyDescent="0.2">
      <c r="B32" s="2" t="s">
        <v>113</v>
      </c>
      <c r="D32" s="21">
        <f>Model!T81+Model!T82+Model!T85+Model!T86-Model!T72-Model!T71-Model!T66</f>
        <v>-6973</v>
      </c>
      <c r="E32" s="21">
        <f>Model!U81+Model!U82+Model!U85+Model!U86-Model!U72-Model!U71-Model!U66</f>
        <v>-1498</v>
      </c>
      <c r="F32" s="21">
        <f>Model!V81+Model!V82+Model!V85+Model!V86-Model!V72-Model!V71-Model!V66</f>
        <v>-1670</v>
      </c>
      <c r="G32" s="21">
        <f>Model!W81+Model!W82+Model!W85+Model!W86-Model!W72-Model!W71-Model!W66</f>
        <v>-3842</v>
      </c>
      <c r="H32" s="21">
        <f>Model!X81+Model!X82+Model!X85+Model!X86-Model!X72-Model!X71-Model!X66</f>
        <v>-4964</v>
      </c>
      <c r="I32" s="21">
        <f>Model!Y81+Model!Y82+Model!Y85+Model!Y86-Model!Y72-Model!Y71-Model!Y66</f>
        <v>-6253</v>
      </c>
      <c r="J32" s="21">
        <f>Model!Z81+Model!Z82+Model!Z85+Model!Z86-Model!Z72-Model!Z71-Model!Z66</f>
        <v>-6223</v>
      </c>
      <c r="K32" s="21">
        <f>Model!AA81+Model!AA82+Model!AA85+Model!AA86-Model!AA72-Model!AA71-Model!AA66</f>
        <v>-5496</v>
      </c>
    </row>
    <row r="33" spans="2:13" x14ac:dyDescent="0.2">
      <c r="B33" s="2" t="s">
        <v>6</v>
      </c>
      <c r="D33" s="21">
        <f t="shared" ref="D33:I33" si="9">D31+D32</f>
        <v>80366.337088850007</v>
      </c>
      <c r="E33" s="21">
        <f t="shared" si="9"/>
        <v>101588.11685450001</v>
      </c>
      <c r="F33" s="21">
        <f t="shared" si="9"/>
        <v>91806.857459630017</v>
      </c>
      <c r="G33" s="21">
        <f t="shared" si="9"/>
        <v>89689.672149079997</v>
      </c>
      <c r="H33" s="21">
        <f t="shared" si="9"/>
        <v>91677.740325250008</v>
      </c>
      <c r="I33" s="21">
        <f t="shared" si="9"/>
        <v>126758.50582422997</v>
      </c>
      <c r="J33" s="21">
        <f t="shared" ref="J33:K33" si="10">J31+J32</f>
        <v>179299.725997</v>
      </c>
      <c r="K33" s="21">
        <f t="shared" si="10"/>
        <v>159033.63046079999</v>
      </c>
    </row>
    <row r="34" spans="2:13" x14ac:dyDescent="0.2">
      <c r="B34" s="33" t="s">
        <v>116</v>
      </c>
    </row>
    <row r="35" spans="2:13" x14ac:dyDescent="0.2">
      <c r="B35" s="2" t="s">
        <v>114</v>
      </c>
      <c r="D35" s="34">
        <f>D31/Model!T44</f>
        <v>25.359853974695124</v>
      </c>
      <c r="E35" s="34">
        <f>E31/Model!U44</f>
        <v>28.320361773214287</v>
      </c>
      <c r="F35" s="34">
        <f>F31/Model!V44</f>
        <v>84.594441139936663</v>
      </c>
      <c r="G35" s="34">
        <f>G31/Model!W44</f>
        <v>28.849991409339914</v>
      </c>
      <c r="H35" s="34">
        <f>H31/Model!X44</f>
        <v>23.405604341305402</v>
      </c>
      <c r="I35" s="34">
        <f>I31/Model!Y44</f>
        <v>24.723328220117097</v>
      </c>
      <c r="J35" s="34">
        <f>J31/Model!Z44</f>
        <v>31.626785884248211</v>
      </c>
      <c r="K35" s="34">
        <f>K31/Model!AA44</f>
        <v>26.455962447467439</v>
      </c>
      <c r="M35" s="34">
        <f>AVERAGE(G35:I35,D35:E35)</f>
        <v>26.131827943734368</v>
      </c>
    </row>
    <row r="36" spans="2:13" x14ac:dyDescent="0.2">
      <c r="B36" s="2" t="s">
        <v>115</v>
      </c>
      <c r="D36" s="35"/>
      <c r="E36" s="35">
        <f>E35/((Model!U44/Model!T44-1)*100)</f>
        <v>4.9762921401505125</v>
      </c>
      <c r="F36" s="35">
        <f>F35/((Model!V44/Model!U44-1)*100)</f>
        <v>-1.2146894112401163</v>
      </c>
      <c r="G36" s="35">
        <f>G35/((Model!W44/Model!V44-1)*100)</f>
        <v>0.14917754097950683</v>
      </c>
      <c r="H36" s="35">
        <f>H35/((Model!X44/Model!W44-1)*100)</f>
        <v>0.85547879678142191</v>
      </c>
      <c r="I36" s="35">
        <f>I35/((Model!Y44/Model!X44-1)*100)</f>
        <v>0.81600817122992408</v>
      </c>
      <c r="J36" s="35">
        <f>J35/((Model!Z44/Model!Y44-1)*100)</f>
        <v>3.5010721822480533</v>
      </c>
      <c r="K36" s="35">
        <f>K35/((Model!AA44/Model!Z44-1)*100)</f>
        <v>4.3963364225734907</v>
      </c>
      <c r="M36" s="34">
        <f t="shared" ref="M36:M37" si="11">AVERAGE(G36:I36,D36:E36)</f>
        <v>1.6992391622853413</v>
      </c>
    </row>
    <row r="37" spans="2:13" x14ac:dyDescent="0.2">
      <c r="B37" s="2" t="s">
        <v>118</v>
      </c>
      <c r="D37" s="34">
        <f>D31/Model!T79</f>
        <v>5.9483305243376696</v>
      </c>
      <c r="E37" s="34">
        <f>E31/Model!U79</f>
        <v>6.8958536928557104</v>
      </c>
      <c r="F37" s="34">
        <f>F31/Model!V79</f>
        <v>6.4245262858852241</v>
      </c>
      <c r="G37" s="34">
        <f>G31/Model!W79</f>
        <v>5.9351273652566787</v>
      </c>
      <c r="H37" s="34">
        <f>H31/Model!X79</f>
        <v>5.6737944182029008</v>
      </c>
      <c r="I37" s="34">
        <f>I31/Model!Y79</f>
        <v>7.1235810745624448</v>
      </c>
      <c r="J37" s="6" t="s">
        <v>130</v>
      </c>
      <c r="K37" s="6" t="s">
        <v>130</v>
      </c>
      <c r="M37" s="34">
        <f t="shared" si="11"/>
        <v>6.3153374150430803</v>
      </c>
    </row>
    <row r="38" spans="2:13" x14ac:dyDescent="0.2">
      <c r="B38" s="33" t="s">
        <v>117</v>
      </c>
      <c r="M38" s="34"/>
    </row>
    <row r="39" spans="2:13" x14ac:dyDescent="0.2">
      <c r="B39" s="2" t="s">
        <v>119</v>
      </c>
      <c r="D39" s="34">
        <f>D33/Model!T29</f>
        <v>3.0738702271505072</v>
      </c>
      <c r="E39" s="34">
        <f>E33/Model!U29</f>
        <v>3.5913358381765481</v>
      </c>
      <c r="F39" s="34">
        <f>F33/Model!V29</f>
        <v>4.4998949838069802</v>
      </c>
      <c r="G39" s="34">
        <f>G33/Model!W29</f>
        <v>3.236025117227594</v>
      </c>
      <c r="H39" s="34">
        <f>H33/Model!X29</f>
        <v>2.8148773473318189</v>
      </c>
      <c r="I39" s="34">
        <f>I33/Model!Y29</f>
        <v>3.5262610461020385</v>
      </c>
      <c r="J39" s="34">
        <f>J33/Model!Z29</f>
        <v>4.6412229756937258</v>
      </c>
      <c r="K39" s="34">
        <f>K33/Model!AA29</f>
        <v>3.9894047376279347</v>
      </c>
      <c r="M39" s="34">
        <f t="shared" ref="M39:M41" si="12">AVERAGE(G39:I39,D39:E39)</f>
        <v>3.2484739151977018</v>
      </c>
    </row>
    <row r="40" spans="2:13" x14ac:dyDescent="0.2">
      <c r="B40" s="2" t="s">
        <v>120</v>
      </c>
      <c r="D40" s="34">
        <f>D33/Model!T34</f>
        <v>14.727201225737586</v>
      </c>
      <c r="E40" s="34">
        <f>E33/Model!U34</f>
        <v>13.368616509343337</v>
      </c>
      <c r="F40" s="34">
        <f>F33/Model!V34</f>
        <v>20.172897705917386</v>
      </c>
      <c r="G40" s="34">
        <f>G33/Model!W34</f>
        <v>12.486380641665042</v>
      </c>
      <c r="H40" s="34">
        <f>H33/Model!X34</f>
        <v>10.601033802642231</v>
      </c>
      <c r="I40" s="34">
        <f>I33/Model!Y34</f>
        <v>12.870190458343991</v>
      </c>
      <c r="J40" s="34">
        <f>J33/Model!Z34</f>
        <v>16.711690371609656</v>
      </c>
      <c r="K40" s="34">
        <f>K33/Model!AA34</f>
        <v>14.114993384290404</v>
      </c>
      <c r="M40" s="34">
        <f t="shared" si="12"/>
        <v>12.810684527546437</v>
      </c>
    </row>
    <row r="41" spans="2:13" x14ac:dyDescent="0.2">
      <c r="B41" s="2" t="s">
        <v>121</v>
      </c>
      <c r="D41" s="34">
        <f>D33/Model!T37</f>
        <v>18.445337867535002</v>
      </c>
      <c r="E41" s="34">
        <f>E33/Model!U37</f>
        <v>21.283913022103501</v>
      </c>
      <c r="F41" s="34">
        <f>F33/Model!V37</f>
        <v>60.960728724853929</v>
      </c>
      <c r="G41" s="34">
        <f>G33/Model!W37</f>
        <v>20.945743145511443</v>
      </c>
      <c r="H41" s="34">
        <f>H33/Model!X37</f>
        <v>16.614305966881119</v>
      </c>
      <c r="I41" s="34">
        <f>I33/Model!Y37</f>
        <v>18.619051971831663</v>
      </c>
      <c r="J41" s="34">
        <f>J33/Model!Z37</f>
        <v>23.732591131303774</v>
      </c>
      <c r="K41" s="34">
        <f>K33/Model!AA37</f>
        <v>19.886661305589595</v>
      </c>
      <c r="M41" s="34">
        <f t="shared" si="12"/>
        <v>19.181670394772546</v>
      </c>
    </row>
  </sheetData>
  <hyperlinks>
    <hyperlink ref="A1" location="Main!A1" display="Main" xr:uid="{A3BFCC24-21A1-44AA-8515-07086D34AED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EE0E-2A12-4A76-8FDE-46435FE66120}">
  <dimension ref="A1:Z74"/>
  <sheetViews>
    <sheetView showGridLines="0" workbookViewId="0">
      <selection activeCell="A2" sqref="A2"/>
    </sheetView>
  </sheetViews>
  <sheetFormatPr defaultRowHeight="12.75" x14ac:dyDescent="0.2"/>
  <cols>
    <col min="1" max="1" width="4.7109375" style="2" bestFit="1" customWidth="1"/>
    <col min="2" max="4" width="9.140625" style="2"/>
    <col min="5" max="5" width="11.28515625" style="2" bestFit="1" customWidth="1"/>
    <col min="6" max="6" width="9.140625" style="2"/>
    <col min="7" max="21" width="9.28515625" style="2" bestFit="1" customWidth="1"/>
    <col min="22" max="22" width="10.140625" style="2" bestFit="1" customWidth="1"/>
    <col min="23" max="16384" width="9.140625" style="2"/>
  </cols>
  <sheetData>
    <row r="1" spans="1:26" x14ac:dyDescent="0.2">
      <c r="A1" s="7" t="s">
        <v>90</v>
      </c>
      <c r="B1" s="36" t="s">
        <v>145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x14ac:dyDescent="0.2">
      <c r="E2" s="37"/>
    </row>
    <row r="3" spans="1:26" x14ac:dyDescent="0.2">
      <c r="B3" s="2" t="s">
        <v>146</v>
      </c>
      <c r="E3" s="38" t="s">
        <v>144</v>
      </c>
      <c r="G3" s="2" t="s">
        <v>147</v>
      </c>
      <c r="J3" s="38">
        <f>Main!J3</f>
        <v>54.85</v>
      </c>
    </row>
    <row r="4" spans="1:26" x14ac:dyDescent="0.2">
      <c r="B4" s="2" t="s">
        <v>148</v>
      </c>
      <c r="E4" s="39">
        <v>45519</v>
      </c>
      <c r="G4" s="2" t="s">
        <v>149</v>
      </c>
      <c r="J4" s="40">
        <f ca="1">V60</f>
        <v>68.989180079178112</v>
      </c>
    </row>
    <row r="5" spans="1:26" x14ac:dyDescent="0.2">
      <c r="B5" s="2" t="s">
        <v>150</v>
      </c>
      <c r="E5" s="39">
        <v>45657</v>
      </c>
      <c r="G5" s="2" t="s">
        <v>151</v>
      </c>
      <c r="J5" s="41">
        <f ca="1">J4/J3-1</f>
        <v>0.25777903517188894</v>
      </c>
    </row>
    <row r="7" spans="1:26" x14ac:dyDescent="0.2">
      <c r="A7" s="42" t="s">
        <v>22</v>
      </c>
      <c r="B7" s="43" t="s">
        <v>152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spans="1:26" x14ac:dyDescent="0.2">
      <c r="A8" s="42"/>
    </row>
    <row r="9" spans="1:26" x14ac:dyDescent="0.2">
      <c r="A9" s="42"/>
      <c r="B9" s="44" t="s">
        <v>153</v>
      </c>
      <c r="C9" s="45"/>
      <c r="D9" s="45"/>
      <c r="E9" s="45"/>
      <c r="G9" s="44" t="s">
        <v>154</v>
      </c>
      <c r="H9" s="45"/>
      <c r="I9" s="45"/>
      <c r="J9" s="45"/>
      <c r="L9" s="44" t="s">
        <v>155</v>
      </c>
      <c r="M9" s="45"/>
      <c r="N9" s="45"/>
      <c r="O9" s="45"/>
      <c r="Q9" s="44" t="s">
        <v>156</v>
      </c>
      <c r="R9" s="45"/>
      <c r="S9" s="45"/>
      <c r="T9" s="45"/>
    </row>
    <row r="10" spans="1:26" x14ac:dyDescent="0.2">
      <c r="A10" s="42"/>
      <c r="B10" s="46" t="s">
        <v>157</v>
      </c>
      <c r="G10" s="46" t="s">
        <v>157</v>
      </c>
      <c r="I10" s="46" t="s">
        <v>158</v>
      </c>
      <c r="J10" s="46" t="s">
        <v>159</v>
      </c>
      <c r="L10" s="46" t="s">
        <v>157</v>
      </c>
      <c r="N10" s="46" t="s">
        <v>158</v>
      </c>
      <c r="O10" s="46" t="s">
        <v>159</v>
      </c>
      <c r="Q10" s="46" t="s">
        <v>157</v>
      </c>
      <c r="S10" s="46" t="s">
        <v>158</v>
      </c>
      <c r="T10" s="46" t="s">
        <v>159</v>
      </c>
    </row>
    <row r="11" spans="1:26" x14ac:dyDescent="0.2">
      <c r="B11" s="2" t="s">
        <v>160</v>
      </c>
      <c r="E11" s="47">
        <v>2</v>
      </c>
      <c r="G11" s="2" t="s">
        <v>161</v>
      </c>
      <c r="K11" s="1"/>
      <c r="L11" s="2" t="s">
        <v>161</v>
      </c>
      <c r="Q11" s="2" t="s">
        <v>161</v>
      </c>
    </row>
    <row r="12" spans="1:26" x14ac:dyDescent="0.2">
      <c r="B12" s="2" t="s">
        <v>30</v>
      </c>
      <c r="E12" s="47">
        <v>2</v>
      </c>
    </row>
    <row r="13" spans="1:26" x14ac:dyDescent="0.2">
      <c r="B13" s="2" t="s">
        <v>162</v>
      </c>
      <c r="E13" s="47">
        <v>2</v>
      </c>
      <c r="G13" s="2" t="s">
        <v>30</v>
      </c>
      <c r="L13" s="2" t="s">
        <v>30</v>
      </c>
      <c r="Q13" s="2" t="s">
        <v>30</v>
      </c>
    </row>
    <row r="14" spans="1:26" x14ac:dyDescent="0.2">
      <c r="B14" s="2" t="s">
        <v>163</v>
      </c>
      <c r="E14" s="47">
        <v>2</v>
      </c>
    </row>
    <row r="16" spans="1:26" x14ac:dyDescent="0.2">
      <c r="B16" s="46" t="s">
        <v>164</v>
      </c>
    </row>
    <row r="17" spans="1:22" x14ac:dyDescent="0.2">
      <c r="B17" s="2" t="s">
        <v>162</v>
      </c>
      <c r="E17" s="48">
        <f>CHOOSE(E13,J17,O17,T17)</f>
        <v>0.08</v>
      </c>
      <c r="G17" s="2" t="s">
        <v>162</v>
      </c>
      <c r="J17" s="48"/>
      <c r="L17" s="2" t="s">
        <v>162</v>
      </c>
      <c r="O17" s="48">
        <v>0.08</v>
      </c>
      <c r="Q17" s="2" t="s">
        <v>162</v>
      </c>
      <c r="T17" s="48"/>
    </row>
    <row r="18" spans="1:22" x14ac:dyDescent="0.2">
      <c r="B18" s="2" t="s">
        <v>163</v>
      </c>
      <c r="E18" s="48">
        <f>CHOOSE(E14,J18,O18,T18)</f>
        <v>0.02</v>
      </c>
      <c r="G18" s="2" t="s">
        <v>163</v>
      </c>
      <c r="J18" s="48"/>
      <c r="L18" s="2" t="s">
        <v>163</v>
      </c>
      <c r="O18" s="48">
        <v>0.02</v>
      </c>
      <c r="Q18" s="2" t="s">
        <v>163</v>
      </c>
      <c r="T18" s="48"/>
    </row>
    <row r="22" spans="1:22" x14ac:dyDescent="0.2">
      <c r="A22" s="42" t="s">
        <v>22</v>
      </c>
      <c r="B22" s="43" t="s">
        <v>165</v>
      </c>
      <c r="C22" s="43"/>
      <c r="D22" s="43"/>
      <c r="E22" s="43"/>
      <c r="F22" s="43"/>
      <c r="G22" s="49">
        <v>18</v>
      </c>
      <c r="H22" s="49">
        <f>G22+1</f>
        <v>19</v>
      </c>
      <c r="I22" s="49">
        <f t="shared" ref="I22:V22" si="0">H22+1</f>
        <v>20</v>
      </c>
      <c r="J22" s="49">
        <f t="shared" si="0"/>
        <v>21</v>
      </c>
      <c r="K22" s="49">
        <f t="shared" si="0"/>
        <v>22</v>
      </c>
      <c r="L22" s="49">
        <f t="shared" si="0"/>
        <v>23</v>
      </c>
      <c r="M22" s="50">
        <f t="shared" si="0"/>
        <v>24</v>
      </c>
      <c r="N22" s="50">
        <f t="shared" si="0"/>
        <v>25</v>
      </c>
      <c r="O22" s="50">
        <f t="shared" si="0"/>
        <v>26</v>
      </c>
      <c r="P22" s="50">
        <f t="shared" si="0"/>
        <v>27</v>
      </c>
      <c r="Q22" s="50">
        <f t="shared" si="0"/>
        <v>28</v>
      </c>
      <c r="R22" s="50">
        <f t="shared" si="0"/>
        <v>29</v>
      </c>
      <c r="S22" s="50">
        <f t="shared" si="0"/>
        <v>30</v>
      </c>
      <c r="T22" s="50">
        <f t="shared" si="0"/>
        <v>31</v>
      </c>
      <c r="U22" s="50">
        <f t="shared" si="0"/>
        <v>32</v>
      </c>
      <c r="V22" s="50">
        <f t="shared" si="0"/>
        <v>33</v>
      </c>
    </row>
    <row r="23" spans="1:22" x14ac:dyDescent="0.2">
      <c r="B23" s="2" t="s">
        <v>161</v>
      </c>
      <c r="G23" s="3">
        <f>Model!T29</f>
        <v>26145</v>
      </c>
      <c r="H23" s="3">
        <f>Model!U29</f>
        <v>28287</v>
      </c>
      <c r="I23" s="3">
        <f>Model!V29</f>
        <v>20402</v>
      </c>
      <c r="J23" s="3">
        <f>Model!W29</f>
        <v>27716</v>
      </c>
      <c r="K23" s="3">
        <f>Model!X29</f>
        <v>32569</v>
      </c>
      <c r="L23" s="3">
        <f>Model!Y29</f>
        <v>35947</v>
      </c>
      <c r="M23" s="3">
        <f ca="1">L23*(1+M24)</f>
        <v>38463.29</v>
      </c>
      <c r="N23" s="3">
        <f t="shared" ref="N23:V23" ca="1" si="1">M23*(1+N24)</f>
        <v>41128.795997000001</v>
      </c>
      <c r="O23" s="3">
        <f t="shared" ca="1" si="1"/>
        <v>43950.519303966183</v>
      </c>
      <c r="P23" s="3">
        <f t="shared" ca="1" si="1"/>
        <v>46935.679449074523</v>
      </c>
      <c r="Q23" s="3">
        <f t="shared" ca="1" si="1"/>
        <v>50091.71529745392</v>
      </c>
      <c r="R23" s="3">
        <f t="shared" ca="1" si="1"/>
        <v>53426.285895575078</v>
      </c>
      <c r="S23" s="3">
        <f t="shared" ca="1" si="1"/>
        <v>56947.271029458534</v>
      </c>
      <c r="T23" s="3">
        <f t="shared" ca="1" si="1"/>
        <v>60662.771488368351</v>
      </c>
      <c r="U23" s="3">
        <f t="shared" ca="1" si="1"/>
        <v>64581.109026181315</v>
      </c>
      <c r="V23" s="3">
        <f t="shared" ca="1" si="1"/>
        <v>68710.826013173981</v>
      </c>
    </row>
    <row r="24" spans="1:22" x14ac:dyDescent="0.2">
      <c r="B24" s="51" t="s">
        <v>166</v>
      </c>
      <c r="C24" s="52"/>
      <c r="G24" s="53"/>
      <c r="H24" s="54">
        <f>H23/G23-1</f>
        <v>8.192771084337358E-2</v>
      </c>
      <c r="I24" s="54">
        <f t="shared" ref="I24:L24" si="2">I23/H23-1</f>
        <v>-0.27874995581008943</v>
      </c>
      <c r="J24" s="54">
        <f t="shared" si="2"/>
        <v>0.3584942652681109</v>
      </c>
      <c r="K24" s="54">
        <f t="shared" si="2"/>
        <v>0.17509741665463996</v>
      </c>
      <c r="L24" s="54">
        <f t="shared" si="2"/>
        <v>0.10371825969480186</v>
      </c>
      <c r="M24" s="54" cm="1">
        <f t="array" aca="1" ref="M24" ca="1">OFFSET(M24,$E$11,,)</f>
        <v>7.0000000000000007E-2</v>
      </c>
      <c r="N24" s="54" cm="1">
        <f t="array" aca="1" ref="N24" ca="1">OFFSET(N24,$E$11,,)</f>
        <v>6.93E-2</v>
      </c>
      <c r="O24" s="54" cm="1">
        <f t="array" aca="1" ref="O24" ca="1">OFFSET(O24,$E$11,,)</f>
        <v>6.8607000000000001E-2</v>
      </c>
      <c r="P24" s="54" cm="1">
        <f t="array" aca="1" ref="P24" ca="1">OFFSET(P24,$E$11,,)</f>
        <v>6.7920930000000004E-2</v>
      </c>
      <c r="Q24" s="54" cm="1">
        <f t="array" aca="1" ref="Q24" ca="1">OFFSET(Q24,$E$11,,)</f>
        <v>6.7241720700000007E-2</v>
      </c>
      <c r="R24" s="54" cm="1">
        <f t="array" aca="1" ref="R24" ca="1">OFFSET(R24,$E$11,,)</f>
        <v>6.6569303493000012E-2</v>
      </c>
      <c r="S24" s="54" cm="1">
        <f t="array" aca="1" ref="S24" ca="1">OFFSET(S24,$E$11,,)</f>
        <v>6.5903610458070014E-2</v>
      </c>
      <c r="T24" s="54" cm="1">
        <f t="array" aca="1" ref="T24" ca="1">OFFSET(T24,$E$11,,)</f>
        <v>6.5244574353489307E-2</v>
      </c>
      <c r="U24" s="54" cm="1">
        <f t="array" aca="1" ref="U24" ca="1">OFFSET(U24,$E$11,,)</f>
        <v>6.4592128609954419E-2</v>
      </c>
      <c r="V24" s="54" cm="1">
        <f t="array" aca="1" ref="V24" ca="1">OFFSET(V24,$E$11,,)</f>
        <v>6.3946207323854878E-2</v>
      </c>
    </row>
    <row r="25" spans="1:22" x14ac:dyDescent="0.2">
      <c r="B25" s="51" t="s">
        <v>154</v>
      </c>
      <c r="C25" s="52"/>
      <c r="H25" s="29"/>
      <c r="I25" s="29"/>
      <c r="J25" s="29"/>
      <c r="K25" s="29"/>
      <c r="L25" s="29"/>
      <c r="M25" s="55">
        <v>7.0000000000000007E-2</v>
      </c>
      <c r="N25" s="55">
        <f>M25*(1-5%)</f>
        <v>6.6500000000000004E-2</v>
      </c>
      <c r="O25" s="55">
        <f t="shared" ref="O25:V25" si="3">N25*(1-5%)</f>
        <v>6.3174999999999995E-2</v>
      </c>
      <c r="P25" s="55">
        <f t="shared" si="3"/>
        <v>6.0016249999999993E-2</v>
      </c>
      <c r="Q25" s="55">
        <f t="shared" si="3"/>
        <v>5.7015437499999988E-2</v>
      </c>
      <c r="R25" s="55">
        <f t="shared" si="3"/>
        <v>5.4164665624999983E-2</v>
      </c>
      <c r="S25" s="55">
        <f t="shared" si="3"/>
        <v>5.1456432343749983E-2</v>
      </c>
      <c r="T25" s="55">
        <f t="shared" si="3"/>
        <v>4.8883610726562485E-2</v>
      </c>
      <c r="U25" s="55">
        <f t="shared" si="3"/>
        <v>4.643943019023436E-2</v>
      </c>
      <c r="V25" s="55">
        <f t="shared" si="3"/>
        <v>4.4117458680722643E-2</v>
      </c>
    </row>
    <row r="26" spans="1:22" x14ac:dyDescent="0.2">
      <c r="B26" s="51" t="s">
        <v>167</v>
      </c>
      <c r="C26" s="52"/>
      <c r="H26" s="29"/>
      <c r="I26" s="29"/>
      <c r="J26" s="29"/>
      <c r="K26" s="29"/>
      <c r="L26" s="29"/>
      <c r="M26" s="55">
        <v>7.0000000000000007E-2</v>
      </c>
      <c r="N26" s="55">
        <f>M26*(1-1%)</f>
        <v>6.93E-2</v>
      </c>
      <c r="O26" s="55">
        <f t="shared" ref="O26:V26" si="4">N26*(1-1%)</f>
        <v>6.8607000000000001E-2</v>
      </c>
      <c r="P26" s="55">
        <f t="shared" si="4"/>
        <v>6.7920930000000004E-2</v>
      </c>
      <c r="Q26" s="55">
        <f t="shared" si="4"/>
        <v>6.7241720700000007E-2</v>
      </c>
      <c r="R26" s="55">
        <f t="shared" si="4"/>
        <v>6.6569303493000012E-2</v>
      </c>
      <c r="S26" s="55">
        <f t="shared" si="4"/>
        <v>6.5903610458070014E-2</v>
      </c>
      <c r="T26" s="55">
        <f t="shared" si="4"/>
        <v>6.5244574353489307E-2</v>
      </c>
      <c r="U26" s="55">
        <f t="shared" si="4"/>
        <v>6.4592128609954419E-2</v>
      </c>
      <c r="V26" s="55">
        <f t="shared" si="4"/>
        <v>6.3946207323854878E-2</v>
      </c>
    </row>
    <row r="27" spans="1:22" x14ac:dyDescent="0.2">
      <c r="B27" s="51" t="s">
        <v>168</v>
      </c>
      <c r="C27" s="52"/>
      <c r="H27" s="29"/>
      <c r="I27" s="29"/>
      <c r="J27" s="29"/>
      <c r="K27" s="29"/>
      <c r="L27" s="29"/>
      <c r="M27" s="55">
        <v>7.0000000000000007E-2</v>
      </c>
      <c r="N27" s="55">
        <f>M27*(1+1%)</f>
        <v>7.0700000000000013E-2</v>
      </c>
      <c r="O27" s="55">
        <f t="shared" ref="O27:R27" si="5">N27*(1+1%)</f>
        <v>7.1407000000000012E-2</v>
      </c>
      <c r="P27" s="55">
        <f t="shared" si="5"/>
        <v>7.2121070000000009E-2</v>
      </c>
      <c r="Q27" s="55">
        <f t="shared" si="5"/>
        <v>7.2842280700000012E-2</v>
      </c>
      <c r="R27" s="55">
        <f t="shared" si="5"/>
        <v>7.3570703507000013E-2</v>
      </c>
      <c r="S27" s="55">
        <v>7.0999999999999994E-2</v>
      </c>
      <c r="T27" s="55">
        <v>6.9000000000000006E-2</v>
      </c>
      <c r="U27" s="55">
        <v>6.6000000000000003E-2</v>
      </c>
      <c r="V27" s="55">
        <v>6.4000000000000001E-2</v>
      </c>
    </row>
    <row r="29" spans="1:22" x14ac:dyDescent="0.2">
      <c r="B29" s="2" t="s">
        <v>30</v>
      </c>
      <c r="G29" s="3">
        <f>Model!T34-Model!T94</f>
        <v>4357</v>
      </c>
      <c r="H29" s="3">
        <f>Model!U34-Model!U94</f>
        <v>4773</v>
      </c>
      <c r="I29" s="3">
        <f>Model!V34-Model!V94</f>
        <v>1506</v>
      </c>
      <c r="J29" s="3">
        <f>Model!W34-Model!W94</f>
        <v>4282</v>
      </c>
      <c r="K29" s="3">
        <f>Model!X34-Model!X94</f>
        <v>5749</v>
      </c>
      <c r="L29" s="3">
        <f>Model!Y34-Model!Y94</f>
        <v>6808</v>
      </c>
      <c r="M29" s="3">
        <f ca="1">M30*M23</f>
        <v>7692.6580000000004</v>
      </c>
      <c r="N29" s="3">
        <f t="shared" ref="N29:V29" ca="1" si="6">N30*N23</f>
        <v>8431.403179384999</v>
      </c>
      <c r="O29" s="3">
        <f t="shared" ca="1" si="6"/>
        <v>9229.6090538328972</v>
      </c>
      <c r="P29" s="3">
        <f t="shared" ca="1" si="6"/>
        <v>10091.171081551023</v>
      </c>
      <c r="Q29" s="3">
        <f t="shared" ca="1" si="6"/>
        <v>11020.177365439862</v>
      </c>
      <c r="R29" s="3">
        <f t="shared" ca="1" si="6"/>
        <v>12288.045755982268</v>
      </c>
      <c r="S29" s="3">
        <f t="shared" ca="1" si="6"/>
        <v>13382.608691922755</v>
      </c>
      <c r="T29" s="3">
        <f t="shared" ca="1" si="6"/>
        <v>14559.065157208404</v>
      </c>
      <c r="U29" s="3">
        <f t="shared" ca="1" si="6"/>
        <v>15822.371711414422</v>
      </c>
      <c r="V29" s="3">
        <f t="shared" ca="1" si="6"/>
        <v>17177.706503293495</v>
      </c>
    </row>
    <row r="30" spans="1:22" x14ac:dyDescent="0.2">
      <c r="B30" s="51" t="s">
        <v>169</v>
      </c>
      <c r="G30" s="54">
        <f>G29/G23</f>
        <v>0.16664754255115702</v>
      </c>
      <c r="H30" s="54">
        <f t="shared" ref="H30:L30" si="7">H29/H23</f>
        <v>0.16873475448085692</v>
      </c>
      <c r="I30" s="54">
        <f t="shared" si="7"/>
        <v>7.3816292520341137E-2</v>
      </c>
      <c r="J30" s="54">
        <f t="shared" si="7"/>
        <v>0.15449559821041997</v>
      </c>
      <c r="K30" s="54">
        <f t="shared" si="7"/>
        <v>0.17651754736098743</v>
      </c>
      <c r="L30" s="54">
        <f t="shared" si="7"/>
        <v>0.18938993518235181</v>
      </c>
      <c r="M30" s="54" cm="1">
        <f t="array" aca="1" ref="M30" ca="1">OFFSET(M30,$E$12,,)</f>
        <v>0.2</v>
      </c>
      <c r="N30" s="54" cm="1">
        <f t="array" aca="1" ref="N30" ca="1">OFFSET(N30,$E$12,,)</f>
        <v>0.20499999999999999</v>
      </c>
      <c r="O30" s="54" cm="1">
        <f t="array" aca="1" ref="O30" ca="1">OFFSET(O30,$E$12,,)</f>
        <v>0.21</v>
      </c>
      <c r="P30" s="54" cm="1">
        <f t="array" aca="1" ref="P30" ca="1">OFFSET(P30,$E$12,,)</f>
        <v>0.215</v>
      </c>
      <c r="Q30" s="54" cm="1">
        <f t="array" aca="1" ref="Q30" ca="1">OFFSET(Q30,$E$12,,)</f>
        <v>0.22</v>
      </c>
      <c r="R30" s="54" cm="1">
        <f t="array" aca="1" ref="R30" ca="1">OFFSET(R30,$E$12,,)</f>
        <v>0.23</v>
      </c>
      <c r="S30" s="54" cm="1">
        <f t="array" aca="1" ref="S30" ca="1">OFFSET(S30,$E$12,,)</f>
        <v>0.23499999999999999</v>
      </c>
      <c r="T30" s="54" cm="1">
        <f t="array" aca="1" ref="T30" ca="1">OFFSET(T30,$E$12,,)</f>
        <v>0.24</v>
      </c>
      <c r="U30" s="54" cm="1">
        <f t="array" aca="1" ref="U30" ca="1">OFFSET(U30,$E$12,,)</f>
        <v>0.245</v>
      </c>
      <c r="V30" s="54" cm="1">
        <f t="array" aca="1" ref="V30" ca="1">OFFSET(V30,$E$12,,)</f>
        <v>0.25</v>
      </c>
    </row>
    <row r="31" spans="1:22" x14ac:dyDescent="0.2">
      <c r="B31" s="51" t="s">
        <v>154</v>
      </c>
      <c r="M31" s="55">
        <v>0.19</v>
      </c>
      <c r="N31" s="55">
        <v>0.19</v>
      </c>
      <c r="O31" s="55">
        <v>0.19</v>
      </c>
      <c r="P31" s="55">
        <v>0.19</v>
      </c>
      <c r="Q31" s="55">
        <v>0.19</v>
      </c>
      <c r="R31" s="55">
        <v>0.19</v>
      </c>
      <c r="S31" s="55">
        <v>0.19</v>
      </c>
      <c r="T31" s="55">
        <v>0.19</v>
      </c>
      <c r="U31" s="55">
        <v>0.19</v>
      </c>
      <c r="V31" s="55">
        <v>0.19</v>
      </c>
    </row>
    <row r="32" spans="1:22" x14ac:dyDescent="0.2">
      <c r="B32" s="51" t="s">
        <v>167</v>
      </c>
      <c r="M32" s="55">
        <v>0.2</v>
      </c>
      <c r="N32" s="55">
        <v>0.20499999999999999</v>
      </c>
      <c r="O32" s="55">
        <v>0.21</v>
      </c>
      <c r="P32" s="55">
        <v>0.215</v>
      </c>
      <c r="Q32" s="55">
        <v>0.22</v>
      </c>
      <c r="R32" s="55">
        <v>0.23</v>
      </c>
      <c r="S32" s="55">
        <v>0.23499999999999999</v>
      </c>
      <c r="T32" s="55">
        <v>0.24</v>
      </c>
      <c r="U32" s="55">
        <v>0.245</v>
      </c>
      <c r="V32" s="55">
        <v>0.25</v>
      </c>
    </row>
    <row r="33" spans="2:22" x14ac:dyDescent="0.2">
      <c r="B33" s="51" t="s">
        <v>168</v>
      </c>
      <c r="M33" s="55">
        <v>0.2</v>
      </c>
      <c r="N33" s="55">
        <f>M33*(1+5%)</f>
        <v>0.21000000000000002</v>
      </c>
      <c r="O33" s="55">
        <f t="shared" ref="O33:V33" si="8">N33*(1+5%)</f>
        <v>0.22050000000000003</v>
      </c>
      <c r="P33" s="55">
        <f t="shared" si="8"/>
        <v>0.23152500000000004</v>
      </c>
      <c r="Q33" s="55">
        <f t="shared" si="8"/>
        <v>0.24310125000000005</v>
      </c>
      <c r="R33" s="55">
        <f t="shared" si="8"/>
        <v>0.25525631250000008</v>
      </c>
      <c r="S33" s="55">
        <f t="shared" si="8"/>
        <v>0.26801912812500012</v>
      </c>
      <c r="T33" s="55">
        <f t="shared" si="8"/>
        <v>0.28142008453125011</v>
      </c>
      <c r="U33" s="55">
        <f t="shared" si="8"/>
        <v>0.29549108875781266</v>
      </c>
      <c r="V33" s="55">
        <f t="shared" si="8"/>
        <v>0.31026564319570332</v>
      </c>
    </row>
    <row r="35" spans="2:22" x14ac:dyDescent="0.2">
      <c r="B35" s="2" t="s">
        <v>170</v>
      </c>
      <c r="G35" s="3">
        <f>Model!T41</f>
        <v>980</v>
      </c>
      <c r="H35" s="3">
        <f>Model!U41</f>
        <v>1034</v>
      </c>
      <c r="I35" s="3">
        <f>Model!V41</f>
        <v>297</v>
      </c>
      <c r="J35" s="3">
        <f>Model!W41</f>
        <v>949</v>
      </c>
      <c r="K35" s="3">
        <f>Model!X41</f>
        <v>1211</v>
      </c>
      <c r="L35" s="3">
        <f>Model!Y41</f>
        <v>1475</v>
      </c>
      <c r="M35" s="3">
        <f ca="1">M36*M29</f>
        <v>1692.3847600000001</v>
      </c>
      <c r="N35" s="3">
        <f t="shared" ref="N35:V35" ca="1" si="9">N36*N29</f>
        <v>1854.9086994646998</v>
      </c>
      <c r="O35" s="3">
        <f t="shared" ca="1" si="9"/>
        <v>2030.5139918432374</v>
      </c>
      <c r="P35" s="3">
        <f t="shared" ca="1" si="9"/>
        <v>2220.057637941225</v>
      </c>
      <c r="Q35" s="3">
        <f t="shared" ca="1" si="9"/>
        <v>2424.4390203967696</v>
      </c>
      <c r="R35" s="3">
        <f t="shared" ca="1" si="9"/>
        <v>2703.3700663160989</v>
      </c>
      <c r="S35" s="3">
        <f t="shared" ca="1" si="9"/>
        <v>2944.173912223006</v>
      </c>
      <c r="T35" s="3">
        <f t="shared" ca="1" si="9"/>
        <v>3202.9943345858492</v>
      </c>
      <c r="U35" s="3">
        <f t="shared" ca="1" si="9"/>
        <v>3480.921776511173</v>
      </c>
      <c r="V35" s="3">
        <f t="shared" ca="1" si="9"/>
        <v>3779.0954307245688</v>
      </c>
    </row>
    <row r="36" spans="2:22" x14ac:dyDescent="0.2">
      <c r="B36" s="52" t="s">
        <v>171</v>
      </c>
      <c r="G36" s="54">
        <f t="shared" ref="G36:L36" si="10">G35/G29</f>
        <v>0.22492540739040623</v>
      </c>
      <c r="H36" s="54">
        <f t="shared" si="10"/>
        <v>0.21663523989105385</v>
      </c>
      <c r="I36" s="54">
        <f t="shared" si="10"/>
        <v>0.19721115537848605</v>
      </c>
      <c r="J36" s="54">
        <f t="shared" si="10"/>
        <v>0.2216254086875292</v>
      </c>
      <c r="K36" s="54">
        <f t="shared" si="10"/>
        <v>0.21064532962254304</v>
      </c>
      <c r="L36" s="54">
        <f t="shared" si="10"/>
        <v>0.21665687426556993</v>
      </c>
      <c r="M36" s="54">
        <v>0.22</v>
      </c>
      <c r="N36" s="54">
        <v>0.22</v>
      </c>
      <c r="O36" s="54">
        <v>0.22</v>
      </c>
      <c r="P36" s="54">
        <v>0.22</v>
      </c>
      <c r="Q36" s="54">
        <v>0.22</v>
      </c>
      <c r="R36" s="54">
        <v>0.22</v>
      </c>
      <c r="S36" s="54">
        <v>0.22</v>
      </c>
      <c r="T36" s="54">
        <v>0.22</v>
      </c>
      <c r="U36" s="54">
        <v>0.22</v>
      </c>
      <c r="V36" s="54">
        <v>0.22</v>
      </c>
    </row>
    <row r="37" spans="2:22" x14ac:dyDescent="0.2">
      <c r="B37" s="52"/>
    </row>
    <row r="38" spans="2:22" x14ac:dyDescent="0.2">
      <c r="B38" s="56" t="s">
        <v>172</v>
      </c>
      <c r="C38" s="57"/>
      <c r="D38" s="57"/>
      <c r="E38" s="57"/>
      <c r="F38" s="57"/>
      <c r="G38" s="58">
        <f t="shared" ref="G38:V38" si="11">G29-G35</f>
        <v>3377</v>
      </c>
      <c r="H38" s="58">
        <f t="shared" si="11"/>
        <v>3739</v>
      </c>
      <c r="I38" s="58">
        <f t="shared" si="11"/>
        <v>1209</v>
      </c>
      <c r="J38" s="58">
        <f t="shared" si="11"/>
        <v>3333</v>
      </c>
      <c r="K38" s="58">
        <f t="shared" si="11"/>
        <v>4538</v>
      </c>
      <c r="L38" s="58">
        <f t="shared" si="11"/>
        <v>5333</v>
      </c>
      <c r="M38" s="58">
        <f t="shared" ca="1" si="11"/>
        <v>6000.2732400000004</v>
      </c>
      <c r="N38" s="58">
        <f t="shared" ca="1" si="11"/>
        <v>6576.4944799202995</v>
      </c>
      <c r="O38" s="58">
        <f t="shared" ca="1" si="11"/>
        <v>7199.0950619896594</v>
      </c>
      <c r="P38" s="58">
        <f t="shared" ca="1" si="11"/>
        <v>7871.1134436097982</v>
      </c>
      <c r="Q38" s="58">
        <f t="shared" ca="1" si="11"/>
        <v>8595.7383450430934</v>
      </c>
      <c r="R38" s="58">
        <f t="shared" ca="1" si="11"/>
        <v>9584.6756896661682</v>
      </c>
      <c r="S38" s="58">
        <f t="shared" ca="1" si="11"/>
        <v>10438.434779699748</v>
      </c>
      <c r="T38" s="58">
        <f t="shared" ca="1" si="11"/>
        <v>11356.070822622554</v>
      </c>
      <c r="U38" s="58">
        <f t="shared" ca="1" si="11"/>
        <v>12341.449934903249</v>
      </c>
      <c r="V38" s="59">
        <f t="shared" ca="1" si="11"/>
        <v>13398.611072568927</v>
      </c>
    </row>
    <row r="40" spans="2:22" x14ac:dyDescent="0.2">
      <c r="B40" s="2" t="s">
        <v>28</v>
      </c>
      <c r="G40" s="3">
        <f>Model!T94</f>
        <v>1100</v>
      </c>
      <c r="H40" s="3">
        <f>Model!U94</f>
        <v>2826</v>
      </c>
      <c r="I40" s="3">
        <f>Model!V94</f>
        <v>3045</v>
      </c>
      <c r="J40" s="3">
        <f>Model!W94</f>
        <v>2901</v>
      </c>
      <c r="K40" s="3">
        <f>Model!X94</f>
        <v>2899</v>
      </c>
      <c r="L40" s="3">
        <f>Model!Y94</f>
        <v>3041</v>
      </c>
      <c r="M40" s="3">
        <f ca="1">M41*M23</f>
        <v>3269.3796500000003</v>
      </c>
      <c r="N40" s="3">
        <f t="shared" ref="N40:V40" ca="1" si="12">N41*N23</f>
        <v>3216.2718469654005</v>
      </c>
      <c r="O40" s="3">
        <f t="shared" ca="1" si="12"/>
        <v>3161.9761608045433</v>
      </c>
      <c r="P40" s="3">
        <f t="shared" ca="1" si="12"/>
        <v>3106.6012805014807</v>
      </c>
      <c r="Q40" s="3">
        <f t="shared" ca="1" si="12"/>
        <v>3050.2549364407255</v>
      </c>
      <c r="R40" s="3">
        <f t="shared" ca="1" si="12"/>
        <v>2993.0436203928157</v>
      </c>
      <c r="S40" s="3">
        <f t="shared" ca="1" si="12"/>
        <v>2935.0723211363797</v>
      </c>
      <c r="T40" s="3">
        <f t="shared" ca="1" si="12"/>
        <v>2876.4442761915807</v>
      </c>
      <c r="U40" s="3">
        <f t="shared" ca="1" si="12"/>
        <v>2817.2607400332176</v>
      </c>
      <c r="V40" s="3">
        <f t="shared" ca="1" si="12"/>
        <v>2757.6207690486794</v>
      </c>
    </row>
    <row r="41" spans="2:22" x14ac:dyDescent="0.2">
      <c r="B41" s="51" t="s">
        <v>169</v>
      </c>
      <c r="C41" s="53"/>
      <c r="D41" s="53"/>
      <c r="E41" s="53"/>
      <c r="F41" s="53"/>
      <c r="G41" s="60">
        <f t="shared" ref="G41:L41" si="13">G40/G23</f>
        <v>4.2073054121246893E-2</v>
      </c>
      <c r="H41" s="60">
        <f t="shared" si="13"/>
        <v>9.9904549793191216E-2</v>
      </c>
      <c r="I41" s="60">
        <f t="shared" si="13"/>
        <v>0.14925007352220371</v>
      </c>
      <c r="J41" s="60">
        <f t="shared" si="13"/>
        <v>0.10466878337422428</v>
      </c>
      <c r="K41" s="60">
        <f t="shared" si="13"/>
        <v>8.9011022751696395E-2</v>
      </c>
      <c r="L41" s="60">
        <f t="shared" si="13"/>
        <v>8.4596767463209724E-2</v>
      </c>
      <c r="M41" s="61">
        <v>8.5000000000000006E-2</v>
      </c>
      <c r="N41" s="61">
        <f>M41*(1-8%)</f>
        <v>7.8200000000000006E-2</v>
      </c>
      <c r="O41" s="61">
        <f t="shared" ref="O41:V41" si="14">N41*(1-8%)</f>
        <v>7.1944000000000008E-2</v>
      </c>
      <c r="P41" s="61">
        <f t="shared" si="14"/>
        <v>6.6188480000000008E-2</v>
      </c>
      <c r="Q41" s="61">
        <f t="shared" si="14"/>
        <v>6.0893401600000008E-2</v>
      </c>
      <c r="R41" s="61">
        <f t="shared" si="14"/>
        <v>5.6021929472000007E-2</v>
      </c>
      <c r="S41" s="61">
        <f t="shared" si="14"/>
        <v>5.1540175114240007E-2</v>
      </c>
      <c r="T41" s="61">
        <f t="shared" si="14"/>
        <v>4.7416961105100811E-2</v>
      </c>
      <c r="U41" s="61">
        <f t="shared" si="14"/>
        <v>4.362360421669275E-2</v>
      </c>
      <c r="V41" s="61">
        <f t="shared" si="14"/>
        <v>4.013371587935733E-2</v>
      </c>
    </row>
    <row r="43" spans="2:22" x14ac:dyDescent="0.2">
      <c r="B43" s="2" t="s">
        <v>173</v>
      </c>
      <c r="G43" s="25">
        <f>Model!T105+Model!T104</f>
        <v>-1462</v>
      </c>
      <c r="H43" s="25">
        <f>Model!U105+Model!U104</f>
        <v>-1112</v>
      </c>
      <c r="I43" s="25">
        <f>Model!V105+Model!V104</f>
        <v>-677</v>
      </c>
      <c r="J43" s="25">
        <f>Model!W105+Model!W104</f>
        <v>-1126</v>
      </c>
      <c r="K43" s="25">
        <f>Model!X105+Model!X104</f>
        <v>-1415</v>
      </c>
      <c r="L43" s="25">
        <f>Model!Y105+Model!Y104</f>
        <v>-1872</v>
      </c>
      <c r="M43" s="25">
        <f ca="1">M44*M23</f>
        <v>-2000.0910799999999</v>
      </c>
      <c r="N43" s="25">
        <f t="shared" ref="N43:V43" ca="1" si="15">N44*N23</f>
        <v>-2031.7625222517997</v>
      </c>
      <c r="O43" s="25">
        <f t="shared" ca="1" si="15"/>
        <v>-2062.5978709351325</v>
      </c>
      <c r="P43" s="25">
        <f t="shared" ca="1" si="15"/>
        <v>-2092.5568647178134</v>
      </c>
      <c r="Q43" s="25">
        <f t="shared" ca="1" si="15"/>
        <v>-2121.6007895158345</v>
      </c>
      <c r="R43" s="25">
        <f t="shared" ca="1" si="15"/>
        <v>-2149.6925625458975</v>
      </c>
      <c r="S43" s="25">
        <f t="shared" ca="1" si="15"/>
        <v>-2176.7968106029057</v>
      </c>
      <c r="T43" s="25">
        <f t="shared" ca="1" si="15"/>
        <v>-2202.8799423664891</v>
      </c>
      <c r="U43" s="25">
        <f t="shared" ca="1" si="15"/>
        <v>-2227.9102145703087</v>
      </c>
      <c r="V43" s="25">
        <f t="shared" ca="1" si="15"/>
        <v>-2251.8577918976475</v>
      </c>
    </row>
    <row r="44" spans="2:22" x14ac:dyDescent="0.2">
      <c r="B44" s="51" t="s">
        <v>169</v>
      </c>
      <c r="G44" s="60">
        <f t="shared" ref="G44:L44" si="16">G43/G23</f>
        <v>-5.5918913750239052E-2</v>
      </c>
      <c r="H44" s="60">
        <f t="shared" si="16"/>
        <v>-3.9311344433838866E-2</v>
      </c>
      <c r="I44" s="60">
        <f t="shared" si="16"/>
        <v>-3.3183021272424271E-2</v>
      </c>
      <c r="J44" s="60">
        <f t="shared" si="16"/>
        <v>-4.0626353009092224E-2</v>
      </c>
      <c r="K44" s="60">
        <f t="shared" si="16"/>
        <v>-4.3446221867419942E-2</v>
      </c>
      <c r="L44" s="60">
        <f t="shared" si="16"/>
        <v>-5.2076668428519768E-2</v>
      </c>
      <c r="M44" s="61">
        <v>-5.1999999999999998E-2</v>
      </c>
      <c r="N44" s="61">
        <f>M44*(1-5%)</f>
        <v>-4.9399999999999993E-2</v>
      </c>
      <c r="O44" s="61">
        <f t="shared" ref="O44:V44" si="17">N44*(1-5%)</f>
        <v>-4.6929999999999993E-2</v>
      </c>
      <c r="P44" s="61">
        <f t="shared" si="17"/>
        <v>-4.4583499999999991E-2</v>
      </c>
      <c r="Q44" s="61">
        <f t="shared" si="17"/>
        <v>-4.2354324999999991E-2</v>
      </c>
      <c r="R44" s="61">
        <f t="shared" si="17"/>
        <v>-4.0236608749999993E-2</v>
      </c>
      <c r="S44" s="61">
        <f t="shared" si="17"/>
        <v>-3.8224778312499992E-2</v>
      </c>
      <c r="T44" s="61">
        <f t="shared" si="17"/>
        <v>-3.631353939687499E-2</v>
      </c>
      <c r="U44" s="61">
        <f t="shared" si="17"/>
        <v>-3.4497862427031241E-2</v>
      </c>
      <c r="V44" s="61">
        <f t="shared" si="17"/>
        <v>-3.2772969305679675E-2</v>
      </c>
    </row>
    <row r="46" spans="2:22" x14ac:dyDescent="0.2">
      <c r="B46" s="2" t="s">
        <v>174</v>
      </c>
      <c r="G46" s="25">
        <f>Model!T102</f>
        <v>-349</v>
      </c>
      <c r="H46" s="25">
        <f>Model!U102</f>
        <v>205</v>
      </c>
      <c r="I46" s="25">
        <f>Model!V102</f>
        <v>-847</v>
      </c>
      <c r="J46" s="25">
        <f>Model!W102</f>
        <v>223</v>
      </c>
      <c r="K46" s="25">
        <f>Model!X102</f>
        <v>-669</v>
      </c>
      <c r="L46" s="25">
        <f>Model!Y102</f>
        <v>-57</v>
      </c>
      <c r="M46" s="25">
        <f ca="1">M47*M23</f>
        <v>-384.63290000000001</v>
      </c>
      <c r="N46" s="25">
        <f t="shared" ref="N46:V46" ca="1" si="18">N47*N23</f>
        <v>-394.8364415712</v>
      </c>
      <c r="O46" s="25">
        <f t="shared" ca="1" si="18"/>
        <v>-405.04798590535228</v>
      </c>
      <c r="P46" s="25">
        <f t="shared" ca="1" si="18"/>
        <v>-415.25685293056392</v>
      </c>
      <c r="Q46" s="25">
        <f t="shared" ca="1" si="18"/>
        <v>-425.45226072391853</v>
      </c>
      <c r="R46" s="25">
        <f t="shared" ca="1" si="18"/>
        <v>-435.62334853423874</v>
      </c>
      <c r="S46" s="25">
        <f t="shared" ca="1" si="18"/>
        <v>-445.75920000238006</v>
      </c>
      <c r="T46" s="25">
        <f t="shared" ca="1" si="18"/>
        <v>-455.84886649985975</v>
      </c>
      <c r="U46" s="25">
        <f t="shared" ca="1" si="18"/>
        <v>-465.88139050705985</v>
      </c>
      <c r="V46" s="25">
        <f t="shared" ca="1" si="18"/>
        <v>-475.84582895304004</v>
      </c>
    </row>
    <row r="47" spans="2:22" x14ac:dyDescent="0.2">
      <c r="B47" s="51" t="s">
        <v>169</v>
      </c>
      <c r="G47" s="60">
        <f t="shared" ref="G47:L47" si="19">G46/G23</f>
        <v>-1.3348632625741059E-2</v>
      </c>
      <c r="H47" s="60">
        <f t="shared" si="19"/>
        <v>7.2471453317778482E-3</v>
      </c>
      <c r="I47" s="60">
        <f t="shared" si="19"/>
        <v>-4.15155376923831E-2</v>
      </c>
      <c r="J47" s="60">
        <f t="shared" si="19"/>
        <v>8.0458940684081399E-3</v>
      </c>
      <c r="K47" s="60">
        <f t="shared" si="19"/>
        <v>-2.0541005250391476E-2</v>
      </c>
      <c r="L47" s="60">
        <f t="shared" si="19"/>
        <v>-1.5856677886889031E-3</v>
      </c>
      <c r="M47" s="61">
        <v>-0.01</v>
      </c>
      <c r="N47" s="61">
        <f>M47*(1-4%)</f>
        <v>-9.5999999999999992E-3</v>
      </c>
      <c r="O47" s="61">
        <f t="shared" ref="O47:V47" si="20">N47*(1-4%)</f>
        <v>-9.2159999999999985E-3</v>
      </c>
      <c r="P47" s="61">
        <f t="shared" si="20"/>
        <v>-8.8473599999999986E-3</v>
      </c>
      <c r="Q47" s="61">
        <f t="shared" si="20"/>
        <v>-8.493465599999998E-3</v>
      </c>
      <c r="R47" s="61">
        <f t="shared" si="20"/>
        <v>-8.1537269759999979E-3</v>
      </c>
      <c r="S47" s="61">
        <f t="shared" si="20"/>
        <v>-7.8275778969599981E-3</v>
      </c>
      <c r="T47" s="61">
        <f t="shared" si="20"/>
        <v>-7.514474781081598E-3</v>
      </c>
      <c r="U47" s="61">
        <f t="shared" si="20"/>
        <v>-7.2138957898383342E-3</v>
      </c>
      <c r="V47" s="61">
        <f t="shared" si="20"/>
        <v>-6.9253399582448003E-3</v>
      </c>
    </row>
    <row r="49" spans="1:22" x14ac:dyDescent="0.2">
      <c r="B49" s="62" t="s">
        <v>175</v>
      </c>
      <c r="C49" s="63"/>
      <c r="D49" s="63"/>
      <c r="E49" s="63"/>
      <c r="F49" s="63"/>
      <c r="G49" s="63">
        <f>G38+G40+G43+G46</f>
        <v>2666</v>
      </c>
      <c r="H49" s="63">
        <f t="shared" ref="H49:L49" si="21">H38+H40+H43+H46</f>
        <v>5658</v>
      </c>
      <c r="I49" s="63">
        <f t="shared" si="21"/>
        <v>2730</v>
      </c>
      <c r="J49" s="63">
        <f t="shared" si="21"/>
        <v>5331</v>
      </c>
      <c r="K49" s="63">
        <f t="shared" si="21"/>
        <v>5353</v>
      </c>
      <c r="L49" s="63">
        <f t="shared" si="21"/>
        <v>6445</v>
      </c>
      <c r="M49" s="63">
        <f ca="1">M38+M40+M43+M46</f>
        <v>6884.9289100000015</v>
      </c>
      <c r="N49" s="63">
        <f t="shared" ref="N49:V49" ca="1" si="22">N38+N40+N43+N46</f>
        <v>7366.1673630626992</v>
      </c>
      <c r="O49" s="63">
        <f t="shared" ca="1" si="22"/>
        <v>7893.4253659537171</v>
      </c>
      <c r="P49" s="63">
        <f t="shared" ca="1" si="22"/>
        <v>8469.9010064629019</v>
      </c>
      <c r="Q49" s="63">
        <f t="shared" ca="1" si="22"/>
        <v>9098.940231244067</v>
      </c>
      <c r="R49" s="63">
        <f t="shared" ca="1" si="22"/>
        <v>9992.4033989788477</v>
      </c>
      <c r="S49" s="63">
        <f t="shared" ca="1" si="22"/>
        <v>10750.951090230843</v>
      </c>
      <c r="T49" s="63">
        <f t="shared" ca="1" si="22"/>
        <v>11573.786289947786</v>
      </c>
      <c r="U49" s="63">
        <f t="shared" ca="1" si="22"/>
        <v>12464.919069859097</v>
      </c>
      <c r="V49" s="64">
        <f t="shared" ca="1" si="22"/>
        <v>13428.528220766917</v>
      </c>
    </row>
    <row r="50" spans="1:22" x14ac:dyDescent="0.2">
      <c r="B50" s="65" t="s">
        <v>176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>
        <f ca="1">(M49*M51)/(1+$D$13)^M51</f>
        <v>2600.9731437777782</v>
      </c>
      <c r="N50" s="66">
        <f t="shared" ref="N50:V50" ca="1" si="23">N49/(1+$D$13)^N51</f>
        <v>7366.1673630626992</v>
      </c>
      <c r="O50" s="66">
        <f t="shared" ca="1" si="23"/>
        <v>7893.4253659537171</v>
      </c>
      <c r="P50" s="66">
        <f t="shared" ca="1" si="23"/>
        <v>8469.9010064629019</v>
      </c>
      <c r="Q50" s="66">
        <f t="shared" ca="1" si="23"/>
        <v>9098.940231244067</v>
      </c>
      <c r="R50" s="66">
        <f t="shared" ca="1" si="23"/>
        <v>9992.4033989788477</v>
      </c>
      <c r="S50" s="66">
        <f t="shared" ca="1" si="23"/>
        <v>10750.951090230843</v>
      </c>
      <c r="T50" s="66">
        <f t="shared" ca="1" si="23"/>
        <v>11573.786289947786</v>
      </c>
      <c r="U50" s="66">
        <f t="shared" ca="1" si="23"/>
        <v>12464.919069859097</v>
      </c>
      <c r="V50" s="67">
        <f t="shared" ca="1" si="23"/>
        <v>13428.528220766917</v>
      </c>
    </row>
    <row r="51" spans="1:22" x14ac:dyDescent="0.2">
      <c r="B51" s="2" t="s">
        <v>177</v>
      </c>
      <c r="M51" s="34">
        <f>YEARFRAC(E4,E5)</f>
        <v>0.37777777777777777</v>
      </c>
      <c r="N51" s="34">
        <f>M51+1</f>
        <v>1.3777777777777778</v>
      </c>
      <c r="O51" s="34">
        <f>N51+1</f>
        <v>2.3777777777777778</v>
      </c>
      <c r="P51" s="34">
        <f t="shared" ref="P51:V51" si="24">O51+1</f>
        <v>3.3777777777777778</v>
      </c>
      <c r="Q51" s="34">
        <f t="shared" si="24"/>
        <v>4.3777777777777782</v>
      </c>
      <c r="R51" s="34">
        <f t="shared" si="24"/>
        <v>5.3777777777777782</v>
      </c>
      <c r="S51" s="34">
        <f t="shared" si="24"/>
        <v>6.3777777777777782</v>
      </c>
      <c r="T51" s="34">
        <f t="shared" si="24"/>
        <v>7.3777777777777782</v>
      </c>
      <c r="U51" s="34">
        <f t="shared" si="24"/>
        <v>8.3777777777777782</v>
      </c>
      <c r="V51" s="34">
        <f t="shared" si="24"/>
        <v>9.3777777777777782</v>
      </c>
    </row>
    <row r="52" spans="1:22" x14ac:dyDescent="0.2">
      <c r="B52" s="2" t="s">
        <v>178</v>
      </c>
      <c r="N52" s="3"/>
      <c r="O52" s="3"/>
      <c r="P52" s="3"/>
      <c r="Q52" s="3"/>
      <c r="V52" s="3">
        <f ca="1">SUM(M50:V50)</f>
        <v>93639.995180284663</v>
      </c>
    </row>
    <row r="53" spans="1:22" x14ac:dyDescent="0.2">
      <c r="B53" s="2" t="s">
        <v>179</v>
      </c>
      <c r="N53" s="3"/>
      <c r="O53" s="3"/>
      <c r="P53" s="3"/>
      <c r="Q53" s="3"/>
      <c r="V53" s="3">
        <f ca="1">(V49*(1+E18))/(E17-E18)</f>
        <v>228284.97975303759</v>
      </c>
    </row>
    <row r="54" spans="1:22" x14ac:dyDescent="0.2">
      <c r="B54" s="18" t="s">
        <v>180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68"/>
      <c r="O54" s="68"/>
      <c r="P54" s="68"/>
      <c r="Q54" s="68"/>
      <c r="R54" s="68"/>
      <c r="S54" s="68"/>
      <c r="T54" s="68"/>
      <c r="U54" s="68"/>
      <c r="V54" s="68">
        <f ca="1">V53/(1+E17)^V51</f>
        <v>110926.87698637611</v>
      </c>
    </row>
    <row r="55" spans="1:22" x14ac:dyDescent="0.2">
      <c r="B55" s="9" t="s">
        <v>181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69"/>
      <c r="O55" s="69"/>
      <c r="P55" s="69"/>
      <c r="Q55" s="69"/>
      <c r="R55" s="69"/>
      <c r="S55" s="69"/>
      <c r="T55" s="69"/>
      <c r="U55" s="69"/>
      <c r="V55" s="69">
        <f ca="1">V52+V54</f>
        <v>204566.87216666079</v>
      </c>
    </row>
    <row r="56" spans="1:22" x14ac:dyDescent="0.2">
      <c r="B56" s="2" t="s">
        <v>182</v>
      </c>
      <c r="N56" s="3"/>
      <c r="O56" s="3"/>
      <c r="P56" s="3"/>
      <c r="Q56" s="3"/>
      <c r="V56" s="3">
        <f>Main!J6</f>
        <v>10399</v>
      </c>
    </row>
    <row r="57" spans="1:22" x14ac:dyDescent="0.2">
      <c r="B57" s="18" t="s">
        <v>183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68"/>
      <c r="O57" s="68"/>
      <c r="P57" s="68"/>
      <c r="Q57" s="68"/>
      <c r="R57" s="68"/>
      <c r="S57" s="68"/>
      <c r="T57" s="68"/>
      <c r="U57" s="68"/>
      <c r="V57" s="68">
        <f>Main!J7</f>
        <v>1</v>
      </c>
    </row>
    <row r="58" spans="1:22" x14ac:dyDescent="0.2">
      <c r="B58" s="2" t="s">
        <v>184</v>
      </c>
      <c r="N58" s="3"/>
      <c r="O58" s="3"/>
      <c r="P58" s="3"/>
      <c r="Q58" s="3"/>
      <c r="V58" s="3">
        <f ca="1">V55+V56-V57</f>
        <v>214964.87216666079</v>
      </c>
    </row>
    <row r="59" spans="1:22" x14ac:dyDescent="0.2">
      <c r="B59" s="18" t="s">
        <v>185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68"/>
      <c r="O59" s="68"/>
      <c r="P59" s="68"/>
      <c r="Q59" s="68"/>
      <c r="R59" s="68"/>
      <c r="S59" s="68"/>
      <c r="T59" s="68"/>
      <c r="U59" s="68"/>
      <c r="V59" s="68">
        <f>Main!J4</f>
        <v>3115.9215389999999</v>
      </c>
    </row>
    <row r="60" spans="1:22" x14ac:dyDescent="0.2">
      <c r="B60" s="2" t="s">
        <v>147</v>
      </c>
      <c r="V60" s="34">
        <f ca="1">V58/V59</f>
        <v>68.989180079178112</v>
      </c>
    </row>
    <row r="64" spans="1:22" x14ac:dyDescent="0.2">
      <c r="A64" s="42" t="s">
        <v>22</v>
      </c>
      <c r="B64" s="43" t="s">
        <v>186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6" spans="2:10" x14ac:dyDescent="0.2">
      <c r="B66" s="70"/>
      <c r="C66" s="83" t="s">
        <v>163</v>
      </c>
      <c r="D66" s="83"/>
      <c r="E66" s="83"/>
      <c r="F66" s="83"/>
      <c r="G66" s="83"/>
      <c r="H66" s="83"/>
      <c r="I66" s="83"/>
      <c r="J66" s="84"/>
    </row>
    <row r="67" spans="2:10" x14ac:dyDescent="0.2">
      <c r="B67" s="85" t="s">
        <v>162</v>
      </c>
      <c r="C67" s="71"/>
      <c r="D67" s="72"/>
      <c r="E67" s="72"/>
      <c r="F67" s="72"/>
      <c r="G67" s="72"/>
      <c r="H67" s="72"/>
      <c r="I67" s="72"/>
      <c r="J67" s="72"/>
    </row>
    <row r="68" spans="2:10" x14ac:dyDescent="0.2">
      <c r="B68" s="85"/>
      <c r="C68" s="73"/>
      <c r="D68" s="35"/>
      <c r="E68" s="35"/>
      <c r="F68" s="35"/>
      <c r="G68" s="35"/>
      <c r="H68" s="35"/>
      <c r="I68" s="35"/>
      <c r="J68" s="35"/>
    </row>
    <row r="69" spans="2:10" x14ac:dyDescent="0.2">
      <c r="B69" s="85"/>
      <c r="C69" s="73"/>
      <c r="D69" s="35"/>
      <c r="E69" s="35"/>
      <c r="F69" s="35"/>
      <c r="G69" s="35"/>
      <c r="H69" s="35"/>
      <c r="I69" s="35"/>
      <c r="J69" s="35"/>
    </row>
    <row r="70" spans="2:10" x14ac:dyDescent="0.2">
      <c r="B70" s="85"/>
      <c r="C70" s="73"/>
      <c r="D70" s="35"/>
      <c r="E70" s="35"/>
      <c r="F70" s="35"/>
      <c r="G70" s="35"/>
      <c r="H70" s="35"/>
      <c r="I70" s="35"/>
      <c r="J70" s="35"/>
    </row>
    <row r="71" spans="2:10" x14ac:dyDescent="0.2">
      <c r="B71" s="85"/>
      <c r="C71" s="73"/>
      <c r="D71" s="35"/>
      <c r="E71" s="35"/>
      <c r="F71" s="35"/>
      <c r="G71" s="35"/>
      <c r="H71" s="35"/>
      <c r="I71" s="35"/>
      <c r="J71" s="35"/>
    </row>
    <row r="72" spans="2:10" x14ac:dyDescent="0.2">
      <c r="B72" s="85"/>
      <c r="C72" s="73"/>
      <c r="D72" s="35"/>
      <c r="E72" s="35"/>
      <c r="F72" s="35"/>
      <c r="G72" s="35"/>
      <c r="H72" s="35"/>
      <c r="I72" s="35"/>
      <c r="J72" s="35"/>
    </row>
    <row r="73" spans="2:10" x14ac:dyDescent="0.2">
      <c r="B73" s="85"/>
      <c r="C73" s="73"/>
      <c r="D73" s="35"/>
      <c r="E73" s="35"/>
      <c r="F73" s="35"/>
      <c r="G73" s="35"/>
      <c r="H73" s="35"/>
      <c r="I73" s="35"/>
      <c r="J73" s="35"/>
    </row>
    <row r="74" spans="2:10" x14ac:dyDescent="0.2">
      <c r="B74" s="86"/>
      <c r="C74" s="73"/>
      <c r="D74" s="35"/>
      <c r="E74" s="35"/>
      <c r="F74" s="35"/>
      <c r="G74" s="35"/>
      <c r="H74" s="35"/>
      <c r="I74" s="35"/>
      <c r="J74" s="35"/>
    </row>
  </sheetData>
  <mergeCells count="2">
    <mergeCell ref="C66:J66"/>
    <mergeCell ref="B67:B74"/>
  </mergeCells>
  <dataValidations count="1">
    <dataValidation type="list" allowBlank="1" showInputMessage="1" showErrorMessage="1" sqref="E11:E14 H11:H13 M11:M13 R11:R13" xr:uid="{6B56E263-763B-4B13-A9E1-0DFCA987FECA}">
      <formula1>"1,2,3"</formula1>
    </dataValidation>
  </dataValidations>
  <hyperlinks>
    <hyperlink ref="A1" location="Main!A1" display="Main" xr:uid="{AE40ACCF-DB1B-43A4-8E21-7300949F0B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2024-06-14T08:52:39Z</dcterms:created>
  <dcterms:modified xsi:type="dcterms:W3CDTF">2026-09-09T08:08:33Z</dcterms:modified>
</cp:coreProperties>
</file>