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818962C-3E03-4FE1-81A7-6108584C9467}" xr6:coauthVersionLast="47" xr6:coauthVersionMax="47" xr10:uidLastSave="{00000000-0000-0000-0000-000000000000}"/>
  <bookViews>
    <workbookView xWindow="19095" yWindow="0" windowWidth="19410" windowHeight="20925" xr2:uid="{C51DE7BF-0E76-4BFC-AC60-72AAABFBEE4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M6" i="2"/>
  <c r="M35" i="2" s="1"/>
  <c r="M5" i="2"/>
  <c r="M4" i="2"/>
  <c r="M33" i="2" s="1"/>
  <c r="M3" i="2"/>
  <c r="M32" i="2" s="1"/>
  <c r="M34" i="2"/>
  <c r="M12" i="2"/>
  <c r="M41" i="2" s="1"/>
  <c r="M11" i="2"/>
  <c r="M40" i="2" s="1"/>
  <c r="M10" i="2"/>
  <c r="M9" i="2"/>
  <c r="M8" i="2"/>
  <c r="M45" i="2"/>
  <c r="M44" i="2"/>
  <c r="M43" i="2"/>
  <c r="M42" i="2"/>
  <c r="M39" i="2"/>
  <c r="M38" i="2"/>
  <c r="M37" i="2"/>
  <c r="M36" i="2"/>
  <c r="M29" i="2"/>
  <c r="M27" i="2"/>
  <c r="M26" i="2"/>
  <c r="M25" i="2"/>
  <c r="M24" i="2"/>
  <c r="M23" i="2"/>
  <c r="M22" i="2"/>
  <c r="M21" i="2"/>
  <c r="M20" i="2"/>
  <c r="M19" i="2"/>
  <c r="M18" i="2"/>
  <c r="M17" i="2"/>
  <c r="M15" i="2"/>
  <c r="M16" i="2"/>
  <c r="M14" i="2"/>
  <c r="M13" i="2"/>
  <c r="J7" i="1"/>
  <c r="L36" i="2"/>
  <c r="L32" i="2"/>
  <c r="L41" i="2"/>
  <c r="L40" i="2"/>
  <c r="L39" i="2"/>
  <c r="L38" i="2"/>
  <c r="L37" i="2"/>
  <c r="L45" i="2"/>
  <c r="L44" i="2"/>
  <c r="L43" i="2"/>
  <c r="L42" i="2"/>
  <c r="L35" i="2"/>
  <c r="L34" i="2"/>
  <c r="L33" i="2"/>
  <c r="L29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29" i="2"/>
  <c r="K27" i="2"/>
  <c r="K25" i="2"/>
  <c r="K23" i="2"/>
  <c r="K20" i="2"/>
  <c r="K15" i="2"/>
  <c r="F30" i="2"/>
  <c r="J30" i="2"/>
  <c r="S15" i="2"/>
  <c r="S20" i="2" s="1"/>
  <c r="S23" i="2" s="1"/>
  <c r="S25" i="2" s="1"/>
  <c r="S27" i="2" s="1"/>
  <c r="S29" i="2" s="1"/>
  <c r="R15" i="2"/>
  <c r="R20" i="2" s="1"/>
  <c r="R23" i="2" s="1"/>
  <c r="R25" i="2" s="1"/>
  <c r="R27" i="2" s="1"/>
  <c r="R29" i="2" s="1"/>
  <c r="Q15" i="2"/>
  <c r="Q20" i="2" s="1"/>
  <c r="Q23" i="2" s="1"/>
  <c r="Q25" i="2" s="1"/>
  <c r="Q27" i="2" s="1"/>
  <c r="Q29" i="2" s="1"/>
  <c r="P15" i="2"/>
  <c r="P20" i="2" s="1"/>
  <c r="P23" i="2" s="1"/>
  <c r="P25" i="2" s="1"/>
  <c r="P27" i="2" s="1"/>
  <c r="P29" i="2" s="1"/>
  <c r="T15" i="2"/>
  <c r="T20" i="2" s="1"/>
  <c r="T23" i="2" s="1"/>
  <c r="T25" i="2" s="1"/>
  <c r="T27" i="2" s="1"/>
  <c r="T29" i="2" s="1"/>
  <c r="I36" i="2"/>
  <c r="I35" i="2"/>
  <c r="I34" i="2"/>
  <c r="I33" i="2"/>
  <c r="I41" i="2"/>
  <c r="I37" i="2"/>
  <c r="E15" i="2"/>
  <c r="E43" i="2" s="1"/>
  <c r="I15" i="2"/>
  <c r="I20" i="2" s="1"/>
  <c r="D7" i="2"/>
  <c r="F7" i="2" s="1"/>
  <c r="D6" i="2"/>
  <c r="D5" i="2"/>
  <c r="F5" i="2" s="1"/>
  <c r="D4" i="2"/>
  <c r="F4" i="2" s="1"/>
  <c r="D3" i="2"/>
  <c r="H7" i="2"/>
  <c r="J7" i="2" s="1"/>
  <c r="H6" i="2"/>
  <c r="J6" i="2" s="1"/>
  <c r="H5" i="2"/>
  <c r="J5" i="2" s="1"/>
  <c r="H4" i="2"/>
  <c r="J4" i="2" s="1"/>
  <c r="H3" i="2"/>
  <c r="J3" i="2" s="1"/>
  <c r="D12" i="2"/>
  <c r="F12" i="2" s="1"/>
  <c r="D11" i="2"/>
  <c r="F11" i="2" s="1"/>
  <c r="D10" i="2"/>
  <c r="F10" i="2" s="1"/>
  <c r="D9" i="2"/>
  <c r="F9" i="2" s="1"/>
  <c r="D8" i="2"/>
  <c r="F8" i="2" s="1"/>
  <c r="H12" i="2"/>
  <c r="H11" i="2"/>
  <c r="J11" i="2" s="1"/>
  <c r="H10" i="2"/>
  <c r="J10" i="2" s="1"/>
  <c r="H9" i="2"/>
  <c r="J9" i="2" s="1"/>
  <c r="H8" i="2"/>
  <c r="D26" i="2"/>
  <c r="F26" i="2" s="1"/>
  <c r="D24" i="2"/>
  <c r="F24" i="2" s="1"/>
  <c r="D22" i="2"/>
  <c r="F22" i="2" s="1"/>
  <c r="D21" i="2"/>
  <c r="F21" i="2" s="1"/>
  <c r="D19" i="2"/>
  <c r="F19" i="2" s="1"/>
  <c r="D18" i="2"/>
  <c r="F18" i="2" s="1"/>
  <c r="D17" i="2"/>
  <c r="F17" i="2" s="1"/>
  <c r="D16" i="2"/>
  <c r="F16" i="2" s="1"/>
  <c r="D14" i="2"/>
  <c r="F14" i="2" s="1"/>
  <c r="D13" i="2"/>
  <c r="D15" i="2" s="1"/>
  <c r="H26" i="2"/>
  <c r="H24" i="2"/>
  <c r="H22" i="2"/>
  <c r="J22" i="2" s="1"/>
  <c r="H21" i="2"/>
  <c r="J21" i="2" s="1"/>
  <c r="H19" i="2"/>
  <c r="J19" i="2" s="1"/>
  <c r="H18" i="2"/>
  <c r="J18" i="2" s="1"/>
  <c r="H17" i="2"/>
  <c r="J17" i="2" s="1"/>
  <c r="H16" i="2"/>
  <c r="J16" i="2" s="1"/>
  <c r="H14" i="2"/>
  <c r="J14" i="2" s="1"/>
  <c r="H13" i="2"/>
  <c r="J13" i="2" s="1"/>
  <c r="K10" i="1"/>
  <c r="C43" i="2"/>
  <c r="I42" i="2"/>
  <c r="I40" i="2"/>
  <c r="I39" i="2"/>
  <c r="I38" i="2"/>
  <c r="I32" i="2"/>
  <c r="G42" i="2"/>
  <c r="G41" i="2"/>
  <c r="G40" i="2"/>
  <c r="G39" i="2"/>
  <c r="G38" i="2"/>
  <c r="G37" i="2"/>
  <c r="G36" i="2"/>
  <c r="G35" i="2"/>
  <c r="G34" i="2"/>
  <c r="G33" i="2"/>
  <c r="G32" i="2"/>
  <c r="C15" i="2"/>
  <c r="C20" i="2" s="1"/>
  <c r="C23" i="2" s="1"/>
  <c r="C25" i="2" s="1"/>
  <c r="C27" i="2" s="1"/>
  <c r="C29" i="2" s="1"/>
  <c r="G15" i="2"/>
  <c r="G20" i="2" s="1"/>
  <c r="G23" i="2" s="1"/>
  <c r="G25" i="2" s="1"/>
  <c r="G27" i="2" s="1"/>
  <c r="G29" i="2" s="1"/>
  <c r="J5" i="1"/>
  <c r="H39" i="2" l="1"/>
  <c r="G43" i="2"/>
  <c r="H37" i="2"/>
  <c r="G44" i="2"/>
  <c r="J34" i="2"/>
  <c r="J33" i="2"/>
  <c r="J36" i="2"/>
  <c r="G45" i="2"/>
  <c r="F13" i="2"/>
  <c r="F15" i="2" s="1"/>
  <c r="J38" i="2"/>
  <c r="C45" i="2"/>
  <c r="J39" i="2"/>
  <c r="H32" i="2"/>
  <c r="J40" i="2"/>
  <c r="H41" i="2"/>
  <c r="I23" i="2"/>
  <c r="I44" i="2"/>
  <c r="F20" i="2"/>
  <c r="J15" i="2"/>
  <c r="J42" i="2"/>
  <c r="D43" i="2"/>
  <c r="D20" i="2"/>
  <c r="H35" i="2"/>
  <c r="H15" i="2"/>
  <c r="F3" i="2"/>
  <c r="J32" i="2" s="1"/>
  <c r="H36" i="2"/>
  <c r="F6" i="2"/>
  <c r="J35" i="2" s="1"/>
  <c r="J8" i="2"/>
  <c r="J37" i="2" s="1"/>
  <c r="H42" i="2"/>
  <c r="H38" i="2"/>
  <c r="E20" i="2"/>
  <c r="J12" i="2"/>
  <c r="J41" i="2" s="1"/>
  <c r="H40" i="2"/>
  <c r="H33" i="2"/>
  <c r="C44" i="2"/>
  <c r="F43" i="2"/>
  <c r="I43" i="2"/>
  <c r="H34" i="2"/>
  <c r="J8" i="1"/>
  <c r="I25" i="2" l="1"/>
  <c r="I27" i="2" s="1"/>
  <c r="I29" i="2" s="1"/>
  <c r="I45" i="2"/>
  <c r="E44" i="2"/>
  <c r="E23" i="2"/>
  <c r="H43" i="2"/>
  <c r="H20" i="2"/>
  <c r="D44" i="2"/>
  <c r="D23" i="2"/>
  <c r="J43" i="2"/>
  <c r="J20" i="2"/>
  <c r="F44" i="2"/>
  <c r="F23" i="2"/>
  <c r="F45" i="2" l="1"/>
  <c r="F25" i="2"/>
  <c r="F27" i="2" s="1"/>
  <c r="F29" i="2" s="1"/>
  <c r="J44" i="2"/>
  <c r="J23" i="2"/>
  <c r="D25" i="2"/>
  <c r="D27" i="2" s="1"/>
  <c r="D29" i="2" s="1"/>
  <c r="D45" i="2"/>
  <c r="H23" i="2"/>
  <c r="H44" i="2"/>
  <c r="E25" i="2"/>
  <c r="E27" i="2" s="1"/>
  <c r="E29" i="2" s="1"/>
  <c r="E45" i="2"/>
  <c r="H25" i="2" l="1"/>
  <c r="H27" i="2" s="1"/>
  <c r="H29" i="2" s="1"/>
  <c r="H45" i="2"/>
  <c r="J25" i="2"/>
  <c r="J27" i="2" s="1"/>
  <c r="J29" i="2" s="1"/>
  <c r="J45" i="2"/>
</calcChain>
</file>

<file path=xl/sharedStrings.xml><?xml version="1.0" encoding="utf-8"?>
<sst xmlns="http://schemas.openxmlformats.org/spreadsheetml/2006/main" count="84" uniqueCount="78">
  <si>
    <t>Fast Retailing</t>
  </si>
  <si>
    <t>Price</t>
  </si>
  <si>
    <t>Shares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</si>
  <si>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</si>
  <si>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</si>
  <si>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</si>
  <si>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</si>
  <si>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</si>
  <si>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</si>
  <si>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</si>
  <si>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</si>
  <si>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</si>
  <si>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IR</t>
  </si>
  <si>
    <t>numbers in mio Yen</t>
  </si>
  <si>
    <t>9983.T</t>
  </si>
  <si>
    <t>Q125</t>
  </si>
  <si>
    <t>Revenue</t>
  </si>
  <si>
    <t>Q225</t>
  </si>
  <si>
    <t>Q325</t>
  </si>
  <si>
    <t>Q425</t>
  </si>
  <si>
    <t>COGS</t>
  </si>
  <si>
    <t>Gross Profit</t>
  </si>
  <si>
    <t>SG&amp;A</t>
  </si>
  <si>
    <t>Other Income</t>
  </si>
  <si>
    <t>Other Expenses</t>
  </si>
  <si>
    <t>Profit of subsidaries</t>
  </si>
  <si>
    <t>Operating Income</t>
  </si>
  <si>
    <t>Finance Income</t>
  </si>
  <si>
    <t>Finance Expense</t>
  </si>
  <si>
    <t>Pretax Income</t>
  </si>
  <si>
    <t>Tax Expense</t>
  </si>
  <si>
    <t>Net Income</t>
  </si>
  <si>
    <t>Minority Interest</t>
  </si>
  <si>
    <t>Net Income to Company</t>
  </si>
  <si>
    <t>EPS</t>
  </si>
  <si>
    <t>Segments</t>
  </si>
  <si>
    <t>Products</t>
  </si>
  <si>
    <t>UNIQLO Japan</t>
  </si>
  <si>
    <t>UNIQLO International</t>
  </si>
  <si>
    <t xml:space="preserve">UNIQLO Japan </t>
  </si>
  <si>
    <t>GU</t>
  </si>
  <si>
    <t>Global Brands</t>
  </si>
  <si>
    <t>Global Brans</t>
  </si>
  <si>
    <t>Other</t>
  </si>
  <si>
    <t>% of Rev</t>
  </si>
  <si>
    <t xml:space="preserve">Japan </t>
  </si>
  <si>
    <t>Greater China</t>
  </si>
  <si>
    <t>Asia &amp; Australia</t>
  </si>
  <si>
    <t>North America</t>
  </si>
  <si>
    <t>Europe</t>
  </si>
  <si>
    <t>Japan Growth</t>
  </si>
  <si>
    <t>China Growth</t>
  </si>
  <si>
    <t>Asia Growth</t>
  </si>
  <si>
    <t>North America Growth</t>
  </si>
  <si>
    <t>Europe Growth</t>
  </si>
  <si>
    <t>UNIQLO Japan Growth</t>
  </si>
  <si>
    <t>UNIQLO Intern. Growth</t>
  </si>
  <si>
    <t>GU Growth</t>
  </si>
  <si>
    <t>Global Brands Growth</t>
  </si>
  <si>
    <t>Other Growth</t>
  </si>
  <si>
    <t>Revenue Growth</t>
  </si>
  <si>
    <t xml:space="preserve">Gross Margin </t>
  </si>
  <si>
    <t xml:space="preserve">Operating Margin </t>
  </si>
  <si>
    <t>Tax Rate</t>
  </si>
  <si>
    <t>Store Count:</t>
  </si>
  <si>
    <t>Employee Count:</t>
  </si>
  <si>
    <t>CEO</t>
  </si>
  <si>
    <t>Management</t>
  </si>
  <si>
    <t>Tadashi Yanai</t>
  </si>
  <si>
    <t>FY21</t>
  </si>
  <si>
    <t>FY22</t>
  </si>
  <si>
    <t>FY23</t>
  </si>
  <si>
    <t>FY24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</si>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</sst>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7" fillId="0" borderId="0" xfId="0" applyFont="1"/>
    <xf numFmtId="0" fontId="4" fillId="0" borderId="0" xfId="0" applyFont="1"/>
    <xf numFmtId="3" fontId="4" fillId="0" borderId="0" xfId="0" applyNumberFormat="1" applyFont="1"/>
    <xf numFmtId="0" fontId="8" fillId="0" borderId="0" xfId="1" applyFont="1"/>
    <xf numFmtId="0" fontId="4" fillId="0" borderId="0" xfId="0" applyFont="1" applyAlignment="1">
      <alignment horizontal="right"/>
    </xf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9" fillId="0" borderId="0" xfId="0" applyFont="1"/>
    <xf numFmtId="0" fontId="4" fillId="0" borderId="0" xfId="0" applyFont="1" applyAlignment="1">
      <alignment horizontal="center"/>
    </xf>
    <xf numFmtId="3" fontId="7" fillId="0" borderId="0" xfId="0" applyNumberFormat="1" applyFont="1"/>
    <xf numFmtId="164" fontId="4" fillId="0" borderId="0" xfId="0" applyNumberFormat="1" applyFont="1"/>
    <xf numFmtId="9" fontId="4" fillId="0" borderId="0" xfId="2" applyFont="1"/>
    <xf numFmtId="9" fontId="7" fillId="0" borderId="0" xfId="2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stretailing.com/eng/ir/library/tansh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60AF-353C-4D62-948D-7EB06D7260C7}">
  <dimension ref="A1:K14"/>
  <sheetViews>
    <sheetView tabSelected="1" topLeftCell="C1" zoomScale="200" zoomScaleNormal="200" workbookViewId="0">
      <selection activeCell="G14" sqref="G14"/>
    </sheetView>
  </sheetViews>
  <sheetFormatPr defaultRowHeight="12.75" x14ac:dyDescent="0.2"/>
  <cols>
    <col min="1" max="1" width="3.7109375" style="2" customWidth="1"/>
    <col min="2" max="2" width="20.140625" style="2" bestFit="1" customWidth="1"/>
    <col min="3" max="9" width="9.140625" style="2"/>
    <col min="10" max="10" width="11.28515625" style="2" bestFit="1" customWidth="1"/>
    <col min="11" max="11" width="9.28515625" style="2" bestFit="1" customWidth="1"/>
    <col min="12" max="16384" width="9.140625" style="2"/>
  </cols>
  <sheetData>
    <row r="1" spans="1:11" x14ac:dyDescent="0.2">
      <c r="A1" s="1" t="s">
        <v>0</v>
      </c>
    </row>
    <row r="2" spans="1:11" x14ac:dyDescent="0.2">
      <c r="A2" s="2" t="s">
        <v>13</v>
      </c>
    </row>
    <row r="3" spans="1:11" x14ac:dyDescent="0.2">
      <c r="I3" s="2" t="s">
        <v>1</v>
      </c>
      <c r="J3" s="3">
        <v>82110</v>
      </c>
    </row>
    <row r="4" spans="1:11" x14ac:dyDescent="0.2">
      <c r="B4" s="4" t="s">
        <v>12</v>
      </c>
      <c r="I4" s="2" t="s">
        <v>2</v>
      </c>
      <c r="J4" s="3">
        <v>306.83511800000002</v>
      </c>
      <c r="K4" s="25" t="s">
        <v>76</v>
      </c>
    </row>
    <row r="5" spans="1:11" x14ac:dyDescent="0.2">
      <c r="B5" s="2" t="s">
        <v>14</v>
      </c>
      <c r="I5" s="2" t="s">
        <v>3</v>
      </c>
      <c r="J5" s="3">
        <f>J4*J3</f>
        <v>25194231.538980003</v>
      </c>
    </row>
    <row r="6" spans="1:11" x14ac:dyDescent="0.2">
      <c r="I6" s="2" t="s">
        <v>4</v>
      </c>
      <c r="J6" s="3">
        <v>1132.078</v>
      </c>
      <c r="K6" s="25" t="s">
        <v>76</v>
      </c>
    </row>
    <row r="7" spans="1:11" x14ac:dyDescent="0.2">
      <c r="B7" s="6" t="s">
        <v>35</v>
      </c>
      <c r="C7" s="7" t="s">
        <v>44</v>
      </c>
      <c r="D7" s="7" t="s">
        <v>36</v>
      </c>
      <c r="E7" s="8"/>
      <c r="I7" s="2" t="s">
        <v>5</v>
      </c>
      <c r="J7" s="3">
        <f>91380+141535</f>
        <v>232915</v>
      </c>
      <c r="K7" s="25" t="s">
        <v>76</v>
      </c>
    </row>
    <row r="8" spans="1:11" x14ac:dyDescent="0.2">
      <c r="B8" s="9" t="s">
        <v>37</v>
      </c>
      <c r="C8" s="10"/>
      <c r="D8" s="10"/>
      <c r="E8" s="11"/>
      <c r="I8" s="2" t="s">
        <v>6</v>
      </c>
      <c r="J8" s="3">
        <f>J5+J7-J6</f>
        <v>25426014.460980002</v>
      </c>
    </row>
    <row r="9" spans="1:11" x14ac:dyDescent="0.2">
      <c r="B9" s="12" t="s">
        <v>38</v>
      </c>
      <c r="E9" s="13"/>
    </row>
    <row r="10" spans="1:11" x14ac:dyDescent="0.2">
      <c r="B10" s="12" t="s">
        <v>40</v>
      </c>
      <c r="E10" s="13"/>
      <c r="I10" s="2" t="s">
        <v>64</v>
      </c>
      <c r="K10" s="3">
        <f>729+783</f>
        <v>1512</v>
      </c>
    </row>
    <row r="11" spans="1:11" x14ac:dyDescent="0.2">
      <c r="B11" s="14" t="s">
        <v>42</v>
      </c>
      <c r="C11" s="15"/>
      <c r="D11" s="15"/>
      <c r="E11" s="16"/>
      <c r="I11" s="2" t="s">
        <v>65</v>
      </c>
    </row>
    <row r="13" spans="1:11" x14ac:dyDescent="0.2">
      <c r="I13" s="17" t="s">
        <v>67</v>
      </c>
    </row>
    <row r="14" spans="1:11" x14ac:dyDescent="0.2">
      <c r="I14" s="2" t="s">
        <v>66</v>
      </c>
      <c r="J14" s="2" t="s">
        <v>68</v>
      </c>
    </row>
  </sheetData>
  <hyperlinks>
    <hyperlink ref="B4" r:id="rId1" xr:uid="{D96766EA-C7E8-45CA-B620-8DBCE72A97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E377-B68B-4065-B032-EB2CBD2D9E42}">
  <dimension ref="A1:BD251"/>
  <sheetViews>
    <sheetView zoomScale="200" zoomScaleNormal="2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M8" sqref="M8"/>
    </sheetView>
  </sheetViews>
  <sheetFormatPr defaultRowHeight="12.75" x14ac:dyDescent="0.2"/>
  <cols>
    <col min="1" max="1" width="4.7109375" style="2" bestFit="1" customWidth="1"/>
    <col min="2" max="2" width="21.5703125" style="2" customWidth="1"/>
    <col min="3" max="10" width="9.140625" style="2"/>
    <col min="11" max="13" width="9.5703125" style="2" bestFit="1" customWidth="1"/>
    <col min="14" max="18" width="9.140625" style="2"/>
    <col min="19" max="20" width="9.5703125" style="2" bestFit="1" customWidth="1"/>
    <col min="21" max="16384" width="9.140625" style="2"/>
  </cols>
  <sheetData>
    <row r="1" spans="1:56" x14ac:dyDescent="0.2">
      <c r="A1" s="4" t="s">
        <v>7</v>
      </c>
    </row>
    <row r="2" spans="1:56" x14ac:dyDescent="0.2">
      <c r="C2" s="5" t="s">
        <v>8</v>
      </c>
      <c r="D2" s="5" t="s">
        <v>9</v>
      </c>
      <c r="E2" s="5" t="s">
        <v>10</v>
      </c>
      <c r="F2" s="5" t="s">
        <v>11</v>
      </c>
      <c r="G2" s="5" t="s">
        <v>15</v>
      </c>
      <c r="H2" s="5" t="s">
        <v>17</v>
      </c>
      <c r="I2" s="5" t="s">
        <v>18</v>
      </c>
      <c r="J2" s="23" t="s">
        <v>19</v>
      </c>
      <c r="K2" s="24" t="s">
        <v>74</v>
      </c>
      <c r="L2" s="24" t="s">
        <v>75</v>
      </c>
      <c r="M2" s="24" t="s">
        <v>76</v>
      </c>
      <c r="N2" s="24" t="s">
        <v>77</v>
      </c>
      <c r="P2" s="23" t="s">
        <v>69</v>
      </c>
      <c r="Q2" s="23" t="s">
        <v>70</v>
      </c>
      <c r="R2" s="23" t="s">
        <v>71</v>
      </c>
      <c r="S2" s="23" t="s">
        <v>72</v>
      </c>
      <c r="T2" s="23" t="s">
        <v>73</v>
      </c>
    </row>
    <row r="3" spans="1:56" x14ac:dyDescent="0.2">
      <c r="B3" s="2" t="s">
        <v>45</v>
      </c>
      <c r="C3" s="3">
        <v>244498</v>
      </c>
      <c r="D3" s="3">
        <f>541545-C3</f>
        <v>297047</v>
      </c>
      <c r="E3" s="3">
        <v>180512</v>
      </c>
      <c r="F3" s="3">
        <f>+S3-SUM(C3:E3)</f>
        <v>210170</v>
      </c>
      <c r="G3" s="3">
        <v>266602</v>
      </c>
      <c r="H3" s="3">
        <f>485108-G3</f>
        <v>218506</v>
      </c>
      <c r="I3" s="3">
        <v>316314</v>
      </c>
      <c r="J3" s="3">
        <f>+T3-SUM(G3:I3)</f>
        <v>224674</v>
      </c>
      <c r="K3" s="3">
        <v>299069</v>
      </c>
      <c r="L3" s="3">
        <v>282671</v>
      </c>
      <c r="M3" s="3">
        <f>867690-SUM(K3:L3)</f>
        <v>285950</v>
      </c>
      <c r="N3" s="3"/>
      <c r="O3" s="3"/>
      <c r="P3" s="3"/>
      <c r="Q3" s="3"/>
      <c r="R3" s="3"/>
      <c r="S3" s="3">
        <v>932227</v>
      </c>
      <c r="T3" s="3">
        <v>1026096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56" x14ac:dyDescent="0.2">
      <c r="B4" s="2" t="s">
        <v>46</v>
      </c>
      <c r="C4" s="3">
        <v>180347</v>
      </c>
      <c r="D4" s="3">
        <f>361705-C4</f>
        <v>181358</v>
      </c>
      <c r="E4" s="3">
        <v>160764</v>
      </c>
      <c r="F4" s="3">
        <f t="shared" ref="F4:F26" si="0">+S4-SUM(C4:E4)</f>
        <v>154594</v>
      </c>
      <c r="G4" s="3">
        <v>178610</v>
      </c>
      <c r="H4" s="3">
        <f>360453-G4</f>
        <v>181843</v>
      </c>
      <c r="I4" s="3">
        <v>150038</v>
      </c>
      <c r="J4" s="3">
        <f t="shared" ref="J4:J22" si="1">+T4-SUM(G4:I4)</f>
        <v>139741</v>
      </c>
      <c r="K4" s="3">
        <v>191161</v>
      </c>
      <c r="L4" s="3">
        <v>196612</v>
      </c>
      <c r="M4" s="3">
        <f>560839-SUM(K4:L4)</f>
        <v>173066</v>
      </c>
      <c r="N4" s="3"/>
      <c r="O4" s="3"/>
      <c r="P4" s="3"/>
      <c r="Q4" s="3"/>
      <c r="R4" s="3"/>
      <c r="S4" s="3">
        <v>677063</v>
      </c>
      <c r="T4" s="3">
        <v>650232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56" x14ac:dyDescent="0.2">
      <c r="B5" s="2" t="s">
        <v>47</v>
      </c>
      <c r="C5" s="3">
        <v>131273</v>
      </c>
      <c r="D5" s="3">
        <f>320496-C5</f>
        <v>189223</v>
      </c>
      <c r="E5" s="3">
        <v>84051</v>
      </c>
      <c r="F5" s="3">
        <f t="shared" si="0"/>
        <v>135979</v>
      </c>
      <c r="G5" s="3">
        <v>154138</v>
      </c>
      <c r="H5" s="3">
        <f>272818-G5</f>
        <v>118680</v>
      </c>
      <c r="I5" s="3">
        <v>196405</v>
      </c>
      <c r="J5" s="3">
        <f t="shared" si="1"/>
        <v>150194</v>
      </c>
      <c r="K5" s="3">
        <v>187051</v>
      </c>
      <c r="L5" s="3">
        <v>222010</v>
      </c>
      <c r="M5" s="3">
        <f>617575-SUM(K5:L5)</f>
        <v>208514</v>
      </c>
      <c r="N5" s="3"/>
      <c r="O5" s="3"/>
      <c r="P5" s="3"/>
      <c r="Q5" s="3"/>
      <c r="R5" s="3"/>
      <c r="S5" s="3">
        <v>540526</v>
      </c>
      <c r="T5" s="3">
        <v>619417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56" x14ac:dyDescent="0.2">
      <c r="B6" s="2" t="s">
        <v>48</v>
      </c>
      <c r="C6" s="3">
        <v>57971</v>
      </c>
      <c r="D6" s="3">
        <f>137365-C6</f>
        <v>79394</v>
      </c>
      <c r="E6" s="3">
        <v>22962</v>
      </c>
      <c r="F6" s="3">
        <f t="shared" si="0"/>
        <v>57388</v>
      </c>
      <c r="G6" s="3">
        <v>68013</v>
      </c>
      <c r="H6" s="3">
        <f>108540-G6</f>
        <v>40527</v>
      </c>
      <c r="I6" s="3">
        <v>92387</v>
      </c>
      <c r="J6" s="3">
        <f t="shared" si="1"/>
        <v>70203</v>
      </c>
      <c r="K6" s="3">
        <v>88695</v>
      </c>
      <c r="L6" s="3">
        <v>88875</v>
      </c>
      <c r="M6" s="3">
        <f>268164-SUM(K6:L6)</f>
        <v>90594</v>
      </c>
      <c r="N6" s="3"/>
      <c r="O6" s="3"/>
      <c r="P6" s="3"/>
      <c r="Q6" s="3"/>
      <c r="R6" s="3"/>
      <c r="S6" s="3">
        <v>217715</v>
      </c>
      <c r="T6" s="3">
        <v>271130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56" x14ac:dyDescent="0.2">
      <c r="B7" s="2" t="s">
        <v>49</v>
      </c>
      <c r="C7" s="3">
        <v>71726</v>
      </c>
      <c r="D7" s="3">
        <f>194588-C7</f>
        <v>122862</v>
      </c>
      <c r="E7" s="3">
        <v>10917</v>
      </c>
      <c r="F7" s="3">
        <f t="shared" si="0"/>
        <v>71023</v>
      </c>
      <c r="G7" s="3">
        <v>102004</v>
      </c>
      <c r="H7" s="3">
        <f>142172-G7</f>
        <v>40168</v>
      </c>
      <c r="I7" s="3">
        <v>134320</v>
      </c>
      <c r="J7" s="3">
        <f t="shared" si="1"/>
        <v>93017</v>
      </c>
      <c r="K7" s="3">
        <v>136954</v>
      </c>
      <c r="L7" s="3">
        <v>130017</v>
      </c>
      <c r="M7" s="3">
        <f>387447-SUM(K7:L7)</f>
        <v>120476</v>
      </c>
      <c r="N7" s="3"/>
      <c r="O7" s="3"/>
      <c r="P7" s="3"/>
      <c r="Q7" s="3"/>
      <c r="R7" s="3"/>
      <c r="S7" s="3">
        <v>276528</v>
      </c>
      <c r="T7" s="3">
        <v>369509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56" x14ac:dyDescent="0.2">
      <c r="B8" s="2" t="s">
        <v>39</v>
      </c>
      <c r="C8" s="3">
        <v>244498</v>
      </c>
      <c r="D8" s="3">
        <f>541545-C8</f>
        <v>297047</v>
      </c>
      <c r="E8" s="3">
        <v>180512</v>
      </c>
      <c r="F8" s="3">
        <f t="shared" si="0"/>
        <v>210170</v>
      </c>
      <c r="G8" s="3">
        <v>266602</v>
      </c>
      <c r="H8" s="3">
        <f>485108-G8</f>
        <v>218506</v>
      </c>
      <c r="I8" s="3">
        <v>316314</v>
      </c>
      <c r="J8" s="3">
        <f t="shared" si="1"/>
        <v>224674</v>
      </c>
      <c r="K8" s="3">
        <v>299069</v>
      </c>
      <c r="L8" s="3">
        <v>282671</v>
      </c>
      <c r="M8" s="3">
        <f>867690-SUM(K8:L8)</f>
        <v>285950</v>
      </c>
      <c r="N8" s="3"/>
      <c r="O8" s="3"/>
      <c r="P8" s="3"/>
      <c r="Q8" s="3"/>
      <c r="R8" s="3"/>
      <c r="S8" s="3">
        <v>932227</v>
      </c>
      <c r="T8" s="3">
        <v>1026096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56" x14ac:dyDescent="0.2">
      <c r="B9" s="2" t="s">
        <v>38</v>
      </c>
      <c r="C9" s="3">
        <v>441318</v>
      </c>
      <c r="D9" s="3">
        <f>1014155-C9</f>
        <v>572837</v>
      </c>
      <c r="E9" s="3">
        <v>278694</v>
      </c>
      <c r="F9" s="3">
        <f t="shared" si="0"/>
        <v>418984</v>
      </c>
      <c r="G9" s="3">
        <v>501767</v>
      </c>
      <c r="H9" s="3">
        <f>883985-G9</f>
        <v>382218</v>
      </c>
      <c r="I9" s="3">
        <v>573150</v>
      </c>
      <c r="J9" s="3">
        <f t="shared" si="1"/>
        <v>453154</v>
      </c>
      <c r="K9" s="3">
        <v>603863</v>
      </c>
      <c r="L9" s="3">
        <v>637514</v>
      </c>
      <c r="M9" s="3">
        <f>1834026-SUM(K9:L9)</f>
        <v>592649</v>
      </c>
      <c r="N9" s="3"/>
      <c r="O9" s="3"/>
      <c r="P9" s="3"/>
      <c r="Q9" s="3"/>
      <c r="R9" s="3"/>
      <c r="S9" s="3">
        <v>1711833</v>
      </c>
      <c r="T9" s="3">
        <v>1910289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56" x14ac:dyDescent="0.2">
      <c r="B10" s="2" t="s">
        <v>40</v>
      </c>
      <c r="C10" s="3">
        <v>87856</v>
      </c>
      <c r="D10" s="3">
        <f>165844-C10</f>
        <v>77988</v>
      </c>
      <c r="E10" s="3">
        <v>80620</v>
      </c>
      <c r="F10" s="3">
        <f t="shared" si="0"/>
        <v>72698</v>
      </c>
      <c r="G10" s="3">
        <v>90610</v>
      </c>
      <c r="H10" s="3">
        <f>159574-G10</f>
        <v>68964</v>
      </c>
      <c r="I10" s="3">
        <v>96713</v>
      </c>
      <c r="J10" s="3">
        <f t="shared" si="1"/>
        <v>74414</v>
      </c>
      <c r="K10" s="3">
        <v>91366</v>
      </c>
      <c r="L10" s="3">
        <v>77110</v>
      </c>
      <c r="M10" s="3">
        <f>265668-SUM(K10:L10)</f>
        <v>97192</v>
      </c>
      <c r="N10" s="3"/>
      <c r="O10" s="3"/>
      <c r="P10" s="3"/>
      <c r="Q10" s="3"/>
      <c r="R10" s="3"/>
      <c r="S10" s="3">
        <v>319162</v>
      </c>
      <c r="T10" s="3">
        <v>330701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 spans="1:56" x14ac:dyDescent="0.2">
      <c r="B11" s="2" t="s">
        <v>41</v>
      </c>
      <c r="C11" s="3">
        <v>36684</v>
      </c>
      <c r="D11" s="3">
        <f>67792-C11</f>
        <v>31108</v>
      </c>
      <c r="E11" s="3">
        <v>35993</v>
      </c>
      <c r="F11" s="3">
        <f t="shared" si="0"/>
        <v>35052</v>
      </c>
      <c r="G11" s="3">
        <v>35794</v>
      </c>
      <c r="H11" s="3">
        <f>69417-G11</f>
        <v>33623</v>
      </c>
      <c r="I11" s="3">
        <v>31169</v>
      </c>
      <c r="J11" s="3">
        <f t="shared" si="1"/>
        <v>30956</v>
      </c>
      <c r="K11" s="3">
        <v>33077</v>
      </c>
      <c r="L11" s="3">
        <v>29635</v>
      </c>
      <c r="M11" s="3">
        <f>96313-SUM(K11:L11)</f>
        <v>33601</v>
      </c>
      <c r="N11" s="3"/>
      <c r="O11" s="3"/>
      <c r="P11" s="3"/>
      <c r="Q11" s="3"/>
      <c r="R11" s="3"/>
      <c r="S11" s="3">
        <v>138837</v>
      </c>
      <c r="T11" s="3">
        <v>131542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 spans="1:56" x14ac:dyDescent="0.2">
      <c r="B12" s="2" t="s">
        <v>43</v>
      </c>
      <c r="C12" s="3">
        <v>475</v>
      </c>
      <c r="D12" s="3">
        <f>859-C12</f>
        <v>384</v>
      </c>
      <c r="E12" s="3">
        <v>485</v>
      </c>
      <c r="F12" s="3">
        <f t="shared" si="0"/>
        <v>432</v>
      </c>
      <c r="G12" s="3">
        <v>417</v>
      </c>
      <c r="H12" s="3">
        <f>912-G12</f>
        <v>495</v>
      </c>
      <c r="I12" s="3">
        <v>363</v>
      </c>
      <c r="J12" s="3">
        <f t="shared" si="1"/>
        <v>635</v>
      </c>
      <c r="K12" s="3">
        <v>368</v>
      </c>
      <c r="L12" s="3">
        <v>552</v>
      </c>
      <c r="M12" s="3">
        <f>1483-SUM(K12:L12)</f>
        <v>563</v>
      </c>
      <c r="N12" s="3"/>
      <c r="O12" s="3"/>
      <c r="P12" s="3"/>
      <c r="Q12" s="3"/>
      <c r="R12" s="3"/>
      <c r="S12" s="3">
        <v>1776</v>
      </c>
      <c r="T12" s="3">
        <v>1910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 spans="1:56" x14ac:dyDescent="0.2">
      <c r="A13" s="18"/>
      <c r="B13" s="1" t="s">
        <v>16</v>
      </c>
      <c r="C13" s="19">
        <v>810833</v>
      </c>
      <c r="D13" s="19">
        <f>1598999-C13</f>
        <v>788166</v>
      </c>
      <c r="E13" s="19">
        <v>767502</v>
      </c>
      <c r="F13" s="19">
        <f t="shared" si="0"/>
        <v>737335</v>
      </c>
      <c r="G13" s="19">
        <v>895192</v>
      </c>
      <c r="H13" s="19">
        <f>1790198-G13</f>
        <v>895006</v>
      </c>
      <c r="I13" s="19">
        <v>826510</v>
      </c>
      <c r="J13" s="19">
        <f t="shared" si="1"/>
        <v>783831</v>
      </c>
      <c r="K13" s="19">
        <v>1027745</v>
      </c>
      <c r="L13" s="19">
        <v>1027482</v>
      </c>
      <c r="M13" s="19">
        <f>3065182-SUM(K13:L13)</f>
        <v>1009955</v>
      </c>
      <c r="N13" s="19"/>
      <c r="O13" s="3"/>
      <c r="P13" s="3"/>
      <c r="Q13" s="3"/>
      <c r="R13" s="3"/>
      <c r="S13" s="19">
        <v>3103836</v>
      </c>
      <c r="T13" s="19">
        <v>3400539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 spans="1:56" x14ac:dyDescent="0.2">
      <c r="B14" s="2" t="s">
        <v>20</v>
      </c>
      <c r="C14" s="3">
        <v>368010</v>
      </c>
      <c r="D14" s="3">
        <f>753755-C14</f>
        <v>385745</v>
      </c>
      <c r="E14" s="3">
        <v>333771</v>
      </c>
      <c r="F14" s="3">
        <f t="shared" si="0"/>
        <v>343238</v>
      </c>
      <c r="G14" s="3">
        <v>407620</v>
      </c>
      <c r="H14" s="3">
        <f>835371-G14</f>
        <v>427751</v>
      </c>
      <c r="I14" s="3">
        <v>372805</v>
      </c>
      <c r="J14" s="3">
        <f t="shared" si="1"/>
        <v>363505</v>
      </c>
      <c r="K14" s="3">
        <v>460042</v>
      </c>
      <c r="L14" s="3">
        <v>483611</v>
      </c>
      <c r="M14" s="3">
        <f>1381571-SUM(K14:L14)</f>
        <v>437918</v>
      </c>
      <c r="N14" s="3"/>
      <c r="O14" s="3"/>
      <c r="P14" s="3"/>
      <c r="Q14" s="3"/>
      <c r="R14" s="3"/>
      <c r="S14" s="3">
        <v>1430764</v>
      </c>
      <c r="T14" s="3">
        <v>1571681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 spans="1:56" x14ac:dyDescent="0.2">
      <c r="B15" s="2" t="s">
        <v>21</v>
      </c>
      <c r="C15" s="3">
        <f t="shared" ref="C15:M15" si="2">+C13-C14</f>
        <v>442823</v>
      </c>
      <c r="D15" s="3">
        <f t="shared" si="2"/>
        <v>402421</v>
      </c>
      <c r="E15" s="3">
        <f t="shared" si="2"/>
        <v>433731</v>
      </c>
      <c r="F15" s="3">
        <f t="shared" si="2"/>
        <v>394097</v>
      </c>
      <c r="G15" s="3">
        <f t="shared" si="2"/>
        <v>487572</v>
      </c>
      <c r="H15" s="3">
        <f t="shared" si="2"/>
        <v>467255</v>
      </c>
      <c r="I15" s="3">
        <f t="shared" si="2"/>
        <v>453705</v>
      </c>
      <c r="J15" s="3">
        <f t="shared" si="2"/>
        <v>420326</v>
      </c>
      <c r="K15" s="3">
        <f t="shared" si="2"/>
        <v>567703</v>
      </c>
      <c r="L15" s="3">
        <v>543871</v>
      </c>
      <c r="M15" s="3">
        <f t="shared" si="2"/>
        <v>572037</v>
      </c>
      <c r="N15" s="3"/>
      <c r="O15" s="3"/>
      <c r="P15" s="3">
        <f t="shared" ref="P15:S15" si="3">+P13-P14</f>
        <v>0</v>
      </c>
      <c r="Q15" s="3">
        <f t="shared" si="3"/>
        <v>0</v>
      </c>
      <c r="R15" s="3">
        <f t="shared" si="3"/>
        <v>0</v>
      </c>
      <c r="S15" s="3">
        <f t="shared" si="3"/>
        <v>1673072</v>
      </c>
      <c r="T15" s="3">
        <f>+T13-T14</f>
        <v>1828858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 spans="1:56" x14ac:dyDescent="0.2">
      <c r="B16" s="2" t="s">
        <v>22</v>
      </c>
      <c r="C16" s="3">
        <v>301400</v>
      </c>
      <c r="D16" s="3">
        <f>594073-C16</f>
        <v>292673</v>
      </c>
      <c r="E16" s="3">
        <v>291799</v>
      </c>
      <c r="F16" s="3">
        <f t="shared" si="0"/>
        <v>301841</v>
      </c>
      <c r="G16" s="3">
        <v>330580</v>
      </c>
      <c r="H16" s="3">
        <f>653155-G16</f>
        <v>322575</v>
      </c>
      <c r="I16" s="3">
        <v>311831</v>
      </c>
      <c r="J16" s="3">
        <f t="shared" si="1"/>
        <v>312715</v>
      </c>
      <c r="K16" s="3">
        <v>362055</v>
      </c>
      <c r="L16" s="3">
        <v>362555</v>
      </c>
      <c r="M16" s="3">
        <f>1090895-SUM(K16:L16)</f>
        <v>366285</v>
      </c>
      <c r="N16" s="3"/>
      <c r="O16" s="3"/>
      <c r="P16" s="3"/>
      <c r="Q16" s="3"/>
      <c r="R16" s="3"/>
      <c r="S16" s="3">
        <v>1187713</v>
      </c>
      <c r="T16" s="3">
        <v>1277701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 spans="2:56" x14ac:dyDescent="0.2">
      <c r="B17" s="2" t="s">
        <v>23</v>
      </c>
      <c r="C17" s="3">
        <v>5664</v>
      </c>
      <c r="D17" s="3">
        <f>7338-C17</f>
        <v>1674</v>
      </c>
      <c r="E17" s="3">
        <v>3489</v>
      </c>
      <c r="F17" s="3">
        <f t="shared" si="0"/>
        <v>9557</v>
      </c>
      <c r="G17" s="3">
        <v>1404</v>
      </c>
      <c r="H17" s="3">
        <f>3699-G17</f>
        <v>2295</v>
      </c>
      <c r="I17" s="3">
        <v>5340</v>
      </c>
      <c r="J17" s="3">
        <f t="shared" si="1"/>
        <v>10452</v>
      </c>
      <c r="K17" s="3">
        <v>5360</v>
      </c>
      <c r="L17" s="3">
        <v>9940</v>
      </c>
      <c r="M17" s="3">
        <f>24330-SUM(K17:L17)</f>
        <v>9030</v>
      </c>
      <c r="N17" s="3"/>
      <c r="O17" s="3"/>
      <c r="P17" s="3"/>
      <c r="Q17" s="3"/>
      <c r="R17" s="3"/>
      <c r="S17" s="3">
        <v>20384</v>
      </c>
      <c r="T17" s="3">
        <v>19491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 spans="2:56" x14ac:dyDescent="0.2">
      <c r="B18" s="2" t="s">
        <v>24</v>
      </c>
      <c r="C18" s="3">
        <v>1070</v>
      </c>
      <c r="D18" s="3">
        <f>2414-C18</f>
        <v>1344</v>
      </c>
      <c r="E18" s="3">
        <v>1090</v>
      </c>
      <c r="F18" s="3">
        <f t="shared" si="0"/>
        <v>2752</v>
      </c>
      <c r="G18" s="3">
        <v>1765</v>
      </c>
      <c r="H18" s="3">
        <f>2653-G18</f>
        <v>888</v>
      </c>
      <c r="I18" s="3">
        <v>1208</v>
      </c>
      <c r="J18" s="3">
        <f t="shared" si="1"/>
        <v>4226</v>
      </c>
      <c r="K18" s="3">
        <v>1030</v>
      </c>
      <c r="L18" s="3">
        <v>1801</v>
      </c>
      <c r="M18" s="3">
        <f>3720-SUM(K18:L18)</f>
        <v>889</v>
      </c>
      <c r="N18" s="3"/>
      <c r="O18" s="3"/>
      <c r="P18" s="3"/>
      <c r="Q18" s="3"/>
      <c r="R18" s="3"/>
      <c r="S18" s="3">
        <v>6256</v>
      </c>
      <c r="T18" s="3">
        <v>8087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 spans="2:56" x14ac:dyDescent="0.2">
      <c r="B19" s="2" t="s">
        <v>25</v>
      </c>
      <c r="C19" s="3">
        <v>671</v>
      </c>
      <c r="D19" s="3">
        <f>989-C19</f>
        <v>318</v>
      </c>
      <c r="E19" s="3">
        <v>390</v>
      </c>
      <c r="F19" s="3">
        <f t="shared" si="0"/>
        <v>38</v>
      </c>
      <c r="G19" s="3">
        <v>925</v>
      </c>
      <c r="H19" s="3">
        <f>1499-G19</f>
        <v>574</v>
      </c>
      <c r="I19" s="3">
        <v>729</v>
      </c>
      <c r="J19" s="3">
        <f t="shared" si="1"/>
        <v>-524</v>
      </c>
      <c r="K19" s="3">
        <v>937</v>
      </c>
      <c r="L19" s="3">
        <v>297</v>
      </c>
      <c r="M19" s="3">
        <f>1065-SUM(K19:L19)</f>
        <v>-169</v>
      </c>
      <c r="N19" s="3"/>
      <c r="O19" s="3"/>
      <c r="P19" s="3"/>
      <c r="Q19" s="3"/>
      <c r="R19" s="3"/>
      <c r="S19" s="3">
        <v>1417</v>
      </c>
      <c r="T19" s="3">
        <v>1704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 spans="2:56" x14ac:dyDescent="0.2">
      <c r="B20" s="2" t="s">
        <v>26</v>
      </c>
      <c r="C20" s="3">
        <f t="shared" ref="C20:M20" si="4">+C15-C16+C17-C18+C19</f>
        <v>146688</v>
      </c>
      <c r="D20" s="3">
        <f t="shared" si="4"/>
        <v>110396</v>
      </c>
      <c r="E20" s="3">
        <f t="shared" si="4"/>
        <v>144721</v>
      </c>
      <c r="F20" s="3">
        <f t="shared" si="4"/>
        <v>99099</v>
      </c>
      <c r="G20" s="3">
        <f t="shared" si="4"/>
        <v>157556</v>
      </c>
      <c r="H20" s="3">
        <f t="shared" si="4"/>
        <v>146661</v>
      </c>
      <c r="I20" s="3">
        <f t="shared" si="4"/>
        <v>146735</v>
      </c>
      <c r="J20" s="3">
        <f t="shared" si="4"/>
        <v>113313</v>
      </c>
      <c r="K20" s="3">
        <f t="shared" si="4"/>
        <v>210915</v>
      </c>
      <c r="L20" s="3">
        <v>189752</v>
      </c>
      <c r="M20" s="3">
        <f t="shared" si="4"/>
        <v>213724</v>
      </c>
      <c r="N20" s="3"/>
      <c r="O20" s="3"/>
      <c r="P20" s="3">
        <f t="shared" ref="P20:T20" si="5">+P15-P16+P17-P18+P19</f>
        <v>0</v>
      </c>
      <c r="Q20" s="3">
        <f t="shared" si="5"/>
        <v>0</v>
      </c>
      <c r="R20" s="3">
        <f t="shared" si="5"/>
        <v>0</v>
      </c>
      <c r="S20" s="3">
        <f t="shared" si="5"/>
        <v>500904</v>
      </c>
      <c r="T20" s="3">
        <f t="shared" si="5"/>
        <v>564265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 spans="2:56" x14ac:dyDescent="0.2">
      <c r="B21" s="2" t="s">
        <v>27</v>
      </c>
      <c r="C21" s="3">
        <v>18261</v>
      </c>
      <c r="D21" s="3">
        <f>47273-C21</f>
        <v>29012</v>
      </c>
      <c r="E21" s="3">
        <v>36544</v>
      </c>
      <c r="F21" s="3">
        <f t="shared" si="0"/>
        <v>-16418</v>
      </c>
      <c r="G21" s="3">
        <v>42345</v>
      </c>
      <c r="H21" s="3">
        <f>65832-G21</f>
        <v>23487</v>
      </c>
      <c r="I21" s="3">
        <v>13188</v>
      </c>
      <c r="J21" s="3">
        <f t="shared" si="1"/>
        <v>20123</v>
      </c>
      <c r="K21" s="3">
        <v>19387</v>
      </c>
      <c r="L21" s="3">
        <v>15832</v>
      </c>
      <c r="M21" s="3">
        <f>54500-SUM(K21:L21)</f>
        <v>19281</v>
      </c>
      <c r="N21" s="3"/>
      <c r="O21" s="3"/>
      <c r="P21" s="3"/>
      <c r="Q21" s="3"/>
      <c r="R21" s="3"/>
      <c r="S21" s="3">
        <v>67399</v>
      </c>
      <c r="T21" s="3">
        <v>99143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 spans="2:56" x14ac:dyDescent="0.2">
      <c r="B22" s="2" t="s">
        <v>28</v>
      </c>
      <c r="C22" s="3">
        <v>2476</v>
      </c>
      <c r="D22" s="3">
        <f>4962-C22</f>
        <v>2486</v>
      </c>
      <c r="E22" s="3">
        <v>2891</v>
      </c>
      <c r="F22" s="3">
        <f t="shared" si="0"/>
        <v>3248</v>
      </c>
      <c r="G22" s="3">
        <v>3288</v>
      </c>
      <c r="H22" s="3">
        <f>6324-G22</f>
        <v>3036</v>
      </c>
      <c r="I22" s="3">
        <v>3143</v>
      </c>
      <c r="J22" s="3">
        <f t="shared" si="1"/>
        <v>3367</v>
      </c>
      <c r="K22" s="3">
        <v>3634</v>
      </c>
      <c r="L22" s="3">
        <v>3447</v>
      </c>
      <c r="M22" s="3">
        <f>10652-SUM(K22:L22)</f>
        <v>3571</v>
      </c>
      <c r="N22" s="3"/>
      <c r="O22" s="3"/>
      <c r="P22" s="3"/>
      <c r="Q22" s="3"/>
      <c r="R22" s="3"/>
      <c r="S22" s="3">
        <v>11101</v>
      </c>
      <c r="T22" s="3">
        <v>12834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2:56" x14ac:dyDescent="0.2">
      <c r="B23" s="2" t="s">
        <v>29</v>
      </c>
      <c r="C23" s="3">
        <f t="shared" ref="C23:M23" si="6">+C20+C21-C22</f>
        <v>162473</v>
      </c>
      <c r="D23" s="3">
        <f t="shared" si="6"/>
        <v>136922</v>
      </c>
      <c r="E23" s="3">
        <f t="shared" si="6"/>
        <v>178374</v>
      </c>
      <c r="F23" s="3">
        <f t="shared" si="6"/>
        <v>79433</v>
      </c>
      <c r="G23" s="3">
        <f t="shared" si="6"/>
        <v>196613</v>
      </c>
      <c r="H23" s="3">
        <f t="shared" si="6"/>
        <v>167112</v>
      </c>
      <c r="I23" s="3">
        <f t="shared" si="6"/>
        <v>156780</v>
      </c>
      <c r="J23" s="3">
        <f t="shared" si="6"/>
        <v>130069</v>
      </c>
      <c r="K23" s="3">
        <f t="shared" si="6"/>
        <v>226668</v>
      </c>
      <c r="L23" s="3">
        <v>202137</v>
      </c>
      <c r="M23" s="3">
        <f t="shared" si="6"/>
        <v>229434</v>
      </c>
      <c r="N23" s="3"/>
      <c r="O23" s="3"/>
      <c r="P23" s="3">
        <f t="shared" ref="P23:T23" si="7">+P20+P21-P22</f>
        <v>0</v>
      </c>
      <c r="Q23" s="3">
        <f t="shared" si="7"/>
        <v>0</v>
      </c>
      <c r="R23" s="3">
        <f t="shared" si="7"/>
        <v>0</v>
      </c>
      <c r="S23" s="3">
        <f t="shared" si="7"/>
        <v>557202</v>
      </c>
      <c r="T23" s="3">
        <f t="shared" si="7"/>
        <v>650574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2:56" x14ac:dyDescent="0.2">
      <c r="B24" s="2" t="s">
        <v>30</v>
      </c>
      <c r="C24" s="3">
        <v>47764</v>
      </c>
      <c r="D24" s="3">
        <f>89957-C24</f>
        <v>42193</v>
      </c>
      <c r="E24" s="3">
        <v>55873</v>
      </c>
      <c r="F24" s="3">
        <f t="shared" si="0"/>
        <v>17766</v>
      </c>
      <c r="G24" s="3">
        <v>56312</v>
      </c>
      <c r="H24" s="3">
        <f>114442-G24</f>
        <v>58130</v>
      </c>
      <c r="I24" s="3">
        <v>46456</v>
      </c>
      <c r="J24" s="3">
        <v>4793</v>
      </c>
      <c r="K24" s="3">
        <v>68153</v>
      </c>
      <c r="L24" s="3">
        <v>58508</v>
      </c>
      <c r="M24" s="3">
        <f>198308-SUM(K24:L24)</f>
        <v>71647</v>
      </c>
      <c r="N24" s="3"/>
      <c r="O24" s="3"/>
      <c r="P24" s="3"/>
      <c r="Q24" s="3"/>
      <c r="R24" s="3"/>
      <c r="S24" s="3">
        <v>163596</v>
      </c>
      <c r="T24" s="3">
        <v>191421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2:56" x14ac:dyDescent="0.2">
      <c r="B25" s="2" t="s">
        <v>31</v>
      </c>
      <c r="C25" s="3">
        <f t="shared" ref="C25:M25" si="8">+C23-C24</f>
        <v>114709</v>
      </c>
      <c r="D25" s="3">
        <f t="shared" si="8"/>
        <v>94729</v>
      </c>
      <c r="E25" s="3">
        <f t="shared" si="8"/>
        <v>122501</v>
      </c>
      <c r="F25" s="3">
        <f t="shared" si="8"/>
        <v>61667</v>
      </c>
      <c r="G25" s="3">
        <f t="shared" si="8"/>
        <v>140301</v>
      </c>
      <c r="H25" s="3">
        <f t="shared" si="8"/>
        <v>108982</v>
      </c>
      <c r="I25" s="3">
        <f t="shared" si="8"/>
        <v>110324</v>
      </c>
      <c r="J25" s="3">
        <f t="shared" si="8"/>
        <v>125276</v>
      </c>
      <c r="K25" s="3">
        <f t="shared" si="8"/>
        <v>158515</v>
      </c>
      <c r="L25" s="3">
        <v>143629</v>
      </c>
      <c r="M25" s="3">
        <f t="shared" si="8"/>
        <v>157787</v>
      </c>
      <c r="N25" s="3"/>
      <c r="O25" s="3"/>
      <c r="P25" s="3">
        <f t="shared" ref="P25:T25" si="9">+P23-P24</f>
        <v>0</v>
      </c>
      <c r="Q25" s="3">
        <f t="shared" si="9"/>
        <v>0</v>
      </c>
      <c r="R25" s="3">
        <f t="shared" si="9"/>
        <v>0</v>
      </c>
      <c r="S25" s="3">
        <f t="shared" si="9"/>
        <v>393606</v>
      </c>
      <c r="T25" s="3">
        <f t="shared" si="9"/>
        <v>459153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2:56" x14ac:dyDescent="0.2">
      <c r="B26" s="2" t="s">
        <v>32</v>
      </c>
      <c r="C26" s="3">
        <v>6905</v>
      </c>
      <c r="D26" s="3">
        <f>13526-C26</f>
        <v>6621</v>
      </c>
      <c r="E26" s="3">
        <v>5572</v>
      </c>
      <c r="F26" s="3">
        <f t="shared" si="0"/>
        <v>2507</v>
      </c>
      <c r="G26" s="3">
        <v>8337</v>
      </c>
      <c r="H26" s="3">
        <f>15715-G26</f>
        <v>7378</v>
      </c>
      <c r="I26" s="3">
        <v>4793</v>
      </c>
      <c r="J26" s="3">
        <v>4793</v>
      </c>
      <c r="K26" s="3">
        <v>11067</v>
      </c>
      <c r="L26" s="3">
        <v>11785</v>
      </c>
      <c r="M26" s="3">
        <f>33851-SUM(K26:L26)</f>
        <v>10999</v>
      </c>
      <c r="N26" s="3"/>
      <c r="O26" s="3"/>
      <c r="P26" s="3"/>
      <c r="Q26" s="3"/>
      <c r="R26" s="3"/>
      <c r="S26" s="3">
        <v>21605</v>
      </c>
      <c r="T26" s="3">
        <v>26143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2:56" x14ac:dyDescent="0.2">
      <c r="B27" s="2" t="s">
        <v>33</v>
      </c>
      <c r="C27" s="3">
        <f t="shared" ref="C27:M27" si="10">+C25-C26</f>
        <v>107804</v>
      </c>
      <c r="D27" s="3">
        <f t="shared" si="10"/>
        <v>88108</v>
      </c>
      <c r="E27" s="3">
        <f t="shared" si="10"/>
        <v>116929</v>
      </c>
      <c r="F27" s="3">
        <f t="shared" si="10"/>
        <v>59160</v>
      </c>
      <c r="G27" s="3">
        <f t="shared" si="10"/>
        <v>131964</v>
      </c>
      <c r="H27" s="3">
        <f t="shared" si="10"/>
        <v>101604</v>
      </c>
      <c r="I27" s="3">
        <f t="shared" si="10"/>
        <v>105531</v>
      </c>
      <c r="J27" s="3">
        <f t="shared" si="10"/>
        <v>120483</v>
      </c>
      <c r="K27" s="3">
        <f t="shared" si="10"/>
        <v>147448</v>
      </c>
      <c r="L27" s="3">
        <v>131844</v>
      </c>
      <c r="M27" s="3">
        <f t="shared" si="10"/>
        <v>146788</v>
      </c>
      <c r="N27" s="3"/>
      <c r="O27" s="3"/>
      <c r="P27" s="3">
        <f t="shared" ref="P27:S27" si="11">+P25-P26</f>
        <v>0</v>
      </c>
      <c r="Q27" s="3">
        <f t="shared" si="11"/>
        <v>0</v>
      </c>
      <c r="R27" s="3">
        <f t="shared" si="11"/>
        <v>0</v>
      </c>
      <c r="S27" s="3">
        <f t="shared" si="11"/>
        <v>372001</v>
      </c>
      <c r="T27" s="3">
        <f>+T25-T26</f>
        <v>433010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2:56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2:56" x14ac:dyDescent="0.2">
      <c r="B29" s="2" t="s">
        <v>34</v>
      </c>
      <c r="C29" s="20">
        <f t="shared" ref="C29:F29" si="12">+C27/C30</f>
        <v>351.43451337610696</v>
      </c>
      <c r="D29" s="20">
        <f t="shared" si="12"/>
        <v>287.2848519462608</v>
      </c>
      <c r="E29" s="20">
        <f t="shared" si="12"/>
        <v>381.24905078184275</v>
      </c>
      <c r="F29" s="20">
        <f t="shared" si="12"/>
        <v>192.8876682668583</v>
      </c>
      <c r="G29" s="20">
        <f>+G27/G30</f>
        <v>430.29077220759848</v>
      </c>
      <c r="H29" s="20">
        <f t="shared" ref="H29:T29" si="13">+H27/H30</f>
        <v>331.20797458989006</v>
      </c>
      <c r="I29" s="20">
        <f t="shared" si="13"/>
        <v>343.99755526419278</v>
      </c>
      <c r="J29" s="20">
        <f t="shared" si="13"/>
        <v>392.72575534442666</v>
      </c>
      <c r="K29" s="20">
        <f t="shared" si="13"/>
        <v>480.56126928039919</v>
      </c>
      <c r="L29" s="20">
        <f t="shared" si="13"/>
        <v>429.69855129820922</v>
      </c>
      <c r="M29" s="20">
        <f t="shared" si="13"/>
        <v>478.39374109713214</v>
      </c>
      <c r="N29" s="20"/>
      <c r="O29" s="3"/>
      <c r="P29" s="20" t="e">
        <f t="shared" si="13"/>
        <v>#DIV/0!</v>
      </c>
      <c r="Q29" s="20" t="e">
        <f t="shared" si="13"/>
        <v>#DIV/0!</v>
      </c>
      <c r="R29" s="20" t="e">
        <f t="shared" si="13"/>
        <v>#DIV/0!</v>
      </c>
      <c r="S29" s="20">
        <f t="shared" si="13"/>
        <v>1212.887178548674</v>
      </c>
      <c r="T29" s="20">
        <f t="shared" si="13"/>
        <v>1411.4371265796019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 spans="2:56" x14ac:dyDescent="0.2">
      <c r="B30" s="2" t="s">
        <v>2</v>
      </c>
      <c r="C30" s="3">
        <v>306.75416300000001</v>
      </c>
      <c r="D30" s="3">
        <v>306.69211899999999</v>
      </c>
      <c r="E30" s="3">
        <v>306.69977999999998</v>
      </c>
      <c r="F30" s="3">
        <f>+S30</f>
        <v>306.70701000000003</v>
      </c>
      <c r="G30" s="3">
        <v>306.68563799999998</v>
      </c>
      <c r="H30" s="3">
        <v>306.76797599999998</v>
      </c>
      <c r="I30" s="3">
        <v>306.77834300000001</v>
      </c>
      <c r="J30" s="3">
        <f>+T30</f>
        <v>306.78660200000002</v>
      </c>
      <c r="K30" s="3">
        <v>306.82456000000002</v>
      </c>
      <c r="L30" s="3">
        <v>306.82905399999999</v>
      </c>
      <c r="M30" s="3">
        <v>306.83511800000002</v>
      </c>
      <c r="N30" s="3"/>
      <c r="O30" s="3"/>
      <c r="P30" s="3"/>
      <c r="Q30" s="3"/>
      <c r="R30" s="3"/>
      <c r="S30" s="3">
        <v>306.70701000000003</v>
      </c>
      <c r="T30" s="3">
        <v>306.78660200000002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 spans="2:56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 spans="2:56" x14ac:dyDescent="0.2">
      <c r="B32" s="2" t="s">
        <v>50</v>
      </c>
      <c r="C32" s="3"/>
      <c r="D32" s="3"/>
      <c r="E32" s="3"/>
      <c r="F32" s="3"/>
      <c r="G32" s="21">
        <f>+G3/C3-1</f>
        <v>9.0405647489959051E-2</v>
      </c>
      <c r="H32" s="21">
        <f t="shared" ref="H32:I42" si="14">+H3/D3-1</f>
        <v>-0.26440596942571382</v>
      </c>
      <c r="I32" s="21">
        <f t="shared" si="14"/>
        <v>0.75231563552561598</v>
      </c>
      <c r="J32" s="21">
        <f t="shared" ref="J32:M42" si="15">+J3/F3-1</f>
        <v>6.9010800780320736E-2</v>
      </c>
      <c r="K32" s="21">
        <f t="shared" si="15"/>
        <v>0.12178078183959617</v>
      </c>
      <c r="L32" s="21">
        <f t="shared" si="15"/>
        <v>0.29365326352594434</v>
      </c>
      <c r="M32" s="21">
        <f t="shared" si="15"/>
        <v>-9.599322192504911E-2</v>
      </c>
      <c r="N32" s="2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 spans="2:56" x14ac:dyDescent="0.2">
      <c r="B33" s="2" t="s">
        <v>51</v>
      </c>
      <c r="C33" s="3"/>
      <c r="D33" s="3"/>
      <c r="E33" s="3"/>
      <c r="F33" s="3"/>
      <c r="G33" s="21">
        <f t="shared" ref="G33:G42" si="16">+G4/C4-1</f>
        <v>-9.6314327379994902E-3</v>
      </c>
      <c r="H33" s="21">
        <f t="shared" si="14"/>
        <v>2.6742685737601857E-3</v>
      </c>
      <c r="I33" s="21">
        <f t="shared" si="14"/>
        <v>-6.6718917170510816E-2</v>
      </c>
      <c r="J33" s="21">
        <f t="shared" si="15"/>
        <v>-9.6077467430818797E-2</v>
      </c>
      <c r="K33" s="21">
        <f t="shared" si="15"/>
        <v>7.0270421588936705E-2</v>
      </c>
      <c r="L33" s="21">
        <f t="shared" si="15"/>
        <v>8.121841368653171E-2</v>
      </c>
      <c r="M33" s="21">
        <f t="shared" si="15"/>
        <v>0.1534811181167437</v>
      </c>
      <c r="N33" s="2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 spans="2:56" x14ac:dyDescent="0.2">
      <c r="B34" s="2" t="s">
        <v>52</v>
      </c>
      <c r="C34" s="3"/>
      <c r="D34" s="3"/>
      <c r="E34" s="3"/>
      <c r="F34" s="3"/>
      <c r="G34" s="21">
        <f t="shared" si="16"/>
        <v>0.17417900101315587</v>
      </c>
      <c r="H34" s="21">
        <f t="shared" si="14"/>
        <v>-0.37280351754279339</v>
      </c>
      <c r="I34" s="21">
        <f t="shared" si="14"/>
        <v>1.3367360293155346</v>
      </c>
      <c r="J34" s="21">
        <f t="shared" si="15"/>
        <v>0.10453820075158671</v>
      </c>
      <c r="K34" s="21">
        <f t="shared" si="15"/>
        <v>0.21352943466244545</v>
      </c>
      <c r="L34" s="21">
        <f t="shared" si="15"/>
        <v>0.87066059993259182</v>
      </c>
      <c r="M34" s="21">
        <f t="shared" si="15"/>
        <v>6.1653216567806313E-2</v>
      </c>
      <c r="N34" s="2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 spans="2:56" x14ac:dyDescent="0.2">
      <c r="B35" s="2" t="s">
        <v>53</v>
      </c>
      <c r="C35" s="3"/>
      <c r="D35" s="3"/>
      <c r="E35" s="3"/>
      <c r="F35" s="3"/>
      <c r="G35" s="21">
        <f t="shared" si="16"/>
        <v>0.1732245433061359</v>
      </c>
      <c r="H35" s="21">
        <f t="shared" si="14"/>
        <v>-0.48954580950701565</v>
      </c>
      <c r="I35" s="21">
        <f t="shared" si="14"/>
        <v>3.0234735650204687</v>
      </c>
      <c r="J35" s="21">
        <f t="shared" si="15"/>
        <v>0.22330452359378272</v>
      </c>
      <c r="K35" s="21">
        <f t="shared" si="15"/>
        <v>0.30408892417626032</v>
      </c>
      <c r="L35" s="21">
        <f t="shared" si="15"/>
        <v>1.192982456140351</v>
      </c>
      <c r="M35" s="21">
        <f t="shared" si="15"/>
        <v>-1.9407492396116388E-2</v>
      </c>
      <c r="N35" s="2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 spans="2:56" x14ac:dyDescent="0.2">
      <c r="B36" s="2" t="s">
        <v>54</v>
      </c>
      <c r="C36" s="3"/>
      <c r="D36" s="3"/>
      <c r="E36" s="3"/>
      <c r="F36" s="3"/>
      <c r="G36" s="21">
        <f t="shared" si="16"/>
        <v>0.4221342330535649</v>
      </c>
      <c r="H36" s="21">
        <f t="shared" si="14"/>
        <v>-0.67306408816395624</v>
      </c>
      <c r="I36" s="21">
        <f t="shared" si="14"/>
        <v>11.303746450490062</v>
      </c>
      <c r="J36" s="21">
        <f t="shared" si="15"/>
        <v>0.30967433085056961</v>
      </c>
      <c r="K36" s="21">
        <f t="shared" si="15"/>
        <v>0.34263362221089366</v>
      </c>
      <c r="L36" s="21">
        <f t="shared" si="15"/>
        <v>2.2368303126867159</v>
      </c>
      <c r="M36" s="21">
        <f t="shared" si="15"/>
        <v>-0.10306730196545566</v>
      </c>
      <c r="N36" s="2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 spans="2:56" x14ac:dyDescent="0.2">
      <c r="B37" s="2" t="s">
        <v>55</v>
      </c>
      <c r="C37" s="3"/>
      <c r="D37" s="3"/>
      <c r="E37" s="3"/>
      <c r="F37" s="3"/>
      <c r="G37" s="21">
        <f t="shared" si="16"/>
        <v>9.0405647489959051E-2</v>
      </c>
      <c r="H37" s="21">
        <f t="shared" si="14"/>
        <v>-0.26440596942571382</v>
      </c>
      <c r="I37" s="21">
        <f t="shared" si="14"/>
        <v>0.75231563552561598</v>
      </c>
      <c r="J37" s="21">
        <f t="shared" si="15"/>
        <v>6.9010800780320736E-2</v>
      </c>
      <c r="K37" s="21">
        <f t="shared" si="15"/>
        <v>0.12178078183959617</v>
      </c>
      <c r="L37" s="21">
        <f t="shared" si="15"/>
        <v>0.29365326352594434</v>
      </c>
      <c r="M37" s="21">
        <f t="shared" si="15"/>
        <v>-9.599322192504911E-2</v>
      </c>
      <c r="N37" s="2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 spans="2:56" x14ac:dyDescent="0.2">
      <c r="B38" s="2" t="s">
        <v>56</v>
      </c>
      <c r="C38" s="3"/>
      <c r="D38" s="3"/>
      <c r="E38" s="3"/>
      <c r="F38" s="3"/>
      <c r="G38" s="21">
        <f t="shared" si="16"/>
        <v>0.13697379214081451</v>
      </c>
      <c r="H38" s="21">
        <f t="shared" si="14"/>
        <v>-0.33276307221775125</v>
      </c>
      <c r="I38" s="21">
        <f t="shared" si="14"/>
        <v>1.0565566535339834</v>
      </c>
      <c r="J38" s="21">
        <f t="shared" si="15"/>
        <v>8.1554426899356436E-2</v>
      </c>
      <c r="K38" s="21">
        <f t="shared" si="15"/>
        <v>0.20347292667712313</v>
      </c>
      <c r="L38" s="21">
        <f t="shared" si="15"/>
        <v>0.66793295972455513</v>
      </c>
      <c r="M38" s="21">
        <f t="shared" si="15"/>
        <v>3.4020762453109921E-2</v>
      </c>
      <c r="N38" s="2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 spans="2:56" x14ac:dyDescent="0.2">
      <c r="B39" s="2" t="s">
        <v>57</v>
      </c>
      <c r="C39" s="3"/>
      <c r="D39" s="3"/>
      <c r="E39" s="3"/>
      <c r="F39" s="3"/>
      <c r="G39" s="21">
        <f t="shared" si="16"/>
        <v>3.1346749226006221E-2</v>
      </c>
      <c r="H39" s="21">
        <f t="shared" si="14"/>
        <v>-0.11571010924757652</v>
      </c>
      <c r="I39" s="21">
        <f t="shared" si="14"/>
        <v>0.19961548002976937</v>
      </c>
      <c r="J39" s="21">
        <f t="shared" si="15"/>
        <v>2.3604500811576612E-2</v>
      </c>
      <c r="K39" s="21">
        <f t="shared" si="15"/>
        <v>8.3434499503365345E-3</v>
      </c>
      <c r="L39" s="21">
        <f t="shared" si="15"/>
        <v>0.11811959863116983</v>
      </c>
      <c r="M39" s="21">
        <f t="shared" si="15"/>
        <v>4.9527984862427488E-3</v>
      </c>
      <c r="N39" s="2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 spans="2:56" x14ac:dyDescent="0.2">
      <c r="B40" s="2" t="s">
        <v>58</v>
      </c>
      <c r="C40" s="3"/>
      <c r="D40" s="3"/>
      <c r="E40" s="3"/>
      <c r="F40" s="3"/>
      <c r="G40" s="21">
        <f t="shared" si="16"/>
        <v>-2.426125831425141E-2</v>
      </c>
      <c r="H40" s="21">
        <f t="shared" si="14"/>
        <v>8.0847370451330836E-2</v>
      </c>
      <c r="I40" s="21">
        <f t="shared" si="14"/>
        <v>-0.1340260606228989</v>
      </c>
      <c r="J40" s="21">
        <f t="shared" si="15"/>
        <v>-0.11685495834759785</v>
      </c>
      <c r="K40" s="21">
        <f t="shared" si="15"/>
        <v>-7.5906576521204694E-2</v>
      </c>
      <c r="L40" s="21">
        <f t="shared" si="15"/>
        <v>-0.1186092853106504</v>
      </c>
      <c r="M40" s="21">
        <f t="shared" si="15"/>
        <v>7.8026244024511637E-2</v>
      </c>
      <c r="N40" s="2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 spans="2:56" x14ac:dyDescent="0.2">
      <c r="B41" s="2" t="s">
        <v>59</v>
      </c>
      <c r="C41" s="3"/>
      <c r="D41" s="3"/>
      <c r="E41" s="3"/>
      <c r="F41" s="3"/>
      <c r="G41" s="21">
        <f t="shared" si="16"/>
        <v>-0.12210526315789472</v>
      </c>
      <c r="H41" s="21">
        <f t="shared" si="14"/>
        <v>0.2890625</v>
      </c>
      <c r="I41" s="21">
        <f t="shared" si="14"/>
        <v>-0.25154639175257731</v>
      </c>
      <c r="J41" s="21">
        <f t="shared" si="15"/>
        <v>0.46990740740740744</v>
      </c>
      <c r="K41" s="21">
        <f t="shared" si="15"/>
        <v>-0.11750599520383698</v>
      </c>
      <c r="L41" s="21">
        <f t="shared" si="15"/>
        <v>0.11515151515151523</v>
      </c>
      <c r="M41" s="21">
        <f t="shared" si="15"/>
        <v>0.55096418732782371</v>
      </c>
      <c r="N41" s="2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 spans="2:56" x14ac:dyDescent="0.2">
      <c r="B42" s="1" t="s">
        <v>60</v>
      </c>
      <c r="C42" s="19"/>
      <c r="D42" s="19"/>
      <c r="E42" s="19"/>
      <c r="F42" s="19"/>
      <c r="G42" s="22">
        <f t="shared" si="16"/>
        <v>0.10403991944087121</v>
      </c>
      <c r="H42" s="22">
        <f t="shared" si="14"/>
        <v>0.13555520030044432</v>
      </c>
      <c r="I42" s="22">
        <f t="shared" si="14"/>
        <v>7.6883187275081921E-2</v>
      </c>
      <c r="J42" s="22">
        <f t="shared" si="15"/>
        <v>6.3059531963083337E-2</v>
      </c>
      <c r="K42" s="22">
        <f t="shared" si="15"/>
        <v>0.14807214541684921</v>
      </c>
      <c r="L42" s="22">
        <f t="shared" si="15"/>
        <v>0.14801688480300701</v>
      </c>
      <c r="M42" s="22">
        <f t="shared" si="15"/>
        <v>0.22195133755187468</v>
      </c>
      <c r="N42" s="2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 spans="2:56" x14ac:dyDescent="0.2">
      <c r="B43" s="2" t="s">
        <v>61</v>
      </c>
      <c r="C43" s="21">
        <f t="shared" ref="C43:F43" si="17">+C15/C13</f>
        <v>0.54613342081538374</v>
      </c>
      <c r="D43" s="21">
        <f t="shared" si="17"/>
        <v>0.51057898970521443</v>
      </c>
      <c r="E43" s="21">
        <f t="shared" si="17"/>
        <v>0.56512035147791151</v>
      </c>
      <c r="F43" s="21">
        <f t="shared" si="17"/>
        <v>0.53448839401357595</v>
      </c>
      <c r="G43" s="21">
        <f>+G15/G13</f>
        <v>0.54465634187973078</v>
      </c>
      <c r="H43" s="21">
        <f>+H15/H13</f>
        <v>0.52206912579357012</v>
      </c>
      <c r="I43" s="21">
        <f>+I15/I13</f>
        <v>0.54894072666997373</v>
      </c>
      <c r="J43" s="21">
        <f t="shared" ref="J43:K43" si="18">+J15/J13</f>
        <v>0.53624569581963455</v>
      </c>
      <c r="K43" s="21">
        <f t="shared" si="18"/>
        <v>0.5523772920325567</v>
      </c>
      <c r="L43" s="21">
        <f t="shared" ref="L43:M43" si="19">+L15/L13</f>
        <v>0.52932411468035445</v>
      </c>
      <c r="M43" s="21">
        <f t="shared" si="19"/>
        <v>0.56639850290359472</v>
      </c>
      <c r="N43" s="2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 spans="2:56" x14ac:dyDescent="0.2">
      <c r="B44" s="2" t="s">
        <v>62</v>
      </c>
      <c r="C44" s="21">
        <f t="shared" ref="C44:F44" si="20">+C20/C13</f>
        <v>0.18091024908951658</v>
      </c>
      <c r="D44" s="21">
        <f t="shared" si="20"/>
        <v>0.14006694021310231</v>
      </c>
      <c r="E44" s="21">
        <f t="shared" si="20"/>
        <v>0.18856107215355791</v>
      </c>
      <c r="F44" s="21">
        <f t="shared" si="20"/>
        <v>0.13440159493310369</v>
      </c>
      <c r="G44" s="21">
        <f>+G20/G13</f>
        <v>0.17600246650997775</v>
      </c>
      <c r="H44" s="21">
        <f>+H20/H13</f>
        <v>0.16386594056352694</v>
      </c>
      <c r="I44" s="21">
        <f>+I20/I13</f>
        <v>0.17753566200045975</v>
      </c>
      <c r="J44" s="21">
        <f t="shared" ref="J44:K44" si="21">+J20/J13</f>
        <v>0.14456304994316377</v>
      </c>
      <c r="K44" s="21">
        <f t="shared" si="21"/>
        <v>0.20522113948498899</v>
      </c>
      <c r="L44" s="21">
        <f t="shared" ref="L44:M44" si="22">+L20/L13</f>
        <v>0.18467671453125212</v>
      </c>
      <c r="M44" s="21">
        <f t="shared" si="22"/>
        <v>0.21161734928783957</v>
      </c>
      <c r="N44" s="2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spans="2:56" x14ac:dyDescent="0.2">
      <c r="B45" s="2" t="s">
        <v>63</v>
      </c>
      <c r="C45" s="21">
        <f t="shared" ref="C45:F45" si="23">+C24/C23</f>
        <v>0.29398115379170692</v>
      </c>
      <c r="D45" s="21">
        <f t="shared" si="23"/>
        <v>0.30815354727509092</v>
      </c>
      <c r="E45" s="21">
        <f t="shared" si="23"/>
        <v>0.31323511274064608</v>
      </c>
      <c r="F45" s="21">
        <f t="shared" si="23"/>
        <v>0.22366019160802186</v>
      </c>
      <c r="G45" s="21">
        <f>+G24/G23</f>
        <v>0.28641035943706672</v>
      </c>
      <c r="H45" s="21">
        <f>+H24/H23</f>
        <v>0.34785054334817367</v>
      </c>
      <c r="I45" s="21">
        <f>+I24/I23</f>
        <v>0.29631330526852917</v>
      </c>
      <c r="J45" s="21">
        <f t="shared" ref="J45:K45" si="24">+J24/J23</f>
        <v>3.6849672097117682E-2</v>
      </c>
      <c r="K45" s="21">
        <f t="shared" si="24"/>
        <v>0.30067323133393331</v>
      </c>
      <c r="L45" s="21">
        <f t="shared" ref="L45:M45" si="25">+L24/L23</f>
        <v>0.28944725606890376</v>
      </c>
      <c r="M45" s="21">
        <f t="shared" si="25"/>
        <v>0.31227716903336034</v>
      </c>
      <c r="N45" s="2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 spans="2:5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 spans="2:5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 spans="2:5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 spans="3:5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3:5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3:5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3:5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3:5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3:5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 spans="3:5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3:5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3:5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3:5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3:5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3:5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3:5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 spans="3:5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3:5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 spans="3:5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 spans="3:5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 spans="3:5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 spans="3:5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 spans="3:5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 spans="3:5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 spans="3:5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 spans="3:5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 spans="3:5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 spans="3:5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 spans="3:5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 spans="3:5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 spans="3:5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 spans="3:5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 spans="3:5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 spans="3:5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 spans="3:5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 spans="3:5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 spans="3:5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3:5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 spans="3:5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 spans="3:5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3:5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 spans="3:5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spans="3:5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spans="3:5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spans="3:5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 spans="3:5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3:5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3:5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3:5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3:5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3:5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3:5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3:5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3:5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3:5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3:5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3:5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3:5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3:5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3:5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3:5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3:5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3:5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 spans="3:5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 spans="3:5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 spans="3:5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 spans="3:5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 spans="3:5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 spans="3:5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 spans="3:5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 spans="3:5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 spans="3:5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 spans="3:5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 spans="3:5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 spans="3:5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 spans="3:5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 spans="3:5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 spans="3:5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 spans="3:5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 spans="3:5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 spans="3:5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 spans="3:5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 spans="3:5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 spans="3:5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 spans="3:5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 spans="3:5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 spans="3:5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 spans="3:5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 spans="3:5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3:5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 spans="3:5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 spans="3:5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 spans="3:5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 spans="3:5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3:5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3:5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 spans="3:5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 spans="3:5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 spans="3:5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3:5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3:5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3:5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3:5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3:5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3:5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3:5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3:5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3:5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3:5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3:5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3:5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3:5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3:5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3:5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3:5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3:5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3:5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3:5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3:5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3:5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3:5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3:5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3:5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3:5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3:5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3:5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3:5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3:5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3:5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3:5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3:5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3:5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3:5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3:5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3:5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3:5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3:5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3:5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3:5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3:5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3:5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3:5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3:5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3:5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3:5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3:5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3:5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 spans="3:5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 spans="3:5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 spans="3:5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 spans="3:5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 spans="3:5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 spans="3:5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 spans="3:5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 spans="3:5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 spans="3:5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 spans="3:5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 spans="3:5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 spans="3:5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 spans="3:5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 spans="3:5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3:5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3:5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 spans="3:5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 spans="3:5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 spans="3:5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 spans="3:5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3:5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3:5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3:5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3:5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3:5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3:5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3:5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3:5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3:5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3:5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3:5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3:5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3:5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3:5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3:5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3:5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3:5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3:5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3:5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3:5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3:5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3:5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3:5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3:5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3:5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3:5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3:5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3:5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3:5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3:5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3:5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3:5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3:5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3:5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3:5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3:5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3:5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3:5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3:5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</sheetData>
  <hyperlinks>
    <hyperlink ref="A1" location="Main!A1" display="Main" xr:uid="{4FD8E1B3-AADA-4E0C-BA06-F89AB8C578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2024-06-20T15:50:26Z</dcterms:created>
  <dcterms:modified xsi:type="dcterms:W3CDTF">2026-07-12T14:10:26Z</dcterms:modified>
</cp:coreProperties>
</file>