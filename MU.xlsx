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A341E0E6-5B6B-4F9A-AD99-7B967440A11D}" xr6:coauthVersionLast="47" xr6:coauthVersionMax="47" xr10:uidLastSave="{00000000-0000-0000-0000-000000000000}"/>
  <bookViews>
    <workbookView xWindow="19095" yWindow="0" windowWidth="19410" windowHeight="20925" activeTab="1" xr2:uid="{E11AB79D-6789-46B9-A65D-613D2D1138C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2" l="1"/>
  <c r="M26" i="2"/>
  <c r="L26" i="2"/>
  <c r="K26" i="2"/>
  <c r="J26" i="2"/>
  <c r="I26" i="2"/>
  <c r="H26" i="2"/>
  <c r="G26" i="2"/>
  <c r="F26" i="2"/>
  <c r="E26" i="2"/>
  <c r="D26" i="2"/>
  <c r="C26" i="2"/>
  <c r="O26" i="2"/>
  <c r="N25" i="2"/>
  <c r="M25" i="2"/>
  <c r="L25" i="2"/>
  <c r="K25" i="2"/>
  <c r="J25" i="2"/>
  <c r="I25" i="2"/>
  <c r="H25" i="2"/>
  <c r="G25" i="2"/>
  <c r="F25" i="2"/>
  <c r="E25" i="2"/>
  <c r="D25" i="2"/>
  <c r="C25" i="2"/>
  <c r="O25" i="2"/>
  <c r="O8" i="2"/>
  <c r="O12" i="2" s="1"/>
  <c r="O16" i="2" s="1"/>
  <c r="O19" i="2" s="1"/>
  <c r="O21" i="2" s="1"/>
  <c r="Q24" i="2"/>
  <c r="P24" i="2"/>
  <c r="O24" i="2"/>
  <c r="N24" i="2"/>
  <c r="M24" i="2"/>
  <c r="L24" i="2"/>
  <c r="K24" i="2"/>
  <c r="J24" i="2"/>
  <c r="I24" i="2"/>
  <c r="Q21" i="2"/>
  <c r="N21" i="2"/>
  <c r="M21" i="2"/>
  <c r="L21" i="2"/>
  <c r="P12" i="2"/>
  <c r="P16" i="2" s="1"/>
  <c r="Q19" i="2"/>
  <c r="N19" i="2"/>
  <c r="M19" i="2"/>
  <c r="L19" i="2"/>
  <c r="N16" i="2"/>
  <c r="M16" i="2"/>
  <c r="L16" i="2"/>
  <c r="N12" i="2"/>
  <c r="M12" i="2"/>
  <c r="L12" i="2"/>
  <c r="Q8" i="2"/>
  <c r="P8" i="2"/>
  <c r="N8" i="2"/>
  <c r="M8" i="2"/>
  <c r="L8" i="2"/>
  <c r="K8" i="2"/>
  <c r="K12" i="2" s="1"/>
  <c r="K16" i="2" s="1"/>
  <c r="K19" i="2" s="1"/>
  <c r="K21" i="2" s="1"/>
  <c r="H6" i="1"/>
  <c r="H5" i="1"/>
  <c r="J8" i="2"/>
  <c r="J12" i="2" s="1"/>
  <c r="J16" i="2" s="1"/>
  <c r="J19" i="2" s="1"/>
  <c r="J21" i="2" s="1"/>
  <c r="I8" i="2"/>
  <c r="I12" i="2" s="1"/>
  <c r="I16" i="2" s="1"/>
  <c r="I19" i="2" s="1"/>
  <c r="I21" i="2" s="1"/>
  <c r="H8" i="2"/>
  <c r="H12" i="2" s="1"/>
  <c r="H16" i="2" s="1"/>
  <c r="H19" i="2" s="1"/>
  <c r="H21" i="2" s="1"/>
  <c r="G8" i="2"/>
  <c r="G12" i="2" s="1"/>
  <c r="G16" i="2" s="1"/>
  <c r="G19" i="2" s="1"/>
  <c r="G21" i="2" s="1"/>
  <c r="F8" i="2"/>
  <c r="F12" i="2" s="1"/>
  <c r="F16" i="2" s="1"/>
  <c r="F19" i="2" s="1"/>
  <c r="F21" i="2" s="1"/>
  <c r="D8" i="2"/>
  <c r="D12" i="2" s="1"/>
  <c r="D16" i="2" s="1"/>
  <c r="D19" i="2" s="1"/>
  <c r="D21" i="2" s="1"/>
  <c r="C8" i="2"/>
  <c r="C12" i="2" s="1"/>
  <c r="C16" i="2" s="1"/>
  <c r="C19" i="2" s="1"/>
  <c r="C21" i="2" s="1"/>
  <c r="E8" i="2"/>
  <c r="E12" i="2" s="1"/>
  <c r="E16" i="2" s="1"/>
  <c r="E19" i="2" s="1"/>
  <c r="E21" i="2" s="1"/>
  <c r="H4" i="1"/>
  <c r="P19" i="2" l="1"/>
  <c r="P21" i="2" s="1"/>
  <c r="H7" i="1"/>
</calcChain>
</file>

<file path=xl/sharedStrings.xml><?xml version="1.0" encoding="utf-8"?>
<sst xmlns="http://schemas.openxmlformats.org/spreadsheetml/2006/main" count="50" uniqueCount="46">
  <si>
    <t>MU</t>
  </si>
  <si>
    <t>Micron Technologies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</si>
  <si>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</si>
  <si>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</si>
  <si>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</si>
  <si>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</si>
  <si>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</si>
  <si>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</si>
  <si>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</si>
  <si>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</si>
  <si>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</si>
  <si>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</si>
  <si>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</si>
  <si>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</si>
  <si>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</si>
  <si>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</si>
  <si>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</si>
  <si>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</si>
  <si>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</si>
  <si>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</si>
  <si>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</si>
  <si>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</si>
  <si>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R&amp;D</t>
  </si>
  <si>
    <t>SG&amp;A</t>
  </si>
  <si>
    <t>Other operating Income</t>
  </si>
  <si>
    <t>Operating Income</t>
  </si>
  <si>
    <t>Interest Income</t>
  </si>
  <si>
    <t>Interest Expense</t>
  </si>
  <si>
    <t>Other non-operating income</t>
  </si>
  <si>
    <t>Pretax Income</t>
  </si>
  <si>
    <t>Tax Expense</t>
  </si>
  <si>
    <t>Equity investments</t>
  </si>
  <si>
    <t>Net Income</t>
  </si>
  <si>
    <t>EPS</t>
  </si>
  <si>
    <t>DRAM Revenue</t>
  </si>
  <si>
    <t>NAND Revenue</t>
  </si>
  <si>
    <t>Other (primarily NOR)</t>
  </si>
  <si>
    <t>Q126</t>
  </si>
  <si>
    <t>Q226</t>
  </si>
  <si>
    <t>Q125</t>
  </si>
  <si>
    <t>Q225</t>
  </si>
  <si>
    <t>Q325</t>
  </si>
  <si>
    <t>Q425</t>
  </si>
  <si>
    <t>Revenue Growth</t>
  </si>
  <si>
    <t>Gross Margin</t>
  </si>
  <si>
    <t>Operating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</si>
</sst>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;\(#,##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4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165" fontId="2" fillId="0" borderId="0" xfId="0" applyNumberFormat="1" applyFont="1"/>
    <xf numFmtId="165" fontId="4" fillId="0" borderId="0" xfId="0" applyNumberFormat="1" applyFont="1"/>
    <xf numFmtId="166" fontId="2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  <xf numFmtId="9" fontId="2" fillId="0" borderId="0" xfId="2" applyFont="1"/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4A930-1AA6-44FD-BF38-CEBED144D4D5}">
  <dimension ref="A1:I7"/>
  <sheetViews>
    <sheetView zoomScale="200" zoomScaleNormal="200" workbookViewId="0">
      <selection activeCell="H7" sqref="H7"/>
    </sheetView>
  </sheetViews>
  <sheetFormatPr defaultRowHeight="12.75" x14ac:dyDescent="0.2"/>
  <cols>
    <col min="1" max="1" width="3.7109375" style="2" customWidth="1"/>
    <col min="2" max="7" width="9.140625" style="2"/>
    <col min="8" max="8" width="9.5703125" style="2" bestFit="1" customWidth="1"/>
    <col min="9" max="16384" width="9.140625" style="2"/>
  </cols>
  <sheetData>
    <row r="1" spans="1:9" x14ac:dyDescent="0.2">
      <c r="A1" s="1" t="s">
        <v>1</v>
      </c>
    </row>
    <row r="2" spans="1:9" x14ac:dyDescent="0.2">
      <c r="A2" s="2" t="s">
        <v>2</v>
      </c>
      <c r="G2" s="2" t="s">
        <v>4</v>
      </c>
      <c r="H2" s="3">
        <v>989.6</v>
      </c>
    </row>
    <row r="3" spans="1:9" x14ac:dyDescent="0.2">
      <c r="G3" s="2" t="s">
        <v>5</v>
      </c>
      <c r="H3" s="4">
        <v>1127.7340509999999</v>
      </c>
      <c r="I3" s="11" t="s">
        <v>37</v>
      </c>
    </row>
    <row r="4" spans="1:9" x14ac:dyDescent="0.2">
      <c r="B4" s="2" t="s">
        <v>0</v>
      </c>
      <c r="G4" s="2" t="s">
        <v>6</v>
      </c>
      <c r="H4" s="4">
        <f>+H2*H3</f>
        <v>1116005.6168696</v>
      </c>
    </row>
    <row r="5" spans="1:9" x14ac:dyDescent="0.2">
      <c r="B5" s="2" t="s">
        <v>3</v>
      </c>
      <c r="G5" s="2" t="s">
        <v>7</v>
      </c>
      <c r="H5" s="4">
        <f>13908+681</f>
        <v>14589</v>
      </c>
      <c r="I5" s="11" t="s">
        <v>37</v>
      </c>
    </row>
    <row r="6" spans="1:9" x14ac:dyDescent="0.2">
      <c r="G6" s="2" t="s">
        <v>8</v>
      </c>
      <c r="H6" s="4">
        <f>585+9557</f>
        <v>10142</v>
      </c>
      <c r="I6" s="11" t="s">
        <v>37</v>
      </c>
    </row>
    <row r="7" spans="1:9" x14ac:dyDescent="0.2">
      <c r="G7" s="2" t="s">
        <v>9</v>
      </c>
      <c r="H7" s="4">
        <f>+H4-H5+H6</f>
        <v>1111558.6168696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2DB8-D4FF-42D8-9526-44541605E861}">
  <dimension ref="A1:AR267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K26" sqref="K26"/>
    </sheetView>
  </sheetViews>
  <sheetFormatPr defaultRowHeight="12.75" x14ac:dyDescent="0.2"/>
  <cols>
    <col min="1" max="1" width="5.42578125" style="2" bestFit="1" customWidth="1"/>
    <col min="2" max="2" width="24.7109375" style="2" customWidth="1"/>
    <col min="3" max="16384" width="9.140625" style="2"/>
  </cols>
  <sheetData>
    <row r="1" spans="1:44" x14ac:dyDescent="0.2">
      <c r="A1" s="6" t="s">
        <v>11</v>
      </c>
    </row>
    <row r="2" spans="1:44" x14ac:dyDescent="0.2"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 t="s">
        <v>17</v>
      </c>
      <c r="I2" s="5" t="s">
        <v>10</v>
      </c>
      <c r="J2" s="5" t="s">
        <v>18</v>
      </c>
      <c r="K2" s="11" t="s">
        <v>39</v>
      </c>
      <c r="L2" s="11" t="s">
        <v>40</v>
      </c>
      <c r="M2" s="11" t="s">
        <v>41</v>
      </c>
      <c r="N2" s="11" t="s">
        <v>42</v>
      </c>
      <c r="O2" s="11" t="s">
        <v>37</v>
      </c>
      <c r="P2" s="11" t="s">
        <v>38</v>
      </c>
    </row>
    <row r="3" spans="1:44" x14ac:dyDescent="0.2">
      <c r="B3" s="2" t="s">
        <v>34</v>
      </c>
      <c r="C3" s="7"/>
      <c r="D3" s="7"/>
      <c r="E3" s="7">
        <v>3427</v>
      </c>
      <c r="F3" s="7"/>
      <c r="G3" s="7"/>
      <c r="H3" s="7"/>
      <c r="I3" s="7">
        <v>6400</v>
      </c>
      <c r="J3" s="7"/>
      <c r="K3" s="7">
        <v>6123</v>
      </c>
      <c r="L3" s="7"/>
      <c r="M3" s="7"/>
      <c r="N3" s="7"/>
      <c r="O3" s="7">
        <v>18768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x14ac:dyDescent="0.2">
      <c r="B4" s="2" t="s">
        <v>35</v>
      </c>
      <c r="C4" s="7"/>
      <c r="D4" s="7"/>
      <c r="E4" s="7">
        <v>1230</v>
      </c>
      <c r="F4" s="7"/>
      <c r="G4" s="7"/>
      <c r="H4" s="7"/>
      <c r="I4" s="7">
        <v>2241</v>
      </c>
      <c r="J4" s="7"/>
      <c r="K4" s="7">
        <v>1855</v>
      </c>
      <c r="L4" s="7"/>
      <c r="M4" s="7"/>
      <c r="N4" s="7"/>
      <c r="O4" s="7">
        <v>4997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</row>
    <row r="5" spans="1:44" x14ac:dyDescent="0.2">
      <c r="B5" s="2" t="s">
        <v>36</v>
      </c>
      <c r="C5" s="7"/>
      <c r="D5" s="7"/>
      <c r="E5" s="7">
        <v>69</v>
      </c>
      <c r="F5" s="7"/>
      <c r="G5" s="7"/>
      <c r="H5" s="7"/>
      <c r="I5" s="7">
        <v>68</v>
      </c>
      <c r="J5" s="7"/>
      <c r="K5" s="7">
        <v>75</v>
      </c>
      <c r="L5" s="7"/>
      <c r="M5" s="7"/>
      <c r="N5" s="7"/>
      <c r="O5" s="7">
        <v>95</v>
      </c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</row>
    <row r="6" spans="1:44" x14ac:dyDescent="0.2">
      <c r="B6" s="1" t="s">
        <v>19</v>
      </c>
      <c r="C6" s="8"/>
      <c r="D6" s="8"/>
      <c r="E6" s="8">
        <v>4726</v>
      </c>
      <c r="F6" s="8"/>
      <c r="G6" s="8"/>
      <c r="H6" s="8"/>
      <c r="I6" s="8">
        <v>8709</v>
      </c>
      <c r="J6" s="8"/>
      <c r="K6" s="8">
        <v>8053</v>
      </c>
      <c r="L6" s="7"/>
      <c r="M6" s="7"/>
      <c r="N6" s="7"/>
      <c r="O6" s="8">
        <v>23860</v>
      </c>
      <c r="P6" s="8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spans="1:44" x14ac:dyDescent="0.2">
      <c r="B7" s="2" t="s">
        <v>20</v>
      </c>
      <c r="C7" s="7"/>
      <c r="D7" s="7"/>
      <c r="E7" s="7">
        <v>4761</v>
      </c>
      <c r="F7" s="7"/>
      <c r="G7" s="7"/>
      <c r="H7" s="7"/>
      <c r="I7" s="7">
        <v>5361</v>
      </c>
      <c r="J7" s="7"/>
      <c r="K7" s="7">
        <v>5090</v>
      </c>
      <c r="L7" s="7"/>
      <c r="M7" s="7"/>
      <c r="N7" s="7"/>
      <c r="O7" s="7">
        <v>6105</v>
      </c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</row>
    <row r="8" spans="1:44" x14ac:dyDescent="0.2">
      <c r="B8" s="2" t="s">
        <v>21</v>
      </c>
      <c r="C8" s="7">
        <f t="shared" ref="C8:D8" si="0">+C6-C7</f>
        <v>0</v>
      </c>
      <c r="D8" s="7">
        <f t="shared" si="0"/>
        <v>0</v>
      </c>
      <c r="E8" s="7">
        <f>+E6-E7</f>
        <v>-35</v>
      </c>
      <c r="F8" s="7">
        <f t="shared" ref="F8:Q8" si="1">+F6-F7</f>
        <v>0</v>
      </c>
      <c r="G8" s="7">
        <f t="shared" si="1"/>
        <v>0</v>
      </c>
      <c r="H8" s="7">
        <f t="shared" si="1"/>
        <v>0</v>
      </c>
      <c r="I8" s="7">
        <f t="shared" si="1"/>
        <v>3348</v>
      </c>
      <c r="J8" s="7">
        <f t="shared" si="1"/>
        <v>0</v>
      </c>
      <c r="K8" s="7">
        <f t="shared" si="1"/>
        <v>2963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ref="O8" si="2">+O6-O7</f>
        <v>17755</v>
      </c>
      <c r="P8" s="7">
        <f t="shared" si="1"/>
        <v>0</v>
      </c>
      <c r="Q8" s="7">
        <f t="shared" si="1"/>
        <v>0</v>
      </c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spans="1:44" x14ac:dyDescent="0.2">
      <c r="B9" s="2" t="s">
        <v>22</v>
      </c>
      <c r="C9" s="7"/>
      <c r="D9" s="7"/>
      <c r="E9" s="7">
        <v>845</v>
      </c>
      <c r="F9" s="7"/>
      <c r="G9" s="7"/>
      <c r="H9" s="7"/>
      <c r="I9" s="7">
        <v>888</v>
      </c>
      <c r="J9" s="7"/>
      <c r="K9" s="7">
        <v>898</v>
      </c>
      <c r="L9" s="7"/>
      <c r="M9" s="7"/>
      <c r="N9" s="7"/>
      <c r="O9" s="7">
        <v>1250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spans="1:44" x14ac:dyDescent="0.2">
      <c r="B10" s="2" t="s">
        <v>23</v>
      </c>
      <c r="C10" s="7"/>
      <c r="D10" s="7"/>
      <c r="E10" s="7">
        <v>263</v>
      </c>
      <c r="F10" s="7"/>
      <c r="G10" s="7"/>
      <c r="H10" s="7"/>
      <c r="I10" s="7">
        <v>288</v>
      </c>
      <c r="J10" s="7"/>
      <c r="K10" s="7">
        <v>285</v>
      </c>
      <c r="L10" s="7"/>
      <c r="M10" s="7"/>
      <c r="N10" s="7"/>
      <c r="O10" s="7">
        <v>344</v>
      </c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spans="1:44" x14ac:dyDescent="0.2">
      <c r="B11" s="2" t="s">
        <v>24</v>
      </c>
      <c r="C11" s="7"/>
      <c r="D11" s="7"/>
      <c r="E11" s="7">
        <v>15</v>
      </c>
      <c r="F11" s="7"/>
      <c r="G11" s="7"/>
      <c r="H11" s="7"/>
      <c r="I11" s="7">
        <v>2</v>
      </c>
      <c r="J11" s="7"/>
      <c r="K11" s="7">
        <v>-7</v>
      </c>
      <c r="L11" s="7"/>
      <c r="M11" s="7"/>
      <c r="N11" s="7"/>
      <c r="O11" s="7">
        <v>-26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spans="1:44" x14ac:dyDescent="0.2">
      <c r="B12" s="2" t="s">
        <v>25</v>
      </c>
      <c r="C12" s="7">
        <f t="shared" ref="C12:H12" si="3">+C8-C9-C10+C11</f>
        <v>0</v>
      </c>
      <c r="D12" s="7">
        <f t="shared" si="3"/>
        <v>0</v>
      </c>
      <c r="E12" s="7">
        <f t="shared" si="3"/>
        <v>-1128</v>
      </c>
      <c r="F12" s="7">
        <f t="shared" si="3"/>
        <v>0</v>
      </c>
      <c r="G12" s="7">
        <f t="shared" si="3"/>
        <v>0</v>
      </c>
      <c r="H12" s="7">
        <f t="shared" si="3"/>
        <v>0</v>
      </c>
      <c r="I12" s="7">
        <f>+I8-I9-I10+I11</f>
        <v>2174</v>
      </c>
      <c r="J12" s="7">
        <f t="shared" ref="J12:P12" si="4">+J8-J9-J10+J11</f>
        <v>0</v>
      </c>
      <c r="K12" s="7">
        <f t="shared" si="4"/>
        <v>1773</v>
      </c>
      <c r="L12" s="7">
        <f t="shared" si="4"/>
        <v>0</v>
      </c>
      <c r="M12" s="7">
        <f t="shared" si="4"/>
        <v>0</v>
      </c>
      <c r="N12" s="7">
        <f t="shared" si="4"/>
        <v>0</v>
      </c>
      <c r="O12" s="7">
        <f>+O8-O9-O10+O11</f>
        <v>16135</v>
      </c>
      <c r="P12" s="7">
        <f>+P8-P9-P10+P11</f>
        <v>0</v>
      </c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spans="1:44" x14ac:dyDescent="0.2">
      <c r="B13" s="2" t="s">
        <v>26</v>
      </c>
      <c r="C13" s="7"/>
      <c r="D13" s="7"/>
      <c r="E13" s="7">
        <v>132</v>
      </c>
      <c r="F13" s="7"/>
      <c r="G13" s="7"/>
      <c r="H13" s="7"/>
      <c r="I13" s="7">
        <v>107</v>
      </c>
      <c r="J13" s="7"/>
      <c r="K13" s="7">
        <v>108</v>
      </c>
      <c r="L13" s="7"/>
      <c r="M13" s="7"/>
      <c r="N13" s="7"/>
      <c r="O13" s="7">
        <v>155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spans="1:44" x14ac:dyDescent="0.2">
      <c r="B14" s="2" t="s">
        <v>27</v>
      </c>
      <c r="C14" s="7"/>
      <c r="D14" s="7"/>
      <c r="E14" s="7">
        <v>132</v>
      </c>
      <c r="F14" s="7"/>
      <c r="G14" s="7"/>
      <c r="H14" s="7"/>
      <c r="I14" s="7">
        <v>118</v>
      </c>
      <c r="J14" s="7"/>
      <c r="K14" s="7">
        <v>112</v>
      </c>
      <c r="L14" s="7"/>
      <c r="M14" s="7"/>
      <c r="N14" s="7"/>
      <c r="O14" s="7">
        <v>32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</row>
    <row r="15" spans="1:44" x14ac:dyDescent="0.2">
      <c r="B15" s="2" t="s">
        <v>28</v>
      </c>
      <c r="C15" s="7"/>
      <c r="D15" s="7"/>
      <c r="E15" s="7">
        <v>-27</v>
      </c>
      <c r="F15" s="7"/>
      <c r="G15" s="7"/>
      <c r="H15" s="7"/>
      <c r="I15" s="7">
        <v>-11</v>
      </c>
      <c r="J15" s="7"/>
      <c r="K15" s="7">
        <v>-11</v>
      </c>
      <c r="L15" s="7"/>
      <c r="M15" s="7"/>
      <c r="N15" s="7"/>
      <c r="O15" s="7">
        <v>-98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spans="1:44" x14ac:dyDescent="0.2">
      <c r="B16" s="2" t="s">
        <v>29</v>
      </c>
      <c r="C16" s="7">
        <f t="shared" ref="C16:H16" si="5">+C12+C13-C14+C15</f>
        <v>0</v>
      </c>
      <c r="D16" s="7">
        <f t="shared" si="5"/>
        <v>0</v>
      </c>
      <c r="E16" s="7">
        <f t="shared" si="5"/>
        <v>-1155</v>
      </c>
      <c r="F16" s="7">
        <f t="shared" si="5"/>
        <v>0</v>
      </c>
      <c r="G16" s="7">
        <f t="shared" si="5"/>
        <v>0</v>
      </c>
      <c r="H16" s="7">
        <f t="shared" si="5"/>
        <v>0</v>
      </c>
      <c r="I16" s="7">
        <f>+I12+I13-I14+I15</f>
        <v>2152</v>
      </c>
      <c r="J16" s="7">
        <f t="shared" ref="J16:P16" si="6">+J12+J13-J14+J15</f>
        <v>0</v>
      </c>
      <c r="K16" s="7">
        <f t="shared" si="6"/>
        <v>1758</v>
      </c>
      <c r="L16" s="7">
        <f t="shared" si="6"/>
        <v>0</v>
      </c>
      <c r="M16" s="7">
        <f t="shared" si="6"/>
        <v>0</v>
      </c>
      <c r="N16" s="7">
        <f t="shared" si="6"/>
        <v>0</v>
      </c>
      <c r="O16" s="7">
        <f t="shared" ref="O16" si="7">+O12+O13-O14+O15</f>
        <v>16160</v>
      </c>
      <c r="P16" s="7">
        <f t="shared" si="6"/>
        <v>0</v>
      </c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spans="2:44" x14ac:dyDescent="0.2">
      <c r="B17" s="2" t="s">
        <v>30</v>
      </c>
      <c r="C17" s="7"/>
      <c r="D17" s="7"/>
      <c r="E17" s="7">
        <v>73</v>
      </c>
      <c r="F17" s="7"/>
      <c r="G17" s="7"/>
      <c r="H17" s="7"/>
      <c r="I17" s="7">
        <v>283</v>
      </c>
      <c r="J17" s="7"/>
      <c r="K17" s="7">
        <v>177</v>
      </c>
      <c r="L17" s="7"/>
      <c r="M17" s="7"/>
      <c r="N17" s="7"/>
      <c r="O17" s="7">
        <v>2371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spans="2:44" x14ac:dyDescent="0.2">
      <c r="B18" s="2" t="s">
        <v>31</v>
      </c>
      <c r="C18" s="7"/>
      <c r="D18" s="7"/>
      <c r="E18" s="7">
        <v>-6</v>
      </c>
      <c r="F18" s="7"/>
      <c r="G18" s="7"/>
      <c r="H18" s="7"/>
      <c r="I18" s="7">
        <v>1</v>
      </c>
      <c r="J18" s="7"/>
      <c r="K18" s="7">
        <v>2</v>
      </c>
      <c r="L18" s="7"/>
      <c r="M18" s="7"/>
      <c r="N18" s="7"/>
      <c r="O18" s="7">
        <v>-4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spans="2:44" x14ac:dyDescent="0.2">
      <c r="B19" s="2" t="s">
        <v>32</v>
      </c>
      <c r="C19" s="7">
        <f t="shared" ref="C19:H19" si="8">+C16-C17+C18</f>
        <v>0</v>
      </c>
      <c r="D19" s="7">
        <f t="shared" si="8"/>
        <v>0</v>
      </c>
      <c r="E19" s="7">
        <f t="shared" si="8"/>
        <v>-1234</v>
      </c>
      <c r="F19" s="7">
        <f t="shared" si="8"/>
        <v>0</v>
      </c>
      <c r="G19" s="7">
        <f t="shared" si="8"/>
        <v>0</v>
      </c>
      <c r="H19" s="7">
        <f t="shared" si="8"/>
        <v>0</v>
      </c>
      <c r="I19" s="7">
        <f>+I16-I17+I18</f>
        <v>1870</v>
      </c>
      <c r="J19" s="7">
        <f t="shared" ref="J19:Q19" si="9">+J16-J17+J18</f>
        <v>0</v>
      </c>
      <c r="K19" s="7">
        <f t="shared" si="9"/>
        <v>1583</v>
      </c>
      <c r="L19" s="7">
        <f t="shared" si="9"/>
        <v>0</v>
      </c>
      <c r="M19" s="7">
        <f t="shared" si="9"/>
        <v>0</v>
      </c>
      <c r="N19" s="7">
        <f t="shared" si="9"/>
        <v>0</v>
      </c>
      <c r="O19" s="7">
        <f t="shared" ref="O19" si="10">+O16-O17+O18</f>
        <v>13785</v>
      </c>
      <c r="P19" s="7">
        <f t="shared" si="9"/>
        <v>0</v>
      </c>
      <c r="Q19" s="7">
        <f t="shared" si="9"/>
        <v>0</v>
      </c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 spans="2:44" x14ac:dyDescent="0.2"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spans="2:44" x14ac:dyDescent="0.2">
      <c r="B21" s="2" t="s">
        <v>33</v>
      </c>
      <c r="C21" s="9" t="e">
        <f t="shared" ref="C21:D21" si="11">+C19/C22</f>
        <v>#DIV/0!</v>
      </c>
      <c r="D21" s="9" t="e">
        <f t="shared" si="11"/>
        <v>#DIV/0!</v>
      </c>
      <c r="E21" s="9">
        <f>+E19/E22</f>
        <v>-1.1218181818181818</v>
      </c>
      <c r="F21" s="9" t="e">
        <f t="shared" ref="F21:Q21" si="12">+F19/F22</f>
        <v>#DIV/0!</v>
      </c>
      <c r="G21" s="9" t="e">
        <f t="shared" si="12"/>
        <v>#DIV/0!</v>
      </c>
      <c r="H21" s="9" t="e">
        <f t="shared" si="12"/>
        <v>#DIV/0!</v>
      </c>
      <c r="I21" s="9">
        <f t="shared" si="12"/>
        <v>1.6831683168316831</v>
      </c>
      <c r="J21" s="9" t="e">
        <f t="shared" si="12"/>
        <v>#DIV/0!</v>
      </c>
      <c r="K21" s="9">
        <f t="shared" si="12"/>
        <v>1.4197309417040358</v>
      </c>
      <c r="L21" s="9" t="e">
        <f t="shared" si="12"/>
        <v>#DIV/0!</v>
      </c>
      <c r="M21" s="9" t="e">
        <f t="shared" si="12"/>
        <v>#DIV/0!</v>
      </c>
      <c r="N21" s="9" t="e">
        <f t="shared" si="12"/>
        <v>#DIV/0!</v>
      </c>
      <c r="O21" s="9">
        <f t="shared" ref="O21" si="13">+O19/O22</f>
        <v>12.242451154529308</v>
      </c>
      <c r="P21" s="9" t="e">
        <f t="shared" si="12"/>
        <v>#DIV/0!</v>
      </c>
      <c r="Q21" s="9" t="e">
        <f t="shared" si="12"/>
        <v>#DIV/0!</v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 spans="2:44" x14ac:dyDescent="0.2">
      <c r="B22" s="2" t="s">
        <v>5</v>
      </c>
      <c r="C22" s="7"/>
      <c r="D22" s="7"/>
      <c r="E22" s="7">
        <v>1100</v>
      </c>
      <c r="F22" s="7"/>
      <c r="G22" s="7"/>
      <c r="H22" s="7"/>
      <c r="I22" s="7">
        <v>1111</v>
      </c>
      <c r="J22" s="7"/>
      <c r="K22" s="7">
        <v>1115</v>
      </c>
      <c r="L22" s="7"/>
      <c r="M22" s="7"/>
      <c r="N22" s="7"/>
      <c r="O22" s="7">
        <v>1126</v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spans="2:44" x14ac:dyDescent="0.2"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 spans="2:44" x14ac:dyDescent="0.2">
      <c r="B24" s="1" t="s">
        <v>43</v>
      </c>
      <c r="C24" s="8"/>
      <c r="D24" s="8"/>
      <c r="E24" s="8"/>
      <c r="F24" s="8"/>
      <c r="G24" s="8"/>
      <c r="H24" s="8"/>
      <c r="I24" s="13">
        <f>+I6/E6-1</f>
        <v>0.84278459585272958</v>
      </c>
      <c r="J24" s="13" t="e">
        <f t="shared" ref="J24:Q24" si="14">+J6/F6-1</f>
        <v>#DIV/0!</v>
      </c>
      <c r="K24" s="13" t="e">
        <f t="shared" si="14"/>
        <v>#DIV/0!</v>
      </c>
      <c r="L24" s="13" t="e">
        <f t="shared" si="14"/>
        <v>#DIV/0!</v>
      </c>
      <c r="M24" s="13">
        <f t="shared" si="14"/>
        <v>-1</v>
      </c>
      <c r="N24" s="13" t="e">
        <f t="shared" si="14"/>
        <v>#DIV/0!</v>
      </c>
      <c r="O24" s="13">
        <f t="shared" si="14"/>
        <v>1.9628709797590962</v>
      </c>
      <c r="P24" s="13" t="e">
        <f t="shared" si="14"/>
        <v>#DIV/0!</v>
      </c>
      <c r="Q24" s="13" t="e">
        <f t="shared" si="14"/>
        <v>#DIV/0!</v>
      </c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spans="2:44" x14ac:dyDescent="0.2">
      <c r="B25" s="10" t="s">
        <v>44</v>
      </c>
      <c r="C25" s="12" t="e">
        <f t="shared" ref="C25:O25" si="15">+C8/C6</f>
        <v>#DIV/0!</v>
      </c>
      <c r="D25" s="12" t="e">
        <f t="shared" si="15"/>
        <v>#DIV/0!</v>
      </c>
      <c r="E25" s="12">
        <f t="shared" si="15"/>
        <v>-7.4058400338552688E-3</v>
      </c>
      <c r="F25" s="12" t="e">
        <f t="shared" si="15"/>
        <v>#DIV/0!</v>
      </c>
      <c r="G25" s="12" t="e">
        <f t="shared" si="15"/>
        <v>#DIV/0!</v>
      </c>
      <c r="H25" s="12" t="e">
        <f t="shared" si="15"/>
        <v>#DIV/0!</v>
      </c>
      <c r="I25" s="12">
        <f t="shared" si="15"/>
        <v>0.38442990010334138</v>
      </c>
      <c r="J25" s="12" t="e">
        <f t="shared" si="15"/>
        <v>#DIV/0!</v>
      </c>
      <c r="K25" s="12">
        <f t="shared" si="15"/>
        <v>0.36793741462808893</v>
      </c>
      <c r="L25" s="12" t="e">
        <f t="shared" si="15"/>
        <v>#DIV/0!</v>
      </c>
      <c r="M25" s="12" t="e">
        <f t="shared" si="15"/>
        <v>#DIV/0!</v>
      </c>
      <c r="N25" s="12" t="e">
        <f t="shared" si="15"/>
        <v>#DIV/0!</v>
      </c>
      <c r="O25" s="12">
        <f>+O8/O6</f>
        <v>0.74413243922883487</v>
      </c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 spans="2:44" x14ac:dyDescent="0.2">
      <c r="B26" s="10" t="s">
        <v>45</v>
      </c>
      <c r="C26" s="12" t="e">
        <f t="shared" ref="C26:O26" si="16">+C12/C6</f>
        <v>#DIV/0!</v>
      </c>
      <c r="D26" s="12" t="e">
        <f t="shared" si="16"/>
        <v>#DIV/0!</v>
      </c>
      <c r="E26" s="12">
        <f t="shared" si="16"/>
        <v>-0.23867964451967838</v>
      </c>
      <c r="F26" s="12" t="e">
        <f t="shared" si="16"/>
        <v>#DIV/0!</v>
      </c>
      <c r="G26" s="12" t="e">
        <f t="shared" si="16"/>
        <v>#DIV/0!</v>
      </c>
      <c r="H26" s="12" t="e">
        <f t="shared" si="16"/>
        <v>#DIV/0!</v>
      </c>
      <c r="I26" s="12">
        <f t="shared" si="16"/>
        <v>0.24962682282696061</v>
      </c>
      <c r="J26" s="12" t="e">
        <f t="shared" si="16"/>
        <v>#DIV/0!</v>
      </c>
      <c r="K26" s="12">
        <f t="shared" si="16"/>
        <v>0.22016639761579535</v>
      </c>
      <c r="L26" s="12" t="e">
        <f t="shared" si="16"/>
        <v>#DIV/0!</v>
      </c>
      <c r="M26" s="12" t="e">
        <f t="shared" si="16"/>
        <v>#DIV/0!</v>
      </c>
      <c r="N26" s="12" t="e">
        <f t="shared" si="16"/>
        <v>#DIV/0!</v>
      </c>
      <c r="O26" s="12">
        <f>+O12/O6</f>
        <v>0.67623637887678123</v>
      </c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spans="2:44" x14ac:dyDescent="0.2"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 spans="2:44" x14ac:dyDescent="0.2"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pans="2:44" x14ac:dyDescent="0.2"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pans="2:44" x14ac:dyDescent="0.2"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pans="2:44" x14ac:dyDescent="0.2"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pans="2:44" x14ac:dyDescent="0.2"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pans="3:44" x14ac:dyDescent="0.2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pans="3:44" x14ac:dyDescent="0.2"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pans="3:44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pans="3:44" x14ac:dyDescent="0.2"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pans="3:44" x14ac:dyDescent="0.2"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pans="3:44" x14ac:dyDescent="0.2"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pans="3:44" x14ac:dyDescent="0.2"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pans="3:44" x14ac:dyDescent="0.2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pans="3:44" x14ac:dyDescent="0.2"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pans="3:44" x14ac:dyDescent="0.2"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pans="3:44" x14ac:dyDescent="0.2"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pans="3:44" x14ac:dyDescent="0.2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pans="3:44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pans="3:44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pans="3:44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pans="3:44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pans="3:44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pans="3:44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pans="3:44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pans="3:44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pans="3:44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pans="3:44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pans="3:44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pans="3:44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pans="3:44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3:44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3:44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3:44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3:44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pans="3:44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pans="3:44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 spans="3:44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 spans="3:44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 spans="3:44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 spans="3:44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 spans="3:44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 spans="3:44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 spans="3:44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 spans="3:44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 spans="3:44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 spans="3:44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 spans="3:44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 spans="3:44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 spans="3:44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 spans="3:44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 spans="3:44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 spans="3:44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 spans="3:44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 spans="3:44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 spans="3:44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pans="3:44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pans="3:44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pans="3:44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pans="3:44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pans="3:44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pans="3:44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pans="3:44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3:44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3:44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3:44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3:44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3:44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3:44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3:44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3:44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3:44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3:44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3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3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3:44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3:44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3:44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3:44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3:44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3:44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3:44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3:44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3:44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3:44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3:44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3:44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3:44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3:44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3:44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3:44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3:44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3:44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3:44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3:44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3:44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3:44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3:44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 spans="3:44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 spans="3:44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 spans="3:44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 spans="3:44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 spans="3:44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 spans="3:44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 spans="3:44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 spans="3:44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 spans="3:44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 spans="3:44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 spans="3:44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 spans="3:44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 spans="3:44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 spans="3:44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 spans="3:44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 spans="3:44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 spans="3:44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 spans="3:44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 spans="3:44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 spans="3:44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 spans="3:44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 spans="3:44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 spans="3:44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 spans="3:44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 spans="3:44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 spans="3:44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 spans="3:44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 spans="3:44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 spans="3:44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</row>
    <row r="154" spans="3:44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 spans="3:44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 spans="3:44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 spans="3:44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 spans="3:44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 spans="3:44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 spans="3:44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 spans="3:44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 spans="3:44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 spans="3:44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 spans="3:44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 spans="3:44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 spans="3:44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</row>
    <row r="167" spans="3:44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</row>
    <row r="168" spans="3:44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 spans="3:44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 spans="3:44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 spans="3:44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 spans="3:44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 spans="3:44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 spans="3:44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 spans="3:44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 spans="3:44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 spans="3:44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 spans="3:44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 spans="3:44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 spans="3:44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 spans="3:44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 spans="3:44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 spans="3:44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 spans="3:44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 spans="3:44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 spans="3:44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 spans="3:44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</row>
    <row r="188" spans="3:44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</row>
    <row r="189" spans="3:44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</row>
    <row r="190" spans="3:44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</row>
    <row r="191" spans="3:44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</row>
    <row r="192" spans="3:44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</row>
    <row r="193" spans="3:44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</row>
    <row r="194" spans="3:44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</row>
    <row r="195" spans="3:44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</row>
    <row r="196" spans="3:44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</row>
    <row r="197" spans="3:44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</row>
    <row r="198" spans="3:44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</row>
    <row r="199" spans="3:44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</row>
    <row r="200" spans="3:44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</row>
    <row r="201" spans="3:44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</row>
    <row r="202" spans="3:44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</row>
    <row r="203" spans="3:44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</row>
    <row r="204" spans="3:44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</row>
    <row r="205" spans="3:44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</row>
    <row r="206" spans="3:44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</row>
    <row r="207" spans="3:44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</row>
    <row r="208" spans="3:44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</row>
    <row r="209" spans="3:44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</row>
    <row r="210" spans="3:44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</row>
    <row r="211" spans="3:44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</row>
    <row r="212" spans="3:44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</row>
    <row r="213" spans="3:44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</row>
    <row r="214" spans="3:44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</row>
    <row r="215" spans="3:44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 spans="3:44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 spans="3:44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</row>
    <row r="218" spans="3:44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 spans="3:44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</row>
    <row r="220" spans="3:44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 spans="3:44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</row>
    <row r="222" spans="3:44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</row>
    <row r="223" spans="3:44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</row>
    <row r="224" spans="3:44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</row>
    <row r="225" spans="3:44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</row>
    <row r="226" spans="3:44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</row>
    <row r="227" spans="3:44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</row>
    <row r="228" spans="3:44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</row>
    <row r="229" spans="3:44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</row>
    <row r="230" spans="3:44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</row>
    <row r="231" spans="3:44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</row>
    <row r="232" spans="3:44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</row>
    <row r="233" spans="3:44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</row>
    <row r="234" spans="3:44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</row>
    <row r="235" spans="3:44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</row>
    <row r="236" spans="3:44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</row>
    <row r="237" spans="3:44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</row>
    <row r="238" spans="3:44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</row>
    <row r="239" spans="3:44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</row>
    <row r="240" spans="3:44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</row>
    <row r="241" spans="3:44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</row>
    <row r="242" spans="3:44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</row>
    <row r="243" spans="3:44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</row>
    <row r="244" spans="3:44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</row>
    <row r="245" spans="3:44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</row>
    <row r="246" spans="3:44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</row>
    <row r="247" spans="3:44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</row>
    <row r="248" spans="3:44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</row>
    <row r="249" spans="3:44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</row>
    <row r="250" spans="3:44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</row>
    <row r="251" spans="3:44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</row>
    <row r="252" spans="3:44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</row>
    <row r="253" spans="3:44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</row>
    <row r="254" spans="3:44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</row>
    <row r="255" spans="3:44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</row>
    <row r="256" spans="3:44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</row>
    <row r="257" spans="3:44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</row>
    <row r="258" spans="3:44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</row>
    <row r="259" spans="3:44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</row>
    <row r="260" spans="3:44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</row>
    <row r="261" spans="3:44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</row>
    <row r="262" spans="3:44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</row>
    <row r="263" spans="3:44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</row>
    <row r="264" spans="3:44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</row>
    <row r="265" spans="3:44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</row>
    <row r="266" spans="3:44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</row>
    <row r="267" spans="3:44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</row>
  </sheetData>
  <hyperlinks>
    <hyperlink ref="A1" location="Main!A1" display="Main" xr:uid="{9448CEB6-E1C4-42DE-B426-4CECE8D225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2025-03-14T12:12:11Z</dcterms:created>
  <dcterms:modified xsi:type="dcterms:W3CDTF">2026-06-14T12:31:56Z</dcterms:modified>
</cp:coreProperties>
</file>