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6CEECF23-51AA-43D5-A8AD-3E40A9B7CB0E}" xr6:coauthVersionLast="47" xr6:coauthVersionMax="47" xr10:uidLastSave="{00000000-0000-0000-0000-000000000000}"/>
  <bookViews>
    <workbookView xWindow="19095" yWindow="0" windowWidth="19410" windowHeight="20925" activeTab="1" xr2:uid="{E11AB79D-6789-46B9-A65D-613D2D1138C2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2" l="1"/>
  <c r="L25" i="2" s="1"/>
  <c r="P8" i="2"/>
  <c r="P12" i="2" s="1"/>
  <c r="H6" i="1"/>
  <c r="H5" i="1"/>
  <c r="Q26" i="2"/>
  <c r="Q25" i="2"/>
  <c r="P25" i="2"/>
  <c r="Q12" i="2"/>
  <c r="Q16" i="2" s="1"/>
  <c r="Q19" i="2" s="1"/>
  <c r="Q21" i="2" s="1"/>
  <c r="N26" i="2"/>
  <c r="J26" i="2"/>
  <c r="I26" i="2"/>
  <c r="H26" i="2"/>
  <c r="G26" i="2"/>
  <c r="F26" i="2"/>
  <c r="E26" i="2"/>
  <c r="D26" i="2"/>
  <c r="C26" i="2"/>
  <c r="O26" i="2"/>
  <c r="N25" i="2"/>
  <c r="M25" i="2"/>
  <c r="J25" i="2"/>
  <c r="I25" i="2"/>
  <c r="H25" i="2"/>
  <c r="G25" i="2"/>
  <c r="F25" i="2"/>
  <c r="E25" i="2"/>
  <c r="D25" i="2"/>
  <c r="C25" i="2"/>
  <c r="O8" i="2"/>
  <c r="O12" i="2" s="1"/>
  <c r="O16" i="2" s="1"/>
  <c r="O19" i="2" s="1"/>
  <c r="O21" i="2" s="1"/>
  <c r="Q24" i="2"/>
  <c r="P24" i="2"/>
  <c r="O24" i="2"/>
  <c r="N24" i="2"/>
  <c r="M24" i="2"/>
  <c r="L24" i="2"/>
  <c r="K24" i="2"/>
  <c r="J24" i="2"/>
  <c r="I24" i="2"/>
  <c r="N21" i="2"/>
  <c r="N19" i="2"/>
  <c r="N16" i="2"/>
  <c r="N12" i="2"/>
  <c r="Q8" i="2"/>
  <c r="N8" i="2"/>
  <c r="M8" i="2"/>
  <c r="M12" i="2" s="1"/>
  <c r="K8" i="2"/>
  <c r="K12" i="2" s="1"/>
  <c r="K16" i="2" s="1"/>
  <c r="K19" i="2" s="1"/>
  <c r="K21" i="2" s="1"/>
  <c r="J8" i="2"/>
  <c r="J12" i="2" s="1"/>
  <c r="J16" i="2" s="1"/>
  <c r="J19" i="2" s="1"/>
  <c r="J21" i="2" s="1"/>
  <c r="I8" i="2"/>
  <c r="I12" i="2" s="1"/>
  <c r="I16" i="2" s="1"/>
  <c r="I19" i="2" s="1"/>
  <c r="I21" i="2" s="1"/>
  <c r="H8" i="2"/>
  <c r="H12" i="2" s="1"/>
  <c r="H16" i="2" s="1"/>
  <c r="H19" i="2" s="1"/>
  <c r="H21" i="2" s="1"/>
  <c r="G8" i="2"/>
  <c r="G12" i="2" s="1"/>
  <c r="G16" i="2" s="1"/>
  <c r="G19" i="2" s="1"/>
  <c r="G21" i="2" s="1"/>
  <c r="F8" i="2"/>
  <c r="F12" i="2" s="1"/>
  <c r="F16" i="2" s="1"/>
  <c r="F19" i="2" s="1"/>
  <c r="F21" i="2" s="1"/>
  <c r="D8" i="2"/>
  <c r="D12" i="2" s="1"/>
  <c r="D16" i="2" s="1"/>
  <c r="D19" i="2" s="1"/>
  <c r="D21" i="2" s="1"/>
  <c r="C8" i="2"/>
  <c r="C12" i="2" s="1"/>
  <c r="C16" i="2" s="1"/>
  <c r="C19" i="2" s="1"/>
  <c r="C21" i="2" s="1"/>
  <c r="E8" i="2"/>
  <c r="E12" i="2" s="1"/>
  <c r="E16" i="2" s="1"/>
  <c r="E19" i="2" s="1"/>
  <c r="E21" i="2" s="1"/>
  <c r="H4" i="1"/>
  <c r="K25" i="2" l="1"/>
  <c r="K26" i="2"/>
  <c r="O25" i="2"/>
  <c r="L12" i="2"/>
  <c r="P26" i="2"/>
  <c r="P16" i="2"/>
  <c r="P19" i="2" s="1"/>
  <c r="M26" i="2"/>
  <c r="M16" i="2"/>
  <c r="M19" i="2" s="1"/>
  <c r="M21" i="2" s="1"/>
  <c r="P21" i="2"/>
  <c r="H7" i="1"/>
  <c r="L16" i="2" l="1"/>
  <c r="L19" i="2" s="1"/>
  <c r="L21" i="2" s="1"/>
  <c r="L26" i="2"/>
</calcChain>
</file>

<file path=xl/sharedStrings.xml><?xml version="1.0" encoding="utf-8"?>
<sst xmlns="http://schemas.openxmlformats.org/spreadsheetml/2006/main" count="51" uniqueCount="47">
  <si>
    <t>MU</t>
  </si>
  <si>
    <t>Micron Technologies</t>
  </si>
  <si>
    <t>numbers in mio USD</t>
  </si>
  <si>
    <t>IR</t>
  </si>
  <si>
    <t>Price</t>
  </si>
  <si>
    <t>Shares</t>
  </si>
  <si>
    <t>MC</t>
  </si>
  <si>
    <t>Cash</t>
  </si>
  <si>
    <t>Debt</t>
  </si>
  <si>
    <t>EV</t>
  </si>
  <si>
    <t>Q324</t>
  </si>
  <si>
    <t>Main</t>
  </si>
  <si>
    <t>Q123</t>
  </si>
  <si>
    <t>Q223</t>
  </si>
  <si>
    <t>Q323</t>
  </si>
  <si>
    <t>Q423</t>
  </si>
  <si>
    <t>Q124</t>
  </si>
  <si>
    <t>Q224</t>
  </si>
  <si>
    <t>Q424</t>
  </si>
  <si>
    <t>Revenue</t>
  </si>
  <si>
    <t>COGS</t>
  </si>
  <si>
    <t>Gross Profit</t>
  </si>
  <si>
    <t>R&amp;D</t>
  </si>
  <si>
    <t>SG&amp;A</t>
  </si>
  <si>
    <t>Other operating Income</t>
  </si>
  <si>
    <t>Operating Income</t>
  </si>
  <si>
    <t>Interest Income</t>
  </si>
  <si>
    <t>Interest Expense</t>
  </si>
  <si>
    <t>Other non-operating income</t>
  </si>
  <si>
    <t>Pretax Income</t>
  </si>
  <si>
    <t>Tax Expense</t>
  </si>
  <si>
    <t>Equity investments</t>
  </si>
  <si>
    <t>Net Income</t>
  </si>
  <si>
    <t>EPS</t>
  </si>
  <si>
    <t>DRAM Revenue</t>
  </si>
  <si>
    <t>NAND Revenue</t>
  </si>
  <si>
    <t>Other (primarily NOR)</t>
  </si>
  <si>
    <t>Q126</t>
  </si>
  <si>
    <t>Q226</t>
  </si>
  <si>
    <t>Q125</t>
  </si>
  <si>
    <t>Q225</t>
  </si>
  <si>
    <t>Q325</t>
  </si>
  <si>
    <t>Q425</t>
  </si>
  <si>
    <t>Revenue Growth</t>
  </si>
  <si>
    <t>Gross Margin</t>
  </si>
  <si>
    <t>Operating Margin</t>
  </si>
  <si>
    <t>Q326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</si>
</sst>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#,##0;\(#,##0\)"/>
    <numFmt numFmtId="166" formatCode="#,##0.00;\(#,##0.00\)"/>
  </numFmts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9" fontId="7" fillId="0" borderId="0" applyFont="0" applyFill="0" applyBorder="0" applyAlignment="0" applyProtection="0"/>
  </cellStyleXfs>
  <cellXfs count="15">
    <xf numFmtId="0" fontId="0" fillId="0" borderId="0" xfId="0"/>
    <xf numFmtId="0" fontId="5" fillId="0" borderId="0" xfId="0" applyFont="1"/>
    <xf numFmtId="0" fontId="3" fillId="0" borderId="0" xfId="0" applyFont="1"/>
    <xf numFmtId="164" fontId="3" fillId="0" borderId="0" xfId="0" applyNumberFormat="1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0" fontId="6" fillId="0" borderId="0" xfId="1" applyFont="1"/>
    <xf numFmtId="165" fontId="3" fillId="0" borderId="0" xfId="0" applyNumberFormat="1" applyFont="1"/>
    <xf numFmtId="165" fontId="5" fillId="0" borderId="0" xfId="0" applyNumberFormat="1" applyFont="1"/>
    <xf numFmtId="166" fontId="3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9" fontId="3" fillId="0" borderId="0" xfId="2" applyFont="1"/>
    <xf numFmtId="9" fontId="5" fillId="0" borderId="0" xfId="2" applyFont="1"/>
    <xf numFmtId="0" fontId="1" fillId="0" borderId="0" xfId="0" applyFont="1" applyAlignment="1">
      <alignment horizontal="right"/>
    </xf>
  </cellXfs>
  <cellStyles count="3">
    <cellStyle name="Hyperlink" xfId="1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4A930-1AA6-44FD-BF38-CEBED144D4D5}">
  <dimension ref="A1:I7"/>
  <sheetViews>
    <sheetView topLeftCell="B1" zoomScale="200" zoomScaleNormal="200" workbookViewId="0">
      <selection activeCell="H7" sqref="H7"/>
    </sheetView>
  </sheetViews>
  <sheetFormatPr defaultRowHeight="12.75" x14ac:dyDescent="0.2"/>
  <cols>
    <col min="1" max="1" width="3.7109375" style="2" customWidth="1"/>
    <col min="2" max="7" width="9.140625" style="2"/>
    <col min="8" max="8" width="9.5703125" style="2" bestFit="1" customWidth="1"/>
    <col min="9" max="16384" width="9.140625" style="2"/>
  </cols>
  <sheetData>
    <row r="1" spans="1:9" x14ac:dyDescent="0.2">
      <c r="A1" s="1" t="s">
        <v>1</v>
      </c>
    </row>
    <row r="2" spans="1:9" x14ac:dyDescent="0.2">
      <c r="A2" s="2" t="s">
        <v>2</v>
      </c>
      <c r="G2" s="2" t="s">
        <v>4</v>
      </c>
      <c r="H2" s="3">
        <v>1133.5</v>
      </c>
    </row>
    <row r="3" spans="1:9" x14ac:dyDescent="0.2">
      <c r="G3" s="2" t="s">
        <v>5</v>
      </c>
      <c r="H3" s="4">
        <v>1129.393151</v>
      </c>
      <c r="I3" s="14" t="s">
        <v>46</v>
      </c>
    </row>
    <row r="4" spans="1:9" x14ac:dyDescent="0.2">
      <c r="B4" s="2" t="s">
        <v>0</v>
      </c>
      <c r="G4" s="2" t="s">
        <v>6</v>
      </c>
      <c r="H4" s="4">
        <f>+H2*H3</f>
        <v>1280167.1366584999</v>
      </c>
    </row>
    <row r="5" spans="1:9" x14ac:dyDescent="0.2">
      <c r="B5" s="2" t="s">
        <v>3</v>
      </c>
      <c r="G5" s="2" t="s">
        <v>7</v>
      </c>
      <c r="H5" s="4">
        <f>24995+1027</f>
        <v>26022</v>
      </c>
      <c r="I5" s="14" t="s">
        <v>46</v>
      </c>
    </row>
    <row r="6" spans="1:9" x14ac:dyDescent="0.2">
      <c r="G6" s="2" t="s">
        <v>8</v>
      </c>
      <c r="H6" s="4">
        <f>582+5140</f>
        <v>5722</v>
      </c>
      <c r="I6" s="14" t="s">
        <v>46</v>
      </c>
    </row>
    <row r="7" spans="1:9" x14ac:dyDescent="0.2">
      <c r="G7" s="2" t="s">
        <v>9</v>
      </c>
      <c r="H7" s="4">
        <f>+H4-H5+H6</f>
        <v>1259867.1366584999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E2DB8-D4FF-42D8-9526-44541605E861}">
  <dimension ref="A1:AR267"/>
  <sheetViews>
    <sheetView tabSelected="1" zoomScale="200" zoomScaleNormal="200" workbookViewId="0">
      <pane xSplit="2" ySplit="2" topLeftCell="K3" activePane="bottomRight" state="frozen"/>
      <selection pane="topRight" activeCell="C1" sqref="C1"/>
      <selection pane="bottomLeft" activeCell="A3" sqref="A3"/>
      <selection pane="bottomRight" activeCell="K6" sqref="K6"/>
    </sheetView>
  </sheetViews>
  <sheetFormatPr defaultRowHeight="12.75" x14ac:dyDescent="0.2"/>
  <cols>
    <col min="1" max="1" width="5.42578125" style="2" bestFit="1" customWidth="1"/>
    <col min="2" max="2" width="24.7109375" style="2" customWidth="1"/>
    <col min="3" max="16384" width="9.140625" style="2"/>
  </cols>
  <sheetData>
    <row r="1" spans="1:44" x14ac:dyDescent="0.2">
      <c r="A1" s="6" t="s">
        <v>11</v>
      </c>
    </row>
    <row r="2" spans="1:44" x14ac:dyDescent="0.2"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10</v>
      </c>
      <c r="J2" s="5" t="s">
        <v>18</v>
      </c>
      <c r="K2" s="11" t="s">
        <v>39</v>
      </c>
      <c r="L2" s="11" t="s">
        <v>40</v>
      </c>
      <c r="M2" s="11" t="s">
        <v>41</v>
      </c>
      <c r="N2" s="11" t="s">
        <v>42</v>
      </c>
      <c r="O2" s="11" t="s">
        <v>37</v>
      </c>
      <c r="P2" s="11" t="s">
        <v>38</v>
      </c>
      <c r="Q2" s="14" t="s">
        <v>46</v>
      </c>
    </row>
    <row r="3" spans="1:44" x14ac:dyDescent="0.2">
      <c r="B3" s="2" t="s">
        <v>34</v>
      </c>
      <c r="C3" s="7"/>
      <c r="D3" s="7"/>
      <c r="E3" s="7">
        <v>3427</v>
      </c>
      <c r="F3" s="7"/>
      <c r="G3" s="7"/>
      <c r="H3" s="7"/>
      <c r="I3" s="7">
        <v>6400</v>
      </c>
      <c r="J3" s="7"/>
      <c r="K3" s="7"/>
      <c r="L3" s="7">
        <v>6123</v>
      </c>
      <c r="M3" s="7">
        <v>7071</v>
      </c>
      <c r="N3" s="7"/>
      <c r="O3" s="7"/>
      <c r="P3" s="7">
        <v>18768</v>
      </c>
      <c r="Q3" s="7">
        <v>31328</v>
      </c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</row>
    <row r="4" spans="1:44" x14ac:dyDescent="0.2">
      <c r="B4" s="2" t="s">
        <v>35</v>
      </c>
      <c r="C4" s="7"/>
      <c r="D4" s="7"/>
      <c r="E4" s="7">
        <v>1230</v>
      </c>
      <c r="F4" s="7"/>
      <c r="G4" s="7"/>
      <c r="H4" s="7"/>
      <c r="I4" s="7">
        <v>2241</v>
      </c>
      <c r="J4" s="7"/>
      <c r="K4" s="7"/>
      <c r="L4" s="7">
        <v>1855</v>
      </c>
      <c r="M4" s="7">
        <v>2155</v>
      </c>
      <c r="N4" s="7"/>
      <c r="O4" s="7"/>
      <c r="P4" s="7">
        <v>4997</v>
      </c>
      <c r="Q4" s="7">
        <v>9943</v>
      </c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</row>
    <row r="5" spans="1:44" x14ac:dyDescent="0.2">
      <c r="B5" s="2" t="s">
        <v>36</v>
      </c>
      <c r="C5" s="7"/>
      <c r="D5" s="7"/>
      <c r="E5" s="7">
        <v>69</v>
      </c>
      <c r="F5" s="7"/>
      <c r="G5" s="7"/>
      <c r="H5" s="7"/>
      <c r="I5" s="7">
        <v>68</v>
      </c>
      <c r="J5" s="7"/>
      <c r="K5" s="7"/>
      <c r="L5" s="7">
        <v>75</v>
      </c>
      <c r="M5" s="7">
        <v>75</v>
      </c>
      <c r="N5" s="7"/>
      <c r="O5" s="7"/>
      <c r="P5" s="7">
        <v>95</v>
      </c>
      <c r="Q5" s="7">
        <v>185</v>
      </c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</row>
    <row r="6" spans="1:44" x14ac:dyDescent="0.2">
      <c r="B6" s="1" t="s">
        <v>19</v>
      </c>
      <c r="C6" s="8"/>
      <c r="D6" s="8"/>
      <c r="E6" s="8">
        <v>4726</v>
      </c>
      <c r="F6" s="8"/>
      <c r="G6" s="8"/>
      <c r="H6" s="8"/>
      <c r="I6" s="8">
        <v>8709</v>
      </c>
      <c r="J6" s="8"/>
      <c r="K6" s="8">
        <v>8709</v>
      </c>
      <c r="L6" s="8">
        <v>8053</v>
      </c>
      <c r="M6" s="8">
        <v>9301</v>
      </c>
      <c r="N6" s="7"/>
      <c r="O6" s="8">
        <v>13643</v>
      </c>
      <c r="P6" s="8">
        <v>23860</v>
      </c>
      <c r="Q6" s="8">
        <v>41456</v>
      </c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</row>
    <row r="7" spans="1:44" x14ac:dyDescent="0.2">
      <c r="B7" s="2" t="s">
        <v>20</v>
      </c>
      <c r="C7" s="7"/>
      <c r="D7" s="7"/>
      <c r="E7" s="7">
        <v>4761</v>
      </c>
      <c r="F7" s="7"/>
      <c r="G7" s="7"/>
      <c r="H7" s="7"/>
      <c r="I7" s="7">
        <v>5361</v>
      </c>
      <c r="J7" s="7"/>
      <c r="K7" s="7">
        <v>5361</v>
      </c>
      <c r="L7" s="7">
        <v>5090</v>
      </c>
      <c r="M7" s="7">
        <v>5793</v>
      </c>
      <c r="N7" s="7"/>
      <c r="O7" s="7">
        <v>5997</v>
      </c>
      <c r="P7" s="7">
        <v>6105</v>
      </c>
      <c r="Q7" s="7">
        <v>6400</v>
      </c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</row>
    <row r="8" spans="1:44" x14ac:dyDescent="0.2">
      <c r="B8" s="2" t="s">
        <v>21</v>
      </c>
      <c r="C8" s="7">
        <f t="shared" ref="C8:D8" si="0">+C6-C7</f>
        <v>0</v>
      </c>
      <c r="D8" s="7">
        <f t="shared" si="0"/>
        <v>0</v>
      </c>
      <c r="E8" s="7">
        <f>+E6-E7</f>
        <v>-35</v>
      </c>
      <c r="F8" s="7">
        <f t="shared" ref="F8:Q8" si="1">+F6-F7</f>
        <v>0</v>
      </c>
      <c r="G8" s="7">
        <f t="shared" si="1"/>
        <v>0</v>
      </c>
      <c r="H8" s="7">
        <f t="shared" si="1"/>
        <v>0</v>
      </c>
      <c r="I8" s="7">
        <f t="shared" si="1"/>
        <v>3348</v>
      </c>
      <c r="J8" s="7">
        <f t="shared" si="1"/>
        <v>0</v>
      </c>
      <c r="K8" s="7">
        <f t="shared" si="1"/>
        <v>3348</v>
      </c>
      <c r="L8" s="7">
        <f t="shared" ref="L8" si="2">+L6-L7</f>
        <v>2963</v>
      </c>
      <c r="M8" s="7">
        <f t="shared" si="1"/>
        <v>3508</v>
      </c>
      <c r="N8" s="7">
        <f t="shared" si="1"/>
        <v>0</v>
      </c>
      <c r="O8" s="7">
        <f t="shared" ref="O8:P8" si="3">+O6-O7</f>
        <v>7646</v>
      </c>
      <c r="P8" s="7">
        <f t="shared" si="3"/>
        <v>17755</v>
      </c>
      <c r="Q8" s="7">
        <f t="shared" si="1"/>
        <v>35056</v>
      </c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</row>
    <row r="9" spans="1:44" x14ac:dyDescent="0.2">
      <c r="B9" s="2" t="s">
        <v>22</v>
      </c>
      <c r="C9" s="7"/>
      <c r="D9" s="7"/>
      <c r="E9" s="7">
        <v>845</v>
      </c>
      <c r="F9" s="7"/>
      <c r="G9" s="7"/>
      <c r="H9" s="7"/>
      <c r="I9" s="7">
        <v>888</v>
      </c>
      <c r="J9" s="7"/>
      <c r="K9" s="7">
        <v>888</v>
      </c>
      <c r="L9" s="7">
        <v>898</v>
      </c>
      <c r="M9" s="7">
        <v>965</v>
      </c>
      <c r="N9" s="7"/>
      <c r="O9" s="7">
        <v>1171</v>
      </c>
      <c r="P9" s="7">
        <v>1250</v>
      </c>
      <c r="Q9" s="7">
        <v>1316</v>
      </c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</row>
    <row r="10" spans="1:44" x14ac:dyDescent="0.2">
      <c r="B10" s="2" t="s">
        <v>23</v>
      </c>
      <c r="C10" s="7"/>
      <c r="D10" s="7"/>
      <c r="E10" s="7">
        <v>263</v>
      </c>
      <c r="F10" s="7"/>
      <c r="G10" s="7"/>
      <c r="H10" s="7"/>
      <c r="I10" s="7">
        <v>288</v>
      </c>
      <c r="J10" s="7"/>
      <c r="K10" s="7">
        <v>288</v>
      </c>
      <c r="L10" s="7">
        <v>285</v>
      </c>
      <c r="M10" s="7">
        <v>318</v>
      </c>
      <c r="N10" s="7"/>
      <c r="O10" s="7">
        <v>337</v>
      </c>
      <c r="P10" s="7">
        <v>344</v>
      </c>
      <c r="Q10" s="7">
        <v>407</v>
      </c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</row>
    <row r="11" spans="1:44" x14ac:dyDescent="0.2">
      <c r="B11" s="2" t="s">
        <v>24</v>
      </c>
      <c r="C11" s="7"/>
      <c r="D11" s="7"/>
      <c r="E11" s="7">
        <v>15</v>
      </c>
      <c r="F11" s="7"/>
      <c r="G11" s="7"/>
      <c r="H11" s="7"/>
      <c r="I11" s="7">
        <v>2</v>
      </c>
      <c r="J11" s="7"/>
      <c r="K11" s="7">
        <v>2</v>
      </c>
      <c r="L11" s="7">
        <v>-7</v>
      </c>
      <c r="M11" s="7">
        <v>-56</v>
      </c>
      <c r="N11" s="7"/>
      <c r="O11" s="7">
        <v>-2</v>
      </c>
      <c r="P11" s="7">
        <v>-26</v>
      </c>
      <c r="Q11" s="7">
        <v>-15</v>
      </c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</row>
    <row r="12" spans="1:44" x14ac:dyDescent="0.2">
      <c r="B12" s="2" t="s">
        <v>25</v>
      </c>
      <c r="C12" s="7">
        <f t="shared" ref="C12:H12" si="4">+C8-C9-C10+C11</f>
        <v>0</v>
      </c>
      <c r="D12" s="7">
        <f t="shared" si="4"/>
        <v>0</v>
      </c>
      <c r="E12" s="7">
        <f t="shared" si="4"/>
        <v>-1128</v>
      </c>
      <c r="F12" s="7">
        <f t="shared" si="4"/>
        <v>0</v>
      </c>
      <c r="G12" s="7">
        <f t="shared" si="4"/>
        <v>0</v>
      </c>
      <c r="H12" s="7">
        <f t="shared" si="4"/>
        <v>0</v>
      </c>
      <c r="I12" s="7">
        <f>+I8-I9-I10+I11</f>
        <v>2174</v>
      </c>
      <c r="J12" s="7">
        <f t="shared" ref="J12:N12" si="5">+J8-J9-J10+J11</f>
        <v>0</v>
      </c>
      <c r="K12" s="7">
        <f t="shared" si="5"/>
        <v>2174</v>
      </c>
      <c r="L12" s="7">
        <f t="shared" ref="L12" si="6">+L8-L9-L10+L11</f>
        <v>1773</v>
      </c>
      <c r="M12" s="7">
        <f t="shared" si="5"/>
        <v>2169</v>
      </c>
      <c r="N12" s="7">
        <f t="shared" si="5"/>
        <v>0</v>
      </c>
      <c r="O12" s="7">
        <f>+O8-O9-O10+O11</f>
        <v>6136</v>
      </c>
      <c r="P12" s="7">
        <f>+P8-P9-P10+P11</f>
        <v>16135</v>
      </c>
      <c r="Q12" s="7">
        <f>+Q8-Q9-Q10+Q11</f>
        <v>33318</v>
      </c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</row>
    <row r="13" spans="1:44" x14ac:dyDescent="0.2">
      <c r="B13" s="2" t="s">
        <v>26</v>
      </c>
      <c r="C13" s="7"/>
      <c r="D13" s="7"/>
      <c r="E13" s="7">
        <v>132</v>
      </c>
      <c r="F13" s="7"/>
      <c r="G13" s="7"/>
      <c r="H13" s="7"/>
      <c r="I13" s="7">
        <v>107</v>
      </c>
      <c r="J13" s="7"/>
      <c r="K13" s="7">
        <v>107</v>
      </c>
      <c r="L13" s="7">
        <v>108</v>
      </c>
      <c r="M13" s="7">
        <v>135</v>
      </c>
      <c r="N13" s="7"/>
      <c r="O13" s="7">
        <v>139</v>
      </c>
      <c r="P13" s="7">
        <v>155</v>
      </c>
      <c r="Q13" s="7">
        <v>215</v>
      </c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</row>
    <row r="14" spans="1:44" x14ac:dyDescent="0.2">
      <c r="B14" s="2" t="s">
        <v>27</v>
      </c>
      <c r="C14" s="7"/>
      <c r="D14" s="7"/>
      <c r="E14" s="7">
        <v>132</v>
      </c>
      <c r="F14" s="7"/>
      <c r="G14" s="7"/>
      <c r="H14" s="7"/>
      <c r="I14" s="7">
        <v>118</v>
      </c>
      <c r="J14" s="7"/>
      <c r="K14" s="7">
        <v>118</v>
      </c>
      <c r="L14" s="7">
        <v>112</v>
      </c>
      <c r="M14" s="7">
        <v>123</v>
      </c>
      <c r="N14" s="7"/>
      <c r="O14" s="7">
        <v>74</v>
      </c>
      <c r="P14" s="7">
        <v>32</v>
      </c>
      <c r="Q14" s="7">
        <v>0</v>
      </c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</row>
    <row r="15" spans="1:44" x14ac:dyDescent="0.2">
      <c r="B15" s="2" t="s">
        <v>28</v>
      </c>
      <c r="C15" s="7"/>
      <c r="D15" s="7"/>
      <c r="E15" s="7">
        <v>-27</v>
      </c>
      <c r="F15" s="7"/>
      <c r="G15" s="7"/>
      <c r="H15" s="7"/>
      <c r="I15" s="7">
        <v>-11</v>
      </c>
      <c r="J15" s="7"/>
      <c r="K15" s="7">
        <v>-11</v>
      </c>
      <c r="L15" s="7">
        <v>-11</v>
      </c>
      <c r="M15" s="7">
        <v>-68</v>
      </c>
      <c r="N15" s="7"/>
      <c r="O15" s="7">
        <v>-140</v>
      </c>
      <c r="P15" s="7">
        <v>-98</v>
      </c>
      <c r="Q15" s="7">
        <v>-321</v>
      </c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</row>
    <row r="16" spans="1:44" x14ac:dyDescent="0.2">
      <c r="B16" s="2" t="s">
        <v>29</v>
      </c>
      <c r="C16" s="7">
        <f t="shared" ref="C16:H16" si="7">+C12+C13-C14+C15</f>
        <v>0</v>
      </c>
      <c r="D16" s="7">
        <f t="shared" si="7"/>
        <v>0</v>
      </c>
      <c r="E16" s="7">
        <f t="shared" si="7"/>
        <v>-1155</v>
      </c>
      <c r="F16" s="7">
        <f t="shared" si="7"/>
        <v>0</v>
      </c>
      <c r="G16" s="7">
        <f t="shared" si="7"/>
        <v>0</v>
      </c>
      <c r="H16" s="7">
        <f t="shared" si="7"/>
        <v>0</v>
      </c>
      <c r="I16" s="7">
        <f>+I12+I13-I14+I15</f>
        <v>2152</v>
      </c>
      <c r="J16" s="7">
        <f t="shared" ref="J16:Q16" si="8">+J12+J13-J14+J15</f>
        <v>0</v>
      </c>
      <c r="K16" s="7">
        <f t="shared" si="8"/>
        <v>2152</v>
      </c>
      <c r="L16" s="7">
        <f t="shared" ref="L16" si="9">+L12+L13-L14+L15</f>
        <v>1758</v>
      </c>
      <c r="M16" s="7">
        <f t="shared" si="8"/>
        <v>2113</v>
      </c>
      <c r="N16" s="7">
        <f t="shared" si="8"/>
        <v>0</v>
      </c>
      <c r="O16" s="7">
        <f t="shared" ref="O16:P16" si="10">+O12+O13-O14+O15</f>
        <v>6061</v>
      </c>
      <c r="P16" s="7">
        <f t="shared" si="10"/>
        <v>16160</v>
      </c>
      <c r="Q16" s="7">
        <f t="shared" si="8"/>
        <v>33212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</row>
    <row r="17" spans="2:44" x14ac:dyDescent="0.2">
      <c r="B17" s="2" t="s">
        <v>30</v>
      </c>
      <c r="C17" s="7"/>
      <c r="D17" s="7"/>
      <c r="E17" s="7">
        <v>73</v>
      </c>
      <c r="F17" s="7"/>
      <c r="G17" s="7"/>
      <c r="H17" s="7"/>
      <c r="I17" s="7">
        <v>283</v>
      </c>
      <c r="J17" s="7"/>
      <c r="K17" s="7">
        <v>283</v>
      </c>
      <c r="L17" s="7">
        <v>177</v>
      </c>
      <c r="M17" s="7">
        <v>235</v>
      </c>
      <c r="N17" s="7"/>
      <c r="O17" s="7">
        <v>829</v>
      </c>
      <c r="P17" s="7">
        <v>2371</v>
      </c>
      <c r="Q17" s="7">
        <v>4978</v>
      </c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</row>
    <row r="18" spans="2:44" x14ac:dyDescent="0.2">
      <c r="B18" s="2" t="s">
        <v>31</v>
      </c>
      <c r="C18" s="7"/>
      <c r="D18" s="7"/>
      <c r="E18" s="7">
        <v>-6</v>
      </c>
      <c r="F18" s="7"/>
      <c r="G18" s="7"/>
      <c r="H18" s="7"/>
      <c r="I18" s="7">
        <v>1</v>
      </c>
      <c r="J18" s="7"/>
      <c r="K18" s="7">
        <v>1</v>
      </c>
      <c r="L18" s="7">
        <v>2</v>
      </c>
      <c r="M18" s="7">
        <v>7</v>
      </c>
      <c r="N18" s="7"/>
      <c r="O18" s="7">
        <v>8</v>
      </c>
      <c r="P18" s="7">
        <v>-4</v>
      </c>
      <c r="Q18" s="7">
        <v>9</v>
      </c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</row>
    <row r="19" spans="2:44" x14ac:dyDescent="0.2">
      <c r="B19" s="2" t="s">
        <v>32</v>
      </c>
      <c r="C19" s="7">
        <f t="shared" ref="C19:H19" si="11">+C16-C17+C18</f>
        <v>0</v>
      </c>
      <c r="D19" s="7">
        <f t="shared" si="11"/>
        <v>0</v>
      </c>
      <c r="E19" s="7">
        <f t="shared" si="11"/>
        <v>-1234</v>
      </c>
      <c r="F19" s="7">
        <f t="shared" si="11"/>
        <v>0</v>
      </c>
      <c r="G19" s="7">
        <f t="shared" si="11"/>
        <v>0</v>
      </c>
      <c r="H19" s="7">
        <f t="shared" si="11"/>
        <v>0</v>
      </c>
      <c r="I19" s="7">
        <f>+I16-I17+I18</f>
        <v>1870</v>
      </c>
      <c r="J19" s="7">
        <f t="shared" ref="J19:Q19" si="12">+J16-J17+J18</f>
        <v>0</v>
      </c>
      <c r="K19" s="7">
        <f t="shared" si="12"/>
        <v>1870</v>
      </c>
      <c r="L19" s="7">
        <f t="shared" ref="L19" si="13">+L16-L17+L18</f>
        <v>1583</v>
      </c>
      <c r="M19" s="7">
        <f t="shared" si="12"/>
        <v>1885</v>
      </c>
      <c r="N19" s="7">
        <f t="shared" si="12"/>
        <v>0</v>
      </c>
      <c r="O19" s="7">
        <f t="shared" ref="O19:P19" si="14">+O16-O17+O18</f>
        <v>5240</v>
      </c>
      <c r="P19" s="7">
        <f t="shared" si="14"/>
        <v>13785</v>
      </c>
      <c r="Q19" s="7">
        <f t="shared" si="12"/>
        <v>28243</v>
      </c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</row>
    <row r="20" spans="2:44" x14ac:dyDescent="0.2"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</row>
    <row r="21" spans="2:44" x14ac:dyDescent="0.2">
      <c r="B21" s="2" t="s">
        <v>33</v>
      </c>
      <c r="C21" s="9" t="e">
        <f t="shared" ref="C21:D21" si="15">+C19/C22</f>
        <v>#DIV/0!</v>
      </c>
      <c r="D21" s="9" t="e">
        <f t="shared" si="15"/>
        <v>#DIV/0!</v>
      </c>
      <c r="E21" s="9">
        <f>+E19/E22</f>
        <v>-1.1218181818181818</v>
      </c>
      <c r="F21" s="9" t="e">
        <f t="shared" ref="F21:Q21" si="16">+F19/F22</f>
        <v>#DIV/0!</v>
      </c>
      <c r="G21" s="9" t="e">
        <f t="shared" si="16"/>
        <v>#DIV/0!</v>
      </c>
      <c r="H21" s="9" t="e">
        <f t="shared" si="16"/>
        <v>#DIV/0!</v>
      </c>
      <c r="I21" s="9">
        <f t="shared" si="16"/>
        <v>1.6831683168316831</v>
      </c>
      <c r="J21" s="9" t="e">
        <f t="shared" si="16"/>
        <v>#DIV/0!</v>
      </c>
      <c r="K21" s="9">
        <f t="shared" si="16"/>
        <v>1.6831683168316831</v>
      </c>
      <c r="L21" s="9" t="e">
        <f t="shared" si="16"/>
        <v>#DIV/0!</v>
      </c>
      <c r="M21" s="9">
        <f t="shared" si="16"/>
        <v>1.6860465116279071</v>
      </c>
      <c r="N21" s="9" t="e">
        <f t="shared" si="16"/>
        <v>#DIV/0!</v>
      </c>
      <c r="O21" s="9">
        <f t="shared" ref="O21" si="17">+O19/O22</f>
        <v>4.6577777777777776</v>
      </c>
      <c r="P21" s="9">
        <f t="shared" si="16"/>
        <v>12.242451154529308</v>
      </c>
      <c r="Q21" s="9">
        <f t="shared" si="16"/>
        <v>25.038120567375888</v>
      </c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</row>
    <row r="22" spans="2:44" x14ac:dyDescent="0.2">
      <c r="B22" s="2" t="s">
        <v>5</v>
      </c>
      <c r="C22" s="7"/>
      <c r="D22" s="7"/>
      <c r="E22" s="7">
        <v>1100</v>
      </c>
      <c r="F22" s="7"/>
      <c r="G22" s="7"/>
      <c r="H22" s="7"/>
      <c r="I22" s="7">
        <v>1111</v>
      </c>
      <c r="J22" s="7"/>
      <c r="K22" s="7">
        <v>1111</v>
      </c>
      <c r="L22" s="7"/>
      <c r="M22" s="7">
        <v>1118</v>
      </c>
      <c r="N22" s="7"/>
      <c r="O22" s="7">
        <v>1125</v>
      </c>
      <c r="P22" s="7">
        <v>1126</v>
      </c>
      <c r="Q22" s="7">
        <v>1128</v>
      </c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</row>
    <row r="23" spans="2:44" x14ac:dyDescent="0.2"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</row>
    <row r="24" spans="2:44" x14ac:dyDescent="0.2">
      <c r="B24" s="1" t="s">
        <v>43</v>
      </c>
      <c r="C24" s="8"/>
      <c r="D24" s="8"/>
      <c r="E24" s="8"/>
      <c r="F24" s="8"/>
      <c r="G24" s="8"/>
      <c r="H24" s="8"/>
      <c r="I24" s="13">
        <f>+I6/E6-1</f>
        <v>0.84278459585272958</v>
      </c>
      <c r="J24" s="13" t="e">
        <f t="shared" ref="J24:Q24" si="18">+J6/F6-1</f>
        <v>#DIV/0!</v>
      </c>
      <c r="K24" s="13" t="e">
        <f t="shared" si="18"/>
        <v>#DIV/0!</v>
      </c>
      <c r="L24" s="13" t="e">
        <f t="shared" si="18"/>
        <v>#DIV/0!</v>
      </c>
      <c r="M24" s="13">
        <f t="shared" si="18"/>
        <v>6.7975657365943354E-2</v>
      </c>
      <c r="N24" s="13" t="e">
        <f t="shared" si="18"/>
        <v>#DIV/0!</v>
      </c>
      <c r="O24" s="13">
        <f t="shared" si="18"/>
        <v>0.56654036054656109</v>
      </c>
      <c r="P24" s="13">
        <f t="shared" si="18"/>
        <v>1.9628709797590962</v>
      </c>
      <c r="Q24" s="13">
        <f t="shared" si="18"/>
        <v>3.457155144608107</v>
      </c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</row>
    <row r="25" spans="2:44" x14ac:dyDescent="0.2">
      <c r="B25" s="10" t="s">
        <v>44</v>
      </c>
      <c r="C25" s="12" t="e">
        <f t="shared" ref="C25:N25" si="19">+C8/C6</f>
        <v>#DIV/0!</v>
      </c>
      <c r="D25" s="12" t="e">
        <f t="shared" si="19"/>
        <v>#DIV/0!</v>
      </c>
      <c r="E25" s="12">
        <f t="shared" si="19"/>
        <v>-7.4058400338552688E-3</v>
      </c>
      <c r="F25" s="12" t="e">
        <f t="shared" si="19"/>
        <v>#DIV/0!</v>
      </c>
      <c r="G25" s="12" t="e">
        <f t="shared" si="19"/>
        <v>#DIV/0!</v>
      </c>
      <c r="H25" s="12" t="e">
        <f t="shared" si="19"/>
        <v>#DIV/0!</v>
      </c>
      <c r="I25" s="12">
        <f t="shared" si="19"/>
        <v>0.38442990010334138</v>
      </c>
      <c r="J25" s="12" t="e">
        <f t="shared" si="19"/>
        <v>#DIV/0!</v>
      </c>
      <c r="K25" s="12">
        <f t="shared" si="19"/>
        <v>0.38442990010334138</v>
      </c>
      <c r="L25" s="12">
        <f t="shared" si="19"/>
        <v>0.36793741462808893</v>
      </c>
      <c r="M25" s="12">
        <f t="shared" si="19"/>
        <v>0.37716374583378132</v>
      </c>
      <c r="N25" s="12" t="e">
        <f t="shared" si="19"/>
        <v>#DIV/0!</v>
      </c>
      <c r="O25" s="12">
        <f>+O8/O6</f>
        <v>0.56043392215788312</v>
      </c>
      <c r="P25" s="12">
        <f t="shared" ref="P25:Q25" si="20">+P8/P6</f>
        <v>0.74413243922883487</v>
      </c>
      <c r="Q25" s="12">
        <f t="shared" si="20"/>
        <v>0.84561945194905441</v>
      </c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</row>
    <row r="26" spans="2:44" x14ac:dyDescent="0.2">
      <c r="B26" s="10" t="s">
        <v>45</v>
      </c>
      <c r="C26" s="12" t="e">
        <f t="shared" ref="C26:N26" si="21">+C12/C6</f>
        <v>#DIV/0!</v>
      </c>
      <c r="D26" s="12" t="e">
        <f t="shared" si="21"/>
        <v>#DIV/0!</v>
      </c>
      <c r="E26" s="12">
        <f t="shared" si="21"/>
        <v>-0.23867964451967838</v>
      </c>
      <c r="F26" s="12" t="e">
        <f t="shared" si="21"/>
        <v>#DIV/0!</v>
      </c>
      <c r="G26" s="12" t="e">
        <f t="shared" si="21"/>
        <v>#DIV/0!</v>
      </c>
      <c r="H26" s="12" t="e">
        <f t="shared" si="21"/>
        <v>#DIV/0!</v>
      </c>
      <c r="I26" s="12">
        <f t="shared" si="21"/>
        <v>0.24962682282696061</v>
      </c>
      <c r="J26" s="12" t="e">
        <f t="shared" si="21"/>
        <v>#DIV/0!</v>
      </c>
      <c r="K26" s="12">
        <f t="shared" si="21"/>
        <v>0.24962682282696061</v>
      </c>
      <c r="L26" s="12">
        <f t="shared" si="21"/>
        <v>0.22016639761579535</v>
      </c>
      <c r="M26" s="12">
        <f t="shared" si="21"/>
        <v>0.23320073110418235</v>
      </c>
      <c r="N26" s="12" t="e">
        <f t="shared" si="21"/>
        <v>#DIV/0!</v>
      </c>
      <c r="O26" s="12">
        <f>+O12/O6</f>
        <v>0.44975445283295462</v>
      </c>
      <c r="P26" s="12">
        <f t="shared" ref="P26:Q26" si="22">+P12/P6</f>
        <v>0.67623637887678123</v>
      </c>
      <c r="Q26" s="12">
        <f t="shared" si="22"/>
        <v>0.80369548436896954</v>
      </c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</row>
    <row r="27" spans="2:44" x14ac:dyDescent="0.2"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</row>
    <row r="28" spans="2:44" x14ac:dyDescent="0.2"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</row>
    <row r="29" spans="2:44" x14ac:dyDescent="0.2"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</row>
    <row r="30" spans="2:44" x14ac:dyDescent="0.2"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</row>
    <row r="31" spans="2:44" x14ac:dyDescent="0.2"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</row>
    <row r="32" spans="2:44" x14ac:dyDescent="0.2"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</row>
    <row r="33" spans="3:44" x14ac:dyDescent="0.2"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</row>
    <row r="34" spans="3:44" x14ac:dyDescent="0.2"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</row>
    <row r="35" spans="3:44" x14ac:dyDescent="0.2"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</row>
    <row r="36" spans="3:44" x14ac:dyDescent="0.2"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</row>
    <row r="37" spans="3:44" x14ac:dyDescent="0.2"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</row>
    <row r="38" spans="3:44" x14ac:dyDescent="0.2"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</row>
    <row r="39" spans="3:44" x14ac:dyDescent="0.2"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</row>
    <row r="40" spans="3:44" x14ac:dyDescent="0.2"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</row>
    <row r="41" spans="3:44" x14ac:dyDescent="0.2"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</row>
    <row r="42" spans="3:44" x14ac:dyDescent="0.2"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</row>
    <row r="43" spans="3:44" x14ac:dyDescent="0.2"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</row>
    <row r="44" spans="3:44" x14ac:dyDescent="0.2"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</row>
    <row r="45" spans="3:44" x14ac:dyDescent="0.2"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</row>
    <row r="46" spans="3:44" x14ac:dyDescent="0.2"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</row>
    <row r="47" spans="3:44" x14ac:dyDescent="0.2"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</row>
    <row r="48" spans="3:44" x14ac:dyDescent="0.2"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</row>
    <row r="49" spans="3:44" x14ac:dyDescent="0.2"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</row>
    <row r="50" spans="3:44" x14ac:dyDescent="0.2"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</row>
    <row r="51" spans="3:44" x14ac:dyDescent="0.2"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</row>
    <row r="52" spans="3:44" x14ac:dyDescent="0.2"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</row>
    <row r="53" spans="3:44" x14ac:dyDescent="0.2"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</row>
    <row r="54" spans="3:44" x14ac:dyDescent="0.2"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</row>
    <row r="55" spans="3:44" x14ac:dyDescent="0.2"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</row>
    <row r="56" spans="3:44" x14ac:dyDescent="0.2"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</row>
    <row r="57" spans="3:44" x14ac:dyDescent="0.2"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</row>
    <row r="58" spans="3:44" x14ac:dyDescent="0.2"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</row>
    <row r="59" spans="3:44" x14ac:dyDescent="0.2"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</row>
    <row r="60" spans="3:44" x14ac:dyDescent="0.2"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</row>
    <row r="61" spans="3:44" x14ac:dyDescent="0.2"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</row>
    <row r="62" spans="3:44" x14ac:dyDescent="0.2"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</row>
    <row r="63" spans="3:44" x14ac:dyDescent="0.2"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</row>
    <row r="64" spans="3:44" x14ac:dyDescent="0.2"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</row>
    <row r="65" spans="3:44" x14ac:dyDescent="0.2"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</row>
    <row r="66" spans="3:44" x14ac:dyDescent="0.2"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</row>
    <row r="67" spans="3:44" x14ac:dyDescent="0.2"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</row>
    <row r="68" spans="3:44" x14ac:dyDescent="0.2"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</row>
    <row r="69" spans="3:44" x14ac:dyDescent="0.2"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</row>
    <row r="70" spans="3:44" x14ac:dyDescent="0.2"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</row>
    <row r="71" spans="3:44" x14ac:dyDescent="0.2"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</row>
    <row r="72" spans="3:44" x14ac:dyDescent="0.2"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</row>
    <row r="73" spans="3:44" x14ac:dyDescent="0.2"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</row>
    <row r="74" spans="3:44" x14ac:dyDescent="0.2"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</row>
    <row r="75" spans="3:44" x14ac:dyDescent="0.2"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</row>
    <row r="76" spans="3:44" x14ac:dyDescent="0.2"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</row>
    <row r="77" spans="3:44" x14ac:dyDescent="0.2"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</row>
    <row r="78" spans="3:44" x14ac:dyDescent="0.2"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</row>
    <row r="79" spans="3:44" x14ac:dyDescent="0.2"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</row>
    <row r="80" spans="3:44" x14ac:dyDescent="0.2"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</row>
    <row r="81" spans="3:44" x14ac:dyDescent="0.2"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</row>
    <row r="82" spans="3:44" x14ac:dyDescent="0.2"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</row>
    <row r="83" spans="3:44" x14ac:dyDescent="0.2"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</row>
    <row r="84" spans="3:44" x14ac:dyDescent="0.2"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</row>
    <row r="85" spans="3:44" x14ac:dyDescent="0.2"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</row>
    <row r="86" spans="3:44" x14ac:dyDescent="0.2"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</row>
    <row r="87" spans="3:44" x14ac:dyDescent="0.2"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</row>
    <row r="88" spans="3:44" x14ac:dyDescent="0.2"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</row>
    <row r="89" spans="3:44" x14ac:dyDescent="0.2"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</row>
    <row r="90" spans="3:44" x14ac:dyDescent="0.2"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</row>
    <row r="91" spans="3:44" x14ac:dyDescent="0.2"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</row>
    <row r="92" spans="3:44" x14ac:dyDescent="0.2"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</row>
    <row r="93" spans="3:44" x14ac:dyDescent="0.2"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</row>
    <row r="94" spans="3:44" x14ac:dyDescent="0.2"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</row>
    <row r="95" spans="3:44" x14ac:dyDescent="0.2"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</row>
    <row r="96" spans="3:44" x14ac:dyDescent="0.2"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</row>
    <row r="97" spans="3:44" x14ac:dyDescent="0.2"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</row>
    <row r="98" spans="3:44" x14ac:dyDescent="0.2"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</row>
    <row r="99" spans="3:44" x14ac:dyDescent="0.2"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</row>
    <row r="100" spans="3:44" x14ac:dyDescent="0.2"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</row>
    <row r="101" spans="3:44" x14ac:dyDescent="0.2"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</row>
    <row r="102" spans="3:44" x14ac:dyDescent="0.2"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</row>
    <row r="103" spans="3:44" x14ac:dyDescent="0.2"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</row>
    <row r="104" spans="3:44" x14ac:dyDescent="0.2"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</row>
    <row r="105" spans="3:44" x14ac:dyDescent="0.2"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</row>
    <row r="106" spans="3:44" x14ac:dyDescent="0.2"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</row>
    <row r="107" spans="3:44" x14ac:dyDescent="0.2"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</row>
    <row r="108" spans="3:44" x14ac:dyDescent="0.2"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</row>
    <row r="109" spans="3:44" x14ac:dyDescent="0.2"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</row>
    <row r="110" spans="3:44" x14ac:dyDescent="0.2"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</row>
    <row r="111" spans="3:44" x14ac:dyDescent="0.2"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</row>
    <row r="112" spans="3:44" x14ac:dyDescent="0.2"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</row>
    <row r="113" spans="3:44" x14ac:dyDescent="0.2"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</row>
    <row r="114" spans="3:44" x14ac:dyDescent="0.2"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</row>
    <row r="115" spans="3:44" x14ac:dyDescent="0.2"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</row>
    <row r="116" spans="3:44" x14ac:dyDescent="0.2"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</row>
    <row r="117" spans="3:44" x14ac:dyDescent="0.2"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</row>
    <row r="118" spans="3:44" x14ac:dyDescent="0.2"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</row>
    <row r="119" spans="3:44" x14ac:dyDescent="0.2"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</row>
    <row r="120" spans="3:44" x14ac:dyDescent="0.2"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</row>
    <row r="121" spans="3:44" x14ac:dyDescent="0.2"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</row>
    <row r="122" spans="3:44" x14ac:dyDescent="0.2"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</row>
    <row r="123" spans="3:44" x14ac:dyDescent="0.2"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</row>
    <row r="124" spans="3:44" x14ac:dyDescent="0.2"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</row>
    <row r="125" spans="3:44" x14ac:dyDescent="0.2"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</row>
    <row r="126" spans="3:44" x14ac:dyDescent="0.2"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</row>
    <row r="127" spans="3:44" x14ac:dyDescent="0.2"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</row>
    <row r="128" spans="3:44" x14ac:dyDescent="0.2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</row>
    <row r="129" spans="3:44" x14ac:dyDescent="0.2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</row>
    <row r="130" spans="3:44" x14ac:dyDescent="0.2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</row>
    <row r="131" spans="3:44" x14ac:dyDescent="0.2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</row>
    <row r="132" spans="3:44" x14ac:dyDescent="0.2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</row>
    <row r="133" spans="3:44" x14ac:dyDescent="0.2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</row>
    <row r="134" spans="3:44" x14ac:dyDescent="0.2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</row>
    <row r="135" spans="3:44" x14ac:dyDescent="0.2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</row>
    <row r="136" spans="3:44" x14ac:dyDescent="0.2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</row>
    <row r="137" spans="3:44" x14ac:dyDescent="0.2"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</row>
    <row r="138" spans="3:44" x14ac:dyDescent="0.2"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</row>
    <row r="139" spans="3:44" x14ac:dyDescent="0.2"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</row>
    <row r="140" spans="3:44" x14ac:dyDescent="0.2"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</row>
    <row r="141" spans="3:44" x14ac:dyDescent="0.2"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</row>
    <row r="142" spans="3:44" x14ac:dyDescent="0.2"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</row>
    <row r="143" spans="3:44" x14ac:dyDescent="0.2"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</row>
    <row r="144" spans="3:44" x14ac:dyDescent="0.2"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</row>
    <row r="145" spans="3:44" x14ac:dyDescent="0.2"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</row>
    <row r="146" spans="3:44" x14ac:dyDescent="0.2"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</row>
    <row r="147" spans="3:44" x14ac:dyDescent="0.2"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</row>
    <row r="148" spans="3:44" x14ac:dyDescent="0.2"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</row>
    <row r="149" spans="3:44" x14ac:dyDescent="0.2"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</row>
    <row r="150" spans="3:44" x14ac:dyDescent="0.2"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</row>
    <row r="151" spans="3:44" x14ac:dyDescent="0.2"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</row>
    <row r="152" spans="3:44" x14ac:dyDescent="0.2"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</row>
    <row r="153" spans="3:44" x14ac:dyDescent="0.2"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</row>
    <row r="154" spans="3:44" x14ac:dyDescent="0.2"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</row>
    <row r="155" spans="3:44" x14ac:dyDescent="0.2"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</row>
    <row r="156" spans="3:44" x14ac:dyDescent="0.2"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</row>
    <row r="157" spans="3:44" x14ac:dyDescent="0.2"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</row>
    <row r="158" spans="3:44" x14ac:dyDescent="0.2"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</row>
    <row r="159" spans="3:44" x14ac:dyDescent="0.2"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</row>
    <row r="160" spans="3:44" x14ac:dyDescent="0.2"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</row>
    <row r="161" spans="3:44" x14ac:dyDescent="0.2"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</row>
    <row r="162" spans="3:44" x14ac:dyDescent="0.2"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</row>
    <row r="163" spans="3:44" x14ac:dyDescent="0.2"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</row>
    <row r="164" spans="3:44" x14ac:dyDescent="0.2"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</row>
    <row r="165" spans="3:44" x14ac:dyDescent="0.2"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</row>
    <row r="166" spans="3:44" x14ac:dyDescent="0.2"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</row>
    <row r="167" spans="3:44" x14ac:dyDescent="0.2"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</row>
    <row r="168" spans="3:44" x14ac:dyDescent="0.2"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</row>
    <row r="169" spans="3:44" x14ac:dyDescent="0.2"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</row>
    <row r="170" spans="3:44" x14ac:dyDescent="0.2"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</row>
    <row r="171" spans="3:44" x14ac:dyDescent="0.2"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</row>
    <row r="172" spans="3:44" x14ac:dyDescent="0.2"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</row>
    <row r="173" spans="3:44" x14ac:dyDescent="0.2"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</row>
    <row r="174" spans="3:44" x14ac:dyDescent="0.2"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</row>
    <row r="175" spans="3:44" x14ac:dyDescent="0.2"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</row>
    <row r="176" spans="3:44" x14ac:dyDescent="0.2"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</row>
    <row r="177" spans="3:44" x14ac:dyDescent="0.2"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</row>
    <row r="178" spans="3:44" x14ac:dyDescent="0.2"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</row>
    <row r="179" spans="3:44" x14ac:dyDescent="0.2"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</row>
    <row r="180" spans="3:44" x14ac:dyDescent="0.2"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</row>
    <row r="181" spans="3:44" x14ac:dyDescent="0.2"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</row>
    <row r="182" spans="3:44" x14ac:dyDescent="0.2"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</row>
    <row r="183" spans="3:44" x14ac:dyDescent="0.2"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</row>
    <row r="184" spans="3:44" x14ac:dyDescent="0.2"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</row>
    <row r="185" spans="3:44" x14ac:dyDescent="0.2"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</row>
    <row r="186" spans="3:44" x14ac:dyDescent="0.2"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</row>
    <row r="187" spans="3:44" x14ac:dyDescent="0.2"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</row>
    <row r="188" spans="3:44" x14ac:dyDescent="0.2"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</row>
    <row r="189" spans="3:44" x14ac:dyDescent="0.2"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</row>
    <row r="190" spans="3:44" x14ac:dyDescent="0.2"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</row>
    <row r="191" spans="3:44" x14ac:dyDescent="0.2"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</row>
    <row r="192" spans="3:44" x14ac:dyDescent="0.2"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</row>
    <row r="193" spans="3:44" x14ac:dyDescent="0.2"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</row>
    <row r="194" spans="3:44" x14ac:dyDescent="0.2"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</row>
    <row r="195" spans="3:44" x14ac:dyDescent="0.2"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</row>
    <row r="196" spans="3:44" x14ac:dyDescent="0.2"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</row>
    <row r="197" spans="3:44" x14ac:dyDescent="0.2"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</row>
    <row r="198" spans="3:44" x14ac:dyDescent="0.2"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</row>
    <row r="199" spans="3:44" x14ac:dyDescent="0.2"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</row>
    <row r="200" spans="3:44" x14ac:dyDescent="0.2"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</row>
    <row r="201" spans="3:44" x14ac:dyDescent="0.2"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</row>
    <row r="202" spans="3:44" x14ac:dyDescent="0.2"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</row>
    <row r="203" spans="3:44" x14ac:dyDescent="0.2"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</row>
    <row r="204" spans="3:44" x14ac:dyDescent="0.2"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</row>
    <row r="205" spans="3:44" x14ac:dyDescent="0.2"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</row>
    <row r="206" spans="3:44" x14ac:dyDescent="0.2"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</row>
    <row r="207" spans="3:44" x14ac:dyDescent="0.2"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</row>
    <row r="208" spans="3:44" x14ac:dyDescent="0.2"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</row>
    <row r="209" spans="3:44" x14ac:dyDescent="0.2"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</row>
    <row r="210" spans="3:44" x14ac:dyDescent="0.2"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</row>
    <row r="211" spans="3:44" x14ac:dyDescent="0.2"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</row>
    <row r="212" spans="3:44" x14ac:dyDescent="0.2"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</row>
    <row r="213" spans="3:44" x14ac:dyDescent="0.2"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</row>
    <row r="214" spans="3:44" x14ac:dyDescent="0.2"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</row>
    <row r="215" spans="3:44" x14ac:dyDescent="0.2"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</row>
    <row r="216" spans="3:44" x14ac:dyDescent="0.2"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</row>
    <row r="217" spans="3:44" x14ac:dyDescent="0.2"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</row>
    <row r="218" spans="3:44" x14ac:dyDescent="0.2"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</row>
    <row r="219" spans="3:44" x14ac:dyDescent="0.2"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</row>
    <row r="220" spans="3:44" x14ac:dyDescent="0.2"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</row>
    <row r="221" spans="3:44" x14ac:dyDescent="0.2"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</row>
    <row r="222" spans="3:44" x14ac:dyDescent="0.2"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</row>
    <row r="223" spans="3:44" x14ac:dyDescent="0.2"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</row>
    <row r="224" spans="3:44" x14ac:dyDescent="0.2"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</row>
    <row r="225" spans="3:44" x14ac:dyDescent="0.2"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</row>
    <row r="226" spans="3:44" x14ac:dyDescent="0.2"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</row>
    <row r="227" spans="3:44" x14ac:dyDescent="0.2"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</row>
    <row r="228" spans="3:44" x14ac:dyDescent="0.2"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</row>
    <row r="229" spans="3:44" x14ac:dyDescent="0.2"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</row>
    <row r="230" spans="3:44" x14ac:dyDescent="0.2"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</row>
    <row r="231" spans="3:44" x14ac:dyDescent="0.2"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</row>
    <row r="232" spans="3:44" x14ac:dyDescent="0.2"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</row>
    <row r="233" spans="3:44" x14ac:dyDescent="0.2"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</row>
    <row r="234" spans="3:44" x14ac:dyDescent="0.2"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</row>
    <row r="235" spans="3:44" x14ac:dyDescent="0.2"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</row>
    <row r="236" spans="3:44" x14ac:dyDescent="0.2"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</row>
    <row r="237" spans="3:44" x14ac:dyDescent="0.2"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</row>
    <row r="238" spans="3:44" x14ac:dyDescent="0.2"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</row>
    <row r="239" spans="3:44" x14ac:dyDescent="0.2"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</row>
    <row r="240" spans="3:44" x14ac:dyDescent="0.2"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</row>
    <row r="241" spans="3:44" x14ac:dyDescent="0.2"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</row>
    <row r="242" spans="3:44" x14ac:dyDescent="0.2"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</row>
    <row r="243" spans="3:44" x14ac:dyDescent="0.2"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</row>
    <row r="244" spans="3:44" x14ac:dyDescent="0.2"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</row>
    <row r="245" spans="3:44" x14ac:dyDescent="0.2"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</row>
    <row r="246" spans="3:44" x14ac:dyDescent="0.2"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</row>
    <row r="247" spans="3:44" x14ac:dyDescent="0.2"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</row>
    <row r="248" spans="3:44" x14ac:dyDescent="0.2"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</row>
    <row r="249" spans="3:44" x14ac:dyDescent="0.2"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</row>
    <row r="250" spans="3:44" x14ac:dyDescent="0.2"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</row>
    <row r="251" spans="3:44" x14ac:dyDescent="0.2"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</row>
    <row r="252" spans="3:44" x14ac:dyDescent="0.2"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</row>
    <row r="253" spans="3:44" x14ac:dyDescent="0.2"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</row>
    <row r="254" spans="3:44" x14ac:dyDescent="0.2"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</row>
    <row r="255" spans="3:44" x14ac:dyDescent="0.2"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</row>
    <row r="256" spans="3:44" x14ac:dyDescent="0.2"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</row>
    <row r="257" spans="3:44" x14ac:dyDescent="0.2"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</row>
    <row r="258" spans="3:44" x14ac:dyDescent="0.2"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</row>
    <row r="259" spans="3:44" x14ac:dyDescent="0.2"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</row>
    <row r="260" spans="3:44" x14ac:dyDescent="0.2"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</row>
    <row r="261" spans="3:44" x14ac:dyDescent="0.2"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</row>
    <row r="262" spans="3:44" x14ac:dyDescent="0.2"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</row>
    <row r="263" spans="3:44" x14ac:dyDescent="0.2"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</row>
    <row r="264" spans="3:44" x14ac:dyDescent="0.2"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</row>
    <row r="265" spans="3:44" x14ac:dyDescent="0.2"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</row>
    <row r="266" spans="3:44" x14ac:dyDescent="0.2"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</row>
    <row r="267" spans="3:44" x14ac:dyDescent="0.2"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</row>
  </sheetData>
  <hyperlinks>
    <hyperlink ref="A1" location="Main!A1" display="Main" xr:uid="{9448CEB6-E1C4-42DE-B426-4CECE8D225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2025-03-14T12:12:11Z</dcterms:created>
  <dcterms:modified xsi:type="dcterms:W3CDTF">2026-06-26T13:46:56Z</dcterms:modified>
</cp:coreProperties>
</file>