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D25792E7-2783-403F-80F2-4CEEABF0DBF7}" xr6:coauthVersionLast="47" xr6:coauthVersionMax="47" xr10:uidLastSave="{00000000-0000-0000-0000-000000000000}"/>
  <bookViews>
    <workbookView xWindow="19095" yWindow="0" windowWidth="19410" windowHeight="20925" activeTab="1" xr2:uid="{EB4D2DCC-174E-47B7-A437-CE666727386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7" i="2" l="1"/>
  <c r="V37" i="2"/>
  <c r="U37" i="2"/>
  <c r="T37" i="2"/>
  <c r="S37" i="2"/>
  <c r="R37" i="2"/>
  <c r="Q37" i="2"/>
  <c r="W36" i="2"/>
  <c r="V36" i="2"/>
  <c r="U36" i="2"/>
  <c r="T36" i="2"/>
  <c r="S36" i="2"/>
  <c r="R36" i="2"/>
  <c r="Q36" i="2"/>
  <c r="W35" i="2"/>
  <c r="V35" i="2"/>
  <c r="U35" i="2"/>
  <c r="T35" i="2"/>
  <c r="S35" i="2"/>
  <c r="R35" i="2"/>
  <c r="Q35" i="2"/>
  <c r="W34" i="2"/>
  <c r="V34" i="2"/>
  <c r="U34" i="2"/>
  <c r="T34" i="2"/>
  <c r="S34" i="2"/>
  <c r="R34" i="2"/>
  <c r="Q34" i="2"/>
  <c r="W33" i="2"/>
  <c r="V33" i="2"/>
  <c r="U33" i="2"/>
  <c r="T33" i="2"/>
  <c r="S33" i="2"/>
  <c r="R33" i="2"/>
  <c r="Q33" i="2"/>
  <c r="V32" i="2"/>
  <c r="U32" i="2"/>
  <c r="V31" i="2"/>
  <c r="U31" i="2"/>
  <c r="V30" i="2"/>
  <c r="U30" i="2"/>
  <c r="W32" i="2"/>
  <c r="W31" i="2"/>
  <c r="W30" i="2"/>
  <c r="W29" i="2"/>
  <c r="W28" i="2"/>
  <c r="V29" i="2"/>
  <c r="V28" i="2"/>
  <c r="T23" i="2"/>
  <c r="T25" i="2" s="1"/>
  <c r="V23" i="2"/>
  <c r="W25" i="2"/>
  <c r="V25" i="2"/>
  <c r="S25" i="2"/>
  <c r="R25" i="2"/>
  <c r="Q25" i="2"/>
  <c r="W23" i="2"/>
  <c r="W21" i="2"/>
  <c r="V21" i="2"/>
  <c r="U21" i="2"/>
  <c r="U23" i="2" s="1"/>
  <c r="U25" i="2" s="1"/>
  <c r="T21" i="2"/>
  <c r="S21" i="2"/>
  <c r="R21" i="2"/>
  <c r="Q21" i="2"/>
  <c r="N21" i="2"/>
  <c r="M21" i="2"/>
  <c r="L21" i="2"/>
  <c r="K21" i="2"/>
  <c r="J21" i="2"/>
  <c r="I21" i="2"/>
  <c r="H21" i="2"/>
  <c r="G21" i="2"/>
  <c r="F21" i="2"/>
  <c r="E21" i="2"/>
  <c r="D21" i="2"/>
  <c r="C21" i="2"/>
  <c r="G19" i="2"/>
  <c r="H20" i="2"/>
  <c r="H19" i="2"/>
  <c r="I20" i="2"/>
  <c r="K19" i="2"/>
  <c r="L19" i="2"/>
  <c r="W8" i="2"/>
  <c r="W11" i="2" s="1"/>
  <c r="W17" i="2" s="1"/>
  <c r="V8" i="2"/>
  <c r="V11" i="2" s="1"/>
  <c r="V17" i="2" s="1"/>
  <c r="U8" i="2"/>
  <c r="U11" i="2" s="1"/>
  <c r="U17" i="2" s="1"/>
  <c r="T8" i="2"/>
  <c r="T11" i="2" s="1"/>
  <c r="T17" i="2" s="1"/>
  <c r="S8" i="2"/>
  <c r="S11" i="2" s="1"/>
  <c r="S17" i="2" s="1"/>
  <c r="R8" i="2"/>
  <c r="R11" i="2" s="1"/>
  <c r="R17" i="2" s="1"/>
  <c r="Q8" i="2"/>
  <c r="Q11" i="2" s="1"/>
  <c r="Q17" i="2" s="1"/>
  <c r="I3" i="1"/>
  <c r="N34" i="2"/>
  <c r="M34" i="2"/>
  <c r="L34" i="2"/>
  <c r="K34" i="2"/>
  <c r="J34" i="2"/>
  <c r="N33" i="2"/>
  <c r="M33" i="2"/>
  <c r="L33" i="2"/>
  <c r="K33" i="2"/>
  <c r="J33" i="2"/>
  <c r="N31" i="2"/>
  <c r="M31" i="2"/>
  <c r="L31" i="2"/>
  <c r="K31" i="2"/>
  <c r="J31" i="2"/>
  <c r="N30" i="2"/>
  <c r="M30" i="2"/>
  <c r="L30" i="2"/>
  <c r="K30" i="2"/>
  <c r="J30" i="2"/>
  <c r="N29" i="2"/>
  <c r="M29" i="2"/>
  <c r="L29" i="2"/>
  <c r="K29" i="2"/>
  <c r="J29" i="2"/>
  <c r="N28" i="2"/>
  <c r="M28" i="2"/>
  <c r="L28" i="2"/>
  <c r="K28" i="2"/>
  <c r="J28" i="2"/>
  <c r="N8" i="2"/>
  <c r="M8" i="2"/>
  <c r="L8" i="2"/>
  <c r="L11" i="2" s="1"/>
  <c r="L17" i="2" s="1"/>
  <c r="L36" i="2" s="1"/>
  <c r="K8" i="2"/>
  <c r="K11" i="2" s="1"/>
  <c r="K17" i="2" s="1"/>
  <c r="K23" i="2" s="1"/>
  <c r="K25" i="2" s="1"/>
  <c r="I5" i="1"/>
  <c r="I4" i="1"/>
  <c r="H34" i="2"/>
  <c r="G34" i="2"/>
  <c r="F34" i="2"/>
  <c r="E34" i="2"/>
  <c r="D34" i="2"/>
  <c r="C34" i="2"/>
  <c r="H33" i="2"/>
  <c r="G33" i="2"/>
  <c r="F33" i="2"/>
  <c r="E33" i="2"/>
  <c r="D33" i="2"/>
  <c r="C33" i="2"/>
  <c r="I34" i="2"/>
  <c r="I33" i="2"/>
  <c r="H31" i="2"/>
  <c r="G31" i="2"/>
  <c r="H30" i="2"/>
  <c r="G30" i="2"/>
  <c r="I31" i="2"/>
  <c r="I30" i="2"/>
  <c r="H29" i="2"/>
  <c r="G29" i="2"/>
  <c r="H28" i="2"/>
  <c r="G28" i="2"/>
  <c r="I29" i="2"/>
  <c r="I28" i="2"/>
  <c r="J8" i="2"/>
  <c r="J11" i="2" s="1"/>
  <c r="H8" i="2"/>
  <c r="G8" i="2"/>
  <c r="F8" i="2"/>
  <c r="F11" i="2" s="1"/>
  <c r="E8" i="2"/>
  <c r="D8" i="2"/>
  <c r="D11" i="2" s="1"/>
  <c r="C8" i="2"/>
  <c r="C11" i="2" s="1"/>
  <c r="I8" i="2"/>
  <c r="I11" i="2" s="1"/>
  <c r="I17" i="2" s="1"/>
  <c r="I32" i="2" l="1"/>
  <c r="M32" i="2"/>
  <c r="N32" i="2"/>
  <c r="F17" i="2"/>
  <c r="F35" i="2"/>
  <c r="C17" i="2"/>
  <c r="C35" i="2"/>
  <c r="D17" i="2"/>
  <c r="D35" i="2"/>
  <c r="J17" i="2"/>
  <c r="J35" i="2"/>
  <c r="I37" i="2"/>
  <c r="I36" i="2"/>
  <c r="L35" i="2"/>
  <c r="G32" i="2"/>
  <c r="M11" i="2"/>
  <c r="H32" i="2"/>
  <c r="K36" i="2"/>
  <c r="I35" i="2"/>
  <c r="J32" i="2"/>
  <c r="K32" i="2"/>
  <c r="G11" i="2"/>
  <c r="G35" i="2" s="1"/>
  <c r="L32" i="2"/>
  <c r="K35" i="2"/>
  <c r="N11" i="2"/>
  <c r="E11" i="2"/>
  <c r="K37" i="2"/>
  <c r="H11" i="2"/>
  <c r="I7" i="1"/>
  <c r="N17" i="2" l="1"/>
  <c r="N35" i="2"/>
  <c r="M17" i="2"/>
  <c r="M35" i="2"/>
  <c r="J36" i="2"/>
  <c r="G17" i="2"/>
  <c r="E17" i="2"/>
  <c r="E35" i="2"/>
  <c r="D36" i="2"/>
  <c r="C36" i="2"/>
  <c r="I23" i="2"/>
  <c r="I25" i="2" s="1"/>
  <c r="F36" i="2"/>
  <c r="L23" i="2"/>
  <c r="L25" i="2" s="1"/>
  <c r="L37" i="2"/>
  <c r="G36" i="2"/>
  <c r="H17" i="2"/>
  <c r="H35" i="2"/>
  <c r="F23" i="2" l="1"/>
  <c r="F25" i="2" s="1"/>
  <c r="F37" i="2"/>
  <c r="C23" i="2"/>
  <c r="C25" i="2" s="1"/>
  <c r="C37" i="2"/>
  <c r="E36" i="2"/>
  <c r="D37" i="2"/>
  <c r="D23" i="2"/>
  <c r="D25" i="2" s="1"/>
  <c r="J37" i="2"/>
  <c r="J23" i="2"/>
  <c r="J25" i="2" s="1"/>
  <c r="M36" i="2"/>
  <c r="N36" i="2"/>
  <c r="G23" i="2"/>
  <c r="G25" i="2" s="1"/>
  <c r="G37" i="2"/>
  <c r="H36" i="2"/>
  <c r="N37" i="2" l="1"/>
  <c r="N23" i="2"/>
  <c r="N25" i="2" s="1"/>
  <c r="M37" i="2"/>
  <c r="M23" i="2"/>
  <c r="M25" i="2" s="1"/>
  <c r="E37" i="2"/>
  <c r="E23" i="2"/>
  <c r="E25" i="2" s="1"/>
  <c r="H23" i="2"/>
  <c r="H25" i="2" s="1"/>
  <c r="H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B4" authorId="0" shapeId="0" xr:uid="{67B6BB8D-1227-42F8-8504-0B44EB5B69FF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Monthly Reccuring Revenue</t>
        </r>
      </text>
    </comment>
  </commentList>
</comments>
</file>

<file path=xl/sharedStrings.xml><?xml version="1.0" encoding="utf-8"?>
<sst xmlns="http://schemas.openxmlformats.org/spreadsheetml/2006/main" count="64" uniqueCount="60">
  <si>
    <t>Shopify</t>
  </si>
  <si>
    <t>numbers in mio USD</t>
  </si>
  <si>
    <t>Price</t>
  </si>
  <si>
    <t>Shares</t>
  </si>
  <si>
    <t>MC</t>
  </si>
  <si>
    <t>Cash</t>
  </si>
  <si>
    <t>Debt</t>
  </si>
  <si>
    <t>EV</t>
  </si>
  <si>
    <t>SHOP</t>
  </si>
  <si>
    <t>IR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</si>
  <si>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</si>
  <si>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</si>
  <si>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</si>
  <si>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</si>
  <si>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</si>
  <si>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</si>
  <si>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</si>
  <si>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</si>
  <si>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</si>
  <si>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>GMV</t>
  </si>
  <si>
    <t>MRR</t>
  </si>
  <si>
    <t>Subscription Revenue</t>
  </si>
  <si>
    <t>Merchant Solution Revenue</t>
  </si>
  <si>
    <t xml:space="preserve">Cost of Sale Subscription </t>
  </si>
  <si>
    <t>Gross Profit</t>
  </si>
  <si>
    <t>Cost of Sale Mechant Solution</t>
  </si>
  <si>
    <t>S&amp;M</t>
  </si>
  <si>
    <t>R&amp;D</t>
  </si>
  <si>
    <t>G&amp;A</t>
  </si>
  <si>
    <t>Transaction and loan losses</t>
  </si>
  <si>
    <t>Asset impairments</t>
  </si>
  <si>
    <t>Operating Income</t>
  </si>
  <si>
    <t>Revenue</t>
  </si>
  <si>
    <t>Interest Income</t>
  </si>
  <si>
    <t>Pretax Income</t>
  </si>
  <si>
    <t>Tax Expense</t>
  </si>
  <si>
    <t>Net Income</t>
  </si>
  <si>
    <t>EPS</t>
  </si>
  <si>
    <t>GMV Growth</t>
  </si>
  <si>
    <t>MRR Growth</t>
  </si>
  <si>
    <t>Subscription Growth</t>
  </si>
  <si>
    <t>Merchant Solution Growth</t>
  </si>
  <si>
    <t>Revenue Growth</t>
  </si>
  <si>
    <t>Subscription Gross Margin</t>
  </si>
  <si>
    <t xml:space="preserve">Merchant Solution Gross Margin </t>
  </si>
  <si>
    <t xml:space="preserve">Operating Margin </t>
  </si>
  <si>
    <t>Tax Rate</t>
  </si>
  <si>
    <t>Gross Margin</t>
  </si>
  <si>
    <t>Q125</t>
  </si>
  <si>
    <t>Q225</t>
  </si>
  <si>
    <t>Q325</t>
  </si>
  <si>
    <t>Q425</t>
  </si>
  <si>
    <t>FY25</t>
  </si>
  <si>
    <t>FY24</t>
  </si>
  <si>
    <t>FY23</t>
  </si>
  <si>
    <t>FY22</t>
  </si>
  <si>
    <t>FY21</t>
  </si>
  <si>
    <t>FY20</t>
  </si>
  <si>
    <t>Gains on Equity Investments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</si>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</sst>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8" fillId="0" borderId="0" xfId="0" applyFont="1"/>
    <xf numFmtId="0" fontId="3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0" fontId="9" fillId="0" borderId="0" xfId="2" applyFont="1"/>
    <xf numFmtId="3" fontId="8" fillId="0" borderId="0" xfId="0" applyNumberFormat="1" applyFont="1"/>
    <xf numFmtId="4" fontId="3" fillId="0" borderId="0" xfId="0" applyNumberFormat="1" applyFont="1"/>
    <xf numFmtId="9" fontId="3" fillId="0" borderId="0" xfId="1" applyFont="1"/>
    <xf numFmtId="0" fontId="2" fillId="0" borderId="0" xfId="0" applyFont="1" applyAlignment="1">
      <alignment horizontal="right"/>
    </xf>
    <xf numFmtId="164" fontId="3" fillId="0" borderId="0" xfId="0" applyNumberFormat="1" applyFont="1"/>
    <xf numFmtId="164" fontId="8" fillId="0" borderId="0" xfId="0" applyNumberFormat="1" applyFont="1"/>
    <xf numFmtId="9" fontId="8" fillId="0" borderId="0" xfId="1" applyFont="1"/>
    <xf numFmtId="0" fontId="1" fillId="0" borderId="0" xfId="0" applyFont="1" applyAlignment="1">
      <alignment horizontal="right"/>
    </xf>
    <xf numFmtId="0" fontId="1" fillId="0" borderId="0" xfId="0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ifyinvestors.com/home/default.asp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1965-8221-4DD7-80CB-531598DF6427}">
  <dimension ref="A1:J7"/>
  <sheetViews>
    <sheetView topLeftCell="B1" zoomScale="200" zoomScaleNormal="200" workbookViewId="0">
      <selection activeCell="I4" sqref="I4"/>
    </sheetView>
  </sheetViews>
  <sheetFormatPr defaultRowHeight="12.75" x14ac:dyDescent="0.2"/>
  <cols>
    <col min="1" max="1" width="4.85546875" style="2" customWidth="1"/>
    <col min="2" max="16384" width="9.140625" style="2"/>
  </cols>
  <sheetData>
    <row r="1" spans="1:10" x14ac:dyDescent="0.2">
      <c r="A1" s="1" t="s">
        <v>0</v>
      </c>
    </row>
    <row r="2" spans="1:10" x14ac:dyDescent="0.2">
      <c r="A2" s="2" t="s">
        <v>1</v>
      </c>
      <c r="H2" s="2" t="s">
        <v>2</v>
      </c>
      <c r="I2" s="2">
        <v>122.04</v>
      </c>
    </row>
    <row r="3" spans="1:10" x14ac:dyDescent="0.2">
      <c r="H3" s="2" t="s">
        <v>3</v>
      </c>
      <c r="I3" s="3">
        <f>1226.037779+78.073594</f>
        <v>1304.111373</v>
      </c>
      <c r="J3" s="13" t="s">
        <v>51</v>
      </c>
    </row>
    <row r="4" spans="1:10" x14ac:dyDescent="0.2">
      <c r="B4" s="2" t="s">
        <v>8</v>
      </c>
      <c r="H4" s="2" t="s">
        <v>4</v>
      </c>
      <c r="I4" s="3">
        <f>+I2*I3</f>
        <v>159153.75196092</v>
      </c>
    </row>
    <row r="5" spans="1:10" x14ac:dyDescent="0.2">
      <c r="B5" s="5" t="s">
        <v>9</v>
      </c>
      <c r="H5" s="2" t="s">
        <v>5</v>
      </c>
      <c r="I5" s="3">
        <f>1542+4278</f>
        <v>5820</v>
      </c>
      <c r="J5" s="13" t="s">
        <v>51</v>
      </c>
    </row>
    <row r="6" spans="1:10" x14ac:dyDescent="0.2">
      <c r="H6" s="2" t="s">
        <v>6</v>
      </c>
      <c r="I6" s="3">
        <v>919</v>
      </c>
      <c r="J6" s="13" t="s">
        <v>51</v>
      </c>
    </row>
    <row r="7" spans="1:10" x14ac:dyDescent="0.2">
      <c r="H7" s="2" t="s">
        <v>7</v>
      </c>
      <c r="I7" s="3">
        <f>+I4-I5+I6</f>
        <v>154252.75196092</v>
      </c>
    </row>
  </sheetData>
  <hyperlinks>
    <hyperlink ref="B5" r:id="rId1" xr:uid="{224CA824-6D9F-4B46-98C2-70847DB935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3D3C-6B04-4BB8-8C2B-9B579C85C635}">
  <dimension ref="A1:BV251"/>
  <sheetViews>
    <sheetView tabSelected="1" zoomScale="200" zoomScaleNormal="20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R1" sqref="R1"/>
    </sheetView>
  </sheetViews>
  <sheetFormatPr defaultRowHeight="12.75" x14ac:dyDescent="0.2"/>
  <cols>
    <col min="1" max="1" width="5.42578125" style="2" bestFit="1" customWidth="1"/>
    <col min="2" max="2" width="31" style="2" customWidth="1"/>
    <col min="3" max="16384" width="9.140625" style="2"/>
  </cols>
  <sheetData>
    <row r="1" spans="1:23" x14ac:dyDescent="0.2">
      <c r="A1" s="5" t="s">
        <v>11</v>
      </c>
    </row>
    <row r="2" spans="1:23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10</v>
      </c>
      <c r="J2" s="4" t="s">
        <v>18</v>
      </c>
      <c r="K2" s="9" t="s">
        <v>48</v>
      </c>
      <c r="L2" s="9" t="s">
        <v>49</v>
      </c>
      <c r="M2" s="9" t="s">
        <v>50</v>
      </c>
      <c r="N2" s="9" t="s">
        <v>51</v>
      </c>
      <c r="R2" s="13" t="s">
        <v>57</v>
      </c>
      <c r="S2" s="13" t="s">
        <v>56</v>
      </c>
      <c r="T2" s="13" t="s">
        <v>55</v>
      </c>
      <c r="U2" s="13" t="s">
        <v>54</v>
      </c>
      <c r="V2" s="13" t="s">
        <v>53</v>
      </c>
      <c r="W2" s="13" t="s">
        <v>52</v>
      </c>
    </row>
    <row r="3" spans="1:23" s="10" customFormat="1" x14ac:dyDescent="0.2">
      <c r="A3" s="2"/>
      <c r="B3" s="2" t="s">
        <v>19</v>
      </c>
      <c r="E3" s="10">
        <v>56205</v>
      </c>
      <c r="H3" s="10">
        <v>67245</v>
      </c>
      <c r="I3" s="10">
        <v>69715</v>
      </c>
      <c r="L3" s="10">
        <v>87837</v>
      </c>
      <c r="U3" s="10">
        <v>235910</v>
      </c>
      <c r="V3" s="10">
        <v>292275</v>
      </c>
      <c r="W3" s="10">
        <v>378441</v>
      </c>
    </row>
    <row r="4" spans="1:23" s="10" customFormat="1" x14ac:dyDescent="0.2">
      <c r="A4" s="2"/>
      <c r="B4" s="2" t="s">
        <v>20</v>
      </c>
      <c r="E4" s="10">
        <v>137</v>
      </c>
      <c r="H4" s="10">
        <v>169</v>
      </c>
      <c r="I4" s="10">
        <v>175</v>
      </c>
      <c r="L4" s="10">
        <v>185</v>
      </c>
      <c r="U4" s="10">
        <v>144</v>
      </c>
      <c r="V4" s="10">
        <v>178</v>
      </c>
      <c r="W4" s="10">
        <v>205</v>
      </c>
    </row>
    <row r="5" spans="1:23" s="10" customFormat="1" x14ac:dyDescent="0.2">
      <c r="A5" s="2"/>
      <c r="B5" s="2"/>
    </row>
    <row r="6" spans="1:23" s="10" customFormat="1" x14ac:dyDescent="0.2">
      <c r="A6" s="2"/>
      <c r="B6" s="2" t="s">
        <v>21</v>
      </c>
      <c r="E6" s="10">
        <v>486</v>
      </c>
      <c r="G6" s="10">
        <v>511</v>
      </c>
      <c r="H6" s="10">
        <v>563</v>
      </c>
      <c r="I6" s="10">
        <v>610</v>
      </c>
      <c r="K6" s="10">
        <v>620</v>
      </c>
      <c r="L6" s="10">
        <v>656</v>
      </c>
      <c r="U6" s="10">
        <v>1837</v>
      </c>
      <c r="V6" s="10">
        <v>2350</v>
      </c>
      <c r="W6" s="10">
        <v>2752</v>
      </c>
    </row>
    <row r="7" spans="1:23" s="10" customFormat="1" x14ac:dyDescent="0.2">
      <c r="A7" s="2"/>
      <c r="B7" s="2" t="s">
        <v>22</v>
      </c>
      <c r="E7" s="10">
        <v>1228</v>
      </c>
      <c r="G7" s="10">
        <v>1350</v>
      </c>
      <c r="H7" s="10">
        <v>1482</v>
      </c>
      <c r="I7" s="10">
        <v>1552</v>
      </c>
      <c r="K7" s="10">
        <v>1740</v>
      </c>
      <c r="L7" s="10">
        <v>2024</v>
      </c>
      <c r="U7" s="10">
        <v>5223</v>
      </c>
      <c r="V7" s="10">
        <v>6530</v>
      </c>
      <c r="W7" s="10">
        <v>8804</v>
      </c>
    </row>
    <row r="8" spans="1:23" s="10" customFormat="1" x14ac:dyDescent="0.2">
      <c r="A8" s="2"/>
      <c r="B8" s="1" t="s">
        <v>32</v>
      </c>
      <c r="C8" s="11">
        <f t="shared" ref="C8:H8" si="0">+C6+C7</f>
        <v>0</v>
      </c>
      <c r="D8" s="11">
        <f t="shared" si="0"/>
        <v>0</v>
      </c>
      <c r="E8" s="11">
        <f t="shared" si="0"/>
        <v>1714</v>
      </c>
      <c r="F8" s="11">
        <f t="shared" si="0"/>
        <v>0</v>
      </c>
      <c r="G8" s="11">
        <f t="shared" si="0"/>
        <v>1861</v>
      </c>
      <c r="H8" s="11">
        <f t="shared" si="0"/>
        <v>2045</v>
      </c>
      <c r="I8" s="11">
        <f>+I6+I7</f>
        <v>2162</v>
      </c>
      <c r="J8" s="11">
        <f>+J6+J7</f>
        <v>0</v>
      </c>
      <c r="K8" s="11">
        <f t="shared" ref="K8:N8" si="1">+K6+K7</f>
        <v>2360</v>
      </c>
      <c r="L8" s="11">
        <f t="shared" si="1"/>
        <v>2680</v>
      </c>
      <c r="M8" s="11">
        <f t="shared" si="1"/>
        <v>0</v>
      </c>
      <c r="N8" s="11">
        <f t="shared" si="1"/>
        <v>0</v>
      </c>
      <c r="Q8" s="11">
        <f t="shared" ref="Q8:W8" si="2">+Q6+Q7</f>
        <v>0</v>
      </c>
      <c r="R8" s="11">
        <f t="shared" si="2"/>
        <v>0</v>
      </c>
      <c r="S8" s="11">
        <f t="shared" si="2"/>
        <v>0</v>
      </c>
      <c r="T8" s="11">
        <f t="shared" si="2"/>
        <v>0</v>
      </c>
      <c r="U8" s="11">
        <f t="shared" si="2"/>
        <v>7060</v>
      </c>
      <c r="V8" s="11">
        <f t="shared" si="2"/>
        <v>8880</v>
      </c>
      <c r="W8" s="11">
        <f t="shared" si="2"/>
        <v>11556</v>
      </c>
    </row>
    <row r="9" spans="1:23" s="10" customFormat="1" x14ac:dyDescent="0.2">
      <c r="A9" s="2"/>
      <c r="B9" s="2" t="s">
        <v>23</v>
      </c>
      <c r="E9" s="10">
        <v>88</v>
      </c>
      <c r="G9" s="10">
        <v>95</v>
      </c>
      <c r="H9" s="10">
        <v>97</v>
      </c>
      <c r="I9" s="10">
        <v>108</v>
      </c>
      <c r="K9" s="10">
        <v>123</v>
      </c>
      <c r="L9" s="10">
        <v>121</v>
      </c>
      <c r="U9" s="10">
        <v>354</v>
      </c>
      <c r="V9" s="10">
        <v>434</v>
      </c>
      <c r="W9" s="10">
        <v>520</v>
      </c>
    </row>
    <row r="10" spans="1:23" s="10" customFormat="1" x14ac:dyDescent="0.2">
      <c r="A10" s="2"/>
      <c r="B10" s="2" t="s">
        <v>25</v>
      </c>
      <c r="E10" s="10">
        <v>725</v>
      </c>
      <c r="G10" s="10">
        <v>809</v>
      </c>
      <c r="H10" s="10">
        <v>903</v>
      </c>
      <c r="I10" s="10">
        <v>936</v>
      </c>
      <c r="K10" s="10">
        <v>1068</v>
      </c>
      <c r="L10" s="10">
        <v>1257</v>
      </c>
      <c r="U10" s="10">
        <v>3191</v>
      </c>
      <c r="V10" s="10">
        <v>3974</v>
      </c>
      <c r="W10" s="10">
        <v>5481</v>
      </c>
    </row>
    <row r="11" spans="1:23" s="10" customFormat="1" x14ac:dyDescent="0.2">
      <c r="A11" s="2"/>
      <c r="B11" s="2" t="s">
        <v>24</v>
      </c>
      <c r="C11" s="10">
        <f t="shared" ref="C11:H11" si="3">+C8-C9-C10</f>
        <v>0</v>
      </c>
      <c r="D11" s="10">
        <f t="shared" si="3"/>
        <v>0</v>
      </c>
      <c r="E11" s="10">
        <f t="shared" si="3"/>
        <v>901</v>
      </c>
      <c r="F11" s="10">
        <f t="shared" si="3"/>
        <v>0</v>
      </c>
      <c r="G11" s="10">
        <f t="shared" si="3"/>
        <v>957</v>
      </c>
      <c r="H11" s="10">
        <f t="shared" si="3"/>
        <v>1045</v>
      </c>
      <c r="I11" s="10">
        <f>+I8-I9-I10</f>
        <v>1118</v>
      </c>
      <c r="J11" s="10">
        <f t="shared" ref="J11:N11" si="4">+J8-J9-J10</f>
        <v>0</v>
      </c>
      <c r="K11" s="10">
        <f t="shared" si="4"/>
        <v>1169</v>
      </c>
      <c r="L11" s="10">
        <f t="shared" si="4"/>
        <v>1302</v>
      </c>
      <c r="M11" s="10">
        <f t="shared" si="4"/>
        <v>0</v>
      </c>
      <c r="N11" s="10">
        <f t="shared" si="4"/>
        <v>0</v>
      </c>
      <c r="Q11" s="10">
        <f t="shared" ref="Q11:W11" si="5">+Q8-Q9-Q10</f>
        <v>0</v>
      </c>
      <c r="R11" s="10">
        <f t="shared" si="5"/>
        <v>0</v>
      </c>
      <c r="S11" s="10">
        <f t="shared" si="5"/>
        <v>0</v>
      </c>
      <c r="T11" s="10">
        <f t="shared" si="5"/>
        <v>0</v>
      </c>
      <c r="U11" s="10">
        <f t="shared" si="5"/>
        <v>3515</v>
      </c>
      <c r="V11" s="10">
        <f t="shared" si="5"/>
        <v>4472</v>
      </c>
      <c r="W11" s="10">
        <f t="shared" si="5"/>
        <v>5555</v>
      </c>
    </row>
    <row r="12" spans="1:23" s="10" customFormat="1" x14ac:dyDescent="0.2">
      <c r="A12" s="2"/>
      <c r="B12" s="2" t="s">
        <v>26</v>
      </c>
      <c r="E12" s="10">
        <v>295</v>
      </c>
      <c r="G12" s="10">
        <v>361</v>
      </c>
      <c r="H12" s="10">
        <v>353</v>
      </c>
      <c r="I12" s="10">
        <v>331</v>
      </c>
      <c r="K12" s="10">
        <v>405</v>
      </c>
      <c r="L12" s="10">
        <v>415</v>
      </c>
      <c r="U12" s="10">
        <v>1220</v>
      </c>
      <c r="V12" s="10">
        <v>1393</v>
      </c>
      <c r="W12" s="10">
        <v>1663</v>
      </c>
    </row>
    <row r="13" spans="1:23" s="10" customFormat="1" x14ac:dyDescent="0.2">
      <c r="A13" s="2"/>
      <c r="B13" s="2" t="s">
        <v>27</v>
      </c>
      <c r="E13" s="10">
        <v>313</v>
      </c>
      <c r="G13" s="10">
        <v>335</v>
      </c>
      <c r="H13" s="10">
        <v>349</v>
      </c>
      <c r="I13" s="10">
        <v>332</v>
      </c>
      <c r="K13" s="10">
        <v>377</v>
      </c>
      <c r="L13" s="10">
        <v>394</v>
      </c>
      <c r="U13" s="10">
        <v>1730</v>
      </c>
      <c r="V13" s="10">
        <v>1367</v>
      </c>
      <c r="W13" s="10">
        <v>1536</v>
      </c>
    </row>
    <row r="14" spans="1:23" s="10" customFormat="1" x14ac:dyDescent="0.2">
      <c r="A14" s="2"/>
      <c r="B14" s="2" t="s">
        <v>28</v>
      </c>
      <c r="E14" s="10">
        <v>137</v>
      </c>
      <c r="G14" s="10">
        <v>124</v>
      </c>
      <c r="H14" s="10">
        <v>60</v>
      </c>
      <c r="I14" s="10">
        <v>114</v>
      </c>
      <c r="K14" s="10">
        <v>109</v>
      </c>
      <c r="L14" s="10">
        <v>122</v>
      </c>
      <c r="U14" s="10">
        <v>491</v>
      </c>
      <c r="V14" s="10">
        <v>410</v>
      </c>
      <c r="W14" s="10">
        <v>471</v>
      </c>
    </row>
    <row r="15" spans="1:23" s="10" customFormat="1" x14ac:dyDescent="0.2">
      <c r="A15" s="2"/>
      <c r="B15" s="2" t="s">
        <v>29</v>
      </c>
      <c r="E15" s="10">
        <v>34</v>
      </c>
      <c r="G15" s="10">
        <v>51</v>
      </c>
      <c r="H15" s="10">
        <v>42</v>
      </c>
      <c r="I15" s="10">
        <v>58</v>
      </c>
      <c r="K15" s="10">
        <v>75</v>
      </c>
      <c r="L15" s="10">
        <v>80</v>
      </c>
      <c r="U15" s="10">
        <v>152</v>
      </c>
      <c r="V15" s="10">
        <v>227</v>
      </c>
      <c r="W15" s="10">
        <v>417</v>
      </c>
    </row>
    <row r="16" spans="1:23" s="10" customFormat="1" x14ac:dyDescent="0.2">
      <c r="A16" s="2"/>
      <c r="B16" s="2" t="s">
        <v>30</v>
      </c>
      <c r="E16" s="10">
        <v>0</v>
      </c>
      <c r="G16" s="10">
        <v>0</v>
      </c>
      <c r="H16" s="10">
        <v>0</v>
      </c>
      <c r="I16" s="10">
        <v>0</v>
      </c>
      <c r="K16" s="10">
        <v>0</v>
      </c>
      <c r="L16" s="10">
        <v>0</v>
      </c>
      <c r="U16" s="10">
        <v>1340</v>
      </c>
      <c r="V16" s="10">
        <v>0</v>
      </c>
      <c r="W16" s="10">
        <v>0</v>
      </c>
    </row>
    <row r="17" spans="1:74" s="10" customFormat="1" x14ac:dyDescent="0.2">
      <c r="A17" s="2"/>
      <c r="B17" s="2" t="s">
        <v>31</v>
      </c>
      <c r="C17" s="10">
        <f t="shared" ref="C17:H17" si="6">+C11-SUM(C12:C16)</f>
        <v>0</v>
      </c>
      <c r="D17" s="10">
        <f t="shared" si="6"/>
        <v>0</v>
      </c>
      <c r="E17" s="10">
        <f t="shared" si="6"/>
        <v>122</v>
      </c>
      <c r="F17" s="10">
        <f t="shared" si="6"/>
        <v>0</v>
      </c>
      <c r="G17" s="10">
        <f t="shared" si="6"/>
        <v>86</v>
      </c>
      <c r="H17" s="10">
        <f t="shared" si="6"/>
        <v>241</v>
      </c>
      <c r="I17" s="10">
        <f>+I11-SUM(I12:I16)</f>
        <v>283</v>
      </c>
      <c r="J17" s="10">
        <f t="shared" ref="J17:N17" si="7">+J11-SUM(J12:J16)</f>
        <v>0</v>
      </c>
      <c r="K17" s="10">
        <f t="shared" si="7"/>
        <v>203</v>
      </c>
      <c r="L17" s="10">
        <f t="shared" si="7"/>
        <v>291</v>
      </c>
      <c r="M17" s="10">
        <f t="shared" si="7"/>
        <v>0</v>
      </c>
      <c r="N17" s="10">
        <f t="shared" si="7"/>
        <v>0</v>
      </c>
      <c r="Q17" s="10">
        <f t="shared" ref="Q17:W17" si="8">+Q11-SUM(Q12:Q16)</f>
        <v>0</v>
      </c>
      <c r="R17" s="10">
        <f t="shared" si="8"/>
        <v>0</v>
      </c>
      <c r="S17" s="10">
        <f t="shared" si="8"/>
        <v>0</v>
      </c>
      <c r="T17" s="10">
        <f t="shared" si="8"/>
        <v>0</v>
      </c>
      <c r="U17" s="10">
        <f t="shared" si="8"/>
        <v>-1418</v>
      </c>
      <c r="V17" s="10">
        <f t="shared" si="8"/>
        <v>1075</v>
      </c>
      <c r="W17" s="10">
        <f t="shared" si="8"/>
        <v>1468</v>
      </c>
    </row>
    <row r="18" spans="1:74" s="10" customFormat="1" x14ac:dyDescent="0.2">
      <c r="A18" s="2"/>
      <c r="B18" s="2" t="s">
        <v>33</v>
      </c>
      <c r="E18" s="10">
        <v>63</v>
      </c>
      <c r="G18" s="10">
        <v>79</v>
      </c>
      <c r="H18" s="10">
        <v>80</v>
      </c>
      <c r="I18" s="10">
        <v>77</v>
      </c>
      <c r="K18" s="10">
        <v>65</v>
      </c>
      <c r="L18" s="10">
        <v>106</v>
      </c>
      <c r="U18" s="10">
        <v>1361</v>
      </c>
      <c r="V18" s="10">
        <v>853</v>
      </c>
      <c r="W18" s="10">
        <v>357</v>
      </c>
    </row>
    <row r="19" spans="1:74" s="10" customFormat="1" x14ac:dyDescent="0.2">
      <c r="A19" s="2"/>
      <c r="B19" s="14" t="s">
        <v>58</v>
      </c>
      <c r="E19" s="10">
        <v>555</v>
      </c>
      <c r="G19" s="10">
        <f>-373-44</f>
        <v>-417</v>
      </c>
      <c r="H19" s="10">
        <f>3-79</f>
        <v>-76</v>
      </c>
      <c r="I19" s="10">
        <v>512</v>
      </c>
      <c r="K19" s="10">
        <f>-1021-23</f>
        <v>-1044</v>
      </c>
      <c r="L19" s="10">
        <f>1+681</f>
        <v>682</v>
      </c>
      <c r="U19" s="10">
        <v>242</v>
      </c>
      <c r="V19" s="10">
        <v>300</v>
      </c>
      <c r="W19" s="10">
        <v>-316</v>
      </c>
    </row>
    <row r="20" spans="1:74" s="10" customFormat="1" x14ac:dyDescent="0.2">
      <c r="A20" s="2"/>
      <c r="B20" s="14" t="s">
        <v>59</v>
      </c>
      <c r="E20" s="10">
        <v>-12</v>
      </c>
      <c r="G20" s="10">
        <v>-4</v>
      </c>
      <c r="H20" s="10">
        <f>-44+2</f>
        <v>-42</v>
      </c>
      <c r="I20" s="10">
        <f>-28+16</f>
        <v>-12</v>
      </c>
      <c r="K20" s="10">
        <v>-6</v>
      </c>
      <c r="L20" s="10">
        <v>0</v>
      </c>
      <c r="U20" s="10">
        <v>0</v>
      </c>
      <c r="V20" s="10">
        <v>0</v>
      </c>
      <c r="W20" s="10">
        <v>0</v>
      </c>
    </row>
    <row r="21" spans="1:74" s="10" customFormat="1" x14ac:dyDescent="0.2">
      <c r="A21" s="2"/>
      <c r="B21" s="2" t="s">
        <v>34</v>
      </c>
      <c r="C21" s="10">
        <f>+C17+C18+C19+C20</f>
        <v>0</v>
      </c>
      <c r="D21" s="10">
        <f t="shared" ref="D21:N21" si="9">+D17+D18+D19+D20</f>
        <v>0</v>
      </c>
      <c r="E21" s="10">
        <f t="shared" si="9"/>
        <v>728</v>
      </c>
      <c r="F21" s="10">
        <f t="shared" si="9"/>
        <v>0</v>
      </c>
      <c r="G21" s="10">
        <f t="shared" si="9"/>
        <v>-256</v>
      </c>
      <c r="H21" s="10">
        <f t="shared" si="9"/>
        <v>203</v>
      </c>
      <c r="I21" s="10">
        <f t="shared" si="9"/>
        <v>860</v>
      </c>
      <c r="J21" s="10">
        <f t="shared" si="9"/>
        <v>0</v>
      </c>
      <c r="K21" s="10">
        <f t="shared" si="9"/>
        <v>-782</v>
      </c>
      <c r="L21" s="10">
        <f t="shared" si="9"/>
        <v>1079</v>
      </c>
      <c r="M21" s="10">
        <f t="shared" si="9"/>
        <v>0</v>
      </c>
      <c r="N21" s="10">
        <f t="shared" si="9"/>
        <v>0</v>
      </c>
      <c r="Q21" s="10">
        <f t="shared" ref="Q21" si="10">+Q17+Q18+Q19+Q20</f>
        <v>0</v>
      </c>
      <c r="R21" s="10">
        <f t="shared" ref="R21" si="11">+R17+R18+R19+R20</f>
        <v>0</v>
      </c>
      <c r="S21" s="10">
        <f t="shared" ref="S21" si="12">+S17+S18+S19+S20</f>
        <v>0</v>
      </c>
      <c r="T21" s="10">
        <f t="shared" ref="T21" si="13">+T17+T18+T19+T20</f>
        <v>0</v>
      </c>
      <c r="U21" s="10">
        <f t="shared" ref="U21" si="14">+U17+U18+U19+U20</f>
        <v>185</v>
      </c>
      <c r="V21" s="10">
        <f t="shared" ref="V21" si="15">+V17+V18+V19+V20</f>
        <v>2228</v>
      </c>
      <c r="W21" s="10">
        <f t="shared" ref="W21" si="16">+W17+W18+W19+W20</f>
        <v>1509</v>
      </c>
    </row>
    <row r="22" spans="1:74" s="10" customFormat="1" x14ac:dyDescent="0.2">
      <c r="A22" s="2"/>
      <c r="B22" s="2" t="s">
        <v>35</v>
      </c>
      <c r="E22" s="10">
        <v>10</v>
      </c>
      <c r="G22" s="10">
        <v>17</v>
      </c>
      <c r="H22" s="10">
        <v>32</v>
      </c>
      <c r="I22" s="10">
        <v>32</v>
      </c>
      <c r="K22" s="10">
        <v>-88</v>
      </c>
      <c r="L22" s="10">
        <v>173</v>
      </c>
      <c r="U22" s="10">
        <v>53</v>
      </c>
      <c r="V22" s="10">
        <v>209</v>
      </c>
      <c r="W22" s="10">
        <v>278</v>
      </c>
    </row>
    <row r="23" spans="1:74" s="10" customFormat="1" x14ac:dyDescent="0.2">
      <c r="A23" s="2"/>
      <c r="B23" s="2" t="s">
        <v>36</v>
      </c>
      <c r="C23" s="10">
        <f t="shared" ref="C23:H23" si="17">+C21-C22</f>
        <v>0</v>
      </c>
      <c r="D23" s="10">
        <f t="shared" si="17"/>
        <v>0</v>
      </c>
      <c r="E23" s="10">
        <f t="shared" si="17"/>
        <v>718</v>
      </c>
      <c r="F23" s="10">
        <f t="shared" si="17"/>
        <v>0</v>
      </c>
      <c r="G23" s="10">
        <f t="shared" si="17"/>
        <v>-273</v>
      </c>
      <c r="H23" s="10">
        <f t="shared" si="17"/>
        <v>171</v>
      </c>
      <c r="I23" s="10">
        <f>+I21-I22</f>
        <v>828</v>
      </c>
      <c r="J23" s="10">
        <f t="shared" ref="J23:N23" si="18">+J21-J22</f>
        <v>0</v>
      </c>
      <c r="K23" s="10">
        <f t="shared" si="18"/>
        <v>-694</v>
      </c>
      <c r="L23" s="10">
        <f t="shared" si="18"/>
        <v>906</v>
      </c>
      <c r="M23" s="10">
        <f t="shared" si="18"/>
        <v>0</v>
      </c>
      <c r="N23" s="10">
        <f t="shared" si="18"/>
        <v>0</v>
      </c>
      <c r="T23" s="10">
        <f>+T21-T22</f>
        <v>0</v>
      </c>
      <c r="U23" s="10">
        <f>+U21-U22</f>
        <v>132</v>
      </c>
      <c r="V23" s="10">
        <f>+V21-V22</f>
        <v>2019</v>
      </c>
      <c r="W23" s="10">
        <f>+W21-W22</f>
        <v>1231</v>
      </c>
    </row>
    <row r="24" spans="1:74" s="10" customFormat="1" x14ac:dyDescent="0.2">
      <c r="A24" s="2"/>
      <c r="B24" s="2"/>
    </row>
    <row r="25" spans="1:74" x14ac:dyDescent="0.2">
      <c r="B25" s="2" t="s">
        <v>37</v>
      </c>
      <c r="C25" s="7" t="e">
        <f t="shared" ref="C25:D25" si="19">+C23/C26</f>
        <v>#DIV/0!</v>
      </c>
      <c r="D25" s="7" t="e">
        <f t="shared" si="19"/>
        <v>#DIV/0!</v>
      </c>
      <c r="E25" s="7">
        <f>+E23/E26</f>
        <v>0.55948231578205332</v>
      </c>
      <c r="F25" s="7" t="e">
        <f t="shared" ref="F25:N25" si="20">+F23/F26</f>
        <v>#DIV/0!</v>
      </c>
      <c r="G25" s="7">
        <f t="shared" si="20"/>
        <v>-0.21205914008764981</v>
      </c>
      <c r="H25" s="7">
        <f t="shared" si="20"/>
        <v>0.13267125123839013</v>
      </c>
      <c r="I25" s="7">
        <f t="shared" si="20"/>
        <v>0.64156930902766907</v>
      </c>
      <c r="J25" s="7" t="e">
        <f t="shared" si="20"/>
        <v>#DIV/0!</v>
      </c>
      <c r="K25" s="7">
        <f t="shared" si="20"/>
        <v>-0.53575121262577929</v>
      </c>
      <c r="L25" s="7">
        <f t="shared" si="20"/>
        <v>0.69813350616632586</v>
      </c>
      <c r="M25" s="7" t="e">
        <f t="shared" si="20"/>
        <v>#DIV/0!</v>
      </c>
      <c r="N25" s="7" t="e">
        <f t="shared" si="20"/>
        <v>#DIV/0!</v>
      </c>
      <c r="O25" s="3"/>
      <c r="P25" s="3"/>
      <c r="Q25" s="7" t="e">
        <f t="shared" ref="Q25:W25" si="21">+Q23/Q26</f>
        <v>#DIV/0!</v>
      </c>
      <c r="R25" s="7" t="e">
        <f t="shared" si="21"/>
        <v>#DIV/0!</v>
      </c>
      <c r="S25" s="7" t="e">
        <f t="shared" si="21"/>
        <v>#DIV/0!</v>
      </c>
      <c r="T25" s="7" t="e">
        <f t="shared" si="21"/>
        <v>#DIV/0!</v>
      </c>
      <c r="U25" s="7">
        <f t="shared" si="21"/>
        <v>0.10299990669378907</v>
      </c>
      <c r="V25" s="7">
        <f t="shared" si="21"/>
        <v>1.5653442562926319</v>
      </c>
      <c r="W25" s="7">
        <f t="shared" si="21"/>
        <v>0.94768424232675619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</row>
    <row r="26" spans="1:74" x14ac:dyDescent="0.2">
      <c r="B26" s="2" t="s">
        <v>3</v>
      </c>
      <c r="C26" s="3"/>
      <c r="D26" s="3"/>
      <c r="E26" s="3">
        <v>1283.329213</v>
      </c>
      <c r="F26" s="3"/>
      <c r="G26" s="3">
        <v>1287.3767190000001</v>
      </c>
      <c r="H26" s="3">
        <v>1288.900183</v>
      </c>
      <c r="I26" s="3">
        <v>1290.5854260000001</v>
      </c>
      <c r="J26" s="3"/>
      <c r="K26" s="3">
        <v>1295.3773759999999</v>
      </c>
      <c r="L26" s="3">
        <v>1297.74605</v>
      </c>
      <c r="M26" s="3"/>
      <c r="N26" s="3"/>
      <c r="O26" s="3"/>
      <c r="P26" s="3"/>
      <c r="Q26" s="3"/>
      <c r="R26" s="3"/>
      <c r="S26" s="3"/>
      <c r="T26" s="3"/>
      <c r="U26" s="3">
        <v>1281.5545589999999</v>
      </c>
      <c r="V26" s="3">
        <v>1289.812124</v>
      </c>
      <c r="W26" s="3">
        <v>1298.95586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</row>
    <row r="27" spans="1:74" x14ac:dyDescent="0.2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</row>
    <row r="28" spans="1:74" x14ac:dyDescent="0.2">
      <c r="B28" s="2" t="s">
        <v>38</v>
      </c>
      <c r="C28" s="3"/>
      <c r="D28" s="3"/>
      <c r="E28" s="3"/>
      <c r="F28" s="3"/>
      <c r="G28" s="8" t="e">
        <f>+G3/C3-1</f>
        <v>#DIV/0!</v>
      </c>
      <c r="H28" s="8" t="e">
        <f>+H3/D3-1</f>
        <v>#DIV/0!</v>
      </c>
      <c r="I28" s="8">
        <f>+I3/E3-1</f>
        <v>0.24037007383684728</v>
      </c>
      <c r="J28" s="8" t="e">
        <f>+J3/F3-1</f>
        <v>#DIV/0!</v>
      </c>
      <c r="K28" s="8" t="e">
        <f>+K3/G3-1</f>
        <v>#DIV/0!</v>
      </c>
      <c r="L28" s="8">
        <f>+L3/H3-1</f>
        <v>0.30622351104171308</v>
      </c>
      <c r="M28" s="8">
        <f>+M3/I3-1</f>
        <v>-1</v>
      </c>
      <c r="N28" s="8" t="e">
        <f>+N3/J3-1</f>
        <v>#DIV/0!</v>
      </c>
      <c r="O28" s="3"/>
      <c r="P28" s="3"/>
      <c r="Q28" s="3"/>
      <c r="R28" s="3"/>
      <c r="S28" s="3"/>
      <c r="T28" s="3"/>
      <c r="U28" s="3"/>
      <c r="V28" s="8">
        <f>+V3/U3-1</f>
        <v>0.2389258615573735</v>
      </c>
      <c r="W28" s="8">
        <f t="shared" ref="W28:W29" si="22">+W3/V3-1</f>
        <v>0.29481139337952267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</row>
    <row r="29" spans="1:74" x14ac:dyDescent="0.2">
      <c r="B29" s="2" t="s">
        <v>39</v>
      </c>
      <c r="C29" s="3"/>
      <c r="D29" s="3"/>
      <c r="E29" s="3"/>
      <c r="F29" s="3"/>
      <c r="G29" s="8" t="e">
        <f>+G4/C4-1</f>
        <v>#DIV/0!</v>
      </c>
      <c r="H29" s="8" t="e">
        <f>+H4/D4-1</f>
        <v>#DIV/0!</v>
      </c>
      <c r="I29" s="8">
        <f>+I4/E4-1</f>
        <v>0.27737226277372273</v>
      </c>
      <c r="J29" s="8" t="e">
        <f>+J4/F4-1</f>
        <v>#DIV/0!</v>
      </c>
      <c r="K29" s="8" t="e">
        <f>+K4/G4-1</f>
        <v>#DIV/0!</v>
      </c>
      <c r="L29" s="8">
        <f>+L4/H4-1</f>
        <v>9.4674556213017791E-2</v>
      </c>
      <c r="M29" s="8">
        <f>+M4/I4-1</f>
        <v>-1</v>
      </c>
      <c r="N29" s="8" t="e">
        <f>+N4/J4-1</f>
        <v>#DIV/0!</v>
      </c>
      <c r="O29" s="3"/>
      <c r="P29" s="3"/>
      <c r="Q29" s="3"/>
      <c r="R29" s="3"/>
      <c r="S29" s="3"/>
      <c r="T29" s="3"/>
      <c r="U29" s="3"/>
      <c r="V29" s="8">
        <f>+V4/U4-1</f>
        <v>0.23611111111111116</v>
      </c>
      <c r="W29" s="8">
        <f t="shared" si="22"/>
        <v>0.151685393258427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</row>
    <row r="30" spans="1:74" x14ac:dyDescent="0.2">
      <c r="B30" s="2" t="s">
        <v>40</v>
      </c>
      <c r="C30" s="3"/>
      <c r="D30" s="3"/>
      <c r="E30" s="3"/>
      <c r="F30" s="3"/>
      <c r="G30" s="8" t="e">
        <f>+G6/C6-1</f>
        <v>#DIV/0!</v>
      </c>
      <c r="H30" s="8" t="e">
        <f>+H6/D6-1</f>
        <v>#DIV/0!</v>
      </c>
      <c r="I30" s="8">
        <f>+I6/E6-1</f>
        <v>0.25514403292181065</v>
      </c>
      <c r="J30" s="8" t="e">
        <f>+J6/F6-1</f>
        <v>#DIV/0!</v>
      </c>
      <c r="K30" s="8">
        <f>+K6/G6-1</f>
        <v>0.21330724070450091</v>
      </c>
      <c r="L30" s="8">
        <f>+L6/H6-1</f>
        <v>0.1651865008880995</v>
      </c>
      <c r="M30" s="8">
        <f>+M6/I6-1</f>
        <v>-1</v>
      </c>
      <c r="N30" s="8" t="e">
        <f>+N6/J6-1</f>
        <v>#DIV/0!</v>
      </c>
      <c r="O30" s="3"/>
      <c r="P30" s="3"/>
      <c r="Q30" s="3"/>
      <c r="R30" s="3"/>
      <c r="S30" s="3"/>
      <c r="T30" s="3"/>
      <c r="U30" s="8" t="e">
        <f t="shared" ref="U30:W30" si="23">+U6/T6-1</f>
        <v>#DIV/0!</v>
      </c>
      <c r="V30" s="8">
        <f t="shared" si="23"/>
        <v>0.27925966249319534</v>
      </c>
      <c r="W30" s="8">
        <f>+W6/V6-1</f>
        <v>0.171063829787234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</row>
    <row r="31" spans="1:74" x14ac:dyDescent="0.2">
      <c r="B31" s="2" t="s">
        <v>41</v>
      </c>
      <c r="C31" s="3"/>
      <c r="D31" s="3"/>
      <c r="E31" s="3"/>
      <c r="F31" s="3"/>
      <c r="G31" s="8" t="e">
        <f>+G7/C7-1</f>
        <v>#DIV/0!</v>
      </c>
      <c r="H31" s="8" t="e">
        <f>+H7/D7-1</f>
        <v>#DIV/0!</v>
      </c>
      <c r="I31" s="8">
        <f>+I7/E7-1</f>
        <v>0.26384364820846895</v>
      </c>
      <c r="J31" s="8" t="e">
        <f>+J7/F7-1</f>
        <v>#DIV/0!</v>
      </c>
      <c r="K31" s="8">
        <f>+K7/G7-1</f>
        <v>0.28888888888888897</v>
      </c>
      <c r="L31" s="8">
        <f>+L7/H7-1</f>
        <v>0.36572199730094468</v>
      </c>
      <c r="M31" s="8">
        <f>+M7/I7-1</f>
        <v>-1</v>
      </c>
      <c r="N31" s="8" t="e">
        <f>+N7/J7-1</f>
        <v>#DIV/0!</v>
      </c>
      <c r="O31" s="3"/>
      <c r="P31" s="3"/>
      <c r="Q31" s="3"/>
      <c r="R31" s="3"/>
      <c r="S31" s="3"/>
      <c r="T31" s="3"/>
      <c r="U31" s="8" t="e">
        <f t="shared" ref="U31:W32" si="24">+U7/T7-1</f>
        <v>#DIV/0!</v>
      </c>
      <c r="V31" s="8">
        <f t="shared" si="24"/>
        <v>0.25023932605782107</v>
      </c>
      <c r="W31" s="8">
        <f t="shared" si="24"/>
        <v>0.34823889739663083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</row>
    <row r="32" spans="1:74" s="1" customFormat="1" x14ac:dyDescent="0.2">
      <c r="B32" s="1" t="s">
        <v>42</v>
      </c>
      <c r="C32" s="6"/>
      <c r="D32" s="6"/>
      <c r="E32" s="6"/>
      <c r="F32" s="6"/>
      <c r="G32" s="12" t="e">
        <f>+G8/C8-1</f>
        <v>#DIV/0!</v>
      </c>
      <c r="H32" s="12" t="e">
        <f>+H8/D8-1</f>
        <v>#DIV/0!</v>
      </c>
      <c r="I32" s="12">
        <f>+I8/E8-1</f>
        <v>0.26137689614935833</v>
      </c>
      <c r="J32" s="12" t="e">
        <f>+J8/F8-1</f>
        <v>#DIV/0!</v>
      </c>
      <c r="K32" s="12">
        <f>+K8/G8-1</f>
        <v>0.26813541106931749</v>
      </c>
      <c r="L32" s="12">
        <f>+L8/H8-1</f>
        <v>0.31051344743276288</v>
      </c>
      <c r="M32" s="12">
        <f>+M8/I8-1</f>
        <v>-1</v>
      </c>
      <c r="N32" s="12" t="e">
        <f>+N8/J8-1</f>
        <v>#DIV/0!</v>
      </c>
      <c r="O32" s="6"/>
      <c r="P32" s="6"/>
      <c r="Q32" s="6"/>
      <c r="R32" s="6"/>
      <c r="S32" s="6"/>
      <c r="T32" s="6"/>
      <c r="U32" s="12" t="e">
        <f t="shared" si="24"/>
        <v>#DIV/0!</v>
      </c>
      <c r="V32" s="12">
        <f t="shared" si="24"/>
        <v>0.25779036827195467</v>
      </c>
      <c r="W32" s="12">
        <f t="shared" si="24"/>
        <v>0.30135135135135127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</row>
    <row r="33" spans="2:74" x14ac:dyDescent="0.2">
      <c r="B33" s="2" t="s">
        <v>43</v>
      </c>
      <c r="C33" s="8" t="e">
        <f>+(C6-C9)/C6</f>
        <v>#DIV/0!</v>
      </c>
      <c r="D33" s="8" t="e">
        <f>+(D6-D9)/D6</f>
        <v>#DIV/0!</v>
      </c>
      <c r="E33" s="8">
        <f>+(E6-E9)/E6</f>
        <v>0.81893004115226342</v>
      </c>
      <c r="F33" s="8" t="e">
        <f>+(F6-F9)/F6</f>
        <v>#DIV/0!</v>
      </c>
      <c r="G33" s="8">
        <f>+(G6-G9)/G6</f>
        <v>0.81409001956947158</v>
      </c>
      <c r="H33" s="8">
        <f>+(H6-H9)/H6</f>
        <v>0.82770870337477798</v>
      </c>
      <c r="I33" s="8">
        <f>+(I6-I9)/I6</f>
        <v>0.82295081967213113</v>
      </c>
      <c r="J33" s="8" t="e">
        <f>+(J6-J9)/J6</f>
        <v>#DIV/0!</v>
      </c>
      <c r="K33" s="8">
        <f>+(K6-K9)/K6</f>
        <v>0.80161290322580647</v>
      </c>
      <c r="L33" s="8">
        <f>+(L6-L9)/L6</f>
        <v>0.81554878048780488</v>
      </c>
      <c r="M33" s="8" t="e">
        <f>+(M6-M9)/M6</f>
        <v>#DIV/0!</v>
      </c>
      <c r="N33" s="8" t="e">
        <f>+(N6-N9)/N6</f>
        <v>#DIV/0!</v>
      </c>
      <c r="O33" s="3"/>
      <c r="P33" s="3"/>
      <c r="Q33" s="8" t="e">
        <f t="shared" ref="Q33:W33" si="25">+(Q6-Q9)/Q6</f>
        <v>#DIV/0!</v>
      </c>
      <c r="R33" s="8" t="e">
        <f t="shared" si="25"/>
        <v>#DIV/0!</v>
      </c>
      <c r="S33" s="8" t="e">
        <f t="shared" si="25"/>
        <v>#DIV/0!</v>
      </c>
      <c r="T33" s="8" t="e">
        <f t="shared" si="25"/>
        <v>#DIV/0!</v>
      </c>
      <c r="U33" s="8">
        <f t="shared" si="25"/>
        <v>0.8072945019052804</v>
      </c>
      <c r="V33" s="8">
        <f t="shared" si="25"/>
        <v>0.81531914893617019</v>
      </c>
      <c r="W33" s="8">
        <f t="shared" si="25"/>
        <v>0.81104651162790697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</row>
    <row r="34" spans="2:74" x14ac:dyDescent="0.2">
      <c r="B34" s="2" t="s">
        <v>44</v>
      </c>
      <c r="C34" s="8" t="e">
        <f>+(C7-C10)/C7</f>
        <v>#DIV/0!</v>
      </c>
      <c r="D34" s="8" t="e">
        <f>+(D7-D10)/D7</f>
        <v>#DIV/0!</v>
      </c>
      <c r="E34" s="8">
        <f>+(E7-E10)/E7</f>
        <v>0.40960912052117265</v>
      </c>
      <c r="F34" s="8" t="e">
        <f>+(F7-F10)/F7</f>
        <v>#DIV/0!</v>
      </c>
      <c r="G34" s="8">
        <f>+(G7-G10)/G7</f>
        <v>0.40074074074074073</v>
      </c>
      <c r="H34" s="8">
        <f>+(H7-H10)/H7</f>
        <v>0.39068825910931176</v>
      </c>
      <c r="I34" s="8">
        <f>+(I7-I10)/I7</f>
        <v>0.39690721649484534</v>
      </c>
      <c r="J34" s="8" t="e">
        <f>+(J7-J10)/J7</f>
        <v>#DIV/0!</v>
      </c>
      <c r="K34" s="8">
        <f>+(K7-K10)/K7</f>
        <v>0.38620689655172413</v>
      </c>
      <c r="L34" s="8">
        <f>+(L7-L10)/L7</f>
        <v>0.37895256916996045</v>
      </c>
      <c r="M34" s="8" t="e">
        <f>+(M7-M10)/M7</f>
        <v>#DIV/0!</v>
      </c>
      <c r="N34" s="8" t="e">
        <f>+(N7-N10)/N7</f>
        <v>#DIV/0!</v>
      </c>
      <c r="O34" s="3"/>
      <c r="P34" s="3"/>
      <c r="Q34" s="8" t="e">
        <f t="shared" ref="Q34:W34" si="26">+(Q7-Q10)/Q7</f>
        <v>#DIV/0!</v>
      </c>
      <c r="R34" s="8" t="e">
        <f t="shared" si="26"/>
        <v>#DIV/0!</v>
      </c>
      <c r="S34" s="8" t="e">
        <f t="shared" si="26"/>
        <v>#DIV/0!</v>
      </c>
      <c r="T34" s="8" t="e">
        <f t="shared" si="26"/>
        <v>#DIV/0!</v>
      </c>
      <c r="U34" s="8">
        <f t="shared" si="26"/>
        <v>0.38904843959410301</v>
      </c>
      <c r="V34" s="8">
        <f t="shared" si="26"/>
        <v>0.39142419601837675</v>
      </c>
      <c r="W34" s="8">
        <f t="shared" si="26"/>
        <v>0.377442071785552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</row>
    <row r="35" spans="2:74" x14ac:dyDescent="0.2">
      <c r="B35" s="2" t="s">
        <v>47</v>
      </c>
      <c r="C35" s="8" t="e">
        <f>+C11/C8</f>
        <v>#DIV/0!</v>
      </c>
      <c r="D35" s="8" t="e">
        <f>+D11/D8</f>
        <v>#DIV/0!</v>
      </c>
      <c r="E35" s="8">
        <f>+E11/E8</f>
        <v>0.52567094515752621</v>
      </c>
      <c r="F35" s="8" t="e">
        <f>+F11/F8</f>
        <v>#DIV/0!</v>
      </c>
      <c r="G35" s="8">
        <f>+G11/G8</f>
        <v>0.51423965609887157</v>
      </c>
      <c r="H35" s="8">
        <f>+H11/H8</f>
        <v>0.51100244498777503</v>
      </c>
      <c r="I35" s="8">
        <f>+I11/I8</f>
        <v>0.51711378353376503</v>
      </c>
      <c r="J35" s="8" t="e">
        <f>+J11/J8</f>
        <v>#DIV/0!</v>
      </c>
      <c r="K35" s="8">
        <f>+K11/K8</f>
        <v>0.49533898305084745</v>
      </c>
      <c r="L35" s="8">
        <f>+L11/L8</f>
        <v>0.48582089552238805</v>
      </c>
      <c r="M35" s="8" t="e">
        <f>+M11/M8</f>
        <v>#DIV/0!</v>
      </c>
      <c r="N35" s="8" t="e">
        <f>+N11/N8</f>
        <v>#DIV/0!</v>
      </c>
      <c r="O35" s="3"/>
      <c r="P35" s="3"/>
      <c r="Q35" s="8" t="e">
        <f t="shared" ref="Q35:W35" si="27">+Q11/Q8</f>
        <v>#DIV/0!</v>
      </c>
      <c r="R35" s="8" t="e">
        <f t="shared" si="27"/>
        <v>#DIV/0!</v>
      </c>
      <c r="S35" s="8" t="e">
        <f t="shared" si="27"/>
        <v>#DIV/0!</v>
      </c>
      <c r="T35" s="8" t="e">
        <f t="shared" si="27"/>
        <v>#DIV/0!</v>
      </c>
      <c r="U35" s="8">
        <f t="shared" si="27"/>
        <v>0.49787535410764872</v>
      </c>
      <c r="V35" s="8">
        <f t="shared" si="27"/>
        <v>0.50360360360360357</v>
      </c>
      <c r="W35" s="8">
        <f t="shared" si="27"/>
        <v>0.48070266528210454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</row>
    <row r="36" spans="2:74" x14ac:dyDescent="0.2">
      <c r="B36" s="2" t="s">
        <v>45</v>
      </c>
      <c r="C36" s="8" t="e">
        <f>+C17/C8</f>
        <v>#DIV/0!</v>
      </c>
      <c r="D36" s="8" t="e">
        <f>+D17/D8</f>
        <v>#DIV/0!</v>
      </c>
      <c r="E36" s="8">
        <f>+E17/E8</f>
        <v>7.1178529754959155E-2</v>
      </c>
      <c r="F36" s="8" t="e">
        <f>+F17/F8</f>
        <v>#DIV/0!</v>
      </c>
      <c r="G36" s="8">
        <f>+G17/G8</f>
        <v>4.6211714132186998E-2</v>
      </c>
      <c r="H36" s="8">
        <f>+H17/H8</f>
        <v>0.11784841075794621</v>
      </c>
      <c r="I36" s="8">
        <f>+I17/I8</f>
        <v>0.13089731729879742</v>
      </c>
      <c r="J36" s="8" t="e">
        <f>+J17/J8</f>
        <v>#DIV/0!</v>
      </c>
      <c r="K36" s="8">
        <f>+K17/K8</f>
        <v>8.6016949152542377E-2</v>
      </c>
      <c r="L36" s="8">
        <f>+L17/L8</f>
        <v>0.1085820895522388</v>
      </c>
      <c r="M36" s="8" t="e">
        <f>+M17/M8</f>
        <v>#DIV/0!</v>
      </c>
      <c r="N36" s="8" t="e">
        <f>+N17/N8</f>
        <v>#DIV/0!</v>
      </c>
      <c r="O36" s="3"/>
      <c r="P36" s="3"/>
      <c r="Q36" s="8" t="e">
        <f t="shared" ref="Q36:W36" si="28">+Q17/Q8</f>
        <v>#DIV/0!</v>
      </c>
      <c r="R36" s="8" t="e">
        <f t="shared" si="28"/>
        <v>#DIV/0!</v>
      </c>
      <c r="S36" s="8" t="e">
        <f t="shared" si="28"/>
        <v>#DIV/0!</v>
      </c>
      <c r="T36" s="8" t="e">
        <f t="shared" si="28"/>
        <v>#DIV/0!</v>
      </c>
      <c r="U36" s="8">
        <f t="shared" si="28"/>
        <v>-0.2008498583569405</v>
      </c>
      <c r="V36" s="8">
        <f t="shared" si="28"/>
        <v>0.12105855855855856</v>
      </c>
      <c r="W36" s="8">
        <f t="shared" si="28"/>
        <v>0.12703357563170647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</row>
    <row r="37" spans="2:74" x14ac:dyDescent="0.2">
      <c r="B37" s="2" t="s">
        <v>46</v>
      </c>
      <c r="C37" s="8" t="e">
        <f t="shared" ref="C37:H37" si="29">+C22/C21</f>
        <v>#DIV/0!</v>
      </c>
      <c r="D37" s="8" t="e">
        <f t="shared" si="29"/>
        <v>#DIV/0!</v>
      </c>
      <c r="E37" s="8">
        <f t="shared" si="29"/>
        <v>1.3736263736263736E-2</v>
      </c>
      <c r="F37" s="8" t="e">
        <f t="shared" si="29"/>
        <v>#DIV/0!</v>
      </c>
      <c r="G37" s="8">
        <f t="shared" si="29"/>
        <v>-6.640625E-2</v>
      </c>
      <c r="H37" s="8">
        <f t="shared" si="29"/>
        <v>0.15763546798029557</v>
      </c>
      <c r="I37" s="8">
        <f>+I22/I21</f>
        <v>3.7209302325581395E-2</v>
      </c>
      <c r="J37" s="8" t="e">
        <f t="shared" ref="J37:N37" si="30">+J22/J21</f>
        <v>#DIV/0!</v>
      </c>
      <c r="K37" s="8">
        <f t="shared" si="30"/>
        <v>0.11253196930946291</v>
      </c>
      <c r="L37" s="8">
        <f t="shared" si="30"/>
        <v>0.1603336422613531</v>
      </c>
      <c r="M37" s="8" t="e">
        <f t="shared" si="30"/>
        <v>#DIV/0!</v>
      </c>
      <c r="N37" s="8" t="e">
        <f t="shared" si="30"/>
        <v>#DIV/0!</v>
      </c>
      <c r="O37" s="3"/>
      <c r="P37" s="3"/>
      <c r="Q37" s="8" t="e">
        <f t="shared" ref="Q37:W37" si="31">+Q22/Q21</f>
        <v>#DIV/0!</v>
      </c>
      <c r="R37" s="8" t="e">
        <f t="shared" si="31"/>
        <v>#DIV/0!</v>
      </c>
      <c r="S37" s="8" t="e">
        <f t="shared" si="31"/>
        <v>#DIV/0!</v>
      </c>
      <c r="T37" s="8" t="e">
        <f t="shared" si="31"/>
        <v>#DIV/0!</v>
      </c>
      <c r="U37" s="8">
        <f t="shared" si="31"/>
        <v>0.2864864864864865</v>
      </c>
      <c r="V37" s="8">
        <f t="shared" si="31"/>
        <v>9.380610412926392E-2</v>
      </c>
      <c r="W37" s="8">
        <f t="shared" si="31"/>
        <v>0.18422796554009277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</row>
    <row r="38" spans="2:74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</row>
    <row r="39" spans="2:74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</row>
    <row r="40" spans="2:74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</row>
    <row r="41" spans="2:74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</row>
    <row r="42" spans="2:74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</row>
    <row r="43" spans="2:74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2:74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</row>
    <row r="45" spans="2:74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</row>
    <row r="46" spans="2:74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</row>
    <row r="47" spans="2:74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</row>
    <row r="48" spans="2:74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</row>
    <row r="49" spans="3:74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</row>
    <row r="50" spans="3:74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</row>
    <row r="51" spans="3:74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</row>
    <row r="52" spans="3:74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</row>
    <row r="53" spans="3:74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</row>
    <row r="54" spans="3:74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</row>
    <row r="55" spans="3:74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</row>
    <row r="56" spans="3:74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</row>
    <row r="57" spans="3:74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</row>
    <row r="58" spans="3:74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</row>
    <row r="59" spans="3:74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</row>
    <row r="60" spans="3:74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</row>
    <row r="61" spans="3:74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</row>
    <row r="62" spans="3:74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</row>
    <row r="63" spans="3:74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</row>
    <row r="64" spans="3:74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</row>
    <row r="65" spans="3:74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</row>
    <row r="66" spans="3:74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</row>
    <row r="67" spans="3:74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</row>
    <row r="68" spans="3:74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</row>
    <row r="69" spans="3:74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</row>
    <row r="70" spans="3:74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</row>
    <row r="71" spans="3:74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</row>
    <row r="72" spans="3:74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</row>
    <row r="73" spans="3:74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</row>
    <row r="74" spans="3:74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</row>
    <row r="75" spans="3:74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</row>
    <row r="76" spans="3:74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</row>
    <row r="77" spans="3:74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</row>
    <row r="78" spans="3:74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</row>
    <row r="79" spans="3:74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</row>
    <row r="80" spans="3:74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</row>
    <row r="81" spans="3:74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</row>
    <row r="82" spans="3:74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</row>
    <row r="83" spans="3:74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</row>
    <row r="84" spans="3:74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</row>
    <row r="85" spans="3:74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</row>
    <row r="86" spans="3:74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</row>
    <row r="87" spans="3:74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</row>
    <row r="88" spans="3:74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</row>
    <row r="89" spans="3:74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</row>
    <row r="90" spans="3:74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</row>
    <row r="91" spans="3:74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</row>
    <row r="92" spans="3:74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</row>
    <row r="93" spans="3:74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</row>
    <row r="94" spans="3:74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</row>
    <row r="95" spans="3:74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</row>
    <row r="96" spans="3:74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</row>
    <row r="97" spans="3:74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</row>
    <row r="98" spans="3:74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</row>
    <row r="99" spans="3:74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</row>
    <row r="100" spans="3:74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</row>
    <row r="101" spans="3:74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</row>
    <row r="102" spans="3:74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</row>
    <row r="103" spans="3:74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</row>
    <row r="104" spans="3:74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</row>
    <row r="105" spans="3:74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</row>
    <row r="106" spans="3:74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</row>
    <row r="107" spans="3:74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</row>
    <row r="108" spans="3:74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</row>
    <row r="109" spans="3:74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</row>
    <row r="110" spans="3:74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</row>
    <row r="111" spans="3:74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</row>
    <row r="112" spans="3:74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</row>
    <row r="113" spans="3:74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</row>
    <row r="114" spans="3:74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</row>
    <row r="115" spans="3:74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</row>
    <row r="116" spans="3:74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</row>
    <row r="117" spans="3:74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</row>
    <row r="118" spans="3:74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</row>
    <row r="119" spans="3:74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</row>
    <row r="120" spans="3:74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</row>
    <row r="121" spans="3:74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</row>
    <row r="122" spans="3:74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</row>
    <row r="123" spans="3:74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</row>
    <row r="124" spans="3:74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</row>
    <row r="125" spans="3:74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</row>
    <row r="126" spans="3:74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</row>
    <row r="127" spans="3:74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</row>
    <row r="128" spans="3:74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</row>
    <row r="129" spans="3:74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</row>
    <row r="130" spans="3:74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</row>
    <row r="131" spans="3:74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</row>
    <row r="132" spans="3:74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</row>
    <row r="133" spans="3:74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</row>
    <row r="134" spans="3:74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</row>
    <row r="135" spans="3:74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</row>
    <row r="136" spans="3:74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</row>
    <row r="137" spans="3:74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</row>
    <row r="138" spans="3:74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</row>
    <row r="139" spans="3:74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</row>
    <row r="140" spans="3:74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</row>
    <row r="141" spans="3:74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</row>
    <row r="142" spans="3:74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</row>
    <row r="143" spans="3:74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</row>
    <row r="144" spans="3:74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</row>
    <row r="145" spans="3:74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</row>
    <row r="146" spans="3:74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</row>
    <row r="147" spans="3:74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</row>
    <row r="148" spans="3:74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</row>
    <row r="149" spans="3:74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</row>
    <row r="150" spans="3:74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</row>
    <row r="151" spans="3:74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</row>
    <row r="152" spans="3:74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</row>
    <row r="153" spans="3:74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</row>
    <row r="154" spans="3:74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</row>
    <row r="155" spans="3:74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</row>
    <row r="156" spans="3:74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</row>
    <row r="157" spans="3:74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</row>
    <row r="158" spans="3:74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</row>
    <row r="159" spans="3:74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</row>
    <row r="160" spans="3:74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</row>
    <row r="161" spans="3:74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</row>
    <row r="162" spans="3:74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</row>
    <row r="163" spans="3:74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</row>
    <row r="164" spans="3:74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</row>
    <row r="165" spans="3:74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</row>
    <row r="166" spans="3:74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</row>
    <row r="167" spans="3:74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</row>
    <row r="168" spans="3:74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</row>
    <row r="169" spans="3:74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</row>
    <row r="170" spans="3:74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</row>
    <row r="171" spans="3:74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</row>
    <row r="172" spans="3:74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</row>
    <row r="173" spans="3:74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</row>
    <row r="174" spans="3:74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</row>
    <row r="175" spans="3:74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</row>
    <row r="176" spans="3:74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</row>
    <row r="177" spans="3:74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</row>
    <row r="178" spans="3:74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</row>
    <row r="179" spans="3:74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</row>
    <row r="180" spans="3:74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</row>
    <row r="181" spans="3:74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</row>
    <row r="182" spans="3:74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</row>
    <row r="183" spans="3:74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</row>
    <row r="184" spans="3:74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</row>
    <row r="185" spans="3:74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</row>
    <row r="186" spans="3:74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</row>
    <row r="187" spans="3:74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</row>
    <row r="188" spans="3:74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</row>
    <row r="189" spans="3:74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</row>
    <row r="190" spans="3:74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</row>
    <row r="191" spans="3:74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</row>
    <row r="192" spans="3:74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</row>
    <row r="193" spans="3:74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</row>
    <row r="194" spans="3:74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</row>
    <row r="195" spans="3:74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</row>
    <row r="196" spans="3:74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</row>
    <row r="197" spans="3:74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</row>
    <row r="198" spans="3:74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</row>
    <row r="199" spans="3:74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</row>
    <row r="200" spans="3:74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</row>
    <row r="201" spans="3:74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</row>
    <row r="202" spans="3:74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</row>
    <row r="203" spans="3:74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</row>
    <row r="204" spans="3:74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</row>
    <row r="205" spans="3:74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</row>
    <row r="206" spans="3:74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</row>
    <row r="207" spans="3:74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</row>
    <row r="208" spans="3:74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</row>
    <row r="209" spans="3:74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</row>
    <row r="210" spans="3:74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</row>
    <row r="211" spans="3:74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</row>
    <row r="212" spans="3:74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</row>
    <row r="213" spans="3:74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</row>
    <row r="214" spans="3:74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</row>
    <row r="215" spans="3:74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</row>
    <row r="216" spans="3:74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</row>
    <row r="217" spans="3:74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</row>
    <row r="218" spans="3:74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</row>
    <row r="219" spans="3:74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</row>
    <row r="220" spans="3:74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</row>
    <row r="221" spans="3:74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</row>
    <row r="222" spans="3:74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</row>
    <row r="223" spans="3:74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</row>
    <row r="224" spans="3:74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</row>
    <row r="225" spans="3:74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</row>
    <row r="226" spans="3:74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</row>
    <row r="227" spans="3:74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</row>
    <row r="228" spans="3:74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</row>
    <row r="229" spans="3:74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</row>
    <row r="230" spans="3:74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</row>
    <row r="231" spans="3:74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</row>
    <row r="232" spans="3:74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</row>
    <row r="233" spans="3:74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</row>
    <row r="234" spans="3:74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</row>
    <row r="235" spans="3:74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</row>
    <row r="236" spans="3:74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</row>
    <row r="237" spans="3:74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</row>
    <row r="238" spans="3:74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</row>
    <row r="239" spans="3:74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</row>
    <row r="240" spans="3:74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</row>
    <row r="241" spans="3:74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</row>
    <row r="242" spans="3:74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</row>
    <row r="243" spans="3:74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</row>
    <row r="244" spans="3:74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</row>
    <row r="245" spans="3:74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</row>
    <row r="246" spans="3:74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</row>
    <row r="247" spans="3:74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</row>
    <row r="248" spans="3:74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</row>
    <row r="249" spans="3:74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</row>
    <row r="250" spans="3:74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</row>
    <row r="251" spans="3:74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</row>
  </sheetData>
  <hyperlinks>
    <hyperlink ref="A1" location="Main!A1" display="Main" xr:uid="{F8304804-F3E3-4EDA-A615-DDBE6EF75813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2025-02-09T12:50:31Z</dcterms:created>
  <dcterms:modified xsi:type="dcterms:W3CDTF">2026-03-19T16:51:32Z</dcterms:modified>
</cp:coreProperties>
</file>