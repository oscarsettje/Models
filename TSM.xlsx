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27DC2995-AEE2-4E43-B9DB-DA1A7ACCBE21}" xr6:coauthVersionLast="47" xr6:coauthVersionMax="47" xr10:uidLastSave="{00000000-0000-0000-0000-000000000000}"/>
  <bookViews>
    <workbookView xWindow="19095" yWindow="0" windowWidth="19410" windowHeight="20925" activeTab="1" xr2:uid="{D45F948B-0237-4CD1-A538-BE8EB16D26F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2" l="1"/>
  <c r="P14" i="2"/>
  <c r="P13" i="2"/>
  <c r="P12" i="2"/>
  <c r="P11" i="2"/>
  <c r="P10" i="2"/>
  <c r="P9" i="2"/>
  <c r="P8" i="2"/>
  <c r="P7" i="2"/>
  <c r="P6" i="2"/>
  <c r="P5" i="2"/>
  <c r="H6" i="1"/>
  <c r="H5" i="1"/>
  <c r="P35" i="2"/>
  <c r="P18" i="2"/>
  <c r="P36" i="2" s="1"/>
  <c r="O15" i="2"/>
  <c r="O14" i="2"/>
  <c r="O13" i="2"/>
  <c r="O12" i="2"/>
  <c r="O11" i="2"/>
  <c r="O10" i="2"/>
  <c r="O8" i="2"/>
  <c r="O7" i="2"/>
  <c r="O6" i="2"/>
  <c r="O9" i="2" s="1"/>
  <c r="O35" i="2"/>
  <c r="O18" i="2"/>
  <c r="O36" i="2" s="1"/>
  <c r="H15" i="2"/>
  <c r="H14" i="2"/>
  <c r="H13" i="2"/>
  <c r="H12" i="2"/>
  <c r="H11" i="2"/>
  <c r="H10" i="2"/>
  <c r="H8" i="2"/>
  <c r="H7" i="2"/>
  <c r="H6" i="2"/>
  <c r="H9" i="2" s="1"/>
  <c r="G14" i="2"/>
  <c r="G13" i="2"/>
  <c r="G12" i="2"/>
  <c r="G11" i="2"/>
  <c r="G10" i="2"/>
  <c r="G8" i="2"/>
  <c r="G7" i="2"/>
  <c r="G6" i="2"/>
  <c r="G9" i="2" s="1"/>
  <c r="K14" i="2"/>
  <c r="K13" i="2"/>
  <c r="K12" i="2"/>
  <c r="K11" i="2"/>
  <c r="K10" i="2"/>
  <c r="K8" i="2"/>
  <c r="K7" i="2"/>
  <c r="K6" i="2"/>
  <c r="J13" i="2"/>
  <c r="J11" i="2"/>
  <c r="J10" i="2"/>
  <c r="J8" i="2"/>
  <c r="J7" i="2"/>
  <c r="J6" i="2"/>
  <c r="J15" i="2"/>
  <c r="J14" i="2"/>
  <c r="J12" i="2"/>
  <c r="J9" i="2"/>
  <c r="N15" i="2"/>
  <c r="N14" i="2"/>
  <c r="N13" i="2"/>
  <c r="N12" i="2"/>
  <c r="N11" i="2"/>
  <c r="N10" i="2"/>
  <c r="N8" i="2"/>
  <c r="N7" i="2"/>
  <c r="N6" i="2"/>
  <c r="N35" i="2"/>
  <c r="N18" i="2"/>
  <c r="N36" i="2" s="1"/>
  <c r="I15" i="2"/>
  <c r="I14" i="2"/>
  <c r="I13" i="2"/>
  <c r="I12" i="2"/>
  <c r="I11" i="2"/>
  <c r="I10" i="2"/>
  <c r="I8" i="2"/>
  <c r="I7" i="2"/>
  <c r="I6" i="2"/>
  <c r="I9" i="2" s="1"/>
  <c r="M15" i="2"/>
  <c r="M14" i="2"/>
  <c r="M13" i="2"/>
  <c r="M12" i="2"/>
  <c r="M11" i="2"/>
  <c r="M10" i="2"/>
  <c r="M8" i="2"/>
  <c r="M7" i="2"/>
  <c r="M6" i="2"/>
  <c r="M35" i="2"/>
  <c r="M18" i="2"/>
  <c r="M36" i="2" s="1"/>
  <c r="L35" i="2"/>
  <c r="L18" i="2"/>
  <c r="L22" i="2" s="1"/>
  <c r="J35" i="2"/>
  <c r="I35" i="2"/>
  <c r="H35" i="2"/>
  <c r="G35" i="2"/>
  <c r="K35" i="2"/>
  <c r="K18" i="2"/>
  <c r="K36" i="2" s="1"/>
  <c r="J18" i="2"/>
  <c r="J36" i="2" s="1"/>
  <c r="H18" i="2"/>
  <c r="H36" i="2" s="1"/>
  <c r="G18" i="2"/>
  <c r="G36" i="2" s="1"/>
  <c r="F18" i="2"/>
  <c r="F36" i="2" s="1"/>
  <c r="E18" i="2"/>
  <c r="E36" i="2" s="1"/>
  <c r="D18" i="2"/>
  <c r="D36" i="2" s="1"/>
  <c r="C18" i="2"/>
  <c r="C36" i="2" s="1"/>
  <c r="I18" i="2"/>
  <c r="I22" i="2" s="1"/>
  <c r="I26" i="2" s="1"/>
  <c r="I38" i="2" s="1"/>
  <c r="E22" i="2"/>
  <c r="E26" i="2" s="1"/>
  <c r="E28" i="2" s="1"/>
  <c r="E30" i="2" s="1"/>
  <c r="E32" i="2" s="1"/>
  <c r="D22" i="2"/>
  <c r="D26" i="2" s="1"/>
  <c r="D28" i="2" s="1"/>
  <c r="D30" i="2" s="1"/>
  <c r="D32" i="2" s="1"/>
  <c r="C22" i="2"/>
  <c r="C26" i="2" s="1"/>
  <c r="C28" i="2" s="1"/>
  <c r="C30" i="2" s="1"/>
  <c r="C32" i="2" s="1"/>
  <c r="H4" i="1"/>
  <c r="P22" i="2" l="1"/>
  <c r="O22" i="2"/>
  <c r="M9" i="2"/>
  <c r="K9" i="2"/>
  <c r="K15" i="2"/>
  <c r="N9" i="2"/>
  <c r="N22" i="2"/>
  <c r="M22" i="2"/>
  <c r="G15" i="2"/>
  <c r="F22" i="2"/>
  <c r="F26" i="2" s="1"/>
  <c r="F28" i="2" s="1"/>
  <c r="F30" i="2" s="1"/>
  <c r="F32" i="2" s="1"/>
  <c r="G22" i="2"/>
  <c r="G26" i="2" s="1"/>
  <c r="G28" i="2" s="1"/>
  <c r="G30" i="2" s="1"/>
  <c r="G32" i="2" s="1"/>
  <c r="H22" i="2"/>
  <c r="H37" i="2" s="1"/>
  <c r="J22" i="2"/>
  <c r="J26" i="2" s="1"/>
  <c r="J28" i="2" s="1"/>
  <c r="J30" i="2" s="1"/>
  <c r="J32" i="2" s="1"/>
  <c r="I37" i="2"/>
  <c r="K22" i="2"/>
  <c r="K37" i="2" s="1"/>
  <c r="I36" i="2"/>
  <c r="L36" i="2"/>
  <c r="L26" i="2"/>
  <c r="L37" i="2"/>
  <c r="C37" i="2"/>
  <c r="D37" i="2"/>
  <c r="E37" i="2"/>
  <c r="C38" i="2"/>
  <c r="D38" i="2"/>
  <c r="E38" i="2"/>
  <c r="H7" i="1"/>
  <c r="I28" i="2"/>
  <c r="I30" i="2" s="1"/>
  <c r="I32" i="2" s="1"/>
  <c r="P37" i="2" l="1"/>
  <c r="P26" i="2"/>
  <c r="O37" i="2"/>
  <c r="O26" i="2"/>
  <c r="M37" i="2"/>
  <c r="M26" i="2"/>
  <c r="N37" i="2"/>
  <c r="N26" i="2"/>
  <c r="J38" i="2"/>
  <c r="J37" i="2"/>
  <c r="H26" i="2"/>
  <c r="H28" i="2" s="1"/>
  <c r="H30" i="2" s="1"/>
  <c r="H32" i="2" s="1"/>
  <c r="G38" i="2"/>
  <c r="G37" i="2"/>
  <c r="F38" i="2"/>
  <c r="F37" i="2"/>
  <c r="K26" i="2"/>
  <c r="K38" i="2" s="1"/>
  <c r="L28" i="2"/>
  <c r="L30" i="2" s="1"/>
  <c r="L32" i="2" s="1"/>
  <c r="L38" i="2"/>
  <c r="P38" i="2" l="1"/>
  <c r="P28" i="2"/>
  <c r="P30" i="2" s="1"/>
  <c r="P32" i="2" s="1"/>
  <c r="O38" i="2"/>
  <c r="O28" i="2"/>
  <c r="O30" i="2" s="1"/>
  <c r="O32" i="2" s="1"/>
  <c r="N38" i="2"/>
  <c r="N28" i="2"/>
  <c r="N30" i="2" s="1"/>
  <c r="N32" i="2" s="1"/>
  <c r="M38" i="2"/>
  <c r="M28" i="2"/>
  <c r="M30" i="2" s="1"/>
  <c r="M32" i="2" s="1"/>
  <c r="H38" i="2"/>
  <c r="K28" i="2"/>
  <c r="K30" i="2" s="1"/>
  <c r="K3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tc={31F13264-8860-40C3-B9B7-A601213B1A4E}</author>
  </authors>
  <commentList>
    <comment ref="B3" authorId="0" shapeId="0" xr:uid="{31F13264-8860-40C3-B9B7-A601213B1A4E}">
      <text>
        <t>[Threaded comment]
Your version of Excel allows you to read this threaded comment; however, any edits to it will get removed if the file is opened in a newer version of Excel. Learn more: https://go.microsoft.com/fwlink/?linkid=870924
Comment:
    In kpcs 12 inch-equiv</t>
      </text>
    </comment>
  </commentList>
</comments>
</file>

<file path=xl/sharedStrings.xml><?xml version="1.0" encoding="utf-8"?>
<sst xmlns="http://schemas.openxmlformats.org/spreadsheetml/2006/main" count="74" uniqueCount="68">
  <si>
    <t>TSMC</t>
  </si>
  <si>
    <t>IR</t>
  </si>
  <si>
    <t>Price</t>
  </si>
  <si>
    <t>Shares</t>
  </si>
  <si>
    <t>MC</t>
  </si>
  <si>
    <t>Cash</t>
  </si>
  <si>
    <t>Debt</t>
  </si>
  <si>
    <t>EV</t>
  </si>
  <si>
    <t>Q324</t>
  </si>
  <si>
    <t>numbers in mio NT</t>
  </si>
  <si>
    <t>Main</t>
  </si>
  <si>
    <t>Q123</t>
  </si>
  <si>
    <t>Q223</t>
  </si>
  <si>
    <t>Q323</t>
  </si>
  <si>
    <t>Q423</t>
  </si>
  <si>
    <t>Q124</t>
  </si>
  <si>
    <t>Q224</t>
  </si>
  <si>
    <t>Q424</t>
  </si>
  <si>
    <t>Revenue</t>
  </si>
  <si>
    <t>Cost of Revenue</t>
  </si>
  <si>
    <t>Gross Profit</t>
  </si>
  <si>
    <t>R&amp;D</t>
  </si>
  <si>
    <t>SGA</t>
  </si>
  <si>
    <t>Operating Income</t>
  </si>
  <si>
    <t>Other</t>
  </si>
  <si>
    <t>Net Income to Company</t>
  </si>
  <si>
    <t>Minorities</t>
  </si>
  <si>
    <t>Profits from Associates</t>
  </si>
  <si>
    <t>Net Interest Income</t>
  </si>
  <si>
    <t>Pretax Income</t>
  </si>
  <si>
    <t>Tax Expense</t>
  </si>
  <si>
    <t>Net Income</t>
  </si>
  <si>
    <t>EPS</t>
  </si>
  <si>
    <t>Revenue Growth</t>
  </si>
  <si>
    <t xml:space="preserve">Gross Margin </t>
  </si>
  <si>
    <t xml:space="preserve">Operating Margin </t>
  </si>
  <si>
    <t>Tax Rate</t>
  </si>
  <si>
    <t>Q125</t>
  </si>
  <si>
    <t>Q225</t>
  </si>
  <si>
    <t>Q325</t>
  </si>
  <si>
    <t>Q425</t>
  </si>
  <si>
    <t>FY18</t>
  </si>
  <si>
    <t>FY19</t>
  </si>
  <si>
    <t>FY20</t>
  </si>
  <si>
    <t>FY21</t>
  </si>
  <si>
    <t>FY22</t>
  </si>
  <si>
    <t>FY23</t>
  </si>
  <si>
    <t>FY24</t>
  </si>
  <si>
    <t>Notes</t>
  </si>
  <si>
    <t>Q3 Guidance: 31.8 b. $ to 33.0</t>
  </si>
  <si>
    <t>GM: 55.5%-57.5%, Operating Margin: 45.5% - 47.5%</t>
  </si>
  <si>
    <t>5nm</t>
  </si>
  <si>
    <t>3nm</t>
  </si>
  <si>
    <t>7nm</t>
  </si>
  <si>
    <t xml:space="preserve">Other </t>
  </si>
  <si>
    <t>HPC</t>
  </si>
  <si>
    <t>Smarphones</t>
  </si>
  <si>
    <t>IoT</t>
  </si>
  <si>
    <t>Automotive</t>
  </si>
  <si>
    <t>DCE</t>
  </si>
  <si>
    <t>2330.TW</t>
  </si>
  <si>
    <t>FY25</t>
  </si>
  <si>
    <t>Q126</t>
  </si>
  <si>
    <t>Q226</t>
  </si>
  <si>
    <t>Q326</t>
  </si>
  <si>
    <t>Q426</t>
  </si>
  <si>
    <t>Wafer Shipments</t>
  </si>
  <si>
    <t>2nm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</si>
</sst>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;\(#,##0\)"/>
  </numFmts>
  <fonts count="1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8" fillId="0" borderId="0" xfId="0" applyFont="1"/>
    <xf numFmtId="0" fontId="5" fillId="0" borderId="0" xfId="0" applyFont="1"/>
    <xf numFmtId="164" fontId="5" fillId="0" borderId="0" xfId="0" applyNumberFormat="1" applyFont="1"/>
    <xf numFmtId="3" fontId="5" fillId="0" borderId="0" xfId="0" applyNumberFormat="1" applyFont="1"/>
    <xf numFmtId="0" fontId="5" fillId="0" borderId="0" xfId="0" applyFont="1" applyAlignment="1">
      <alignment horizontal="right"/>
    </xf>
    <xf numFmtId="0" fontId="9" fillId="0" borderId="0" xfId="2" applyFont="1"/>
    <xf numFmtId="0" fontId="10" fillId="0" borderId="0" xfId="0" applyFont="1"/>
    <xf numFmtId="165" fontId="5" fillId="0" borderId="0" xfId="0" applyNumberFormat="1" applyFont="1"/>
    <xf numFmtId="0" fontId="5" fillId="0" borderId="0" xfId="0" applyFont="1" applyAlignment="1">
      <alignment horizontal="left"/>
    </xf>
    <xf numFmtId="165" fontId="8" fillId="0" borderId="0" xfId="0" applyNumberFormat="1" applyFont="1"/>
    <xf numFmtId="4" fontId="5" fillId="0" borderId="0" xfId="0" applyNumberFormat="1" applyFont="1"/>
    <xf numFmtId="9" fontId="8" fillId="0" borderId="0" xfId="1" applyFont="1"/>
    <xf numFmtId="9" fontId="5" fillId="0" borderId="0" xfId="1" applyFont="1"/>
    <xf numFmtId="0" fontId="4" fillId="0" borderId="0" xfId="0" applyFont="1"/>
    <xf numFmtId="0" fontId="3" fillId="0" borderId="0" xfId="0" applyFont="1" applyAlignment="1">
      <alignment horizontal="right"/>
    </xf>
    <xf numFmtId="165" fontId="3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A9E0310D-62AC-480D-B3B6-1F400CE316BD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7-18T09:54:57.89" personId="{A9E0310D-62AC-480D-B3B6-1F400CE316BD}" id="{31F13264-8860-40C3-B9B7-A601213B1A4E}">
    <text>In kpcs 12 inch-equiv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or.tsmc.com/english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7962-9660-4B8C-96C2-5E923C455073}">
  <dimension ref="A1:I12"/>
  <sheetViews>
    <sheetView zoomScale="200" zoomScaleNormal="200" workbookViewId="0">
      <selection activeCell="I5" sqref="I5:I6"/>
    </sheetView>
  </sheetViews>
  <sheetFormatPr defaultRowHeight="12.75" x14ac:dyDescent="0.2"/>
  <cols>
    <col min="1" max="1" width="4" style="2" customWidth="1"/>
    <col min="2" max="7" width="9.140625" style="2"/>
    <col min="8" max="8" width="11.28515625" style="2" bestFit="1" customWidth="1"/>
    <col min="9" max="16384" width="9.140625" style="2"/>
  </cols>
  <sheetData>
    <row r="1" spans="1:9" x14ac:dyDescent="0.2">
      <c r="A1" s="1" t="s">
        <v>0</v>
      </c>
    </row>
    <row r="2" spans="1:9" x14ac:dyDescent="0.2">
      <c r="A2" s="2" t="s">
        <v>9</v>
      </c>
      <c r="G2" s="2" t="s">
        <v>2</v>
      </c>
      <c r="H2" s="3">
        <v>2290</v>
      </c>
    </row>
    <row r="3" spans="1:9" x14ac:dyDescent="0.2">
      <c r="G3" s="2" t="s">
        <v>3</v>
      </c>
      <c r="H3" s="4">
        <v>25932</v>
      </c>
      <c r="I3" s="19" t="s">
        <v>63</v>
      </c>
    </row>
    <row r="4" spans="1:9" x14ac:dyDescent="0.2">
      <c r="B4" s="14" t="s">
        <v>60</v>
      </c>
      <c r="G4" s="2" t="s">
        <v>4</v>
      </c>
      <c r="H4" s="4">
        <f>+H2*H3</f>
        <v>59384280</v>
      </c>
    </row>
    <row r="5" spans="1:9" x14ac:dyDescent="0.2">
      <c r="B5" s="6" t="s">
        <v>1</v>
      </c>
      <c r="G5" s="2" t="s">
        <v>5</v>
      </c>
      <c r="H5" s="4">
        <f>3134218+383795</f>
        <v>3518013</v>
      </c>
      <c r="I5" s="19" t="s">
        <v>63</v>
      </c>
    </row>
    <row r="6" spans="1:9" x14ac:dyDescent="0.2">
      <c r="G6" s="2" t="s">
        <v>6</v>
      </c>
      <c r="H6" s="4">
        <f>167410+815037</f>
        <v>982447</v>
      </c>
      <c r="I6" s="19" t="s">
        <v>63</v>
      </c>
    </row>
    <row r="7" spans="1:9" x14ac:dyDescent="0.2">
      <c r="G7" s="2" t="s">
        <v>7</v>
      </c>
      <c r="H7" s="4">
        <f>+H4-H5+H6</f>
        <v>56848714</v>
      </c>
    </row>
    <row r="10" spans="1:9" x14ac:dyDescent="0.2">
      <c r="B10" s="7" t="s">
        <v>48</v>
      </c>
    </row>
    <row r="11" spans="1:9" x14ac:dyDescent="0.2">
      <c r="B11" s="2" t="s">
        <v>49</v>
      </c>
    </row>
    <row r="12" spans="1:9" x14ac:dyDescent="0.2">
      <c r="B12" s="2" t="s">
        <v>50</v>
      </c>
    </row>
  </sheetData>
  <hyperlinks>
    <hyperlink ref="B5" r:id="rId1" xr:uid="{629C9663-51E8-47DD-BE90-9816C1869B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49646-B538-4C8E-8557-B9FADF837D81}">
  <dimension ref="A1:BA201"/>
  <sheetViews>
    <sheetView tabSelected="1" zoomScale="200" zoomScaleNormal="200" workbookViewId="0">
      <pane xSplit="2" ySplit="2" topLeftCell="K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RowHeight="12.75" x14ac:dyDescent="0.2"/>
  <cols>
    <col min="1" max="1" width="4.42578125" style="2" customWidth="1"/>
    <col min="2" max="2" width="21.7109375" style="2" customWidth="1"/>
    <col min="3" max="13" width="9.140625" style="2"/>
    <col min="14" max="14" width="9.5703125" style="2" bestFit="1" customWidth="1"/>
    <col min="15" max="18" width="9.5703125" style="2" customWidth="1"/>
    <col min="19" max="16384" width="9.140625" style="2"/>
  </cols>
  <sheetData>
    <row r="1" spans="1:53" x14ac:dyDescent="0.2">
      <c r="A1" s="6" t="s">
        <v>10</v>
      </c>
    </row>
    <row r="2" spans="1:53" x14ac:dyDescent="0.2"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8</v>
      </c>
      <c r="J2" s="5" t="s">
        <v>17</v>
      </c>
      <c r="K2" s="5" t="s">
        <v>37</v>
      </c>
      <c r="L2" s="5" t="s">
        <v>38</v>
      </c>
      <c r="M2" s="5" t="s">
        <v>39</v>
      </c>
      <c r="N2" s="5" t="s">
        <v>40</v>
      </c>
      <c r="O2" s="17" t="s">
        <v>62</v>
      </c>
      <c r="P2" s="17" t="s">
        <v>63</v>
      </c>
      <c r="Q2" s="17" t="s">
        <v>64</v>
      </c>
      <c r="R2" s="17" t="s">
        <v>65</v>
      </c>
      <c r="T2" s="5" t="s">
        <v>41</v>
      </c>
      <c r="U2" s="5" t="s">
        <v>42</v>
      </c>
      <c r="V2" s="5" t="s">
        <v>43</v>
      </c>
      <c r="W2" s="5" t="s">
        <v>44</v>
      </c>
      <c r="X2" s="5" t="s">
        <v>45</v>
      </c>
      <c r="Y2" s="5" t="s">
        <v>46</v>
      </c>
      <c r="Z2" s="5" t="s">
        <v>47</v>
      </c>
      <c r="AA2" s="15" t="s">
        <v>61</v>
      </c>
    </row>
    <row r="3" spans="1:53" x14ac:dyDescent="0.2">
      <c r="B3" s="18" t="s">
        <v>66</v>
      </c>
      <c r="C3" s="8"/>
      <c r="D3" s="8"/>
      <c r="E3" s="8"/>
      <c r="F3" s="8"/>
      <c r="G3" s="8"/>
      <c r="H3" s="8"/>
      <c r="I3" s="8"/>
      <c r="J3" s="8"/>
      <c r="K3" s="8">
        <v>3259</v>
      </c>
      <c r="L3" s="8"/>
      <c r="M3" s="8"/>
      <c r="N3" s="8">
        <v>3961</v>
      </c>
      <c r="O3" s="8">
        <v>4174</v>
      </c>
      <c r="P3" s="8">
        <v>4336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</row>
    <row r="4" spans="1:53" x14ac:dyDescent="0.2">
      <c r="B4" s="1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</row>
    <row r="5" spans="1:53" x14ac:dyDescent="0.2">
      <c r="B5" s="20" t="s">
        <v>67</v>
      </c>
      <c r="C5" s="8"/>
      <c r="D5" s="8"/>
      <c r="E5" s="8"/>
      <c r="F5" s="8"/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f>3%*P16</f>
        <v>38111.43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</row>
    <row r="6" spans="1:53" x14ac:dyDescent="0.2">
      <c r="B6" s="2" t="s">
        <v>52</v>
      </c>
      <c r="C6" s="8"/>
      <c r="D6" s="8"/>
      <c r="E6" s="8"/>
      <c r="F6" s="8"/>
      <c r="G6" s="16">
        <f>9%*G16</f>
        <v>53337.96</v>
      </c>
      <c r="H6" s="16">
        <f>15%*H16</f>
        <v>101026.5</v>
      </c>
      <c r="I6" s="8">
        <f>20%*I16</f>
        <v>151938.4</v>
      </c>
      <c r="J6" s="8">
        <f>26%*J16</f>
        <v>225799.86000000002</v>
      </c>
      <c r="K6" s="8">
        <f>22%*K16</f>
        <v>184635.88</v>
      </c>
      <c r="L6" s="8">
        <v>224110.07999999999</v>
      </c>
      <c r="M6" s="8">
        <f>23%*M16</f>
        <v>227681.14</v>
      </c>
      <c r="N6" s="8">
        <f>28%*N16</f>
        <v>292905.2</v>
      </c>
      <c r="O6" s="8">
        <f>25%*O16</f>
        <v>283525.75</v>
      </c>
      <c r="P6" s="8">
        <f>30%*P16</f>
        <v>381114.3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x14ac:dyDescent="0.2">
      <c r="B7" s="9" t="s">
        <v>51</v>
      </c>
      <c r="C7" s="8"/>
      <c r="D7" s="8"/>
      <c r="E7" s="8"/>
      <c r="F7" s="8"/>
      <c r="G7" s="8">
        <f>37%*G16</f>
        <v>219278.28</v>
      </c>
      <c r="H7" s="8">
        <f>35%*H16</f>
        <v>235728.49999999997</v>
      </c>
      <c r="I7" s="8">
        <f>32%*I16</f>
        <v>243101.44</v>
      </c>
      <c r="J7" s="8">
        <f>34%*J16</f>
        <v>295276.74000000005</v>
      </c>
      <c r="K7" s="8">
        <f>36%*K16</f>
        <v>302131.44</v>
      </c>
      <c r="L7" s="8">
        <v>336165.12</v>
      </c>
      <c r="M7" s="8">
        <f>37%*M16</f>
        <v>366269.66</v>
      </c>
      <c r="N7" s="8">
        <f>35%*N16</f>
        <v>366131.5</v>
      </c>
      <c r="O7" s="8">
        <f>36%*O16</f>
        <v>408277.07999999996</v>
      </c>
      <c r="P7" s="8">
        <f>33%*P16</f>
        <v>419225.73000000004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x14ac:dyDescent="0.2">
      <c r="B8" s="2" t="s">
        <v>53</v>
      </c>
      <c r="C8" s="8"/>
      <c r="D8" s="8"/>
      <c r="E8" s="8"/>
      <c r="F8" s="8"/>
      <c r="G8" s="8">
        <f>19%*G16</f>
        <v>112602.36</v>
      </c>
      <c r="H8" s="8">
        <f>17%*H16</f>
        <v>114496.70000000001</v>
      </c>
      <c r="I8" s="8">
        <f>17%*I16</f>
        <v>129147.64000000001</v>
      </c>
      <c r="J8" s="8">
        <f>14%*J16</f>
        <v>121584.54000000001</v>
      </c>
      <c r="K8" s="8">
        <f>15%*K16</f>
        <v>125888.09999999999</v>
      </c>
      <c r="L8" s="8">
        <v>130730.88000000002</v>
      </c>
      <c r="M8" s="8">
        <f>14%*M16</f>
        <v>138588.52000000002</v>
      </c>
      <c r="N8" s="8">
        <f>14%*N16</f>
        <v>146452.6</v>
      </c>
      <c r="O8" s="8">
        <f>13%*O16</f>
        <v>147433.39000000001</v>
      </c>
      <c r="P8" s="8">
        <f>11%*P16</f>
        <v>139741.91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x14ac:dyDescent="0.2">
      <c r="B9" s="2" t="s">
        <v>54</v>
      </c>
      <c r="C9" s="8"/>
      <c r="D9" s="8"/>
      <c r="E9" s="8"/>
      <c r="F9" s="8"/>
      <c r="G9" s="8">
        <f>+G16-SUM(G6:G8)</f>
        <v>207425.40000000002</v>
      </c>
      <c r="H9" s="8">
        <f>+H16-SUM(H6:H8)</f>
        <v>222258.3</v>
      </c>
      <c r="I9" s="8">
        <f>+I16-SUM(I6:I8)</f>
        <v>235504.52000000002</v>
      </c>
      <c r="J9" s="8">
        <f>+J16-SUM(J6:J8)</f>
        <v>225799.85999999987</v>
      </c>
      <c r="K9" s="8">
        <f>+K16-SUM(K6:K8)</f>
        <v>226598.57999999996</v>
      </c>
      <c r="L9" s="8">
        <v>242785.92000000004</v>
      </c>
      <c r="M9" s="8">
        <f>+M16-SUM(M6:M8)</f>
        <v>257378.67999999993</v>
      </c>
      <c r="N9" s="8">
        <f>+N16-SUM(N6:N8)</f>
        <v>240600.70000000007</v>
      </c>
      <c r="O9" s="8">
        <f>+O16-SUM(O6:O8)</f>
        <v>294866.78000000003</v>
      </c>
      <c r="P9" s="8">
        <f>+P16-SUM(P5:P8)</f>
        <v>292187.63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x14ac:dyDescent="0.2">
      <c r="B10" s="2" t="s">
        <v>55</v>
      </c>
      <c r="C10" s="8"/>
      <c r="D10" s="8"/>
      <c r="E10" s="8"/>
      <c r="F10" s="8"/>
      <c r="G10" s="8">
        <f>46%*G16</f>
        <v>272616.24</v>
      </c>
      <c r="H10" s="8">
        <f>52%*H16</f>
        <v>350225.2</v>
      </c>
      <c r="I10" s="8">
        <f>51%*I16</f>
        <v>387442.92</v>
      </c>
      <c r="J10" s="8">
        <f>53%*J16</f>
        <v>460284.33</v>
      </c>
      <c r="K10" s="8">
        <f>59%*K16</f>
        <v>495159.86</v>
      </c>
      <c r="L10" s="8">
        <v>560275.19999999995</v>
      </c>
      <c r="M10" s="8">
        <f>57%*M16</f>
        <v>564253.26</v>
      </c>
      <c r="N10" s="8">
        <f>55%*N16</f>
        <v>575349.5</v>
      </c>
      <c r="O10" s="8">
        <f>61%*O16</f>
        <v>691802.83</v>
      </c>
      <c r="P10" s="8">
        <f>66%*P16</f>
        <v>838451.46000000008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x14ac:dyDescent="0.2">
      <c r="B11" s="2" t="s">
        <v>56</v>
      </c>
      <c r="C11" s="8"/>
      <c r="D11" s="8"/>
      <c r="E11" s="8"/>
      <c r="F11" s="8"/>
      <c r="G11" s="8">
        <f>38%*G16</f>
        <v>225204.72</v>
      </c>
      <c r="H11" s="8">
        <f>33%*H16</f>
        <v>222258.30000000002</v>
      </c>
      <c r="I11" s="8">
        <f>34%*I16</f>
        <v>258295.28000000003</v>
      </c>
      <c r="J11" s="8">
        <f>35%*J16</f>
        <v>303961.34999999998</v>
      </c>
      <c r="K11" s="8">
        <f>28%*K16</f>
        <v>234991.12000000002</v>
      </c>
      <c r="L11" s="8">
        <v>252123.84000000003</v>
      </c>
      <c r="M11" s="8">
        <f>30%*M16</f>
        <v>296975.39999999997</v>
      </c>
      <c r="N11" s="8">
        <f>32%*N16</f>
        <v>334748.79999999999</v>
      </c>
      <c r="O11" s="8">
        <f>26%*O16</f>
        <v>294866.78000000003</v>
      </c>
      <c r="P11" s="8">
        <f>22%*P16</f>
        <v>279483.82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x14ac:dyDescent="0.2">
      <c r="B12" s="2" t="s">
        <v>57</v>
      </c>
      <c r="C12" s="8"/>
      <c r="D12" s="8"/>
      <c r="E12" s="8"/>
      <c r="F12" s="8"/>
      <c r="G12" s="8">
        <f>6%*G16</f>
        <v>35558.639999999999</v>
      </c>
      <c r="H12" s="8">
        <f>6%*H16</f>
        <v>40410.6</v>
      </c>
      <c r="I12" s="8">
        <f>7%*I16</f>
        <v>53178.44</v>
      </c>
      <c r="J12" s="8">
        <f>5%*J16</f>
        <v>43423.05</v>
      </c>
      <c r="K12" s="8">
        <f>5%*K16</f>
        <v>41962.700000000004</v>
      </c>
      <c r="L12" s="8">
        <v>46689.600000000006</v>
      </c>
      <c r="M12" s="8">
        <f>5%*M16</f>
        <v>49495.9</v>
      </c>
      <c r="N12" s="8">
        <f>5%*N16</f>
        <v>52304.5</v>
      </c>
      <c r="O12" s="8">
        <f>6%*O16</f>
        <v>68046.179999999993</v>
      </c>
      <c r="P12" s="8">
        <f>5%*P16</f>
        <v>63519.05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x14ac:dyDescent="0.2">
      <c r="B13" s="2" t="s">
        <v>58</v>
      </c>
      <c r="C13" s="8"/>
      <c r="D13" s="8"/>
      <c r="E13" s="8"/>
      <c r="F13" s="8"/>
      <c r="G13" s="8">
        <f>2%*G16</f>
        <v>11852.880000000001</v>
      </c>
      <c r="H13" s="8">
        <f>5%*H16</f>
        <v>33675.5</v>
      </c>
      <c r="I13" s="8">
        <f>5%*I16</f>
        <v>37984.6</v>
      </c>
      <c r="J13" s="8">
        <f>4%*J16</f>
        <v>34738.44</v>
      </c>
      <c r="K13" s="8">
        <f>1%*K16</f>
        <v>8392.5400000000009</v>
      </c>
      <c r="L13" s="8">
        <v>46689.600000000006</v>
      </c>
      <c r="M13" s="8">
        <f>5%*M16</f>
        <v>49495.9</v>
      </c>
      <c r="N13" s="8">
        <f>5%*N16</f>
        <v>52304.5</v>
      </c>
      <c r="O13" s="8">
        <f>4%*O16</f>
        <v>45364.12</v>
      </c>
      <c r="P13" s="8">
        <f>5%*P16</f>
        <v>63519.05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x14ac:dyDescent="0.2">
      <c r="B14" s="2" t="s">
        <v>59</v>
      </c>
      <c r="C14" s="8"/>
      <c r="D14" s="8"/>
      <c r="E14" s="8"/>
      <c r="F14" s="8"/>
      <c r="G14" s="8">
        <f>2%*G16</f>
        <v>11852.880000000001</v>
      </c>
      <c r="H14" s="8">
        <f>2%*H16</f>
        <v>13470.2</v>
      </c>
      <c r="I14" s="8">
        <f>1%*I16</f>
        <v>7596.92</v>
      </c>
      <c r="J14" s="8">
        <f>1%*J16</f>
        <v>8684.61</v>
      </c>
      <c r="K14" s="8">
        <f>2%*K16</f>
        <v>16785.080000000002</v>
      </c>
      <c r="L14" s="8">
        <v>9337.92</v>
      </c>
      <c r="M14" s="8">
        <f>1%*M16</f>
        <v>9899.18</v>
      </c>
      <c r="N14" s="8">
        <f>1%*N16</f>
        <v>10460.9</v>
      </c>
      <c r="O14" s="8">
        <f>1%*O16</f>
        <v>11341.03</v>
      </c>
      <c r="P14" s="8">
        <f>1%*P16</f>
        <v>12703.81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x14ac:dyDescent="0.2">
      <c r="B15" s="2" t="s">
        <v>24</v>
      </c>
      <c r="C15" s="8"/>
      <c r="D15" s="8"/>
      <c r="E15" s="8"/>
      <c r="F15" s="8"/>
      <c r="G15" s="8">
        <f>+G16-SUM(G10:G14)</f>
        <v>35558.640000000014</v>
      </c>
      <c r="H15" s="8">
        <f>2%*H16</f>
        <v>13470.2</v>
      </c>
      <c r="I15" s="8">
        <f>2%*I16</f>
        <v>15193.84</v>
      </c>
      <c r="J15" s="8">
        <f>2%*J16</f>
        <v>17369.22</v>
      </c>
      <c r="K15" s="8">
        <f>+K16-SUM(K10:K14)</f>
        <v>41962.70000000007</v>
      </c>
      <c r="L15" s="8">
        <v>18675.84</v>
      </c>
      <c r="M15" s="8">
        <f>2%*M16</f>
        <v>19798.36</v>
      </c>
      <c r="N15" s="8">
        <f>2%*N16</f>
        <v>20921.8</v>
      </c>
      <c r="O15" s="8">
        <f>2%*O16</f>
        <v>22682.06</v>
      </c>
      <c r="P15" s="8">
        <f>2%*P16</f>
        <v>25407.62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x14ac:dyDescent="0.2">
      <c r="B16" s="1" t="s">
        <v>18</v>
      </c>
      <c r="C16" s="10"/>
      <c r="D16" s="10"/>
      <c r="E16" s="10">
        <v>546733</v>
      </c>
      <c r="F16" s="10"/>
      <c r="G16" s="10">
        <v>592644</v>
      </c>
      <c r="H16" s="10">
        <v>673510</v>
      </c>
      <c r="I16" s="10">
        <v>759692</v>
      </c>
      <c r="J16" s="10">
        <v>868461</v>
      </c>
      <c r="K16" s="10">
        <v>839254</v>
      </c>
      <c r="L16" s="10">
        <v>933792</v>
      </c>
      <c r="M16" s="10">
        <v>989918</v>
      </c>
      <c r="N16" s="10">
        <v>1046090</v>
      </c>
      <c r="O16" s="10">
        <v>1134103</v>
      </c>
      <c r="P16" s="10">
        <v>1270381</v>
      </c>
      <c r="Q16" s="10"/>
      <c r="R16" s="10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2:53" x14ac:dyDescent="0.2">
      <c r="B17" s="2" t="s">
        <v>19</v>
      </c>
      <c r="C17" s="8"/>
      <c r="D17" s="8"/>
      <c r="E17" s="8">
        <v>250090</v>
      </c>
      <c r="F17" s="8"/>
      <c r="G17" s="8">
        <v>278139</v>
      </c>
      <c r="H17" s="8">
        <v>315385</v>
      </c>
      <c r="I17" s="8">
        <v>320347</v>
      </c>
      <c r="J17" s="8">
        <v>356082</v>
      </c>
      <c r="K17" s="8">
        <v>345859</v>
      </c>
      <c r="L17" s="8">
        <v>386423</v>
      </c>
      <c r="M17" s="8">
        <v>401375</v>
      </c>
      <c r="N17" s="8">
        <v>394103</v>
      </c>
      <c r="O17" s="8">
        <v>382808</v>
      </c>
      <c r="P17" s="8">
        <v>410070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2:53" x14ac:dyDescent="0.2">
      <c r="B18" s="2" t="s">
        <v>20</v>
      </c>
      <c r="C18" s="8">
        <f t="shared" ref="C18:H18" si="0">+C16-C17</f>
        <v>0</v>
      </c>
      <c r="D18" s="8">
        <f t="shared" si="0"/>
        <v>0</v>
      </c>
      <c r="E18" s="8">
        <f t="shared" si="0"/>
        <v>296643</v>
      </c>
      <c r="F18" s="8">
        <f t="shared" si="0"/>
        <v>0</v>
      </c>
      <c r="G18" s="8">
        <f t="shared" si="0"/>
        <v>314505</v>
      </c>
      <c r="H18" s="8">
        <f t="shared" si="0"/>
        <v>358125</v>
      </c>
      <c r="I18" s="8">
        <f>+I16-I17</f>
        <v>439345</v>
      </c>
      <c r="J18" s="8">
        <f t="shared" ref="J18:P18" si="1">+J16-J17</f>
        <v>512379</v>
      </c>
      <c r="K18" s="8">
        <f t="shared" si="1"/>
        <v>493395</v>
      </c>
      <c r="L18" s="8">
        <f t="shared" si="1"/>
        <v>547369</v>
      </c>
      <c r="M18" s="8">
        <f t="shared" si="1"/>
        <v>588543</v>
      </c>
      <c r="N18" s="8">
        <f t="shared" si="1"/>
        <v>651987</v>
      </c>
      <c r="O18" s="8">
        <f t="shared" si="1"/>
        <v>751295</v>
      </c>
      <c r="P18" s="8">
        <f t="shared" si="1"/>
        <v>860311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2:53" x14ac:dyDescent="0.2">
      <c r="B19" s="2" t="s">
        <v>21</v>
      </c>
      <c r="C19" s="8"/>
      <c r="D19" s="8"/>
      <c r="E19" s="8">
        <v>51138</v>
      </c>
      <c r="F19" s="8"/>
      <c r="G19" s="8">
        <v>46109</v>
      </c>
      <c r="H19" s="8">
        <v>48058</v>
      </c>
      <c r="I19" s="8">
        <v>52783</v>
      </c>
      <c r="J19" s="8">
        <v>57232</v>
      </c>
      <c r="K19" s="8">
        <v>56547</v>
      </c>
      <c r="L19" s="8">
        <v>61280</v>
      </c>
      <c r="M19" s="8">
        <v>63743</v>
      </c>
      <c r="N19" s="8">
        <v>64857</v>
      </c>
      <c r="O19" s="8">
        <v>67757</v>
      </c>
      <c r="P19" s="8">
        <v>73146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2:53" x14ac:dyDescent="0.2">
      <c r="B20" s="2" t="s">
        <v>22</v>
      </c>
      <c r="C20" s="8"/>
      <c r="D20" s="8"/>
      <c r="E20" s="8">
        <v>17571</v>
      </c>
      <c r="F20" s="8"/>
      <c r="G20" s="8">
        <v>19248</v>
      </c>
      <c r="H20" s="8">
        <v>22238</v>
      </c>
      <c r="I20" s="8">
        <v>26295</v>
      </c>
      <c r="J20" s="8">
        <v>29108</v>
      </c>
      <c r="K20" s="8">
        <v>28639</v>
      </c>
      <c r="L20" s="8">
        <v>23228</v>
      </c>
      <c r="M20" s="8">
        <v>24022</v>
      </c>
      <c r="N20" s="8">
        <v>23333</v>
      </c>
      <c r="O20" s="8">
        <v>26249</v>
      </c>
      <c r="P20" s="8">
        <v>25836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2:53" x14ac:dyDescent="0.2">
      <c r="B21" s="2" t="s">
        <v>24</v>
      </c>
      <c r="C21" s="8"/>
      <c r="D21" s="8"/>
      <c r="E21" s="8">
        <v>131</v>
      </c>
      <c r="F21" s="8"/>
      <c r="G21" s="8">
        <v>-130</v>
      </c>
      <c r="H21" s="8">
        <v>-1273</v>
      </c>
      <c r="I21" s="8">
        <v>499</v>
      </c>
      <c r="J21" s="8">
        <v>-326</v>
      </c>
      <c r="K21" s="8">
        <v>-1128</v>
      </c>
      <c r="L21" s="8">
        <v>562</v>
      </c>
      <c r="M21" s="8">
        <v>-93</v>
      </c>
      <c r="N21" s="8">
        <v>1106</v>
      </c>
      <c r="O21" s="8">
        <v>1677</v>
      </c>
      <c r="P21" s="8">
        <v>5274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2:53" x14ac:dyDescent="0.2">
      <c r="B22" s="2" t="s">
        <v>23</v>
      </c>
      <c r="C22" s="8">
        <f t="shared" ref="C22:G22" si="2">+C18-SUM(C19:C20)+C21</f>
        <v>0</v>
      </c>
      <c r="D22" s="8">
        <f t="shared" si="2"/>
        <v>0</v>
      </c>
      <c r="E22" s="8">
        <f t="shared" si="2"/>
        <v>228065</v>
      </c>
      <c r="F22" s="8">
        <f t="shared" si="2"/>
        <v>0</v>
      </c>
      <c r="G22" s="8">
        <f t="shared" si="2"/>
        <v>249018</v>
      </c>
      <c r="H22" s="8">
        <f>+H18-SUM(H19:H20)+H21</f>
        <v>286556</v>
      </c>
      <c r="I22" s="8">
        <f>+I18-SUM(I19:I20)+I21</f>
        <v>360766</v>
      </c>
      <c r="J22" s="8">
        <f t="shared" ref="J22:P22" si="3">+J18-SUM(J19:J20)+J21</f>
        <v>425713</v>
      </c>
      <c r="K22" s="8">
        <f t="shared" si="3"/>
        <v>407081</v>
      </c>
      <c r="L22" s="8">
        <f t="shared" si="3"/>
        <v>463423</v>
      </c>
      <c r="M22" s="8">
        <f t="shared" si="3"/>
        <v>500685</v>
      </c>
      <c r="N22" s="8">
        <f t="shared" si="3"/>
        <v>564903</v>
      </c>
      <c r="O22" s="8">
        <f t="shared" si="3"/>
        <v>658966</v>
      </c>
      <c r="P22" s="8">
        <f t="shared" si="3"/>
        <v>766603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2:53" x14ac:dyDescent="0.2">
      <c r="B23" s="2" t="s">
        <v>27</v>
      </c>
      <c r="C23" s="8"/>
      <c r="D23" s="8"/>
      <c r="E23" s="8">
        <v>1167</v>
      </c>
      <c r="F23" s="8"/>
      <c r="G23" s="8">
        <v>878</v>
      </c>
      <c r="H23" s="8">
        <v>1152</v>
      </c>
      <c r="I23" s="8">
        <v>1561</v>
      </c>
      <c r="J23" s="8">
        <v>289</v>
      </c>
      <c r="K23" s="8">
        <v>1368</v>
      </c>
      <c r="L23" s="8">
        <v>1222</v>
      </c>
      <c r="M23" s="8">
        <v>1424</v>
      </c>
      <c r="N23" s="8">
        <v>1483</v>
      </c>
      <c r="O23" s="8">
        <v>1685</v>
      </c>
      <c r="P23" s="8">
        <v>1438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2:53" x14ac:dyDescent="0.2">
      <c r="B24" s="2" t="s">
        <v>28</v>
      </c>
      <c r="C24" s="8"/>
      <c r="D24" s="8"/>
      <c r="E24" s="8">
        <v>12483</v>
      </c>
      <c r="F24" s="8"/>
      <c r="G24" s="8">
        <v>16661</v>
      </c>
      <c r="H24" s="8">
        <v>18341</v>
      </c>
      <c r="I24" s="8">
        <v>19966</v>
      </c>
      <c r="J24" s="8">
        <v>21750</v>
      </c>
      <c r="K24" s="8">
        <v>22182</v>
      </c>
      <c r="L24" s="8">
        <v>21501</v>
      </c>
      <c r="M24" s="8">
        <v>23222</v>
      </c>
      <c r="N24" s="8">
        <v>26463</v>
      </c>
      <c r="O24" s="8">
        <v>26146</v>
      </c>
      <c r="P24" s="8">
        <v>26959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2:53" x14ac:dyDescent="0.2">
      <c r="B25" s="2" t="s">
        <v>24</v>
      </c>
      <c r="C25" s="8"/>
      <c r="D25" s="8"/>
      <c r="E25" s="8">
        <v>225</v>
      </c>
      <c r="F25" s="8"/>
      <c r="G25" s="8">
        <v>-14</v>
      </c>
      <c r="H25" s="8">
        <v>262</v>
      </c>
      <c r="I25" s="8">
        <v>1894</v>
      </c>
      <c r="J25" s="8">
        <v>46</v>
      </c>
      <c r="K25" s="8">
        <v>264</v>
      </c>
      <c r="L25" s="8">
        <v>6890</v>
      </c>
      <c r="M25" s="8">
        <v>39</v>
      </c>
      <c r="N25" s="8">
        <v>-486</v>
      </c>
      <c r="O25" s="8">
        <v>1003</v>
      </c>
      <c r="P25" s="8">
        <v>67430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2:53" x14ac:dyDescent="0.2">
      <c r="B26" s="2" t="s">
        <v>29</v>
      </c>
      <c r="C26" s="8">
        <f t="shared" ref="C26:G26" si="4">+C22+SUM(C23:C25)</f>
        <v>0</v>
      </c>
      <c r="D26" s="8">
        <f t="shared" si="4"/>
        <v>0</v>
      </c>
      <c r="E26" s="8">
        <f t="shared" si="4"/>
        <v>241940</v>
      </c>
      <c r="F26" s="8">
        <f t="shared" si="4"/>
        <v>0</v>
      </c>
      <c r="G26" s="8">
        <f t="shared" si="4"/>
        <v>266543</v>
      </c>
      <c r="H26" s="8">
        <f>+H22+SUM(H23:H25)</f>
        <v>306311</v>
      </c>
      <c r="I26" s="8">
        <f t="shared" ref="I26:P26" si="5">+I22+SUM(I23:I25)</f>
        <v>384187</v>
      </c>
      <c r="J26" s="8">
        <f t="shared" si="5"/>
        <v>447798</v>
      </c>
      <c r="K26" s="8">
        <f t="shared" si="5"/>
        <v>430895</v>
      </c>
      <c r="L26" s="8">
        <f t="shared" si="5"/>
        <v>493036</v>
      </c>
      <c r="M26" s="8">
        <f t="shared" si="5"/>
        <v>525370</v>
      </c>
      <c r="N26" s="8">
        <f t="shared" si="5"/>
        <v>592363</v>
      </c>
      <c r="O26" s="8">
        <f t="shared" si="5"/>
        <v>687800</v>
      </c>
      <c r="P26" s="8">
        <f t="shared" si="5"/>
        <v>862430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2:53" x14ac:dyDescent="0.2">
      <c r="B27" s="2" t="s">
        <v>30</v>
      </c>
      <c r="C27" s="8"/>
      <c r="D27" s="8"/>
      <c r="E27" s="8">
        <v>31145</v>
      </c>
      <c r="F27" s="8"/>
      <c r="G27" s="8">
        <v>41322</v>
      </c>
      <c r="H27" s="8">
        <v>58649</v>
      </c>
      <c r="I27" s="8">
        <v>59107</v>
      </c>
      <c r="J27" s="8">
        <v>74329</v>
      </c>
      <c r="K27" s="8">
        <v>70162</v>
      </c>
      <c r="L27" s="8">
        <v>95543</v>
      </c>
      <c r="M27" s="8">
        <v>73614</v>
      </c>
      <c r="N27" s="8">
        <v>86947</v>
      </c>
      <c r="O27" s="8">
        <v>114999</v>
      </c>
      <c r="P27" s="8">
        <v>155649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2:53" x14ac:dyDescent="0.2">
      <c r="B28" s="2" t="s">
        <v>31</v>
      </c>
      <c r="C28" s="8">
        <f t="shared" ref="C28:H28" si="6">+C26-C27</f>
        <v>0</v>
      </c>
      <c r="D28" s="8">
        <f t="shared" si="6"/>
        <v>0</v>
      </c>
      <c r="E28" s="8">
        <f t="shared" si="6"/>
        <v>210795</v>
      </c>
      <c r="F28" s="8">
        <f t="shared" si="6"/>
        <v>0</v>
      </c>
      <c r="G28" s="8">
        <f t="shared" si="6"/>
        <v>225221</v>
      </c>
      <c r="H28" s="8">
        <f t="shared" si="6"/>
        <v>247662</v>
      </c>
      <c r="I28" s="8">
        <f>+I26-I27</f>
        <v>325080</v>
      </c>
      <c r="J28" s="8">
        <f t="shared" ref="J28:P28" si="7">+J26-J27</f>
        <v>373469</v>
      </c>
      <c r="K28" s="8">
        <f t="shared" si="7"/>
        <v>360733</v>
      </c>
      <c r="L28" s="8">
        <f t="shared" si="7"/>
        <v>397493</v>
      </c>
      <c r="M28" s="8">
        <f t="shared" si="7"/>
        <v>451756</v>
      </c>
      <c r="N28" s="8">
        <f t="shared" si="7"/>
        <v>505416</v>
      </c>
      <c r="O28" s="8">
        <f t="shared" si="7"/>
        <v>572801</v>
      </c>
      <c r="P28" s="8">
        <f t="shared" si="7"/>
        <v>706781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2:53" x14ac:dyDescent="0.2">
      <c r="B29" s="2" t="s">
        <v>26</v>
      </c>
      <c r="C29" s="8"/>
      <c r="D29" s="8"/>
      <c r="E29" s="8">
        <v>-205</v>
      </c>
      <c r="F29" s="8"/>
      <c r="G29" s="8">
        <v>-264</v>
      </c>
      <c r="H29" s="8">
        <v>-183</v>
      </c>
      <c r="I29" s="8">
        <v>-178</v>
      </c>
      <c r="J29" s="8">
        <v>-211</v>
      </c>
      <c r="K29" s="8">
        <v>-831</v>
      </c>
      <c r="L29" s="8">
        <v>0</v>
      </c>
      <c r="M29" s="8">
        <v>-547</v>
      </c>
      <c r="N29" s="8">
        <v>-328</v>
      </c>
      <c r="O29" s="8">
        <v>321</v>
      </c>
      <c r="P29" s="8">
        <v>219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2:53" x14ac:dyDescent="0.2">
      <c r="B30" s="2" t="s">
        <v>25</v>
      </c>
      <c r="C30" s="8">
        <f t="shared" ref="C30:G30" si="8">+C28-C29</f>
        <v>0</v>
      </c>
      <c r="D30" s="8">
        <f t="shared" si="8"/>
        <v>0</v>
      </c>
      <c r="E30" s="8">
        <f t="shared" si="8"/>
        <v>211000</v>
      </c>
      <c r="F30" s="8">
        <f t="shared" si="8"/>
        <v>0</v>
      </c>
      <c r="G30" s="8">
        <f t="shared" si="8"/>
        <v>225485</v>
      </c>
      <c r="H30" s="8">
        <f>+H28-H29</f>
        <v>247845</v>
      </c>
      <c r="I30" s="8">
        <f t="shared" ref="I30:P30" si="9">+I28-I29</f>
        <v>325258</v>
      </c>
      <c r="J30" s="8">
        <f t="shared" si="9"/>
        <v>373680</v>
      </c>
      <c r="K30" s="8">
        <f t="shared" si="9"/>
        <v>361564</v>
      </c>
      <c r="L30" s="8">
        <f t="shared" si="9"/>
        <v>397493</v>
      </c>
      <c r="M30" s="8">
        <f t="shared" si="9"/>
        <v>452303</v>
      </c>
      <c r="N30" s="8">
        <f t="shared" si="9"/>
        <v>505744</v>
      </c>
      <c r="O30" s="8">
        <f t="shared" si="9"/>
        <v>572480</v>
      </c>
      <c r="P30" s="8">
        <f t="shared" si="9"/>
        <v>706562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2:53" x14ac:dyDescent="0.2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2:53" x14ac:dyDescent="0.2">
      <c r="B32" s="2" t="s">
        <v>32</v>
      </c>
      <c r="C32" s="11" t="e">
        <f t="shared" ref="C32:D32" si="10">+C30/C33</f>
        <v>#DIV/0!</v>
      </c>
      <c r="D32" s="11" t="e">
        <f t="shared" si="10"/>
        <v>#DIV/0!</v>
      </c>
      <c r="E32" s="11">
        <f>+E30/E33</f>
        <v>8.1376065409387177</v>
      </c>
      <c r="F32" s="11" t="e">
        <f t="shared" ref="F32:P32" si="11">+F30/F33</f>
        <v>#DIV/0!</v>
      </c>
      <c r="G32" s="11">
        <f t="shared" si="11"/>
        <v>8.6959120709602775</v>
      </c>
      <c r="H32" s="11">
        <f t="shared" si="11"/>
        <v>9.557865103544021</v>
      </c>
      <c r="I32" s="11">
        <f t="shared" si="11"/>
        <v>12.54466214131441</v>
      </c>
      <c r="J32" s="11">
        <f t="shared" si="11"/>
        <v>14.411662617146824</v>
      </c>
      <c r="K32" s="11">
        <f t="shared" si="11"/>
        <v>13.944386594160978</v>
      </c>
      <c r="L32" s="11">
        <f t="shared" si="11"/>
        <v>15.330055150603572</v>
      </c>
      <c r="M32" s="11">
        <f t="shared" si="11"/>
        <v>17.443231777863478</v>
      </c>
      <c r="N32" s="11">
        <f t="shared" si="11"/>
        <v>19.503451467355674</v>
      </c>
      <c r="O32" s="11">
        <f t="shared" si="11"/>
        <v>22.077050634375844</v>
      </c>
      <c r="P32" s="11">
        <f t="shared" si="11"/>
        <v>27.246722196513961</v>
      </c>
      <c r="Q32" s="11"/>
      <c r="R32" s="11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2:53" x14ac:dyDescent="0.2">
      <c r="B33" s="2" t="s">
        <v>3</v>
      </c>
      <c r="C33" s="4"/>
      <c r="D33" s="4"/>
      <c r="E33" s="4">
        <v>25929</v>
      </c>
      <c r="F33" s="4"/>
      <c r="G33" s="4">
        <v>25930</v>
      </c>
      <c r="H33" s="4">
        <v>25931</v>
      </c>
      <c r="I33" s="4">
        <v>25928</v>
      </c>
      <c r="J33" s="4">
        <v>25929</v>
      </c>
      <c r="K33" s="4">
        <v>25929</v>
      </c>
      <c r="L33" s="4">
        <v>25929</v>
      </c>
      <c r="M33" s="4">
        <v>25930</v>
      </c>
      <c r="N33" s="4">
        <v>25931</v>
      </c>
      <c r="O33" s="4">
        <v>25931</v>
      </c>
      <c r="P33" s="4">
        <v>25932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2:53" x14ac:dyDescent="0.2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2:53" x14ac:dyDescent="0.2">
      <c r="B35" s="2" t="s">
        <v>33</v>
      </c>
      <c r="C35" s="4"/>
      <c r="D35" s="4"/>
      <c r="E35" s="4"/>
      <c r="F35" s="4"/>
      <c r="G35" s="12" t="e">
        <f t="shared" ref="G35:J35" si="12">+G16/C16-1</f>
        <v>#DIV/0!</v>
      </c>
      <c r="H35" s="12" t="e">
        <f t="shared" si="12"/>
        <v>#DIV/0!</v>
      </c>
      <c r="I35" s="12">
        <f t="shared" si="12"/>
        <v>0.38951188239963574</v>
      </c>
      <c r="J35" s="12" t="e">
        <f t="shared" si="12"/>
        <v>#DIV/0!</v>
      </c>
      <c r="K35" s="12">
        <f>+K16/G16-1</f>
        <v>0.41611827673949286</v>
      </c>
      <c r="L35" s="12">
        <f>+L16/H16-1</f>
        <v>0.386456028863714</v>
      </c>
      <c r="M35" s="12">
        <f>+M16/I16-1</f>
        <v>0.30305176308293369</v>
      </c>
      <c r="N35" s="12">
        <f>+N16/J16-1</f>
        <v>0.20453307632697371</v>
      </c>
      <c r="O35" s="12">
        <f>+O16/K16-1</f>
        <v>0.35132272232244355</v>
      </c>
      <c r="P35" s="12">
        <f>+P16/L16-1</f>
        <v>0.36045393406668724</v>
      </c>
      <c r="Q35" s="12"/>
      <c r="R35" s="12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2:53" x14ac:dyDescent="0.2">
      <c r="B36" s="2" t="s">
        <v>34</v>
      </c>
      <c r="C36" s="13" t="e">
        <f t="shared" ref="C36:H36" si="13">+C18/C16</f>
        <v>#DIV/0!</v>
      </c>
      <c r="D36" s="13" t="e">
        <f t="shared" si="13"/>
        <v>#DIV/0!</v>
      </c>
      <c r="E36" s="13">
        <f t="shared" si="13"/>
        <v>0.5425737974477487</v>
      </c>
      <c r="F36" s="13" t="e">
        <f t="shared" si="13"/>
        <v>#DIV/0!</v>
      </c>
      <c r="G36" s="13">
        <f t="shared" si="13"/>
        <v>0.53068115091015855</v>
      </c>
      <c r="H36" s="13">
        <f t="shared" si="13"/>
        <v>0.53172929874834818</v>
      </c>
      <c r="I36" s="13">
        <f>+I18/I16</f>
        <v>0.57831989806395223</v>
      </c>
      <c r="J36" s="13">
        <f t="shared" ref="J36:K36" si="14">+J18/J16</f>
        <v>0.58998504250622652</v>
      </c>
      <c r="K36" s="13">
        <f t="shared" si="14"/>
        <v>0.58789710862265776</v>
      </c>
      <c r="L36" s="13">
        <f t="shared" ref="L36:M36" si="15">+L18/L16</f>
        <v>0.58617872074294919</v>
      </c>
      <c r="M36" s="13">
        <f t="shared" si="15"/>
        <v>0.59453712327687747</v>
      </c>
      <c r="N36" s="13">
        <f t="shared" ref="N36:O36" si="16">+N18/N16</f>
        <v>0.62326090489346042</v>
      </c>
      <c r="O36" s="13">
        <f t="shared" si="16"/>
        <v>0.66245746638532832</v>
      </c>
      <c r="P36" s="13">
        <f t="shared" ref="P36" si="17">+P18/P16</f>
        <v>0.67720707409824299</v>
      </c>
      <c r="Q36" s="13"/>
      <c r="R36" s="13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  <row r="37" spans="2:53" x14ac:dyDescent="0.2">
      <c r="B37" s="2" t="s">
        <v>35</v>
      </c>
      <c r="C37" s="13" t="e">
        <f t="shared" ref="C37:H37" si="18">+C22/C16</f>
        <v>#DIV/0!</v>
      </c>
      <c r="D37" s="13" t="e">
        <f t="shared" si="18"/>
        <v>#DIV/0!</v>
      </c>
      <c r="E37" s="13">
        <f t="shared" si="18"/>
        <v>0.41714145661593499</v>
      </c>
      <c r="F37" s="13" t="e">
        <f t="shared" si="18"/>
        <v>#DIV/0!</v>
      </c>
      <c r="G37" s="13">
        <f t="shared" si="18"/>
        <v>0.42018142426144534</v>
      </c>
      <c r="H37" s="13">
        <f t="shared" si="18"/>
        <v>0.42546658549984412</v>
      </c>
      <c r="I37" s="13">
        <f>+I22/I16</f>
        <v>0.47488455847896255</v>
      </c>
      <c r="J37" s="13">
        <f t="shared" ref="J37:K37" si="19">+J22/J16</f>
        <v>0.49019242084561082</v>
      </c>
      <c r="K37" s="13">
        <f t="shared" si="19"/>
        <v>0.48505100958708569</v>
      </c>
      <c r="L37" s="13">
        <f t="shared" ref="L37:M37" si="20">+L22/L16</f>
        <v>0.49628075631403995</v>
      </c>
      <c r="M37" s="13">
        <f t="shared" si="20"/>
        <v>0.50578431748892327</v>
      </c>
      <c r="N37" s="13">
        <f t="shared" ref="N37:O37" si="21">+N22/N16</f>
        <v>0.54001376554598557</v>
      </c>
      <c r="O37" s="13">
        <f t="shared" si="21"/>
        <v>0.58104598964997012</v>
      </c>
      <c r="P37" s="13">
        <f t="shared" ref="P37" si="22">+P22/P16</f>
        <v>0.60344337643588808</v>
      </c>
      <c r="Q37" s="13"/>
      <c r="R37" s="13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 spans="2:53" x14ac:dyDescent="0.2">
      <c r="B38" s="2" t="s">
        <v>36</v>
      </c>
      <c r="C38" s="13" t="e">
        <f t="shared" ref="C38:H38" si="23">+C27/C26</f>
        <v>#DIV/0!</v>
      </c>
      <c r="D38" s="13" t="e">
        <f t="shared" si="23"/>
        <v>#DIV/0!</v>
      </c>
      <c r="E38" s="13">
        <f t="shared" si="23"/>
        <v>0.12873026370174423</v>
      </c>
      <c r="F38" s="13" t="e">
        <f t="shared" si="23"/>
        <v>#DIV/0!</v>
      </c>
      <c r="G38" s="13">
        <f t="shared" si="23"/>
        <v>0.15502939488187648</v>
      </c>
      <c r="H38" s="13">
        <f t="shared" si="23"/>
        <v>0.19146880131630925</v>
      </c>
      <c r="I38" s="13">
        <f>+I27/I26</f>
        <v>0.15384955763729641</v>
      </c>
      <c r="J38" s="13">
        <f t="shared" ref="J38:K38" si="24">+J27/J26</f>
        <v>0.16598778913706627</v>
      </c>
      <c r="K38" s="13">
        <f t="shared" si="24"/>
        <v>0.16282853131273281</v>
      </c>
      <c r="L38" s="13">
        <f t="shared" ref="L38:M38" si="25">+L27/L26</f>
        <v>0.19378503800939484</v>
      </c>
      <c r="M38" s="13">
        <f t="shared" si="25"/>
        <v>0.14011839275177493</v>
      </c>
      <c r="N38" s="13">
        <f t="shared" ref="N38:O38" si="26">+N27/N26</f>
        <v>0.14677993054934221</v>
      </c>
      <c r="O38" s="13">
        <f t="shared" si="26"/>
        <v>0.16719831346321606</v>
      </c>
      <c r="P38" s="13">
        <f t="shared" ref="P38" si="27">+P27/P26</f>
        <v>0.18047725612513479</v>
      </c>
      <c r="Q38" s="13"/>
      <c r="R38" s="13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</row>
    <row r="39" spans="2:53" x14ac:dyDescent="0.2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 spans="2:53" x14ac:dyDescent="0.2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</row>
    <row r="41" spans="2:53" x14ac:dyDescent="0.2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 spans="2:53" x14ac:dyDescent="0.2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</row>
    <row r="43" spans="2:53" x14ac:dyDescent="0.2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 spans="2:53" x14ac:dyDescent="0.2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</row>
    <row r="45" spans="2:53" x14ac:dyDescent="0.2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 spans="2:53" x14ac:dyDescent="0.2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</row>
    <row r="47" spans="2:53" x14ac:dyDescent="0.2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 spans="2:53" x14ac:dyDescent="0.2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</row>
    <row r="49" spans="3:53" x14ac:dyDescent="0.2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 spans="3:53" x14ac:dyDescent="0.2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</row>
    <row r="51" spans="3:53" x14ac:dyDescent="0.2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 spans="3:53" x14ac:dyDescent="0.2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</row>
    <row r="53" spans="3:53" x14ac:dyDescent="0.2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 spans="3:53" x14ac:dyDescent="0.2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</row>
    <row r="55" spans="3:53" x14ac:dyDescent="0.2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 spans="3:53" x14ac:dyDescent="0.2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</row>
    <row r="57" spans="3:53" x14ac:dyDescent="0.2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 spans="3:53" x14ac:dyDescent="0.2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</row>
    <row r="59" spans="3:53" x14ac:dyDescent="0.2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 spans="3:53" x14ac:dyDescent="0.2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</row>
    <row r="61" spans="3:53" x14ac:dyDescent="0.2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 spans="3:53" x14ac:dyDescent="0.2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</row>
    <row r="63" spans="3:53" x14ac:dyDescent="0.2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 spans="3:53" x14ac:dyDescent="0.2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</row>
    <row r="65" spans="3:53" x14ac:dyDescent="0.2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 spans="3:53" x14ac:dyDescent="0.2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</row>
    <row r="67" spans="3:53" x14ac:dyDescent="0.2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</row>
    <row r="68" spans="3:53" x14ac:dyDescent="0.2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</row>
    <row r="69" spans="3:53" x14ac:dyDescent="0.2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</row>
    <row r="70" spans="3:53" x14ac:dyDescent="0.2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</row>
    <row r="71" spans="3:53" x14ac:dyDescent="0.2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</row>
    <row r="72" spans="3:53" x14ac:dyDescent="0.2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</row>
    <row r="73" spans="3:53" x14ac:dyDescent="0.2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</row>
    <row r="74" spans="3:53" x14ac:dyDescent="0.2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</row>
    <row r="75" spans="3:53" x14ac:dyDescent="0.2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</row>
    <row r="76" spans="3:53" x14ac:dyDescent="0.2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</row>
    <row r="77" spans="3:53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</row>
    <row r="78" spans="3:53" x14ac:dyDescent="0.2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</row>
    <row r="79" spans="3:53" x14ac:dyDescent="0.2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</row>
    <row r="80" spans="3:53" x14ac:dyDescent="0.2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3:53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3:53" x14ac:dyDescent="0.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3:53" x14ac:dyDescent="0.2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3:53" x14ac:dyDescent="0.2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3:53" x14ac:dyDescent="0.2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3:53" x14ac:dyDescent="0.2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3:53" x14ac:dyDescent="0.2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 spans="3:53" x14ac:dyDescent="0.2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 spans="3:53" x14ac:dyDescent="0.2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 spans="3:53" x14ac:dyDescent="0.2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3:53" x14ac:dyDescent="0.2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spans="3:53" x14ac:dyDescent="0.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 spans="3:53" x14ac:dyDescent="0.2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spans="3:53" x14ac:dyDescent="0.2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 spans="3:53" x14ac:dyDescent="0.2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 spans="3:53" x14ac:dyDescent="0.2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 spans="3:53" x14ac:dyDescent="0.2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</row>
    <row r="98" spans="3:53" x14ac:dyDescent="0.2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</row>
    <row r="99" spans="3:53" x14ac:dyDescent="0.2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</row>
    <row r="100" spans="3:53" x14ac:dyDescent="0.2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</row>
    <row r="101" spans="3:53" x14ac:dyDescent="0.2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</row>
    <row r="102" spans="3:53" x14ac:dyDescent="0.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</row>
    <row r="103" spans="3:53" x14ac:dyDescent="0.2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</row>
    <row r="104" spans="3:53" x14ac:dyDescent="0.2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</row>
    <row r="105" spans="3:53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</row>
    <row r="106" spans="3:53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</row>
    <row r="107" spans="3:53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</row>
    <row r="108" spans="3:53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</row>
    <row r="109" spans="3:53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</row>
    <row r="110" spans="3:53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</row>
    <row r="111" spans="3:53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</row>
    <row r="112" spans="3:53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</row>
    <row r="113" spans="3:53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</row>
    <row r="114" spans="3:53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</row>
    <row r="115" spans="3:53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</row>
    <row r="116" spans="3:53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</row>
    <row r="117" spans="3:53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</row>
    <row r="118" spans="3:53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</row>
    <row r="119" spans="3:53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</row>
    <row r="120" spans="3:53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</row>
    <row r="121" spans="3:53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</row>
    <row r="122" spans="3:53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</row>
    <row r="123" spans="3:53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</row>
    <row r="124" spans="3:53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</row>
    <row r="125" spans="3:53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</row>
    <row r="126" spans="3:53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</row>
    <row r="127" spans="3:53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</row>
    <row r="128" spans="3:53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</row>
    <row r="129" spans="3:53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</row>
    <row r="130" spans="3:53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</row>
    <row r="131" spans="3:53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</row>
    <row r="132" spans="3:53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</row>
    <row r="133" spans="3:53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</row>
    <row r="134" spans="3:53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</row>
    <row r="135" spans="3:53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</row>
    <row r="136" spans="3:53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</row>
    <row r="137" spans="3:53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</row>
    <row r="138" spans="3:53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</row>
    <row r="139" spans="3:53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</row>
    <row r="140" spans="3:53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</row>
    <row r="141" spans="3:53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</row>
    <row r="142" spans="3:53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</row>
    <row r="143" spans="3:53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</row>
    <row r="144" spans="3:53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</row>
    <row r="145" spans="3:53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</row>
    <row r="146" spans="3:53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</row>
    <row r="147" spans="3:53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</row>
    <row r="148" spans="3:53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</row>
    <row r="149" spans="3:53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</row>
    <row r="150" spans="3:53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</row>
    <row r="151" spans="3:53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</row>
    <row r="152" spans="3:53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</row>
    <row r="153" spans="3:53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</row>
    <row r="154" spans="3:53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</row>
    <row r="155" spans="3:53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</row>
    <row r="156" spans="3:53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</row>
    <row r="157" spans="3:53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</row>
    <row r="158" spans="3:53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</row>
    <row r="159" spans="3:53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</row>
    <row r="160" spans="3:53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</row>
    <row r="161" spans="3:53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</row>
    <row r="162" spans="3:53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</row>
    <row r="163" spans="3:53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</row>
    <row r="164" spans="3:53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</row>
    <row r="165" spans="3:53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</row>
    <row r="166" spans="3:53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</row>
    <row r="167" spans="3:53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</row>
    <row r="168" spans="3:53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</row>
    <row r="169" spans="3:53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</row>
    <row r="170" spans="3:53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</row>
    <row r="171" spans="3:53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</row>
    <row r="172" spans="3:53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</row>
    <row r="173" spans="3:53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</row>
    <row r="174" spans="3:53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</row>
    <row r="175" spans="3:53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</row>
    <row r="176" spans="3:53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</row>
    <row r="177" spans="3:53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</row>
    <row r="178" spans="3:53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</row>
    <row r="179" spans="3:53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</row>
    <row r="180" spans="3:53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</row>
    <row r="181" spans="3:53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</row>
    <row r="182" spans="3:53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</row>
    <row r="183" spans="3:53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</row>
    <row r="184" spans="3:53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</row>
    <row r="185" spans="3:53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</row>
    <row r="186" spans="3:53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</row>
    <row r="187" spans="3:53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</row>
    <row r="188" spans="3:53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</row>
    <row r="189" spans="3:53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</row>
    <row r="190" spans="3:53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</row>
    <row r="191" spans="3:53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</row>
    <row r="192" spans="3:53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</row>
    <row r="193" spans="3:53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</row>
    <row r="194" spans="3:53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</row>
    <row r="195" spans="3:53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</row>
    <row r="196" spans="3:53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</row>
    <row r="197" spans="3:53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</row>
    <row r="198" spans="3:53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</row>
    <row r="199" spans="3:53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</row>
    <row r="200" spans="3:53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</row>
    <row r="201" spans="3:53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</row>
  </sheetData>
  <hyperlinks>
    <hyperlink ref="A1" location="Main!A1" display="Main" xr:uid="{0C8241C6-0EFE-43C8-8BF5-BDBE8F4D8D90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2025-01-09T16:26:37Z</dcterms:created>
  <dcterms:modified xsi:type="dcterms:W3CDTF">2026-07-18T09:55:00Z</dcterms:modified>
</cp:coreProperties>
</file>