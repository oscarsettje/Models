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A779B677-E9EC-4690-87CF-46A2DBC7F6B1}" xr6:coauthVersionLast="47" xr6:coauthVersionMax="47" xr10:uidLastSave="{00000000-0000-0000-0000-000000000000}"/>
  <bookViews>
    <workbookView xWindow="19095" yWindow="0" windowWidth="19410" windowHeight="20925" xr2:uid="{CB6DEED8-B563-439A-9D26-C0754832DE3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6" i="1"/>
  <c r="J5" i="1"/>
  <c r="J39" i="2"/>
  <c r="I39" i="2"/>
  <c r="H39" i="2"/>
  <c r="K39" i="2"/>
  <c r="J38" i="2"/>
  <c r="I38" i="2"/>
  <c r="H38" i="2"/>
  <c r="J37" i="2"/>
  <c r="I37" i="2"/>
  <c r="H37" i="2"/>
  <c r="K38" i="2"/>
  <c r="K37" i="2"/>
  <c r="J36" i="2"/>
  <c r="I36" i="2"/>
  <c r="H36" i="2"/>
  <c r="K36" i="2"/>
  <c r="J33" i="2"/>
  <c r="I33" i="2"/>
  <c r="H33" i="2"/>
  <c r="K33" i="2"/>
  <c r="J31" i="2"/>
  <c r="I31" i="2"/>
  <c r="H31" i="2"/>
  <c r="G31" i="2"/>
  <c r="K31" i="2"/>
  <c r="J28" i="2"/>
  <c r="I28" i="2"/>
  <c r="H28" i="2"/>
  <c r="G28" i="2"/>
  <c r="K28" i="2"/>
  <c r="J23" i="2"/>
  <c r="K23" i="2"/>
  <c r="I25" i="2"/>
  <c r="H25" i="2"/>
  <c r="G25" i="2"/>
  <c r="K25" i="2"/>
  <c r="J10" i="2"/>
  <c r="I10" i="2"/>
  <c r="H10" i="2"/>
  <c r="G10" i="2"/>
  <c r="K10" i="2"/>
  <c r="J7" i="2"/>
  <c r="I7" i="2"/>
  <c r="H7" i="2"/>
  <c r="G7" i="2"/>
  <c r="K7" i="2"/>
  <c r="J4" i="1"/>
  <c r="J14" i="2"/>
  <c r="J19" i="2" s="1"/>
  <c r="J25" i="2" s="1"/>
  <c r="I14" i="2"/>
  <c r="I19" i="2" s="1"/>
  <c r="H14" i="2"/>
  <c r="H19" i="2" s="1"/>
  <c r="G14" i="2"/>
  <c r="G19" i="2" s="1"/>
  <c r="K14" i="2"/>
  <c r="K19" i="2" s="1"/>
</calcChain>
</file>

<file path=xl/sharedStrings.xml><?xml version="1.0" encoding="utf-8"?>
<sst xmlns="http://schemas.openxmlformats.org/spreadsheetml/2006/main" count="51" uniqueCount="48">
  <si>
    <t>Zurich Airport</t>
  </si>
  <si>
    <t>Price</t>
  </si>
  <si>
    <t>Shares</t>
  </si>
  <si>
    <t>MC</t>
  </si>
  <si>
    <t>Cash</t>
  </si>
  <si>
    <t>Debt</t>
  </si>
  <si>
    <t>EV</t>
  </si>
  <si>
    <t>in numbers in mio CFH</t>
  </si>
  <si>
    <t>Main</t>
  </si>
  <si>
    <t>FY21</t>
  </si>
  <si>
    <t>FY22</t>
  </si>
  <si>
    <t>FY23</t>
  </si>
  <si>
    <t>FY24</t>
  </si>
  <si>
    <t>FY25</t>
  </si>
  <si>
    <t>Revenue</t>
  </si>
  <si>
    <t>Aviation Rev</t>
  </si>
  <si>
    <t>Non Aviation Rev</t>
  </si>
  <si>
    <t>Total Passagners</t>
  </si>
  <si>
    <t>Passenger flights</t>
  </si>
  <si>
    <t>Cargo Flights</t>
  </si>
  <si>
    <t>Other</t>
  </si>
  <si>
    <t>Total Flights</t>
  </si>
  <si>
    <t>Air Freight</t>
  </si>
  <si>
    <t>Road Freight</t>
  </si>
  <si>
    <t>Total Freight</t>
  </si>
  <si>
    <t>Personnel</t>
  </si>
  <si>
    <t>Security</t>
  </si>
  <si>
    <t>Energy &amp; Waste</t>
  </si>
  <si>
    <t xml:space="preserve">Material </t>
  </si>
  <si>
    <t>Gross Profit</t>
  </si>
  <si>
    <t>Other OpEx</t>
  </si>
  <si>
    <t>SM&amp;A</t>
  </si>
  <si>
    <t>Other Income</t>
  </si>
  <si>
    <t>Other Expenses</t>
  </si>
  <si>
    <t>Operating Income</t>
  </si>
  <si>
    <t>D&amp;A</t>
  </si>
  <si>
    <t>Finance Income</t>
  </si>
  <si>
    <t>Finance Expense</t>
  </si>
  <si>
    <t>Pretax income</t>
  </si>
  <si>
    <t>Tax Expense</t>
  </si>
  <si>
    <t>Minority Interest</t>
  </si>
  <si>
    <t>Net Income</t>
  </si>
  <si>
    <t>EPS</t>
  </si>
  <si>
    <t>Revenue Growth</t>
  </si>
  <si>
    <t>Gross Margin</t>
  </si>
  <si>
    <t>Operating Margin</t>
  </si>
  <si>
    <t>Tax Rate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</si>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</sst>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;\(#,##0.0\)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2"/>
    <xf numFmtId="0" fontId="0" fillId="0" borderId="0" xfId="0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9" fontId="2" fillId="0" borderId="0" xfId="1" applyFont="1"/>
    <xf numFmtId="9" fontId="0" fillId="0" borderId="0" xfId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B553-8CDD-429A-BD54-4ED387B5F83A}">
  <dimension ref="A1:K7"/>
  <sheetViews>
    <sheetView tabSelected="1" zoomScale="200" zoomScaleNormal="200" workbookViewId="0">
      <selection activeCell="A8" sqref="A8"/>
    </sheetView>
  </sheetViews>
  <sheetFormatPr defaultRowHeight="12.75" x14ac:dyDescent="0.2"/>
  <cols>
    <col min="1" max="1" width="4.140625" customWidth="1"/>
  </cols>
  <sheetData>
    <row r="1" spans="1:11" x14ac:dyDescent="0.2">
      <c r="A1" s="1" t="s">
        <v>0</v>
      </c>
    </row>
    <row r="2" spans="1:11" x14ac:dyDescent="0.2">
      <c r="A2" t="s">
        <v>7</v>
      </c>
      <c r="I2" t="s">
        <v>1</v>
      </c>
      <c r="J2">
        <v>244.6</v>
      </c>
    </row>
    <row r="3" spans="1:11" x14ac:dyDescent="0.2">
      <c r="I3" t="s">
        <v>2</v>
      </c>
      <c r="J3" s="4">
        <v>30.701875000000001</v>
      </c>
      <c r="K3" s="3" t="s">
        <v>47</v>
      </c>
    </row>
    <row r="4" spans="1:11" x14ac:dyDescent="0.2">
      <c r="I4" t="s">
        <v>3</v>
      </c>
      <c r="J4" s="4">
        <f>+J2*J3</f>
        <v>7509.6786250000005</v>
      </c>
    </row>
    <row r="5" spans="1:11" x14ac:dyDescent="0.2">
      <c r="I5" t="s">
        <v>4</v>
      </c>
      <c r="J5" s="4">
        <f>220+159.6</f>
        <v>379.6</v>
      </c>
      <c r="K5" s="3" t="s">
        <v>47</v>
      </c>
    </row>
    <row r="6" spans="1:11" x14ac:dyDescent="0.2">
      <c r="I6" t="s">
        <v>5</v>
      </c>
      <c r="J6" s="4">
        <f>25.6+1694.4</f>
        <v>1720</v>
      </c>
      <c r="K6" s="3" t="s">
        <v>47</v>
      </c>
    </row>
    <row r="7" spans="1:11" x14ac:dyDescent="0.2">
      <c r="I7" t="s">
        <v>6</v>
      </c>
      <c r="J7" s="4">
        <f>+J4-J5+J6</f>
        <v>8850.0786250000001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5AC7-BE08-4B5B-9BA0-8FAEF44A9CCF}">
  <dimension ref="A1:BR230"/>
  <sheetViews>
    <sheetView zoomScale="200" zoomScaleNormal="200" workbookViewId="0">
      <pane xSplit="2" ySplit="2" topLeftCell="G12" activePane="bottomRight" state="frozen"/>
      <selection pane="topRight" activeCell="C1" sqref="C1"/>
      <selection pane="bottomLeft" activeCell="A3" sqref="A3"/>
      <selection pane="bottomRight" activeCell="K39" sqref="H39:K39"/>
    </sheetView>
  </sheetViews>
  <sheetFormatPr defaultRowHeight="12.75" x14ac:dyDescent="0.2"/>
  <cols>
    <col min="1" max="1" width="5" bestFit="1" customWidth="1"/>
    <col min="2" max="2" width="17" bestFit="1" customWidth="1"/>
  </cols>
  <sheetData>
    <row r="1" spans="1:70" x14ac:dyDescent="0.2">
      <c r="A1" s="2" t="s">
        <v>8</v>
      </c>
    </row>
    <row r="2" spans="1:70" x14ac:dyDescent="0.2"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</row>
    <row r="3" spans="1:70" x14ac:dyDescent="0.2">
      <c r="B3" t="s">
        <v>17</v>
      </c>
      <c r="C3" s="4"/>
      <c r="D3" s="4"/>
      <c r="E3" s="4"/>
      <c r="F3" s="4"/>
      <c r="G3" s="4">
        <v>10234.428</v>
      </c>
      <c r="H3" s="4">
        <v>22561.132000000001</v>
      </c>
      <c r="I3" s="4">
        <v>28885.506000000001</v>
      </c>
      <c r="J3" s="4">
        <v>31204.287</v>
      </c>
      <c r="K3" s="4">
        <v>32593.966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</row>
    <row r="4" spans="1:70" x14ac:dyDescent="0.2">
      <c r="B4" t="s">
        <v>18</v>
      </c>
      <c r="C4" s="4"/>
      <c r="D4" s="4"/>
      <c r="E4" s="4"/>
      <c r="F4" s="4"/>
      <c r="G4" s="4">
        <v>94.012</v>
      </c>
      <c r="H4" s="4">
        <v>178.43799999999999</v>
      </c>
      <c r="I4" s="4">
        <v>213.45699999999999</v>
      </c>
      <c r="J4" s="4">
        <v>229.04400000000001</v>
      </c>
      <c r="K4" s="4">
        <v>238.87200000000001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</row>
    <row r="5" spans="1:70" x14ac:dyDescent="0.2">
      <c r="B5" t="s">
        <v>19</v>
      </c>
      <c r="C5" s="4"/>
      <c r="D5" s="4"/>
      <c r="E5" s="4"/>
      <c r="F5" s="4"/>
      <c r="G5" s="4">
        <v>2.242</v>
      </c>
      <c r="H5" s="4">
        <v>1.115</v>
      </c>
      <c r="I5" s="4">
        <v>0.45300000000000001</v>
      </c>
      <c r="J5" s="4">
        <v>0.51500000000000001</v>
      </c>
      <c r="K5" s="4">
        <v>0.81599999999999995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</row>
    <row r="6" spans="1:70" x14ac:dyDescent="0.2">
      <c r="B6" t="s">
        <v>20</v>
      </c>
      <c r="C6" s="4"/>
      <c r="D6" s="4"/>
      <c r="E6" s="4"/>
      <c r="F6" s="4"/>
      <c r="G6" s="4">
        <v>36.345999999999997</v>
      </c>
      <c r="H6" s="4">
        <v>37.031999999999996</v>
      </c>
      <c r="I6" s="4">
        <v>33.545999999999999</v>
      </c>
      <c r="J6" s="4">
        <v>31.544</v>
      </c>
      <c r="K6" s="4">
        <v>30.428000000000001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70" x14ac:dyDescent="0.2">
      <c r="B7" t="s">
        <v>21</v>
      </c>
      <c r="C7" s="4"/>
      <c r="D7" s="4"/>
      <c r="E7" s="4"/>
      <c r="F7" s="4"/>
      <c r="G7" s="4">
        <f t="shared" ref="G7:J7" si="0">+SUM(G4:G6)</f>
        <v>132.6</v>
      </c>
      <c r="H7" s="4">
        <f t="shared" si="0"/>
        <v>216.58499999999998</v>
      </c>
      <c r="I7" s="4">
        <f t="shared" si="0"/>
        <v>247.45599999999999</v>
      </c>
      <c r="J7" s="4">
        <f t="shared" si="0"/>
        <v>261.10300000000001</v>
      </c>
      <c r="K7" s="4">
        <f>+SUM(K4:K6)</f>
        <v>270.11600000000004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</row>
    <row r="8" spans="1:70" x14ac:dyDescent="0.2">
      <c r="B8" t="s">
        <v>22</v>
      </c>
      <c r="C8" s="4"/>
      <c r="D8" s="4"/>
      <c r="E8" s="4"/>
      <c r="F8" s="4"/>
      <c r="G8" s="4">
        <v>247.434</v>
      </c>
      <c r="H8" s="4">
        <v>268.56099999999998</v>
      </c>
      <c r="I8" s="4">
        <v>258.27199999999999</v>
      </c>
      <c r="J8" s="4">
        <v>304.04300000000001</v>
      </c>
      <c r="K8" s="4">
        <v>311.584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</row>
    <row r="9" spans="1:70" x14ac:dyDescent="0.2">
      <c r="B9" t="s">
        <v>23</v>
      </c>
      <c r="C9" s="4"/>
      <c r="D9" s="4"/>
      <c r="E9" s="4"/>
      <c r="F9" s="4"/>
      <c r="G9" s="4">
        <v>145.62799999999999</v>
      </c>
      <c r="H9" s="4">
        <v>153.59200000000001</v>
      </c>
      <c r="I9" s="4">
        <v>119.726</v>
      </c>
      <c r="J9" s="4">
        <v>131.989</v>
      </c>
      <c r="K9" s="4">
        <v>129.345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</row>
    <row r="10" spans="1:70" x14ac:dyDescent="0.2">
      <c r="B10" t="s">
        <v>24</v>
      </c>
      <c r="C10" s="4"/>
      <c r="D10" s="4"/>
      <c r="E10" s="4"/>
      <c r="F10" s="4"/>
      <c r="G10" s="4">
        <f t="shared" ref="G10:J10" si="1">+G8+G9</f>
        <v>393.06200000000001</v>
      </c>
      <c r="H10" s="4">
        <f t="shared" si="1"/>
        <v>422.15300000000002</v>
      </c>
      <c r="I10" s="4">
        <f t="shared" si="1"/>
        <v>377.99799999999999</v>
      </c>
      <c r="J10" s="4">
        <f t="shared" si="1"/>
        <v>436.03200000000004</v>
      </c>
      <c r="K10" s="4">
        <f>+K8+K9</f>
        <v>440.92899999999997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</row>
    <row r="11" spans="1:70" x14ac:dyDescent="0.2"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</row>
    <row r="12" spans="1:70" x14ac:dyDescent="0.2">
      <c r="B12" t="s">
        <v>15</v>
      </c>
      <c r="C12" s="4"/>
      <c r="D12" s="4"/>
      <c r="E12" s="4"/>
      <c r="F12" s="4"/>
      <c r="G12" s="4">
        <v>240.6</v>
      </c>
      <c r="H12" s="4">
        <v>491.1</v>
      </c>
      <c r="I12" s="4">
        <v>610.1</v>
      </c>
      <c r="J12" s="4">
        <v>672.8</v>
      </c>
      <c r="K12" s="4">
        <v>709.1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</row>
    <row r="13" spans="1:70" x14ac:dyDescent="0.2">
      <c r="B13" t="s">
        <v>16</v>
      </c>
      <c r="C13" s="4"/>
      <c r="D13" s="4"/>
      <c r="E13" s="4"/>
      <c r="F13" s="4"/>
      <c r="G13" s="4">
        <v>439.4</v>
      </c>
      <c r="H13" s="4">
        <v>532.4</v>
      </c>
      <c r="I13" s="4">
        <v>626.20000000000005</v>
      </c>
      <c r="J13" s="4">
        <v>653.5</v>
      </c>
      <c r="K13" s="4">
        <v>652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</row>
    <row r="14" spans="1:70" x14ac:dyDescent="0.2">
      <c r="B14" s="1" t="s">
        <v>14</v>
      </c>
      <c r="C14" s="4"/>
      <c r="D14" s="4"/>
      <c r="E14" s="4"/>
      <c r="F14" s="4"/>
      <c r="G14" s="5">
        <f t="shared" ref="G14:J14" si="2">+G12+G13</f>
        <v>680</v>
      </c>
      <c r="H14" s="5">
        <f t="shared" si="2"/>
        <v>1023.5</v>
      </c>
      <c r="I14" s="5">
        <f t="shared" si="2"/>
        <v>1236.3000000000002</v>
      </c>
      <c r="J14" s="5">
        <f t="shared" si="2"/>
        <v>1326.3</v>
      </c>
      <c r="K14" s="5">
        <f>+K12+K13</f>
        <v>1361.1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</row>
    <row r="15" spans="1:70" x14ac:dyDescent="0.2">
      <c r="B15" t="s">
        <v>25</v>
      </c>
      <c r="C15" s="4"/>
      <c r="D15" s="4"/>
      <c r="E15" s="4"/>
      <c r="F15" s="4"/>
      <c r="G15" s="4"/>
      <c r="H15" s="4"/>
      <c r="I15" s="4"/>
      <c r="J15" s="4">
        <v>244.9</v>
      </c>
      <c r="K15" s="4">
        <v>270.5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</row>
    <row r="16" spans="1:70" x14ac:dyDescent="0.2">
      <c r="B16" t="s">
        <v>26</v>
      </c>
      <c r="C16" s="4"/>
      <c r="D16" s="4"/>
      <c r="E16" s="4"/>
      <c r="F16" s="4"/>
      <c r="G16" s="4"/>
      <c r="H16" s="4"/>
      <c r="I16" s="4"/>
      <c r="J16" s="4">
        <v>129.9</v>
      </c>
      <c r="K16" s="4">
        <v>133.30000000000001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</row>
    <row r="17" spans="2:70" x14ac:dyDescent="0.2">
      <c r="B17" t="s">
        <v>27</v>
      </c>
      <c r="C17" s="4"/>
      <c r="D17" s="4"/>
      <c r="E17" s="4"/>
      <c r="F17" s="4"/>
      <c r="G17" s="4"/>
      <c r="H17" s="4"/>
      <c r="I17" s="4"/>
      <c r="J17" s="4">
        <v>44.4</v>
      </c>
      <c r="K17" s="4">
        <v>36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</row>
    <row r="18" spans="2:70" x14ac:dyDescent="0.2">
      <c r="B18" t="s">
        <v>28</v>
      </c>
      <c r="C18" s="4"/>
      <c r="D18" s="4"/>
      <c r="E18" s="4"/>
      <c r="F18" s="4"/>
      <c r="G18" s="4"/>
      <c r="H18" s="4"/>
      <c r="I18" s="4"/>
      <c r="J18" s="4">
        <v>47.3</v>
      </c>
      <c r="K18" s="4">
        <v>50.4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</row>
    <row r="19" spans="2:70" x14ac:dyDescent="0.2">
      <c r="B19" t="s">
        <v>29</v>
      </c>
      <c r="C19" s="4"/>
      <c r="D19" s="4"/>
      <c r="E19" s="4"/>
      <c r="F19" s="4"/>
      <c r="G19" s="4">
        <f t="shared" ref="G19:J19" si="3">+G14-SUM(G15:G18)</f>
        <v>680</v>
      </c>
      <c r="H19" s="4">
        <f t="shared" si="3"/>
        <v>1023.5</v>
      </c>
      <c r="I19" s="4">
        <f t="shared" si="3"/>
        <v>1236.3000000000002</v>
      </c>
      <c r="J19" s="4">
        <f t="shared" si="3"/>
        <v>859.8</v>
      </c>
      <c r="K19" s="4">
        <f>+K14-SUM(K15:K18)</f>
        <v>870.89999999999986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</row>
    <row r="20" spans="2:70" x14ac:dyDescent="0.2">
      <c r="B20" t="s">
        <v>30</v>
      </c>
      <c r="C20" s="4"/>
      <c r="D20" s="4"/>
      <c r="E20" s="4"/>
      <c r="F20" s="4"/>
      <c r="G20" s="4"/>
      <c r="H20" s="4"/>
      <c r="I20" s="4"/>
      <c r="J20" s="4">
        <v>60.5</v>
      </c>
      <c r="K20" s="4">
        <v>49.5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</row>
    <row r="21" spans="2:70" x14ac:dyDescent="0.2">
      <c r="B21" t="s">
        <v>31</v>
      </c>
      <c r="C21" s="4"/>
      <c r="D21" s="4"/>
      <c r="E21" s="4"/>
      <c r="F21" s="4"/>
      <c r="G21" s="4"/>
      <c r="H21" s="4"/>
      <c r="I21" s="4"/>
      <c r="J21" s="4">
        <v>58</v>
      </c>
      <c r="K21" s="4">
        <v>62.9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</row>
    <row r="22" spans="2:70" x14ac:dyDescent="0.2">
      <c r="B22" t="s">
        <v>32</v>
      </c>
      <c r="C22" s="4"/>
      <c r="D22" s="4"/>
      <c r="E22" s="4"/>
      <c r="F22" s="4"/>
      <c r="G22" s="4"/>
      <c r="H22" s="4"/>
      <c r="I22" s="4"/>
      <c r="J22" s="4">
        <v>23</v>
      </c>
      <c r="K22" s="4">
        <v>24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</row>
    <row r="23" spans="2:70" x14ac:dyDescent="0.2">
      <c r="B23" t="s">
        <v>33</v>
      </c>
      <c r="C23" s="4"/>
      <c r="D23" s="4"/>
      <c r="E23" s="4"/>
      <c r="F23" s="4"/>
      <c r="G23" s="4"/>
      <c r="H23" s="4"/>
      <c r="I23" s="4"/>
      <c r="J23" s="4">
        <f>26.8+4.4</f>
        <v>31.200000000000003</v>
      </c>
      <c r="K23" s="4">
        <f>10.4+9.9</f>
        <v>20.3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</row>
    <row r="24" spans="2:70" x14ac:dyDescent="0.2">
      <c r="B24" t="s">
        <v>35</v>
      </c>
      <c r="C24" s="4"/>
      <c r="D24" s="4"/>
      <c r="E24" s="4"/>
      <c r="F24" s="4"/>
      <c r="G24" s="4"/>
      <c r="H24" s="4"/>
      <c r="I24" s="4"/>
      <c r="J24" s="4">
        <v>299.5</v>
      </c>
      <c r="K24" s="4">
        <v>311.39999999999998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</row>
    <row r="25" spans="2:70" x14ac:dyDescent="0.2">
      <c r="B25" t="s">
        <v>34</v>
      </c>
      <c r="C25" s="4"/>
      <c r="D25" s="4"/>
      <c r="E25" s="4"/>
      <c r="F25" s="4"/>
      <c r="G25" s="4">
        <f t="shared" ref="G25:J25" si="4">+G19-SUM(G20:G21,G23:G24)+G22</f>
        <v>680</v>
      </c>
      <c r="H25" s="4">
        <f t="shared" si="4"/>
        <v>1023.5</v>
      </c>
      <c r="I25" s="4">
        <f t="shared" si="4"/>
        <v>1236.3000000000002</v>
      </c>
      <c r="J25" s="4">
        <f t="shared" si="4"/>
        <v>433.59999999999997</v>
      </c>
      <c r="K25" s="4">
        <f>+K19-SUM(K20:K21,K23:K24)+K22</f>
        <v>450.79999999999984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</row>
    <row r="26" spans="2:70" x14ac:dyDescent="0.2">
      <c r="B26" t="s">
        <v>36</v>
      </c>
      <c r="C26" s="4"/>
      <c r="D26" s="4"/>
      <c r="E26" s="4"/>
      <c r="F26" s="4"/>
      <c r="G26" s="4"/>
      <c r="H26" s="4"/>
      <c r="I26" s="4"/>
      <c r="J26" s="4">
        <v>30.3</v>
      </c>
      <c r="K26" s="4">
        <v>31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</row>
    <row r="27" spans="2:70" x14ac:dyDescent="0.2">
      <c r="B27" t="s">
        <v>37</v>
      </c>
      <c r="C27" s="4"/>
      <c r="D27" s="4"/>
      <c r="E27" s="4"/>
      <c r="F27" s="4"/>
      <c r="G27" s="4"/>
      <c r="H27" s="4"/>
      <c r="I27" s="4"/>
      <c r="J27" s="4">
        <v>10.199999999999999</v>
      </c>
      <c r="K27" s="4">
        <v>14.9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</row>
    <row r="28" spans="2:70" x14ac:dyDescent="0.2">
      <c r="B28" t="s">
        <v>38</v>
      </c>
      <c r="C28" s="4"/>
      <c r="D28" s="4"/>
      <c r="E28" s="4"/>
      <c r="F28" s="4"/>
      <c r="G28" s="4">
        <f t="shared" ref="G28:J28" si="5">+G25-G26+G27</f>
        <v>680</v>
      </c>
      <c r="H28" s="4">
        <f t="shared" si="5"/>
        <v>1023.5</v>
      </c>
      <c r="I28" s="4">
        <f t="shared" si="5"/>
        <v>1236.3000000000002</v>
      </c>
      <c r="J28" s="4">
        <f t="shared" si="5"/>
        <v>413.49999999999994</v>
      </c>
      <c r="K28" s="4">
        <f>+K25-K26+K27</f>
        <v>434.69999999999982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</row>
    <row r="29" spans="2:70" x14ac:dyDescent="0.2">
      <c r="B29" t="s">
        <v>39</v>
      </c>
      <c r="C29" s="4"/>
      <c r="D29" s="4"/>
      <c r="E29" s="4"/>
      <c r="F29" s="4"/>
      <c r="G29" s="4"/>
      <c r="H29" s="4"/>
      <c r="I29" s="4"/>
      <c r="J29" s="4">
        <v>86.9</v>
      </c>
      <c r="K29" s="4">
        <v>88.2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</row>
    <row r="30" spans="2:70" x14ac:dyDescent="0.2">
      <c r="B30" t="s">
        <v>40</v>
      </c>
      <c r="C30" s="4"/>
      <c r="D30" s="4"/>
      <c r="E30" s="4"/>
      <c r="F30" s="4"/>
      <c r="G30" s="4"/>
      <c r="H30" s="4"/>
      <c r="I30" s="4"/>
      <c r="J30" s="4">
        <v>0</v>
      </c>
      <c r="K30" s="4">
        <v>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</row>
    <row r="31" spans="2:70" x14ac:dyDescent="0.2">
      <c r="B31" t="s">
        <v>41</v>
      </c>
      <c r="C31" s="4"/>
      <c r="D31" s="4"/>
      <c r="E31" s="4"/>
      <c r="F31" s="4"/>
      <c r="G31" s="4">
        <f t="shared" ref="G31:J31" si="6">+G28-G29-G30</f>
        <v>680</v>
      </c>
      <c r="H31" s="4">
        <f t="shared" si="6"/>
        <v>1023.5</v>
      </c>
      <c r="I31" s="4">
        <f t="shared" si="6"/>
        <v>1236.3000000000002</v>
      </c>
      <c r="J31" s="4">
        <f t="shared" si="6"/>
        <v>326.59999999999991</v>
      </c>
      <c r="K31" s="4">
        <f>+K28-K29-K30</f>
        <v>346.49999999999983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</row>
    <row r="32" spans="2:70" x14ac:dyDescent="0.2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</row>
    <row r="33" spans="2:70" x14ac:dyDescent="0.2">
      <c r="B33" t="s">
        <v>42</v>
      </c>
      <c r="C33" s="4"/>
      <c r="D33" s="4"/>
      <c r="E33" s="4"/>
      <c r="F33" s="4"/>
      <c r="G33" s="4"/>
      <c r="H33" s="4">
        <f t="shared" ref="H33:J33" si="7">+H31/ H34</f>
        <v>33.336726177147163</v>
      </c>
      <c r="I33" s="4">
        <f t="shared" si="7"/>
        <v>40.267898947539855</v>
      </c>
      <c r="J33" s="4">
        <f t="shared" si="7"/>
        <v>10.63778678012336</v>
      </c>
      <c r="K33" s="4">
        <f>+K31/ K34</f>
        <v>11.285955662317035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</row>
    <row r="34" spans="2:70" x14ac:dyDescent="0.2">
      <c r="B34" t="s">
        <v>2</v>
      </c>
      <c r="C34" s="4"/>
      <c r="D34" s="4"/>
      <c r="E34" s="4"/>
      <c r="F34" s="4"/>
      <c r="G34" s="4">
        <v>30.701875000000001</v>
      </c>
      <c r="H34" s="4">
        <v>30.701875000000001</v>
      </c>
      <c r="I34" s="4">
        <v>30.701875000000001</v>
      </c>
      <c r="J34" s="4">
        <v>30.701875000000001</v>
      </c>
      <c r="K34" s="4">
        <v>30.701875000000001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</row>
    <row r="35" spans="2:70" x14ac:dyDescent="0.2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</row>
    <row r="36" spans="2:70" x14ac:dyDescent="0.2">
      <c r="B36" s="1" t="s">
        <v>43</v>
      </c>
      <c r="C36" s="5"/>
      <c r="D36" s="5"/>
      <c r="E36" s="5"/>
      <c r="F36" s="5"/>
      <c r="G36" s="5"/>
      <c r="H36" s="6">
        <f t="shared" ref="H36:K36" si="8">+H14/G14-1</f>
        <v>0.50514705882352939</v>
      </c>
      <c r="I36" s="6">
        <f t="shared" si="8"/>
        <v>0.20791402051783114</v>
      </c>
      <c r="J36" s="6">
        <f t="shared" si="8"/>
        <v>7.2797864595971706E-2</v>
      </c>
      <c r="K36" s="6">
        <f>+K14/J14-1</f>
        <v>2.6238407600090552E-2</v>
      </c>
      <c r="L36" s="5"/>
      <c r="M36" s="5"/>
      <c r="N36" s="5"/>
      <c r="O36" s="5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</row>
    <row r="37" spans="2:70" x14ac:dyDescent="0.2">
      <c r="B37" t="s">
        <v>44</v>
      </c>
      <c r="C37" s="4"/>
      <c r="D37" s="4"/>
      <c r="E37" s="4"/>
      <c r="F37" s="4"/>
      <c r="G37" s="4"/>
      <c r="H37" s="7">
        <f t="shared" ref="H37:K37" si="9">+H19/H14</f>
        <v>1</v>
      </c>
      <c r="I37" s="7">
        <f t="shared" si="9"/>
        <v>1</v>
      </c>
      <c r="J37" s="7">
        <f t="shared" si="9"/>
        <v>0.64826962225740781</v>
      </c>
      <c r="K37" s="7">
        <f>+K19/K14</f>
        <v>0.63985012122547935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</row>
    <row r="38" spans="2:70" x14ac:dyDescent="0.2">
      <c r="B38" t="s">
        <v>45</v>
      </c>
      <c r="C38" s="4"/>
      <c r="D38" s="4"/>
      <c r="E38" s="4"/>
      <c r="F38" s="4"/>
      <c r="G38" s="4"/>
      <c r="H38" s="7">
        <f t="shared" ref="H38:K38" si="10">+H25/H14</f>
        <v>1</v>
      </c>
      <c r="I38" s="7">
        <f t="shared" si="10"/>
        <v>1</v>
      </c>
      <c r="J38" s="7">
        <f t="shared" si="10"/>
        <v>0.32692452687928825</v>
      </c>
      <c r="K38" s="7">
        <f>+K25/K14</f>
        <v>0.33120270369554028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</row>
    <row r="39" spans="2:70" x14ac:dyDescent="0.2">
      <c r="B39" t="s">
        <v>46</v>
      </c>
      <c r="C39" s="4"/>
      <c r="D39" s="4"/>
      <c r="E39" s="4"/>
      <c r="F39" s="4"/>
      <c r="G39" s="4"/>
      <c r="H39" s="7">
        <f t="shared" ref="H39:K39" si="11">+H29/H28</f>
        <v>0</v>
      </c>
      <c r="I39" s="7">
        <f t="shared" si="11"/>
        <v>0</v>
      </c>
      <c r="J39" s="7">
        <f t="shared" si="11"/>
        <v>0.21015719467956473</v>
      </c>
      <c r="K39" s="7">
        <f>+K29/K28</f>
        <v>0.20289855072463778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</row>
    <row r="40" spans="2:70" x14ac:dyDescent="0.2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</row>
    <row r="41" spans="2:70" x14ac:dyDescent="0.2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</row>
    <row r="42" spans="2:70" x14ac:dyDescent="0.2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</row>
    <row r="43" spans="2:70" x14ac:dyDescent="0.2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</row>
    <row r="44" spans="2:70" x14ac:dyDescent="0.2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</row>
    <row r="45" spans="2:70" x14ac:dyDescent="0.2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</row>
    <row r="46" spans="2:70" x14ac:dyDescent="0.2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</row>
    <row r="47" spans="2:70" x14ac:dyDescent="0.2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</row>
    <row r="48" spans="2:70" x14ac:dyDescent="0.2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</row>
    <row r="49" spans="3:70" x14ac:dyDescent="0.2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</row>
    <row r="50" spans="3:70" x14ac:dyDescent="0.2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</row>
    <row r="51" spans="3:70" x14ac:dyDescent="0.2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</row>
    <row r="52" spans="3:70" x14ac:dyDescent="0.2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</row>
    <row r="53" spans="3:70" x14ac:dyDescent="0.2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</row>
    <row r="54" spans="3:70" x14ac:dyDescent="0.2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</row>
    <row r="55" spans="3:70" x14ac:dyDescent="0.2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</row>
    <row r="56" spans="3:70" x14ac:dyDescent="0.2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</row>
    <row r="57" spans="3:70" x14ac:dyDescent="0.2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</row>
    <row r="58" spans="3:70" x14ac:dyDescent="0.2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</row>
    <row r="59" spans="3:70" x14ac:dyDescent="0.2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</row>
    <row r="60" spans="3:70" x14ac:dyDescent="0.2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</row>
    <row r="61" spans="3:70" x14ac:dyDescent="0.2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</row>
    <row r="62" spans="3:70" x14ac:dyDescent="0.2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</row>
    <row r="63" spans="3:70" x14ac:dyDescent="0.2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</row>
    <row r="64" spans="3:70" x14ac:dyDescent="0.2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</row>
    <row r="65" spans="3:70" x14ac:dyDescent="0.2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</row>
    <row r="66" spans="3:70" x14ac:dyDescent="0.2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</row>
    <row r="67" spans="3:70" x14ac:dyDescent="0.2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</row>
    <row r="68" spans="3:70" x14ac:dyDescent="0.2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</row>
    <row r="69" spans="3:70" x14ac:dyDescent="0.2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</row>
    <row r="70" spans="3:70" x14ac:dyDescent="0.2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</row>
    <row r="71" spans="3:70" x14ac:dyDescent="0.2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</row>
    <row r="72" spans="3:70" x14ac:dyDescent="0.2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</row>
    <row r="73" spans="3:70" x14ac:dyDescent="0.2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</row>
    <row r="74" spans="3:70" x14ac:dyDescent="0.2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</row>
    <row r="75" spans="3:70" x14ac:dyDescent="0.2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</row>
    <row r="76" spans="3:70" x14ac:dyDescent="0.2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</row>
    <row r="77" spans="3:70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</row>
    <row r="78" spans="3:70" x14ac:dyDescent="0.2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</row>
    <row r="79" spans="3:70" x14ac:dyDescent="0.2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</row>
    <row r="80" spans="3:70" x14ac:dyDescent="0.2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</row>
    <row r="81" spans="3:70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</row>
    <row r="82" spans="3:70" x14ac:dyDescent="0.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</row>
    <row r="83" spans="3:70" x14ac:dyDescent="0.2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</row>
    <row r="84" spans="3:70" x14ac:dyDescent="0.2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</row>
    <row r="85" spans="3:70" x14ac:dyDescent="0.2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</row>
    <row r="86" spans="3:70" x14ac:dyDescent="0.2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</row>
    <row r="87" spans="3:70" x14ac:dyDescent="0.2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</row>
    <row r="88" spans="3:70" x14ac:dyDescent="0.2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</row>
    <row r="89" spans="3:70" x14ac:dyDescent="0.2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</row>
    <row r="90" spans="3:70" x14ac:dyDescent="0.2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</row>
    <row r="91" spans="3:70" x14ac:dyDescent="0.2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</row>
    <row r="92" spans="3:70" x14ac:dyDescent="0.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</row>
    <row r="93" spans="3:70" x14ac:dyDescent="0.2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</row>
    <row r="94" spans="3:70" x14ac:dyDescent="0.2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</row>
    <row r="95" spans="3:70" x14ac:dyDescent="0.2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</row>
    <row r="96" spans="3:70" x14ac:dyDescent="0.2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</row>
    <row r="97" spans="3:70" x14ac:dyDescent="0.2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</row>
    <row r="98" spans="3:70" x14ac:dyDescent="0.2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</row>
    <row r="99" spans="3:70" x14ac:dyDescent="0.2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</row>
    <row r="100" spans="3:70" x14ac:dyDescent="0.2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</row>
    <row r="101" spans="3:70" x14ac:dyDescent="0.2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</row>
    <row r="102" spans="3:70" x14ac:dyDescent="0.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</row>
    <row r="103" spans="3:70" x14ac:dyDescent="0.2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</row>
    <row r="104" spans="3:70" x14ac:dyDescent="0.2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</row>
    <row r="105" spans="3:70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</row>
    <row r="106" spans="3:70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</row>
    <row r="107" spans="3:70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</row>
    <row r="108" spans="3:70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</row>
    <row r="109" spans="3:70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</row>
    <row r="110" spans="3:70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</row>
    <row r="111" spans="3:70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</row>
    <row r="112" spans="3:70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</row>
    <row r="113" spans="3:70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</row>
    <row r="114" spans="3:70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</row>
    <row r="115" spans="3:70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</row>
    <row r="116" spans="3:70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</row>
    <row r="117" spans="3:70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</row>
    <row r="118" spans="3:70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</row>
    <row r="119" spans="3:70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</row>
    <row r="120" spans="3:70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</row>
    <row r="121" spans="3:70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</row>
    <row r="122" spans="3:70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</row>
    <row r="123" spans="3:70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</row>
    <row r="124" spans="3:70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</row>
    <row r="125" spans="3:70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</row>
    <row r="126" spans="3:70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</row>
    <row r="127" spans="3:70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</row>
    <row r="128" spans="3:70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</row>
    <row r="129" spans="3:70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</row>
    <row r="130" spans="3:70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</row>
    <row r="131" spans="3:70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</row>
    <row r="132" spans="3:70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</row>
    <row r="133" spans="3:70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</row>
    <row r="134" spans="3:70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</row>
    <row r="135" spans="3:70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</row>
    <row r="136" spans="3:70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</row>
    <row r="137" spans="3:70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</row>
    <row r="138" spans="3:70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</row>
    <row r="139" spans="3:70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</row>
    <row r="140" spans="3:70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</row>
    <row r="141" spans="3:70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</row>
    <row r="142" spans="3:70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</row>
    <row r="143" spans="3:70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</row>
    <row r="144" spans="3:70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</row>
    <row r="145" spans="3:70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</row>
    <row r="146" spans="3:70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</row>
    <row r="147" spans="3:70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</row>
    <row r="148" spans="3:70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</row>
    <row r="149" spans="3:70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</row>
    <row r="150" spans="3:70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</row>
    <row r="151" spans="3:70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</row>
    <row r="152" spans="3:70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</row>
    <row r="153" spans="3:70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</row>
    <row r="154" spans="3:70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</row>
    <row r="155" spans="3:70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</row>
    <row r="156" spans="3:70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</row>
    <row r="157" spans="3:70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</row>
    <row r="158" spans="3:70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</row>
    <row r="159" spans="3:70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</row>
    <row r="160" spans="3:70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</row>
    <row r="161" spans="3:70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</row>
    <row r="162" spans="3:70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</row>
    <row r="163" spans="3:70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</row>
    <row r="164" spans="3:70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</row>
    <row r="165" spans="3:70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</row>
    <row r="166" spans="3:70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</row>
    <row r="167" spans="3:70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</row>
    <row r="168" spans="3:70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</row>
    <row r="169" spans="3:70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</row>
    <row r="170" spans="3:70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</row>
    <row r="171" spans="3:70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</row>
    <row r="172" spans="3:70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</row>
    <row r="173" spans="3:70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</row>
    <row r="174" spans="3:70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</row>
    <row r="175" spans="3:70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</row>
    <row r="176" spans="3:70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</row>
    <row r="177" spans="3:70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</row>
    <row r="178" spans="3:70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</row>
    <row r="179" spans="3:70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</row>
    <row r="180" spans="3:70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</row>
    <row r="181" spans="3:70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</row>
    <row r="182" spans="3:70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</row>
    <row r="183" spans="3:70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</row>
    <row r="184" spans="3:70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</row>
    <row r="185" spans="3:70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</row>
    <row r="186" spans="3:70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</row>
    <row r="187" spans="3:70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</row>
    <row r="188" spans="3:70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</row>
    <row r="189" spans="3:70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</row>
    <row r="190" spans="3:70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</row>
    <row r="191" spans="3:70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</row>
    <row r="192" spans="3:70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</row>
    <row r="193" spans="3:70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</row>
    <row r="194" spans="3:70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</row>
    <row r="195" spans="3:70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</row>
    <row r="196" spans="3:70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</row>
    <row r="197" spans="3:70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</row>
    <row r="198" spans="3:70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</row>
    <row r="199" spans="3:70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</row>
    <row r="200" spans="3:70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</row>
    <row r="201" spans="3:70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</row>
    <row r="202" spans="3:70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</row>
    <row r="203" spans="3:70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</row>
    <row r="204" spans="3:70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</row>
    <row r="205" spans="3:70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</row>
    <row r="206" spans="3:70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</row>
    <row r="207" spans="3:70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</row>
    <row r="208" spans="3:70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</row>
    <row r="209" spans="3:70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</row>
    <row r="210" spans="3:70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</row>
    <row r="211" spans="3:70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</row>
    <row r="212" spans="3:70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</row>
    <row r="213" spans="3:70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</row>
    <row r="214" spans="3:70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</row>
    <row r="215" spans="3:70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</row>
    <row r="216" spans="3:70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</row>
    <row r="217" spans="3:70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</row>
    <row r="218" spans="3:70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</row>
    <row r="219" spans="3:70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</row>
    <row r="220" spans="3:70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</row>
    <row r="221" spans="3:70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</row>
    <row r="222" spans="3:70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</row>
    <row r="223" spans="3:70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</row>
    <row r="224" spans="3:70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</row>
    <row r="225" spans="3:70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</row>
    <row r="226" spans="3:70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</row>
    <row r="227" spans="3:70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</row>
    <row r="228" spans="3:70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</row>
    <row r="229" spans="3:70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</row>
    <row r="230" spans="3:70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</row>
  </sheetData>
  <hyperlinks>
    <hyperlink ref="A1" location="Main!A1" display="Main" xr:uid="{A51A8389-9346-47AB-AFAD-BD456710CC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2026-03-10T17:06:53Z</dcterms:created>
  <dcterms:modified xsi:type="dcterms:W3CDTF">2026-03-10T17:31:56Z</dcterms:modified>
</cp:coreProperties>
</file>