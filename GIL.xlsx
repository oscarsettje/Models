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A1EA74A-259D-41DC-A880-DE99207370DF}" xr6:coauthVersionLast="47" xr6:coauthVersionMax="47" xr10:uidLastSave="{00000000-0000-0000-0000-000000000000}"/>
  <bookViews>
    <workbookView xWindow="19095" yWindow="0" windowWidth="19410" windowHeight="20985" xr2:uid="{8FF81416-71A4-47E4-A621-F1E8D8B5CE9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P19" i="2"/>
  <c r="P16" i="2"/>
  <c r="P17" i="2"/>
  <c r="P15" i="2"/>
  <c r="P13" i="2"/>
  <c r="P26" i="2" s="1"/>
  <c r="P10" i="2"/>
  <c r="P27" i="2"/>
  <c r="P25" i="2"/>
  <c r="P24" i="2"/>
  <c r="O24" i="2"/>
  <c r="O16" i="2"/>
  <c r="O10" i="2"/>
  <c r="O25" i="2" s="1"/>
  <c r="K27" i="2"/>
  <c r="J27" i="2"/>
  <c r="H27" i="2"/>
  <c r="G27" i="2"/>
  <c r="E27" i="2"/>
  <c r="D27" i="2"/>
  <c r="C27" i="2"/>
  <c r="K26" i="2"/>
  <c r="E25" i="2"/>
  <c r="N24" i="2"/>
  <c r="M24" i="2"/>
  <c r="N23" i="2"/>
  <c r="M23" i="2"/>
  <c r="N22" i="2"/>
  <c r="M22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L23" i="2"/>
  <c r="L22" i="2"/>
  <c r="L24" i="2"/>
  <c r="J19" i="2"/>
  <c r="I19" i="2"/>
  <c r="F19" i="2"/>
  <c r="N10" i="2"/>
  <c r="N13" i="2" s="1"/>
  <c r="M10" i="2"/>
  <c r="M13" i="2" s="1"/>
  <c r="L10" i="2"/>
  <c r="L13" i="2" s="1"/>
  <c r="L15" i="2" s="1"/>
  <c r="L17" i="2" s="1"/>
  <c r="L19" i="2" s="1"/>
  <c r="K10" i="2"/>
  <c r="K13" i="2" s="1"/>
  <c r="K15" i="2" s="1"/>
  <c r="K17" i="2" s="1"/>
  <c r="K19" i="2" s="1"/>
  <c r="I4" i="1"/>
  <c r="E10" i="2"/>
  <c r="E13" i="2" s="1"/>
  <c r="E15" i="2" s="1"/>
  <c r="E17" i="2" s="1"/>
  <c r="E19" i="2" s="1"/>
  <c r="J10" i="2"/>
  <c r="J13" i="2" s="1"/>
  <c r="J15" i="2" s="1"/>
  <c r="J17" i="2" s="1"/>
  <c r="H10" i="2"/>
  <c r="H13" i="2" s="1"/>
  <c r="H15" i="2" s="1"/>
  <c r="H17" i="2" s="1"/>
  <c r="H19" i="2" s="1"/>
  <c r="G10" i="2"/>
  <c r="G13" i="2" s="1"/>
  <c r="G15" i="2" s="1"/>
  <c r="G17" i="2" s="1"/>
  <c r="G19" i="2" s="1"/>
  <c r="F10" i="2"/>
  <c r="F13" i="2" s="1"/>
  <c r="F15" i="2" s="1"/>
  <c r="F17" i="2" s="1"/>
  <c r="D10" i="2"/>
  <c r="D13" i="2" s="1"/>
  <c r="D15" i="2" s="1"/>
  <c r="D17" i="2" s="1"/>
  <c r="D19" i="2" s="1"/>
  <c r="C10" i="2"/>
  <c r="C13" i="2" s="1"/>
  <c r="C15" i="2" s="1"/>
  <c r="C17" i="2" s="1"/>
  <c r="C19" i="2" s="1"/>
  <c r="I10" i="2"/>
  <c r="I13" i="2" s="1"/>
  <c r="I15" i="2" s="1"/>
  <c r="I17" i="2" s="1"/>
  <c r="I7" i="1" l="1"/>
  <c r="L25" i="2"/>
  <c r="L27" i="2"/>
  <c r="L26" i="2"/>
  <c r="F27" i="2"/>
  <c r="N25" i="2"/>
  <c r="N26" i="2"/>
  <c r="N15" i="2"/>
  <c r="C25" i="2"/>
  <c r="I27" i="2"/>
  <c r="D25" i="2"/>
  <c r="H25" i="2"/>
  <c r="J25" i="2"/>
  <c r="K25" i="2"/>
  <c r="O13" i="2"/>
  <c r="C26" i="2"/>
  <c r="D26" i="2"/>
  <c r="E26" i="2"/>
  <c r="F26" i="2"/>
  <c r="G26" i="2"/>
  <c r="F25" i="2"/>
  <c r="G25" i="2"/>
  <c r="I25" i="2"/>
  <c r="H26" i="2"/>
  <c r="I26" i="2"/>
  <c r="J26" i="2"/>
  <c r="M25" i="2"/>
  <c r="M26" i="2"/>
  <c r="M15" i="2"/>
  <c r="O26" i="2" l="1"/>
  <c r="O15" i="2"/>
  <c r="N17" i="2"/>
  <c r="N19" i="2" s="1"/>
  <c r="N27" i="2"/>
  <c r="M27" i="2"/>
  <c r="M17" i="2"/>
  <c r="M19" i="2" s="1"/>
  <c r="O17" i="2" l="1"/>
  <c r="O19" i="2" s="1"/>
  <c r="O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tc={425B13C0-9EEF-4FF4-B9DF-4B417E5D09AC}</author>
    <author>tc={5E16E18E-42B1-4E89-9162-C7140307D0A5}</author>
  </authors>
  <commentList>
    <comment ref="O8" authorId="0" shapeId="0" xr:uid="{425B13C0-9EEF-4FF4-B9DF-4B417E5D09AC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Acquisition of HanesBrands</t>
      </text>
    </comment>
    <comment ref="P16" authorId="1" shapeId="0" xr:uid="{5E16E18E-42B1-4E89-9162-C7140307D0A5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from discont. operations</t>
      </text>
    </comment>
  </commentList>
</comments>
</file>

<file path=xl/sharedStrings.xml><?xml version="1.0" encoding="utf-8"?>
<sst xmlns="http://schemas.openxmlformats.org/spreadsheetml/2006/main" count="68" uniqueCount="58">
  <si>
    <t>Gildan Activewear</t>
  </si>
  <si>
    <t>GIL</t>
  </si>
  <si>
    <t>IR</t>
  </si>
  <si>
    <t>numbers in mio USD</t>
  </si>
  <si>
    <t>Price</t>
  </si>
  <si>
    <t>Shares</t>
  </si>
  <si>
    <t>MC</t>
  </si>
  <si>
    <t>Cash</t>
  </si>
  <si>
    <t>Debt</t>
  </si>
  <si>
    <t>EV</t>
  </si>
  <si>
    <t>Main</t>
  </si>
  <si>
    <t>Q324</t>
  </si>
  <si>
    <t>Q123</t>
  </si>
  <si>
    <t>Q223</t>
  </si>
  <si>
    <t>Q323</t>
  </si>
  <si>
    <t>Q423</t>
  </si>
  <si>
    <t>Q124</t>
  </si>
  <si>
    <t>Q224</t>
  </si>
  <si>
    <t>Q424</t>
  </si>
  <si>
    <t>FY18</t>
  </si>
  <si>
    <t>FY19</t>
  </si>
  <si>
    <t>FY20</t>
  </si>
  <si>
    <t>FY21</t>
  </si>
  <si>
    <t>FY22</t>
  </si>
  <si>
    <t>FY23</t>
  </si>
  <si>
    <t>FY24</t>
  </si>
  <si>
    <t>Activewear</t>
  </si>
  <si>
    <t>Hosiery &amp; underwear</t>
  </si>
  <si>
    <t>US</t>
  </si>
  <si>
    <t>Canada</t>
  </si>
  <si>
    <t>International</t>
  </si>
  <si>
    <t>Revenue</t>
  </si>
  <si>
    <t>COGS</t>
  </si>
  <si>
    <t>Gross Profit</t>
  </si>
  <si>
    <t>SGA</t>
  </si>
  <si>
    <t>Restructuring</t>
  </si>
  <si>
    <t>Operating Income</t>
  </si>
  <si>
    <t>Financial Expense</t>
  </si>
  <si>
    <t>Pretax Income</t>
  </si>
  <si>
    <t>Tax Expense</t>
  </si>
  <si>
    <t>Net Income</t>
  </si>
  <si>
    <t>EPS</t>
  </si>
  <si>
    <t>Q125</t>
  </si>
  <si>
    <t>Q225</t>
  </si>
  <si>
    <t>Q325</t>
  </si>
  <si>
    <t>Q425</t>
  </si>
  <si>
    <t>Activewear Growth</t>
  </si>
  <si>
    <t>Hosiery &amp; Underwear Growth</t>
  </si>
  <si>
    <t>Revenue Growth</t>
  </si>
  <si>
    <t>Gross Margin</t>
  </si>
  <si>
    <t>Operating Margin</t>
  </si>
  <si>
    <t>Tax Rate</t>
  </si>
  <si>
    <t>Q126</t>
  </si>
  <si>
    <t>Notes</t>
  </si>
  <si>
    <t>Acquisition of HanesBrand 01-12-2025</t>
  </si>
  <si>
    <t xml:space="preserve">Cash and Stock deal for about $2,2 billion </t>
  </si>
  <si>
    <t>n.a.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</si>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</sst>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5">
    <xf numFmtId="0" fontId="0" fillId="0" borderId="0" xfId="0"/>
    <xf numFmtId="0" fontId="6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7" fillId="0" borderId="0" xfId="1" applyFont="1"/>
    <xf numFmtId="164" fontId="6" fillId="0" borderId="0" xfId="0" applyNumberFormat="1" applyFont="1"/>
    <xf numFmtId="4" fontId="4" fillId="0" borderId="0" xfId="0" applyNumberFormat="1" applyFont="1"/>
    <xf numFmtId="0" fontId="3" fillId="0" borderId="0" xfId="0" applyFont="1"/>
    <xf numFmtId="9" fontId="4" fillId="0" borderId="0" xfId="2" applyFont="1"/>
    <xf numFmtId="9" fontId="6" fillId="0" borderId="0" xfId="2" applyFont="1"/>
    <xf numFmtId="0" fontId="2" fillId="0" borderId="0" xfId="0" applyFont="1" applyAlignment="1">
      <alignment horizontal="right"/>
    </xf>
    <xf numFmtId="0" fontId="1" fillId="0" borderId="0" xfId="0" applyFont="1"/>
    <xf numFmtId="0" fontId="10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8B33ADBE-04BB-4CBE-9B0B-CA0AD3C75760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6-08-18T08:55:26.00" personId="{8B33ADBE-04BB-4CBE-9B0B-CA0AD3C75760}" id="{425B13C0-9EEF-4FF4-B9DF-4B417E5D09AC}">
    <text>Acquisition of HanesBrands</text>
  </threadedComment>
  <threadedComment ref="P16" dT="2026-08-18T09:02:47.13" personId="{8B33ADBE-04BB-4CBE-9B0B-CA0AD3C75760}" id="{5E16E18E-42B1-4E89-9162-C7140307D0A5}">
    <text>Loss from discont. operations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ldancorp.com/en/investor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E32F-57FA-4DDA-8E39-E87CCA06F538}">
  <dimension ref="A1:J11"/>
  <sheetViews>
    <sheetView tabSelected="1" topLeftCell="B1" zoomScale="200" zoomScaleNormal="200" workbookViewId="0">
      <selection activeCell="I3" sqref="I3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3</v>
      </c>
      <c r="H2" s="2" t="s">
        <v>4</v>
      </c>
      <c r="I2" s="2">
        <v>55.89</v>
      </c>
    </row>
    <row r="3" spans="1:10" x14ac:dyDescent="0.2">
      <c r="H3" s="2" t="s">
        <v>5</v>
      </c>
      <c r="I3" s="3">
        <v>185.17599999999999</v>
      </c>
      <c r="J3" s="14" t="s">
        <v>57</v>
      </c>
    </row>
    <row r="4" spans="1:10" x14ac:dyDescent="0.2">
      <c r="B4" s="2" t="s">
        <v>1</v>
      </c>
      <c r="H4" s="2" t="s">
        <v>6</v>
      </c>
      <c r="I4" s="3">
        <f>+I2*I3</f>
        <v>10349.486639999999</v>
      </c>
    </row>
    <row r="5" spans="1:10" x14ac:dyDescent="0.2">
      <c r="B5" s="5" t="s">
        <v>2</v>
      </c>
      <c r="H5" s="2" t="s">
        <v>7</v>
      </c>
      <c r="I5" s="3">
        <v>268.30200000000002</v>
      </c>
      <c r="J5" s="11" t="s">
        <v>52</v>
      </c>
    </row>
    <row r="6" spans="1:10" x14ac:dyDescent="0.2">
      <c r="H6" s="2" t="s">
        <v>8</v>
      </c>
      <c r="I6" s="3">
        <f>3585.88+945.181</f>
        <v>4531.0609999999997</v>
      </c>
      <c r="J6" s="11" t="s">
        <v>52</v>
      </c>
    </row>
    <row r="7" spans="1:10" x14ac:dyDescent="0.2">
      <c r="H7" s="2" t="s">
        <v>9</v>
      </c>
      <c r="I7" s="3">
        <f>+I4+I6-I5</f>
        <v>14612.245639999999</v>
      </c>
    </row>
    <row r="9" spans="1:10" x14ac:dyDescent="0.2">
      <c r="B9" s="13" t="s">
        <v>53</v>
      </c>
    </row>
    <row r="10" spans="1:10" x14ac:dyDescent="0.2">
      <c r="B10" s="12" t="s">
        <v>54</v>
      </c>
    </row>
    <row r="11" spans="1:10" x14ac:dyDescent="0.2">
      <c r="B11" s="12" t="s">
        <v>55</v>
      </c>
    </row>
  </sheetData>
  <hyperlinks>
    <hyperlink ref="B5" r:id="rId1" xr:uid="{53BBCEB7-43F2-4AEA-B949-335FF7101F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1822-DCFA-4201-859E-6001F7813102}">
  <dimension ref="A1:BY185"/>
  <sheetViews>
    <sheetView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20" sqref="P20"/>
    </sheetView>
  </sheetViews>
  <sheetFormatPr defaultRowHeight="12.75" x14ac:dyDescent="0.2"/>
  <cols>
    <col min="1" max="1" width="5.42578125" style="2" bestFit="1" customWidth="1"/>
    <col min="2" max="2" width="29.140625" style="2" customWidth="1"/>
    <col min="3" max="16384" width="9.140625" style="2"/>
  </cols>
  <sheetData>
    <row r="1" spans="1:77" x14ac:dyDescent="0.2">
      <c r="A1" s="5" t="s">
        <v>10</v>
      </c>
    </row>
    <row r="2" spans="1:77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11</v>
      </c>
      <c r="J2" s="4" t="s">
        <v>18</v>
      </c>
      <c r="K2" s="4" t="s">
        <v>42</v>
      </c>
      <c r="L2" s="4" t="s">
        <v>43</v>
      </c>
      <c r="M2" s="4" t="s">
        <v>44</v>
      </c>
      <c r="N2" s="4" t="s">
        <v>45</v>
      </c>
      <c r="O2" s="11" t="s">
        <v>52</v>
      </c>
      <c r="P2" s="11"/>
      <c r="Q2" s="11"/>
      <c r="R2" s="11"/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</row>
    <row r="3" spans="1:77" x14ac:dyDescent="0.2">
      <c r="B3" s="2" t="s">
        <v>26</v>
      </c>
      <c r="E3" s="2">
        <v>744.4</v>
      </c>
      <c r="G3" s="2">
        <v>592.1</v>
      </c>
      <c r="H3" s="2">
        <v>736.5</v>
      </c>
      <c r="I3" s="2">
        <v>788.3</v>
      </c>
      <c r="K3" s="2">
        <v>647.4</v>
      </c>
      <c r="L3" s="8">
        <v>822.2</v>
      </c>
      <c r="M3" s="2">
        <v>830.6</v>
      </c>
      <c r="O3" s="14" t="s">
        <v>56</v>
      </c>
      <c r="P3" s="14" t="s">
        <v>56</v>
      </c>
    </row>
    <row r="4" spans="1:77" x14ac:dyDescent="0.2">
      <c r="B4" s="12" t="s">
        <v>27</v>
      </c>
      <c r="C4" s="3"/>
      <c r="D4" s="3"/>
      <c r="E4" s="3">
        <v>125.5</v>
      </c>
      <c r="F4" s="3"/>
      <c r="G4" s="3">
        <v>103.7</v>
      </c>
      <c r="H4" s="3">
        <v>125.6</v>
      </c>
      <c r="I4" s="3">
        <v>102.8</v>
      </c>
      <c r="J4" s="3"/>
      <c r="K4" s="3">
        <v>64.3</v>
      </c>
      <c r="L4" s="3">
        <v>96.3</v>
      </c>
      <c r="M4" s="3">
        <v>80</v>
      </c>
      <c r="N4" s="3"/>
      <c r="O4" s="14" t="s">
        <v>56</v>
      </c>
      <c r="P4" s="14" t="s">
        <v>56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7" x14ac:dyDescent="0.2">
      <c r="B5" s="12" t="s">
        <v>28</v>
      </c>
      <c r="C5" s="3"/>
      <c r="D5" s="3"/>
      <c r="E5" s="3">
        <v>787.7</v>
      </c>
      <c r="F5" s="3"/>
      <c r="G5" s="3">
        <v>618</v>
      </c>
      <c r="H5" s="3">
        <v>763.7</v>
      </c>
      <c r="I5" s="3">
        <v>798.8</v>
      </c>
      <c r="J5" s="3"/>
      <c r="K5" s="3">
        <v>632.6</v>
      </c>
      <c r="L5" s="3">
        <v>825.6</v>
      </c>
      <c r="M5" s="3">
        <v>819.5</v>
      </c>
      <c r="N5" s="3"/>
      <c r="O5" s="3">
        <v>1069.0999999999999</v>
      </c>
      <c r="P5" s="3">
        <v>1458.6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7" x14ac:dyDescent="0.2">
      <c r="B6" s="2" t="s">
        <v>29</v>
      </c>
      <c r="C6" s="3"/>
      <c r="D6" s="3"/>
      <c r="E6" s="3">
        <v>28.9</v>
      </c>
      <c r="F6" s="3"/>
      <c r="G6" s="3">
        <v>25.3</v>
      </c>
      <c r="H6" s="3">
        <v>27.5</v>
      </c>
      <c r="I6" s="3">
        <v>28.2</v>
      </c>
      <c r="J6" s="3"/>
      <c r="K6" s="3">
        <v>27.9</v>
      </c>
      <c r="L6" s="3">
        <v>32</v>
      </c>
      <c r="M6" s="3">
        <v>30.8</v>
      </c>
      <c r="N6" s="3"/>
      <c r="O6" s="3">
        <v>25</v>
      </c>
      <c r="P6" s="3">
        <v>42.9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7" x14ac:dyDescent="0.2">
      <c r="B7" s="2" t="s">
        <v>30</v>
      </c>
      <c r="C7" s="3"/>
      <c r="D7" s="3"/>
      <c r="E7" s="3">
        <v>53.3</v>
      </c>
      <c r="F7" s="3"/>
      <c r="G7" s="3">
        <v>52.5</v>
      </c>
      <c r="H7" s="3">
        <v>70.900000000000006</v>
      </c>
      <c r="I7" s="3">
        <v>64.099999999999994</v>
      </c>
      <c r="J7" s="3"/>
      <c r="K7" s="3">
        <v>51.2</v>
      </c>
      <c r="L7" s="3">
        <v>60.9</v>
      </c>
      <c r="M7" s="3">
        <v>60.3</v>
      </c>
      <c r="N7" s="3"/>
      <c r="O7" s="3">
        <v>71.900000000000006</v>
      </c>
      <c r="P7" s="3">
        <v>101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7" x14ac:dyDescent="0.2">
      <c r="B8" s="1" t="s">
        <v>31</v>
      </c>
      <c r="C8" s="6"/>
      <c r="D8" s="6">
        <v>840.4</v>
      </c>
      <c r="E8" s="6">
        <v>869.90099999999995</v>
      </c>
      <c r="F8" s="6">
        <v>782.7</v>
      </c>
      <c r="G8" s="6">
        <v>695.79600000000005</v>
      </c>
      <c r="H8" s="6">
        <v>862.2</v>
      </c>
      <c r="I8" s="6">
        <v>891.10599999999999</v>
      </c>
      <c r="J8" s="6">
        <v>821.5</v>
      </c>
      <c r="K8" s="6">
        <v>711.67200000000003</v>
      </c>
      <c r="L8" s="6">
        <v>918.5</v>
      </c>
      <c r="M8" s="6">
        <v>910.6</v>
      </c>
      <c r="N8" s="6"/>
      <c r="O8" s="6">
        <v>1166</v>
      </c>
      <c r="P8" s="6">
        <v>1582.4739999999999</v>
      </c>
      <c r="Q8" s="6"/>
      <c r="R8" s="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 x14ac:dyDescent="0.2">
      <c r="B9" s="2" t="s">
        <v>32</v>
      </c>
      <c r="C9" s="3"/>
      <c r="D9" s="3"/>
      <c r="E9" s="3">
        <v>630.66399999999999</v>
      </c>
      <c r="F9" s="3"/>
      <c r="G9" s="3">
        <v>484.66300000000001</v>
      </c>
      <c r="H9" s="3">
        <v>600.21600000000001</v>
      </c>
      <c r="I9" s="3">
        <v>613.49900000000002</v>
      </c>
      <c r="J9" s="3"/>
      <c r="K9" s="3">
        <v>489.73500000000001</v>
      </c>
      <c r="L9" s="3">
        <v>629.12900000000002</v>
      </c>
      <c r="M9" s="3">
        <v>603.97</v>
      </c>
      <c r="N9" s="3"/>
      <c r="O9" s="3">
        <v>887.59</v>
      </c>
      <c r="P9" s="3">
        <v>1122.712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7" x14ac:dyDescent="0.2">
      <c r="B10" s="2" t="s">
        <v>33</v>
      </c>
      <c r="C10" s="3">
        <f t="shared" ref="C10:H10" si="0">+C8-C9</f>
        <v>0</v>
      </c>
      <c r="D10" s="3">
        <f t="shared" si="0"/>
        <v>840.4</v>
      </c>
      <c r="E10" s="3">
        <f>+E8-E9</f>
        <v>239.23699999999997</v>
      </c>
      <c r="F10" s="3">
        <f t="shared" si="0"/>
        <v>782.7</v>
      </c>
      <c r="G10" s="3">
        <f t="shared" si="0"/>
        <v>211.13300000000004</v>
      </c>
      <c r="H10" s="3">
        <f t="shared" si="0"/>
        <v>261.98400000000004</v>
      </c>
      <c r="I10" s="3">
        <f>+I8-I9</f>
        <v>277.60699999999997</v>
      </c>
      <c r="J10" s="3">
        <f t="shared" ref="J10:P10" si="1">+J8-J9</f>
        <v>821.5</v>
      </c>
      <c r="K10" s="3">
        <f t="shared" si="1"/>
        <v>221.93700000000001</v>
      </c>
      <c r="L10" s="3">
        <f t="shared" si="1"/>
        <v>289.37099999999998</v>
      </c>
      <c r="M10" s="3">
        <f t="shared" si="1"/>
        <v>306.63</v>
      </c>
      <c r="N10" s="3">
        <f t="shared" si="1"/>
        <v>0</v>
      </c>
      <c r="O10" s="3">
        <f t="shared" si="1"/>
        <v>278.40999999999997</v>
      </c>
      <c r="P10" s="3">
        <f t="shared" si="1"/>
        <v>459.76199999999994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7" x14ac:dyDescent="0.2">
      <c r="B11" s="2" t="s">
        <v>34</v>
      </c>
      <c r="C11" s="3"/>
      <c r="D11" s="3"/>
      <c r="E11" s="3">
        <v>82.212999999999994</v>
      </c>
      <c r="F11" s="3"/>
      <c r="G11" s="3">
        <v>105.238</v>
      </c>
      <c r="H11" s="3">
        <v>123.63</v>
      </c>
      <c r="I11" s="3">
        <v>83.605000000000004</v>
      </c>
      <c r="J11" s="3"/>
      <c r="K11" s="3">
        <v>87.32</v>
      </c>
      <c r="L11" s="3">
        <v>81.739999999999995</v>
      </c>
      <c r="M11" s="3">
        <v>95.26</v>
      </c>
      <c r="N11" s="3"/>
      <c r="O11" s="3">
        <v>218.654</v>
      </c>
      <c r="P11" s="3">
        <v>193.84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7" x14ac:dyDescent="0.2">
      <c r="B12" s="2" t="s">
        <v>35</v>
      </c>
      <c r="C12" s="3"/>
      <c r="D12" s="3"/>
      <c r="E12" s="3">
        <v>2.0059999999999998</v>
      </c>
      <c r="F12" s="3"/>
      <c r="G12" s="3">
        <v>0.79800000000000004</v>
      </c>
      <c r="H12" s="3">
        <v>-2.8929999999999998</v>
      </c>
      <c r="I12" s="3">
        <v>1.0569999999999999</v>
      </c>
      <c r="J12" s="3"/>
      <c r="K12" s="3">
        <v>4.9710000000000001</v>
      </c>
      <c r="L12" s="3">
        <v>8.141</v>
      </c>
      <c r="M12" s="3">
        <v>19.231999999999999</v>
      </c>
      <c r="N12" s="3"/>
      <c r="O12" s="3">
        <v>60.976999999999997</v>
      </c>
      <c r="P12" s="3">
        <v>90.022999999999996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7" x14ac:dyDescent="0.2">
      <c r="B13" s="2" t="s">
        <v>36</v>
      </c>
      <c r="C13" s="3">
        <f t="shared" ref="C13:H13" si="2">+C10-SUM(C11:C12)</f>
        <v>0</v>
      </c>
      <c r="D13" s="3">
        <f t="shared" si="2"/>
        <v>840.4</v>
      </c>
      <c r="E13" s="3">
        <f t="shared" si="2"/>
        <v>155.01799999999997</v>
      </c>
      <c r="F13" s="3">
        <f t="shared" si="2"/>
        <v>782.7</v>
      </c>
      <c r="G13" s="3">
        <f t="shared" si="2"/>
        <v>105.09700000000004</v>
      </c>
      <c r="H13" s="3">
        <f t="shared" si="2"/>
        <v>141.24700000000004</v>
      </c>
      <c r="I13" s="3">
        <f>+I10-SUM(I11:I12)</f>
        <v>192.94499999999996</v>
      </c>
      <c r="J13" s="3">
        <f t="shared" ref="J13:P13" si="3">+J10-SUM(J11:J12)</f>
        <v>821.5</v>
      </c>
      <c r="K13" s="3">
        <f t="shared" si="3"/>
        <v>129.64600000000002</v>
      </c>
      <c r="L13" s="3">
        <f t="shared" si="3"/>
        <v>199.48999999999998</v>
      </c>
      <c r="M13" s="3">
        <f t="shared" si="3"/>
        <v>192.13799999999998</v>
      </c>
      <c r="N13" s="3">
        <f t="shared" si="3"/>
        <v>0</v>
      </c>
      <c r="O13" s="3">
        <f t="shared" si="3"/>
        <v>-1.2210000000000036</v>
      </c>
      <c r="P13" s="3">
        <f t="shared" si="3"/>
        <v>175.89899999999994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</row>
    <row r="14" spans="1:77" x14ac:dyDescent="0.2">
      <c r="B14" s="2" t="s">
        <v>37</v>
      </c>
      <c r="C14" s="3"/>
      <c r="D14" s="3"/>
      <c r="E14" s="3">
        <v>20.748000000000001</v>
      </c>
      <c r="F14" s="3"/>
      <c r="G14" s="3">
        <v>22.725999999999999</v>
      </c>
      <c r="H14" s="3">
        <v>24.271999999999998</v>
      </c>
      <c r="I14" s="3">
        <v>30.216999999999999</v>
      </c>
      <c r="J14" s="3"/>
      <c r="K14" s="3">
        <v>29.864000000000001</v>
      </c>
      <c r="L14" s="3">
        <v>31.992000000000001</v>
      </c>
      <c r="M14" s="3">
        <v>43.707999999999998</v>
      </c>
      <c r="N14" s="3"/>
      <c r="O14" s="3">
        <v>66.733999999999995</v>
      </c>
      <c r="P14" s="3">
        <v>69.284999999999997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</row>
    <row r="15" spans="1:77" x14ac:dyDescent="0.2">
      <c r="B15" s="2" t="s">
        <v>38</v>
      </c>
      <c r="C15" s="3">
        <f t="shared" ref="C15:H15" si="4">+C13-C14</f>
        <v>0</v>
      </c>
      <c r="D15" s="3">
        <f t="shared" si="4"/>
        <v>840.4</v>
      </c>
      <c r="E15" s="3">
        <f t="shared" si="4"/>
        <v>134.26999999999998</v>
      </c>
      <c r="F15" s="3">
        <f t="shared" si="4"/>
        <v>782.7</v>
      </c>
      <c r="G15" s="3">
        <f t="shared" si="4"/>
        <v>82.371000000000038</v>
      </c>
      <c r="H15" s="3">
        <f t="shared" si="4"/>
        <v>116.97500000000005</v>
      </c>
      <c r="I15" s="3">
        <f>+I13-I14</f>
        <v>162.72799999999995</v>
      </c>
      <c r="J15" s="3">
        <f t="shared" ref="J15:P15" si="5">+J13-J14</f>
        <v>821.5</v>
      </c>
      <c r="K15" s="3">
        <f t="shared" si="5"/>
        <v>99.782000000000011</v>
      </c>
      <c r="L15" s="3">
        <f t="shared" si="5"/>
        <v>167.49799999999999</v>
      </c>
      <c r="M15" s="3">
        <f t="shared" si="5"/>
        <v>148.42999999999998</v>
      </c>
      <c r="N15" s="3">
        <f t="shared" si="5"/>
        <v>0</v>
      </c>
      <c r="O15" s="3">
        <f t="shared" si="5"/>
        <v>-67.954999999999998</v>
      </c>
      <c r="P15" s="3">
        <f t="shared" si="5"/>
        <v>106.61399999999995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77" x14ac:dyDescent="0.2">
      <c r="B16" s="2" t="s">
        <v>39</v>
      </c>
      <c r="C16" s="3"/>
      <c r="D16" s="3"/>
      <c r="E16" s="3">
        <v>6.9029999999999996</v>
      </c>
      <c r="F16" s="3"/>
      <c r="G16" s="3">
        <v>3.7040000000000002</v>
      </c>
      <c r="H16" s="3">
        <v>58.536999999999999</v>
      </c>
      <c r="I16" s="3">
        <v>31.254000000000001</v>
      </c>
      <c r="J16" s="3"/>
      <c r="K16" s="3">
        <v>15.1</v>
      </c>
      <c r="L16" s="3">
        <v>29.573</v>
      </c>
      <c r="M16" s="3">
        <v>28.242000000000001</v>
      </c>
      <c r="N16" s="3"/>
      <c r="O16" s="3">
        <f>-12.959+10.737</f>
        <v>-2.2219999999999995</v>
      </c>
      <c r="P16" s="3">
        <f>16.213+140.355</f>
        <v>156.56799999999998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</row>
    <row r="17" spans="1:77" x14ac:dyDescent="0.2">
      <c r="B17" s="2" t="s">
        <v>40</v>
      </c>
      <c r="C17" s="3">
        <f t="shared" ref="C17:H17" si="6">+C15-C16</f>
        <v>0</v>
      </c>
      <c r="D17" s="3">
        <f t="shared" si="6"/>
        <v>840.4</v>
      </c>
      <c r="E17" s="3">
        <f t="shared" si="6"/>
        <v>127.36699999999998</v>
      </c>
      <c r="F17" s="3">
        <f t="shared" si="6"/>
        <v>782.7</v>
      </c>
      <c r="G17" s="3">
        <f t="shared" si="6"/>
        <v>78.667000000000044</v>
      </c>
      <c r="H17" s="3">
        <f t="shared" si="6"/>
        <v>58.438000000000052</v>
      </c>
      <c r="I17" s="3">
        <f>+I15-I16</f>
        <v>131.47399999999996</v>
      </c>
      <c r="J17" s="3">
        <f t="shared" ref="J17:P17" si="7">+J15-J16</f>
        <v>821.5</v>
      </c>
      <c r="K17" s="3">
        <f t="shared" si="7"/>
        <v>84.682000000000016</v>
      </c>
      <c r="L17" s="3">
        <f t="shared" si="7"/>
        <v>137.92499999999998</v>
      </c>
      <c r="M17" s="3">
        <f t="shared" si="7"/>
        <v>120.18799999999997</v>
      </c>
      <c r="N17" s="3">
        <f t="shared" si="7"/>
        <v>0</v>
      </c>
      <c r="O17" s="3">
        <f t="shared" si="7"/>
        <v>-65.733000000000004</v>
      </c>
      <c r="P17" s="3">
        <f t="shared" si="7"/>
        <v>-49.954000000000036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</row>
    <row r="18" spans="1:77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</row>
    <row r="19" spans="1:77" x14ac:dyDescent="0.2">
      <c r="B19" s="2" t="s">
        <v>41</v>
      </c>
      <c r="C19" s="7" t="e">
        <f t="shared" ref="C19:P19" si="8">+C17/C20</f>
        <v>#DIV/0!</v>
      </c>
      <c r="D19" s="7" t="e">
        <f t="shared" si="8"/>
        <v>#DIV/0!</v>
      </c>
      <c r="E19" s="7">
        <f t="shared" si="8"/>
        <v>0.72744978210832323</v>
      </c>
      <c r="F19" s="7" t="e">
        <f t="shared" si="8"/>
        <v>#DIV/0!</v>
      </c>
      <c r="G19" s="7">
        <f t="shared" si="8"/>
        <v>0.46554856578114207</v>
      </c>
      <c r="H19" s="7">
        <f t="shared" si="8"/>
        <v>0.34783488586649242</v>
      </c>
      <c r="I19" s="7">
        <f t="shared" si="8"/>
        <v>0.81822481671873626</v>
      </c>
      <c r="J19" s="7" t="e">
        <f t="shared" si="8"/>
        <v>#DIV/0!</v>
      </c>
      <c r="K19" s="7">
        <f t="shared" ref="K19" si="9">+K17/K20</f>
        <v>0.55757695473251034</v>
      </c>
      <c r="L19" s="7">
        <f t="shared" si="8"/>
        <v>0.9148525490508217</v>
      </c>
      <c r="M19" s="7">
        <f t="shared" si="8"/>
        <v>0.80538765663740519</v>
      </c>
      <c r="N19" s="7" t="e">
        <f t="shared" si="8"/>
        <v>#DIV/0!</v>
      </c>
      <c r="O19" s="7">
        <f t="shared" si="8"/>
        <v>-0.35310327786074197</v>
      </c>
      <c r="P19" s="7">
        <f t="shared" si="8"/>
        <v>-0.26976498034302521</v>
      </c>
      <c r="Q19" s="7"/>
      <c r="R19" s="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</row>
    <row r="20" spans="1:77" x14ac:dyDescent="0.2">
      <c r="B20" s="2" t="s">
        <v>5</v>
      </c>
      <c r="C20" s="3"/>
      <c r="D20" s="3"/>
      <c r="E20" s="3">
        <v>175.08699999999999</v>
      </c>
      <c r="F20" s="3"/>
      <c r="G20" s="3">
        <v>168.977</v>
      </c>
      <c r="H20" s="3">
        <v>168.005</v>
      </c>
      <c r="I20" s="3">
        <v>160.68199999999999</v>
      </c>
      <c r="J20" s="3"/>
      <c r="K20" s="3">
        <v>151.875</v>
      </c>
      <c r="L20" s="3">
        <v>150.762</v>
      </c>
      <c r="M20" s="3">
        <v>149.22999999999999</v>
      </c>
      <c r="N20" s="3"/>
      <c r="O20" s="3">
        <v>186.15799999999999</v>
      </c>
      <c r="P20" s="3">
        <v>185.17599999999999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1:77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7" x14ac:dyDescent="0.2">
      <c r="B22" s="8" t="s">
        <v>46</v>
      </c>
      <c r="C22" s="3"/>
      <c r="D22" s="3"/>
      <c r="E22" s="3"/>
      <c r="F22" s="3"/>
      <c r="G22" s="9" t="e">
        <f t="shared" ref="G22:K22" si="10">+G3/C3-1</f>
        <v>#DIV/0!</v>
      </c>
      <c r="H22" s="9" t="e">
        <f t="shared" si="10"/>
        <v>#DIV/0!</v>
      </c>
      <c r="I22" s="9">
        <f t="shared" si="10"/>
        <v>5.8973670069854878E-2</v>
      </c>
      <c r="J22" s="9" t="e">
        <f t="shared" si="10"/>
        <v>#DIV/0!</v>
      </c>
      <c r="K22" s="9">
        <f t="shared" si="10"/>
        <v>9.3396385745651012E-2</v>
      </c>
      <c r="L22" s="9">
        <f>+L3/H3-1</f>
        <v>0.11636116768499671</v>
      </c>
      <c r="M22" s="9">
        <f t="shared" ref="M22:P22" si="11">+M3/I3-1</f>
        <v>5.3659774197640564E-2</v>
      </c>
      <c r="N22" s="9" t="e">
        <f t="shared" si="11"/>
        <v>#DIV/0!</v>
      </c>
      <c r="O22" s="14" t="s">
        <v>56</v>
      </c>
      <c r="P22" s="14" t="s">
        <v>56</v>
      </c>
      <c r="Q22" s="9"/>
      <c r="R22" s="9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7" x14ac:dyDescent="0.2">
      <c r="B23" s="8" t="s">
        <v>47</v>
      </c>
      <c r="C23" s="3"/>
      <c r="D23" s="3"/>
      <c r="E23" s="3"/>
      <c r="F23" s="3"/>
      <c r="G23" s="9" t="e">
        <f t="shared" ref="G23:K23" si="12">+G4/C4-1</f>
        <v>#DIV/0!</v>
      </c>
      <c r="H23" s="9" t="e">
        <f t="shared" si="12"/>
        <v>#DIV/0!</v>
      </c>
      <c r="I23" s="9">
        <f t="shared" si="12"/>
        <v>-0.18087649402390438</v>
      </c>
      <c r="J23" s="9" t="e">
        <f t="shared" si="12"/>
        <v>#DIV/0!</v>
      </c>
      <c r="K23" s="9">
        <f t="shared" si="12"/>
        <v>-0.37994214079074262</v>
      </c>
      <c r="L23" s="9">
        <f>+L4/H4-1</f>
        <v>-0.23328025477707004</v>
      </c>
      <c r="M23" s="9">
        <f t="shared" ref="M23:P23" si="13">+M4/I4-1</f>
        <v>-0.22178988326848248</v>
      </c>
      <c r="N23" s="9" t="e">
        <f t="shared" si="13"/>
        <v>#DIV/0!</v>
      </c>
      <c r="O23" s="14" t="s">
        <v>56</v>
      </c>
      <c r="P23" s="14" t="s">
        <v>56</v>
      </c>
      <c r="Q23" s="9"/>
      <c r="R23" s="9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7" s="1" customFormat="1" x14ac:dyDescent="0.2">
      <c r="A24" s="2"/>
      <c r="B24" s="1" t="s">
        <v>48</v>
      </c>
      <c r="C24" s="6"/>
      <c r="D24" s="6"/>
      <c r="E24" s="6"/>
      <c r="F24" s="6"/>
      <c r="G24" s="10" t="e">
        <f t="shared" ref="G24:K24" si="14">+G8/C8-1</f>
        <v>#DIV/0!</v>
      </c>
      <c r="H24" s="10">
        <f t="shared" si="14"/>
        <v>2.5940028557829731E-2</v>
      </c>
      <c r="I24" s="10">
        <f t="shared" si="14"/>
        <v>2.4376337077437693E-2</v>
      </c>
      <c r="J24" s="10">
        <f t="shared" si="14"/>
        <v>4.9571994378433626E-2</v>
      </c>
      <c r="K24" s="10">
        <f t="shared" si="14"/>
        <v>2.2817032578514418E-2</v>
      </c>
      <c r="L24" s="10">
        <f>+L8/H8-1</f>
        <v>6.529807469264659E-2</v>
      </c>
      <c r="M24" s="10">
        <f t="shared" ref="M24:N24" si="15">+M8/I8-1</f>
        <v>2.1876185324753772E-2</v>
      </c>
      <c r="N24" s="10">
        <f t="shared" si="15"/>
        <v>-1</v>
      </c>
      <c r="O24" s="10">
        <f>+O8/K8-1</f>
        <v>0.63839521577355862</v>
      </c>
      <c r="P24" s="10">
        <f>+P8/L8-1</f>
        <v>0.72288949373979317</v>
      </c>
      <c r="Q24" s="10"/>
      <c r="R24" s="10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</row>
    <row r="25" spans="1:77" x14ac:dyDescent="0.2">
      <c r="B25" s="8" t="s">
        <v>49</v>
      </c>
      <c r="C25" s="9" t="e">
        <f t="shared" ref="C25:K25" si="16">+C10/C8</f>
        <v>#DIV/0!</v>
      </c>
      <c r="D25" s="9">
        <f t="shared" si="16"/>
        <v>1</v>
      </c>
      <c r="E25" s="9">
        <f t="shared" si="16"/>
        <v>0.27501635243550698</v>
      </c>
      <c r="F25" s="9">
        <f t="shared" si="16"/>
        <v>1</v>
      </c>
      <c r="G25" s="9">
        <f t="shared" si="16"/>
        <v>0.30344095108336355</v>
      </c>
      <c r="H25" s="9">
        <f t="shared" si="16"/>
        <v>0.30385525400139179</v>
      </c>
      <c r="I25" s="9">
        <f t="shared" si="16"/>
        <v>0.31153083920431462</v>
      </c>
      <c r="J25" s="9">
        <f t="shared" si="16"/>
        <v>1</v>
      </c>
      <c r="K25" s="9">
        <f t="shared" si="16"/>
        <v>0.31185293224968808</v>
      </c>
      <c r="L25" s="9">
        <f>+L10/L8</f>
        <v>0.3150473598258029</v>
      </c>
      <c r="M25" s="9">
        <f t="shared" ref="M25:N25" si="17">+M10/M8</f>
        <v>0.33673402152426968</v>
      </c>
      <c r="N25" s="9" t="e">
        <f t="shared" si="17"/>
        <v>#DIV/0!</v>
      </c>
      <c r="O25" s="9">
        <f t="shared" ref="O25:P25" si="18">+O10/O8</f>
        <v>0.23877358490566036</v>
      </c>
      <c r="P25" s="9">
        <f t="shared" si="18"/>
        <v>0.29053368333381779</v>
      </c>
      <c r="Q25" s="9"/>
      <c r="R25" s="9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7" x14ac:dyDescent="0.2">
      <c r="B26" s="8" t="s">
        <v>50</v>
      </c>
      <c r="C26" s="9" t="e">
        <f t="shared" ref="C26:K26" si="19">+C13/C8</f>
        <v>#DIV/0!</v>
      </c>
      <c r="D26" s="9">
        <f t="shared" si="19"/>
        <v>1</v>
      </c>
      <c r="E26" s="9">
        <f t="shared" si="19"/>
        <v>0.17820188734120318</v>
      </c>
      <c r="F26" s="9">
        <f t="shared" si="19"/>
        <v>1</v>
      </c>
      <c r="G26" s="9">
        <f t="shared" si="19"/>
        <v>0.15104570879970569</v>
      </c>
      <c r="H26" s="9">
        <f t="shared" si="19"/>
        <v>0.16382161911389473</v>
      </c>
      <c r="I26" s="9">
        <f t="shared" si="19"/>
        <v>0.21652306235172916</v>
      </c>
      <c r="J26" s="9">
        <f t="shared" si="19"/>
        <v>1</v>
      </c>
      <c r="K26" s="9">
        <f t="shared" si="19"/>
        <v>0.18217100012365248</v>
      </c>
      <c r="L26" s="9">
        <f>+L13/L8</f>
        <v>0.21719107240065322</v>
      </c>
      <c r="M26" s="9">
        <f t="shared" ref="M26:N26" si="20">+M13/M8</f>
        <v>0.21100153744783656</v>
      </c>
      <c r="N26" s="9" t="e">
        <f t="shared" si="20"/>
        <v>#DIV/0!</v>
      </c>
      <c r="O26" s="9">
        <f t="shared" ref="O26:P26" si="21">+O13/O8</f>
        <v>-1.0471698113207579E-3</v>
      </c>
      <c r="P26" s="9">
        <f t="shared" si="21"/>
        <v>0.11115443286903921</v>
      </c>
      <c r="Q26" s="9"/>
      <c r="R26" s="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7" x14ac:dyDescent="0.2">
      <c r="B27" s="8" t="s">
        <v>51</v>
      </c>
      <c r="C27" s="9" t="e">
        <f t="shared" ref="C27:K27" si="22">+C16/C15</f>
        <v>#DIV/0!</v>
      </c>
      <c r="D27" s="9">
        <f t="shared" si="22"/>
        <v>0</v>
      </c>
      <c r="E27" s="9">
        <f t="shared" si="22"/>
        <v>5.141133536903255E-2</v>
      </c>
      <c r="F27" s="9">
        <f t="shared" si="22"/>
        <v>0</v>
      </c>
      <c r="G27" s="9">
        <f t="shared" si="22"/>
        <v>4.4967282174551704E-2</v>
      </c>
      <c r="H27" s="9">
        <f t="shared" si="22"/>
        <v>0.50042316734344927</v>
      </c>
      <c r="I27" s="9">
        <f t="shared" si="22"/>
        <v>0.19206282876948041</v>
      </c>
      <c r="J27" s="9">
        <f t="shared" si="22"/>
        <v>0</v>
      </c>
      <c r="K27" s="9">
        <f t="shared" si="22"/>
        <v>0.15132989918021283</v>
      </c>
      <c r="L27" s="9">
        <f>+L16/L15</f>
        <v>0.17655733202784513</v>
      </c>
      <c r="M27" s="9">
        <f t="shared" ref="M27:N27" si="23">+M16/M15</f>
        <v>0.19027150845516408</v>
      </c>
      <c r="N27" s="9" t="e">
        <f t="shared" si="23"/>
        <v>#DIV/0!</v>
      </c>
      <c r="O27" s="9">
        <f t="shared" ref="O27:P27" si="24">+O16/O15</f>
        <v>3.269810904274887E-2</v>
      </c>
      <c r="P27" s="9">
        <f t="shared" si="24"/>
        <v>1.4685500966102019</v>
      </c>
      <c r="Q27" s="9"/>
      <c r="R27" s="9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7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7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7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7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7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3:77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3:77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3:77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3:77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3:77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3:77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3:77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3:77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3:77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3:77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3:77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3:77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3:77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3:77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3:77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3:77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3:77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3:77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3:77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3:77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3:77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3:77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3:77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3:77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3:77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3:77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3:77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3:77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3:77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3:77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3:77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3:77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3:77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3:77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3:77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3:77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3:77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3:77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3:77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3:77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3:77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3:77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3:77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3:77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3:77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3:77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3:77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3:77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3:77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3:77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3:77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3:77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3:77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3:77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3:77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3:77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3:77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3:77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3:77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3:77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3:77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3:77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3:77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3:77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3:77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3:77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3:77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3:77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3:77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3:77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3:77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3:77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3:77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3:77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3:77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3:77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3:77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3:77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3:77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3:77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3:77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3:77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3:77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3:77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3:77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3:77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3:77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3:77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3:77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3:77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3:77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3:77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3:77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3:77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3:77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3:77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3:77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3:77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3:77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3:77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3:77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3:77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3:77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3:77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3:77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3:77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3:77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3:77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3:77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3:77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3:77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3:77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3:77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3:77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3:77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3:77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3:77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3:77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3:77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3:77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3:77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3:77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3:77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3:77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</row>
    <row r="157" spans="3:77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</row>
    <row r="158" spans="3:77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</row>
    <row r="159" spans="3:77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</row>
    <row r="160" spans="3:77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</row>
    <row r="161" spans="3:77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</row>
    <row r="162" spans="3:77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</row>
    <row r="163" spans="3:77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</row>
    <row r="164" spans="3:77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</row>
    <row r="165" spans="3:77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</row>
    <row r="166" spans="3:77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</row>
    <row r="167" spans="3:77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</row>
    <row r="168" spans="3:77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</row>
    <row r="169" spans="3:77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</row>
    <row r="170" spans="3:77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</row>
    <row r="171" spans="3:77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spans="3:77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3:77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3:77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3:77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3:77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3:77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3:77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3:77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3:77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3:77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3:77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3:77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3:77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3:77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</sheetData>
  <hyperlinks>
    <hyperlink ref="A1" location="Main!A1" display="Main" xr:uid="{A8C76D48-F522-4C09-BD43-42B6B98FB181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2025-01-31T16:30:31Z</dcterms:created>
  <dcterms:modified xsi:type="dcterms:W3CDTF">2026-08-18T09:04:31Z</dcterms:modified>
</cp:coreProperties>
</file>