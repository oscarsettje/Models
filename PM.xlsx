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CF0B32EC-DC02-4CD7-B2EA-0E39EA792729}" xr6:coauthVersionLast="47" xr6:coauthVersionMax="47" xr10:uidLastSave="{00000000-0000-0000-0000-000000000000}"/>
  <bookViews>
    <workbookView xWindow="-120" yWindow="-120" windowWidth="38640" windowHeight="21060" xr2:uid="{237199C3-ED65-4E36-BE9B-24893DBB0CE2}"/>
  </bookViews>
  <sheets>
    <sheet name="Main" sheetId="1" r:id="rId1"/>
    <sheet name="Model" sheetId="2" r:id="rId2"/>
    <sheet name="Ratios" sheetId="3" r:id="rId3"/>
    <sheet name="DC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" l="1"/>
  <c r="W149" i="2"/>
  <c r="W148" i="2"/>
  <c r="W147" i="2"/>
  <c r="W144" i="2"/>
  <c r="W131" i="2"/>
  <c r="W130" i="2"/>
  <c r="W123" i="2"/>
  <c r="W122" i="2"/>
  <c r="W111" i="2"/>
  <c r="W109" i="2"/>
  <c r="W103" i="2"/>
  <c r="W105" i="2" s="1"/>
  <c r="W95" i="2"/>
  <c r="W93" i="2"/>
  <c r="W88" i="2"/>
  <c r="W81" i="2"/>
  <c r="W76" i="2"/>
  <c r="W74" i="2"/>
  <c r="W63" i="2"/>
  <c r="W62" i="2"/>
  <c r="W57" i="2"/>
  <c r="W50" i="2"/>
  <c r="W49" i="2"/>
  <c r="W48" i="2"/>
  <c r="W47" i="2"/>
  <c r="W46" i="2"/>
  <c r="W45" i="2"/>
  <c r="W44" i="2"/>
  <c r="K7" i="1"/>
  <c r="V58" i="4" s="1"/>
  <c r="W41" i="2"/>
  <c r="W39" i="2"/>
  <c r="W37" i="2"/>
  <c r="W34" i="2"/>
  <c r="W31" i="2"/>
  <c r="W28" i="2"/>
  <c r="W17" i="2"/>
  <c r="W11" i="2"/>
  <c r="P6" i="2"/>
  <c r="Q6" i="2"/>
  <c r="R5" i="2"/>
  <c r="P20" i="2"/>
  <c r="P19" i="2"/>
  <c r="Q20" i="2"/>
  <c r="Q19" i="2"/>
  <c r="R20" i="2"/>
  <c r="R19" i="2"/>
  <c r="S17" i="2"/>
  <c r="N50" i="2"/>
  <c r="N49" i="2"/>
  <c r="N48" i="2"/>
  <c r="N47" i="2"/>
  <c r="N46" i="2"/>
  <c r="N45" i="2"/>
  <c r="N44" i="2"/>
  <c r="F17" i="2"/>
  <c r="F16" i="2"/>
  <c r="F15" i="2"/>
  <c r="F14" i="2"/>
  <c r="F13" i="2"/>
  <c r="J17" i="2"/>
  <c r="J16" i="2"/>
  <c r="J15" i="2"/>
  <c r="J14" i="2"/>
  <c r="J13" i="2"/>
  <c r="F22" i="2"/>
  <c r="F21" i="2"/>
  <c r="F20" i="2"/>
  <c r="F19" i="2"/>
  <c r="J22" i="2"/>
  <c r="J21" i="2"/>
  <c r="J20" i="2"/>
  <c r="J19" i="2"/>
  <c r="K24" i="2"/>
  <c r="G24" i="2"/>
  <c r="J24" i="2" s="1"/>
  <c r="L24" i="2"/>
  <c r="L45" i="2" s="1"/>
  <c r="M47" i="2"/>
  <c r="M46" i="2"/>
  <c r="M44" i="2"/>
  <c r="M24" i="2"/>
  <c r="M45" i="2" s="1"/>
  <c r="M28" i="2"/>
  <c r="M31" i="2" s="1"/>
  <c r="M34" i="2" s="1"/>
  <c r="M37" i="2" s="1"/>
  <c r="M39" i="2" s="1"/>
  <c r="M41" i="2" s="1"/>
  <c r="L47" i="2"/>
  <c r="L46" i="2"/>
  <c r="L44" i="2"/>
  <c r="L28" i="2"/>
  <c r="L48" i="2" s="1"/>
  <c r="K46" i="2"/>
  <c r="I46" i="2"/>
  <c r="H46" i="2"/>
  <c r="I45" i="2"/>
  <c r="H45" i="2"/>
  <c r="K44" i="2"/>
  <c r="I44" i="2"/>
  <c r="H44" i="2"/>
  <c r="G46" i="2"/>
  <c r="G44" i="2"/>
  <c r="J6" i="2"/>
  <c r="J5" i="2"/>
  <c r="J4" i="2"/>
  <c r="J3" i="2"/>
  <c r="J9" i="2"/>
  <c r="J10" i="2"/>
  <c r="J25" i="2"/>
  <c r="J23" i="2"/>
  <c r="F25" i="2"/>
  <c r="F24" i="2"/>
  <c r="F23" i="2"/>
  <c r="F6" i="2"/>
  <c r="F4" i="2"/>
  <c r="F3" i="2"/>
  <c r="F10" i="2"/>
  <c r="F9" i="2"/>
  <c r="E11" i="2"/>
  <c r="D11" i="2"/>
  <c r="C11" i="2"/>
  <c r="N17" i="2"/>
  <c r="M17" i="2"/>
  <c r="N11" i="2"/>
  <c r="K17" i="2"/>
  <c r="K11" i="2"/>
  <c r="L17" i="2"/>
  <c r="I17" i="2"/>
  <c r="H17" i="2"/>
  <c r="G17" i="2"/>
  <c r="E17" i="2"/>
  <c r="D17" i="2"/>
  <c r="C17" i="2"/>
  <c r="M11" i="2"/>
  <c r="L11" i="2"/>
  <c r="I11" i="2"/>
  <c r="H11" i="2"/>
  <c r="G11" i="2"/>
  <c r="K47" i="2"/>
  <c r="K28" i="2"/>
  <c r="K31" i="2" s="1"/>
  <c r="K34" i="2" s="1"/>
  <c r="J38" i="2"/>
  <c r="J35" i="2"/>
  <c r="J33" i="2"/>
  <c r="J32" i="2"/>
  <c r="J30" i="2"/>
  <c r="J29" i="2"/>
  <c r="J27" i="2"/>
  <c r="S47" i="2"/>
  <c r="R47" i="2"/>
  <c r="Q47" i="2"/>
  <c r="U46" i="2"/>
  <c r="T46" i="2"/>
  <c r="U45" i="2"/>
  <c r="T45" i="2"/>
  <c r="S45" i="2"/>
  <c r="R45" i="2"/>
  <c r="Q45" i="2"/>
  <c r="U44" i="2"/>
  <c r="T44" i="2"/>
  <c r="S44" i="2"/>
  <c r="R44" i="2"/>
  <c r="Q44" i="2"/>
  <c r="V46" i="2"/>
  <c r="V45" i="2"/>
  <c r="V44" i="2"/>
  <c r="U144" i="2"/>
  <c r="T144" i="2"/>
  <c r="S144" i="2"/>
  <c r="R144" i="2"/>
  <c r="Q144" i="2"/>
  <c r="P144" i="2"/>
  <c r="V144" i="2"/>
  <c r="V130" i="2"/>
  <c r="V131" i="2" s="1"/>
  <c r="V122" i="2"/>
  <c r="V111" i="2"/>
  <c r="V103" i="2"/>
  <c r="V93" i="2"/>
  <c r="V81" i="2"/>
  <c r="V88" i="2" s="1"/>
  <c r="V63" i="2"/>
  <c r="V74" i="2" s="1"/>
  <c r="V57" i="2"/>
  <c r="V62" i="2" s="1"/>
  <c r="V36" i="2"/>
  <c r="J36" i="2" s="1"/>
  <c r="U17" i="2"/>
  <c r="T17" i="2"/>
  <c r="V17" i="2"/>
  <c r="V11" i="2"/>
  <c r="V26" i="2"/>
  <c r="J26" i="2" s="1"/>
  <c r="F38" i="2"/>
  <c r="F36" i="2"/>
  <c r="F35" i="2"/>
  <c r="F33" i="2"/>
  <c r="F32" i="2"/>
  <c r="F29" i="2"/>
  <c r="F27" i="2"/>
  <c r="T5" i="2"/>
  <c r="U5" i="2"/>
  <c r="F5" i="2" s="1"/>
  <c r="P5" i="2"/>
  <c r="Q5" i="2"/>
  <c r="S5" i="2"/>
  <c r="P4" i="2"/>
  <c r="Q4" i="2"/>
  <c r="V60" i="4"/>
  <c r="V57" i="4"/>
  <c r="V31" i="4" a="1"/>
  <c r="V31" i="4" s="1"/>
  <c r="U31" i="4" a="1"/>
  <c r="U31" i="4" s="1"/>
  <c r="T31" i="4" a="1"/>
  <c r="T31" i="4" s="1"/>
  <c r="S31" i="4" a="1"/>
  <c r="S31" i="4" s="1"/>
  <c r="R31" i="4" a="1"/>
  <c r="R31" i="4" s="1"/>
  <c r="Q31" i="4" a="1"/>
  <c r="Q31" i="4" s="1"/>
  <c r="P31" i="4" a="1"/>
  <c r="P31" i="4" s="1"/>
  <c r="O31" i="4" a="1"/>
  <c r="O31" i="4" s="1"/>
  <c r="N31" i="4" a="1"/>
  <c r="N31" i="4" s="1"/>
  <c r="M31" i="4" a="1"/>
  <c r="M31" i="4" s="1"/>
  <c r="V25" i="4" a="1"/>
  <c r="V25" i="4" s="1"/>
  <c r="U25" i="4" a="1"/>
  <c r="U25" i="4" s="1"/>
  <c r="T25" i="4" a="1"/>
  <c r="T25" i="4" s="1"/>
  <c r="S25" i="4" a="1"/>
  <c r="S25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44" i="4"/>
  <c r="K44" i="4"/>
  <c r="J44" i="4"/>
  <c r="I44" i="4"/>
  <c r="H44" i="4"/>
  <c r="G44" i="4"/>
  <c r="L41" i="4"/>
  <c r="K41" i="4"/>
  <c r="J41" i="4"/>
  <c r="I41" i="4"/>
  <c r="H41" i="4"/>
  <c r="G41" i="4"/>
  <c r="L36" i="4"/>
  <c r="K36" i="4"/>
  <c r="J36" i="4"/>
  <c r="I36" i="4"/>
  <c r="H36" i="4"/>
  <c r="G36" i="4"/>
  <c r="J24" i="4"/>
  <c r="I24" i="4"/>
  <c r="H24" i="4"/>
  <c r="G24" i="4"/>
  <c r="J4" i="4"/>
  <c r="M52" i="4"/>
  <c r="N52" i="4" s="1"/>
  <c r="O52" i="4" s="1"/>
  <c r="P52" i="4" s="1"/>
  <c r="Q52" i="4" s="1"/>
  <c r="R52" i="4" s="1"/>
  <c r="S52" i="4" s="1"/>
  <c r="T52" i="4" s="1"/>
  <c r="U52" i="4" s="1"/>
  <c r="V52" i="4" s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E19" i="4"/>
  <c r="M48" i="2" l="1"/>
  <c r="M49" i="2"/>
  <c r="F11" i="2"/>
  <c r="M50" i="2"/>
  <c r="K45" i="2"/>
  <c r="G45" i="2"/>
  <c r="L31" i="2"/>
  <c r="J44" i="2"/>
  <c r="J46" i="2"/>
  <c r="J45" i="2"/>
  <c r="J11" i="2"/>
  <c r="K37" i="2"/>
  <c r="K39" i="2" s="1"/>
  <c r="K50" i="2"/>
  <c r="K48" i="2"/>
  <c r="K49" i="2"/>
  <c r="I45" i="4"/>
  <c r="J45" i="4"/>
  <c r="P3" i="2"/>
  <c r="I42" i="4"/>
  <c r="J42" i="4"/>
  <c r="V76" i="2"/>
  <c r="V95" i="2"/>
  <c r="V105" i="2" s="1"/>
  <c r="V28" i="2"/>
  <c r="H45" i="4"/>
  <c r="I25" i="4"/>
  <c r="J25" i="4"/>
  <c r="H42" i="4"/>
  <c r="H25" i="4"/>
  <c r="G42" i="4"/>
  <c r="G45" i="4"/>
  <c r="L49" i="2" l="1"/>
  <c r="L34" i="2"/>
  <c r="K41" i="2"/>
  <c r="V31" i="2"/>
  <c r="V48" i="2"/>
  <c r="D2" i="3"/>
  <c r="E2" i="3" s="1"/>
  <c r="F2" i="3" s="1"/>
  <c r="G2" i="3" s="1"/>
  <c r="H2" i="3" s="1"/>
  <c r="I2" i="3" s="1"/>
  <c r="Q130" i="2"/>
  <c r="Q131" i="2" s="1"/>
  <c r="U11" i="2"/>
  <c r="T11" i="2"/>
  <c r="R11" i="2"/>
  <c r="Q11" i="2"/>
  <c r="P11" i="2"/>
  <c r="S11" i="2"/>
  <c r="T149" i="2"/>
  <c r="T131" i="2"/>
  <c r="S131" i="2"/>
  <c r="R131" i="2"/>
  <c r="P131" i="2"/>
  <c r="U131" i="2"/>
  <c r="T122" i="2"/>
  <c r="K47" i="4" s="1"/>
  <c r="S122" i="2"/>
  <c r="J47" i="4" s="1"/>
  <c r="J48" i="4" s="1"/>
  <c r="R122" i="2"/>
  <c r="I47" i="4" s="1"/>
  <c r="I48" i="4" s="1"/>
  <c r="Q122" i="2"/>
  <c r="H47" i="4" s="1"/>
  <c r="H48" i="4" s="1"/>
  <c r="P122" i="2"/>
  <c r="G47" i="4" s="1"/>
  <c r="G48" i="4" s="1"/>
  <c r="U122" i="2"/>
  <c r="L47" i="4" s="1"/>
  <c r="T103" i="2"/>
  <c r="S103" i="2"/>
  <c r="R103" i="2"/>
  <c r="Q103" i="2"/>
  <c r="P103" i="2"/>
  <c r="U103" i="2"/>
  <c r="T93" i="2"/>
  <c r="S93" i="2"/>
  <c r="R93" i="2"/>
  <c r="Q93" i="2"/>
  <c r="P93" i="2"/>
  <c r="U93" i="2"/>
  <c r="T81" i="2"/>
  <c r="T88" i="2" s="1"/>
  <c r="S81" i="2"/>
  <c r="S88" i="2" s="1"/>
  <c r="R81" i="2"/>
  <c r="R88" i="2" s="1"/>
  <c r="Q81" i="2"/>
  <c r="Q88" i="2" s="1"/>
  <c r="P81" i="2"/>
  <c r="P88" i="2" s="1"/>
  <c r="U81" i="2"/>
  <c r="U88" i="2" s="1"/>
  <c r="T63" i="2"/>
  <c r="T74" i="2" s="1"/>
  <c r="S63" i="2"/>
  <c r="S74" i="2" s="1"/>
  <c r="R63" i="2"/>
  <c r="R74" i="2" s="1"/>
  <c r="Q63" i="2"/>
  <c r="Q74" i="2" s="1"/>
  <c r="P63" i="2"/>
  <c r="P74" i="2" s="1"/>
  <c r="U63" i="2"/>
  <c r="U74" i="2" s="1"/>
  <c r="T57" i="2"/>
  <c r="T62" i="2" s="1"/>
  <c r="S57" i="2"/>
  <c r="S62" i="2" s="1"/>
  <c r="R57" i="2"/>
  <c r="R62" i="2" s="1"/>
  <c r="Q57" i="2"/>
  <c r="Q62" i="2" s="1"/>
  <c r="P57" i="2"/>
  <c r="P62" i="2" s="1"/>
  <c r="U57" i="2"/>
  <c r="U62" i="2" s="1"/>
  <c r="T26" i="2"/>
  <c r="T47" i="2" s="1"/>
  <c r="U26" i="2"/>
  <c r="I47" i="2"/>
  <c r="H47" i="2"/>
  <c r="G47" i="2"/>
  <c r="P29" i="2"/>
  <c r="Q29" i="2"/>
  <c r="R29" i="2"/>
  <c r="S28" i="2"/>
  <c r="S31" i="2" s="1"/>
  <c r="R28" i="2"/>
  <c r="R48" i="2" s="1"/>
  <c r="Q28" i="2"/>
  <c r="Q48" i="2" s="1"/>
  <c r="P28" i="2"/>
  <c r="E28" i="2"/>
  <c r="E31" i="2" s="1"/>
  <c r="E49" i="2" s="1"/>
  <c r="D28" i="2"/>
  <c r="D31" i="2" s="1"/>
  <c r="D49" i="2" s="1"/>
  <c r="C28" i="2"/>
  <c r="C48" i="2" s="1"/>
  <c r="J28" i="2"/>
  <c r="J31" i="2" s="1"/>
  <c r="J49" i="2" s="1"/>
  <c r="I28" i="2"/>
  <c r="I48" i="2" s="1"/>
  <c r="H28" i="2"/>
  <c r="H48" i="2" s="1"/>
  <c r="G28" i="2"/>
  <c r="G31" i="2" s="1"/>
  <c r="G49" i="2" s="1"/>
  <c r="K5" i="1"/>
  <c r="L37" i="2" l="1"/>
  <c r="L39" i="2" s="1"/>
  <c r="L41" i="2" s="1"/>
  <c r="L50" i="2"/>
  <c r="U47" i="2"/>
  <c r="V47" i="2"/>
  <c r="V49" i="2"/>
  <c r="V34" i="2"/>
  <c r="S34" i="2"/>
  <c r="S37" i="2" s="1"/>
  <c r="S39" i="2" s="1"/>
  <c r="J30" i="4"/>
  <c r="K24" i="4"/>
  <c r="K48" i="4" s="1"/>
  <c r="U28" i="2"/>
  <c r="U31" i="2" s="1"/>
  <c r="U49" i="2" s="1"/>
  <c r="L24" i="4"/>
  <c r="F26" i="2"/>
  <c r="P76" i="2"/>
  <c r="U95" i="2"/>
  <c r="U105" i="2" s="1"/>
  <c r="R76" i="2"/>
  <c r="Q95" i="2"/>
  <c r="Q105" i="2" s="1"/>
  <c r="R95" i="2"/>
  <c r="R105" i="2" s="1"/>
  <c r="S95" i="2"/>
  <c r="S105" i="2" s="1"/>
  <c r="Q76" i="2"/>
  <c r="P95" i="2"/>
  <c r="P105" i="2" s="1"/>
  <c r="U76" i="2"/>
  <c r="T76" i="2"/>
  <c r="S76" i="2"/>
  <c r="T95" i="2"/>
  <c r="T105" i="2" s="1"/>
  <c r="I31" i="2"/>
  <c r="I49" i="2" s="1"/>
  <c r="H31" i="2"/>
  <c r="H49" i="2" s="1"/>
  <c r="T28" i="2"/>
  <c r="T31" i="2" s="1"/>
  <c r="D48" i="2"/>
  <c r="J48" i="2"/>
  <c r="E48" i="2"/>
  <c r="G48" i="2"/>
  <c r="P31" i="2"/>
  <c r="P48" i="2"/>
  <c r="C31" i="2"/>
  <c r="C49" i="2" s="1"/>
  <c r="S49" i="2"/>
  <c r="Q31" i="2"/>
  <c r="S48" i="2"/>
  <c r="K8" i="1"/>
  <c r="R31" i="2"/>
  <c r="J34" i="2"/>
  <c r="D34" i="2"/>
  <c r="E34" i="2"/>
  <c r="G34" i="2"/>
  <c r="U48" i="2" l="1"/>
  <c r="S41" i="2"/>
  <c r="V37" i="2"/>
  <c r="V50" i="2"/>
  <c r="I6" i="3" s="1"/>
  <c r="S50" i="2"/>
  <c r="F6" i="3" s="1"/>
  <c r="S109" i="2"/>
  <c r="S123" i="2" s="1"/>
  <c r="S147" i="2" s="1"/>
  <c r="H30" i="4"/>
  <c r="P34" i="2"/>
  <c r="P37" i="2" s="1"/>
  <c r="G30" i="4"/>
  <c r="I30" i="4"/>
  <c r="J47" i="2"/>
  <c r="F28" i="2"/>
  <c r="T34" i="2"/>
  <c r="K30" i="4"/>
  <c r="L25" i="4"/>
  <c r="L45" i="4"/>
  <c r="L42" i="4"/>
  <c r="M24" i="4"/>
  <c r="U34" i="2"/>
  <c r="L30" i="4"/>
  <c r="L48" i="4"/>
  <c r="K31" i="4"/>
  <c r="K25" i="4"/>
  <c r="K45" i="4"/>
  <c r="K42" i="4"/>
  <c r="J39" i="4"/>
  <c r="J50" i="4" s="1"/>
  <c r="J37" i="4"/>
  <c r="J31" i="4"/>
  <c r="T49" i="2"/>
  <c r="F4" i="3"/>
  <c r="T48" i="2"/>
  <c r="I34" i="2"/>
  <c r="I50" i="2" s="1"/>
  <c r="C34" i="2"/>
  <c r="C37" i="2" s="1"/>
  <c r="C39" i="2" s="1"/>
  <c r="H34" i="2"/>
  <c r="H37" i="2" s="1"/>
  <c r="H39" i="2" s="1"/>
  <c r="P49" i="2"/>
  <c r="R34" i="2"/>
  <c r="R49" i="2"/>
  <c r="E37" i="2"/>
  <c r="E39" i="2" s="1"/>
  <c r="E50" i="2"/>
  <c r="J37" i="2"/>
  <c r="J39" i="2" s="1"/>
  <c r="J41" i="2" s="1"/>
  <c r="J50" i="2"/>
  <c r="Q34" i="2"/>
  <c r="Q49" i="2"/>
  <c r="G37" i="2"/>
  <c r="G39" i="2" s="1"/>
  <c r="G42" i="2" s="1"/>
  <c r="G50" i="2"/>
  <c r="D37" i="2"/>
  <c r="D39" i="2" s="1"/>
  <c r="D50" i="2"/>
  <c r="P50" i="2" l="1"/>
  <c r="C6" i="3" s="1"/>
  <c r="V39" i="2"/>
  <c r="I4" i="3" s="1"/>
  <c r="V109" i="2"/>
  <c r="V123" i="2" s="1"/>
  <c r="V147" i="2" s="1"/>
  <c r="H42" i="2"/>
  <c r="N24" i="4"/>
  <c r="M30" i="4"/>
  <c r="M36" i="4" s="1"/>
  <c r="M39" i="4" s="1"/>
  <c r="M41" i="4"/>
  <c r="M44" i="4"/>
  <c r="M47" i="4"/>
  <c r="K39" i="4"/>
  <c r="K50" i="4" s="1"/>
  <c r="K37" i="4"/>
  <c r="E42" i="2"/>
  <c r="L37" i="4"/>
  <c r="L31" i="4"/>
  <c r="L39" i="4"/>
  <c r="L50" i="4" s="1"/>
  <c r="U37" i="2"/>
  <c r="U50" i="2"/>
  <c r="H6" i="3" s="1"/>
  <c r="T37" i="2"/>
  <c r="T50" i="2"/>
  <c r="G6" i="3" s="1"/>
  <c r="F31" i="2"/>
  <c r="F48" i="2"/>
  <c r="D42" i="2"/>
  <c r="I39" i="4"/>
  <c r="I50" i="4" s="1"/>
  <c r="I37" i="4"/>
  <c r="I31" i="4"/>
  <c r="G37" i="4"/>
  <c r="G31" i="4"/>
  <c r="G39" i="4"/>
  <c r="G50" i="4" s="1"/>
  <c r="H39" i="4"/>
  <c r="H50" i="4" s="1"/>
  <c r="H31" i="4"/>
  <c r="H37" i="4"/>
  <c r="I37" i="2"/>
  <c r="I39" i="2" s="1"/>
  <c r="H50" i="2"/>
  <c r="C50" i="2"/>
  <c r="P39" i="2"/>
  <c r="P41" i="2" s="1"/>
  <c r="P109" i="2"/>
  <c r="P123" i="2" s="1"/>
  <c r="P147" i="2" s="1"/>
  <c r="C42" i="2"/>
  <c r="Q37" i="2"/>
  <c r="Q50" i="2"/>
  <c r="D6" i="3" s="1"/>
  <c r="R37" i="2"/>
  <c r="R50" i="2"/>
  <c r="E6" i="3" s="1"/>
  <c r="V41" i="2" l="1"/>
  <c r="C4" i="3"/>
  <c r="U39" i="2"/>
  <c r="U41" i="2" s="1"/>
  <c r="F41" i="2" s="1"/>
  <c r="U109" i="2"/>
  <c r="U123" i="2" s="1"/>
  <c r="U147" i="2" s="1"/>
  <c r="U149" i="2" s="1"/>
  <c r="V148" i="2" s="1"/>
  <c r="V149" i="2" s="1"/>
  <c r="F49" i="2"/>
  <c r="F34" i="2"/>
  <c r="T39" i="2"/>
  <c r="T41" i="2" s="1"/>
  <c r="T109" i="2"/>
  <c r="T123" i="2" s="1"/>
  <c r="T147" i="2" s="1"/>
  <c r="T148" i="2" s="1"/>
  <c r="S149" i="2" s="1"/>
  <c r="S148" i="2" s="1"/>
  <c r="R149" i="2" s="1"/>
  <c r="I42" i="2"/>
  <c r="M50" i="4"/>
  <c r="M51" i="4" s="1"/>
  <c r="N30" i="4"/>
  <c r="N36" i="4" s="1"/>
  <c r="N39" i="4" s="1"/>
  <c r="N44" i="4"/>
  <c r="O24" i="4"/>
  <c r="N41" i="4"/>
  <c r="N47" i="4"/>
  <c r="R39" i="2"/>
  <c r="R41" i="2" s="1"/>
  <c r="R109" i="2"/>
  <c r="R123" i="2" s="1"/>
  <c r="R147" i="2" s="1"/>
  <c r="R148" i="2" s="1"/>
  <c r="Q149" i="2" s="1"/>
  <c r="Q39" i="2"/>
  <c r="Q41" i="2" s="1"/>
  <c r="Q109" i="2"/>
  <c r="Q123" i="2" s="1"/>
  <c r="Q147" i="2" s="1"/>
  <c r="E4" i="3" l="1"/>
  <c r="O30" i="4"/>
  <c r="O36" i="4" s="1"/>
  <c r="O39" i="4" s="1"/>
  <c r="P24" i="4"/>
  <c r="O41" i="4"/>
  <c r="O47" i="4"/>
  <c r="O44" i="4"/>
  <c r="N50" i="4"/>
  <c r="N51" i="4" s="1"/>
  <c r="G4" i="3"/>
  <c r="F37" i="2"/>
  <c r="F39" i="2" s="1"/>
  <c r="F50" i="2"/>
  <c r="H4" i="3"/>
  <c r="D4" i="3"/>
  <c r="Q148" i="2"/>
  <c r="P149" i="2" s="1"/>
  <c r="P148" i="2" s="1"/>
  <c r="F42" i="2" l="1"/>
  <c r="P30" i="4"/>
  <c r="P36" i="4" s="1"/>
  <c r="P39" i="4" s="1"/>
  <c r="P47" i="4"/>
  <c r="P44" i="4"/>
  <c r="Q24" i="4"/>
  <c r="P41" i="4"/>
  <c r="O50" i="4"/>
  <c r="O51" i="4" s="1"/>
  <c r="Q30" i="4" l="1"/>
  <c r="Q36" i="4" s="1"/>
  <c r="Q39" i="4" s="1"/>
  <c r="Q41" i="4"/>
  <c r="R24" i="4"/>
  <c r="Q44" i="4"/>
  <c r="Q47" i="4"/>
  <c r="P50" i="4"/>
  <c r="P51" i="4" s="1"/>
  <c r="R30" i="4" l="1"/>
  <c r="R36" i="4" s="1"/>
  <c r="R39" i="4" s="1"/>
  <c r="R41" i="4"/>
  <c r="R47" i="4"/>
  <c r="R44" i="4"/>
  <c r="S24" i="4"/>
  <c r="Q50" i="4"/>
  <c r="Q51" i="4" s="1"/>
  <c r="S30" i="4" l="1"/>
  <c r="S36" i="4" s="1"/>
  <c r="S39" i="4" s="1"/>
  <c r="T24" i="4"/>
  <c r="S41" i="4"/>
  <c r="S44" i="4"/>
  <c r="S47" i="4"/>
  <c r="R50" i="4"/>
  <c r="R51" i="4" s="1"/>
  <c r="T30" i="4" l="1"/>
  <c r="T36" i="4" s="1"/>
  <c r="T39" i="4" s="1"/>
  <c r="T41" i="4"/>
  <c r="U24" i="4"/>
  <c r="T44" i="4"/>
  <c r="T47" i="4"/>
  <c r="S50" i="4"/>
  <c r="S51" i="4" s="1"/>
  <c r="U30" i="4" l="1"/>
  <c r="U36" i="4" s="1"/>
  <c r="U39" i="4" s="1"/>
  <c r="U44" i="4"/>
  <c r="V24" i="4"/>
  <c r="U41" i="4"/>
  <c r="U47" i="4"/>
  <c r="T50" i="4"/>
  <c r="T51" i="4" s="1"/>
  <c r="V30" i="4" l="1"/>
  <c r="V36" i="4" s="1"/>
  <c r="V39" i="4" s="1"/>
  <c r="V44" i="4"/>
  <c r="V41" i="4"/>
  <c r="V47" i="4"/>
  <c r="U50" i="4"/>
  <c r="U51" i="4" s="1"/>
  <c r="V50" i="4" l="1"/>
  <c r="V54" i="4" l="1"/>
  <c r="V55" i="4" s="1"/>
  <c r="V51" i="4"/>
  <c r="V53" i="4" s="1"/>
  <c r="V56" i="4" l="1"/>
  <c r="V59" i="4" s="1"/>
  <c r="V61" i="4" s="1"/>
  <c r="J5" i="4" s="1"/>
  <c r="J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tc={60C457F6-0A5B-42B0-A6CB-E4392F3ECD90}</author>
    <author>tc={CA3C97D7-CFE0-42FC-A660-505CA279681F}</author>
    <author>Oscar Settje</author>
  </authors>
  <commentList>
    <comment ref="B20" authorId="0" shapeId="0" xr:uid="{60C457F6-0A5B-42B0-A6CB-E4392F3ECD9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South &amp; Southeast Asia, Commonwealth, Middle East &amp; Africa</t>
      </text>
    </comment>
    <comment ref="B21" authorId="1" shapeId="0" xr:uid="{CA3C97D7-CFE0-42FC-A660-505CA279681F}">
      <text>
        <t>[Threaded comment]
Your version of Excel allows you to read this threaded comment; however, any edits to it will get removed if the file is opened in a newer version of Excel. Learn more: https://go.microsoft.com/fwlink/?linkid=870924
Comment:
    East Asia, Australia, PMI Global Travel Retail</t>
      </text>
    </comment>
    <comment ref="V36" authorId="2" shapeId="0" xr:uid="{6D5C46FB-CE0D-4CA2-86E1-CFA7528B5569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Impairment related to RBH Eyquity Investment</t>
        </r>
      </text>
    </comment>
    <comment ref="V111" authorId="2" shapeId="0" xr:uid="{13110409-64B3-42BF-8836-F6B38B57281D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Impairment of RBH Equity Investment and Loss on Slae of Vectura Group</t>
        </r>
      </text>
    </comment>
    <comment ref="Q130" authorId="2" shapeId="0" xr:uid="{0C4B47A4-4CF9-483E-A432-77B5692BE9A4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Deconsolidation of RBH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<sst xmlns="http://schemas.openxmlformats.org/spreadsheetml/2006/main" count="334" uniqueCount="269">
  <si>
    <t>Philipp Morris</t>
  </si>
  <si>
    <t>Price</t>
  </si>
  <si>
    <t>Shares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</si>
  <si>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</si>
  <si>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</si>
  <si>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</si>
  <si>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</si>
  <si>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</si>
  <si>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</si>
  <si>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</si>
  <si>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</si>
  <si>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</si>
  <si>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</si>
  <si>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</si>
  <si>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</si>
  <si>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</si>
  <si>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x</t>
  </si>
  <si>
    <t>Net Income</t>
  </si>
  <si>
    <t>Revenue</t>
  </si>
  <si>
    <t>COGS</t>
  </si>
  <si>
    <t>Gross Profit</t>
  </si>
  <si>
    <t>SGA</t>
  </si>
  <si>
    <t>Operating Profit</t>
  </si>
  <si>
    <t>Interest Expense</t>
  </si>
  <si>
    <t>Pension Expenses</t>
  </si>
  <si>
    <t>Pretax Income</t>
  </si>
  <si>
    <t>Income Tax Expense</t>
  </si>
  <si>
    <t>Minorities</t>
  </si>
  <si>
    <t>Net Income to Firm</t>
  </si>
  <si>
    <t>EPS</t>
  </si>
  <si>
    <t>Combustible Tabacco</t>
  </si>
  <si>
    <t>Smoke-Free</t>
  </si>
  <si>
    <t>FY18</t>
  </si>
  <si>
    <t>FY19</t>
  </si>
  <si>
    <t>FY20</t>
  </si>
  <si>
    <t>FY21</t>
  </si>
  <si>
    <t>FY22</t>
  </si>
  <si>
    <t>FY23</t>
  </si>
  <si>
    <t>FY24</t>
  </si>
  <si>
    <t>Other Income</t>
  </si>
  <si>
    <t>Revenue Growth</t>
  </si>
  <si>
    <t>Gross Margin</t>
  </si>
  <si>
    <t>Operating Margin</t>
  </si>
  <si>
    <t>Tax Margin</t>
  </si>
  <si>
    <t>Business Model</t>
  </si>
  <si>
    <t>Segment</t>
  </si>
  <si>
    <t>% of Revenue</t>
  </si>
  <si>
    <t>established 1847</t>
  </si>
  <si>
    <t>Cigarettes</t>
  </si>
  <si>
    <t>Brands</t>
  </si>
  <si>
    <t>Competitors</t>
  </si>
  <si>
    <t>12,5 b invested since 2008 for smoke-free products</t>
  </si>
  <si>
    <t>heat-not-burn</t>
  </si>
  <si>
    <t>vapors</t>
  </si>
  <si>
    <t>oral nicotine</t>
  </si>
  <si>
    <t>In 2022 acquistion of Swedish Match AB -&gt; Leader for orinal nicotine (snus)</t>
  </si>
  <si>
    <t>ZYN</t>
  </si>
  <si>
    <t>IQOS</t>
  </si>
  <si>
    <t>Smoke-Free:</t>
  </si>
  <si>
    <t>Markets</t>
  </si>
  <si>
    <t>Malboro, Parliament, Chesterfield, L&amp;M, PM, Local Brands</t>
  </si>
  <si>
    <t>IQOS, Zynn</t>
  </si>
  <si>
    <t>IQOS HEETS</t>
  </si>
  <si>
    <t>Wellnes/Health</t>
  </si>
  <si>
    <t>Health Wellnes</t>
  </si>
  <si>
    <t>Balance Sheet</t>
  </si>
  <si>
    <t>Cash and Cash Equivalents</t>
  </si>
  <si>
    <t>Inventories</t>
  </si>
  <si>
    <t>Other Raw Materials</t>
  </si>
  <si>
    <t>Tobacco Leaf</t>
  </si>
  <si>
    <t>Finished Products</t>
  </si>
  <si>
    <t>Other Current Assets</t>
  </si>
  <si>
    <t>Total Current Assets</t>
  </si>
  <si>
    <t>Other Receivables</t>
  </si>
  <si>
    <t>Account Receivables</t>
  </si>
  <si>
    <t>PP&amp;E at Cost:</t>
  </si>
  <si>
    <t xml:space="preserve">Land </t>
  </si>
  <si>
    <t>Building and Equipment</t>
  </si>
  <si>
    <t>Machinery</t>
  </si>
  <si>
    <t>Construction in Progress</t>
  </si>
  <si>
    <t>Accumulated Depreciation</t>
  </si>
  <si>
    <t>Goodwill</t>
  </si>
  <si>
    <t>Other Intangibles</t>
  </si>
  <si>
    <t>Equity Investment</t>
  </si>
  <si>
    <t>Deffered Income Taxes</t>
  </si>
  <si>
    <t xml:space="preserve">Other </t>
  </si>
  <si>
    <t>Non-Current Assets</t>
  </si>
  <si>
    <t>Total Assets</t>
  </si>
  <si>
    <t>Short Term Borrowings</t>
  </si>
  <si>
    <t>Current Portion of Debt</t>
  </si>
  <si>
    <t>Accounts Payable</t>
  </si>
  <si>
    <t>Accrued Liabilties</t>
  </si>
  <si>
    <t>Marketing and Selling</t>
  </si>
  <si>
    <t>Taxes (Exclunfing Income Tax)</t>
  </si>
  <si>
    <t>Employment Cost</t>
  </si>
  <si>
    <t>Dividends Payable</t>
  </si>
  <si>
    <t>Other</t>
  </si>
  <si>
    <t>Income Tax</t>
  </si>
  <si>
    <t>Income Tax and other</t>
  </si>
  <si>
    <t>Total</t>
  </si>
  <si>
    <t>Current Liabilties</t>
  </si>
  <si>
    <t>Long-Term Debt</t>
  </si>
  <si>
    <t>Deffered Income Tax</t>
  </si>
  <si>
    <t>Non-Current Liabilities</t>
  </si>
  <si>
    <t>Total Liabilties</t>
  </si>
  <si>
    <t>Common Stock</t>
  </si>
  <si>
    <t>Additional Paid-In Capital</t>
  </si>
  <si>
    <t>Retained Earnings</t>
  </si>
  <si>
    <t>Accumalted Income</t>
  </si>
  <si>
    <t>Treassury Stock</t>
  </si>
  <si>
    <t xml:space="preserve">Minorties </t>
  </si>
  <si>
    <t>Total Equity</t>
  </si>
  <si>
    <t>Equity &amp; Laibilties</t>
  </si>
  <si>
    <t>Net Earnings</t>
  </si>
  <si>
    <t>Cash Flow Statement</t>
  </si>
  <si>
    <t>D&amp;A</t>
  </si>
  <si>
    <t>Goodwill Impairment</t>
  </si>
  <si>
    <t>Asset Impairment</t>
  </si>
  <si>
    <t>Receivables Net</t>
  </si>
  <si>
    <t>Change in WC:</t>
  </si>
  <si>
    <t>CFFO</t>
  </si>
  <si>
    <t>Pension Plan</t>
  </si>
  <si>
    <t>CapEx</t>
  </si>
  <si>
    <t>Other Acquisitions</t>
  </si>
  <si>
    <t>Acqusition of Swedish Match</t>
  </si>
  <si>
    <t>Altria Group Agreement</t>
  </si>
  <si>
    <t>Hedges and Derivates</t>
  </si>
  <si>
    <t>CFFI</t>
  </si>
  <si>
    <t>CFFF</t>
  </si>
  <si>
    <t>Net Issuance Short Term Borrowings</t>
  </si>
  <si>
    <t>Repayment Long-Term Borrowings</t>
  </si>
  <si>
    <t>Issuances Long-Term Borrowings</t>
  </si>
  <si>
    <t>Debt related to Swedish Match</t>
  </si>
  <si>
    <t>Repayment of Debt Related to SM</t>
  </si>
  <si>
    <t>Long-Term Debt Repaid</t>
  </si>
  <si>
    <t>Repurchase of Common Stock</t>
  </si>
  <si>
    <t>Dividend Paid</t>
  </si>
  <si>
    <t>Payments to acquire SM</t>
  </si>
  <si>
    <t>Payments to Non-Controlling Interest</t>
  </si>
  <si>
    <t>Issuance of Long Term Debt</t>
  </si>
  <si>
    <t>Currency Exchnage Effect</t>
  </si>
  <si>
    <t>Change in Cash</t>
  </si>
  <si>
    <t>Cash BOP</t>
  </si>
  <si>
    <t>Cash EOP</t>
  </si>
  <si>
    <t>Cigarrete Market-Share</t>
  </si>
  <si>
    <t>Smokefree Market-Share</t>
  </si>
  <si>
    <t>Total Market Share</t>
  </si>
  <si>
    <t>Ratios</t>
  </si>
  <si>
    <t>Average</t>
  </si>
  <si>
    <t>Median</t>
  </si>
  <si>
    <t>Etragskennzahlen</t>
  </si>
  <si>
    <t>Eigenkapitalrendite (ROE)</t>
  </si>
  <si>
    <t>Return on Capital Employed (ROCE)</t>
  </si>
  <si>
    <t>EBIT/(Long Term Assets + Working Capital (Exclusive of cash)-Accounts Payables)</t>
  </si>
  <si>
    <t>Return on Capital Invested (ROIC)</t>
  </si>
  <si>
    <t>(EBIT-Tax Expenses)/(Book Value of Equity + Book Value of Debt - Book Value of Cash)</t>
  </si>
  <si>
    <t>Retention Rate</t>
  </si>
  <si>
    <t>1 - Dividends/Net Income</t>
  </si>
  <si>
    <t>Expected Growth</t>
  </si>
  <si>
    <t>Retention rate * ROE</t>
  </si>
  <si>
    <t>Reinvestment Rate</t>
  </si>
  <si>
    <t>Net CapEx + Change in WC / EBIT * (1-t)</t>
  </si>
  <si>
    <t>Reinvestment rate * ROIC</t>
  </si>
  <si>
    <t>Kennzahlen zur finanziellen Stabilität</t>
  </si>
  <si>
    <t>EK-Quote</t>
  </si>
  <si>
    <t>Book Value of Equity/Total of Balance Sheet</t>
  </si>
  <si>
    <t>Gearing</t>
  </si>
  <si>
    <t>(Debt - Cash (Net Debt))/Book Value of Equity</t>
  </si>
  <si>
    <t>Net Debt / EBITDA</t>
  </si>
  <si>
    <t>Net Debt/EBITDA</t>
  </si>
  <si>
    <t>Goodwill-Anteil</t>
  </si>
  <si>
    <t>Goodwill/Balance Sheet Total</t>
  </si>
  <si>
    <t>Kennzahlen WC Management</t>
  </si>
  <si>
    <t>Debitorenlaufzeit</t>
  </si>
  <si>
    <t>Accounts Receivables/Revenue*360</t>
  </si>
  <si>
    <t>Kreditorenlaufzeit</t>
  </si>
  <si>
    <t>Accounts Payable/Revenue*360</t>
  </si>
  <si>
    <t>Umschlaghäufigkeit der Vorräte</t>
  </si>
  <si>
    <t>Cogs/Inventory</t>
  </si>
  <si>
    <t>Lagedauer</t>
  </si>
  <si>
    <t>360/Umschlaghäufigkeit der Vorräte</t>
  </si>
  <si>
    <t>Cash Conversion Cycle = Debitorenlaufzeit + Lagedauer - Kreditorenlaufzeit</t>
  </si>
  <si>
    <t>Bewertungskennzahlen</t>
  </si>
  <si>
    <t>Equitymultiplikatoren:</t>
  </si>
  <si>
    <t>Market Cap</t>
  </si>
  <si>
    <t>Share Price/EPS</t>
  </si>
  <si>
    <t>PEG Ratio</t>
  </si>
  <si>
    <t>P/E Ratio / Growth</t>
  </si>
  <si>
    <t>Market Cap/Book Vakue of Equity</t>
  </si>
  <si>
    <t>Entitymultipliaktoren</t>
  </si>
  <si>
    <t>EV/EBITDA</t>
  </si>
  <si>
    <t>EV/EBIT</t>
  </si>
  <si>
    <t>EV/FCF</t>
  </si>
  <si>
    <t>EV/Sales</t>
  </si>
  <si>
    <t>EV/Revenue</t>
  </si>
  <si>
    <t>Cash Conversion</t>
  </si>
  <si>
    <t>P/E Ratio</t>
  </si>
  <si>
    <t>P/B Ratio</t>
  </si>
  <si>
    <t>Ticker</t>
  </si>
  <si>
    <t>Share Price</t>
  </si>
  <si>
    <t>Date</t>
  </si>
  <si>
    <t>Fair Share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</si>
  <si>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</si>
  <si>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</si>
  <si>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</si>
  <si>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</si>
  <si>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</si>
  <si>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</si>
  <si>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</si>
  <si>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</si>
  <si>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</si>
  <si>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</si>
  <si>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</si>
  <si>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</si>
  <si>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WACC</t>
  </si>
  <si>
    <t>TGR</t>
  </si>
  <si>
    <t>Valuation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</si>
  <si>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</si>
  <si>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</si>
  <si>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</si>
  <si>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</si>
  <si>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</si>
  <si>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</si>
  <si>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</si>
  <si>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</si>
  <si>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Change in WC</t>
  </si>
  <si>
    <t>Unlevered Free Cashflow</t>
  </si>
  <si>
    <t>Present Value of unlevered FC</t>
  </si>
  <si>
    <t>Discount Period</t>
  </si>
  <si>
    <t>Sum of Present Value</t>
  </si>
  <si>
    <t>Terminal Value</t>
  </si>
  <si>
    <t>Present Value of TV</t>
  </si>
  <si>
    <t>Enterprise Value</t>
  </si>
  <si>
    <t>(+) Cash</t>
  </si>
  <si>
    <t>(-) Debt</t>
  </si>
  <si>
    <t>Equity Value</t>
  </si>
  <si>
    <t xml:space="preserve">Number of Shares </t>
  </si>
  <si>
    <t>Sensitivity Analysis</t>
  </si>
  <si>
    <t>PM</t>
  </si>
  <si>
    <t>Phil Morris DCF</t>
  </si>
  <si>
    <t>Net Income / Equity</t>
  </si>
  <si>
    <t>Interest Coverage Ratio</t>
  </si>
  <si>
    <t>EBIT/Interest Expense</t>
  </si>
  <si>
    <t>Subsidary of Altria Group (MO)</t>
  </si>
  <si>
    <t>Till 2008 intgrated in Phil Morris International -&gt;  Spin Off</t>
  </si>
  <si>
    <t>PM is responsible solely for International Markets and Altria Group for US Market</t>
  </si>
  <si>
    <t>Descripition</t>
  </si>
  <si>
    <t>numbers in mio USD</t>
  </si>
  <si>
    <t>Heated Tobacco</t>
  </si>
  <si>
    <t>Nicotine Pouches</t>
  </si>
  <si>
    <t xml:space="preserve">Snus </t>
  </si>
  <si>
    <t>Moist Snuff</t>
  </si>
  <si>
    <t>Other Oral Products</t>
  </si>
  <si>
    <t>Equity Investment Loss &amp; other</t>
  </si>
  <si>
    <t>Q125</t>
  </si>
  <si>
    <t>IR</t>
  </si>
  <si>
    <t>Q225</t>
  </si>
  <si>
    <t>Q325</t>
  </si>
  <si>
    <t>Q425</t>
  </si>
  <si>
    <t>Total Oral Products (in million cans)</t>
  </si>
  <si>
    <t>PMI Shimpment Volume</t>
  </si>
  <si>
    <t>Total (in billion units)</t>
  </si>
  <si>
    <t>TM excl. China and US</t>
  </si>
  <si>
    <t>Europe</t>
  </si>
  <si>
    <t>SSEA, CIS &amp; MEA</t>
  </si>
  <si>
    <t>Americas</t>
  </si>
  <si>
    <t>EA, AU, PMI GTR</t>
  </si>
  <si>
    <t>FY25</t>
  </si>
  <si>
    <t>https://web.quartr.com/search/all?articleId=bb65609e-1f13-4724-88ed-673487c6a60b&amp;documentType=article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</si>
</sst>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;\(#,##0.0\)"/>
    <numFmt numFmtId="165" formatCode="#,##0.0000;\(#,##0.0000\)"/>
    <numFmt numFmtId="166" formatCode="&quot;FY&quot;0"/>
    <numFmt numFmtId="167" formatCode="#,##0.0;[Red]#,##0.0"/>
    <numFmt numFmtId="168" formatCode="0.0%"/>
    <numFmt numFmtId="169" formatCode="&quot;FY&quot;0&quot;A&quot;"/>
    <numFmt numFmtId="170" formatCode="&quot;FY&quot;0&quot;E&quot;"/>
    <numFmt numFmtId="171" formatCode="0.0"/>
    <numFmt numFmtId="172" formatCode="#,##0;\(#,##0\)"/>
    <numFmt numFmtId="173" formatCode="#,##0.00;\(#,##0.00\)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11" fillId="0" borderId="0" xfId="1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72" fontId="3" fillId="0" borderId="0" xfId="0" applyNumberFormat="1" applyFont="1"/>
    <xf numFmtId="168" fontId="3" fillId="0" borderId="0" xfId="2" applyNumberFormat="1" applyFont="1" applyAlignment="1">
      <alignment horizontal="right"/>
    </xf>
    <xf numFmtId="168" fontId="3" fillId="0" borderId="0" xfId="2" applyNumberFormat="1" applyFont="1"/>
    <xf numFmtId="165" fontId="3" fillId="0" borderId="0" xfId="0" applyNumberFormat="1" applyFont="1"/>
    <xf numFmtId="168" fontId="3" fillId="0" borderId="0" xfId="0" applyNumberFormat="1" applyFont="1" applyAlignment="1">
      <alignment horizontal="right"/>
    </xf>
    <xf numFmtId="10" fontId="3" fillId="0" borderId="0" xfId="2" applyNumberFormat="1" applyFont="1"/>
    <xf numFmtId="0" fontId="12" fillId="0" borderId="0" xfId="0" applyFont="1"/>
    <xf numFmtId="0" fontId="3" fillId="0" borderId="0" xfId="0" applyFont="1" applyAlignment="1">
      <alignment horizontal="center"/>
    </xf>
    <xf numFmtId="0" fontId="9" fillId="0" borderId="0" xfId="0" applyFont="1"/>
    <xf numFmtId="172" fontId="9" fillId="0" borderId="0" xfId="0" applyNumberFormat="1" applyFont="1"/>
    <xf numFmtId="173" fontId="3" fillId="0" borderId="0" xfId="0" applyNumberFormat="1" applyFont="1"/>
    <xf numFmtId="9" fontId="3" fillId="0" borderId="0" xfId="2" applyFont="1"/>
    <xf numFmtId="164" fontId="9" fillId="0" borderId="0" xfId="0" applyNumberFormat="1" applyFont="1"/>
    <xf numFmtId="9" fontId="9" fillId="0" borderId="0" xfId="2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9" fillId="0" borderId="4" xfId="0" applyFont="1" applyBorder="1"/>
    <xf numFmtId="9" fontId="3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  <xf numFmtId="9" fontId="3" fillId="0" borderId="0" xfId="0" applyNumberFormat="1" applyFont="1"/>
    <xf numFmtId="0" fontId="3" fillId="0" borderId="8" xfId="0" applyFont="1" applyBorder="1"/>
    <xf numFmtId="0" fontId="3" fillId="0" borderId="7" xfId="0" applyFont="1" applyBorder="1"/>
    <xf numFmtId="0" fontId="9" fillId="0" borderId="9" xfId="0" applyFont="1" applyBorder="1"/>
    <xf numFmtId="9" fontId="3" fillId="0" borderId="10" xfId="0" applyNumberFormat="1" applyFont="1" applyBorder="1"/>
    <xf numFmtId="0" fontId="3" fillId="0" borderId="10" xfId="0" applyFont="1" applyBorder="1"/>
    <xf numFmtId="0" fontId="3" fillId="0" borderId="11" xfId="0" applyFont="1" applyBorder="1"/>
    <xf numFmtId="166" fontId="3" fillId="0" borderId="0" xfId="0" applyNumberFormat="1" applyFont="1"/>
    <xf numFmtId="2" fontId="3" fillId="0" borderId="0" xfId="0" applyNumberFormat="1" applyFont="1"/>
    <xf numFmtId="167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9" fillId="0" borderId="10" xfId="0" applyFont="1" applyBorder="1"/>
    <xf numFmtId="0" fontId="3" fillId="0" borderId="12" xfId="0" applyFont="1" applyBorder="1"/>
    <xf numFmtId="0" fontId="3" fillId="2" borderId="13" xfId="0" applyFont="1" applyFill="1" applyBorder="1" applyAlignment="1">
      <alignment horizontal="center"/>
    </xf>
    <xf numFmtId="2" fontId="3" fillId="2" borderId="13" xfId="0" applyNumberFormat="1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/>
    </xf>
    <xf numFmtId="14" fontId="3" fillId="2" borderId="14" xfId="0" applyNumberFormat="1" applyFont="1" applyFill="1" applyBorder="1" applyAlignment="1">
      <alignment horizontal="center"/>
    </xf>
    <xf numFmtId="9" fontId="3" fillId="2" borderId="14" xfId="2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3" borderId="0" xfId="0" applyFont="1" applyFill="1"/>
    <xf numFmtId="0" fontId="8" fillId="4" borderId="0" xfId="0" applyFont="1" applyFill="1"/>
    <xf numFmtId="0" fontId="10" fillId="4" borderId="0" xfId="0" applyFont="1" applyFill="1"/>
    <xf numFmtId="0" fontId="3" fillId="2" borderId="14" xfId="0" applyFont="1" applyFill="1" applyBorder="1" applyAlignment="1">
      <alignment horizontal="center"/>
    </xf>
    <xf numFmtId="168" fontId="3" fillId="2" borderId="14" xfId="2" applyNumberFormat="1" applyFont="1" applyFill="1" applyBorder="1" applyAlignment="1">
      <alignment horizontal="center"/>
    </xf>
    <xf numFmtId="169" fontId="8" fillId="3" borderId="0" xfId="0" applyNumberFormat="1" applyFont="1" applyFill="1"/>
    <xf numFmtId="170" fontId="8" fillId="3" borderId="0" xfId="0" applyNumberFormat="1" applyFont="1" applyFill="1"/>
    <xf numFmtId="0" fontId="14" fillId="0" borderId="0" xfId="0" applyFont="1" applyAlignment="1">
      <alignment horizontal="left" indent="1"/>
    </xf>
    <xf numFmtId="0" fontId="14" fillId="0" borderId="0" xfId="0" applyFont="1"/>
    <xf numFmtId="9" fontId="14" fillId="0" borderId="0" xfId="2" applyFont="1"/>
    <xf numFmtId="168" fontId="3" fillId="2" borderId="14" xfId="2" applyNumberFormat="1" applyFont="1" applyFill="1" applyBorder="1" applyAlignment="1">
      <alignment horizontal="left"/>
    </xf>
    <xf numFmtId="168" fontId="3" fillId="2" borderId="14" xfId="2" applyNumberFormat="1" applyFont="1" applyFill="1" applyBorder="1" applyAlignment="1">
      <alignment horizontal="right"/>
    </xf>
    <xf numFmtId="0" fontId="9" fillId="5" borderId="1" xfId="0" applyFont="1" applyFill="1" applyBorder="1"/>
    <xf numFmtId="0" fontId="9" fillId="5" borderId="2" xfId="0" applyFont="1" applyFill="1" applyBorder="1"/>
    <xf numFmtId="167" fontId="9" fillId="5" borderId="2" xfId="0" applyNumberFormat="1" applyFont="1" applyFill="1" applyBorder="1"/>
    <xf numFmtId="167" fontId="9" fillId="5" borderId="3" xfId="0" applyNumberFormat="1" applyFont="1" applyFill="1" applyBorder="1"/>
    <xf numFmtId="168" fontId="14" fillId="0" borderId="0" xfId="2" applyNumberFormat="1" applyFont="1"/>
    <xf numFmtId="168" fontId="14" fillId="0" borderId="0" xfId="0" applyNumberFormat="1" applyFont="1"/>
    <xf numFmtId="167" fontId="9" fillId="5" borderId="4" xfId="0" applyNumberFormat="1" applyFont="1" applyFill="1" applyBorder="1"/>
    <xf numFmtId="167" fontId="9" fillId="5" borderId="5" xfId="0" applyNumberFormat="1" applyFont="1" applyFill="1" applyBorder="1"/>
    <xf numFmtId="167" fontId="9" fillId="5" borderId="6" xfId="0" applyNumberFormat="1" applyFont="1" applyFill="1" applyBorder="1"/>
    <xf numFmtId="167" fontId="9" fillId="5" borderId="9" xfId="0" applyNumberFormat="1" applyFont="1" applyFill="1" applyBorder="1"/>
    <xf numFmtId="167" fontId="9" fillId="5" borderId="10" xfId="0" applyNumberFormat="1" applyFont="1" applyFill="1" applyBorder="1"/>
    <xf numFmtId="167" fontId="9" fillId="5" borderId="11" xfId="0" applyNumberFormat="1" applyFont="1" applyFill="1" applyBorder="1"/>
    <xf numFmtId="167" fontId="3" fillId="0" borderId="10" xfId="0" applyNumberFormat="1" applyFont="1" applyBorder="1"/>
    <xf numFmtId="167" fontId="3" fillId="0" borderId="2" xfId="0" applyNumberFormat="1" applyFont="1" applyBorder="1"/>
    <xf numFmtId="0" fontId="3" fillId="6" borderId="4" xfId="0" applyFont="1" applyFill="1" applyBorder="1"/>
    <xf numFmtId="2" fontId="15" fillId="6" borderId="5" xfId="0" applyNumberFormat="1" applyFont="1" applyFill="1" applyBorder="1"/>
    <xf numFmtId="10" fontId="8" fillId="6" borderId="5" xfId="0" applyNumberFormat="1" applyFont="1" applyFill="1" applyBorder="1"/>
    <xf numFmtId="168" fontId="8" fillId="6" borderId="0" xfId="0" applyNumberFormat="1" applyFont="1" applyFill="1"/>
    <xf numFmtId="171" fontId="3" fillId="0" borderId="0" xfId="0" applyNumberFormat="1" applyFont="1"/>
    <xf numFmtId="0" fontId="13" fillId="0" borderId="7" xfId="0" applyFont="1" applyBorder="1"/>
    <xf numFmtId="0" fontId="2" fillId="0" borderId="0" xfId="0" applyFont="1"/>
    <xf numFmtId="168" fontId="2" fillId="0" borderId="0" xfId="2" applyNumberFormat="1" applyFont="1"/>
    <xf numFmtId="172" fontId="2" fillId="0" borderId="0" xfId="0" applyNumberFormat="1" applyFont="1"/>
    <xf numFmtId="0" fontId="1" fillId="0" borderId="0" xfId="0" applyFont="1" applyAlignment="1">
      <alignment horizontal="right"/>
    </xf>
    <xf numFmtId="10" fontId="3" fillId="0" borderId="0" xfId="0" applyNumberFormat="1" applyFont="1"/>
    <xf numFmtId="172" fontId="1" fillId="0" borderId="0" xfId="0" applyNumberFormat="1" applyFont="1"/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 vertical="center" textRotation="90"/>
    </xf>
    <xf numFmtId="0" fontId="9" fillId="6" borderId="16" xfId="0" applyFont="1" applyFill="1" applyBorder="1" applyAlignment="1">
      <alignment horizontal="center" vertical="center" textRotation="90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3B3D8D56-E700-4F07-B0A7-A82194824754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12-21T08:02:04.11" personId="{3B3D8D56-E700-4F07-B0A7-A82194824754}" id="{60C457F6-0A5B-42B0-A6CB-E4392F3ECD90}">
    <text>South &amp; Southeast Asia, Commonwealth, Middle East &amp; Africa</text>
  </threadedComment>
  <threadedComment ref="B21" dT="2025-12-21T08:02:45.04" personId="{3B3D8D56-E700-4F07-B0A7-A82194824754}" id="{CA3C97D7-CFE0-42FC-A660-505CA279681F}">
    <text>East Asia, Australia, PMI Global Travel Retail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mi.com/investor-relations/overvie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8893-A6D1-4F9C-9C30-8A2037A3C6D2}">
  <dimension ref="A1:L19"/>
  <sheetViews>
    <sheetView tabSelected="1" zoomScale="200" zoomScaleNormal="200" workbookViewId="0">
      <selection activeCell="B20" sqref="B20"/>
    </sheetView>
  </sheetViews>
  <sheetFormatPr defaultRowHeight="12.75" x14ac:dyDescent="0.2"/>
  <cols>
    <col min="1" max="1" width="4.42578125" style="2" customWidth="1"/>
    <col min="2" max="2" width="13.85546875" style="2" bestFit="1" customWidth="1"/>
    <col min="3" max="3" width="11.5703125" style="2" customWidth="1"/>
    <col min="4" max="4" width="47.85546875" style="2" bestFit="1" customWidth="1"/>
    <col min="5" max="5" width="7.42578125" style="2" bestFit="1" customWidth="1"/>
    <col min="6" max="6" width="11.7109375" style="2" bestFit="1" customWidth="1"/>
    <col min="7" max="9" width="9.140625" style="2"/>
    <col min="10" max="10" width="14.5703125" style="2" bestFit="1" customWidth="1"/>
    <col min="11" max="11" width="8.85546875" style="2" bestFit="1" customWidth="1"/>
    <col min="12" max="16384" width="9.140625" style="2"/>
  </cols>
  <sheetData>
    <row r="1" spans="1:12" x14ac:dyDescent="0.2">
      <c r="A1" s="14" t="s">
        <v>0</v>
      </c>
    </row>
    <row r="2" spans="1:12" x14ac:dyDescent="0.2">
      <c r="A2" s="2" t="s">
        <v>247</v>
      </c>
      <c r="J2" s="24"/>
    </row>
    <row r="3" spans="1:12" x14ac:dyDescent="0.2">
      <c r="D3" s="1" t="s">
        <v>255</v>
      </c>
      <c r="J3" s="2" t="s">
        <v>1</v>
      </c>
      <c r="K3" s="5">
        <v>182.31</v>
      </c>
    </row>
    <row r="4" spans="1:12" x14ac:dyDescent="0.2">
      <c r="B4" s="12" t="s">
        <v>44</v>
      </c>
      <c r="J4" s="2" t="s">
        <v>2</v>
      </c>
      <c r="K4" s="6">
        <v>1556.6795790000001</v>
      </c>
      <c r="L4" s="86" t="s">
        <v>258</v>
      </c>
    </row>
    <row r="5" spans="1:12" x14ac:dyDescent="0.2">
      <c r="B5" s="25" t="s">
        <v>45</v>
      </c>
      <c r="C5" s="26" t="s">
        <v>46</v>
      </c>
      <c r="D5" s="26" t="s">
        <v>49</v>
      </c>
      <c r="E5" s="26" t="s">
        <v>59</v>
      </c>
      <c r="F5" s="27" t="s">
        <v>50</v>
      </c>
      <c r="J5" s="2" t="s">
        <v>3</v>
      </c>
      <c r="K5" s="6">
        <f>K4*K3</f>
        <v>283798.25404749002</v>
      </c>
    </row>
    <row r="6" spans="1:12" x14ac:dyDescent="0.2">
      <c r="B6" s="28" t="s">
        <v>48</v>
      </c>
      <c r="C6" s="29">
        <v>0.63</v>
      </c>
      <c r="D6" s="30" t="s">
        <v>60</v>
      </c>
      <c r="E6" s="30">
        <v>175</v>
      </c>
      <c r="F6" s="31"/>
      <c r="J6" s="2" t="s">
        <v>4</v>
      </c>
      <c r="K6" s="6">
        <v>4872</v>
      </c>
      <c r="L6" s="86" t="s">
        <v>258</v>
      </c>
    </row>
    <row r="7" spans="1:12" x14ac:dyDescent="0.2">
      <c r="B7" s="82" t="s">
        <v>58</v>
      </c>
      <c r="C7" s="32">
        <v>0.36</v>
      </c>
      <c r="D7" s="2" t="s">
        <v>61</v>
      </c>
      <c r="E7" s="2">
        <v>84</v>
      </c>
      <c r="F7" s="33"/>
      <c r="J7" s="2" t="s">
        <v>5</v>
      </c>
      <c r="K7" s="6">
        <f>168+3533+45134</f>
        <v>48835</v>
      </c>
      <c r="L7" s="86" t="s">
        <v>258</v>
      </c>
    </row>
    <row r="8" spans="1:12" x14ac:dyDescent="0.2">
      <c r="B8" s="34" t="s">
        <v>52</v>
      </c>
      <c r="D8" s="2" t="s">
        <v>62</v>
      </c>
      <c r="F8" s="33"/>
      <c r="J8" s="2" t="s">
        <v>6</v>
      </c>
      <c r="K8" s="6">
        <f>K5-K6+K7</f>
        <v>327761.25404749002</v>
      </c>
    </row>
    <row r="9" spans="1:12" x14ac:dyDescent="0.2">
      <c r="B9" s="34" t="s">
        <v>53</v>
      </c>
      <c r="D9" s="2" t="s">
        <v>57</v>
      </c>
      <c r="F9" s="33"/>
    </row>
    <row r="10" spans="1:12" x14ac:dyDescent="0.2">
      <c r="B10" s="34" t="s">
        <v>54</v>
      </c>
      <c r="D10" s="2" t="s">
        <v>56</v>
      </c>
      <c r="F10" s="33"/>
    </row>
    <row r="11" spans="1:12" x14ac:dyDescent="0.2">
      <c r="B11" s="35" t="s">
        <v>63</v>
      </c>
      <c r="C11" s="36">
        <v>0.01</v>
      </c>
      <c r="D11" s="37"/>
      <c r="E11" s="37"/>
      <c r="F11" s="38"/>
    </row>
    <row r="13" spans="1:12" x14ac:dyDescent="0.2">
      <c r="B13" s="2" t="s">
        <v>47</v>
      </c>
    </row>
    <row r="14" spans="1:12" x14ac:dyDescent="0.2">
      <c r="B14" s="2" t="s">
        <v>51</v>
      </c>
    </row>
    <row r="15" spans="1:12" x14ac:dyDescent="0.2">
      <c r="B15" s="2" t="s">
        <v>55</v>
      </c>
    </row>
    <row r="16" spans="1:12" x14ac:dyDescent="0.2">
      <c r="B16" s="2" t="s">
        <v>243</v>
      </c>
    </row>
    <row r="17" spans="2:2" x14ac:dyDescent="0.2">
      <c r="B17" s="2" t="s">
        <v>244</v>
      </c>
    </row>
    <row r="18" spans="2:2" x14ac:dyDescent="0.2">
      <c r="B18" s="2" t="s">
        <v>245</v>
      </c>
    </row>
    <row r="19" spans="2:2" x14ac:dyDescent="0.2">
      <c r="B19" s="2" t="s">
        <v>268</v>
      </c>
    </row>
  </sheetData>
  <hyperlinks>
    <hyperlink ref="D3" r:id="rId1" xr:uid="{E5A29510-1B7A-4CFE-9AAF-A8E01DEE39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3366-37BF-42AE-A4D4-8E7E11818534}">
  <dimension ref="A1:AQ217"/>
  <sheetViews>
    <sheetView zoomScale="200" zoomScaleNormal="20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W25" sqref="W25"/>
    </sheetView>
  </sheetViews>
  <sheetFormatPr defaultRowHeight="12.75" x14ac:dyDescent="0.2"/>
  <cols>
    <col min="1" max="1" width="4.7109375" style="2" bestFit="1" customWidth="1"/>
    <col min="2" max="2" width="30.140625" style="2" bestFit="1" customWidth="1"/>
    <col min="3" max="15" width="9.140625" style="2"/>
    <col min="16" max="18" width="9.28515625" style="2" bestFit="1" customWidth="1"/>
    <col min="19" max="19" width="9.7109375" style="2" bestFit="1" customWidth="1"/>
    <col min="20" max="21" width="9.28515625" style="2" bestFit="1" customWidth="1"/>
    <col min="22" max="16384" width="9.140625" style="2"/>
  </cols>
  <sheetData>
    <row r="1" spans="1:37" x14ac:dyDescent="0.2">
      <c r="A1" s="1" t="s">
        <v>7</v>
      </c>
    </row>
    <row r="2" spans="1:37" x14ac:dyDescent="0.2"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254</v>
      </c>
      <c r="L2" s="3" t="s">
        <v>256</v>
      </c>
      <c r="M2" s="3" t="s">
        <v>257</v>
      </c>
      <c r="N2" s="3" t="s">
        <v>258</v>
      </c>
      <c r="O2" s="3"/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86" t="s">
        <v>267</v>
      </c>
    </row>
    <row r="3" spans="1:37" x14ac:dyDescent="0.2">
      <c r="B3" s="2" t="s">
        <v>262</v>
      </c>
      <c r="C3" s="3">
        <v>614.20000000000005</v>
      </c>
      <c r="D3" s="3">
        <v>647.20000000000005</v>
      </c>
      <c r="E3" s="3">
        <v>553.1</v>
      </c>
      <c r="F3" s="4">
        <f>+U3-SUM(C3:E3)</f>
        <v>765.40000000000009</v>
      </c>
      <c r="G3" s="5">
        <v>618.79999999999995</v>
      </c>
      <c r="H3" s="5">
        <v>657.2</v>
      </c>
      <c r="I3" s="5">
        <v>568.1</v>
      </c>
      <c r="J3" s="6">
        <f>+V3-SUM(G3:I3)</f>
        <v>773.90000000000009</v>
      </c>
      <c r="K3" s="5">
        <v>615.20000000000005</v>
      </c>
      <c r="L3" s="5">
        <v>654.5</v>
      </c>
      <c r="M3" s="5">
        <v>668.5</v>
      </c>
      <c r="N3" s="5"/>
      <c r="O3" s="5"/>
      <c r="P3" s="5">
        <f t="shared" ref="P3" si="0">P9*(1/P4)+(P10*(P5/1))</f>
        <v>2773.3773078052436</v>
      </c>
      <c r="Q3" s="5">
        <v>2705</v>
      </c>
      <c r="R3" s="5">
        <v>2561</v>
      </c>
      <c r="S3" s="5">
        <v>2620</v>
      </c>
      <c r="T3" s="5">
        <v>2621.5</v>
      </c>
      <c r="U3" s="5">
        <v>2579.9</v>
      </c>
      <c r="V3" s="5">
        <v>2618</v>
      </c>
      <c r="W3" s="5">
        <v>2587</v>
      </c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7" x14ac:dyDescent="0.2">
      <c r="B4" s="2" t="s">
        <v>144</v>
      </c>
      <c r="C4" s="7">
        <v>0.22700000000000001</v>
      </c>
      <c r="D4" s="7">
        <v>0.23400000000000001</v>
      </c>
      <c r="E4" s="7">
        <v>0.23699999999999999</v>
      </c>
      <c r="F4" s="8">
        <f>+U4</f>
        <v>0.23699999999999999</v>
      </c>
      <c r="G4" s="8">
        <v>0.22800000000000001</v>
      </c>
      <c r="H4" s="8">
        <v>0.23200000000000001</v>
      </c>
      <c r="I4" s="8">
        <v>0.23599999999999999</v>
      </c>
      <c r="J4" s="8">
        <f>+V4</f>
        <v>0.23499999999999999</v>
      </c>
      <c r="K4" s="8">
        <v>0.23</v>
      </c>
      <c r="L4" s="8">
        <v>0.23400000000000001</v>
      </c>
      <c r="M4" s="84">
        <v>0.23699999999999999</v>
      </c>
      <c r="N4" s="5"/>
      <c r="O4" s="5"/>
      <c r="P4" s="8">
        <f>26.7/100</f>
        <v>0.26700000000000002</v>
      </c>
      <c r="Q4" s="8">
        <f>26.2/100</f>
        <v>0.26200000000000001</v>
      </c>
      <c r="R4" s="84">
        <v>0.249</v>
      </c>
      <c r="S4" s="8">
        <v>0.23699999999999999</v>
      </c>
      <c r="T4" s="8">
        <v>0.23599999999999999</v>
      </c>
      <c r="U4" s="8">
        <v>0.23699999999999999</v>
      </c>
      <c r="V4" s="8">
        <v>0.23499999999999999</v>
      </c>
      <c r="W4" s="87">
        <v>0.23400000000000001</v>
      </c>
    </row>
    <row r="5" spans="1:37" x14ac:dyDescent="0.2">
      <c r="B5" s="2" t="s">
        <v>145</v>
      </c>
      <c r="C5" s="7">
        <v>4.4999999999999998E-2</v>
      </c>
      <c r="D5" s="7">
        <v>4.5999999999999999E-2</v>
      </c>
      <c r="E5" s="7">
        <v>4.5999999999999999E-2</v>
      </c>
      <c r="F5" s="8">
        <f>+U5</f>
        <v>4.7E-2</v>
      </c>
      <c r="G5" s="8">
        <v>5.0999999999999997E-2</v>
      </c>
      <c r="H5" s="8">
        <v>51</v>
      </c>
      <c r="I5" s="8">
        <v>5.1999999999999998E-2</v>
      </c>
      <c r="J5" s="8">
        <f t="shared" ref="J5:J6" si="1">+V5</f>
        <v>5.1999999999999998E-2</v>
      </c>
      <c r="K5" s="8">
        <v>5.7000000000000002E-2</v>
      </c>
      <c r="L5" s="8">
        <v>5.7000000000000002E-2</v>
      </c>
      <c r="M5" s="8">
        <v>5.8000000000000003E-2</v>
      </c>
      <c r="N5" s="5"/>
      <c r="O5" s="5"/>
      <c r="P5" s="8">
        <f>1.6/100</f>
        <v>1.6E-2</v>
      </c>
      <c r="Q5" s="8">
        <f>2.2/100</f>
        <v>2.2000000000000002E-2</v>
      </c>
      <c r="R5" s="8">
        <f>+R6-R4</f>
        <v>2.7000000000000024E-2</v>
      </c>
      <c r="S5" s="8">
        <f>3.5/100</f>
        <v>3.5000000000000003E-2</v>
      </c>
      <c r="T5" s="8">
        <f>4.1/100</f>
        <v>4.0999999999999995E-2</v>
      </c>
      <c r="U5" s="8">
        <f>4.7/100</f>
        <v>4.7E-2</v>
      </c>
      <c r="V5" s="8">
        <v>5.1999999999999998E-2</v>
      </c>
      <c r="W5" s="87">
        <v>5.8000000000000003E-2</v>
      </c>
      <c r="X5" s="9"/>
    </row>
    <row r="6" spans="1:37" x14ac:dyDescent="0.2">
      <c r="B6" s="2" t="s">
        <v>146</v>
      </c>
      <c r="C6" s="7">
        <v>0.27200000000000002</v>
      </c>
      <c r="D6" s="7">
        <v>0.27900000000000003</v>
      </c>
      <c r="E6" s="7">
        <v>0.28299999999999997</v>
      </c>
      <c r="F6" s="8">
        <f>+U6</f>
        <v>0.28100000000000003</v>
      </c>
      <c r="G6" s="8">
        <v>0.27900000000000003</v>
      </c>
      <c r="H6" s="8">
        <v>0.28299999999999997</v>
      </c>
      <c r="I6" s="8">
        <v>0.28699999999999998</v>
      </c>
      <c r="J6" s="8">
        <f t="shared" si="1"/>
        <v>0.28699999999999998</v>
      </c>
      <c r="K6" s="8">
        <v>0.28599999999999998</v>
      </c>
      <c r="L6" s="8">
        <v>0.29199999999999998</v>
      </c>
      <c r="M6" s="8">
        <v>0.29499999999999998</v>
      </c>
      <c r="N6" s="5"/>
      <c r="O6" s="5"/>
      <c r="P6" s="10">
        <f>+P4+P5</f>
        <v>0.28300000000000003</v>
      </c>
      <c r="Q6" s="10">
        <f>+Q4+Q5</f>
        <v>0.28400000000000003</v>
      </c>
      <c r="R6" s="10">
        <v>0.27600000000000002</v>
      </c>
      <c r="S6" s="10">
        <v>0.27200000000000002</v>
      </c>
      <c r="T6" s="8">
        <v>0.27700000000000002</v>
      </c>
      <c r="U6" s="8">
        <v>0.28100000000000003</v>
      </c>
      <c r="V6" s="8">
        <v>0.28699999999999998</v>
      </c>
      <c r="W6" s="87">
        <v>0.253</v>
      </c>
      <c r="X6" s="9"/>
    </row>
    <row r="7" spans="1:37" x14ac:dyDescent="0.2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X7" s="11"/>
    </row>
    <row r="8" spans="1:37" x14ac:dyDescent="0.2">
      <c r="B8" s="12" t="s">
        <v>260</v>
      </c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">
      <c r="B9" s="2" t="s">
        <v>48</v>
      </c>
      <c r="C9" s="5">
        <v>143.708</v>
      </c>
      <c r="D9" s="5">
        <v>157.01</v>
      </c>
      <c r="E9" s="5">
        <v>161.137</v>
      </c>
      <c r="F9" s="5">
        <f>+U9-SUM(C9:E9)</f>
        <v>151.04500000000002</v>
      </c>
      <c r="G9" s="5">
        <v>143.191</v>
      </c>
      <c r="H9" s="5">
        <v>157.61799999999999</v>
      </c>
      <c r="I9" s="5">
        <v>163.238</v>
      </c>
      <c r="J9" s="6">
        <f>+V9-SUM(G9:I9)</f>
        <v>152.78000000000003</v>
      </c>
      <c r="K9" s="5">
        <v>144.75299999999999</v>
      </c>
      <c r="L9" s="5">
        <v>155.24799999999999</v>
      </c>
      <c r="M9" s="5">
        <v>157.94</v>
      </c>
      <c r="N9" s="5"/>
      <c r="O9" s="5"/>
      <c r="P9" s="5">
        <v>740.31500000000005</v>
      </c>
      <c r="Q9" s="5">
        <v>706.70899999999995</v>
      </c>
      <c r="R9" s="5">
        <v>628.51800000000003</v>
      </c>
      <c r="S9" s="5">
        <v>624.875</v>
      </c>
      <c r="T9" s="5">
        <v>621.9</v>
      </c>
      <c r="U9" s="5">
        <v>612.9</v>
      </c>
      <c r="V9" s="5">
        <v>616.827</v>
      </c>
      <c r="W9" s="5">
        <v>607.4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2">
      <c r="B10" s="2" t="s">
        <v>248</v>
      </c>
      <c r="C10" s="5">
        <v>27.396000000000001</v>
      </c>
      <c r="D10" s="5">
        <v>31.423999999999999</v>
      </c>
      <c r="E10" s="5">
        <v>32.470999999999997</v>
      </c>
      <c r="F10" s="5">
        <f>+U10-SUM(C10:E10)</f>
        <v>34.009</v>
      </c>
      <c r="G10" s="5">
        <v>33.134</v>
      </c>
      <c r="H10" s="5">
        <v>35.543999999999997</v>
      </c>
      <c r="I10" s="5">
        <v>35.347000000000001</v>
      </c>
      <c r="J10" s="6">
        <f>+V10-SUM(G10:I10)</f>
        <v>33.717999999999989</v>
      </c>
      <c r="K10" s="5">
        <v>37.088999999999999</v>
      </c>
      <c r="L10" s="5">
        <v>38.81</v>
      </c>
      <c r="M10" s="5">
        <v>40.835999999999999</v>
      </c>
      <c r="N10" s="5"/>
      <c r="O10" s="5"/>
      <c r="P10" s="5">
        <v>41.372</v>
      </c>
      <c r="Q10" s="5">
        <v>59.652000000000001</v>
      </c>
      <c r="R10" s="5">
        <v>76.111000000000004</v>
      </c>
      <c r="S10" s="5">
        <v>94.975999999999999</v>
      </c>
      <c r="T10" s="5">
        <v>109.2</v>
      </c>
      <c r="U10" s="5">
        <v>125.3</v>
      </c>
      <c r="V10" s="5">
        <v>137.74299999999999</v>
      </c>
      <c r="W10" s="5">
        <v>155.1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">
      <c r="B11" s="2" t="s">
        <v>261</v>
      </c>
      <c r="C11" s="5">
        <f t="shared" ref="C11:F11" si="2">C9+C10</f>
        <v>171.10399999999998</v>
      </c>
      <c r="D11" s="5">
        <f t="shared" si="2"/>
        <v>188.434</v>
      </c>
      <c r="E11" s="5">
        <f t="shared" si="2"/>
        <v>193.608</v>
      </c>
      <c r="F11" s="5">
        <f t="shared" si="2"/>
        <v>185.05400000000003</v>
      </c>
      <c r="G11" s="5">
        <f t="shared" ref="G11:N11" si="3">G9+G10</f>
        <v>176.32499999999999</v>
      </c>
      <c r="H11" s="5">
        <f t="shared" si="3"/>
        <v>193.16199999999998</v>
      </c>
      <c r="I11" s="5">
        <f t="shared" si="3"/>
        <v>198.58500000000001</v>
      </c>
      <c r="J11" s="5">
        <f t="shared" si="3"/>
        <v>186.49800000000002</v>
      </c>
      <c r="K11" s="5">
        <f t="shared" ref="K11" si="4">K9+K10</f>
        <v>181.84199999999998</v>
      </c>
      <c r="L11" s="5">
        <f t="shared" si="3"/>
        <v>194.05799999999999</v>
      </c>
      <c r="M11" s="5">
        <f t="shared" si="3"/>
        <v>198.77600000000001</v>
      </c>
      <c r="N11" s="5">
        <f t="shared" si="3"/>
        <v>0</v>
      </c>
      <c r="O11" s="5"/>
      <c r="P11" s="5">
        <f t="shared" ref="P11:R11" si="5">P9+P10</f>
        <v>781.68700000000001</v>
      </c>
      <c r="Q11" s="5">
        <f t="shared" si="5"/>
        <v>766.36099999999999</v>
      </c>
      <c r="R11" s="5">
        <f t="shared" si="5"/>
        <v>704.62900000000002</v>
      </c>
      <c r="S11" s="5">
        <f>S9+S10</f>
        <v>719.851</v>
      </c>
      <c r="T11" s="5">
        <f t="shared" ref="T11" si="6">T9+T10</f>
        <v>731.1</v>
      </c>
      <c r="U11" s="5">
        <f>U9+U10</f>
        <v>738.19999999999993</v>
      </c>
      <c r="V11" s="5">
        <f>V9+V10</f>
        <v>754.56999999999994</v>
      </c>
      <c r="W11" s="5">
        <f>W9+W10</f>
        <v>762.5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">
      <c r="B13" s="2" t="s">
        <v>249</v>
      </c>
      <c r="C13" s="5">
        <v>81.3</v>
      </c>
      <c r="D13" s="5">
        <v>99.5</v>
      </c>
      <c r="E13" s="5">
        <v>114.6</v>
      </c>
      <c r="F13" s="5">
        <f t="shared" ref="F13:F16" si="7">+U13-SUM(C13:E13)</f>
        <v>125.70000000000005</v>
      </c>
      <c r="G13" s="5">
        <v>145.69999999999999</v>
      </c>
      <c r="H13" s="5">
        <v>149.9</v>
      </c>
      <c r="I13" s="5">
        <v>164.5</v>
      </c>
      <c r="J13" s="5">
        <f t="shared" ref="J13:J16" si="8">+V13-SUM(G13:I13)</f>
        <v>183.89999999999998</v>
      </c>
      <c r="K13" s="5">
        <v>223.4</v>
      </c>
      <c r="L13" s="5">
        <v>214.7</v>
      </c>
      <c r="M13" s="5">
        <v>224.6</v>
      </c>
      <c r="N13" s="5"/>
      <c r="O13" s="5"/>
      <c r="P13" s="4">
        <v>0</v>
      </c>
      <c r="Q13" s="4">
        <v>0</v>
      </c>
      <c r="R13" s="4">
        <v>0</v>
      </c>
      <c r="S13" s="4">
        <v>1.1000000000000001</v>
      </c>
      <c r="T13" s="5">
        <v>42.5</v>
      </c>
      <c r="U13" s="5">
        <v>421.1</v>
      </c>
      <c r="V13" s="5">
        <v>644</v>
      </c>
      <c r="W13" s="5">
        <v>879.6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">
      <c r="B14" s="2" t="s">
        <v>250</v>
      </c>
      <c r="C14" s="5">
        <v>55.6</v>
      </c>
      <c r="D14" s="5">
        <v>62.6</v>
      </c>
      <c r="E14" s="5">
        <v>60.3</v>
      </c>
      <c r="F14" s="5">
        <f t="shared" si="7"/>
        <v>61.900000000000006</v>
      </c>
      <c r="G14" s="5">
        <v>61.4</v>
      </c>
      <c r="H14" s="5">
        <v>58.8</v>
      </c>
      <c r="I14" s="5">
        <v>61.3</v>
      </c>
      <c r="J14" s="5">
        <f t="shared" si="8"/>
        <v>58.099999999999994</v>
      </c>
      <c r="K14" s="5">
        <v>60.2</v>
      </c>
      <c r="L14" s="5">
        <v>59.6</v>
      </c>
      <c r="M14" s="5">
        <v>56.2</v>
      </c>
      <c r="N14" s="5"/>
      <c r="O14" s="5"/>
      <c r="P14" s="4">
        <v>0</v>
      </c>
      <c r="Q14" s="4">
        <v>0</v>
      </c>
      <c r="R14" s="4">
        <v>0</v>
      </c>
      <c r="S14" s="4">
        <v>6.2</v>
      </c>
      <c r="T14" s="5">
        <v>54.8</v>
      </c>
      <c r="U14" s="5">
        <v>240.4</v>
      </c>
      <c r="V14" s="5">
        <v>239.6</v>
      </c>
      <c r="W14" s="5">
        <v>227.9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x14ac:dyDescent="0.2">
      <c r="B15" s="2" t="s">
        <v>251</v>
      </c>
      <c r="C15" s="5">
        <v>35.200000000000003</v>
      </c>
      <c r="D15" s="5">
        <v>34.1</v>
      </c>
      <c r="E15" s="5">
        <v>33.200000000000003</v>
      </c>
      <c r="F15" s="5">
        <f t="shared" si="7"/>
        <v>31.199999999999974</v>
      </c>
      <c r="G15" s="5">
        <v>34.4</v>
      </c>
      <c r="H15" s="5">
        <v>34.200000000000003</v>
      </c>
      <c r="I15" s="5">
        <v>34.1</v>
      </c>
      <c r="J15" s="5">
        <f t="shared" si="8"/>
        <v>31.900000000000006</v>
      </c>
      <c r="K15" s="5">
        <v>33.6</v>
      </c>
      <c r="L15" s="5">
        <v>33.4</v>
      </c>
      <c r="M15" s="5">
        <v>31.6</v>
      </c>
      <c r="N15" s="5"/>
      <c r="O15" s="5"/>
      <c r="P15" s="4">
        <v>0</v>
      </c>
      <c r="Q15" s="4">
        <v>0</v>
      </c>
      <c r="R15" s="4">
        <v>0</v>
      </c>
      <c r="S15" s="4">
        <v>0</v>
      </c>
      <c r="T15" s="5">
        <v>16</v>
      </c>
      <c r="U15" s="5">
        <v>133.69999999999999</v>
      </c>
      <c r="V15" s="5">
        <v>134.6</v>
      </c>
      <c r="W15" s="5">
        <v>129.80000000000001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x14ac:dyDescent="0.2">
      <c r="B16" s="2" t="s">
        <v>252</v>
      </c>
      <c r="C16" s="5">
        <v>1.3</v>
      </c>
      <c r="D16" s="5">
        <v>1.2</v>
      </c>
      <c r="E16" s="5">
        <v>0.9</v>
      </c>
      <c r="F16" s="5">
        <f t="shared" si="7"/>
        <v>0.80000000000000027</v>
      </c>
      <c r="G16" s="5">
        <v>1</v>
      </c>
      <c r="H16" s="5">
        <v>1</v>
      </c>
      <c r="I16" s="5">
        <v>0.7</v>
      </c>
      <c r="J16" s="5">
        <f t="shared" si="8"/>
        <v>0.69999999999999973</v>
      </c>
      <c r="K16" s="5">
        <v>0.6</v>
      </c>
      <c r="L16" s="5">
        <v>0.7</v>
      </c>
      <c r="M16" s="5">
        <v>0.8</v>
      </c>
      <c r="N16" s="5"/>
      <c r="O16" s="5"/>
      <c r="P16" s="4">
        <v>0</v>
      </c>
      <c r="Q16" s="4">
        <v>0</v>
      </c>
      <c r="R16" s="4">
        <v>0</v>
      </c>
      <c r="S16" s="4">
        <v>0</v>
      </c>
      <c r="T16" s="5">
        <v>0</v>
      </c>
      <c r="U16" s="5">
        <v>4.2</v>
      </c>
      <c r="V16" s="5">
        <v>3.4</v>
      </c>
      <c r="W16" s="5">
        <v>2.6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43" x14ac:dyDescent="0.2">
      <c r="B17" s="2" t="s">
        <v>259</v>
      </c>
      <c r="C17" s="5">
        <f t="shared" ref="C17:L17" si="9">+SUM(C13:C16)</f>
        <v>173.40000000000003</v>
      </c>
      <c r="D17" s="5">
        <f t="shared" si="9"/>
        <v>197.39999999999998</v>
      </c>
      <c r="E17" s="5">
        <f t="shared" si="9"/>
        <v>208.99999999999997</v>
      </c>
      <c r="F17" s="5">
        <f t="shared" si="9"/>
        <v>219.60000000000002</v>
      </c>
      <c r="G17" s="5">
        <f t="shared" si="9"/>
        <v>242.5</v>
      </c>
      <c r="H17" s="5">
        <f t="shared" si="9"/>
        <v>243.89999999999998</v>
      </c>
      <c r="I17" s="5">
        <f t="shared" si="9"/>
        <v>260.60000000000002</v>
      </c>
      <c r="J17" s="5">
        <f t="shared" si="9"/>
        <v>274.59999999999997</v>
      </c>
      <c r="K17" s="5">
        <f t="shared" si="9"/>
        <v>317.80000000000007</v>
      </c>
      <c r="L17" s="5">
        <f t="shared" si="9"/>
        <v>308.39999999999998</v>
      </c>
      <c r="M17" s="5">
        <f t="shared" ref="M17:N17" si="10">M15+M16</f>
        <v>32.4</v>
      </c>
      <c r="N17" s="5">
        <f t="shared" si="10"/>
        <v>0</v>
      </c>
      <c r="O17" s="5"/>
      <c r="P17" s="4">
        <v>0</v>
      </c>
      <c r="Q17" s="4">
        <v>0</v>
      </c>
      <c r="R17" s="4">
        <v>0</v>
      </c>
      <c r="S17" s="5">
        <f>+SUM(S13:S16)</f>
        <v>7.3000000000000007</v>
      </c>
      <c r="T17" s="5">
        <f>+SUM(T13:T16)</f>
        <v>113.3</v>
      </c>
      <c r="U17" s="5">
        <f t="shared" ref="U17" si="11">+SUM(U13:U16)</f>
        <v>799.40000000000009</v>
      </c>
      <c r="V17" s="5">
        <f>+SUM(V13:V16)</f>
        <v>1021.6</v>
      </c>
      <c r="W17" s="5">
        <f>+SUM(W13:W16)</f>
        <v>1239.8999999999999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43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4"/>
      <c r="Q18" s="4"/>
      <c r="R18" s="4"/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43" x14ac:dyDescent="0.2">
      <c r="B19" s="83" t="s">
        <v>263</v>
      </c>
      <c r="C19" s="6">
        <v>3068</v>
      </c>
      <c r="D19" s="6">
        <v>3574</v>
      </c>
      <c r="E19" s="6">
        <v>3823</v>
      </c>
      <c r="F19" s="6">
        <f t="shared" ref="F19:F22" si="12">+U19-SUM(C19:E19)</f>
        <v>3766</v>
      </c>
      <c r="G19" s="6">
        <v>3455</v>
      </c>
      <c r="H19" s="6">
        <v>3895</v>
      </c>
      <c r="I19" s="6">
        <v>4197</v>
      </c>
      <c r="J19" s="6">
        <f t="shared" ref="J19:J22" si="13">+V19-SUM(G19:I19)</f>
        <v>3810</v>
      </c>
      <c r="K19" s="6">
        <v>3560</v>
      </c>
      <c r="L19" s="6">
        <v>4234</v>
      </c>
      <c r="M19" s="6">
        <v>4719</v>
      </c>
      <c r="N19" s="6"/>
      <c r="O19" s="6"/>
      <c r="P19" s="6">
        <f>9298+2921</f>
        <v>12219</v>
      </c>
      <c r="Q19" s="6">
        <f>9817+3282</f>
        <v>13099</v>
      </c>
      <c r="R19" s="85">
        <f>10792+3378</f>
        <v>14170</v>
      </c>
      <c r="S19" s="6">
        <v>13155</v>
      </c>
      <c r="T19" s="6">
        <v>12972</v>
      </c>
      <c r="U19" s="6">
        <v>14231</v>
      </c>
      <c r="V19" s="6">
        <v>15357</v>
      </c>
      <c r="W19" s="6">
        <v>17111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3" x14ac:dyDescent="0.2">
      <c r="B20" s="83" t="s">
        <v>264</v>
      </c>
      <c r="C20" s="6">
        <v>2477</v>
      </c>
      <c r="D20" s="6">
        <v>2668</v>
      </c>
      <c r="E20" s="6">
        <v>2777</v>
      </c>
      <c r="F20" s="6">
        <f t="shared" si="12"/>
        <v>2707</v>
      </c>
      <c r="G20" s="6">
        <v>2658</v>
      </c>
      <c r="H20" s="6">
        <v>2771</v>
      </c>
      <c r="I20" s="6">
        <v>2964</v>
      </c>
      <c r="J20" s="6">
        <f t="shared" si="13"/>
        <v>2868</v>
      </c>
      <c r="K20" s="6">
        <v>2743</v>
      </c>
      <c r="L20" s="6">
        <v>2926</v>
      </c>
      <c r="M20" s="6">
        <v>3273</v>
      </c>
      <c r="N20" s="6"/>
      <c r="O20" s="6"/>
      <c r="P20" s="6">
        <f>4114+4656</f>
        <v>8770</v>
      </c>
      <c r="Q20" s="6">
        <f>4042+5094</f>
        <v>9136</v>
      </c>
      <c r="R20" s="6">
        <f>3088+4396</f>
        <v>7484</v>
      </c>
      <c r="S20" s="6">
        <v>9858</v>
      </c>
      <c r="T20" s="6">
        <v>10467</v>
      </c>
      <c r="U20" s="6">
        <v>10629</v>
      </c>
      <c r="V20" s="6">
        <v>11261</v>
      </c>
      <c r="W20" s="6">
        <v>12051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3" x14ac:dyDescent="0.2">
      <c r="B21" s="83" t="s">
        <v>266</v>
      </c>
      <c r="C21" s="6">
        <v>1520</v>
      </c>
      <c r="D21" s="6">
        <v>1680</v>
      </c>
      <c r="E21" s="6">
        <v>1571</v>
      </c>
      <c r="F21" s="6">
        <f t="shared" si="12"/>
        <v>1430</v>
      </c>
      <c r="G21" s="6">
        <v>1684</v>
      </c>
      <c r="H21" s="6">
        <v>1673</v>
      </c>
      <c r="I21" s="6">
        <v>1602</v>
      </c>
      <c r="J21" s="6">
        <f t="shared" si="13"/>
        <v>1434</v>
      </c>
      <c r="K21" s="6">
        <v>1731</v>
      </c>
      <c r="L21" s="6">
        <v>1708</v>
      </c>
      <c r="M21" s="6">
        <v>1768</v>
      </c>
      <c r="N21" s="6"/>
      <c r="O21" s="6"/>
      <c r="P21" s="6">
        <v>5580</v>
      </c>
      <c r="Q21" s="6">
        <v>5364</v>
      </c>
      <c r="R21" s="6">
        <v>5329</v>
      </c>
      <c r="S21" s="6">
        <v>6448</v>
      </c>
      <c r="T21" s="6">
        <v>5936</v>
      </c>
      <c r="U21" s="6">
        <v>6201</v>
      </c>
      <c r="V21" s="6">
        <v>6393</v>
      </c>
      <c r="W21" s="6">
        <v>6632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3" x14ac:dyDescent="0.2">
      <c r="B22" s="83" t="s">
        <v>265</v>
      </c>
      <c r="C22" s="6">
        <v>868</v>
      </c>
      <c r="D22" s="6">
        <v>969</v>
      </c>
      <c r="E22" s="6">
        <v>895</v>
      </c>
      <c r="F22" s="6">
        <f t="shared" si="12"/>
        <v>1075</v>
      </c>
      <c r="G22" s="6">
        <v>996</v>
      </c>
      <c r="H22" s="6">
        <v>1129</v>
      </c>
      <c r="I22" s="6">
        <v>1148</v>
      </c>
      <c r="J22" s="6">
        <f t="shared" si="13"/>
        <v>1261</v>
      </c>
      <c r="K22" s="6">
        <v>1267</v>
      </c>
      <c r="L22" s="6">
        <v>1272</v>
      </c>
      <c r="M22" s="6">
        <v>1085</v>
      </c>
      <c r="N22" s="6"/>
      <c r="O22" s="6"/>
      <c r="P22" s="6">
        <v>3056</v>
      </c>
      <c r="Q22" s="6">
        <v>2206</v>
      </c>
      <c r="R22" s="6">
        <v>1701</v>
      </c>
      <c r="S22" s="6">
        <v>1843</v>
      </c>
      <c r="T22" s="6">
        <v>2116</v>
      </c>
      <c r="U22" s="6">
        <v>3807</v>
      </c>
      <c r="V22" s="6">
        <v>4534</v>
      </c>
      <c r="W22" s="6">
        <v>4854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3" x14ac:dyDescent="0.2">
      <c r="A23" s="13"/>
      <c r="B23" s="2" t="s">
        <v>30</v>
      </c>
      <c r="C23" s="6">
        <v>5223</v>
      </c>
      <c r="D23" s="6">
        <v>5790</v>
      </c>
      <c r="E23" s="6">
        <v>5832</v>
      </c>
      <c r="F23" s="6">
        <f>+U23-SUM(C23:E23)</f>
        <v>5489</v>
      </c>
      <c r="G23" s="6">
        <v>5407</v>
      </c>
      <c r="H23" s="6">
        <v>5858</v>
      </c>
      <c r="I23" s="6">
        <v>6134</v>
      </c>
      <c r="J23" s="6">
        <f>+V23-SUM(G23:I23)</f>
        <v>5819</v>
      </c>
      <c r="K23" s="6">
        <v>5406</v>
      </c>
      <c r="L23" s="6">
        <v>5979</v>
      </c>
      <c r="M23" s="6">
        <v>6400</v>
      </c>
      <c r="N23" s="6"/>
      <c r="O23" s="6"/>
      <c r="P23" s="6">
        <v>25529</v>
      </c>
      <c r="Q23" s="6">
        <v>24218</v>
      </c>
      <c r="R23" s="6">
        <v>21867</v>
      </c>
      <c r="S23" s="6">
        <v>22067</v>
      </c>
      <c r="T23" s="6">
        <v>21572</v>
      </c>
      <c r="U23" s="6">
        <v>22334</v>
      </c>
      <c r="V23" s="6">
        <v>23218</v>
      </c>
      <c r="W23" s="6">
        <v>23794</v>
      </c>
      <c r="X23" s="6"/>
      <c r="Y23" s="6"/>
      <c r="Z23" s="6"/>
      <c r="AA23" s="6"/>
      <c r="AB23" s="6"/>
      <c r="AC23" s="6"/>
      <c r="AD23" s="6"/>
    </row>
    <row r="24" spans="1:43" x14ac:dyDescent="0.2">
      <c r="A24" s="13"/>
      <c r="B24" s="2" t="s">
        <v>31</v>
      </c>
      <c r="C24" s="6">
        <v>2710</v>
      </c>
      <c r="D24" s="6">
        <v>3101</v>
      </c>
      <c r="E24" s="6">
        <v>3234</v>
      </c>
      <c r="F24" s="6">
        <f>+U24-SUM(C24:E24)</f>
        <v>3489</v>
      </c>
      <c r="G24" s="6">
        <f>3386-90</f>
        <v>3296</v>
      </c>
      <c r="H24" s="6">
        <v>3530</v>
      </c>
      <c r="I24" s="6">
        <v>3701</v>
      </c>
      <c r="J24" s="6">
        <f>+V24-SUM(G24:I24)</f>
        <v>3800</v>
      </c>
      <c r="K24" s="6">
        <f>3895-51</f>
        <v>3844</v>
      </c>
      <c r="L24" s="6">
        <f>4161-57</f>
        <v>4104</v>
      </c>
      <c r="M24" s="6">
        <f>4445-57</f>
        <v>4388</v>
      </c>
      <c r="N24" s="6"/>
      <c r="O24" s="6"/>
      <c r="P24" s="6">
        <v>4096</v>
      </c>
      <c r="Q24" s="6">
        <v>5587</v>
      </c>
      <c r="R24" s="6">
        <v>6827</v>
      </c>
      <c r="S24" s="6">
        <v>9237</v>
      </c>
      <c r="T24" s="6">
        <v>9919</v>
      </c>
      <c r="U24" s="6">
        <v>12534</v>
      </c>
      <c r="V24" s="6">
        <v>14327</v>
      </c>
      <c r="W24" s="6">
        <f>16854-238</f>
        <v>16616</v>
      </c>
      <c r="X24" s="6"/>
      <c r="Y24" s="6"/>
      <c r="Z24" s="6"/>
      <c r="AA24" s="6"/>
      <c r="AB24" s="6"/>
      <c r="AC24" s="6"/>
      <c r="AD24" s="6"/>
    </row>
    <row r="25" spans="1:43" x14ac:dyDescent="0.2">
      <c r="A25" s="13"/>
      <c r="B25" s="2" t="s">
        <v>63</v>
      </c>
      <c r="C25" s="6">
        <v>86</v>
      </c>
      <c r="D25" s="6">
        <v>76</v>
      </c>
      <c r="E25" s="6">
        <v>75</v>
      </c>
      <c r="F25" s="6">
        <f>+U25-SUM(C25:E25)</f>
        <v>69</v>
      </c>
      <c r="G25" s="6">
        <v>90</v>
      </c>
      <c r="H25" s="6">
        <v>80</v>
      </c>
      <c r="I25" s="6">
        <v>76</v>
      </c>
      <c r="J25" s="6">
        <f>+V25-SUM(G25:I25)</f>
        <v>87</v>
      </c>
      <c r="K25" s="6">
        <v>51</v>
      </c>
      <c r="L25" s="6">
        <v>57</v>
      </c>
      <c r="M25" s="6">
        <v>57</v>
      </c>
      <c r="N25" s="6"/>
      <c r="O25" s="6"/>
      <c r="P25" s="6">
        <v>0</v>
      </c>
      <c r="Q25" s="6">
        <v>0</v>
      </c>
      <c r="R25" s="6">
        <v>0</v>
      </c>
      <c r="S25" s="6">
        <v>101</v>
      </c>
      <c r="T25" s="6">
        <v>271</v>
      </c>
      <c r="U25" s="6">
        <v>306</v>
      </c>
      <c r="V25" s="6">
        <v>333</v>
      </c>
      <c r="W25" s="88">
        <v>238</v>
      </c>
      <c r="X25" s="6"/>
      <c r="Y25" s="6"/>
      <c r="Z25" s="6"/>
      <c r="AA25" s="6"/>
      <c r="AB25" s="6"/>
      <c r="AC25" s="6"/>
      <c r="AD25" s="6"/>
    </row>
    <row r="26" spans="1:43" x14ac:dyDescent="0.2">
      <c r="B26" s="14" t="s">
        <v>18</v>
      </c>
      <c r="C26" s="15">
        <v>8019</v>
      </c>
      <c r="D26" s="15">
        <v>8967</v>
      </c>
      <c r="E26" s="15">
        <v>9141</v>
      </c>
      <c r="F26" s="15">
        <f>+U26-SUM(C26:E26)</f>
        <v>9047</v>
      </c>
      <c r="G26" s="15">
        <v>8793</v>
      </c>
      <c r="H26" s="15">
        <v>9468</v>
      </c>
      <c r="I26" s="15">
        <v>9911</v>
      </c>
      <c r="J26" s="15">
        <f>+V26-SUM(G26:I26)</f>
        <v>9706</v>
      </c>
      <c r="K26" s="15">
        <v>9301</v>
      </c>
      <c r="L26" s="15">
        <v>10140</v>
      </c>
      <c r="M26" s="15">
        <v>10845</v>
      </c>
      <c r="N26" s="15"/>
      <c r="O26" s="15"/>
      <c r="P26" s="15">
        <v>29625</v>
      </c>
      <c r="Q26" s="15">
        <v>29805</v>
      </c>
      <c r="R26" s="15">
        <v>28694</v>
      </c>
      <c r="S26" s="15">
        <v>31405</v>
      </c>
      <c r="T26" s="15">
        <f t="shared" ref="T26" si="14">SUM(T23:T25)</f>
        <v>31762</v>
      </c>
      <c r="U26" s="15">
        <f>SUM(U23:U25)</f>
        <v>35174</v>
      </c>
      <c r="V26" s="15">
        <f>SUM(V23:V25)</f>
        <v>37878</v>
      </c>
      <c r="W26" s="15">
        <v>40648</v>
      </c>
      <c r="X26" s="6"/>
      <c r="Y26" s="6"/>
      <c r="Z26" s="6"/>
      <c r="AA26" s="6"/>
      <c r="AB26" s="6"/>
      <c r="AC26" s="6"/>
      <c r="AD26" s="6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43" x14ac:dyDescent="0.2">
      <c r="B27" s="2" t="s">
        <v>19</v>
      </c>
      <c r="C27" s="6">
        <v>3038</v>
      </c>
      <c r="D27" s="6">
        <v>3228</v>
      </c>
      <c r="E27" s="6">
        <v>3165</v>
      </c>
      <c r="F27" s="6">
        <f>+U27-SUM(C27:E27)</f>
        <v>3462</v>
      </c>
      <c r="G27" s="6">
        <v>3195</v>
      </c>
      <c r="H27" s="6">
        <v>3345</v>
      </c>
      <c r="I27" s="6">
        <v>3366</v>
      </c>
      <c r="J27" s="6">
        <f>+V27-SUM(G27:I27)</f>
        <v>3423</v>
      </c>
      <c r="K27" s="6">
        <v>3040</v>
      </c>
      <c r="L27" s="6">
        <v>3279</v>
      </c>
      <c r="M27" s="6">
        <v>3487</v>
      </c>
      <c r="N27" s="6"/>
      <c r="O27" s="6"/>
      <c r="P27" s="6">
        <v>10758</v>
      </c>
      <c r="Q27" s="6">
        <v>10513</v>
      </c>
      <c r="R27" s="6">
        <v>9569</v>
      </c>
      <c r="S27" s="6">
        <v>10030</v>
      </c>
      <c r="T27" s="6">
        <v>11402</v>
      </c>
      <c r="U27" s="6">
        <v>12893</v>
      </c>
      <c r="V27" s="6">
        <v>13329</v>
      </c>
      <c r="W27" s="6">
        <v>13366</v>
      </c>
      <c r="X27" s="6"/>
      <c r="Y27" s="6"/>
      <c r="Z27" s="6"/>
      <c r="AA27" s="6"/>
      <c r="AB27" s="6"/>
      <c r="AC27" s="6"/>
      <c r="AD27" s="6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pans="1:43" x14ac:dyDescent="0.2">
      <c r="B28" s="2" t="s">
        <v>20</v>
      </c>
      <c r="C28" s="6">
        <f t="shared" ref="C28:F28" si="15">C26-C27</f>
        <v>4981</v>
      </c>
      <c r="D28" s="6">
        <f t="shared" si="15"/>
        <v>5739</v>
      </c>
      <c r="E28" s="6">
        <f t="shared" si="15"/>
        <v>5976</v>
      </c>
      <c r="F28" s="6">
        <f t="shared" si="15"/>
        <v>5585</v>
      </c>
      <c r="G28" s="6">
        <f>G26-G27</f>
        <v>5598</v>
      </c>
      <c r="H28" s="6">
        <f t="shared" ref="H28:M28" si="16">H26-H27</f>
        <v>6123</v>
      </c>
      <c r="I28" s="6">
        <f t="shared" si="16"/>
        <v>6545</v>
      </c>
      <c r="J28" s="6">
        <f t="shared" si="16"/>
        <v>6283</v>
      </c>
      <c r="K28" s="6">
        <f t="shared" si="16"/>
        <v>6261</v>
      </c>
      <c r="L28" s="6">
        <f t="shared" si="16"/>
        <v>6861</v>
      </c>
      <c r="M28" s="6">
        <f t="shared" si="16"/>
        <v>7358</v>
      </c>
      <c r="N28" s="6"/>
      <c r="O28" s="6"/>
      <c r="P28" s="6">
        <f t="shared" ref="P28" si="17">P26-P27</f>
        <v>18867</v>
      </c>
      <c r="Q28" s="6">
        <f t="shared" ref="Q28" si="18">Q26-Q27</f>
        <v>19292</v>
      </c>
      <c r="R28" s="6">
        <f t="shared" ref="R28" si="19">R26-R27</f>
        <v>19125</v>
      </c>
      <c r="S28" s="6">
        <f t="shared" ref="S28" si="20">S26-S27</f>
        <v>21375</v>
      </c>
      <c r="T28" s="6">
        <f t="shared" ref="T28" si="21">T26-T27</f>
        <v>20360</v>
      </c>
      <c r="U28" s="6">
        <f t="shared" ref="U28:W28" si="22">U26-U27</f>
        <v>22281</v>
      </c>
      <c r="V28" s="6">
        <f t="shared" si="22"/>
        <v>24549</v>
      </c>
      <c r="W28" s="6">
        <f t="shared" si="22"/>
        <v>27282</v>
      </c>
      <c r="X28" s="6"/>
      <c r="Y28" s="6"/>
      <c r="Z28" s="6"/>
      <c r="AA28" s="6"/>
      <c r="AB28" s="6"/>
      <c r="AC28" s="6"/>
      <c r="AD28" s="6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spans="1:43" x14ac:dyDescent="0.2">
      <c r="B29" s="2" t="s">
        <v>21</v>
      </c>
      <c r="C29" s="6">
        <v>2250</v>
      </c>
      <c r="D29" s="6">
        <v>2508</v>
      </c>
      <c r="E29" s="6">
        <v>2606</v>
      </c>
      <c r="F29" s="6">
        <f>+U29-SUM(C29:E29)</f>
        <v>2696</v>
      </c>
      <c r="G29" s="6">
        <v>2553</v>
      </c>
      <c r="H29" s="6">
        <v>2679</v>
      </c>
      <c r="I29" s="6">
        <v>2891</v>
      </c>
      <c r="J29" s="6">
        <f>+V29-SUM(G29:I29)</f>
        <v>3024</v>
      </c>
      <c r="K29" s="6">
        <v>2717</v>
      </c>
      <c r="L29" s="6">
        <v>3108</v>
      </c>
      <c r="M29" s="6">
        <v>3095</v>
      </c>
      <c r="N29" s="6"/>
      <c r="O29" s="6"/>
      <c r="P29" s="6">
        <f>7408+82</f>
        <v>7490</v>
      </c>
      <c r="Q29" s="6">
        <f>8695+66</f>
        <v>8761</v>
      </c>
      <c r="R29" s="6">
        <f>7384+73</f>
        <v>7457</v>
      </c>
      <c r="S29" s="6">
        <v>8400</v>
      </c>
      <c r="T29" s="6">
        <v>8114</v>
      </c>
      <c r="U29" s="6">
        <v>10060</v>
      </c>
      <c r="V29" s="6">
        <v>11147</v>
      </c>
      <c r="W29" s="6">
        <v>12349</v>
      </c>
      <c r="X29" s="6"/>
      <c r="Y29" s="6"/>
      <c r="Z29" s="6"/>
      <c r="AA29" s="6"/>
      <c r="AB29" s="6"/>
      <c r="AC29" s="6"/>
      <c r="AD29" s="6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spans="1:43" x14ac:dyDescent="0.2">
      <c r="B30" s="2" t="s">
        <v>39</v>
      </c>
      <c r="C30" s="6">
        <v>0</v>
      </c>
      <c r="D30" s="6">
        <v>-665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f>+V30-SUM(G30:I30)</f>
        <v>0</v>
      </c>
      <c r="K30" s="6">
        <v>0</v>
      </c>
      <c r="L30" s="6">
        <v>-41</v>
      </c>
      <c r="M30" s="6">
        <v>0</v>
      </c>
      <c r="N30" s="6"/>
      <c r="O30" s="6"/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-665</v>
      </c>
      <c r="V30" s="6">
        <v>0</v>
      </c>
      <c r="W30" s="6">
        <v>-41</v>
      </c>
      <c r="X30" s="6"/>
      <c r="Y30" s="6"/>
      <c r="Z30" s="6"/>
      <c r="AA30" s="6"/>
      <c r="AB30" s="6"/>
      <c r="AC30" s="6"/>
      <c r="AD30" s="6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spans="1:43" x14ac:dyDescent="0.2">
      <c r="B31" s="2" t="s">
        <v>22</v>
      </c>
      <c r="C31" s="6">
        <f>C28-C29+C30</f>
        <v>2731</v>
      </c>
      <c r="D31" s="6">
        <f t="shared" ref="D31:M31" si="23">D28-D29+D30</f>
        <v>2566</v>
      </c>
      <c r="E31" s="6">
        <f t="shared" si="23"/>
        <v>3370</v>
      </c>
      <c r="F31" s="6">
        <f t="shared" si="23"/>
        <v>2889</v>
      </c>
      <c r="G31" s="6">
        <f t="shared" si="23"/>
        <v>3045</v>
      </c>
      <c r="H31" s="6">
        <f t="shared" si="23"/>
        <v>3444</v>
      </c>
      <c r="I31" s="6">
        <f t="shared" si="23"/>
        <v>3654</v>
      </c>
      <c r="J31" s="6">
        <f t="shared" si="23"/>
        <v>3259</v>
      </c>
      <c r="K31" s="6">
        <f t="shared" si="23"/>
        <v>3544</v>
      </c>
      <c r="L31" s="6">
        <f t="shared" si="23"/>
        <v>3712</v>
      </c>
      <c r="M31" s="6">
        <f t="shared" si="23"/>
        <v>4263</v>
      </c>
      <c r="N31" s="6"/>
      <c r="O31" s="6"/>
      <c r="P31" s="6">
        <f t="shared" ref="P31" si="24">P28-P29+P30</f>
        <v>11377</v>
      </c>
      <c r="Q31" s="6">
        <f t="shared" ref="Q31" si="25">Q28-Q29+Q30</f>
        <v>10531</v>
      </c>
      <c r="R31" s="6">
        <f t="shared" ref="R31" si="26">R28-R29+R30</f>
        <v>11668</v>
      </c>
      <c r="S31" s="6">
        <f t="shared" ref="S31" si="27">S28-S29+S30</f>
        <v>12975</v>
      </c>
      <c r="T31" s="6">
        <f t="shared" ref="T31" si="28">T28-T29+T30</f>
        <v>12246</v>
      </c>
      <c r="U31" s="6">
        <f t="shared" ref="U31:W31" si="29">U28-U29+U30</f>
        <v>11556</v>
      </c>
      <c r="V31" s="6">
        <f t="shared" si="29"/>
        <v>13402</v>
      </c>
      <c r="W31" s="6">
        <f t="shared" si="29"/>
        <v>14892</v>
      </c>
      <c r="X31" s="6"/>
      <c r="Y31" s="6"/>
      <c r="Z31" s="6"/>
      <c r="AA31" s="6"/>
      <c r="AB31" s="6"/>
      <c r="AC31" s="6"/>
      <c r="AD31" s="6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pans="1:43" x14ac:dyDescent="0.2">
      <c r="B32" s="2" t="s">
        <v>23</v>
      </c>
      <c r="C32" s="6">
        <v>230</v>
      </c>
      <c r="D32" s="6">
        <v>297</v>
      </c>
      <c r="E32" s="6">
        <v>261</v>
      </c>
      <c r="F32" s="6">
        <f>+U32-SUM(C32:E32)</f>
        <v>273</v>
      </c>
      <c r="G32" s="6">
        <v>299</v>
      </c>
      <c r="H32" s="6">
        <v>329</v>
      </c>
      <c r="I32" s="6">
        <v>189</v>
      </c>
      <c r="J32" s="6">
        <f>+V32-SUM(G32:I32)</f>
        <v>326</v>
      </c>
      <c r="K32" s="6">
        <v>241</v>
      </c>
      <c r="L32" s="6">
        <v>277</v>
      </c>
      <c r="M32" s="6">
        <v>230</v>
      </c>
      <c r="N32" s="6"/>
      <c r="O32" s="6"/>
      <c r="P32" s="6">
        <v>665</v>
      </c>
      <c r="Q32" s="6">
        <v>570</v>
      </c>
      <c r="R32" s="6">
        <v>618</v>
      </c>
      <c r="S32" s="6">
        <v>628</v>
      </c>
      <c r="T32" s="6">
        <v>588</v>
      </c>
      <c r="U32" s="6">
        <v>1061</v>
      </c>
      <c r="V32" s="6">
        <v>1143</v>
      </c>
      <c r="W32" s="6">
        <v>966</v>
      </c>
      <c r="X32" s="6"/>
      <c r="Y32" s="6"/>
      <c r="Z32" s="6"/>
      <c r="AA32" s="6"/>
      <c r="AB32" s="6"/>
      <c r="AC32" s="6"/>
      <c r="AD32" s="6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spans="1:43" x14ac:dyDescent="0.2">
      <c r="B33" s="2" t="s">
        <v>24</v>
      </c>
      <c r="C33" s="6">
        <v>22</v>
      </c>
      <c r="D33" s="6">
        <v>6</v>
      </c>
      <c r="E33" s="6">
        <v>8</v>
      </c>
      <c r="F33" s="6">
        <f>+U33-SUM(C33:E33)</f>
        <v>9</v>
      </c>
      <c r="G33" s="6">
        <v>15</v>
      </c>
      <c r="H33" s="6">
        <v>14</v>
      </c>
      <c r="I33" s="6">
        <v>15</v>
      </c>
      <c r="J33" s="6">
        <f>+V33-SUM(G33:I33)</f>
        <v>16</v>
      </c>
      <c r="K33" s="6">
        <v>12</v>
      </c>
      <c r="L33" s="6">
        <v>11</v>
      </c>
      <c r="M33" s="6">
        <v>14</v>
      </c>
      <c r="N33" s="6"/>
      <c r="O33" s="6"/>
      <c r="P33" s="6">
        <v>41</v>
      </c>
      <c r="Q33" s="6">
        <v>89</v>
      </c>
      <c r="R33" s="6">
        <v>97</v>
      </c>
      <c r="S33" s="6">
        <v>115</v>
      </c>
      <c r="T33" s="6">
        <v>24</v>
      </c>
      <c r="U33" s="6">
        <v>45</v>
      </c>
      <c r="V33" s="6">
        <v>60</v>
      </c>
      <c r="W33" s="6">
        <v>46</v>
      </c>
      <c r="X33" s="6"/>
      <c r="Y33" s="6"/>
      <c r="Z33" s="6"/>
      <c r="AA33" s="6"/>
      <c r="AB33" s="6"/>
      <c r="AC33" s="6"/>
      <c r="AD33" s="6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spans="1:43" x14ac:dyDescent="0.2">
      <c r="B34" s="2" t="s">
        <v>25</v>
      </c>
      <c r="C34" s="6">
        <f t="shared" ref="C34:F34" si="30">C31-C32-C33</f>
        <v>2479</v>
      </c>
      <c r="D34" s="6">
        <f t="shared" si="30"/>
        <v>2263</v>
      </c>
      <c r="E34" s="6">
        <f t="shared" si="30"/>
        <v>3101</v>
      </c>
      <c r="F34" s="6">
        <f t="shared" si="30"/>
        <v>2607</v>
      </c>
      <c r="G34" s="6">
        <f>G31-G32-G33</f>
        <v>2731</v>
      </c>
      <c r="H34" s="6">
        <f t="shared" ref="H34:M34" si="31">H31-H32-H33</f>
        <v>3101</v>
      </c>
      <c r="I34" s="6">
        <f t="shared" si="31"/>
        <v>3450</v>
      </c>
      <c r="J34" s="6">
        <f t="shared" si="31"/>
        <v>2917</v>
      </c>
      <c r="K34" s="6">
        <f t="shared" si="31"/>
        <v>3291</v>
      </c>
      <c r="L34" s="6">
        <f t="shared" si="31"/>
        <v>3424</v>
      </c>
      <c r="M34" s="6">
        <f t="shared" si="31"/>
        <v>4019</v>
      </c>
      <c r="N34" s="6"/>
      <c r="O34" s="6"/>
      <c r="P34" s="6">
        <f t="shared" ref="P34" si="32">P31-P32-P33</f>
        <v>10671</v>
      </c>
      <c r="Q34" s="6">
        <f t="shared" ref="Q34" si="33">Q31-Q32-Q33</f>
        <v>9872</v>
      </c>
      <c r="R34" s="6">
        <f t="shared" ref="R34" si="34">R31-R32-R33</f>
        <v>10953</v>
      </c>
      <c r="S34" s="6">
        <f t="shared" ref="S34" si="35">S31-S32-S33</f>
        <v>12232</v>
      </c>
      <c r="T34" s="6">
        <f t="shared" ref="T34" si="36">T31-T32-T33</f>
        <v>11634</v>
      </c>
      <c r="U34" s="6">
        <f t="shared" ref="U34:W34" si="37">U31-U32-U33</f>
        <v>10450</v>
      </c>
      <c r="V34" s="6">
        <f t="shared" si="37"/>
        <v>12199</v>
      </c>
      <c r="W34" s="6">
        <f t="shared" si="37"/>
        <v>13880</v>
      </c>
      <c r="X34" s="6"/>
      <c r="Y34" s="6"/>
      <c r="Z34" s="6"/>
      <c r="AA34" s="6"/>
      <c r="AB34" s="6"/>
      <c r="AC34" s="6"/>
      <c r="AD34" s="6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spans="1:43" x14ac:dyDescent="0.2">
      <c r="B35" s="2" t="s">
        <v>26</v>
      </c>
      <c r="C35" s="6">
        <v>428</v>
      </c>
      <c r="D35" s="6">
        <v>560</v>
      </c>
      <c r="E35" s="6">
        <v>1031</v>
      </c>
      <c r="F35" s="6">
        <f>+U35-SUM(C35:E35)</f>
        <v>320</v>
      </c>
      <c r="G35" s="6">
        <v>676</v>
      </c>
      <c r="H35" s="6">
        <v>734</v>
      </c>
      <c r="I35" s="6">
        <v>735</v>
      </c>
      <c r="J35" s="6">
        <f>+V35-SUM(G35:I35)</f>
        <v>872</v>
      </c>
      <c r="K35" s="6">
        <v>659</v>
      </c>
      <c r="L35" s="6">
        <v>652</v>
      </c>
      <c r="M35" s="6">
        <v>751</v>
      </c>
      <c r="N35" s="6"/>
      <c r="O35" s="6"/>
      <c r="P35" s="6">
        <v>2445</v>
      </c>
      <c r="Q35" s="6">
        <v>2293</v>
      </c>
      <c r="R35" s="6">
        <v>2377</v>
      </c>
      <c r="S35" s="6">
        <v>2671</v>
      </c>
      <c r="T35" s="6">
        <v>2244</v>
      </c>
      <c r="U35" s="6">
        <v>2339</v>
      </c>
      <c r="V35" s="6">
        <v>3017</v>
      </c>
      <c r="W35" s="6">
        <v>2737</v>
      </c>
      <c r="X35" s="6"/>
      <c r="Y35" s="6"/>
      <c r="Z35" s="6"/>
      <c r="AA35" s="6"/>
      <c r="AB35" s="6"/>
      <c r="AC35" s="6"/>
      <c r="AD35" s="6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spans="1:43" x14ac:dyDescent="0.2">
      <c r="B36" s="2" t="s">
        <v>253</v>
      </c>
      <c r="C36" s="6">
        <v>-51</v>
      </c>
      <c r="D36" s="6">
        <v>21</v>
      </c>
      <c r="E36" s="6">
        <v>-101</v>
      </c>
      <c r="F36" s="6">
        <f>+U36-SUM(C36:E36)</f>
        <v>-26</v>
      </c>
      <c r="G36" s="6">
        <v>-191</v>
      </c>
      <c r="H36" s="6">
        <v>-161</v>
      </c>
      <c r="I36" s="6">
        <v>-500</v>
      </c>
      <c r="J36" s="6">
        <f>+V36-SUM(G36:I36)</f>
        <v>2531</v>
      </c>
      <c r="K36" s="6">
        <v>-205</v>
      </c>
      <c r="L36" s="6">
        <v>-376</v>
      </c>
      <c r="M36" s="6">
        <v>-345</v>
      </c>
      <c r="N36" s="6"/>
      <c r="O36" s="6"/>
      <c r="P36" s="6">
        <v>-60</v>
      </c>
      <c r="Q36" s="6">
        <v>-149</v>
      </c>
      <c r="R36" s="6">
        <v>-16</v>
      </c>
      <c r="S36" s="6">
        <v>-149</v>
      </c>
      <c r="T36" s="6">
        <v>-137</v>
      </c>
      <c r="U36" s="6">
        <v>-157</v>
      </c>
      <c r="V36" s="6">
        <f>-637+2316</f>
        <v>1679</v>
      </c>
      <c r="W36" s="6">
        <v>-705</v>
      </c>
      <c r="X36" s="6"/>
      <c r="Y36" s="6"/>
      <c r="Z36" s="6"/>
      <c r="AA36" s="6"/>
      <c r="AB36" s="6"/>
      <c r="AC36" s="6"/>
      <c r="AD36" s="6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spans="1:43" x14ac:dyDescent="0.2">
      <c r="B37" s="2" t="s">
        <v>17</v>
      </c>
      <c r="C37" s="6">
        <f t="shared" ref="C37:F37" si="38">C34-C35-C36</f>
        <v>2102</v>
      </c>
      <c r="D37" s="6">
        <f t="shared" si="38"/>
        <v>1682</v>
      </c>
      <c r="E37" s="6">
        <f t="shared" si="38"/>
        <v>2171</v>
      </c>
      <c r="F37" s="6">
        <f t="shared" si="38"/>
        <v>2313</v>
      </c>
      <c r="G37" s="6">
        <f>G34-G35-G36</f>
        <v>2246</v>
      </c>
      <c r="H37" s="6">
        <f t="shared" ref="H37:M37" si="39">H34-H35-H36</f>
        <v>2528</v>
      </c>
      <c r="I37" s="6">
        <f t="shared" si="39"/>
        <v>3215</v>
      </c>
      <c r="J37" s="6">
        <f t="shared" si="39"/>
        <v>-486</v>
      </c>
      <c r="K37" s="6">
        <f t="shared" si="39"/>
        <v>2837</v>
      </c>
      <c r="L37" s="6">
        <f t="shared" si="39"/>
        <v>3148</v>
      </c>
      <c r="M37" s="6">
        <f t="shared" si="39"/>
        <v>3613</v>
      </c>
      <c r="N37" s="6"/>
      <c r="O37" s="6"/>
      <c r="P37" s="6">
        <f t="shared" ref="P37" si="40">P34-P35-P36</f>
        <v>8286</v>
      </c>
      <c r="Q37" s="6">
        <f t="shared" ref="Q37" si="41">Q34-Q35-Q36</f>
        <v>7728</v>
      </c>
      <c r="R37" s="6">
        <f t="shared" ref="R37" si="42">R34-R35-R36</f>
        <v>8592</v>
      </c>
      <c r="S37" s="6">
        <f t="shared" ref="S37" si="43">S34-S35-S36</f>
        <v>9710</v>
      </c>
      <c r="T37" s="6">
        <f t="shared" ref="T37" si="44">T34-T35-T36</f>
        <v>9527</v>
      </c>
      <c r="U37" s="6">
        <f t="shared" ref="U37" si="45">U34-U35-U36</f>
        <v>8268</v>
      </c>
      <c r="V37" s="6">
        <f>V34-V35-V36</f>
        <v>7503</v>
      </c>
      <c r="W37" s="6">
        <f>W34-W35-W36</f>
        <v>11848</v>
      </c>
      <c r="X37" s="6"/>
      <c r="Y37" s="6"/>
      <c r="Z37" s="6"/>
      <c r="AA37" s="6"/>
      <c r="AB37" s="6"/>
      <c r="AC37" s="6"/>
      <c r="AD37" s="6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spans="1:43" x14ac:dyDescent="0.2">
      <c r="B38" s="2" t="s">
        <v>27</v>
      </c>
      <c r="C38" s="6">
        <v>107</v>
      </c>
      <c r="D38" s="6">
        <v>144</v>
      </c>
      <c r="E38" s="6">
        <v>117</v>
      </c>
      <c r="F38" s="6">
        <f>+U38-SUM(C38:E38)</f>
        <v>87</v>
      </c>
      <c r="G38" s="6">
        <v>98</v>
      </c>
      <c r="H38" s="6">
        <v>122</v>
      </c>
      <c r="I38" s="6">
        <v>133</v>
      </c>
      <c r="J38" s="6">
        <f>+V38-SUM(G38:I38)</f>
        <v>93</v>
      </c>
      <c r="K38" s="6">
        <v>147</v>
      </c>
      <c r="L38" s="6">
        <v>109</v>
      </c>
      <c r="M38" s="6">
        <v>135</v>
      </c>
      <c r="N38" s="6"/>
      <c r="O38" s="6"/>
      <c r="P38" s="6">
        <v>375</v>
      </c>
      <c r="Q38" s="6">
        <v>543</v>
      </c>
      <c r="R38" s="6">
        <v>536</v>
      </c>
      <c r="S38" s="6">
        <v>601</v>
      </c>
      <c r="T38" s="6">
        <v>479</v>
      </c>
      <c r="U38" s="6">
        <v>455</v>
      </c>
      <c r="V38" s="6">
        <v>446</v>
      </c>
      <c r="W38" s="6">
        <v>500</v>
      </c>
      <c r="X38" s="6"/>
      <c r="Y38" s="6"/>
      <c r="Z38" s="6"/>
      <c r="AA38" s="6"/>
      <c r="AB38" s="6"/>
      <c r="AC38" s="6"/>
      <c r="AD38" s="6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spans="1:43" x14ac:dyDescent="0.2">
      <c r="B39" s="2" t="s">
        <v>28</v>
      </c>
      <c r="C39" s="6">
        <f t="shared" ref="C39:F39" si="46">C37-C38</f>
        <v>1995</v>
      </c>
      <c r="D39" s="6">
        <f t="shared" si="46"/>
        <v>1538</v>
      </c>
      <c r="E39" s="6">
        <f t="shared" si="46"/>
        <v>2054</v>
      </c>
      <c r="F39" s="6">
        <f t="shared" si="46"/>
        <v>2226</v>
      </c>
      <c r="G39" s="6">
        <f>G37-G38</f>
        <v>2148</v>
      </c>
      <c r="H39" s="6">
        <f t="shared" ref="H39:M39" si="47">H37-H38</f>
        <v>2406</v>
      </c>
      <c r="I39" s="6">
        <f t="shared" si="47"/>
        <v>3082</v>
      </c>
      <c r="J39" s="6">
        <f t="shared" si="47"/>
        <v>-579</v>
      </c>
      <c r="K39" s="6">
        <f t="shared" si="47"/>
        <v>2690</v>
      </c>
      <c r="L39" s="6">
        <f t="shared" si="47"/>
        <v>3039</v>
      </c>
      <c r="M39" s="6">
        <f t="shared" si="47"/>
        <v>3478</v>
      </c>
      <c r="N39" s="6"/>
      <c r="O39" s="6"/>
      <c r="P39" s="6">
        <f t="shared" ref="P39" si="48">P37-P38</f>
        <v>7911</v>
      </c>
      <c r="Q39" s="6">
        <f t="shared" ref="Q39" si="49">Q37-Q38</f>
        <v>7185</v>
      </c>
      <c r="R39" s="6">
        <f t="shared" ref="R39" si="50">R37-R38</f>
        <v>8056</v>
      </c>
      <c r="S39" s="6">
        <f t="shared" ref="S39" si="51">S37-S38</f>
        <v>9109</v>
      </c>
      <c r="T39" s="6">
        <f t="shared" ref="T39" si="52">T37-T38</f>
        <v>9048</v>
      </c>
      <c r="U39" s="6">
        <f t="shared" ref="U39:W39" si="53">U37-U38</f>
        <v>7813</v>
      </c>
      <c r="V39" s="6">
        <f t="shared" si="53"/>
        <v>7057</v>
      </c>
      <c r="W39" s="6">
        <f t="shared" si="53"/>
        <v>11348</v>
      </c>
      <c r="X39" s="6"/>
      <c r="Y39" s="6"/>
      <c r="Z39" s="6"/>
      <c r="AA39" s="6"/>
      <c r="AB39" s="6"/>
      <c r="AC39" s="6"/>
      <c r="AD39" s="6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spans="1:43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spans="1:43" x14ac:dyDescent="0.2">
      <c r="B41" s="2" t="s">
        <v>29</v>
      </c>
      <c r="C41" s="16">
        <v>1.28</v>
      </c>
      <c r="D41" s="16">
        <v>1.01</v>
      </c>
      <c r="E41" s="16">
        <v>1.32</v>
      </c>
      <c r="F41" s="16">
        <f>+U41-SUM(C41:E41)</f>
        <v>1.4241494845360823</v>
      </c>
      <c r="G41" s="16">
        <v>1.38</v>
      </c>
      <c r="H41" s="16">
        <v>1.54</v>
      </c>
      <c r="I41" s="16">
        <v>1.98</v>
      </c>
      <c r="J41" s="16">
        <f>+J39/J42</f>
        <v>-0.37258687258687256</v>
      </c>
      <c r="K41" s="16">
        <f>+K39/K42</f>
        <v>1.7287917737789202</v>
      </c>
      <c r="L41" s="16">
        <f>+L39/L42</f>
        <v>1.9530848329048842</v>
      </c>
      <c r="M41" s="16">
        <f>+M39/M42</f>
        <v>0.30096919349255796</v>
      </c>
      <c r="N41" s="5"/>
      <c r="O41" s="5"/>
      <c r="P41" s="5">
        <f t="shared" ref="P41:U41" si="54">+P39/P42</f>
        <v>5.0874598070739552</v>
      </c>
      <c r="Q41" s="5">
        <f t="shared" si="54"/>
        <v>4.6176092544987144</v>
      </c>
      <c r="R41" s="5">
        <f t="shared" si="54"/>
        <v>5.1707317073170733</v>
      </c>
      <c r="S41" s="5">
        <f t="shared" si="54"/>
        <v>5.8428479794740218</v>
      </c>
      <c r="T41" s="5">
        <f t="shared" si="54"/>
        <v>5.8374193548387101</v>
      </c>
      <c r="U41" s="5">
        <f t="shared" si="54"/>
        <v>5.0341494845360826</v>
      </c>
      <c r="V41" s="5">
        <f>+V39/V42</f>
        <v>4.5411840411840414</v>
      </c>
      <c r="W41" s="5">
        <f>+W39/W42</f>
        <v>7.2836970474967906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spans="1:43" x14ac:dyDescent="0.2">
      <c r="B42" s="2" t="s">
        <v>2</v>
      </c>
      <c r="C42" s="5">
        <f t="shared" ref="C42:I42" si="55">C39/C41</f>
        <v>1558.59375</v>
      </c>
      <c r="D42" s="5">
        <f t="shared" si="55"/>
        <v>1522.7722772277227</v>
      </c>
      <c r="E42" s="5">
        <f t="shared" si="55"/>
        <v>1556.060606060606</v>
      </c>
      <c r="F42" s="5">
        <f t="shared" si="55"/>
        <v>1563.0381671100497</v>
      </c>
      <c r="G42" s="5">
        <f t="shared" si="55"/>
        <v>1556.521739130435</v>
      </c>
      <c r="H42" s="5">
        <f t="shared" si="55"/>
        <v>1562.3376623376623</v>
      </c>
      <c r="I42" s="5">
        <f t="shared" si="55"/>
        <v>1556.5656565656566</v>
      </c>
      <c r="J42" s="6">
        <v>1554</v>
      </c>
      <c r="K42" s="5">
        <v>1556</v>
      </c>
      <c r="L42" s="5">
        <v>1556</v>
      </c>
      <c r="M42" s="5">
        <v>11556</v>
      </c>
      <c r="N42" s="5"/>
      <c r="O42" s="5"/>
      <c r="P42" s="6">
        <v>1555</v>
      </c>
      <c r="Q42" s="6">
        <v>1556</v>
      </c>
      <c r="R42" s="6">
        <v>1558</v>
      </c>
      <c r="S42" s="6">
        <v>1559</v>
      </c>
      <c r="T42" s="6">
        <v>1550</v>
      </c>
      <c r="U42" s="6">
        <v>1552</v>
      </c>
      <c r="V42" s="6">
        <v>1554</v>
      </c>
      <c r="W42" s="5">
        <v>1558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spans="1:43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spans="1:43" x14ac:dyDescent="0.2">
      <c r="B44" s="2" t="s">
        <v>30</v>
      </c>
      <c r="C44" s="5"/>
      <c r="D44" s="5"/>
      <c r="E44" s="5"/>
      <c r="F44" s="5"/>
      <c r="G44" s="17">
        <f t="shared" ref="G44:G46" si="56">G23/C23-1</f>
        <v>3.5228795711277128E-2</v>
      </c>
      <c r="H44" s="17">
        <f t="shared" ref="H44:H46" si="57">H23/D23-1</f>
        <v>1.1744386873920654E-2</v>
      </c>
      <c r="I44" s="17">
        <f t="shared" ref="I44:I46" si="58">I23/E23-1</f>
        <v>5.1783264746227742E-2</v>
      </c>
      <c r="J44" s="17">
        <f t="shared" ref="J44:J46" si="59">J23/F23-1</f>
        <v>6.0120240480961984E-2</v>
      </c>
      <c r="K44" s="17">
        <f t="shared" ref="K44:N46" si="60">K23/G23-1</f>
        <v>-1.8494544109493027E-4</v>
      </c>
      <c r="L44" s="17">
        <f t="shared" si="60"/>
        <v>2.0655513827244842E-2</v>
      </c>
      <c r="M44" s="17">
        <f t="shared" si="60"/>
        <v>4.3364851646560121E-2</v>
      </c>
      <c r="N44" s="17">
        <f t="shared" si="60"/>
        <v>-1</v>
      </c>
      <c r="O44" s="5"/>
      <c r="P44" s="17"/>
      <c r="Q44" s="17">
        <f t="shared" ref="Q44:W45" si="61">Q23/P23-1</f>
        <v>-5.1353362842257777E-2</v>
      </c>
      <c r="R44" s="17">
        <f t="shared" si="61"/>
        <v>-9.7076554628788503E-2</v>
      </c>
      <c r="S44" s="17">
        <f t="shared" si="61"/>
        <v>9.1462020396031463E-3</v>
      </c>
      <c r="T44" s="17">
        <f t="shared" si="61"/>
        <v>-2.2431685321974038E-2</v>
      </c>
      <c r="U44" s="17">
        <f t="shared" si="61"/>
        <v>3.5323567587613569E-2</v>
      </c>
      <c r="V44" s="17">
        <f t="shared" si="61"/>
        <v>3.9580908032595952E-2</v>
      </c>
      <c r="W44" s="17">
        <f t="shared" si="61"/>
        <v>2.4808338358170312E-2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spans="1:43" x14ac:dyDescent="0.2">
      <c r="B45" s="2" t="s">
        <v>31</v>
      </c>
      <c r="C45" s="5"/>
      <c r="D45" s="5"/>
      <c r="E45" s="5"/>
      <c r="F45" s="5"/>
      <c r="G45" s="17">
        <f t="shared" si="56"/>
        <v>0.21623616236162357</v>
      </c>
      <c r="H45" s="17">
        <f t="shared" si="57"/>
        <v>0.13834247017091261</v>
      </c>
      <c r="I45" s="17">
        <f t="shared" si="58"/>
        <v>0.14440321583178717</v>
      </c>
      <c r="J45" s="17">
        <f t="shared" si="59"/>
        <v>8.9137288621381483E-2</v>
      </c>
      <c r="K45" s="17">
        <f t="shared" si="60"/>
        <v>0.16626213592233019</v>
      </c>
      <c r="L45" s="17">
        <f t="shared" si="60"/>
        <v>0.16260623229461757</v>
      </c>
      <c r="M45" s="17">
        <f t="shared" si="60"/>
        <v>0.18562550661983246</v>
      </c>
      <c r="N45" s="17">
        <f t="shared" si="60"/>
        <v>-1</v>
      </c>
      <c r="O45" s="5"/>
      <c r="P45" s="17"/>
      <c r="Q45" s="17">
        <f t="shared" si="61"/>
        <v>0.364013671875</v>
      </c>
      <c r="R45" s="17">
        <f t="shared" si="61"/>
        <v>0.22194379810273857</v>
      </c>
      <c r="S45" s="17">
        <f t="shared" si="61"/>
        <v>0.35301010692837265</v>
      </c>
      <c r="T45" s="17">
        <f t="shared" si="61"/>
        <v>7.3833495723719889E-2</v>
      </c>
      <c r="U45" s="17">
        <f t="shared" si="61"/>
        <v>0.26363544712168574</v>
      </c>
      <c r="V45" s="17">
        <f t="shared" si="61"/>
        <v>0.1430509015477901</v>
      </c>
      <c r="W45" s="17">
        <f t="shared" si="61"/>
        <v>0.15976826970056535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spans="1:43" x14ac:dyDescent="0.2">
      <c r="B46" s="2" t="s">
        <v>64</v>
      </c>
      <c r="C46" s="5"/>
      <c r="D46" s="5"/>
      <c r="E46" s="5"/>
      <c r="F46" s="5"/>
      <c r="G46" s="17">
        <f t="shared" si="56"/>
        <v>4.6511627906976827E-2</v>
      </c>
      <c r="H46" s="17">
        <f t="shared" si="57"/>
        <v>5.2631578947368363E-2</v>
      </c>
      <c r="I46" s="17">
        <f t="shared" si="58"/>
        <v>1.3333333333333419E-2</v>
      </c>
      <c r="J46" s="17">
        <f t="shared" si="59"/>
        <v>0.26086956521739135</v>
      </c>
      <c r="K46" s="17">
        <f t="shared" si="60"/>
        <v>-0.43333333333333335</v>
      </c>
      <c r="L46" s="17">
        <f t="shared" si="60"/>
        <v>-0.28749999999999998</v>
      </c>
      <c r="M46" s="17">
        <f t="shared" si="60"/>
        <v>-0.25</v>
      </c>
      <c r="N46" s="17">
        <f t="shared" si="60"/>
        <v>-1</v>
      </c>
      <c r="O46" s="5"/>
      <c r="P46" s="17"/>
      <c r="Q46" s="17">
        <v>0</v>
      </c>
      <c r="R46" s="17">
        <v>0</v>
      </c>
      <c r="S46" s="17">
        <v>0</v>
      </c>
      <c r="T46" s="17">
        <f t="shared" ref="T46:W47" si="62">T25/S25-1</f>
        <v>1.6831683168316833</v>
      </c>
      <c r="U46" s="17">
        <f t="shared" si="62"/>
        <v>0.12915129151291516</v>
      </c>
      <c r="V46" s="17">
        <f t="shared" si="62"/>
        <v>8.8235294117646967E-2</v>
      </c>
      <c r="W46" s="17">
        <f t="shared" si="62"/>
        <v>-0.28528528528528529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spans="1:43" s="14" customFormat="1" x14ac:dyDescent="0.2">
      <c r="A47" s="2"/>
      <c r="B47" s="14" t="s">
        <v>40</v>
      </c>
      <c r="C47" s="18"/>
      <c r="D47" s="18"/>
      <c r="E47" s="18"/>
      <c r="F47" s="18"/>
      <c r="G47" s="19">
        <f t="shared" ref="G47:N47" si="63">G26/C26-1</f>
        <v>9.6520763187429859E-2</v>
      </c>
      <c r="H47" s="19">
        <f t="shared" si="63"/>
        <v>5.5871528939444692E-2</v>
      </c>
      <c r="I47" s="19">
        <f t="shared" si="63"/>
        <v>8.4235860409145547E-2</v>
      </c>
      <c r="J47" s="19">
        <f t="shared" si="63"/>
        <v>7.2841826019675038E-2</v>
      </c>
      <c r="K47" s="19">
        <f t="shared" si="63"/>
        <v>5.7773228704651514E-2</v>
      </c>
      <c r="L47" s="19">
        <f t="shared" si="63"/>
        <v>7.0975918884664146E-2</v>
      </c>
      <c r="M47" s="19">
        <f t="shared" si="63"/>
        <v>9.4238724649379435E-2</v>
      </c>
      <c r="N47" s="19">
        <f t="shared" si="63"/>
        <v>-1</v>
      </c>
      <c r="O47" s="19"/>
      <c r="P47" s="19"/>
      <c r="Q47" s="19">
        <f>Q26/P26-1</f>
        <v>6.0759493670885512E-3</v>
      </c>
      <c r="R47" s="19">
        <f>R26/Q26-1</f>
        <v>-3.7275624895151793E-2</v>
      </c>
      <c r="S47" s="19">
        <f>S26/R26-1</f>
        <v>9.4479682163518541E-2</v>
      </c>
      <c r="T47" s="19">
        <f t="shared" si="62"/>
        <v>1.1367616621557053E-2</v>
      </c>
      <c r="U47" s="19">
        <f t="shared" si="62"/>
        <v>0.10742396574523005</v>
      </c>
      <c r="V47" s="19">
        <f t="shared" si="62"/>
        <v>7.6874964462386952E-2</v>
      </c>
      <c r="W47" s="19">
        <f t="shared" si="62"/>
        <v>7.3129521094038807E-2</v>
      </c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</row>
    <row r="48" spans="1:43" x14ac:dyDescent="0.2">
      <c r="B48" s="2" t="s">
        <v>41</v>
      </c>
      <c r="C48" s="17">
        <f t="shared" ref="C48:J48" si="64">C28/C26</f>
        <v>0.62114976929791743</v>
      </c>
      <c r="D48" s="17">
        <f t="shared" si="64"/>
        <v>0.64001338240214123</v>
      </c>
      <c r="E48" s="17">
        <f t="shared" si="64"/>
        <v>0.65375779455201843</v>
      </c>
      <c r="F48" s="17">
        <f t="shared" si="64"/>
        <v>0.61733171216978</v>
      </c>
      <c r="G48" s="17">
        <f t="shared" si="64"/>
        <v>0.63664278403275332</v>
      </c>
      <c r="H48" s="17">
        <f t="shared" si="64"/>
        <v>0.64670468948035487</v>
      </c>
      <c r="I48" s="17">
        <f t="shared" si="64"/>
        <v>0.660377358490566</v>
      </c>
      <c r="J48" s="17">
        <f t="shared" si="64"/>
        <v>0.64733154749639399</v>
      </c>
      <c r="K48" s="17">
        <f t="shared" ref="K48:L48" si="65">K28/K26</f>
        <v>0.67315342436297176</v>
      </c>
      <c r="L48" s="17">
        <f t="shared" si="65"/>
        <v>0.67662721893491129</v>
      </c>
      <c r="M48" s="17">
        <f t="shared" ref="M48:N48" si="66">M28/M26</f>
        <v>0.67846934071000464</v>
      </c>
      <c r="N48" s="17" t="e">
        <f t="shared" si="66"/>
        <v>#DIV/0!</v>
      </c>
      <c r="O48" s="17"/>
      <c r="P48" s="17">
        <f t="shared" ref="P48:V48" si="67">P28/P26</f>
        <v>0.63686075949367094</v>
      </c>
      <c r="Q48" s="17">
        <f t="shared" si="67"/>
        <v>0.64727394732427446</v>
      </c>
      <c r="R48" s="17">
        <f t="shared" si="67"/>
        <v>0.666515647870635</v>
      </c>
      <c r="S48" s="17">
        <f t="shared" si="67"/>
        <v>0.68062410444196786</v>
      </c>
      <c r="T48" s="17">
        <f t="shared" si="67"/>
        <v>0.64101756816321387</v>
      </c>
      <c r="U48" s="17">
        <f t="shared" si="67"/>
        <v>0.63345084437368515</v>
      </c>
      <c r="V48" s="17">
        <f t="shared" si="67"/>
        <v>0.64810708062727707</v>
      </c>
      <c r="W48" s="17">
        <f t="shared" ref="W48" si="68">W28/W26</f>
        <v>0.67117693367447351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spans="1:43" x14ac:dyDescent="0.2">
      <c r="B49" s="2" t="s">
        <v>42</v>
      </c>
      <c r="C49" s="17">
        <f t="shared" ref="C49:J49" si="69">C31/C26</f>
        <v>0.34056615538097018</v>
      </c>
      <c r="D49" s="17">
        <f t="shared" si="69"/>
        <v>0.28616036578565851</v>
      </c>
      <c r="E49" s="17">
        <f t="shared" si="69"/>
        <v>0.36866863581665027</v>
      </c>
      <c r="F49" s="17">
        <f t="shared" si="69"/>
        <v>0.31933237537305181</v>
      </c>
      <c r="G49" s="17">
        <f t="shared" si="69"/>
        <v>0.34629819174343229</v>
      </c>
      <c r="H49" s="17">
        <f t="shared" si="69"/>
        <v>0.3637515842839037</v>
      </c>
      <c r="I49" s="17">
        <f t="shared" si="69"/>
        <v>0.36868126324286149</v>
      </c>
      <c r="J49" s="17">
        <f t="shared" si="69"/>
        <v>0.3357716876159077</v>
      </c>
      <c r="K49" s="17">
        <f t="shared" ref="K49:L49" si="70">K31/K26</f>
        <v>0.38103429738737771</v>
      </c>
      <c r="L49" s="17">
        <f t="shared" si="70"/>
        <v>0.3660749506903353</v>
      </c>
      <c r="M49" s="17">
        <f t="shared" ref="M49:N49" si="71">M31/M26</f>
        <v>0.39308437067773166</v>
      </c>
      <c r="N49" s="17" t="e">
        <f t="shared" si="71"/>
        <v>#DIV/0!</v>
      </c>
      <c r="O49" s="17"/>
      <c r="P49" s="17">
        <f t="shared" ref="P49:V49" si="72">P31/P26</f>
        <v>0.38403375527426159</v>
      </c>
      <c r="Q49" s="17">
        <f t="shared" si="72"/>
        <v>0.35332997819157858</v>
      </c>
      <c r="R49" s="17">
        <f t="shared" si="72"/>
        <v>0.40663553356102322</v>
      </c>
      <c r="S49" s="17">
        <f t="shared" si="72"/>
        <v>0.4131507721700366</v>
      </c>
      <c r="T49" s="17">
        <f t="shared" si="72"/>
        <v>0.38555506580190163</v>
      </c>
      <c r="U49" s="17">
        <f t="shared" si="72"/>
        <v>0.32853812475123673</v>
      </c>
      <c r="V49" s="17">
        <f t="shared" si="72"/>
        <v>0.35382015945931677</v>
      </c>
      <c r="W49" s="17">
        <f t="shared" ref="W49" si="73">W31/W26</f>
        <v>0.36636488880141704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spans="1:43" x14ac:dyDescent="0.2">
      <c r="B50" s="2" t="s">
        <v>43</v>
      </c>
      <c r="C50" s="17">
        <f t="shared" ref="C50:J50" si="74">C35/C34</f>
        <v>0.17265026220250101</v>
      </c>
      <c r="D50" s="17">
        <f t="shared" si="74"/>
        <v>0.2474591250552364</v>
      </c>
      <c r="E50" s="17">
        <f t="shared" si="74"/>
        <v>0.33247339567881329</v>
      </c>
      <c r="F50" s="17">
        <f t="shared" si="74"/>
        <v>0.12274645186037592</v>
      </c>
      <c r="G50" s="17">
        <f t="shared" si="74"/>
        <v>0.24752837788355914</v>
      </c>
      <c r="H50" s="17">
        <f t="shared" si="74"/>
        <v>0.23669783940664302</v>
      </c>
      <c r="I50" s="17">
        <f t="shared" si="74"/>
        <v>0.21304347826086956</v>
      </c>
      <c r="J50" s="17">
        <f t="shared" si="74"/>
        <v>0.29893726431265</v>
      </c>
      <c r="K50" s="17">
        <f t="shared" ref="K50:L50" si="75">K35/K34</f>
        <v>0.2002430872075357</v>
      </c>
      <c r="L50" s="17">
        <f t="shared" si="75"/>
        <v>0.19042056074766356</v>
      </c>
      <c r="M50" s="17">
        <f t="shared" ref="M50:N50" si="76">M35/M34</f>
        <v>0.18686240358298084</v>
      </c>
      <c r="N50" s="17" t="e">
        <f t="shared" si="76"/>
        <v>#DIV/0!</v>
      </c>
      <c r="O50" s="17"/>
      <c r="P50" s="17">
        <f t="shared" ref="P50:V50" si="77">P35/P34</f>
        <v>0.2291256676974979</v>
      </c>
      <c r="Q50" s="17">
        <f t="shared" si="77"/>
        <v>0.23227309562398704</v>
      </c>
      <c r="R50" s="17">
        <f t="shared" si="77"/>
        <v>0.2170181685383</v>
      </c>
      <c r="S50" s="17">
        <f t="shared" si="77"/>
        <v>0.2183616742969261</v>
      </c>
      <c r="T50" s="17">
        <f t="shared" si="77"/>
        <v>0.19288292934502321</v>
      </c>
      <c r="U50" s="17">
        <f t="shared" si="77"/>
        <v>0.22382775119617224</v>
      </c>
      <c r="V50" s="17">
        <f t="shared" si="77"/>
        <v>0.24731535371751784</v>
      </c>
      <c r="W50" s="17">
        <f t="shared" ref="W50" si="78">W35/W34</f>
        <v>0.19719020172910662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spans="1:43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spans="1:43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spans="1:43" x14ac:dyDescent="0.2">
      <c r="A53" s="13" t="s">
        <v>16</v>
      </c>
      <c r="B53" s="12" t="s">
        <v>65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spans="1:43" x14ac:dyDescent="0.2">
      <c r="B54" s="2" t="s">
        <v>66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6593</v>
      </c>
      <c r="Q54" s="6">
        <v>6861</v>
      </c>
      <c r="R54" s="6">
        <v>7280</v>
      </c>
      <c r="S54" s="6">
        <v>4496</v>
      </c>
      <c r="T54" s="6">
        <v>3207</v>
      </c>
      <c r="U54" s="6">
        <v>3060</v>
      </c>
      <c r="V54" s="6">
        <v>4216</v>
      </c>
      <c r="W54" s="6">
        <v>4872</v>
      </c>
      <c r="X54" s="6"/>
      <c r="Y54" s="6"/>
      <c r="Z54" s="6"/>
      <c r="AA54" s="6"/>
      <c r="AB54" s="6"/>
      <c r="AC54" s="6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spans="1:43" x14ac:dyDescent="0.2">
      <c r="B55" s="2" t="s">
        <v>74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2950</v>
      </c>
      <c r="Q55" s="6">
        <v>3080</v>
      </c>
      <c r="R55" s="6">
        <v>2905</v>
      </c>
      <c r="S55" s="6">
        <v>3123</v>
      </c>
      <c r="T55" s="6">
        <v>3850</v>
      </c>
      <c r="U55" s="6">
        <v>3461</v>
      </c>
      <c r="V55" s="6">
        <v>3789</v>
      </c>
      <c r="W55" s="6">
        <v>4572</v>
      </c>
      <c r="X55" s="6"/>
      <c r="Y55" s="6"/>
      <c r="Z55" s="6"/>
      <c r="AA55" s="6"/>
      <c r="AB55" s="6"/>
      <c r="AC55" s="6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spans="1:43" x14ac:dyDescent="0.2">
      <c r="B56" s="2" t="s">
        <v>73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614</v>
      </c>
      <c r="Q56" s="6">
        <v>637</v>
      </c>
      <c r="R56" s="6">
        <v>856</v>
      </c>
      <c r="S56" s="6">
        <v>817</v>
      </c>
      <c r="T56" s="6">
        <v>906</v>
      </c>
      <c r="U56" s="6">
        <v>930</v>
      </c>
      <c r="V56" s="6">
        <v>886</v>
      </c>
      <c r="W56" s="6">
        <v>1238</v>
      </c>
      <c r="X56" s="6"/>
      <c r="Y56" s="6"/>
      <c r="Z56" s="6"/>
      <c r="AA56" s="6"/>
      <c r="AB56" s="6"/>
      <c r="AC56" s="6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spans="1:43" x14ac:dyDescent="0.2">
      <c r="B57" s="2" t="s">
        <v>67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f t="shared" ref="P57:T57" si="79">SUM(P58:P60)</f>
        <v>8804</v>
      </c>
      <c r="Q57" s="6">
        <f t="shared" si="79"/>
        <v>9235</v>
      </c>
      <c r="R57" s="6">
        <f t="shared" si="79"/>
        <v>9591</v>
      </c>
      <c r="S57" s="6">
        <f t="shared" si="79"/>
        <v>8720</v>
      </c>
      <c r="T57" s="6">
        <f t="shared" si="79"/>
        <v>9886</v>
      </c>
      <c r="U57" s="6">
        <f>SUM(U58:U60)</f>
        <v>10774</v>
      </c>
      <c r="V57" s="6">
        <f>SUM(V58:V60)</f>
        <v>9453</v>
      </c>
      <c r="W57" s="6">
        <f>SUM(W58:W60)</f>
        <v>11478</v>
      </c>
      <c r="X57" s="6"/>
      <c r="Y57" s="6"/>
      <c r="Z57" s="6"/>
      <c r="AA57" s="6"/>
      <c r="AB57" s="6"/>
      <c r="AC57" s="6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spans="1:43" x14ac:dyDescent="0.2">
      <c r="B58" s="20" t="s">
        <v>69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>
        <v>2318</v>
      </c>
      <c r="Q58" s="6">
        <v>2052</v>
      </c>
      <c r="R58" s="6">
        <v>2063</v>
      </c>
      <c r="S58" s="6">
        <v>1642</v>
      </c>
      <c r="T58" s="6">
        <v>1674</v>
      </c>
      <c r="U58" s="6">
        <v>1942</v>
      </c>
      <c r="V58" s="6">
        <v>2080</v>
      </c>
      <c r="W58" s="6">
        <v>2425</v>
      </c>
      <c r="X58" s="6"/>
      <c r="Y58" s="6"/>
      <c r="Z58" s="6"/>
      <c r="AA58" s="6"/>
      <c r="AB58" s="6"/>
      <c r="AC58" s="6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spans="1:43" x14ac:dyDescent="0.2">
      <c r="B59" s="20" t="s">
        <v>68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1405</v>
      </c>
      <c r="Q59" s="6">
        <v>1596</v>
      </c>
      <c r="R59" s="6">
        <v>1712</v>
      </c>
      <c r="S59" s="6">
        <v>1652</v>
      </c>
      <c r="T59" s="6">
        <v>2028</v>
      </c>
      <c r="U59" s="6">
        <v>2293</v>
      </c>
      <c r="V59" s="6">
        <v>2261</v>
      </c>
      <c r="W59" s="6">
        <v>2223</v>
      </c>
      <c r="X59" s="6"/>
      <c r="Y59" s="6"/>
      <c r="Z59" s="6"/>
      <c r="AA59" s="6"/>
      <c r="AB59" s="6"/>
      <c r="AC59" s="6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spans="1:43" x14ac:dyDescent="0.2">
      <c r="B60" s="20" t="s">
        <v>70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5081</v>
      </c>
      <c r="Q60" s="6">
        <v>5587</v>
      </c>
      <c r="R60" s="6">
        <v>5816</v>
      </c>
      <c r="S60" s="6">
        <v>5426</v>
      </c>
      <c r="T60" s="6">
        <v>6184</v>
      </c>
      <c r="U60" s="6">
        <v>6539</v>
      </c>
      <c r="V60" s="6">
        <v>5112</v>
      </c>
      <c r="W60" s="6">
        <v>6830</v>
      </c>
      <c r="X60" s="6"/>
      <c r="Y60" s="6"/>
      <c r="Z60" s="6"/>
      <c r="AA60" s="6"/>
      <c r="AB60" s="6"/>
      <c r="AC60" s="6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spans="1:43" x14ac:dyDescent="0.2">
      <c r="B61" s="21" t="s">
        <v>71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481</v>
      </c>
      <c r="Q61" s="6">
        <v>701</v>
      </c>
      <c r="R61" s="6">
        <v>860</v>
      </c>
      <c r="S61" s="6">
        <v>561</v>
      </c>
      <c r="T61" s="6">
        <v>1770</v>
      </c>
      <c r="U61" s="6">
        <v>1530</v>
      </c>
      <c r="V61" s="6">
        <v>1826</v>
      </c>
      <c r="W61" s="6">
        <v>2203</v>
      </c>
      <c r="X61" s="6"/>
      <c r="Y61" s="6"/>
      <c r="Z61" s="6"/>
      <c r="AA61" s="6"/>
      <c r="AB61" s="6"/>
      <c r="AC61" s="6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spans="1:43" x14ac:dyDescent="0.2">
      <c r="B62" s="22" t="s">
        <v>72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15">
        <f t="shared" ref="P62:T62" si="80">SUM(P54:P57,P61)</f>
        <v>19442</v>
      </c>
      <c r="Q62" s="15">
        <f t="shared" si="80"/>
        <v>20514</v>
      </c>
      <c r="R62" s="15">
        <f t="shared" si="80"/>
        <v>21492</v>
      </c>
      <c r="S62" s="15">
        <f t="shared" si="80"/>
        <v>17717</v>
      </c>
      <c r="T62" s="15">
        <f t="shared" si="80"/>
        <v>19619</v>
      </c>
      <c r="U62" s="15">
        <f>SUM(U54:U57,U61)</f>
        <v>19755</v>
      </c>
      <c r="V62" s="15">
        <f>SUM(V54:V57,V61)</f>
        <v>20170</v>
      </c>
      <c r="W62" s="15">
        <f>SUM(W54:W57,W61)</f>
        <v>24363</v>
      </c>
      <c r="X62" s="6"/>
      <c r="Y62" s="6"/>
      <c r="Z62" s="6"/>
      <c r="AA62" s="6"/>
      <c r="AB62" s="6"/>
      <c r="AC62" s="6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spans="1:43" x14ac:dyDescent="0.2">
      <c r="B63" s="21" t="s">
        <v>75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>
        <f t="shared" ref="P63:T63" si="81">SUM(P64:P68)</f>
        <v>7201</v>
      </c>
      <c r="Q63" s="6">
        <f t="shared" si="81"/>
        <v>6631</v>
      </c>
      <c r="R63" s="6">
        <f t="shared" si="81"/>
        <v>6365</v>
      </c>
      <c r="S63" s="6">
        <f t="shared" si="81"/>
        <v>6168</v>
      </c>
      <c r="T63" s="6">
        <f t="shared" si="81"/>
        <v>6710</v>
      </c>
      <c r="U63" s="6">
        <f>SUM(U64:U68)</f>
        <v>7516</v>
      </c>
      <c r="V63" s="6">
        <f>SUM(V64:V68)</f>
        <v>7310</v>
      </c>
      <c r="W63" s="6">
        <f>SUM(W64:W68)</f>
        <v>8397</v>
      </c>
      <c r="X63" s="6"/>
      <c r="Y63" s="6"/>
      <c r="Z63" s="6"/>
      <c r="AA63" s="6"/>
      <c r="AB63" s="6"/>
      <c r="AC63" s="6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spans="1:43" x14ac:dyDescent="0.2">
      <c r="B64" s="20" t="s">
        <v>76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600</v>
      </c>
      <c r="Q64" s="6">
        <v>566</v>
      </c>
      <c r="R64" s="6">
        <v>590</v>
      </c>
      <c r="S64" s="6">
        <v>565</v>
      </c>
      <c r="T64" s="6">
        <v>545</v>
      </c>
      <c r="U64" s="6">
        <v>550</v>
      </c>
      <c r="V64" s="6">
        <v>581</v>
      </c>
      <c r="W64" s="6">
        <v>562</v>
      </c>
      <c r="X64" s="6"/>
      <c r="Y64" s="6"/>
      <c r="Z64" s="6"/>
      <c r="AA64" s="6"/>
      <c r="AB64" s="6"/>
      <c r="AC64" s="6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spans="2:43" x14ac:dyDescent="0.2">
      <c r="B65" s="20" t="s">
        <v>77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3975</v>
      </c>
      <c r="Q65" s="6">
        <v>4132</v>
      </c>
      <c r="R65" s="6">
        <v>4410</v>
      </c>
      <c r="S65" s="6">
        <v>4293</v>
      </c>
      <c r="T65" s="6">
        <v>4291</v>
      </c>
      <c r="U65" s="6">
        <v>4617</v>
      </c>
      <c r="V65" s="6">
        <v>4391</v>
      </c>
      <c r="W65" s="6">
        <v>5050</v>
      </c>
      <c r="X65" s="6"/>
      <c r="Y65" s="6"/>
      <c r="Z65" s="6"/>
      <c r="AA65" s="6"/>
      <c r="AB65" s="6"/>
      <c r="AC65" s="6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spans="2:43" x14ac:dyDescent="0.2">
      <c r="B66" s="20" t="s">
        <v>78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>
        <v>9096</v>
      </c>
      <c r="Q66" s="6">
        <v>9354</v>
      </c>
      <c r="R66" s="6">
        <v>9460</v>
      </c>
      <c r="S66" s="6">
        <v>9275</v>
      </c>
      <c r="T66" s="6">
        <v>9549</v>
      </c>
      <c r="U66" s="6">
        <v>10713</v>
      </c>
      <c r="V66" s="6">
        <v>10632</v>
      </c>
      <c r="W66" s="6">
        <v>12533</v>
      </c>
      <c r="X66" s="6"/>
      <c r="Y66" s="6"/>
      <c r="Z66" s="6"/>
      <c r="AA66" s="6"/>
      <c r="AB66" s="6"/>
      <c r="AC66" s="6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spans="2:43" x14ac:dyDescent="0.2">
      <c r="B67" s="20" t="s">
        <v>79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>
        <v>886</v>
      </c>
      <c r="Q67" s="6">
        <v>394</v>
      </c>
      <c r="R67" s="6">
        <v>449</v>
      </c>
      <c r="S67" s="6">
        <v>599</v>
      </c>
      <c r="T67" s="6">
        <v>1058</v>
      </c>
      <c r="U67" s="6">
        <v>1200</v>
      </c>
      <c r="V67" s="6">
        <v>1081</v>
      </c>
      <c r="W67" s="6">
        <v>1471</v>
      </c>
      <c r="X67" s="6"/>
      <c r="Y67" s="6"/>
      <c r="Z67" s="6"/>
      <c r="AA67" s="6"/>
      <c r="AB67" s="6"/>
      <c r="AC67" s="6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spans="2:43" x14ac:dyDescent="0.2">
      <c r="B68" s="20" t="s">
        <v>80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-7356</v>
      </c>
      <c r="Q68" s="6">
        <v>-7815</v>
      </c>
      <c r="R68" s="6">
        <v>-8544</v>
      </c>
      <c r="S68" s="6">
        <v>-8564</v>
      </c>
      <c r="T68" s="6">
        <v>-8733</v>
      </c>
      <c r="U68" s="6">
        <v>-9564</v>
      </c>
      <c r="V68" s="6">
        <v>-9375</v>
      </c>
      <c r="W68" s="6">
        <v>-11219</v>
      </c>
      <c r="X68" s="6"/>
      <c r="Y68" s="6"/>
      <c r="Z68" s="6"/>
      <c r="AA68" s="6"/>
      <c r="AB68" s="6"/>
      <c r="AC68" s="6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spans="2:43" x14ac:dyDescent="0.2">
      <c r="B69" s="2" t="s">
        <v>81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7189</v>
      </c>
      <c r="Q69" s="6">
        <v>5858</v>
      </c>
      <c r="R69" s="6">
        <v>5964</v>
      </c>
      <c r="S69" s="6">
        <v>6680</v>
      </c>
      <c r="T69" s="6">
        <v>19655</v>
      </c>
      <c r="U69" s="6">
        <v>16779</v>
      </c>
      <c r="V69" s="6">
        <v>16600</v>
      </c>
      <c r="W69" s="6">
        <v>17264</v>
      </c>
      <c r="X69" s="6"/>
      <c r="Y69" s="6"/>
      <c r="Z69" s="6"/>
      <c r="AA69" s="6"/>
      <c r="AB69" s="6"/>
      <c r="AC69" s="6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spans="2:43" x14ac:dyDescent="0.2">
      <c r="B70" s="2" t="s">
        <v>82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>
        <v>2278</v>
      </c>
      <c r="Q70" s="6">
        <v>2113</v>
      </c>
      <c r="R70" s="6">
        <v>2019</v>
      </c>
      <c r="S70" s="6">
        <v>2818</v>
      </c>
      <c r="T70" s="6">
        <v>6732</v>
      </c>
      <c r="U70" s="6">
        <v>9864</v>
      </c>
      <c r="V70" s="6">
        <v>11327</v>
      </c>
      <c r="W70" s="6">
        <v>10884</v>
      </c>
      <c r="X70" s="6"/>
      <c r="Y70" s="6"/>
      <c r="Z70" s="6"/>
      <c r="AA70" s="6"/>
      <c r="AB70" s="6"/>
      <c r="AC70" s="6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spans="2:43" x14ac:dyDescent="0.2">
      <c r="B71" s="2" t="s">
        <v>83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1269</v>
      </c>
      <c r="Q71" s="6">
        <v>4635</v>
      </c>
      <c r="R71" s="6">
        <v>4798</v>
      </c>
      <c r="S71" s="6">
        <v>4463</v>
      </c>
      <c r="T71" s="6">
        <v>4431</v>
      </c>
      <c r="U71" s="6">
        <v>4929</v>
      </c>
      <c r="V71" s="6">
        <v>2654</v>
      </c>
      <c r="W71" s="6">
        <v>2891</v>
      </c>
      <c r="X71" s="6"/>
      <c r="Y71" s="6"/>
      <c r="Z71" s="6"/>
      <c r="AA71" s="6"/>
      <c r="AB71" s="6"/>
      <c r="AC71" s="6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spans="2:43" x14ac:dyDescent="0.2">
      <c r="B72" s="2" t="s">
        <v>84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977</v>
      </c>
      <c r="Q72" s="6">
        <v>1153</v>
      </c>
      <c r="R72" s="6">
        <v>1410</v>
      </c>
      <c r="S72" s="6">
        <v>895</v>
      </c>
      <c r="T72" s="6">
        <v>603</v>
      </c>
      <c r="U72" s="6">
        <v>814</v>
      </c>
      <c r="V72" s="6">
        <v>940</v>
      </c>
      <c r="W72" s="6">
        <v>1247</v>
      </c>
      <c r="X72" s="6"/>
      <c r="Y72" s="6"/>
      <c r="Z72" s="6"/>
      <c r="AA72" s="6"/>
      <c r="AB72" s="6"/>
      <c r="AC72" s="6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spans="2:43" x14ac:dyDescent="0.2">
      <c r="B73" s="2" t="s">
        <v>85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1445</v>
      </c>
      <c r="Q73" s="6">
        <v>1971</v>
      </c>
      <c r="R73" s="6">
        <v>2767</v>
      </c>
      <c r="S73" s="6">
        <v>2549</v>
      </c>
      <c r="T73" s="6">
        <v>3931</v>
      </c>
      <c r="U73" s="6">
        <v>5647</v>
      </c>
      <c r="V73" s="6">
        <v>2783</v>
      </c>
      <c r="W73" s="6">
        <v>4139</v>
      </c>
      <c r="X73" s="6"/>
      <c r="Y73" s="6"/>
      <c r="Z73" s="6"/>
      <c r="AA73" s="6"/>
      <c r="AB73" s="6"/>
      <c r="AC73" s="6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spans="2:43" x14ac:dyDescent="0.2">
      <c r="B74" s="14" t="s">
        <v>86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15">
        <f t="shared" ref="P74:T74" si="82">SUM(P63,P69:P73)</f>
        <v>20359</v>
      </c>
      <c r="Q74" s="15">
        <f t="shared" si="82"/>
        <v>22361</v>
      </c>
      <c r="R74" s="15">
        <f t="shared" si="82"/>
        <v>23323</v>
      </c>
      <c r="S74" s="15">
        <f t="shared" si="82"/>
        <v>23573</v>
      </c>
      <c r="T74" s="15">
        <f t="shared" si="82"/>
        <v>42062</v>
      </c>
      <c r="U74" s="15">
        <f>SUM(U63,U69:U73)</f>
        <v>45549</v>
      </c>
      <c r="V74" s="15">
        <f>SUM(V63,V69:V73)</f>
        <v>41614</v>
      </c>
      <c r="W74" s="15">
        <f>SUM(W63,W69:W73)</f>
        <v>44822</v>
      </c>
      <c r="X74" s="6"/>
      <c r="Y74" s="6"/>
      <c r="Z74" s="6"/>
      <c r="AA74" s="6"/>
      <c r="AB74" s="6"/>
      <c r="AC74" s="6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spans="2:43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spans="2:43" x14ac:dyDescent="0.2">
      <c r="B76" s="14" t="s">
        <v>87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5">
        <f t="shared" ref="P76:W76" si="83">P74+P62</f>
        <v>39801</v>
      </c>
      <c r="Q76" s="15">
        <f t="shared" si="83"/>
        <v>42875</v>
      </c>
      <c r="R76" s="15">
        <f t="shared" si="83"/>
        <v>44815</v>
      </c>
      <c r="S76" s="15">
        <f t="shared" si="83"/>
        <v>41290</v>
      </c>
      <c r="T76" s="15">
        <f t="shared" si="83"/>
        <v>61681</v>
      </c>
      <c r="U76" s="15">
        <f t="shared" si="83"/>
        <v>65304</v>
      </c>
      <c r="V76" s="15">
        <f t="shared" si="83"/>
        <v>61784</v>
      </c>
      <c r="W76" s="15">
        <f t="shared" si="83"/>
        <v>69185</v>
      </c>
      <c r="X76" s="6"/>
      <c r="Y76" s="6"/>
      <c r="Z76" s="6"/>
      <c r="AA76" s="6"/>
      <c r="AB76" s="6"/>
      <c r="AC76" s="6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spans="2:43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spans="2:43" x14ac:dyDescent="0.2">
      <c r="B78" s="2" t="s">
        <v>88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730</v>
      </c>
      <c r="Q78" s="6">
        <v>338</v>
      </c>
      <c r="R78" s="6">
        <v>244</v>
      </c>
      <c r="S78" s="6">
        <v>225</v>
      </c>
      <c r="T78" s="6">
        <v>5637</v>
      </c>
      <c r="U78" s="6">
        <v>1968</v>
      </c>
      <c r="V78" s="6">
        <v>137</v>
      </c>
      <c r="W78" s="6">
        <v>168</v>
      </c>
      <c r="X78" s="6"/>
      <c r="Y78" s="6"/>
      <c r="Z78" s="6"/>
      <c r="AA78" s="6"/>
      <c r="AB78" s="6"/>
      <c r="AC78" s="6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spans="2:43" x14ac:dyDescent="0.2">
      <c r="B79" s="2" t="s">
        <v>89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4054</v>
      </c>
      <c r="Q79" s="6">
        <v>4051</v>
      </c>
      <c r="R79" s="6">
        <v>3124</v>
      </c>
      <c r="S79" s="6">
        <v>2798</v>
      </c>
      <c r="T79" s="6">
        <v>2611</v>
      </c>
      <c r="U79" s="6">
        <v>4698</v>
      </c>
      <c r="V79" s="6">
        <v>3392</v>
      </c>
      <c r="W79" s="6">
        <v>3533</v>
      </c>
      <c r="X79" s="6"/>
      <c r="Y79" s="6"/>
      <c r="Z79" s="6"/>
      <c r="AA79" s="6"/>
      <c r="AB79" s="6"/>
      <c r="AC79" s="6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spans="2:43" x14ac:dyDescent="0.2">
      <c r="B80" s="2" t="s">
        <v>90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2068</v>
      </c>
      <c r="Q80" s="6">
        <v>2299</v>
      </c>
      <c r="R80" s="6">
        <v>2780</v>
      </c>
      <c r="S80" s="6">
        <v>3331</v>
      </c>
      <c r="T80" s="6">
        <v>4076</v>
      </c>
      <c r="U80" s="6">
        <v>4143</v>
      </c>
      <c r="V80" s="6">
        <v>3952</v>
      </c>
      <c r="W80" s="6">
        <v>4407</v>
      </c>
      <c r="X80" s="6"/>
      <c r="Y80" s="6"/>
      <c r="Z80" s="6"/>
      <c r="AA80" s="6"/>
      <c r="AB80" s="6"/>
      <c r="AC80" s="6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spans="2:43" x14ac:dyDescent="0.2">
      <c r="B81" s="2" t="s">
        <v>91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f t="shared" ref="P81:T81" si="84">SUM(P82:P86)</f>
        <v>9763</v>
      </c>
      <c r="Q81" s="6">
        <f t="shared" si="84"/>
        <v>11349</v>
      </c>
      <c r="R81" s="6">
        <f t="shared" si="84"/>
        <v>12376</v>
      </c>
      <c r="S81" s="6">
        <f t="shared" si="84"/>
        <v>11876</v>
      </c>
      <c r="T81" s="6">
        <f t="shared" si="84"/>
        <v>13972</v>
      </c>
      <c r="U81" s="6">
        <f>SUM(U82:U86)</f>
        <v>14416</v>
      </c>
      <c r="V81" s="6">
        <f>SUM(V82:V86)</f>
        <v>14176</v>
      </c>
      <c r="W81" s="6">
        <f>SUM(W82:W86)</f>
        <v>16064</v>
      </c>
      <c r="X81" s="6"/>
      <c r="Y81" s="6"/>
      <c r="Z81" s="6"/>
      <c r="AA81" s="6"/>
      <c r="AB81" s="6"/>
      <c r="AC81" s="6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spans="2:43" x14ac:dyDescent="0.2">
      <c r="B82" s="20" t="s">
        <v>92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732</v>
      </c>
      <c r="Q82" s="6">
        <v>666</v>
      </c>
      <c r="R82" s="6">
        <v>782</v>
      </c>
      <c r="S82" s="6">
        <v>811</v>
      </c>
      <c r="T82" s="6">
        <v>695</v>
      </c>
      <c r="U82" s="6">
        <v>862</v>
      </c>
      <c r="V82" s="6">
        <v>1015</v>
      </c>
      <c r="W82" s="6">
        <v>1354</v>
      </c>
      <c r="X82" s="6"/>
      <c r="Y82" s="6"/>
      <c r="Z82" s="6"/>
      <c r="AA82" s="6"/>
      <c r="AB82" s="6"/>
      <c r="AC82" s="6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spans="2:43" x14ac:dyDescent="0.2">
      <c r="B83" s="20" t="s">
        <v>93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>
        <v>5088</v>
      </c>
      <c r="Q83" s="6">
        <v>5837</v>
      </c>
      <c r="R83" s="6">
        <v>6403</v>
      </c>
      <c r="S83" s="6">
        <v>6324</v>
      </c>
      <c r="T83" s="6">
        <v>7440</v>
      </c>
      <c r="U83" s="6">
        <v>7514</v>
      </c>
      <c r="V83" s="6">
        <v>6904</v>
      </c>
      <c r="W83" s="6">
        <v>7555</v>
      </c>
      <c r="X83" s="6"/>
      <c r="Y83" s="6"/>
      <c r="Z83" s="6"/>
      <c r="AA83" s="6"/>
      <c r="AB83" s="6"/>
      <c r="AC83" s="6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spans="2:43" x14ac:dyDescent="0.2">
      <c r="B84" s="20" t="s">
        <v>94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>
        <v>794</v>
      </c>
      <c r="Q84" s="6">
        <v>1042</v>
      </c>
      <c r="R84" s="6">
        <v>1189</v>
      </c>
      <c r="S84" s="6">
        <v>1146</v>
      </c>
      <c r="T84" s="6">
        <v>1168</v>
      </c>
      <c r="U84" s="6">
        <v>1262</v>
      </c>
      <c r="V84" s="6">
        <v>1305</v>
      </c>
      <c r="W84" s="6">
        <v>1545</v>
      </c>
      <c r="X84" s="6"/>
      <c r="Y84" s="6"/>
      <c r="Z84" s="6"/>
      <c r="AA84" s="6"/>
      <c r="AB84" s="6"/>
      <c r="AC84" s="6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spans="2:43" x14ac:dyDescent="0.2">
      <c r="B85" s="20" t="s">
        <v>95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1783</v>
      </c>
      <c r="Q85" s="6">
        <v>1831</v>
      </c>
      <c r="R85" s="6">
        <v>1880</v>
      </c>
      <c r="S85" s="6">
        <v>1958</v>
      </c>
      <c r="T85" s="6">
        <v>1990</v>
      </c>
      <c r="U85" s="6">
        <v>2041</v>
      </c>
      <c r="V85" s="6">
        <v>2120</v>
      </c>
      <c r="W85" s="6">
        <v>2312</v>
      </c>
      <c r="X85" s="6"/>
      <c r="Y85" s="6"/>
      <c r="Z85" s="6"/>
      <c r="AA85" s="6"/>
      <c r="AB85" s="6"/>
      <c r="AC85" s="6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spans="2:43" x14ac:dyDescent="0.2">
      <c r="B86" s="20" t="s">
        <v>96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1366</v>
      </c>
      <c r="Q86" s="6">
        <v>1973</v>
      </c>
      <c r="R86" s="6">
        <v>2122</v>
      </c>
      <c r="S86" s="6">
        <v>1637</v>
      </c>
      <c r="T86" s="6">
        <v>2679</v>
      </c>
      <c r="U86" s="6">
        <v>2737</v>
      </c>
      <c r="V86" s="6">
        <v>2832</v>
      </c>
      <c r="W86" s="6">
        <v>3298</v>
      </c>
      <c r="X86" s="6"/>
      <c r="Y86" s="6"/>
      <c r="Z86" s="6"/>
      <c r="AA86" s="6"/>
      <c r="AB86" s="6"/>
      <c r="AC86" s="6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spans="2:43" x14ac:dyDescent="0.2">
      <c r="B87" s="2" t="s">
        <v>98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576</v>
      </c>
      <c r="Q87" s="6">
        <v>796</v>
      </c>
      <c r="R87" s="6">
        <v>1091</v>
      </c>
      <c r="S87" s="6">
        <v>1025</v>
      </c>
      <c r="T87" s="6">
        <v>1040</v>
      </c>
      <c r="U87" s="6">
        <v>1158</v>
      </c>
      <c r="V87" s="6">
        <v>1258</v>
      </c>
      <c r="W87" s="6">
        <v>1255</v>
      </c>
      <c r="X87" s="6"/>
      <c r="Y87" s="6"/>
      <c r="Z87" s="6"/>
      <c r="AA87" s="6"/>
      <c r="AB87" s="6"/>
      <c r="AC87" s="6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spans="2:43" x14ac:dyDescent="0.2">
      <c r="B88" s="22" t="s">
        <v>100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15">
        <f t="shared" ref="P88:T88" si="85">SUM(P78:P81,P87)</f>
        <v>17191</v>
      </c>
      <c r="Q88" s="15">
        <f>SUM(Q78:Q81,Q87)</f>
        <v>18833</v>
      </c>
      <c r="R88" s="15">
        <f t="shared" si="85"/>
        <v>19615</v>
      </c>
      <c r="S88" s="15">
        <f t="shared" si="85"/>
        <v>19255</v>
      </c>
      <c r="T88" s="15">
        <f t="shared" si="85"/>
        <v>27336</v>
      </c>
      <c r="U88" s="15">
        <f>SUM(U78:U81,U87)</f>
        <v>26383</v>
      </c>
      <c r="V88" s="15">
        <f>SUM(V78:V81,V87)</f>
        <v>22915</v>
      </c>
      <c r="W88" s="15">
        <f>SUM(W78:W81,W87)</f>
        <v>25427</v>
      </c>
      <c r="X88" s="6"/>
      <c r="Y88" s="6"/>
      <c r="Z88" s="6"/>
      <c r="AA88" s="6"/>
      <c r="AB88" s="6"/>
      <c r="AC88" s="6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spans="2:43" x14ac:dyDescent="0.2">
      <c r="B89" s="21" t="s">
        <v>101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26975</v>
      </c>
      <c r="Q89" s="6">
        <v>26656</v>
      </c>
      <c r="R89" s="6">
        <v>28168</v>
      </c>
      <c r="S89" s="6">
        <v>24783</v>
      </c>
      <c r="T89" s="6">
        <v>34875</v>
      </c>
      <c r="U89" s="6">
        <v>41243</v>
      </c>
      <c r="V89" s="6">
        <v>42166</v>
      </c>
      <c r="W89" s="6">
        <v>45134</v>
      </c>
      <c r="X89" s="6"/>
      <c r="Y89" s="6"/>
      <c r="Z89" s="6"/>
      <c r="AA89" s="6"/>
      <c r="AB89" s="6"/>
      <c r="AC89" s="6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spans="2:43" x14ac:dyDescent="0.2">
      <c r="B90" s="21" t="s">
        <v>102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>
        <v>898</v>
      </c>
      <c r="Q90" s="6">
        <v>908</v>
      </c>
      <c r="R90" s="6">
        <v>684</v>
      </c>
      <c r="S90" s="6">
        <v>726</v>
      </c>
      <c r="T90" s="6">
        <v>1956</v>
      </c>
      <c r="U90" s="6">
        <v>2335</v>
      </c>
      <c r="V90" s="6">
        <v>2517</v>
      </c>
      <c r="W90" s="6">
        <v>2065</v>
      </c>
      <c r="X90" s="6"/>
      <c r="Y90" s="6"/>
      <c r="Z90" s="6"/>
      <c r="AA90" s="6"/>
      <c r="AB90" s="6"/>
      <c r="AC90" s="6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spans="2:43" x14ac:dyDescent="0.2">
      <c r="B91" s="21" t="s">
        <v>94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3083</v>
      </c>
      <c r="Q91" s="6">
        <v>3634</v>
      </c>
      <c r="R91" s="6">
        <v>4470</v>
      </c>
      <c r="S91" s="6">
        <v>2968</v>
      </c>
      <c r="T91" s="6">
        <v>1984</v>
      </c>
      <c r="U91" s="6">
        <v>3046</v>
      </c>
      <c r="V91" s="6">
        <v>2940</v>
      </c>
      <c r="W91" s="6">
        <v>2406</v>
      </c>
      <c r="X91" s="6"/>
      <c r="Y91" s="6"/>
      <c r="Z91" s="6"/>
      <c r="AA91" s="6"/>
      <c r="AB91" s="6"/>
      <c r="AC91" s="6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spans="2:43" x14ac:dyDescent="0.2">
      <c r="B92" s="21" t="s">
        <v>98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2393</v>
      </c>
      <c r="Q92" s="6">
        <v>2443</v>
      </c>
      <c r="R92" s="6">
        <v>2509</v>
      </c>
      <c r="S92" s="6">
        <v>1766</v>
      </c>
      <c r="T92" s="6">
        <v>1841</v>
      </c>
      <c r="U92" s="6">
        <v>1743</v>
      </c>
      <c r="V92" s="6">
        <v>1116</v>
      </c>
      <c r="W92" s="6">
        <v>2181</v>
      </c>
      <c r="X92" s="6"/>
      <c r="Y92" s="6"/>
      <c r="Z92" s="6"/>
      <c r="AA92" s="6"/>
      <c r="AB92" s="6"/>
      <c r="AC92" s="6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spans="2:43" x14ac:dyDescent="0.2">
      <c r="B93" s="22" t="s">
        <v>103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15">
        <f t="shared" ref="P93:T93" si="86">SUM(P89:P92)</f>
        <v>33349</v>
      </c>
      <c r="Q93" s="15">
        <f t="shared" si="86"/>
        <v>33641</v>
      </c>
      <c r="R93" s="15">
        <f t="shared" si="86"/>
        <v>35831</v>
      </c>
      <c r="S93" s="15">
        <f t="shared" si="86"/>
        <v>30243</v>
      </c>
      <c r="T93" s="15">
        <f t="shared" si="86"/>
        <v>40656</v>
      </c>
      <c r="U93" s="15">
        <f>SUM(U89:U92)</f>
        <v>48367</v>
      </c>
      <c r="V93" s="15">
        <f>SUM(V89:V92)</f>
        <v>48739</v>
      </c>
      <c r="W93" s="15">
        <f>SUM(W89:W92)</f>
        <v>51786</v>
      </c>
      <c r="X93" s="6"/>
      <c r="Y93" s="6"/>
      <c r="Z93" s="6"/>
      <c r="AA93" s="6"/>
      <c r="AB93" s="6"/>
      <c r="AC93" s="6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spans="2:43" x14ac:dyDescent="0.2"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spans="2:43" x14ac:dyDescent="0.2">
      <c r="B95" s="22" t="s">
        <v>104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15">
        <f t="shared" ref="P95:T95" si="87">P88+P93</f>
        <v>50540</v>
      </c>
      <c r="Q95" s="15">
        <f t="shared" si="87"/>
        <v>52474</v>
      </c>
      <c r="R95" s="15">
        <f t="shared" si="87"/>
        <v>55446</v>
      </c>
      <c r="S95" s="15">
        <f t="shared" si="87"/>
        <v>49498</v>
      </c>
      <c r="T95" s="15">
        <f t="shared" si="87"/>
        <v>67992</v>
      </c>
      <c r="U95" s="15">
        <f>U88+U93</f>
        <v>74750</v>
      </c>
      <c r="V95" s="15">
        <f>V88+V93</f>
        <v>71654</v>
      </c>
      <c r="W95" s="15">
        <f>W88+W93</f>
        <v>77213</v>
      </c>
      <c r="X95" s="6"/>
      <c r="Y95" s="6"/>
      <c r="Z95" s="6"/>
      <c r="AA95" s="6"/>
      <c r="AB95" s="6"/>
      <c r="AC95" s="6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spans="2:43" x14ac:dyDescent="0.2"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spans="1:43" x14ac:dyDescent="0.2">
      <c r="B97" s="21" t="s">
        <v>105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/>
      <c r="Y97" s="6"/>
      <c r="Z97" s="6"/>
      <c r="AA97" s="6"/>
      <c r="AB97" s="6"/>
      <c r="AC97" s="6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spans="1:43" x14ac:dyDescent="0.2">
      <c r="B98" s="21" t="s">
        <v>106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1939</v>
      </c>
      <c r="Q98" s="6">
        <v>2019</v>
      </c>
      <c r="R98" s="6">
        <v>2105</v>
      </c>
      <c r="S98" s="6">
        <v>2225</v>
      </c>
      <c r="T98" s="6">
        <v>2230</v>
      </c>
      <c r="U98" s="6">
        <v>2285</v>
      </c>
      <c r="V98" s="6">
        <v>2335</v>
      </c>
      <c r="W98" s="6">
        <v>2453</v>
      </c>
      <c r="X98" s="6"/>
      <c r="Y98" s="6"/>
      <c r="Z98" s="6"/>
      <c r="AA98" s="6"/>
      <c r="AB98" s="6"/>
      <c r="AC98" s="6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spans="1:43" x14ac:dyDescent="0.2">
      <c r="B99" s="21" t="s">
        <v>107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31014</v>
      </c>
      <c r="Q99" s="6">
        <v>30987</v>
      </c>
      <c r="R99" s="6">
        <v>31638</v>
      </c>
      <c r="S99" s="6">
        <v>33082</v>
      </c>
      <c r="T99" s="6">
        <v>34289</v>
      </c>
      <c r="U99" s="6">
        <v>34090</v>
      </c>
      <c r="V99" s="6">
        <v>32869</v>
      </c>
      <c r="W99" s="6">
        <v>35400</v>
      </c>
      <c r="X99" s="6"/>
      <c r="Y99" s="6"/>
      <c r="Z99" s="6"/>
      <c r="AA99" s="6"/>
      <c r="AB99" s="6"/>
      <c r="AC99" s="6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spans="1:43" x14ac:dyDescent="0.2">
      <c r="B100" s="21" t="s">
        <v>108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>
        <v>-10111</v>
      </c>
      <c r="Q100" s="6">
        <v>-9363</v>
      </c>
      <c r="R100" s="6">
        <v>-11181</v>
      </c>
      <c r="S100" s="6">
        <v>-9577</v>
      </c>
      <c r="T100" s="6">
        <v>-9559</v>
      </c>
      <c r="U100" s="6">
        <v>-11815</v>
      </c>
      <c r="V100" s="6">
        <v>-11314</v>
      </c>
      <c r="W100" s="6">
        <v>-12296</v>
      </c>
      <c r="X100" s="6"/>
      <c r="Y100" s="6"/>
      <c r="Z100" s="6"/>
      <c r="AA100" s="6"/>
      <c r="AB100" s="6"/>
      <c r="AC100" s="6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spans="1:43" x14ac:dyDescent="0.2">
      <c r="B101" s="21" t="s">
        <v>109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>
        <v>-35301</v>
      </c>
      <c r="Q101" s="6">
        <v>-35220</v>
      </c>
      <c r="R101" s="6">
        <v>-35129</v>
      </c>
      <c r="S101" s="6">
        <v>-35836</v>
      </c>
      <c r="T101" s="6">
        <v>-35917</v>
      </c>
      <c r="U101" s="6">
        <v>-35785</v>
      </c>
      <c r="V101" s="6">
        <v>-35640</v>
      </c>
      <c r="W101" s="6">
        <v>-35551</v>
      </c>
      <c r="X101" s="6"/>
      <c r="Y101" s="6"/>
      <c r="Z101" s="6"/>
      <c r="AA101" s="6"/>
      <c r="AB101" s="6"/>
      <c r="AC101" s="6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spans="1:43" x14ac:dyDescent="0.2">
      <c r="B102" s="21" t="s">
        <v>110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>
        <v>1720</v>
      </c>
      <c r="Q102" s="6">
        <v>1978</v>
      </c>
      <c r="R102" s="6">
        <v>1936</v>
      </c>
      <c r="S102" s="6">
        <v>1898</v>
      </c>
      <c r="T102" s="6">
        <v>2646</v>
      </c>
      <c r="U102" s="6">
        <v>1779</v>
      </c>
      <c r="V102" s="6">
        <v>1880</v>
      </c>
      <c r="W102" s="6">
        <v>1966</v>
      </c>
      <c r="X102" s="6"/>
      <c r="Y102" s="6"/>
      <c r="Z102" s="6"/>
      <c r="AA102" s="6"/>
      <c r="AB102" s="6"/>
      <c r="AC102" s="6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spans="1:43" x14ac:dyDescent="0.2">
      <c r="B103" s="22" t="s">
        <v>111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5">
        <f t="shared" ref="P103:T103" si="88">SUM(P97:P102)</f>
        <v>-10739</v>
      </c>
      <c r="Q103" s="15">
        <f t="shared" si="88"/>
        <v>-9599</v>
      </c>
      <c r="R103" s="15">
        <f t="shared" si="88"/>
        <v>-10631</v>
      </c>
      <c r="S103" s="15">
        <f t="shared" si="88"/>
        <v>-8208</v>
      </c>
      <c r="T103" s="15">
        <f t="shared" si="88"/>
        <v>-6311</v>
      </c>
      <c r="U103" s="15">
        <f>SUM(U97:U102)</f>
        <v>-9446</v>
      </c>
      <c r="V103" s="15">
        <f>SUM(V97:V102)</f>
        <v>-9870</v>
      </c>
      <c r="W103" s="15">
        <f>SUM(W97:W102)</f>
        <v>-8028</v>
      </c>
      <c r="X103" s="6"/>
      <c r="Y103" s="6"/>
      <c r="Z103" s="6"/>
      <c r="AA103" s="6"/>
      <c r="AB103" s="6"/>
      <c r="AC103" s="6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spans="1:43" x14ac:dyDescent="0.2"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spans="1:43" x14ac:dyDescent="0.2">
      <c r="B105" s="22" t="s">
        <v>112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5">
        <f t="shared" ref="P105:T105" si="89">P95+P103</f>
        <v>39801</v>
      </c>
      <c r="Q105" s="15">
        <f t="shared" si="89"/>
        <v>42875</v>
      </c>
      <c r="R105" s="15">
        <f t="shared" si="89"/>
        <v>44815</v>
      </c>
      <c r="S105" s="15">
        <f t="shared" si="89"/>
        <v>41290</v>
      </c>
      <c r="T105" s="15">
        <f t="shared" si="89"/>
        <v>61681</v>
      </c>
      <c r="U105" s="15">
        <f>U95+U103</f>
        <v>65304</v>
      </c>
      <c r="V105" s="15">
        <f>V95+V103</f>
        <v>61784</v>
      </c>
      <c r="W105" s="15">
        <f>W95+W103</f>
        <v>69185</v>
      </c>
      <c r="X105" s="6"/>
      <c r="Y105" s="6"/>
      <c r="Z105" s="6"/>
      <c r="AA105" s="6"/>
      <c r="AB105" s="6"/>
      <c r="AC105" s="6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spans="1:43" x14ac:dyDescent="0.2"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spans="1:43" x14ac:dyDescent="0.2"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spans="1:43" x14ac:dyDescent="0.2">
      <c r="A108" s="13" t="s">
        <v>16</v>
      </c>
      <c r="B108" s="12" t="s">
        <v>114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spans="1:43" x14ac:dyDescent="0.2">
      <c r="B109" s="21" t="s">
        <v>113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>
        <f t="shared" ref="P109:W109" si="90">P37</f>
        <v>8286</v>
      </c>
      <c r="Q109" s="6">
        <f t="shared" si="90"/>
        <v>7728</v>
      </c>
      <c r="R109" s="6">
        <f t="shared" si="90"/>
        <v>8592</v>
      </c>
      <c r="S109" s="6">
        <f t="shared" si="90"/>
        <v>9710</v>
      </c>
      <c r="T109" s="6">
        <f t="shared" si="90"/>
        <v>9527</v>
      </c>
      <c r="U109" s="6">
        <f t="shared" si="90"/>
        <v>8268</v>
      </c>
      <c r="V109" s="6">
        <f t="shared" si="90"/>
        <v>7503</v>
      </c>
      <c r="W109" s="6">
        <f t="shared" si="90"/>
        <v>11848</v>
      </c>
      <c r="X109" s="6"/>
      <c r="Y109" s="6"/>
      <c r="Z109" s="6"/>
      <c r="AA109" s="6"/>
      <c r="AB109" s="6"/>
      <c r="AC109" s="6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spans="1:43" x14ac:dyDescent="0.2">
      <c r="B110" s="21" t="s">
        <v>115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>
        <v>989</v>
      </c>
      <c r="Q110" s="6">
        <v>964</v>
      </c>
      <c r="R110" s="6">
        <v>981</v>
      </c>
      <c r="S110" s="6">
        <v>998</v>
      </c>
      <c r="T110" s="6">
        <v>1077</v>
      </c>
      <c r="U110" s="6">
        <v>1398</v>
      </c>
      <c r="V110" s="6">
        <v>1787</v>
      </c>
      <c r="W110" s="6">
        <v>1996</v>
      </c>
      <c r="X110" s="6"/>
      <c r="Y110" s="6"/>
      <c r="Z110" s="6"/>
      <c r="AA110" s="6"/>
      <c r="AB110" s="6"/>
      <c r="AC110" s="6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spans="1:43" x14ac:dyDescent="0.2">
      <c r="B111" s="21" t="s">
        <v>116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>
        <v>0</v>
      </c>
      <c r="Q111" s="6">
        <v>0</v>
      </c>
      <c r="R111" s="6">
        <v>0</v>
      </c>
      <c r="S111" s="6">
        <v>0</v>
      </c>
      <c r="T111" s="6">
        <v>112</v>
      </c>
      <c r="U111" s="6">
        <v>680</v>
      </c>
      <c r="V111" s="6">
        <f>27+206+2316</f>
        <v>2549</v>
      </c>
      <c r="W111" s="6">
        <f>41+94</f>
        <v>135</v>
      </c>
      <c r="X111" s="6"/>
      <c r="Y111" s="6"/>
      <c r="Z111" s="6"/>
      <c r="AA111" s="6"/>
      <c r="AB111" s="6"/>
      <c r="AC111" s="6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spans="1:43" x14ac:dyDescent="0.2">
      <c r="B112" s="21" t="s">
        <v>102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>
        <v>-100</v>
      </c>
      <c r="Q112" s="6">
        <v>-141</v>
      </c>
      <c r="R112" s="6">
        <v>-143</v>
      </c>
      <c r="S112" s="6">
        <v>-17</v>
      </c>
      <c r="T112" s="6">
        <v>-234</v>
      </c>
      <c r="U112" s="6">
        <v>-330</v>
      </c>
      <c r="V112" s="6">
        <v>-123</v>
      </c>
      <c r="W112" s="6">
        <v>-847</v>
      </c>
      <c r="X112" s="6"/>
      <c r="Y112" s="6"/>
      <c r="Z112" s="6"/>
      <c r="AA112" s="6"/>
      <c r="AB112" s="6"/>
      <c r="AC112" s="6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spans="2:43" x14ac:dyDescent="0.2">
      <c r="B113" s="21" t="s">
        <v>117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>
        <v>-3</v>
      </c>
      <c r="Q113" s="6">
        <v>371</v>
      </c>
      <c r="R113" s="6">
        <v>-14</v>
      </c>
      <c r="S113" s="6">
        <v>-22</v>
      </c>
      <c r="T113" s="6">
        <v>-93</v>
      </c>
      <c r="U113" s="6">
        <v>30</v>
      </c>
      <c r="V113" s="6">
        <v>122</v>
      </c>
      <c r="W113" s="6">
        <v>206</v>
      </c>
      <c r="X113" s="6"/>
      <c r="Y113" s="6"/>
      <c r="Z113" s="6"/>
      <c r="AA113" s="6"/>
      <c r="AB113" s="6"/>
      <c r="AC113" s="6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spans="2:43" x14ac:dyDescent="0.2">
      <c r="B114" s="23" t="s">
        <v>119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spans="2:43" x14ac:dyDescent="0.2">
      <c r="B115" s="21" t="s">
        <v>118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>
        <v>53</v>
      </c>
      <c r="Q115" s="6">
        <v>-331</v>
      </c>
      <c r="R115" s="6">
        <v>26</v>
      </c>
      <c r="S115" s="6">
        <v>-198</v>
      </c>
      <c r="T115" s="6">
        <v>-871</v>
      </c>
      <c r="U115" s="6">
        <v>314</v>
      </c>
      <c r="V115" s="6">
        <v>-738</v>
      </c>
      <c r="W115" s="6">
        <v>-448</v>
      </c>
      <c r="X115" s="6"/>
      <c r="Y115" s="6"/>
      <c r="Z115" s="6"/>
      <c r="AA115" s="6"/>
      <c r="AB115" s="6"/>
      <c r="AC115" s="6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spans="2:43" x14ac:dyDescent="0.2">
      <c r="B116" s="21" t="s">
        <v>67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>
        <v>-613</v>
      </c>
      <c r="Q116" s="6">
        <v>-548</v>
      </c>
      <c r="R116" s="6">
        <v>-165</v>
      </c>
      <c r="S116" s="6">
        <v>549</v>
      </c>
      <c r="T116" s="6">
        <v>-1287</v>
      </c>
      <c r="U116" s="6">
        <v>-862</v>
      </c>
      <c r="V116" s="6">
        <v>552</v>
      </c>
      <c r="W116" s="6">
        <v>-1201</v>
      </c>
      <c r="X116" s="6"/>
      <c r="Y116" s="6"/>
      <c r="Z116" s="6"/>
      <c r="AA116" s="6"/>
      <c r="AB116" s="6"/>
      <c r="AC116" s="6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spans="2:43" x14ac:dyDescent="0.2">
      <c r="B117" s="21" t="s">
        <v>90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>
        <v>-51</v>
      </c>
      <c r="Q117" s="6">
        <v>451</v>
      </c>
      <c r="R117" s="6">
        <v>406</v>
      </c>
      <c r="S117" s="6">
        <v>653</v>
      </c>
      <c r="T117" s="6">
        <v>719</v>
      </c>
      <c r="U117" s="6">
        <v>-288</v>
      </c>
      <c r="V117" s="6">
        <v>297</v>
      </c>
      <c r="W117" s="6">
        <v>258</v>
      </c>
      <c r="X117" s="6"/>
      <c r="Y117" s="6"/>
      <c r="Z117" s="6"/>
      <c r="AA117" s="6"/>
      <c r="AB117" s="6"/>
      <c r="AC117" s="6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spans="2:43" x14ac:dyDescent="0.2">
      <c r="B118" s="21" t="s">
        <v>91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>
        <v>910</v>
      </c>
      <c r="Q118" s="6">
        <v>1108</v>
      </c>
      <c r="R118" s="6">
        <v>121</v>
      </c>
      <c r="S118" s="6">
        <v>623</v>
      </c>
      <c r="T118" s="6">
        <v>1862</v>
      </c>
      <c r="U118" s="6">
        <v>-232</v>
      </c>
      <c r="V118" s="6">
        <v>628</v>
      </c>
      <c r="W118" s="6">
        <v>-151</v>
      </c>
      <c r="X118" s="6"/>
      <c r="Y118" s="6"/>
      <c r="Z118" s="6"/>
      <c r="AA118" s="6"/>
      <c r="AB118" s="6"/>
      <c r="AC118" s="6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spans="2:43" x14ac:dyDescent="0.2">
      <c r="B119" s="21" t="s">
        <v>97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>
        <v>-135</v>
      </c>
      <c r="Q119" s="6">
        <v>75</v>
      </c>
      <c r="R119" s="6">
        <v>-260</v>
      </c>
      <c r="S119" s="6">
        <v>-260</v>
      </c>
      <c r="T119" s="6">
        <v>-261</v>
      </c>
      <c r="U119" s="6">
        <v>-232</v>
      </c>
      <c r="V119" s="6">
        <v>-62</v>
      </c>
      <c r="W119" s="6">
        <v>-266</v>
      </c>
      <c r="X119" s="6"/>
      <c r="Y119" s="6"/>
      <c r="Z119" s="6"/>
      <c r="AA119" s="6"/>
      <c r="AB119" s="6"/>
      <c r="AC119" s="6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spans="2:43" x14ac:dyDescent="0.2">
      <c r="B120" s="21" t="s">
        <v>121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>
        <v>-110</v>
      </c>
      <c r="Q120" s="6">
        <v>-200</v>
      </c>
      <c r="R120" s="6">
        <v>-102</v>
      </c>
      <c r="S120" s="6">
        <v>-269</v>
      </c>
      <c r="T120" s="6">
        <v>3</v>
      </c>
      <c r="U120" s="6">
        <v>-21</v>
      </c>
      <c r="V120" s="6">
        <v>-110</v>
      </c>
      <c r="W120" s="6">
        <v>-139</v>
      </c>
      <c r="X120" s="6"/>
      <c r="Y120" s="6"/>
      <c r="Z120" s="6"/>
      <c r="AA120" s="6"/>
      <c r="AB120" s="6"/>
      <c r="AC120" s="6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spans="2:43" x14ac:dyDescent="0.2">
      <c r="B121" s="21" t="s">
        <v>96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>
        <v>252</v>
      </c>
      <c r="Q121" s="6">
        <v>613</v>
      </c>
      <c r="R121" s="6">
        <v>370</v>
      </c>
      <c r="S121" s="6">
        <v>200</v>
      </c>
      <c r="T121" s="6">
        <v>249</v>
      </c>
      <c r="U121" s="6">
        <v>479</v>
      </c>
      <c r="V121" s="6">
        <v>-188</v>
      </c>
      <c r="W121" s="6">
        <v>842</v>
      </c>
      <c r="X121" s="6"/>
      <c r="Y121" s="6"/>
      <c r="Z121" s="6"/>
      <c r="AA121" s="6"/>
      <c r="AB121" s="6"/>
      <c r="AC121" s="6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spans="2:43" x14ac:dyDescent="0.2">
      <c r="B122" s="21" t="s">
        <v>99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>
        <f t="shared" ref="P122:T122" si="91">SUM(P115:P121)</f>
        <v>306</v>
      </c>
      <c r="Q122" s="6">
        <f t="shared" si="91"/>
        <v>1168</v>
      </c>
      <c r="R122" s="6">
        <f t="shared" si="91"/>
        <v>396</v>
      </c>
      <c r="S122" s="6">
        <f t="shared" si="91"/>
        <v>1298</v>
      </c>
      <c r="T122" s="6">
        <f t="shared" si="91"/>
        <v>414</v>
      </c>
      <c r="U122" s="6">
        <f>SUM(U115:U121)</f>
        <v>-842</v>
      </c>
      <c r="V122" s="6">
        <f>SUM(V115:V121)</f>
        <v>379</v>
      </c>
      <c r="W122" s="6">
        <f>SUM(W115:W121)</f>
        <v>-1105</v>
      </c>
      <c r="X122" s="6"/>
      <c r="Y122" s="6"/>
      <c r="Z122" s="6"/>
      <c r="AA122" s="6"/>
      <c r="AB122" s="6"/>
      <c r="AC122" s="6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spans="2:43" x14ac:dyDescent="0.2">
      <c r="B123" s="22" t="s">
        <v>120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5">
        <f t="shared" ref="P123:T123" si="92">SUM(P109:P113,P122)</f>
        <v>9478</v>
      </c>
      <c r="Q123" s="15">
        <f t="shared" si="92"/>
        <v>10090</v>
      </c>
      <c r="R123" s="15">
        <f t="shared" si="92"/>
        <v>9812</v>
      </c>
      <c r="S123" s="15">
        <f t="shared" si="92"/>
        <v>11967</v>
      </c>
      <c r="T123" s="15">
        <f t="shared" si="92"/>
        <v>10803</v>
      </c>
      <c r="U123" s="15">
        <f>SUM(U109:U113,U122)</f>
        <v>9204</v>
      </c>
      <c r="V123" s="15">
        <f>SUM(V109:V113,V122)</f>
        <v>12217</v>
      </c>
      <c r="W123" s="15">
        <f>SUM(W109:W113,W122)</f>
        <v>12233</v>
      </c>
      <c r="X123" s="6"/>
      <c r="Y123" s="6"/>
      <c r="Z123" s="6"/>
      <c r="AA123" s="6"/>
      <c r="AB123" s="6"/>
      <c r="AC123" s="6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spans="2:43" x14ac:dyDescent="0.2">
      <c r="B124" s="21" t="s">
        <v>122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>
        <v>-1436</v>
      </c>
      <c r="Q124" s="6">
        <v>-852</v>
      </c>
      <c r="R124" s="6">
        <v>-602</v>
      </c>
      <c r="S124" s="6">
        <v>-748</v>
      </c>
      <c r="T124" s="6">
        <v>-1077</v>
      </c>
      <c r="U124" s="6">
        <v>-1321</v>
      </c>
      <c r="V124" s="6">
        <v>-1444</v>
      </c>
      <c r="W124" s="6">
        <v>-1569</v>
      </c>
      <c r="X124" s="6"/>
      <c r="Y124" s="6"/>
      <c r="Z124" s="6"/>
      <c r="AA124" s="6"/>
      <c r="AB124" s="6"/>
      <c r="AC124" s="6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spans="2:43" x14ac:dyDescent="0.2">
      <c r="B125" s="21" t="s">
        <v>124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>
        <v>0</v>
      </c>
      <c r="Q125" s="6">
        <v>0</v>
      </c>
      <c r="R125" s="6">
        <v>0</v>
      </c>
      <c r="S125" s="6">
        <v>0</v>
      </c>
      <c r="T125" s="6">
        <v>-13976</v>
      </c>
      <c r="U125" s="6">
        <v>0</v>
      </c>
      <c r="V125" s="6">
        <v>0</v>
      </c>
      <c r="W125" s="6">
        <v>0</v>
      </c>
      <c r="X125" s="6"/>
      <c r="Y125" s="6"/>
      <c r="Z125" s="6"/>
      <c r="AA125" s="6"/>
      <c r="AB125" s="6"/>
      <c r="AC125" s="6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spans="2:43" x14ac:dyDescent="0.2">
      <c r="B126" s="21" t="s">
        <v>123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>
        <v>0</v>
      </c>
      <c r="Q126" s="6">
        <v>0</v>
      </c>
      <c r="R126" s="6">
        <v>0</v>
      </c>
      <c r="S126" s="6">
        <v>-2111</v>
      </c>
      <c r="T126" s="6">
        <v>0</v>
      </c>
      <c r="U126" s="6">
        <v>0</v>
      </c>
      <c r="V126" s="6">
        <v>43</v>
      </c>
      <c r="W126" s="6">
        <v>30</v>
      </c>
      <c r="X126" s="6"/>
      <c r="Y126" s="6"/>
      <c r="Z126" s="6"/>
      <c r="AA126" s="6"/>
      <c r="AB126" s="6"/>
      <c r="AC126" s="6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spans="2:43" x14ac:dyDescent="0.2">
      <c r="B127" s="21" t="s">
        <v>125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>
        <v>0</v>
      </c>
      <c r="Q127" s="6">
        <v>0</v>
      </c>
      <c r="R127" s="6">
        <v>0</v>
      </c>
      <c r="S127" s="6">
        <v>0</v>
      </c>
      <c r="T127" s="6">
        <v>-1002</v>
      </c>
      <c r="U127" s="6">
        <v>-1775</v>
      </c>
      <c r="V127" s="6">
        <v>0</v>
      </c>
      <c r="W127" s="6">
        <v>0</v>
      </c>
      <c r="X127" s="6"/>
      <c r="Y127" s="6"/>
      <c r="Z127" s="6"/>
      <c r="AA127" s="6"/>
      <c r="AB127" s="6"/>
      <c r="AC127" s="6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spans="2:43" x14ac:dyDescent="0.2">
      <c r="B128" s="21" t="s">
        <v>83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>
        <v>-63</v>
      </c>
      <c r="Q128" s="6">
        <v>-31</v>
      </c>
      <c r="R128" s="6">
        <v>-47</v>
      </c>
      <c r="S128" s="6">
        <v>-34</v>
      </c>
      <c r="T128" s="6">
        <v>-20</v>
      </c>
      <c r="U128" s="6">
        <v>-111</v>
      </c>
      <c r="V128" s="6">
        <v>-124</v>
      </c>
      <c r="W128" s="6">
        <v>-63</v>
      </c>
      <c r="X128" s="6"/>
      <c r="Y128" s="6"/>
      <c r="Z128" s="6"/>
      <c r="AA128" s="6"/>
      <c r="AB128" s="6"/>
      <c r="AC128" s="6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spans="2:43" x14ac:dyDescent="0.2">
      <c r="B129" s="21" t="s">
        <v>126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>
        <v>416</v>
      </c>
      <c r="Q129" s="6">
        <v>386</v>
      </c>
      <c r="R129" s="6">
        <v>-551</v>
      </c>
      <c r="S129" s="6">
        <v>466</v>
      </c>
      <c r="T129" s="6">
        <v>284</v>
      </c>
      <c r="U129" s="6">
        <v>-660</v>
      </c>
      <c r="V129" s="6">
        <v>351</v>
      </c>
      <c r="W129" s="6">
        <v>-2274</v>
      </c>
      <c r="X129" s="6"/>
      <c r="Y129" s="6"/>
      <c r="Z129" s="6"/>
      <c r="AA129" s="6"/>
      <c r="AB129" s="6"/>
      <c r="AC129" s="6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spans="2:43" x14ac:dyDescent="0.2">
      <c r="B130" s="21" t="s">
        <v>96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>
        <v>85</v>
      </c>
      <c r="Q130" s="6">
        <f>32-1346</f>
        <v>-1314</v>
      </c>
      <c r="R130" s="6">
        <v>46</v>
      </c>
      <c r="S130" s="6">
        <v>69</v>
      </c>
      <c r="T130" s="6">
        <v>112</v>
      </c>
      <c r="U130" s="6">
        <v>269</v>
      </c>
      <c r="V130" s="6">
        <f>-54+136</f>
        <v>82</v>
      </c>
      <c r="W130" s="6">
        <f>-5+116-202</f>
        <v>-91</v>
      </c>
      <c r="X130" s="6"/>
      <c r="Y130" s="6"/>
      <c r="Z130" s="6"/>
      <c r="AA130" s="6"/>
      <c r="AB130" s="6"/>
      <c r="AC130" s="6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spans="2:43" x14ac:dyDescent="0.2">
      <c r="B131" s="22" t="s">
        <v>127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5">
        <f t="shared" ref="P131:T131" si="93">SUM(P124:P130)</f>
        <v>-998</v>
      </c>
      <c r="Q131" s="15">
        <f t="shared" si="93"/>
        <v>-1811</v>
      </c>
      <c r="R131" s="15">
        <f t="shared" si="93"/>
        <v>-1154</v>
      </c>
      <c r="S131" s="15">
        <f t="shared" si="93"/>
        <v>-2358</v>
      </c>
      <c r="T131" s="15">
        <f t="shared" si="93"/>
        <v>-15679</v>
      </c>
      <c r="U131" s="15">
        <f>SUM(U124:U130)</f>
        <v>-3598</v>
      </c>
      <c r="V131" s="15">
        <f>SUM(V124:V130)</f>
        <v>-1092</v>
      </c>
      <c r="W131" s="15">
        <f>SUM(W124:W130)</f>
        <v>-3967</v>
      </c>
      <c r="X131" s="6"/>
      <c r="Y131" s="6"/>
      <c r="Z131" s="6"/>
      <c r="AA131" s="6"/>
      <c r="AB131" s="6"/>
      <c r="AC131" s="6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spans="2:43" x14ac:dyDescent="0.2">
      <c r="B132" s="21" t="s">
        <v>129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>
        <v>255</v>
      </c>
      <c r="Q132" s="6">
        <v>-364</v>
      </c>
      <c r="R132" s="6">
        <v>-70</v>
      </c>
      <c r="S132" s="6">
        <v>0</v>
      </c>
      <c r="T132" s="6">
        <v>876</v>
      </c>
      <c r="U132" s="6">
        <v>530</v>
      </c>
      <c r="V132" s="6">
        <v>-1461</v>
      </c>
      <c r="W132" s="6">
        <v>19</v>
      </c>
      <c r="X132" s="6"/>
      <c r="Y132" s="6"/>
      <c r="Z132" s="6"/>
      <c r="AA132" s="6"/>
      <c r="AB132" s="6"/>
      <c r="AC132" s="6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spans="2:43" x14ac:dyDescent="0.2">
      <c r="B133" s="21" t="s">
        <v>131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>
        <v>0</v>
      </c>
      <c r="Q133" s="6">
        <v>989</v>
      </c>
      <c r="R133" s="6">
        <v>45</v>
      </c>
      <c r="S133" s="6">
        <v>0</v>
      </c>
      <c r="T133" s="6">
        <v>934</v>
      </c>
      <c r="U133" s="6">
        <v>1366</v>
      </c>
      <c r="V133" s="6">
        <v>100</v>
      </c>
      <c r="W133" s="6">
        <v>7055</v>
      </c>
      <c r="X133" s="6"/>
      <c r="Y133" s="6"/>
      <c r="Z133" s="6"/>
      <c r="AA133" s="6"/>
      <c r="AB133" s="6"/>
      <c r="AC133" s="6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spans="2:43" x14ac:dyDescent="0.2">
      <c r="B134" s="21" t="s">
        <v>130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>
        <v>0</v>
      </c>
      <c r="Q134" s="6">
        <v>-989</v>
      </c>
      <c r="R134" s="6">
        <v>-45</v>
      </c>
      <c r="S134" s="6">
        <v>0</v>
      </c>
      <c r="T134" s="6">
        <v>-795</v>
      </c>
      <c r="U134" s="6">
        <v>-1172</v>
      </c>
      <c r="V134" s="6">
        <v>-433</v>
      </c>
      <c r="W134" s="6">
        <v>-5368</v>
      </c>
      <c r="X134" s="6"/>
      <c r="Y134" s="6"/>
      <c r="Z134" s="6"/>
      <c r="AA134" s="6"/>
      <c r="AB134" s="6"/>
      <c r="AC134" s="6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spans="2:43" x14ac:dyDescent="0.2">
      <c r="B135" s="21" t="s">
        <v>132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>
        <v>0</v>
      </c>
      <c r="Q135" s="6">
        <v>0</v>
      </c>
      <c r="R135" s="6">
        <v>0</v>
      </c>
      <c r="S135" s="6">
        <v>0</v>
      </c>
      <c r="T135" s="6">
        <v>13920</v>
      </c>
      <c r="U135" s="6">
        <v>0</v>
      </c>
      <c r="V135" s="6">
        <v>0</v>
      </c>
      <c r="W135" s="6">
        <v>0</v>
      </c>
      <c r="X135" s="6"/>
      <c r="Y135" s="6"/>
      <c r="Z135" s="6"/>
      <c r="AA135" s="6"/>
      <c r="AB135" s="6"/>
      <c r="AC135" s="6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spans="2:43" x14ac:dyDescent="0.2">
      <c r="B136" s="21" t="s">
        <v>133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>
        <v>0</v>
      </c>
      <c r="Q136" s="6">
        <v>0</v>
      </c>
      <c r="R136" s="6">
        <v>0</v>
      </c>
      <c r="S136" s="6">
        <v>0</v>
      </c>
      <c r="T136" s="6">
        <v>-4000</v>
      </c>
      <c r="U136" s="6">
        <v>-4430</v>
      </c>
      <c r="V136" s="6">
        <v>-3168</v>
      </c>
      <c r="W136" s="6">
        <v>-693</v>
      </c>
      <c r="X136" s="6"/>
      <c r="Y136" s="6"/>
      <c r="Z136" s="6"/>
      <c r="AA136" s="6"/>
      <c r="AB136" s="6"/>
      <c r="AC136" s="6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spans="2:43" x14ac:dyDescent="0.2">
      <c r="B137" s="21" t="s">
        <v>139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>
        <v>0</v>
      </c>
      <c r="Q137" s="6">
        <v>3819</v>
      </c>
      <c r="R137" s="6">
        <v>3713</v>
      </c>
      <c r="S137" s="6">
        <v>0</v>
      </c>
      <c r="T137" s="6">
        <v>5965</v>
      </c>
      <c r="U137" s="6">
        <v>9959</v>
      </c>
      <c r="V137" s="6">
        <v>8142</v>
      </c>
      <c r="W137" s="6">
        <v>0</v>
      </c>
      <c r="X137" s="6"/>
      <c r="Y137" s="6"/>
      <c r="Z137" s="6"/>
      <c r="AA137" s="6"/>
      <c r="AB137" s="6"/>
      <c r="AC137" s="6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spans="2:43" x14ac:dyDescent="0.2">
      <c r="B138" s="21" t="s">
        <v>134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>
        <v>-2484</v>
      </c>
      <c r="Q138" s="6">
        <v>-3998</v>
      </c>
      <c r="R138" s="6">
        <v>-3999</v>
      </c>
      <c r="S138" s="6">
        <v>-3042</v>
      </c>
      <c r="T138" s="6">
        <v>-2724</v>
      </c>
      <c r="U138" s="6">
        <v>-2551</v>
      </c>
      <c r="V138" s="6">
        <v>-4803</v>
      </c>
      <c r="W138" s="6">
        <v>0</v>
      </c>
      <c r="X138" s="6"/>
      <c r="Y138" s="6"/>
      <c r="Z138" s="6"/>
      <c r="AA138" s="6"/>
      <c r="AB138" s="6"/>
      <c r="AC138" s="6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spans="2:43" x14ac:dyDescent="0.2">
      <c r="B139" s="21" t="s">
        <v>135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>
        <v>0</v>
      </c>
      <c r="Q139" s="6">
        <v>0</v>
      </c>
      <c r="R139" s="6">
        <v>0</v>
      </c>
      <c r="S139" s="6">
        <v>-775</v>
      </c>
      <c r="T139" s="6">
        <v>-209</v>
      </c>
      <c r="U139" s="6">
        <v>0</v>
      </c>
      <c r="V139" s="6">
        <v>0</v>
      </c>
      <c r="W139" s="6">
        <v>0</v>
      </c>
      <c r="X139" s="6"/>
      <c r="Y139" s="6"/>
      <c r="Z139" s="6"/>
      <c r="AA139" s="6"/>
      <c r="AB139" s="6"/>
      <c r="AC139" s="6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spans="2:43" x14ac:dyDescent="0.2">
      <c r="B140" s="21" t="s">
        <v>136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>
        <v>-6885</v>
      </c>
      <c r="Q140" s="6">
        <v>-7161</v>
      </c>
      <c r="R140" s="6">
        <v>-7364</v>
      </c>
      <c r="S140" s="6">
        <v>-7580</v>
      </c>
      <c r="T140" s="6">
        <v>-7812</v>
      </c>
      <c r="U140" s="6">
        <v>-7964</v>
      </c>
      <c r="V140" s="6">
        <v>-8197</v>
      </c>
      <c r="W140" s="6">
        <v>-8624</v>
      </c>
      <c r="X140" s="6"/>
      <c r="Y140" s="6"/>
      <c r="Z140" s="6"/>
      <c r="AA140" s="6"/>
      <c r="AB140" s="6"/>
      <c r="AC140" s="6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spans="2:43" x14ac:dyDescent="0.2">
      <c r="B141" s="21" t="s">
        <v>137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>
        <v>0</v>
      </c>
      <c r="Q141" s="6">
        <v>0</v>
      </c>
      <c r="R141" s="6">
        <v>0</v>
      </c>
      <c r="S141" s="6">
        <v>0</v>
      </c>
      <c r="T141" s="6">
        <v>-1495</v>
      </c>
      <c r="U141" s="6">
        <v>-883</v>
      </c>
      <c r="V141" s="6">
        <v>0</v>
      </c>
      <c r="W141" s="6">
        <v>0</v>
      </c>
      <c r="X141" s="6"/>
      <c r="Y141" s="6"/>
      <c r="Z141" s="6"/>
      <c r="AA141" s="6"/>
      <c r="AB141" s="6"/>
      <c r="AC141" s="6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spans="2:43" x14ac:dyDescent="0.2">
      <c r="B142" s="21" t="s">
        <v>138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>
        <v>-81</v>
      </c>
      <c r="Q142" s="6">
        <v>-357</v>
      </c>
      <c r="R142" s="6">
        <v>-776</v>
      </c>
      <c r="S142" s="6">
        <v>-580</v>
      </c>
      <c r="T142" s="6">
        <v>-854</v>
      </c>
      <c r="U142" s="6">
        <v>-437</v>
      </c>
      <c r="V142" s="6">
        <v>-489</v>
      </c>
      <c r="W142" s="6">
        <v>-521</v>
      </c>
      <c r="X142" s="6"/>
      <c r="Y142" s="6"/>
      <c r="Z142" s="6"/>
      <c r="AA142" s="6"/>
      <c r="AB142" s="6"/>
      <c r="AC142" s="6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spans="2:43" x14ac:dyDescent="0.2">
      <c r="B143" s="21" t="s">
        <v>96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>
        <v>-456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828</v>
      </c>
      <c r="W143" s="6">
        <v>0</v>
      </c>
      <c r="X143" s="6"/>
      <c r="Y143" s="6"/>
      <c r="Z143" s="6"/>
      <c r="AA143" s="6"/>
      <c r="AB143" s="6"/>
      <c r="AC143" s="6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spans="2:43" x14ac:dyDescent="0.2">
      <c r="B144" s="22" t="s">
        <v>128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5">
        <f t="shared" ref="P144:U144" si="94">SUM(P132:P143)</f>
        <v>-9651</v>
      </c>
      <c r="Q144" s="15">
        <f t="shared" si="94"/>
        <v>-8061</v>
      </c>
      <c r="R144" s="15">
        <f t="shared" si="94"/>
        <v>-8496</v>
      </c>
      <c r="S144" s="15">
        <f t="shared" si="94"/>
        <v>-11977</v>
      </c>
      <c r="T144" s="15">
        <f t="shared" si="94"/>
        <v>3806</v>
      </c>
      <c r="U144" s="15">
        <f t="shared" si="94"/>
        <v>-5582</v>
      </c>
      <c r="V144" s="15">
        <f>SUM(V132:V143)</f>
        <v>-9481</v>
      </c>
      <c r="W144" s="15">
        <f>SUM(W132:W143)</f>
        <v>-8132</v>
      </c>
      <c r="X144" s="6"/>
      <c r="Y144" s="6"/>
      <c r="Z144" s="6"/>
      <c r="AA144" s="6"/>
      <c r="AB144" s="6"/>
      <c r="AC144" s="6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spans="2:43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spans="2:43" x14ac:dyDescent="0.2">
      <c r="B146" s="21" t="s">
        <v>140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>
        <v>-685</v>
      </c>
      <c r="Q146" s="6">
        <v>27</v>
      </c>
      <c r="R146" s="6">
        <v>258</v>
      </c>
      <c r="S146" s="6">
        <v>-417</v>
      </c>
      <c r="T146" s="6">
        <v>-213</v>
      </c>
      <c r="U146" s="6">
        <v>-95</v>
      </c>
      <c r="V146" s="6">
        <v>-536</v>
      </c>
      <c r="W146" s="6">
        <v>504</v>
      </c>
      <c r="X146" s="6"/>
      <c r="Y146" s="6"/>
      <c r="Z146" s="6"/>
      <c r="AA146" s="6"/>
      <c r="AB146" s="6"/>
      <c r="AC146" s="6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spans="2:43" x14ac:dyDescent="0.2">
      <c r="B147" s="22" t="s">
        <v>141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5">
        <f t="shared" ref="P147:T147" si="95">P146+P144+P131+P123</f>
        <v>-1856</v>
      </c>
      <c r="Q147" s="15">
        <f t="shared" si="95"/>
        <v>245</v>
      </c>
      <c r="R147" s="15">
        <f t="shared" si="95"/>
        <v>420</v>
      </c>
      <c r="S147" s="15">
        <f t="shared" si="95"/>
        <v>-2785</v>
      </c>
      <c r="T147" s="15">
        <f t="shared" si="95"/>
        <v>-1283</v>
      </c>
      <c r="U147" s="15">
        <f>U146+U144+U131+U123</f>
        <v>-71</v>
      </c>
      <c r="V147" s="15">
        <f>V146+V144+V131+V123</f>
        <v>1108</v>
      </c>
      <c r="W147" s="15">
        <f>W146+W144+W131+W123</f>
        <v>638</v>
      </c>
      <c r="X147" s="6"/>
      <c r="Y147" s="6"/>
      <c r="Z147" s="6"/>
      <c r="AA147" s="6"/>
      <c r="AB147" s="6"/>
      <c r="AC147" s="6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spans="2:43" x14ac:dyDescent="0.2">
      <c r="B148" s="21" t="s">
        <v>142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>
        <f>P149-P147</f>
        <v>8476</v>
      </c>
      <c r="Q148" s="6">
        <f>Q149-Q147</f>
        <v>6620</v>
      </c>
      <c r="R148" s="6">
        <f>R149-R147</f>
        <v>6865</v>
      </c>
      <c r="S148" s="6">
        <f>S149-S147</f>
        <v>7285</v>
      </c>
      <c r="T148" s="6">
        <f>T149-T147</f>
        <v>4500</v>
      </c>
      <c r="U148" s="6">
        <v>3217</v>
      </c>
      <c r="V148" s="6">
        <f>U149</f>
        <v>3146</v>
      </c>
      <c r="W148" s="6">
        <f>+V149</f>
        <v>4254</v>
      </c>
      <c r="X148" s="6"/>
      <c r="Y148" s="6"/>
      <c r="Z148" s="6"/>
      <c r="AA148" s="6"/>
      <c r="AB148" s="6"/>
      <c r="AC148" s="6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spans="2:43" x14ac:dyDescent="0.2">
      <c r="B149" s="21" t="s">
        <v>143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>
        <f>Q148</f>
        <v>6620</v>
      </c>
      <c r="Q149" s="6">
        <f>R148</f>
        <v>6865</v>
      </c>
      <c r="R149" s="6">
        <f>S148</f>
        <v>7285</v>
      </c>
      <c r="S149" s="6">
        <f>T148</f>
        <v>4500</v>
      </c>
      <c r="T149" s="6">
        <f>U148</f>
        <v>3217</v>
      </c>
      <c r="U149" s="6">
        <f>U148+U147</f>
        <v>3146</v>
      </c>
      <c r="V149" s="6">
        <f>+V148+V147</f>
        <v>4254</v>
      </c>
      <c r="W149" s="6">
        <f>+W146+W148</f>
        <v>4758</v>
      </c>
      <c r="X149" s="6"/>
      <c r="Y149" s="6"/>
      <c r="Z149" s="6"/>
      <c r="AA149" s="6"/>
      <c r="AB149" s="6"/>
      <c r="AC149" s="6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spans="2:43" x14ac:dyDescent="0.2"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spans="2:43" x14ac:dyDescent="0.2"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spans="2:43" x14ac:dyDescent="0.2"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spans="2:43" x14ac:dyDescent="0.2"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spans="2:43" x14ac:dyDescent="0.2"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spans="2:43" x14ac:dyDescent="0.2"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spans="2:43" x14ac:dyDescent="0.2"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spans="2:43" x14ac:dyDescent="0.2"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spans="2:43" x14ac:dyDescent="0.2"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spans="2:43" x14ac:dyDescent="0.2"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spans="2:43" x14ac:dyDescent="0.2"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spans="2:43" x14ac:dyDescent="0.2"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spans="2:43" x14ac:dyDescent="0.2"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spans="2:43" x14ac:dyDescent="0.2"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spans="2:43" x14ac:dyDescent="0.2"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spans="2:43" x14ac:dyDescent="0.2"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spans="2:43" x14ac:dyDescent="0.2">
      <c r="B166" s="21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spans="2:43" x14ac:dyDescent="0.2">
      <c r="B167" s="21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spans="2:43" x14ac:dyDescent="0.2">
      <c r="B168" s="2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spans="2:43" x14ac:dyDescent="0.2">
      <c r="B169" s="2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spans="2:43" x14ac:dyDescent="0.2">
      <c r="B170" s="21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2:43" x14ac:dyDescent="0.2">
      <c r="B171" s="21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2:43" x14ac:dyDescent="0.2">
      <c r="B172" s="21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spans="2:43" x14ac:dyDescent="0.2">
      <c r="B173" s="21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2:43" x14ac:dyDescent="0.2">
      <c r="B174" s="21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spans="2:43" x14ac:dyDescent="0.2">
      <c r="B175" s="21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2:43" x14ac:dyDescent="0.2">
      <c r="B176" s="21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spans="2:43" x14ac:dyDescent="0.2">
      <c r="B177" s="21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spans="2:43" x14ac:dyDescent="0.2">
      <c r="B178" s="21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2:43" x14ac:dyDescent="0.2">
      <c r="B179" s="21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spans="2:43" x14ac:dyDescent="0.2">
      <c r="B180" s="21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spans="2:43" x14ac:dyDescent="0.2">
      <c r="B181" s="2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2:43" x14ac:dyDescent="0.2">
      <c r="B182" s="21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spans="2:43" x14ac:dyDescent="0.2">
      <c r="B183" s="21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spans="2:43" x14ac:dyDescent="0.2">
      <c r="B184" s="21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2:43" x14ac:dyDescent="0.2">
      <c r="B185" s="21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spans="2:43" x14ac:dyDescent="0.2">
      <c r="B186" s="21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2:43" x14ac:dyDescent="0.2">
      <c r="B187" s="21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spans="2:43" x14ac:dyDescent="0.2">
      <c r="B188" s="21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spans="2:43" x14ac:dyDescent="0.2">
      <c r="B189" s="21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spans="2:43" x14ac:dyDescent="0.2">
      <c r="B190" s="21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spans="2:43" x14ac:dyDescent="0.2">
      <c r="B191" s="21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spans="2:43" x14ac:dyDescent="0.2">
      <c r="B192" s="21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2:43" x14ac:dyDescent="0.2">
      <c r="B193" s="21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2:43" x14ac:dyDescent="0.2">
      <c r="B194" s="2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2:43" x14ac:dyDescent="0.2">
      <c r="B195" s="2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2:43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spans="2:43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spans="2:43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spans="2:43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spans="2:43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spans="2:43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spans="2:43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spans="2:43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spans="2:43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spans="2:43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2:43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spans="2:43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spans="2:43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spans="3:43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spans="3:43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spans="3:43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spans="3:43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3:43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spans="3:43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spans="3:43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spans="3:43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3:43" x14ac:dyDescent="0.2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</sheetData>
  <hyperlinks>
    <hyperlink ref="A1" location="Main!A1" display="Main" xr:uid="{447FE18D-CAEE-434C-B3CC-4791ECCACE8F}"/>
  </hyperlink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783D-D508-411E-B5B6-09B9692A1718}">
  <dimension ref="A2:N38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2.75" x14ac:dyDescent="0.2"/>
  <cols>
    <col min="1" max="1" width="4.5703125" style="2" customWidth="1"/>
    <col min="2" max="2" width="32.42578125" style="2" bestFit="1" customWidth="1"/>
    <col min="3" max="16384" width="9.140625" style="2"/>
  </cols>
  <sheetData>
    <row r="2" spans="1:14" x14ac:dyDescent="0.2">
      <c r="B2" s="12" t="s">
        <v>147</v>
      </c>
      <c r="C2" s="39">
        <v>18</v>
      </c>
      <c r="D2" s="39">
        <f>C2+1</f>
        <v>19</v>
      </c>
      <c r="E2" s="39">
        <f t="shared" ref="E2:H2" si="0">D2+1</f>
        <v>20</v>
      </c>
      <c r="F2" s="39">
        <f t="shared" si="0"/>
        <v>21</v>
      </c>
      <c r="G2" s="39">
        <f t="shared" si="0"/>
        <v>22</v>
      </c>
      <c r="H2" s="39">
        <f t="shared" si="0"/>
        <v>23</v>
      </c>
      <c r="I2" s="39">
        <f>H2+1</f>
        <v>24</v>
      </c>
      <c r="K2" s="2" t="s">
        <v>148</v>
      </c>
      <c r="L2" s="2" t="s">
        <v>149</v>
      </c>
      <c r="N2" s="2" t="s">
        <v>246</v>
      </c>
    </row>
    <row r="3" spans="1:14" x14ac:dyDescent="0.2">
      <c r="B3" s="12" t="s">
        <v>150</v>
      </c>
    </row>
    <row r="4" spans="1:14" x14ac:dyDescent="0.2">
      <c r="B4" s="2" t="s">
        <v>151</v>
      </c>
      <c r="C4" s="17">
        <f>Model!P39/Model!P103</f>
        <v>-0.73666076915913958</v>
      </c>
      <c r="D4" s="17">
        <f>Model!Q39/Model!Q103</f>
        <v>-0.74851547036149602</v>
      </c>
      <c r="E4" s="17">
        <f>Model!R39/Model!R103</f>
        <v>-0.75778383971404384</v>
      </c>
      <c r="F4" s="17">
        <f>Model!S39/Model!S103</f>
        <v>-1.109770955165692</v>
      </c>
      <c r="G4" s="17">
        <f>Model!T39/Model!T103</f>
        <v>-1.4336872128030422</v>
      </c>
      <c r="H4" s="17">
        <f>Model!U39/Model!U103</f>
        <v>-0.82712259157315271</v>
      </c>
      <c r="I4" s="17">
        <f>Model!V39/Model!V103</f>
        <v>-0.71499493414387028</v>
      </c>
      <c r="J4" s="17"/>
      <c r="K4" s="32"/>
      <c r="L4" s="32"/>
      <c r="N4" s="2" t="s">
        <v>240</v>
      </c>
    </row>
    <row r="5" spans="1:14" x14ac:dyDescent="0.2">
      <c r="B5" s="2" t="s">
        <v>152</v>
      </c>
      <c r="D5" s="17"/>
      <c r="E5" s="17"/>
      <c r="F5" s="17"/>
      <c r="G5" s="17"/>
      <c r="H5" s="17"/>
      <c r="I5" s="17"/>
      <c r="K5" s="32"/>
      <c r="L5" s="32"/>
      <c r="N5" s="2" t="s">
        <v>153</v>
      </c>
    </row>
    <row r="6" spans="1:14" x14ac:dyDescent="0.2">
      <c r="B6" s="2" t="s">
        <v>154</v>
      </c>
      <c r="C6" s="17">
        <f>(Model!P31*(1-Model!P50))/(Model!P103+Model!P79+Model!P89+Model!P78-Model!P54)</f>
        <v>0.60790443464376287</v>
      </c>
      <c r="D6" s="17">
        <f>(Model!Q31*(1-Model!Q50))/(Model!Q103+Model!Q79+Model!Q89+Model!Q78-Model!Q54)</f>
        <v>0.55433198697180619</v>
      </c>
      <c r="E6" s="17">
        <f>(Model!R31*(1-Model!R50))/(Model!R103+Model!R79+Model!R89+Model!R78-Model!R54)</f>
        <v>0.670519780513403</v>
      </c>
      <c r="F6" s="17">
        <f>(Model!S31*(1-Model!S50))/(Model!S103+Model!S79+Model!S89+Model!S78-Model!S54)</f>
        <v>0.67155060760146901</v>
      </c>
      <c r="G6" s="17">
        <f>(Model!T31*(1-Model!T50))/(Model!T103+Model!T79+Model!T89+Model!T78-Model!T54)</f>
        <v>0.29412157855202636</v>
      </c>
      <c r="H6" s="17">
        <f>(Model!U31*(1-Model!U50))/(Model!U103+Model!U79+Model!U89+Model!U78-Model!U54)</f>
        <v>0.25335272454811836</v>
      </c>
      <c r="I6" s="17">
        <f>(Model!V31*(1-Model!V50))/(Model!V103+Model!V79+Model!V89+Model!V78-Model!V54)</f>
        <v>0.31913314655565894</v>
      </c>
      <c r="K6" s="32"/>
      <c r="L6" s="32"/>
      <c r="N6" s="2" t="s">
        <v>155</v>
      </c>
    </row>
    <row r="7" spans="1:14" x14ac:dyDescent="0.2">
      <c r="B7" s="2" t="s">
        <v>156</v>
      </c>
      <c r="D7" s="17"/>
      <c r="E7" s="17"/>
      <c r="F7" s="17"/>
      <c r="G7" s="17"/>
      <c r="H7" s="17"/>
      <c r="I7" s="17"/>
      <c r="K7" s="32"/>
      <c r="L7" s="32"/>
      <c r="N7" s="2" t="s">
        <v>157</v>
      </c>
    </row>
    <row r="8" spans="1:14" x14ac:dyDescent="0.2">
      <c r="B8" s="2" t="s">
        <v>158</v>
      </c>
      <c r="D8" s="32"/>
      <c r="E8" s="32"/>
      <c r="F8" s="32"/>
      <c r="G8" s="32"/>
      <c r="H8" s="32"/>
      <c r="I8" s="32"/>
      <c r="K8" s="32"/>
      <c r="L8" s="32"/>
      <c r="N8" s="2" t="s">
        <v>159</v>
      </c>
    </row>
    <row r="9" spans="1:14" x14ac:dyDescent="0.2">
      <c r="B9" s="2" t="s">
        <v>160</v>
      </c>
      <c r="D9" s="17"/>
      <c r="E9" s="17"/>
      <c r="F9" s="17"/>
      <c r="G9" s="17"/>
      <c r="H9" s="17"/>
      <c r="I9" s="17"/>
      <c r="K9" s="32"/>
      <c r="L9" s="32"/>
      <c r="N9" s="2" t="s">
        <v>161</v>
      </c>
    </row>
    <row r="10" spans="1:14" x14ac:dyDescent="0.2">
      <c r="B10" s="2" t="s">
        <v>158</v>
      </c>
      <c r="D10" s="32"/>
      <c r="E10" s="32"/>
      <c r="F10" s="32"/>
      <c r="G10" s="32"/>
      <c r="H10" s="32"/>
      <c r="I10" s="32"/>
      <c r="K10" s="32"/>
      <c r="L10" s="32"/>
      <c r="N10" s="2" t="s">
        <v>162</v>
      </c>
    </row>
    <row r="13" spans="1:14" x14ac:dyDescent="0.2">
      <c r="A13" s="13" t="s">
        <v>16</v>
      </c>
      <c r="B13" s="12" t="s">
        <v>163</v>
      </c>
    </row>
    <row r="14" spans="1:14" x14ac:dyDescent="0.2">
      <c r="B14" s="2" t="s">
        <v>164</v>
      </c>
      <c r="D14" s="17"/>
      <c r="E14" s="17"/>
      <c r="F14" s="17"/>
      <c r="G14" s="17"/>
      <c r="H14" s="17"/>
      <c r="I14" s="17"/>
      <c r="K14" s="32"/>
      <c r="L14" s="32"/>
      <c r="N14" s="2" t="s">
        <v>165</v>
      </c>
    </row>
    <row r="15" spans="1:14" x14ac:dyDescent="0.2">
      <c r="B15" s="2" t="s">
        <v>166</v>
      </c>
      <c r="D15" s="17"/>
      <c r="E15" s="17"/>
      <c r="F15" s="17"/>
      <c r="G15" s="17"/>
      <c r="H15" s="17"/>
      <c r="I15" s="17"/>
      <c r="K15" s="32"/>
      <c r="L15" s="32"/>
      <c r="N15" s="2" t="s">
        <v>167</v>
      </c>
    </row>
    <row r="16" spans="1:14" x14ac:dyDescent="0.2">
      <c r="B16" s="2" t="s">
        <v>241</v>
      </c>
      <c r="D16" s="17"/>
      <c r="E16" s="17"/>
      <c r="F16" s="17"/>
      <c r="G16" s="17"/>
      <c r="H16" s="17"/>
      <c r="I16" s="17"/>
      <c r="K16" s="32"/>
      <c r="L16" s="32"/>
      <c r="N16" s="2" t="s">
        <v>242</v>
      </c>
    </row>
    <row r="17" spans="1:14" x14ac:dyDescent="0.2">
      <c r="B17" s="2" t="s">
        <v>168</v>
      </c>
      <c r="D17" s="17"/>
      <c r="E17" s="17"/>
      <c r="F17" s="17"/>
      <c r="G17" s="17"/>
      <c r="H17" s="17"/>
      <c r="I17" s="17"/>
      <c r="K17" s="32"/>
      <c r="L17" s="32"/>
      <c r="N17" s="2" t="s">
        <v>169</v>
      </c>
    </row>
    <row r="18" spans="1:14" x14ac:dyDescent="0.2">
      <c r="B18" s="2" t="s">
        <v>170</v>
      </c>
      <c r="D18" s="17"/>
      <c r="E18" s="17"/>
      <c r="F18" s="17"/>
      <c r="G18" s="17"/>
      <c r="H18" s="17"/>
      <c r="I18" s="17"/>
      <c r="K18" s="32"/>
      <c r="L18" s="32"/>
      <c r="N18" s="2" t="s">
        <v>171</v>
      </c>
    </row>
    <row r="20" spans="1:14" x14ac:dyDescent="0.2">
      <c r="A20" s="13" t="s">
        <v>16</v>
      </c>
      <c r="B20" s="12" t="s">
        <v>172</v>
      </c>
    </row>
    <row r="21" spans="1:14" x14ac:dyDescent="0.2">
      <c r="B21" s="2" t="s">
        <v>173</v>
      </c>
      <c r="D21" s="40"/>
      <c r="E21" s="40"/>
      <c r="F21" s="40"/>
      <c r="G21" s="40"/>
      <c r="H21" s="40"/>
      <c r="I21" s="40"/>
      <c r="K21" s="40"/>
      <c r="L21" s="40"/>
      <c r="N21" s="2" t="s">
        <v>174</v>
      </c>
    </row>
    <row r="22" spans="1:14" x14ac:dyDescent="0.2">
      <c r="B22" s="2" t="s">
        <v>175</v>
      </c>
      <c r="D22" s="40"/>
      <c r="E22" s="40"/>
      <c r="F22" s="40"/>
      <c r="G22" s="40"/>
      <c r="H22" s="40"/>
      <c r="I22" s="40"/>
      <c r="K22" s="40"/>
      <c r="L22" s="40"/>
      <c r="N22" s="2" t="s">
        <v>176</v>
      </c>
    </row>
    <row r="23" spans="1:14" x14ac:dyDescent="0.2">
      <c r="B23" s="2" t="s">
        <v>177</v>
      </c>
      <c r="D23" s="40"/>
      <c r="E23" s="40"/>
      <c r="F23" s="40"/>
      <c r="G23" s="40"/>
      <c r="H23" s="40"/>
      <c r="I23" s="40"/>
      <c r="K23" s="40"/>
      <c r="L23" s="40"/>
      <c r="N23" s="2" t="s">
        <v>178</v>
      </c>
    </row>
    <row r="24" spans="1:14" x14ac:dyDescent="0.2">
      <c r="B24" s="2" t="s">
        <v>179</v>
      </c>
      <c r="D24" s="40"/>
      <c r="E24" s="40"/>
      <c r="F24" s="40"/>
      <c r="G24" s="40"/>
      <c r="H24" s="40"/>
      <c r="I24" s="40"/>
      <c r="K24" s="40"/>
      <c r="L24" s="40"/>
      <c r="N24" s="2" t="s">
        <v>180</v>
      </c>
    </row>
    <row r="25" spans="1:14" x14ac:dyDescent="0.2">
      <c r="B25" s="2" t="s">
        <v>195</v>
      </c>
      <c r="D25" s="40"/>
      <c r="E25" s="40"/>
      <c r="F25" s="40"/>
      <c r="G25" s="40"/>
      <c r="H25" s="40"/>
      <c r="I25" s="40"/>
      <c r="K25" s="40"/>
      <c r="L25" s="40"/>
      <c r="N25" s="2" t="s">
        <v>181</v>
      </c>
    </row>
    <row r="27" spans="1:14" x14ac:dyDescent="0.2">
      <c r="A27" s="13" t="s">
        <v>16</v>
      </c>
      <c r="B27" s="12" t="s">
        <v>182</v>
      </c>
    </row>
    <row r="28" spans="1:14" x14ac:dyDescent="0.2">
      <c r="B28" s="24" t="s">
        <v>183</v>
      </c>
    </row>
    <row r="29" spans="1:14" x14ac:dyDescent="0.2">
      <c r="B29" s="2" t="s">
        <v>184</v>
      </c>
      <c r="D29" s="41"/>
      <c r="E29" s="41"/>
      <c r="F29" s="41"/>
      <c r="G29" s="41"/>
      <c r="H29" s="41"/>
      <c r="I29" s="41"/>
    </row>
    <row r="30" spans="1:14" x14ac:dyDescent="0.2">
      <c r="B30" s="2" t="s">
        <v>6</v>
      </c>
      <c r="D30" s="41"/>
      <c r="E30" s="41"/>
      <c r="F30" s="41"/>
      <c r="G30" s="41"/>
      <c r="H30" s="41"/>
      <c r="I30" s="41"/>
    </row>
    <row r="31" spans="1:14" x14ac:dyDescent="0.2">
      <c r="B31" s="2" t="s">
        <v>196</v>
      </c>
      <c r="D31" s="40"/>
      <c r="E31" s="40"/>
      <c r="F31" s="40"/>
      <c r="G31" s="40"/>
      <c r="H31" s="40"/>
      <c r="I31" s="40"/>
      <c r="K31" s="40"/>
      <c r="L31" s="40"/>
      <c r="N31" s="2" t="s">
        <v>185</v>
      </c>
    </row>
    <row r="32" spans="1:14" x14ac:dyDescent="0.2">
      <c r="B32" s="2" t="s">
        <v>186</v>
      </c>
      <c r="D32" s="42"/>
      <c r="E32" s="40"/>
      <c r="F32" s="40"/>
      <c r="G32" s="40"/>
      <c r="H32" s="40"/>
      <c r="I32" s="40"/>
      <c r="K32" s="40"/>
      <c r="L32" s="40"/>
      <c r="N32" s="2" t="s">
        <v>187</v>
      </c>
    </row>
    <row r="33" spans="2:14" x14ac:dyDescent="0.2">
      <c r="B33" s="2" t="s">
        <v>197</v>
      </c>
      <c r="D33" s="40"/>
      <c r="E33" s="40"/>
      <c r="F33" s="40"/>
      <c r="G33" s="40"/>
      <c r="H33" s="40"/>
      <c r="I33" s="40"/>
      <c r="K33" s="40"/>
      <c r="L33" s="40"/>
      <c r="N33" s="2" t="s">
        <v>188</v>
      </c>
    </row>
    <row r="34" spans="2:14" x14ac:dyDescent="0.2">
      <c r="B34" s="24" t="s">
        <v>189</v>
      </c>
      <c r="K34" s="40"/>
      <c r="L34" s="40"/>
    </row>
    <row r="35" spans="2:14" x14ac:dyDescent="0.2">
      <c r="B35" s="2" t="s">
        <v>190</v>
      </c>
      <c r="D35" s="40"/>
      <c r="E35" s="40"/>
      <c r="F35" s="40"/>
      <c r="G35" s="40"/>
      <c r="H35" s="40"/>
      <c r="I35" s="40"/>
      <c r="K35" s="40"/>
      <c r="L35" s="40"/>
      <c r="N35" s="2" t="s">
        <v>190</v>
      </c>
    </row>
    <row r="36" spans="2:14" x14ac:dyDescent="0.2">
      <c r="B36" s="2" t="s">
        <v>191</v>
      </c>
      <c r="D36" s="40"/>
      <c r="E36" s="40"/>
      <c r="F36" s="40"/>
      <c r="G36" s="40"/>
      <c r="H36" s="40"/>
      <c r="I36" s="40"/>
      <c r="K36" s="40"/>
      <c r="L36" s="40"/>
      <c r="N36" s="2" t="s">
        <v>191</v>
      </c>
    </row>
    <row r="37" spans="2:14" x14ac:dyDescent="0.2">
      <c r="B37" s="2" t="s">
        <v>192</v>
      </c>
      <c r="D37" s="40"/>
      <c r="E37" s="40"/>
      <c r="F37" s="40"/>
      <c r="G37" s="40"/>
      <c r="H37" s="40"/>
      <c r="I37" s="40"/>
      <c r="K37" s="40"/>
      <c r="L37" s="40"/>
      <c r="N37" s="2" t="s">
        <v>192</v>
      </c>
    </row>
    <row r="38" spans="2:14" x14ac:dyDescent="0.2">
      <c r="B38" s="2" t="s">
        <v>193</v>
      </c>
      <c r="D38" s="40"/>
      <c r="E38" s="40"/>
      <c r="F38" s="40"/>
      <c r="G38" s="40"/>
      <c r="H38" s="40"/>
      <c r="I38" s="40"/>
      <c r="K38" s="40"/>
      <c r="L38" s="40"/>
      <c r="N38" s="2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99A4-A5F7-48F0-B153-B1BC53E6538C}">
  <dimension ref="A2:X75"/>
  <sheetViews>
    <sheetView showGridLines="0" zoomScale="200" zoomScaleNormal="200" workbookViewId="0">
      <selection activeCell="B3" sqref="B3"/>
    </sheetView>
  </sheetViews>
  <sheetFormatPr defaultRowHeight="12.75" x14ac:dyDescent="0.2"/>
  <cols>
    <col min="1" max="1" width="5.85546875" style="2" customWidth="1"/>
    <col min="2" max="4" width="9.140625" style="2"/>
    <col min="5" max="5" width="11.28515625" style="2" bestFit="1" customWidth="1"/>
    <col min="6" max="6" width="9.140625" style="2"/>
    <col min="7" max="20" width="9.42578125" style="2" bestFit="1" customWidth="1"/>
    <col min="21" max="21" width="9.28515625" style="2" bestFit="1" customWidth="1"/>
    <col min="22" max="22" width="10.140625" style="2" bestFit="1" customWidth="1"/>
    <col min="23" max="16384" width="9.140625" style="2"/>
  </cols>
  <sheetData>
    <row r="2" spans="1:24" x14ac:dyDescent="0.2">
      <c r="A2" s="37"/>
      <c r="B2" s="43" t="s">
        <v>239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24" x14ac:dyDescent="0.2">
      <c r="E3" s="44"/>
    </row>
    <row r="4" spans="1:24" x14ac:dyDescent="0.2">
      <c r="B4" s="2" t="s">
        <v>198</v>
      </c>
      <c r="E4" s="45" t="s">
        <v>238</v>
      </c>
      <c r="G4" s="2" t="s">
        <v>199</v>
      </c>
      <c r="J4" s="46">
        <f>Main!K3</f>
        <v>182.31</v>
      </c>
    </row>
    <row r="5" spans="1:24" x14ac:dyDescent="0.2">
      <c r="B5" s="2" t="s">
        <v>200</v>
      </c>
      <c r="E5" s="47">
        <v>45504</v>
      </c>
      <c r="G5" s="2" t="s">
        <v>201</v>
      </c>
      <c r="J5" s="46">
        <f ca="1">V61</f>
        <v>148.23642994857417</v>
      </c>
    </row>
    <row r="6" spans="1:24" x14ac:dyDescent="0.2">
      <c r="B6" s="2" t="s">
        <v>202</v>
      </c>
      <c r="E6" s="48">
        <v>45657</v>
      </c>
      <c r="G6" s="2" t="s">
        <v>203</v>
      </c>
      <c r="J6" s="49">
        <f ca="1">J5/J4-1</f>
        <v>-0.18689907328959376</v>
      </c>
    </row>
    <row r="8" spans="1:24" x14ac:dyDescent="0.2">
      <c r="A8" s="50" t="s">
        <v>16</v>
      </c>
      <c r="B8" s="51" t="s">
        <v>204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spans="1:24" x14ac:dyDescent="0.2">
      <c r="A9" s="50"/>
    </row>
    <row r="10" spans="1:24" x14ac:dyDescent="0.2">
      <c r="A10" s="50"/>
      <c r="B10" s="52" t="s">
        <v>205</v>
      </c>
      <c r="C10" s="53"/>
      <c r="D10" s="53"/>
      <c r="E10" s="53"/>
      <c r="G10" s="52" t="s">
        <v>206</v>
      </c>
      <c r="H10" s="53"/>
      <c r="I10" s="53"/>
      <c r="J10" s="53"/>
      <c r="L10" s="52" t="s">
        <v>207</v>
      </c>
      <c r="M10" s="53"/>
      <c r="N10" s="53"/>
      <c r="O10" s="53"/>
      <c r="Q10" s="52" t="s">
        <v>208</v>
      </c>
      <c r="R10" s="53"/>
      <c r="S10" s="53"/>
      <c r="T10" s="53"/>
    </row>
    <row r="11" spans="1:24" x14ac:dyDescent="0.2">
      <c r="A11" s="50"/>
      <c r="B11" s="12" t="s">
        <v>209</v>
      </c>
      <c r="G11" s="12" t="s">
        <v>209</v>
      </c>
      <c r="I11" s="12" t="s">
        <v>210</v>
      </c>
      <c r="J11" s="12" t="s">
        <v>211</v>
      </c>
      <c r="L11" s="12" t="s">
        <v>209</v>
      </c>
      <c r="N11" s="12" t="s">
        <v>210</v>
      </c>
      <c r="O11" s="12" t="s">
        <v>211</v>
      </c>
      <c r="Q11" s="12" t="s">
        <v>209</v>
      </c>
      <c r="S11" s="12" t="s">
        <v>210</v>
      </c>
      <c r="T11" s="12" t="s">
        <v>211</v>
      </c>
    </row>
    <row r="12" spans="1:24" x14ac:dyDescent="0.2">
      <c r="B12" s="2" t="s">
        <v>18</v>
      </c>
      <c r="E12" s="54">
        <v>2</v>
      </c>
      <c r="G12" s="2" t="s">
        <v>212</v>
      </c>
      <c r="K12" s="14"/>
      <c r="L12" s="2" t="s">
        <v>212</v>
      </c>
      <c r="Q12" s="2" t="s">
        <v>212</v>
      </c>
    </row>
    <row r="13" spans="1:24" x14ac:dyDescent="0.2">
      <c r="B13" s="2" t="s">
        <v>213</v>
      </c>
      <c r="E13" s="54">
        <v>2</v>
      </c>
    </row>
    <row r="14" spans="1:24" x14ac:dyDescent="0.2">
      <c r="B14" s="2" t="s">
        <v>214</v>
      </c>
      <c r="E14" s="54">
        <v>2</v>
      </c>
      <c r="G14" s="2" t="s">
        <v>213</v>
      </c>
      <c r="L14" s="2" t="s">
        <v>213</v>
      </c>
      <c r="Q14" s="2" t="s">
        <v>213</v>
      </c>
    </row>
    <row r="15" spans="1:24" x14ac:dyDescent="0.2">
      <c r="B15" s="2" t="s">
        <v>215</v>
      </c>
      <c r="E15" s="54">
        <v>2</v>
      </c>
    </row>
    <row r="17" spans="1:22" x14ac:dyDescent="0.2">
      <c r="B17" s="12" t="s">
        <v>216</v>
      </c>
    </row>
    <row r="18" spans="1:22" x14ac:dyDescent="0.2">
      <c r="B18" s="2" t="s">
        <v>214</v>
      </c>
      <c r="E18" s="55">
        <v>7.0000000000000007E-2</v>
      </c>
      <c r="G18" s="2" t="s">
        <v>214</v>
      </c>
      <c r="J18" s="55"/>
      <c r="L18" s="2" t="s">
        <v>214</v>
      </c>
      <c r="O18" s="55">
        <v>7.0000000000000007E-2</v>
      </c>
      <c r="Q18" s="2" t="s">
        <v>214</v>
      </c>
      <c r="T18" s="55"/>
    </row>
    <row r="19" spans="1:22" x14ac:dyDescent="0.2">
      <c r="B19" s="2" t="s">
        <v>215</v>
      </c>
      <c r="E19" s="55">
        <f>CHOOSE(E15,J19,O19,T19)</f>
        <v>1.4999999999999999E-2</v>
      </c>
      <c r="G19" s="2" t="s">
        <v>215</v>
      </c>
      <c r="J19" s="55"/>
      <c r="L19" s="2" t="s">
        <v>215</v>
      </c>
      <c r="O19" s="55">
        <v>1.4999999999999999E-2</v>
      </c>
      <c r="Q19" s="2" t="s">
        <v>215</v>
      </c>
      <c r="T19" s="55"/>
    </row>
    <row r="23" spans="1:22" x14ac:dyDescent="0.2">
      <c r="A23" s="50" t="s">
        <v>16</v>
      </c>
      <c r="B23" s="51" t="s">
        <v>217</v>
      </c>
      <c r="C23" s="51"/>
      <c r="D23" s="51"/>
      <c r="E23" s="51"/>
      <c r="F23" s="51"/>
      <c r="G23" s="56">
        <v>18</v>
      </c>
      <c r="H23" s="56">
        <f>G23+1</f>
        <v>19</v>
      </c>
      <c r="I23" s="56">
        <f t="shared" ref="I23:V23" si="0">H23+1</f>
        <v>20</v>
      </c>
      <c r="J23" s="56">
        <f t="shared" si="0"/>
        <v>21</v>
      </c>
      <c r="K23" s="56">
        <f t="shared" si="0"/>
        <v>22</v>
      </c>
      <c r="L23" s="56">
        <f t="shared" si="0"/>
        <v>23</v>
      </c>
      <c r="M23" s="57">
        <f t="shared" si="0"/>
        <v>24</v>
      </c>
      <c r="N23" s="57">
        <f t="shared" si="0"/>
        <v>25</v>
      </c>
      <c r="O23" s="57">
        <f t="shared" si="0"/>
        <v>26</v>
      </c>
      <c r="P23" s="57">
        <f t="shared" si="0"/>
        <v>27</v>
      </c>
      <c r="Q23" s="57">
        <f t="shared" si="0"/>
        <v>28</v>
      </c>
      <c r="R23" s="57">
        <f t="shared" si="0"/>
        <v>29</v>
      </c>
      <c r="S23" s="57">
        <f t="shared" si="0"/>
        <v>30</v>
      </c>
      <c r="T23" s="57">
        <f t="shared" si="0"/>
        <v>31</v>
      </c>
      <c r="U23" s="57">
        <f t="shared" si="0"/>
        <v>32</v>
      </c>
      <c r="V23" s="57">
        <f t="shared" si="0"/>
        <v>33</v>
      </c>
    </row>
    <row r="24" spans="1:22" x14ac:dyDescent="0.2">
      <c r="B24" s="2" t="s">
        <v>212</v>
      </c>
      <c r="G24" s="41">
        <f>Model!P26</f>
        <v>29625</v>
      </c>
      <c r="H24" s="41">
        <f>Model!Q26</f>
        <v>29805</v>
      </c>
      <c r="I24" s="41">
        <f>Model!R26</f>
        <v>28694</v>
      </c>
      <c r="J24" s="41">
        <f>Model!S26</f>
        <v>31405</v>
      </c>
      <c r="K24" s="41">
        <f>Model!T26</f>
        <v>31762</v>
      </c>
      <c r="L24" s="41">
        <f>Model!U26</f>
        <v>35174</v>
      </c>
      <c r="M24" s="41">
        <f ca="1">L24*(1+M25)</f>
        <v>36580.959999999999</v>
      </c>
      <c r="N24" s="41">
        <f t="shared" ref="N24:V24" ca="1" si="1">M24*(1+N25)</f>
        <v>38044.198400000001</v>
      </c>
      <c r="O24" s="41">
        <f t="shared" ca="1" si="1"/>
        <v>39565.966336000005</v>
      </c>
      <c r="P24" s="41">
        <f t="shared" ca="1" si="1"/>
        <v>41148.604989440006</v>
      </c>
      <c r="Q24" s="41">
        <f t="shared" ca="1" si="1"/>
        <v>42794.549189017605</v>
      </c>
      <c r="R24" s="41">
        <f t="shared" ca="1" si="1"/>
        <v>44506.331156578308</v>
      </c>
      <c r="S24" s="41">
        <f t="shared" ca="1" si="1"/>
        <v>46286.584402841443</v>
      </c>
      <c r="T24" s="41">
        <f t="shared" ca="1" si="1"/>
        <v>48138.047778955101</v>
      </c>
      <c r="U24" s="41">
        <f t="shared" ca="1" si="1"/>
        <v>50063.569690113305</v>
      </c>
      <c r="V24" s="41">
        <f t="shared" ca="1" si="1"/>
        <v>52066.112477717841</v>
      </c>
    </row>
    <row r="25" spans="1:22" x14ac:dyDescent="0.2">
      <c r="B25" s="58" t="s">
        <v>218</v>
      </c>
      <c r="C25" s="20"/>
      <c r="G25" s="59"/>
      <c r="H25" s="60">
        <f>H24/G24-1</f>
        <v>6.0759493670885512E-3</v>
      </c>
      <c r="I25" s="60">
        <f t="shared" ref="I25:L25" si="2">I24/H24-1</f>
        <v>-3.7275624895151793E-2</v>
      </c>
      <c r="J25" s="60">
        <f t="shared" si="2"/>
        <v>9.4479682163518541E-2</v>
      </c>
      <c r="K25" s="60">
        <f t="shared" si="2"/>
        <v>1.1367616621557053E-2</v>
      </c>
      <c r="L25" s="60">
        <f t="shared" si="2"/>
        <v>0.10742396574523005</v>
      </c>
      <c r="M25" s="60" cm="1">
        <f t="array" aca="1" ref="M25" ca="1">OFFSET(M25,$E$12,,)</f>
        <v>0.04</v>
      </c>
      <c r="N25" s="60" cm="1">
        <f t="array" aca="1" ref="N25" ca="1">OFFSET(N25,$E$12,,)</f>
        <v>0.04</v>
      </c>
      <c r="O25" s="60" cm="1">
        <f t="array" aca="1" ref="O25" ca="1">OFFSET(O25,$E$12,,)</f>
        <v>0.04</v>
      </c>
      <c r="P25" s="60" cm="1">
        <f t="array" aca="1" ref="P25" ca="1">OFFSET(P25,$E$12,,)</f>
        <v>0.04</v>
      </c>
      <c r="Q25" s="60" cm="1">
        <f t="array" aca="1" ref="Q25" ca="1">OFFSET(Q25,$E$12,,)</f>
        <v>0.04</v>
      </c>
      <c r="R25" s="60" cm="1">
        <f t="array" aca="1" ref="R25" ca="1">OFFSET(R25,$E$12,,)</f>
        <v>0.04</v>
      </c>
      <c r="S25" s="60" cm="1">
        <f t="array" aca="1" ref="S25" ca="1">OFFSET(S25,$E$12,,)</f>
        <v>0.04</v>
      </c>
      <c r="T25" s="60" cm="1">
        <f t="array" aca="1" ref="T25" ca="1">OFFSET(T25,$E$12,,)</f>
        <v>0.04</v>
      </c>
      <c r="U25" s="60" cm="1">
        <f t="array" aca="1" ref="U25" ca="1">OFFSET(U25,$E$12,,)</f>
        <v>0.04</v>
      </c>
      <c r="V25" s="60" cm="1">
        <f t="array" aca="1" ref="V25" ca="1">OFFSET(V25,$E$12,,)</f>
        <v>0.04</v>
      </c>
    </row>
    <row r="26" spans="1:22" x14ac:dyDescent="0.2">
      <c r="B26" s="58" t="s">
        <v>206</v>
      </c>
      <c r="C26" s="20"/>
      <c r="H26" s="17"/>
      <c r="I26" s="17"/>
      <c r="J26" s="17"/>
      <c r="K26" s="17"/>
      <c r="L26" s="17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 spans="1:22" x14ac:dyDescent="0.2">
      <c r="B27" s="58" t="s">
        <v>219</v>
      </c>
      <c r="C27" s="20"/>
      <c r="H27" s="17"/>
      <c r="I27" s="17"/>
      <c r="J27" s="17"/>
      <c r="K27" s="17"/>
      <c r="L27" s="17"/>
      <c r="M27" s="62">
        <v>0.04</v>
      </c>
      <c r="N27" s="62">
        <v>0.04</v>
      </c>
      <c r="O27" s="62">
        <v>0.04</v>
      </c>
      <c r="P27" s="62">
        <v>0.04</v>
      </c>
      <c r="Q27" s="62">
        <v>0.04</v>
      </c>
      <c r="R27" s="62">
        <v>0.04</v>
      </c>
      <c r="S27" s="62">
        <v>0.04</v>
      </c>
      <c r="T27" s="62">
        <v>0.04</v>
      </c>
      <c r="U27" s="62">
        <v>0.04</v>
      </c>
      <c r="V27" s="62">
        <v>0.04</v>
      </c>
    </row>
    <row r="28" spans="1:22" x14ac:dyDescent="0.2">
      <c r="B28" s="58" t="s">
        <v>220</v>
      </c>
      <c r="C28" s="20"/>
      <c r="H28" s="17"/>
      <c r="I28" s="17"/>
      <c r="J28" s="17"/>
      <c r="K28" s="17"/>
      <c r="L28" s="17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30" spans="1:22" x14ac:dyDescent="0.2">
      <c r="B30" s="2" t="s">
        <v>213</v>
      </c>
      <c r="G30" s="41">
        <f>Model!P31</f>
        <v>11377</v>
      </c>
      <c r="H30" s="41">
        <f>Model!Q31</f>
        <v>10531</v>
      </c>
      <c r="I30" s="41">
        <f>Model!R31</f>
        <v>11668</v>
      </c>
      <c r="J30" s="41">
        <f>Model!S31</f>
        <v>12975</v>
      </c>
      <c r="K30" s="41">
        <f>Model!T31</f>
        <v>12246</v>
      </c>
      <c r="L30" s="41">
        <f>Model!U31</f>
        <v>11556</v>
      </c>
      <c r="M30" s="41">
        <f ca="1">M31*M24</f>
        <v>13900.764799999999</v>
      </c>
      <c r="N30" s="41">
        <f t="shared" ref="N30:V30" ca="1" si="3">N31*N24</f>
        <v>14456.795392</v>
      </c>
      <c r="O30" s="41">
        <f t="shared" ca="1" si="3"/>
        <v>15035.067207680002</v>
      </c>
      <c r="P30" s="41">
        <f t="shared" ca="1" si="3"/>
        <v>15636.469895987202</v>
      </c>
      <c r="Q30" s="41">
        <f t="shared" ca="1" si="3"/>
        <v>16261.92869182669</v>
      </c>
      <c r="R30" s="41">
        <f t="shared" ca="1" si="3"/>
        <v>16912.405839499756</v>
      </c>
      <c r="S30" s="41">
        <f t="shared" ca="1" si="3"/>
        <v>17588.902073079749</v>
      </c>
      <c r="T30" s="41">
        <f t="shared" ca="1" si="3"/>
        <v>18292.45815600294</v>
      </c>
      <c r="U30" s="41">
        <f t="shared" ca="1" si="3"/>
        <v>19024.156482243056</v>
      </c>
      <c r="V30" s="41">
        <f t="shared" ca="1" si="3"/>
        <v>19785.122741532781</v>
      </c>
    </row>
    <row r="31" spans="1:22" x14ac:dyDescent="0.2">
      <c r="B31" s="58" t="s">
        <v>221</v>
      </c>
      <c r="G31" s="60">
        <f>G30/G24</f>
        <v>0.38403375527426159</v>
      </c>
      <c r="H31" s="60">
        <f t="shared" ref="H31:L31" si="4">H30/H24</f>
        <v>0.35332997819157858</v>
      </c>
      <c r="I31" s="60">
        <f t="shared" si="4"/>
        <v>0.40663553356102322</v>
      </c>
      <c r="J31" s="60">
        <f t="shared" si="4"/>
        <v>0.4131507721700366</v>
      </c>
      <c r="K31" s="60">
        <f t="shared" si="4"/>
        <v>0.38555506580190163</v>
      </c>
      <c r="L31" s="60">
        <f t="shared" si="4"/>
        <v>0.32853812475123673</v>
      </c>
      <c r="M31" s="60" cm="1">
        <f t="array" aca="1" ref="M31" ca="1">OFFSET(M31,$E$13,,)</f>
        <v>0.38</v>
      </c>
      <c r="N31" s="60" cm="1">
        <f t="array" aca="1" ref="N31" ca="1">OFFSET(N31,$E$13,,)</f>
        <v>0.38</v>
      </c>
      <c r="O31" s="60" cm="1">
        <f t="array" aca="1" ref="O31" ca="1">OFFSET(O31,$E$13,,)</f>
        <v>0.38</v>
      </c>
      <c r="P31" s="60" cm="1">
        <f t="array" aca="1" ref="P31" ca="1">OFFSET(P31,$E$13,,)</f>
        <v>0.38</v>
      </c>
      <c r="Q31" s="60" cm="1">
        <f t="array" aca="1" ref="Q31" ca="1">OFFSET(Q31,$E$13,,)</f>
        <v>0.38</v>
      </c>
      <c r="R31" s="60" cm="1">
        <f t="array" aca="1" ref="R31" ca="1">OFFSET(R31,$E$13,,)</f>
        <v>0.38</v>
      </c>
      <c r="S31" s="60" cm="1">
        <f t="array" aca="1" ref="S31" ca="1">OFFSET(S31,$E$13,,)</f>
        <v>0.38</v>
      </c>
      <c r="T31" s="60" cm="1">
        <f t="array" aca="1" ref="T31" ca="1">OFFSET(T31,$E$13,,)</f>
        <v>0.38</v>
      </c>
      <c r="U31" s="60" cm="1">
        <f t="array" aca="1" ref="U31" ca="1">OFFSET(U31,$E$13,,)</f>
        <v>0.38</v>
      </c>
      <c r="V31" s="60" cm="1">
        <f t="array" aca="1" ref="V31" ca="1">OFFSET(V31,$E$13,,)</f>
        <v>0.38</v>
      </c>
    </row>
    <row r="32" spans="1:22" x14ac:dyDescent="0.2">
      <c r="B32" s="58" t="s">
        <v>206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</row>
    <row r="33" spans="2:22" x14ac:dyDescent="0.2">
      <c r="B33" s="58" t="s">
        <v>219</v>
      </c>
      <c r="M33" s="62">
        <v>0.38</v>
      </c>
      <c r="N33" s="62">
        <v>0.38</v>
      </c>
      <c r="O33" s="62">
        <v>0.38</v>
      </c>
      <c r="P33" s="62">
        <v>0.38</v>
      </c>
      <c r="Q33" s="62">
        <v>0.38</v>
      </c>
      <c r="R33" s="62">
        <v>0.38</v>
      </c>
      <c r="S33" s="62">
        <v>0.38</v>
      </c>
      <c r="T33" s="62">
        <v>0.38</v>
      </c>
      <c r="U33" s="62">
        <v>0.38</v>
      </c>
      <c r="V33" s="62">
        <v>0.38</v>
      </c>
    </row>
    <row r="34" spans="2:22" x14ac:dyDescent="0.2">
      <c r="B34" s="58" t="s">
        <v>220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</row>
    <row r="36" spans="2:22" x14ac:dyDescent="0.2">
      <c r="B36" s="2" t="s">
        <v>222</v>
      </c>
      <c r="G36" s="41">
        <f>Model!P35</f>
        <v>2445</v>
      </c>
      <c r="H36" s="41">
        <f>Model!Q35</f>
        <v>2293</v>
      </c>
      <c r="I36" s="41">
        <f>Model!R35</f>
        <v>2377</v>
      </c>
      <c r="J36" s="41">
        <f>Model!S35</f>
        <v>2671</v>
      </c>
      <c r="K36" s="41">
        <f>Model!T35</f>
        <v>2244</v>
      </c>
      <c r="L36" s="41">
        <f>Model!U35</f>
        <v>2339</v>
      </c>
      <c r="M36" s="41">
        <f ca="1">M37*M30</f>
        <v>2780.1529599999999</v>
      </c>
      <c r="N36" s="41">
        <f t="shared" ref="N36:V36" ca="1" si="5">N37*N30</f>
        <v>2891.3590784000003</v>
      </c>
      <c r="O36" s="41">
        <f t="shared" ca="1" si="5"/>
        <v>3007.0134415360008</v>
      </c>
      <c r="P36" s="41">
        <f t="shared" ca="1" si="5"/>
        <v>3127.2939791974404</v>
      </c>
      <c r="Q36" s="41">
        <f t="shared" ca="1" si="5"/>
        <v>3252.3857383653381</v>
      </c>
      <c r="R36" s="41">
        <f t="shared" ca="1" si="5"/>
        <v>3382.4811678999513</v>
      </c>
      <c r="S36" s="41">
        <f t="shared" ca="1" si="5"/>
        <v>3517.7804146159501</v>
      </c>
      <c r="T36" s="41">
        <f t="shared" ca="1" si="5"/>
        <v>3658.491631200588</v>
      </c>
      <c r="U36" s="41">
        <f t="shared" ca="1" si="5"/>
        <v>3804.8312964486113</v>
      </c>
      <c r="V36" s="41">
        <f t="shared" ca="1" si="5"/>
        <v>3957.0245483065564</v>
      </c>
    </row>
    <row r="37" spans="2:22" x14ac:dyDescent="0.2">
      <c r="B37" s="20" t="s">
        <v>223</v>
      </c>
      <c r="G37" s="60">
        <f t="shared" ref="G37:L37" si="6">G36/G30</f>
        <v>0.21490726905159532</v>
      </c>
      <c r="H37" s="60">
        <f t="shared" si="6"/>
        <v>0.21773810654258854</v>
      </c>
      <c r="I37" s="60">
        <f t="shared" si="6"/>
        <v>0.20371957490572506</v>
      </c>
      <c r="J37" s="60">
        <f t="shared" si="6"/>
        <v>0.20585741811175337</v>
      </c>
      <c r="K37" s="60">
        <f t="shared" si="6"/>
        <v>0.18324350808427242</v>
      </c>
      <c r="L37" s="60">
        <f t="shared" si="6"/>
        <v>0.20240567670474213</v>
      </c>
      <c r="M37" s="60">
        <v>0.2</v>
      </c>
      <c r="N37" s="60">
        <v>0.2</v>
      </c>
      <c r="O37" s="60">
        <v>0.2</v>
      </c>
      <c r="P37" s="60">
        <v>0.2</v>
      </c>
      <c r="Q37" s="60">
        <v>0.2</v>
      </c>
      <c r="R37" s="60">
        <v>0.2</v>
      </c>
      <c r="S37" s="60">
        <v>0.2</v>
      </c>
      <c r="T37" s="60">
        <v>0.2</v>
      </c>
      <c r="U37" s="60">
        <v>0.2</v>
      </c>
      <c r="V37" s="60">
        <v>0.2</v>
      </c>
    </row>
    <row r="38" spans="2:22" x14ac:dyDescent="0.2">
      <c r="B38" s="20"/>
    </row>
    <row r="39" spans="2:22" x14ac:dyDescent="0.2">
      <c r="B39" s="63" t="s">
        <v>224</v>
      </c>
      <c r="C39" s="64"/>
      <c r="D39" s="64"/>
      <c r="E39" s="64"/>
      <c r="F39" s="64"/>
      <c r="G39" s="65">
        <f t="shared" ref="G39:V39" si="7">G30-G36</f>
        <v>8932</v>
      </c>
      <c r="H39" s="65">
        <f t="shared" si="7"/>
        <v>8238</v>
      </c>
      <c r="I39" s="65">
        <f t="shared" si="7"/>
        <v>9291</v>
      </c>
      <c r="J39" s="65">
        <f t="shared" si="7"/>
        <v>10304</v>
      </c>
      <c r="K39" s="65">
        <f t="shared" si="7"/>
        <v>10002</v>
      </c>
      <c r="L39" s="65">
        <f t="shared" si="7"/>
        <v>9217</v>
      </c>
      <c r="M39" s="65">
        <f t="shared" ca="1" si="7"/>
        <v>11120.61184</v>
      </c>
      <c r="N39" s="65">
        <f t="shared" ca="1" si="7"/>
        <v>11565.436313599999</v>
      </c>
      <c r="O39" s="65">
        <f t="shared" ca="1" si="7"/>
        <v>12028.053766144001</v>
      </c>
      <c r="P39" s="65">
        <f t="shared" ca="1" si="7"/>
        <v>12509.175916789762</v>
      </c>
      <c r="Q39" s="65">
        <f t="shared" ca="1" si="7"/>
        <v>13009.542953461352</v>
      </c>
      <c r="R39" s="65">
        <f t="shared" ca="1" si="7"/>
        <v>13529.924671599805</v>
      </c>
      <c r="S39" s="65">
        <f t="shared" ca="1" si="7"/>
        <v>14071.121658463799</v>
      </c>
      <c r="T39" s="65">
        <f t="shared" ca="1" si="7"/>
        <v>14633.966524802352</v>
      </c>
      <c r="U39" s="65">
        <f t="shared" ca="1" si="7"/>
        <v>15219.325185794445</v>
      </c>
      <c r="V39" s="66">
        <f t="shared" ca="1" si="7"/>
        <v>15828.098193226226</v>
      </c>
    </row>
    <row r="41" spans="2:22" x14ac:dyDescent="0.2">
      <c r="B41" s="2" t="s">
        <v>115</v>
      </c>
      <c r="G41" s="41">
        <f>Model!P110</f>
        <v>989</v>
      </c>
      <c r="H41" s="41">
        <f>Model!Q110</f>
        <v>964</v>
      </c>
      <c r="I41" s="41">
        <f>Model!R110</f>
        <v>981</v>
      </c>
      <c r="J41" s="41">
        <f>Model!S110</f>
        <v>998</v>
      </c>
      <c r="K41" s="41">
        <f>Model!T110</f>
        <v>1077</v>
      </c>
      <c r="L41" s="41">
        <f>Model!U110</f>
        <v>1398</v>
      </c>
      <c r="M41" s="41">
        <f ca="1">M42*M24</f>
        <v>1243.7526400000002</v>
      </c>
      <c r="N41" s="41">
        <f t="shared" ref="N41:V41" ca="1" si="8">N42*N24</f>
        <v>1293.5027456</v>
      </c>
      <c r="O41" s="41">
        <f t="shared" ca="1" si="8"/>
        <v>1345.2428554240003</v>
      </c>
      <c r="P41" s="41">
        <f t="shared" ca="1" si="8"/>
        <v>1399.0525696409602</v>
      </c>
      <c r="Q41" s="41">
        <f t="shared" ca="1" si="8"/>
        <v>1455.0146724265987</v>
      </c>
      <c r="R41" s="41">
        <f t="shared" ca="1" si="8"/>
        <v>1513.2152593236626</v>
      </c>
      <c r="S41" s="41">
        <f t="shared" ca="1" si="8"/>
        <v>1573.7438696966092</v>
      </c>
      <c r="T41" s="41">
        <f t="shared" ca="1" si="8"/>
        <v>1636.6936244844735</v>
      </c>
      <c r="U41" s="41">
        <f t="shared" ca="1" si="8"/>
        <v>1702.1613694638525</v>
      </c>
      <c r="V41" s="41">
        <f t="shared" ca="1" si="8"/>
        <v>1770.2478242424068</v>
      </c>
    </row>
    <row r="42" spans="2:22" x14ac:dyDescent="0.2">
      <c r="B42" s="58" t="s">
        <v>221</v>
      </c>
      <c r="C42" s="59"/>
      <c r="D42" s="59"/>
      <c r="E42" s="59"/>
      <c r="F42" s="59"/>
      <c r="G42" s="67">
        <f t="shared" ref="G42:L42" si="9">G41/G24</f>
        <v>3.3383966244725741E-2</v>
      </c>
      <c r="H42" s="67">
        <f t="shared" si="9"/>
        <v>3.234356651568529E-2</v>
      </c>
      <c r="I42" s="67">
        <f t="shared" si="9"/>
        <v>3.4188332055481982E-2</v>
      </c>
      <c r="J42" s="67">
        <f t="shared" si="9"/>
        <v>3.1778379238974683E-2</v>
      </c>
      <c r="K42" s="67">
        <f t="shared" si="9"/>
        <v>3.3908444052641519E-2</v>
      </c>
      <c r="L42" s="67">
        <f t="shared" si="9"/>
        <v>3.9745266389947118E-2</v>
      </c>
      <c r="M42" s="68">
        <v>3.4000000000000002E-2</v>
      </c>
      <c r="N42" s="68">
        <v>3.4000000000000002E-2</v>
      </c>
      <c r="O42" s="68">
        <v>3.4000000000000002E-2</v>
      </c>
      <c r="P42" s="68">
        <v>3.4000000000000002E-2</v>
      </c>
      <c r="Q42" s="68">
        <v>3.4000000000000002E-2</v>
      </c>
      <c r="R42" s="68">
        <v>3.4000000000000002E-2</v>
      </c>
      <c r="S42" s="68">
        <v>3.4000000000000002E-2</v>
      </c>
      <c r="T42" s="68">
        <v>3.4000000000000002E-2</v>
      </c>
      <c r="U42" s="68">
        <v>3.4000000000000002E-2</v>
      </c>
      <c r="V42" s="68">
        <v>3.4000000000000002E-2</v>
      </c>
    </row>
    <row r="44" spans="2:22" x14ac:dyDescent="0.2">
      <c r="B44" s="2" t="s">
        <v>122</v>
      </c>
      <c r="G44" s="41">
        <f>-Model!P124</f>
        <v>1436</v>
      </c>
      <c r="H44" s="41">
        <f>-Model!Q124</f>
        <v>852</v>
      </c>
      <c r="I44" s="41">
        <f>-Model!R124</f>
        <v>602</v>
      </c>
      <c r="J44" s="41">
        <f>-Model!S124</f>
        <v>748</v>
      </c>
      <c r="K44" s="41">
        <f>-Model!T124</f>
        <v>1077</v>
      </c>
      <c r="L44" s="41">
        <f>-Model!U124</f>
        <v>1321</v>
      </c>
      <c r="M44" s="41">
        <f ca="1">M45*M24</f>
        <v>1390.0764799999999</v>
      </c>
      <c r="N44" s="41">
        <f t="shared" ref="N44:V44" ca="1" si="10">N45*N24</f>
        <v>1445.6795391999999</v>
      </c>
      <c r="O44" s="41">
        <f t="shared" ca="1" si="10"/>
        <v>1503.5067207680002</v>
      </c>
      <c r="P44" s="41">
        <f t="shared" ca="1" si="10"/>
        <v>1563.6469895987202</v>
      </c>
      <c r="Q44" s="41">
        <f t="shared" ca="1" si="10"/>
        <v>1626.192869182669</v>
      </c>
      <c r="R44" s="41">
        <f t="shared" ca="1" si="10"/>
        <v>1691.2405839499756</v>
      </c>
      <c r="S44" s="41">
        <f t="shared" ca="1" si="10"/>
        <v>1758.8902073079748</v>
      </c>
      <c r="T44" s="41">
        <f t="shared" ca="1" si="10"/>
        <v>1829.2458156002938</v>
      </c>
      <c r="U44" s="41">
        <f t="shared" ca="1" si="10"/>
        <v>1902.4156482243056</v>
      </c>
      <c r="V44" s="41">
        <f t="shared" ca="1" si="10"/>
        <v>1978.512274153278</v>
      </c>
    </row>
    <row r="45" spans="2:22" x14ac:dyDescent="0.2">
      <c r="B45" s="58" t="s">
        <v>221</v>
      </c>
      <c r="G45" s="67">
        <f t="shared" ref="G45:L45" si="11">G44/G24</f>
        <v>4.8472573839662449E-2</v>
      </c>
      <c r="H45" s="67">
        <f t="shared" si="11"/>
        <v>2.8585807750377452E-2</v>
      </c>
      <c r="I45" s="67">
        <f t="shared" si="11"/>
        <v>2.0979995817941032E-2</v>
      </c>
      <c r="J45" s="67">
        <f t="shared" si="11"/>
        <v>2.3817863397548163E-2</v>
      </c>
      <c r="K45" s="67">
        <f t="shared" si="11"/>
        <v>3.3908444052641519E-2</v>
      </c>
      <c r="L45" s="67">
        <f t="shared" si="11"/>
        <v>3.7556149428555181E-2</v>
      </c>
      <c r="M45" s="68">
        <v>3.7999999999999999E-2</v>
      </c>
      <c r="N45" s="68">
        <v>3.7999999999999999E-2</v>
      </c>
      <c r="O45" s="68">
        <v>3.7999999999999999E-2</v>
      </c>
      <c r="P45" s="68">
        <v>3.7999999999999999E-2</v>
      </c>
      <c r="Q45" s="68">
        <v>3.7999999999999999E-2</v>
      </c>
      <c r="R45" s="68">
        <v>3.7999999999999999E-2</v>
      </c>
      <c r="S45" s="68">
        <v>3.7999999999999999E-2</v>
      </c>
      <c r="T45" s="68">
        <v>3.7999999999999999E-2</v>
      </c>
      <c r="U45" s="68">
        <v>3.7999999999999999E-2</v>
      </c>
      <c r="V45" s="68">
        <v>3.7999999999999999E-2</v>
      </c>
    </row>
    <row r="47" spans="2:22" x14ac:dyDescent="0.2">
      <c r="B47" s="2" t="s">
        <v>225</v>
      </c>
      <c r="G47" s="5">
        <f>Model!P122</f>
        <v>306</v>
      </c>
      <c r="H47" s="5">
        <f>Model!Q122</f>
        <v>1168</v>
      </c>
      <c r="I47" s="5">
        <f>Model!R122</f>
        <v>396</v>
      </c>
      <c r="J47" s="5">
        <f>Model!S122</f>
        <v>1298</v>
      </c>
      <c r="K47" s="5">
        <f>Model!T122</f>
        <v>414</v>
      </c>
      <c r="L47" s="5">
        <f>Model!U122</f>
        <v>-842</v>
      </c>
      <c r="M47" s="5">
        <f ca="1">M48*M24</f>
        <v>-365.80959999999999</v>
      </c>
      <c r="N47" s="5">
        <f t="shared" ref="N47:V47" ca="1" si="12">N48*N24</f>
        <v>-380.44198399999999</v>
      </c>
      <c r="O47" s="5">
        <f t="shared" ca="1" si="12"/>
        <v>-395.65966336000008</v>
      </c>
      <c r="P47" s="5">
        <f t="shared" ca="1" si="12"/>
        <v>-411.48604989440008</v>
      </c>
      <c r="Q47" s="5">
        <f t="shared" ca="1" si="12"/>
        <v>-427.94549189017607</v>
      </c>
      <c r="R47" s="5">
        <f t="shared" ca="1" si="12"/>
        <v>-445.06331156578307</v>
      </c>
      <c r="S47" s="5">
        <f t="shared" ca="1" si="12"/>
        <v>-462.86584402841441</v>
      </c>
      <c r="T47" s="5">
        <f t="shared" ca="1" si="12"/>
        <v>-481.38047778955104</v>
      </c>
      <c r="U47" s="5">
        <f t="shared" ca="1" si="12"/>
        <v>-500.63569690113309</v>
      </c>
      <c r="V47" s="5">
        <f t="shared" ca="1" si="12"/>
        <v>-520.66112477717843</v>
      </c>
    </row>
    <row r="48" spans="2:22" x14ac:dyDescent="0.2">
      <c r="B48" s="58" t="s">
        <v>221</v>
      </c>
      <c r="G48" s="67">
        <f t="shared" ref="G48:L48" si="13">G47/G24</f>
        <v>1.0329113924050634E-2</v>
      </c>
      <c r="H48" s="67">
        <f t="shared" si="13"/>
        <v>3.9188055695353129E-2</v>
      </c>
      <c r="I48" s="67">
        <f t="shared" si="13"/>
        <v>1.3800794591203735E-2</v>
      </c>
      <c r="J48" s="67">
        <f t="shared" si="13"/>
        <v>4.1330998248686517E-2</v>
      </c>
      <c r="K48" s="67">
        <f t="shared" si="13"/>
        <v>1.303444367483156E-2</v>
      </c>
      <c r="L48" s="67">
        <f t="shared" si="13"/>
        <v>-2.3938136123272873E-2</v>
      </c>
      <c r="M48" s="68">
        <v>-0.01</v>
      </c>
      <c r="N48" s="68">
        <v>-0.01</v>
      </c>
      <c r="O48" s="68">
        <v>-0.01</v>
      </c>
      <c r="P48" s="68">
        <v>-0.01</v>
      </c>
      <c r="Q48" s="68">
        <v>-0.01</v>
      </c>
      <c r="R48" s="68">
        <v>-0.01</v>
      </c>
      <c r="S48" s="68">
        <v>-0.01</v>
      </c>
      <c r="T48" s="68">
        <v>-0.01</v>
      </c>
      <c r="U48" s="68">
        <v>-0.01</v>
      </c>
      <c r="V48" s="68">
        <v>-0.01</v>
      </c>
    </row>
    <row r="50" spans="2:22" x14ac:dyDescent="0.2">
      <c r="B50" s="69" t="s">
        <v>226</v>
      </c>
      <c r="C50" s="70"/>
      <c r="D50" s="70"/>
      <c r="E50" s="70"/>
      <c r="F50" s="70"/>
      <c r="G50" s="70">
        <f t="shared" ref="G50:V50" si="14">G39+G41-G44+G47</f>
        <v>8791</v>
      </c>
      <c r="H50" s="70">
        <f t="shared" si="14"/>
        <v>9518</v>
      </c>
      <c r="I50" s="70">
        <f t="shared" si="14"/>
        <v>10066</v>
      </c>
      <c r="J50" s="70">
        <f t="shared" si="14"/>
        <v>11852</v>
      </c>
      <c r="K50" s="70">
        <f t="shared" si="14"/>
        <v>10416</v>
      </c>
      <c r="L50" s="70">
        <f t="shared" si="14"/>
        <v>8452</v>
      </c>
      <c r="M50" s="70">
        <f ca="1">M39+M41-M44+M47</f>
        <v>10608.4784</v>
      </c>
      <c r="N50" s="70">
        <f t="shared" ca="1" si="14"/>
        <v>11032.817536</v>
      </c>
      <c r="O50" s="70">
        <f t="shared" ca="1" si="14"/>
        <v>11474.13023744</v>
      </c>
      <c r="P50" s="70">
        <f t="shared" ca="1" si="14"/>
        <v>11933.095446937601</v>
      </c>
      <c r="Q50" s="70">
        <f t="shared" ca="1" si="14"/>
        <v>12410.419264815107</v>
      </c>
      <c r="R50" s="70">
        <f t="shared" ca="1" si="14"/>
        <v>12906.836035407709</v>
      </c>
      <c r="S50" s="70">
        <f t="shared" ca="1" si="14"/>
        <v>13423.109476824018</v>
      </c>
      <c r="T50" s="70">
        <f t="shared" ca="1" si="14"/>
        <v>13960.03385589698</v>
      </c>
      <c r="U50" s="70">
        <f t="shared" ca="1" si="14"/>
        <v>14518.435210132859</v>
      </c>
      <c r="V50" s="71">
        <f t="shared" ca="1" si="14"/>
        <v>15099.172618538178</v>
      </c>
    </row>
    <row r="51" spans="2:22" x14ac:dyDescent="0.2">
      <c r="B51" s="72" t="s">
        <v>227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>
        <f t="shared" ref="M51:V51" ca="1" si="15">M50/(1+$D$16)^M52</f>
        <v>10608.4784</v>
      </c>
      <c r="N51" s="73">
        <f t="shared" ca="1" si="15"/>
        <v>11032.817536</v>
      </c>
      <c r="O51" s="73">
        <f t="shared" ca="1" si="15"/>
        <v>11474.13023744</v>
      </c>
      <c r="P51" s="73">
        <f t="shared" ca="1" si="15"/>
        <v>11933.095446937601</v>
      </c>
      <c r="Q51" s="73">
        <f t="shared" ca="1" si="15"/>
        <v>12410.419264815107</v>
      </c>
      <c r="R51" s="73">
        <f t="shared" ca="1" si="15"/>
        <v>12906.836035407709</v>
      </c>
      <c r="S51" s="73">
        <f t="shared" ca="1" si="15"/>
        <v>13423.109476824018</v>
      </c>
      <c r="T51" s="73">
        <f t="shared" ca="1" si="15"/>
        <v>13960.03385589698</v>
      </c>
      <c r="U51" s="73">
        <f t="shared" ca="1" si="15"/>
        <v>14518.435210132859</v>
      </c>
      <c r="V51" s="74">
        <f t="shared" ca="1" si="15"/>
        <v>15099.172618538178</v>
      </c>
    </row>
    <row r="52" spans="2:22" x14ac:dyDescent="0.2">
      <c r="B52" s="2" t="s">
        <v>228</v>
      </c>
      <c r="M52" s="40">
        <f>YEARFRAC(E5,E6)</f>
        <v>0.41666666666666669</v>
      </c>
      <c r="N52" s="40">
        <f>M52+1</f>
        <v>1.4166666666666667</v>
      </c>
      <c r="O52" s="40">
        <f>N52+1</f>
        <v>2.416666666666667</v>
      </c>
      <c r="P52" s="40">
        <f t="shared" ref="P52:V52" si="16">O52+1</f>
        <v>3.416666666666667</v>
      </c>
      <c r="Q52" s="40">
        <f t="shared" si="16"/>
        <v>4.416666666666667</v>
      </c>
      <c r="R52" s="40">
        <f t="shared" si="16"/>
        <v>5.416666666666667</v>
      </c>
      <c r="S52" s="40">
        <f t="shared" si="16"/>
        <v>6.416666666666667</v>
      </c>
      <c r="T52" s="40">
        <f t="shared" si="16"/>
        <v>7.416666666666667</v>
      </c>
      <c r="U52" s="40">
        <f t="shared" si="16"/>
        <v>8.4166666666666679</v>
      </c>
      <c r="V52" s="40">
        <f t="shared" si="16"/>
        <v>9.4166666666666679</v>
      </c>
    </row>
    <row r="53" spans="2:22" x14ac:dyDescent="0.2">
      <c r="B53" s="2" t="s">
        <v>229</v>
      </c>
      <c r="N53" s="41"/>
      <c r="O53" s="41"/>
      <c r="P53" s="41"/>
      <c r="Q53" s="41"/>
      <c r="V53" s="41">
        <f ca="1">SUM(M51:V51)</f>
        <v>127366.52808199244</v>
      </c>
    </row>
    <row r="54" spans="2:22" x14ac:dyDescent="0.2">
      <c r="B54" s="2" t="s">
        <v>230</v>
      </c>
      <c r="N54" s="41"/>
      <c r="O54" s="41"/>
      <c r="P54" s="41"/>
      <c r="Q54" s="41"/>
      <c r="V54" s="41">
        <f ca="1">(V50*(1+E19))/(E18-E19)</f>
        <v>278648.36741484085</v>
      </c>
    </row>
    <row r="55" spans="2:22" x14ac:dyDescent="0.2">
      <c r="B55" s="37" t="s">
        <v>231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75"/>
      <c r="O55" s="75"/>
      <c r="P55" s="75"/>
      <c r="Q55" s="75"/>
      <c r="R55" s="75"/>
      <c r="S55" s="75"/>
      <c r="T55" s="75"/>
      <c r="U55" s="75"/>
      <c r="V55" s="75">
        <f ca="1">V54/(1+E18)^V52</f>
        <v>147353.09528281703</v>
      </c>
    </row>
    <row r="56" spans="2:22" x14ac:dyDescent="0.2">
      <c r="B56" s="26" t="s">
        <v>232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76"/>
      <c r="O56" s="76"/>
      <c r="P56" s="76"/>
      <c r="Q56" s="76"/>
      <c r="R56" s="76"/>
      <c r="S56" s="76"/>
      <c r="T56" s="76"/>
      <c r="U56" s="76"/>
      <c r="V56" s="76">
        <f ca="1">V53+V55</f>
        <v>274719.62336480943</v>
      </c>
    </row>
    <row r="57" spans="2:22" x14ac:dyDescent="0.2">
      <c r="B57" s="2" t="s">
        <v>233</v>
      </c>
      <c r="N57" s="41"/>
      <c r="O57" s="41"/>
      <c r="P57" s="41"/>
      <c r="Q57" s="41"/>
      <c r="V57" s="41">
        <f>Main!K6</f>
        <v>4872</v>
      </c>
    </row>
    <row r="58" spans="2:22" x14ac:dyDescent="0.2">
      <c r="B58" s="37" t="s">
        <v>234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75"/>
      <c r="O58" s="75"/>
      <c r="P58" s="75"/>
      <c r="Q58" s="75"/>
      <c r="R58" s="75"/>
      <c r="S58" s="75"/>
      <c r="T58" s="75"/>
      <c r="U58" s="75"/>
      <c r="V58" s="75">
        <f>Main!K7</f>
        <v>48835</v>
      </c>
    </row>
    <row r="59" spans="2:22" x14ac:dyDescent="0.2">
      <c r="B59" s="2" t="s">
        <v>235</v>
      </c>
      <c r="N59" s="41"/>
      <c r="O59" s="41"/>
      <c r="P59" s="41"/>
      <c r="Q59" s="41"/>
      <c r="V59" s="41">
        <f ca="1">V56+V57-V58</f>
        <v>230756.62336480943</v>
      </c>
    </row>
    <row r="60" spans="2:22" x14ac:dyDescent="0.2">
      <c r="B60" s="37" t="s">
        <v>236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75"/>
      <c r="O60" s="75"/>
      <c r="P60" s="75"/>
      <c r="Q60" s="75"/>
      <c r="R60" s="75"/>
      <c r="S60" s="75"/>
      <c r="T60" s="75"/>
      <c r="U60" s="75"/>
      <c r="V60" s="75">
        <f>Main!K4</f>
        <v>1556.6795790000001</v>
      </c>
    </row>
    <row r="61" spans="2:22" x14ac:dyDescent="0.2">
      <c r="B61" s="2" t="s">
        <v>199</v>
      </c>
      <c r="V61" s="40">
        <f ca="1">V59/V60</f>
        <v>148.23642994857417</v>
      </c>
    </row>
    <row r="65" spans="1:22" x14ac:dyDescent="0.2">
      <c r="A65" s="50" t="s">
        <v>16</v>
      </c>
      <c r="B65" s="51" t="s">
        <v>237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7" spans="1:22" x14ac:dyDescent="0.2">
      <c r="B67" s="77"/>
      <c r="C67" s="89" t="s">
        <v>215</v>
      </c>
      <c r="D67" s="89"/>
      <c r="E67" s="89"/>
      <c r="F67" s="89"/>
      <c r="G67" s="89"/>
      <c r="H67" s="89"/>
      <c r="I67" s="89"/>
      <c r="J67" s="90"/>
    </row>
    <row r="68" spans="1:22" x14ac:dyDescent="0.2">
      <c r="B68" s="91" t="s">
        <v>214</v>
      </c>
      <c r="C68" s="78"/>
      <c r="D68" s="79"/>
      <c r="E68" s="79"/>
      <c r="F68" s="79"/>
      <c r="G68" s="79"/>
      <c r="H68" s="79"/>
      <c r="I68" s="79"/>
      <c r="J68" s="79"/>
    </row>
    <row r="69" spans="1:22" x14ac:dyDescent="0.2">
      <c r="B69" s="91"/>
      <c r="C69" s="80"/>
      <c r="D69" s="81"/>
      <c r="E69" s="81"/>
      <c r="F69" s="81"/>
      <c r="G69" s="81"/>
      <c r="H69" s="81"/>
      <c r="I69" s="81"/>
      <c r="J69" s="81"/>
    </row>
    <row r="70" spans="1:22" x14ac:dyDescent="0.2">
      <c r="B70" s="91"/>
      <c r="C70" s="80"/>
      <c r="D70" s="81"/>
      <c r="E70" s="81"/>
      <c r="F70" s="81"/>
      <c r="G70" s="81"/>
      <c r="H70" s="81"/>
      <c r="I70" s="81"/>
      <c r="J70" s="81"/>
    </row>
    <row r="71" spans="1:22" x14ac:dyDescent="0.2">
      <c r="B71" s="91"/>
      <c r="C71" s="80"/>
      <c r="D71" s="81"/>
      <c r="E71" s="81"/>
      <c r="F71" s="81"/>
      <c r="G71" s="81"/>
      <c r="H71" s="81"/>
      <c r="I71" s="81"/>
      <c r="J71" s="81"/>
    </row>
    <row r="72" spans="1:22" x14ac:dyDescent="0.2">
      <c r="B72" s="91"/>
      <c r="C72" s="80"/>
      <c r="D72" s="81"/>
      <c r="E72" s="81"/>
      <c r="F72" s="81"/>
      <c r="G72" s="81"/>
      <c r="H72" s="81"/>
      <c r="I72" s="81"/>
      <c r="J72" s="81"/>
    </row>
    <row r="73" spans="1:22" x14ac:dyDescent="0.2">
      <c r="B73" s="91"/>
      <c r="C73" s="80"/>
      <c r="D73" s="81"/>
      <c r="E73" s="81"/>
      <c r="F73" s="81"/>
      <c r="G73" s="81"/>
      <c r="H73" s="81"/>
      <c r="I73" s="81"/>
      <c r="J73" s="81"/>
    </row>
    <row r="74" spans="1:22" x14ac:dyDescent="0.2">
      <c r="B74" s="91"/>
      <c r="C74" s="80"/>
      <c r="D74" s="81"/>
      <c r="E74" s="81"/>
      <c r="F74" s="81"/>
      <c r="G74" s="81"/>
      <c r="H74" s="81"/>
      <c r="I74" s="81"/>
      <c r="J74" s="81"/>
    </row>
    <row r="75" spans="1:22" x14ac:dyDescent="0.2">
      <c r="B75" s="92"/>
      <c r="C75" s="80"/>
      <c r="D75" s="81"/>
      <c r="E75" s="81"/>
      <c r="F75" s="81"/>
      <c r="G75" s="81"/>
      <c r="H75" s="81"/>
      <c r="I75" s="81"/>
      <c r="J75" s="81"/>
    </row>
  </sheetData>
  <mergeCells count="2">
    <mergeCell ref="C67:J67"/>
    <mergeCell ref="B68:B75"/>
  </mergeCells>
  <dataValidations count="1">
    <dataValidation type="list" allowBlank="1" showInputMessage="1" showErrorMessage="1" sqref="E12:E15 H12:H14 M12:M14 R12:R14" xr:uid="{517B8987-8433-42FB-9D8A-2418F64B94DF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Ratios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2024-07-15T13:36:05Z</dcterms:created>
  <dcterms:modified xsi:type="dcterms:W3CDTF">2026-05-08T17:09:50Z</dcterms:modified>
</cp:coreProperties>
</file>