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5317A824-7CA5-44EA-870A-555A9F93E829}" xr6:coauthVersionLast="47" xr6:coauthVersionMax="47" xr10:uidLastSave="{00000000-0000-0000-0000-000000000000}"/>
  <bookViews>
    <workbookView xWindow="19095" yWindow="0" windowWidth="19410" windowHeight="20925" activeTab="1" xr2:uid="{B022B215-4C4C-4E36-8893-AFDEA07171F9}"/>
  </bookViews>
  <sheets>
    <sheet name="Main" sheetId="1" r:id="rId1"/>
    <sheet name="Model" sheetId="2" r:id="rId2"/>
    <sheet name="Ratios" sheetId="3" r:id="rId3"/>
    <sheet name="DCF" sheetId="5" r:id="rId4"/>
    <sheet name="CoC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2" l="1"/>
  <c r="R14" i="2"/>
  <c r="R13" i="2"/>
  <c r="R12" i="2"/>
  <c r="R11" i="2"/>
  <c r="R10" i="2"/>
  <c r="R9" i="2"/>
  <c r="AA7" i="2"/>
  <c r="AB119" i="2"/>
  <c r="AB118" i="2"/>
  <c r="AA119" i="2"/>
  <c r="AA118" i="2"/>
  <c r="AB116" i="2"/>
  <c r="AB114" i="2"/>
  <c r="AA114" i="2"/>
  <c r="AA116" i="2" s="1"/>
  <c r="AB106" i="2"/>
  <c r="AA106" i="2"/>
  <c r="AB100" i="2"/>
  <c r="AB99" i="2"/>
  <c r="AA99" i="2"/>
  <c r="AA100" i="2" s="1"/>
  <c r="AB88" i="2"/>
  <c r="AA88" i="2"/>
  <c r="AB83" i="2"/>
  <c r="AA83" i="2"/>
  <c r="AB85" i="2"/>
  <c r="AB75" i="2"/>
  <c r="AB73" i="2"/>
  <c r="AA73" i="2"/>
  <c r="AA75" i="2" s="1"/>
  <c r="AA85" i="2" s="1"/>
  <c r="AB69" i="2"/>
  <c r="AA69" i="2"/>
  <c r="AB60" i="2"/>
  <c r="AB58" i="2"/>
  <c r="AA58" i="2"/>
  <c r="AA60" i="2" s="1"/>
  <c r="AB52" i="2"/>
  <c r="AA52" i="2"/>
  <c r="I10" i="1"/>
  <c r="I7" i="1"/>
  <c r="I6" i="1"/>
  <c r="AB41" i="2"/>
  <c r="AB40" i="2"/>
  <c r="AB39" i="2"/>
  <c r="AB38" i="2"/>
  <c r="AB37" i="2"/>
  <c r="AB36" i="2"/>
  <c r="AB35" i="2"/>
  <c r="AB34" i="2"/>
  <c r="AB29" i="2"/>
  <c r="AB27" i="2"/>
  <c r="AB25" i="2"/>
  <c r="AB22" i="2"/>
  <c r="AB21" i="2"/>
  <c r="AB18" i="2"/>
  <c r="T13" i="2"/>
  <c r="U13" i="2"/>
  <c r="V13" i="2"/>
  <c r="W13" i="2"/>
  <c r="X13" i="2"/>
  <c r="Y13" i="2"/>
  <c r="Z13" i="2"/>
  <c r="AB13" i="2"/>
  <c r="AA13" i="2"/>
  <c r="AB5" i="2"/>
  <c r="F35" i="6" l="1"/>
  <c r="R42" i="2"/>
  <c r="R41" i="2"/>
  <c r="R40" i="2"/>
  <c r="R39" i="2"/>
  <c r="R38" i="2"/>
  <c r="R37" i="2"/>
  <c r="R36" i="2"/>
  <c r="R35" i="2"/>
  <c r="R34" i="2"/>
  <c r="R33" i="2"/>
  <c r="R32" i="2"/>
  <c r="R29" i="2"/>
  <c r="R27" i="2"/>
  <c r="R25" i="2"/>
  <c r="R22" i="2"/>
  <c r="R21" i="2"/>
  <c r="R18" i="2"/>
  <c r="Q42" i="2"/>
  <c r="Q41" i="2"/>
  <c r="Q40" i="2"/>
  <c r="Q39" i="2"/>
  <c r="Q38" i="2"/>
  <c r="Q37" i="2"/>
  <c r="Q36" i="2"/>
  <c r="Q35" i="2"/>
  <c r="Q34" i="2"/>
  <c r="Q33" i="2"/>
  <c r="Q32" i="2"/>
  <c r="Q29" i="2"/>
  <c r="Q27" i="2"/>
  <c r="Q25" i="2"/>
  <c r="Q22" i="2"/>
  <c r="Q21" i="2"/>
  <c r="Q18" i="2"/>
  <c r="P42" i="2"/>
  <c r="P41" i="2"/>
  <c r="P40" i="2"/>
  <c r="P39" i="2"/>
  <c r="P38" i="2"/>
  <c r="P37" i="2"/>
  <c r="P36" i="2"/>
  <c r="P35" i="2"/>
  <c r="P34" i="2"/>
  <c r="P33" i="2"/>
  <c r="P32" i="2"/>
  <c r="P13" i="2"/>
  <c r="P29" i="2"/>
  <c r="P27" i="2"/>
  <c r="P25" i="2"/>
  <c r="P22" i="2"/>
  <c r="P21" i="2"/>
  <c r="P18" i="2"/>
  <c r="AA5" i="2"/>
  <c r="O13" i="2"/>
  <c r="O42" i="2"/>
  <c r="O41" i="2"/>
  <c r="O40" i="2"/>
  <c r="O39" i="2"/>
  <c r="O38" i="2"/>
  <c r="O37" i="2"/>
  <c r="O36" i="2"/>
  <c r="O35" i="2"/>
  <c r="O34" i="2"/>
  <c r="O33" i="2"/>
  <c r="O32" i="2"/>
  <c r="O29" i="2"/>
  <c r="O27" i="2"/>
  <c r="O25" i="2"/>
  <c r="O22" i="2"/>
  <c r="O21" i="2"/>
  <c r="O18" i="2"/>
  <c r="AA30" i="2"/>
  <c r="AA26" i="2"/>
  <c r="AA24" i="2"/>
  <c r="AA23" i="2"/>
  <c r="AA20" i="2"/>
  <c r="AA19" i="2"/>
  <c r="AA21" i="2" s="1"/>
  <c r="AA17" i="2"/>
  <c r="AA15" i="2"/>
  <c r="AA14" i="2"/>
  <c r="AA37" i="2" s="1"/>
  <c r="AA12" i="2"/>
  <c r="AA11" i="2"/>
  <c r="AA36" i="2" s="1"/>
  <c r="AA10" i="2"/>
  <c r="AA35" i="2" s="1"/>
  <c r="AA9" i="2"/>
  <c r="AA34" i="2" s="1"/>
  <c r="N13" i="2"/>
  <c r="N38" i="2"/>
  <c r="N37" i="2"/>
  <c r="N35" i="2"/>
  <c r="N34" i="2"/>
  <c r="N33" i="2"/>
  <c r="N32" i="2"/>
  <c r="N21" i="2"/>
  <c r="N18" i="2"/>
  <c r="N39" i="2" s="1"/>
  <c r="F11" i="6"/>
  <c r="F15" i="6" s="1"/>
  <c r="F32" i="6"/>
  <c r="F19" i="6"/>
  <c r="F6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D80" i="6"/>
  <c r="D81" i="6"/>
  <c r="D97" i="6"/>
  <c r="D98" i="6"/>
  <c r="D108" i="6"/>
  <c r="D109" i="6"/>
  <c r="D150" i="6"/>
  <c r="D151" i="6"/>
  <c r="D213" i="6"/>
  <c r="D214" i="6"/>
  <c r="D232" i="6"/>
  <c r="D233" i="6"/>
  <c r="D237" i="6"/>
  <c r="D238" i="6"/>
  <c r="D243" i="6"/>
  <c r="D244" i="6"/>
  <c r="D250" i="6"/>
  <c r="D251" i="6"/>
  <c r="D270" i="6"/>
  <c r="D271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49" i="6"/>
  <c r="D248" i="6"/>
  <c r="D247" i="6"/>
  <c r="D246" i="6"/>
  <c r="D245" i="6"/>
  <c r="D242" i="6"/>
  <c r="D241" i="6"/>
  <c r="D240" i="6"/>
  <c r="D239" i="6"/>
  <c r="D236" i="6"/>
  <c r="D235" i="6"/>
  <c r="D234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7" i="6"/>
  <c r="D106" i="6"/>
  <c r="D105" i="6"/>
  <c r="D104" i="6"/>
  <c r="D103" i="6"/>
  <c r="D102" i="6"/>
  <c r="D101" i="6"/>
  <c r="D100" i="6"/>
  <c r="D99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F20" i="6"/>
  <c r="F8" i="6"/>
  <c r="AA18" i="2" l="1"/>
  <c r="AA39" i="2" s="1"/>
  <c r="N22" i="2"/>
  <c r="F22" i="6"/>
  <c r="AA22" i="2" l="1"/>
  <c r="AA25" i="2" s="1"/>
  <c r="AA27" i="2" s="1"/>
  <c r="N40" i="2"/>
  <c r="N25" i="2"/>
  <c r="I37" i="2"/>
  <c r="H37" i="2"/>
  <c r="G37" i="2"/>
  <c r="I35" i="2"/>
  <c r="H35" i="2"/>
  <c r="G35" i="2"/>
  <c r="I34" i="2"/>
  <c r="H34" i="2"/>
  <c r="G34" i="2"/>
  <c r="I33" i="2"/>
  <c r="H33" i="2"/>
  <c r="G33" i="2"/>
  <c r="I32" i="2"/>
  <c r="H32" i="2"/>
  <c r="G32" i="2"/>
  <c r="L37" i="2"/>
  <c r="K37" i="2"/>
  <c r="L35" i="2"/>
  <c r="K35" i="2"/>
  <c r="L34" i="2"/>
  <c r="K34" i="2"/>
  <c r="L33" i="2"/>
  <c r="K33" i="2"/>
  <c r="L32" i="2"/>
  <c r="K32" i="2"/>
  <c r="M37" i="2"/>
  <c r="M35" i="2"/>
  <c r="M34" i="2"/>
  <c r="M33" i="2"/>
  <c r="M32" i="2"/>
  <c r="M38" i="2"/>
  <c r="M21" i="2"/>
  <c r="M18" i="2"/>
  <c r="M39" i="2" s="1"/>
  <c r="L13" i="2"/>
  <c r="L38" i="2"/>
  <c r="L21" i="2"/>
  <c r="L18" i="2"/>
  <c r="K18" i="2"/>
  <c r="I5" i="1"/>
  <c r="F36" i="6" s="1"/>
  <c r="F37" i="6" s="1"/>
  <c r="F41" i="6" s="1"/>
  <c r="K73" i="2"/>
  <c r="K69" i="2"/>
  <c r="K58" i="2"/>
  <c r="K52" i="2"/>
  <c r="K13" i="2"/>
  <c r="K38" i="2"/>
  <c r="K21" i="2"/>
  <c r="V59" i="5"/>
  <c r="V57" i="5"/>
  <c r="V56" i="5"/>
  <c r="O36" i="5"/>
  <c r="P36" i="5" s="1"/>
  <c r="Q36" i="5" s="1"/>
  <c r="R36" i="5" s="1"/>
  <c r="S36" i="5" s="1"/>
  <c r="T36" i="5" s="1"/>
  <c r="U36" i="5" s="1"/>
  <c r="N36" i="5"/>
  <c r="N32" i="5"/>
  <c r="N30" i="5" s="1" a="1"/>
  <c r="N30" i="5" s="1"/>
  <c r="I19" i="3"/>
  <c r="M51" i="5"/>
  <c r="N51" i="5" s="1"/>
  <c r="O51" i="5" s="1"/>
  <c r="P51" i="5" s="1"/>
  <c r="Q51" i="5" s="1"/>
  <c r="R51" i="5" s="1"/>
  <c r="S51" i="5" s="1"/>
  <c r="T51" i="5" s="1"/>
  <c r="U51" i="5" s="1"/>
  <c r="V51" i="5" s="1"/>
  <c r="L43" i="5"/>
  <c r="K43" i="5"/>
  <c r="J43" i="5"/>
  <c r="I43" i="5"/>
  <c r="H43" i="5"/>
  <c r="G43" i="5"/>
  <c r="L40" i="5"/>
  <c r="K40" i="5"/>
  <c r="J40" i="5"/>
  <c r="I40" i="5"/>
  <c r="H40" i="5"/>
  <c r="G40" i="5"/>
  <c r="L35" i="5"/>
  <c r="K35" i="5"/>
  <c r="J35" i="5"/>
  <c r="I35" i="5"/>
  <c r="H35" i="5"/>
  <c r="G35" i="5"/>
  <c r="J3" i="5"/>
  <c r="V30" i="5" a="1"/>
  <c r="V30" i="5" s="1"/>
  <c r="M30" i="5" a="1"/>
  <c r="M30" i="5" s="1"/>
  <c r="N24" i="5" a="1"/>
  <c r="N24" i="5" s="1"/>
  <c r="M24" i="5" a="1"/>
  <c r="M24" i="5" s="1"/>
  <c r="H22" i="5"/>
  <c r="I22" i="5" s="1"/>
  <c r="J22" i="5" s="1"/>
  <c r="K22" i="5" s="1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E18" i="5"/>
  <c r="E17" i="5"/>
  <c r="AA40" i="2" l="1"/>
  <c r="AA29" i="2"/>
  <c r="AA41" i="2"/>
  <c r="M22" i="2"/>
  <c r="N27" i="2"/>
  <c r="N42" i="2"/>
  <c r="K22" i="2"/>
  <c r="K40" i="2" s="1"/>
  <c r="L22" i="2"/>
  <c r="L25" i="2" s="1"/>
  <c r="L27" i="2" s="1"/>
  <c r="L41" i="2" s="1"/>
  <c r="K60" i="2"/>
  <c r="K75" i="2"/>
  <c r="K85" i="2" s="1"/>
  <c r="L39" i="2"/>
  <c r="K39" i="2"/>
  <c r="O32" i="5"/>
  <c r="O30" i="5" s="1" a="1"/>
  <c r="O30" i="5" s="1"/>
  <c r="O24" i="5" a="1"/>
  <c r="O24" i="5" s="1"/>
  <c r="Q24" i="5" a="1"/>
  <c r="Q24" i="5" s="1"/>
  <c r="P24" i="5" a="1"/>
  <c r="P24" i="5" s="1"/>
  <c r="N41" i="2" l="1"/>
  <c r="N29" i="2"/>
  <c r="M25" i="2"/>
  <c r="M40" i="2"/>
  <c r="P32" i="5"/>
  <c r="Q32" i="5" s="1"/>
  <c r="R24" i="5" a="1"/>
  <c r="R24" i="5" s="1"/>
  <c r="L29" i="2"/>
  <c r="K25" i="2"/>
  <c r="K27" i="2" s="1"/>
  <c r="L42" i="2"/>
  <c r="L40" i="2"/>
  <c r="K42" i="2" l="1"/>
  <c r="M27" i="2"/>
  <c r="M42" i="2"/>
  <c r="P30" i="5" a="1"/>
  <c r="P30" i="5" s="1"/>
  <c r="S24" i="5" a="1"/>
  <c r="S24" i="5" s="1"/>
  <c r="K41" i="2"/>
  <c r="K29" i="2"/>
  <c r="Q30" i="5" a="1"/>
  <c r="Q30" i="5" s="1"/>
  <c r="R32" i="5"/>
  <c r="M29" i="2" l="1"/>
  <c r="M41" i="2"/>
  <c r="R30" i="5" a="1"/>
  <c r="R30" i="5" s="1"/>
  <c r="S32" i="5"/>
  <c r="T24" i="5" l="1" a="1"/>
  <c r="T24" i="5" s="1"/>
  <c r="S30" i="5" a="1"/>
  <c r="S30" i="5" s="1"/>
  <c r="T32" i="5"/>
  <c r="V26" i="5"/>
  <c r="V24" i="5" s="1" a="1"/>
  <c r="V24" i="5" s="1"/>
  <c r="U24" i="5" a="1"/>
  <c r="U24" i="5" s="1"/>
  <c r="U32" i="5" l="1"/>
  <c r="U30" i="5" s="1" a="1"/>
  <c r="U30" i="5" s="1"/>
  <c r="T30" i="5" a="1"/>
  <c r="T30" i="5" s="1"/>
  <c r="Z83" i="2" l="1"/>
  <c r="Z19" i="2"/>
  <c r="T7" i="2"/>
  <c r="X5" i="2"/>
  <c r="W5" i="2"/>
  <c r="V5" i="2"/>
  <c r="U5" i="2"/>
  <c r="T5" i="2"/>
  <c r="Z5" i="2"/>
  <c r="Y5" i="2"/>
  <c r="Z26" i="2"/>
  <c r="Z24" i="2"/>
  <c r="Z23" i="2"/>
  <c r="Z20" i="2"/>
  <c r="Z17" i="2"/>
  <c r="AA38" i="2"/>
  <c r="Z9" i="2"/>
  <c r="Z18" i="2" l="1"/>
  <c r="L23" i="5"/>
  <c r="Z7" i="2"/>
  <c r="Z8" i="2"/>
  <c r="Z21" i="2"/>
  <c r="Z14" i="2"/>
  <c r="J13" i="2"/>
  <c r="N36" i="2" l="1"/>
  <c r="L44" i="5"/>
  <c r="L41" i="5"/>
  <c r="M23" i="5"/>
  <c r="Z22" i="2"/>
  <c r="H27" i="3"/>
  <c r="H28" i="3" s="1"/>
  <c r="G27" i="3"/>
  <c r="F27" i="3"/>
  <c r="F28" i="3" s="1"/>
  <c r="E27" i="3"/>
  <c r="E28" i="3" s="1"/>
  <c r="D27" i="3"/>
  <c r="D28" i="3" s="1"/>
  <c r="C27" i="3"/>
  <c r="C28" i="3" s="1"/>
  <c r="H25" i="3"/>
  <c r="G25" i="3"/>
  <c r="F25" i="3"/>
  <c r="E25" i="3"/>
  <c r="D25" i="3"/>
  <c r="C25" i="3"/>
  <c r="H24" i="3"/>
  <c r="G24" i="3"/>
  <c r="F24" i="3"/>
  <c r="E24" i="3"/>
  <c r="D24" i="3"/>
  <c r="C24" i="3"/>
  <c r="G19" i="3"/>
  <c r="F19" i="3"/>
  <c r="E19" i="3"/>
  <c r="D19" i="3"/>
  <c r="C19" i="3"/>
  <c r="H19" i="3"/>
  <c r="H33" i="3"/>
  <c r="G33" i="3"/>
  <c r="F33" i="3"/>
  <c r="E33" i="3"/>
  <c r="D33" i="3"/>
  <c r="C33" i="3"/>
  <c r="Z25" i="2" l="1"/>
  <c r="Z27" i="2" s="1"/>
  <c r="I9" i="3" s="1"/>
  <c r="L29" i="5"/>
  <c r="M46" i="5"/>
  <c r="N23" i="5"/>
  <c r="M29" i="5"/>
  <c r="M40" i="5"/>
  <c r="M43" i="5"/>
  <c r="L19" i="3"/>
  <c r="H29" i="3"/>
  <c r="M19" i="3"/>
  <c r="E29" i="3"/>
  <c r="F29" i="3"/>
  <c r="D29" i="3"/>
  <c r="C29" i="3"/>
  <c r="G28" i="3"/>
  <c r="G29" i="3" s="1"/>
  <c r="M35" i="5" l="1"/>
  <c r="M38" i="5" s="1"/>
  <c r="M49" i="5" s="1"/>
  <c r="M50" i="5" s="1"/>
  <c r="N46" i="5"/>
  <c r="N29" i="5"/>
  <c r="N40" i="5"/>
  <c r="N43" i="5"/>
  <c r="O23" i="5"/>
  <c r="L38" i="5"/>
  <c r="L30" i="5"/>
  <c r="L36" i="5"/>
  <c r="C21" i="2"/>
  <c r="I13" i="2"/>
  <c r="H13" i="2"/>
  <c r="G13" i="2"/>
  <c r="C13" i="2"/>
  <c r="D13" i="2"/>
  <c r="E13" i="2"/>
  <c r="F12" i="2"/>
  <c r="J35" i="2" s="1"/>
  <c r="F11" i="2"/>
  <c r="J34" i="2" s="1"/>
  <c r="F10" i="2"/>
  <c r="J33" i="2" s="1"/>
  <c r="F9" i="2"/>
  <c r="J32" i="2" s="1"/>
  <c r="F15" i="2"/>
  <c r="F14" i="2"/>
  <c r="J37" i="2" s="1"/>
  <c r="Z15" i="2"/>
  <c r="Z12" i="2"/>
  <c r="Z11" i="2"/>
  <c r="Z10" i="2"/>
  <c r="F26" i="2"/>
  <c r="F24" i="2"/>
  <c r="F23" i="2"/>
  <c r="F20" i="2"/>
  <c r="F19" i="2"/>
  <c r="F17" i="2"/>
  <c r="I27" i="3"/>
  <c r="H21" i="2"/>
  <c r="I36" i="2" l="1"/>
  <c r="M36" i="2"/>
  <c r="G36" i="2"/>
  <c r="K36" i="2"/>
  <c r="L36" i="2"/>
  <c r="H36" i="2"/>
  <c r="O29" i="5"/>
  <c r="O35" i="5" s="1"/>
  <c r="O38" i="5" s="1"/>
  <c r="P23" i="5"/>
  <c r="O40" i="5"/>
  <c r="O43" i="5"/>
  <c r="O46" i="5"/>
  <c r="N35" i="5"/>
  <c r="N38" i="5" s="1"/>
  <c r="N49" i="5" s="1"/>
  <c r="N50" i="5" s="1"/>
  <c r="I28" i="3"/>
  <c r="M27" i="3"/>
  <c r="L27" i="3"/>
  <c r="F13" i="2"/>
  <c r="J36" i="2" s="1"/>
  <c r="X114" i="2"/>
  <c r="W114" i="2"/>
  <c r="V114" i="2"/>
  <c r="U114" i="2"/>
  <c r="T114" i="2"/>
  <c r="Y114" i="2"/>
  <c r="X119" i="2"/>
  <c r="C114" i="2"/>
  <c r="Z114" i="2"/>
  <c r="J114" i="2"/>
  <c r="I114" i="2"/>
  <c r="H114" i="2"/>
  <c r="G114" i="2"/>
  <c r="F114" i="2"/>
  <c r="E114" i="2"/>
  <c r="D114" i="2"/>
  <c r="Z106" i="2"/>
  <c r="Y106" i="2"/>
  <c r="X106" i="2"/>
  <c r="W106" i="2"/>
  <c r="V106" i="2"/>
  <c r="U106" i="2"/>
  <c r="T106" i="2"/>
  <c r="I106" i="2"/>
  <c r="H106" i="2"/>
  <c r="G106" i="2"/>
  <c r="F106" i="2"/>
  <c r="E106" i="2"/>
  <c r="D106" i="2"/>
  <c r="C106" i="2"/>
  <c r="J106" i="2"/>
  <c r="Y69" i="2"/>
  <c r="X69" i="2"/>
  <c r="W69" i="2"/>
  <c r="Z64" i="2"/>
  <c r="I33" i="3" s="1"/>
  <c r="Z58" i="2"/>
  <c r="Z36" i="2"/>
  <c r="Z35" i="2"/>
  <c r="W21" i="2"/>
  <c r="K23" i="5"/>
  <c r="J23" i="5"/>
  <c r="I23" i="5"/>
  <c r="H23" i="5"/>
  <c r="G23" i="5"/>
  <c r="Z99" i="2"/>
  <c r="Y99" i="2"/>
  <c r="K46" i="5" s="1"/>
  <c r="X99" i="2"/>
  <c r="J46" i="5" s="1"/>
  <c r="W99" i="2"/>
  <c r="I46" i="5" s="1"/>
  <c r="V99" i="2"/>
  <c r="H46" i="5" s="1"/>
  <c r="U99" i="2"/>
  <c r="G46" i="5" s="1"/>
  <c r="T99" i="2"/>
  <c r="Y83" i="2"/>
  <c r="X83" i="2"/>
  <c r="W83" i="2"/>
  <c r="V83" i="2"/>
  <c r="U83" i="2"/>
  <c r="T83" i="2"/>
  <c r="Y73" i="2"/>
  <c r="X73" i="2"/>
  <c r="W73" i="2"/>
  <c r="V73" i="2"/>
  <c r="U73" i="2"/>
  <c r="T73" i="2"/>
  <c r="V69" i="2"/>
  <c r="U69" i="2"/>
  <c r="T69" i="2"/>
  <c r="Y58" i="2"/>
  <c r="X58" i="2"/>
  <c r="W58" i="2"/>
  <c r="V58" i="2"/>
  <c r="U58" i="2"/>
  <c r="T58" i="2"/>
  <c r="Y52" i="2"/>
  <c r="X52" i="2"/>
  <c r="W52" i="2"/>
  <c r="V52" i="2"/>
  <c r="U52" i="2"/>
  <c r="T52" i="2"/>
  <c r="Y21" i="2"/>
  <c r="X21" i="2"/>
  <c r="V21" i="2"/>
  <c r="U21" i="2"/>
  <c r="T21" i="2"/>
  <c r="I99" i="2"/>
  <c r="H99" i="2"/>
  <c r="G99" i="2"/>
  <c r="F99" i="2"/>
  <c r="E99" i="2"/>
  <c r="D99" i="2"/>
  <c r="C99" i="2"/>
  <c r="J99" i="2"/>
  <c r="I83" i="2"/>
  <c r="H83" i="2"/>
  <c r="G83" i="2"/>
  <c r="F83" i="2"/>
  <c r="E83" i="2"/>
  <c r="D83" i="2"/>
  <c r="C83" i="2"/>
  <c r="J83" i="2"/>
  <c r="I73" i="2"/>
  <c r="H73" i="2"/>
  <c r="G73" i="2"/>
  <c r="F73" i="2"/>
  <c r="E73" i="2"/>
  <c r="D73" i="2"/>
  <c r="C73" i="2"/>
  <c r="J73" i="2"/>
  <c r="I69" i="2"/>
  <c r="H69" i="2"/>
  <c r="G69" i="2"/>
  <c r="F69" i="2"/>
  <c r="E69" i="2"/>
  <c r="D69" i="2"/>
  <c r="C69" i="2"/>
  <c r="J69" i="2"/>
  <c r="I58" i="2"/>
  <c r="H58" i="2"/>
  <c r="G58" i="2"/>
  <c r="F58" i="2"/>
  <c r="E58" i="2"/>
  <c r="D58" i="2"/>
  <c r="C58" i="2"/>
  <c r="J58" i="2"/>
  <c r="I52" i="2"/>
  <c r="H52" i="2"/>
  <c r="G52" i="2"/>
  <c r="F52" i="2"/>
  <c r="E52" i="2"/>
  <c r="D52" i="2"/>
  <c r="C52" i="2"/>
  <c r="J52" i="2"/>
  <c r="H38" i="2"/>
  <c r="I38" i="2"/>
  <c r="H18" i="2"/>
  <c r="H22" i="2" s="1"/>
  <c r="G38" i="2"/>
  <c r="J21" i="2"/>
  <c r="G21" i="2"/>
  <c r="F21" i="2"/>
  <c r="E21" i="2"/>
  <c r="D21" i="2"/>
  <c r="I21" i="2"/>
  <c r="J18" i="2"/>
  <c r="G18" i="2"/>
  <c r="G39" i="2" s="1"/>
  <c r="E18" i="2"/>
  <c r="D18" i="2"/>
  <c r="C18" i="2"/>
  <c r="I18" i="2"/>
  <c r="I39" i="2" s="1"/>
  <c r="G44" i="5" l="1"/>
  <c r="G41" i="5"/>
  <c r="H24" i="5"/>
  <c r="H44" i="5"/>
  <c r="H41" i="5"/>
  <c r="H47" i="5"/>
  <c r="K44" i="5"/>
  <c r="K41" i="5"/>
  <c r="K24" i="5"/>
  <c r="L24" i="5"/>
  <c r="K47" i="5"/>
  <c r="G47" i="5"/>
  <c r="I44" i="5"/>
  <c r="I24" i="5"/>
  <c r="I41" i="5"/>
  <c r="J41" i="5"/>
  <c r="J24" i="5"/>
  <c r="J44" i="5"/>
  <c r="J47" i="5"/>
  <c r="I11" i="3"/>
  <c r="L46" i="5"/>
  <c r="P46" i="5"/>
  <c r="P43" i="5"/>
  <c r="Q23" i="5"/>
  <c r="P40" i="5"/>
  <c r="P29" i="5"/>
  <c r="P35" i="5" s="1"/>
  <c r="P38" i="5" s="1"/>
  <c r="I17" i="3"/>
  <c r="I20" i="3"/>
  <c r="I47" i="5"/>
  <c r="T8" i="2"/>
  <c r="T33" i="2" s="1"/>
  <c r="T32" i="2"/>
  <c r="O49" i="5"/>
  <c r="O50" i="5" s="1"/>
  <c r="V8" i="2"/>
  <c r="V7" i="2"/>
  <c r="Z38" i="2"/>
  <c r="Y8" i="2"/>
  <c r="Y7" i="2"/>
  <c r="U7" i="2"/>
  <c r="U8" i="2"/>
  <c r="W7" i="2"/>
  <c r="W8" i="2"/>
  <c r="X7" i="2"/>
  <c r="X8" i="2"/>
  <c r="E17" i="3"/>
  <c r="T18" i="2"/>
  <c r="T22" i="2" s="1"/>
  <c r="T34" i="2"/>
  <c r="V18" i="2"/>
  <c r="V39" i="2" s="1"/>
  <c r="C17" i="3"/>
  <c r="W18" i="2"/>
  <c r="W39" i="2" s="1"/>
  <c r="F17" i="3"/>
  <c r="G17" i="3"/>
  <c r="H17" i="3"/>
  <c r="U18" i="2"/>
  <c r="U22" i="2" s="1"/>
  <c r="G29" i="5" s="1"/>
  <c r="D17" i="3"/>
  <c r="Z39" i="2"/>
  <c r="Y18" i="2"/>
  <c r="Y39" i="2" s="1"/>
  <c r="Y34" i="2"/>
  <c r="M28" i="3"/>
  <c r="L28" i="3"/>
  <c r="I24" i="3"/>
  <c r="I25" i="3"/>
  <c r="I8" i="1"/>
  <c r="I32" i="3"/>
  <c r="X18" i="2"/>
  <c r="X39" i="2" s="1"/>
  <c r="F16" i="2"/>
  <c r="X34" i="2"/>
  <c r="H75" i="2"/>
  <c r="H85" i="2" s="1"/>
  <c r="X38" i="2"/>
  <c r="Y38" i="2"/>
  <c r="W36" i="2"/>
  <c r="X36" i="2"/>
  <c r="Z69" i="2"/>
  <c r="Z73" i="2"/>
  <c r="Z34" i="2"/>
  <c r="Y36" i="2"/>
  <c r="W34" i="2"/>
  <c r="Z37" i="2"/>
  <c r="W35" i="2"/>
  <c r="W37" i="2"/>
  <c r="X35" i="2"/>
  <c r="X37" i="2"/>
  <c r="T75" i="2"/>
  <c r="T85" i="2" s="1"/>
  <c r="Y35" i="2"/>
  <c r="Y37" i="2"/>
  <c r="Z52" i="2"/>
  <c r="Z60" i="2" s="1"/>
  <c r="I26" i="3" s="1"/>
  <c r="U35" i="2"/>
  <c r="U34" i="2"/>
  <c r="V37" i="2"/>
  <c r="V34" i="2"/>
  <c r="W38" i="2"/>
  <c r="V35" i="2"/>
  <c r="T36" i="2"/>
  <c r="T35" i="2"/>
  <c r="T37" i="2"/>
  <c r="U38" i="2"/>
  <c r="U37" i="2"/>
  <c r="V38" i="2"/>
  <c r="U36" i="2"/>
  <c r="V36" i="2"/>
  <c r="X60" i="2"/>
  <c r="G26" i="3" s="1"/>
  <c r="T60" i="2"/>
  <c r="C26" i="3" s="1"/>
  <c r="C60" i="2"/>
  <c r="U75" i="2"/>
  <c r="U85" i="2" s="1"/>
  <c r="D16" i="3" s="1"/>
  <c r="X75" i="2"/>
  <c r="X85" i="2" s="1"/>
  <c r="G16" i="3" s="1"/>
  <c r="W75" i="2"/>
  <c r="W85" i="2" s="1"/>
  <c r="F16" i="3" s="1"/>
  <c r="H60" i="2"/>
  <c r="G75" i="2"/>
  <c r="G85" i="2" s="1"/>
  <c r="V75" i="2"/>
  <c r="V85" i="2" s="1"/>
  <c r="E16" i="3" s="1"/>
  <c r="J60" i="2"/>
  <c r="Y60" i="2"/>
  <c r="H26" i="3" s="1"/>
  <c r="G60" i="2"/>
  <c r="Y75" i="2"/>
  <c r="Y85" i="2" s="1"/>
  <c r="H16" i="3" s="1"/>
  <c r="D60" i="2"/>
  <c r="U60" i="2"/>
  <c r="D26" i="3" s="1"/>
  <c r="I75" i="2"/>
  <c r="I85" i="2" s="1"/>
  <c r="F60" i="2"/>
  <c r="J75" i="2"/>
  <c r="J85" i="2" s="1"/>
  <c r="W60" i="2"/>
  <c r="F26" i="3" s="1"/>
  <c r="F75" i="2"/>
  <c r="F85" i="2" s="1"/>
  <c r="C75" i="2"/>
  <c r="C85" i="2" s="1"/>
  <c r="D75" i="2"/>
  <c r="D85" i="2" s="1"/>
  <c r="V60" i="2"/>
  <c r="E26" i="3" s="1"/>
  <c r="E60" i="2"/>
  <c r="H39" i="2"/>
  <c r="I60" i="2"/>
  <c r="E75" i="2"/>
  <c r="E85" i="2" s="1"/>
  <c r="H25" i="2"/>
  <c r="H40" i="2"/>
  <c r="J22" i="2"/>
  <c r="J25" i="2" s="1"/>
  <c r="J27" i="2" s="1"/>
  <c r="J88" i="2" s="1"/>
  <c r="J100" i="2" s="1"/>
  <c r="J116" i="2" s="1"/>
  <c r="C22" i="2"/>
  <c r="C25" i="2" s="1"/>
  <c r="C27" i="2" s="1"/>
  <c r="C88" i="2" s="1"/>
  <c r="C100" i="2" s="1"/>
  <c r="C116" i="2" s="1"/>
  <c r="J39" i="2"/>
  <c r="E22" i="2"/>
  <c r="E40" i="2" s="1"/>
  <c r="G22" i="2"/>
  <c r="G25" i="2" s="1"/>
  <c r="G27" i="2" s="1"/>
  <c r="C39" i="2"/>
  <c r="I22" i="2"/>
  <c r="I25" i="2" s="1"/>
  <c r="D22" i="2"/>
  <c r="D25" i="2" s="1"/>
  <c r="D39" i="2"/>
  <c r="E39" i="2"/>
  <c r="L47" i="5" l="1"/>
  <c r="L49" i="5"/>
  <c r="C16" i="3"/>
  <c r="G30" i="5"/>
  <c r="G36" i="5"/>
  <c r="G38" i="5"/>
  <c r="G49" i="5" s="1"/>
  <c r="P49" i="5"/>
  <c r="P50" i="5" s="1"/>
  <c r="Q46" i="5"/>
  <c r="Q29" i="5"/>
  <c r="Q35" i="5" s="1"/>
  <c r="Q38" i="5" s="1"/>
  <c r="Q40" i="5"/>
  <c r="Q43" i="5"/>
  <c r="R23" i="5"/>
  <c r="T39" i="2"/>
  <c r="V22" i="2"/>
  <c r="H29" i="5" s="1"/>
  <c r="X22" i="2"/>
  <c r="Y22" i="2"/>
  <c r="Y25" i="2" s="1"/>
  <c r="D5" i="3"/>
  <c r="D18" i="3"/>
  <c r="M17" i="3"/>
  <c r="L17" i="3"/>
  <c r="C5" i="3"/>
  <c r="C18" i="3"/>
  <c r="U39" i="2"/>
  <c r="W22" i="2"/>
  <c r="Z75" i="2"/>
  <c r="Z85" i="2" s="1"/>
  <c r="I16" i="3" s="1"/>
  <c r="L26" i="3"/>
  <c r="M26" i="3"/>
  <c r="L25" i="3"/>
  <c r="M25" i="3"/>
  <c r="I29" i="3"/>
  <c r="L24" i="3"/>
  <c r="M24" i="3"/>
  <c r="I5" i="3"/>
  <c r="I18" i="3"/>
  <c r="I41" i="3"/>
  <c r="I39" i="3"/>
  <c r="I38" i="3"/>
  <c r="I34" i="3"/>
  <c r="J38" i="2"/>
  <c r="F18" i="2"/>
  <c r="C42" i="2"/>
  <c r="J40" i="2"/>
  <c r="J42" i="2"/>
  <c r="J29" i="2"/>
  <c r="J41" i="2"/>
  <c r="C40" i="2"/>
  <c r="Z40" i="2"/>
  <c r="G42" i="2"/>
  <c r="G29" i="2"/>
  <c r="G88" i="2"/>
  <c r="G100" i="2" s="1"/>
  <c r="G116" i="2" s="1"/>
  <c r="G40" i="2"/>
  <c r="U25" i="2"/>
  <c r="U27" i="2" s="1"/>
  <c r="U40" i="2"/>
  <c r="G41" i="2"/>
  <c r="T25" i="2"/>
  <c r="T40" i="2"/>
  <c r="C41" i="2"/>
  <c r="H42" i="2"/>
  <c r="H27" i="2"/>
  <c r="H88" i="2" s="1"/>
  <c r="H100" i="2" s="1"/>
  <c r="H116" i="2" s="1"/>
  <c r="E25" i="2"/>
  <c r="E27" i="2" s="1"/>
  <c r="E88" i="2" s="1"/>
  <c r="E100" i="2" s="1"/>
  <c r="E116" i="2" s="1"/>
  <c r="D40" i="2"/>
  <c r="I27" i="2"/>
  <c r="I88" i="2" s="1"/>
  <c r="I100" i="2" s="1"/>
  <c r="I116" i="2" s="1"/>
  <c r="I42" i="2"/>
  <c r="I40" i="2"/>
  <c r="D27" i="2"/>
  <c r="D88" i="2" s="1"/>
  <c r="D100" i="2" s="1"/>
  <c r="D116" i="2" s="1"/>
  <c r="D42" i="2"/>
  <c r="M16" i="3" l="1"/>
  <c r="E18" i="3"/>
  <c r="G5" i="3"/>
  <c r="J29" i="5"/>
  <c r="V40" i="2"/>
  <c r="V25" i="2"/>
  <c r="V27" i="2" s="1"/>
  <c r="E8" i="3" s="1"/>
  <c r="S23" i="5"/>
  <c r="R29" i="5"/>
  <c r="R35" i="5" s="1"/>
  <c r="R38" i="5" s="1"/>
  <c r="R40" i="5"/>
  <c r="R43" i="5"/>
  <c r="R46" i="5"/>
  <c r="H18" i="3"/>
  <c r="K29" i="5"/>
  <c r="W40" i="2"/>
  <c r="I29" i="5"/>
  <c r="H30" i="5"/>
  <c r="H38" i="5"/>
  <c r="H49" i="5" s="1"/>
  <c r="H36" i="5"/>
  <c r="Q49" i="5"/>
  <c r="Q50" i="5" s="1"/>
  <c r="X40" i="2"/>
  <c r="X25" i="2"/>
  <c r="X42" i="2" s="1"/>
  <c r="E5" i="3"/>
  <c r="G18" i="3"/>
  <c r="Y40" i="2"/>
  <c r="H5" i="3"/>
  <c r="W25" i="2"/>
  <c r="W42" i="2" s="1"/>
  <c r="U30" i="2"/>
  <c r="D32" i="3" s="1"/>
  <c r="D9" i="3"/>
  <c r="D7" i="3"/>
  <c r="D4" i="3"/>
  <c r="D8" i="3"/>
  <c r="F5" i="3"/>
  <c r="F18" i="3"/>
  <c r="L16" i="3"/>
  <c r="L29" i="3"/>
  <c r="M29" i="3"/>
  <c r="I45" i="3"/>
  <c r="I43" i="3"/>
  <c r="I44" i="3"/>
  <c r="I46" i="3"/>
  <c r="F39" i="2"/>
  <c r="F22" i="2"/>
  <c r="Y42" i="2"/>
  <c r="Y27" i="2"/>
  <c r="I36" i="3"/>
  <c r="T42" i="2"/>
  <c r="T27" i="2"/>
  <c r="U42" i="2"/>
  <c r="D6" i="3" s="1"/>
  <c r="E42" i="2"/>
  <c r="H41" i="2"/>
  <c r="H29" i="2"/>
  <c r="E41" i="2"/>
  <c r="D41" i="2"/>
  <c r="I29" i="2"/>
  <c r="I41" i="2"/>
  <c r="X27" i="2" l="1"/>
  <c r="G7" i="3" s="1"/>
  <c r="V88" i="2"/>
  <c r="V100" i="2" s="1"/>
  <c r="V116" i="2" s="1"/>
  <c r="V41" i="2"/>
  <c r="E9" i="3"/>
  <c r="V42" i="2"/>
  <c r="E6" i="3" s="1"/>
  <c r="E4" i="3"/>
  <c r="V30" i="2"/>
  <c r="E32" i="3" s="1"/>
  <c r="E38" i="3" s="1"/>
  <c r="M18" i="3"/>
  <c r="I38" i="5"/>
  <c r="I49" i="5" s="1"/>
  <c r="I30" i="5"/>
  <c r="I36" i="5"/>
  <c r="E7" i="3"/>
  <c r="K30" i="5"/>
  <c r="K38" i="5"/>
  <c r="K49" i="5" s="1"/>
  <c r="K36" i="5"/>
  <c r="R49" i="5"/>
  <c r="R50" i="5" s="1"/>
  <c r="S46" i="5"/>
  <c r="S43" i="5"/>
  <c r="S40" i="5"/>
  <c r="S29" i="5"/>
  <c r="S35" i="5" s="1"/>
  <c r="S38" i="5" s="1"/>
  <c r="T23" i="5"/>
  <c r="J30" i="5"/>
  <c r="J38" i="5"/>
  <c r="J49" i="5" s="1"/>
  <c r="J36" i="5"/>
  <c r="L5" i="3"/>
  <c r="L18" i="3"/>
  <c r="M5" i="3"/>
  <c r="I37" i="3"/>
  <c r="W27" i="2"/>
  <c r="F6" i="3" s="1"/>
  <c r="F20" i="3"/>
  <c r="F11" i="3"/>
  <c r="D10" i="3"/>
  <c r="E11" i="3"/>
  <c r="E20" i="3"/>
  <c r="D38" i="3"/>
  <c r="D41" i="3"/>
  <c r="D36" i="3"/>
  <c r="D37" i="3" s="1"/>
  <c r="D39" i="3"/>
  <c r="D34" i="3"/>
  <c r="E41" i="3"/>
  <c r="E36" i="3"/>
  <c r="E37" i="3" s="1"/>
  <c r="E39" i="3"/>
  <c r="T30" i="2"/>
  <c r="C32" i="3" s="1"/>
  <c r="C8" i="3"/>
  <c r="C7" i="3"/>
  <c r="C9" i="3"/>
  <c r="C4" i="3"/>
  <c r="C6" i="3"/>
  <c r="G20" i="3"/>
  <c r="G11" i="3"/>
  <c r="C11" i="3"/>
  <c r="C20" i="3"/>
  <c r="D11" i="3"/>
  <c r="D12" i="3" s="1"/>
  <c r="D20" i="3"/>
  <c r="Y30" i="2"/>
  <c r="H32" i="3" s="1"/>
  <c r="H9" i="3"/>
  <c r="H8" i="3"/>
  <c r="H7" i="3"/>
  <c r="H4" i="3"/>
  <c r="H6" i="3"/>
  <c r="H11" i="3"/>
  <c r="H20" i="3"/>
  <c r="Z88" i="2"/>
  <c r="Z100" i="2" s="1"/>
  <c r="I7" i="3"/>
  <c r="I4" i="3"/>
  <c r="I10" i="3" s="1"/>
  <c r="I6" i="3"/>
  <c r="I12" i="3" s="1"/>
  <c r="I8" i="3"/>
  <c r="F25" i="2"/>
  <c r="F40" i="2"/>
  <c r="Z41" i="2"/>
  <c r="Z29" i="2"/>
  <c r="Y41" i="2"/>
  <c r="Y88" i="2"/>
  <c r="Y100" i="2" s="1"/>
  <c r="Y116" i="2" s="1"/>
  <c r="Y119" i="2" s="1"/>
  <c r="Z118" i="2" s="1"/>
  <c r="U88" i="2"/>
  <c r="U100" i="2" s="1"/>
  <c r="U116" i="2" s="1"/>
  <c r="U41" i="2"/>
  <c r="T88" i="2"/>
  <c r="T100" i="2" s="1"/>
  <c r="T116" i="2" s="1"/>
  <c r="T41" i="2"/>
  <c r="E12" i="3" l="1"/>
  <c r="G9" i="3"/>
  <c r="G6" i="3"/>
  <c r="G12" i="3" s="1"/>
  <c r="G8" i="3"/>
  <c r="X30" i="2"/>
  <c r="G32" i="3" s="1"/>
  <c r="G34" i="3" s="1"/>
  <c r="X88" i="2"/>
  <c r="X100" i="2" s="1"/>
  <c r="X116" i="2" s="1"/>
  <c r="X118" i="2" s="1"/>
  <c r="W119" i="2" s="1"/>
  <c r="X41" i="2"/>
  <c r="G4" i="3"/>
  <c r="E40" i="3"/>
  <c r="E10" i="3"/>
  <c r="E34" i="3"/>
  <c r="E44" i="3" s="1"/>
  <c r="S49" i="5"/>
  <c r="S50" i="5" s="1"/>
  <c r="U23" i="5"/>
  <c r="T46" i="5"/>
  <c r="T43" i="5"/>
  <c r="T40" i="5"/>
  <c r="T29" i="5"/>
  <c r="T35" i="5" s="1"/>
  <c r="T38" i="5" s="1"/>
  <c r="F12" i="3"/>
  <c r="W88" i="2"/>
  <c r="W100" i="2" s="1"/>
  <c r="W116" i="2" s="1"/>
  <c r="W118" i="2" s="1"/>
  <c r="V119" i="2" s="1"/>
  <c r="V118" i="2" s="1"/>
  <c r="U119" i="2" s="1"/>
  <c r="U118" i="2" s="1"/>
  <c r="T119" i="2" s="1"/>
  <c r="T118" i="2" s="1"/>
  <c r="F8" i="3"/>
  <c r="M8" i="3" s="1"/>
  <c r="W41" i="2"/>
  <c r="F9" i="3"/>
  <c r="M9" i="3" s="1"/>
  <c r="F7" i="3"/>
  <c r="L7" i="3" s="1"/>
  <c r="W30" i="2"/>
  <c r="F32" i="3" s="1"/>
  <c r="F38" i="3" s="1"/>
  <c r="F4" i="3"/>
  <c r="H10" i="3"/>
  <c r="C12" i="3"/>
  <c r="D40" i="3"/>
  <c r="C40" i="3"/>
  <c r="C38" i="3"/>
  <c r="C41" i="3"/>
  <c r="C36" i="3"/>
  <c r="C39" i="3"/>
  <c r="C34" i="3"/>
  <c r="C10" i="3"/>
  <c r="G10" i="3"/>
  <c r="D43" i="3"/>
  <c r="D44" i="3"/>
  <c r="D46" i="3"/>
  <c r="D45" i="3"/>
  <c r="G39" i="3"/>
  <c r="G40" i="3"/>
  <c r="G36" i="3"/>
  <c r="G37" i="3" s="1"/>
  <c r="G38" i="3"/>
  <c r="G41" i="3"/>
  <c r="H12" i="3"/>
  <c r="L11" i="3"/>
  <c r="M11" i="3"/>
  <c r="H41" i="3"/>
  <c r="H38" i="3"/>
  <c r="H39" i="3"/>
  <c r="H36" i="3"/>
  <c r="H37" i="3" s="1"/>
  <c r="H40" i="3"/>
  <c r="H34" i="3"/>
  <c r="M20" i="3"/>
  <c r="L20" i="3"/>
  <c r="Z116" i="2"/>
  <c r="Z119" i="2" s="1"/>
  <c r="I40" i="3"/>
  <c r="L6" i="3"/>
  <c r="M6" i="3"/>
  <c r="F27" i="2"/>
  <c r="F42" i="2"/>
  <c r="C30" i="2" l="1"/>
  <c r="C29" i="2" s="1"/>
  <c r="M4" i="3"/>
  <c r="E30" i="2"/>
  <c r="E29" i="2" s="1"/>
  <c r="D30" i="2"/>
  <c r="D29" i="2" s="1"/>
  <c r="F30" i="2"/>
  <c r="F29" i="2" s="1"/>
  <c r="L8" i="3"/>
  <c r="E43" i="3"/>
  <c r="E45" i="3"/>
  <c r="E46" i="3"/>
  <c r="T49" i="5"/>
  <c r="T50" i="5" s="1"/>
  <c r="U46" i="5"/>
  <c r="U43" i="5"/>
  <c r="U40" i="5"/>
  <c r="V23" i="5"/>
  <c r="U29" i="5"/>
  <c r="U35" i="5" s="1"/>
  <c r="U38" i="5" s="1"/>
  <c r="L9" i="3"/>
  <c r="F34" i="3"/>
  <c r="F46" i="3" s="1"/>
  <c r="M7" i="3"/>
  <c r="F41" i="3"/>
  <c r="M41" i="3" s="1"/>
  <c r="F40" i="3"/>
  <c r="M40" i="3" s="1"/>
  <c r="F39" i="3"/>
  <c r="M39" i="3" s="1"/>
  <c r="F36" i="3"/>
  <c r="F37" i="3" s="1"/>
  <c r="L37" i="3" s="1"/>
  <c r="F10" i="3"/>
  <c r="L10" i="3" s="1"/>
  <c r="L4" i="3"/>
  <c r="G44" i="3"/>
  <c r="G46" i="3"/>
  <c r="G45" i="3"/>
  <c r="G43" i="3"/>
  <c r="C45" i="3"/>
  <c r="C43" i="3"/>
  <c r="C44" i="3"/>
  <c r="C46" i="3"/>
  <c r="H46" i="3"/>
  <c r="H43" i="3"/>
  <c r="H45" i="3"/>
  <c r="H44" i="3"/>
  <c r="M38" i="3"/>
  <c r="L38" i="3"/>
  <c r="M12" i="3"/>
  <c r="L12" i="3"/>
  <c r="F41" i="2"/>
  <c r="F88" i="2"/>
  <c r="F100" i="2" s="1"/>
  <c r="F116" i="2" s="1"/>
  <c r="U49" i="5" l="1"/>
  <c r="U50" i="5" s="1"/>
  <c r="F43" i="3"/>
  <c r="L43" i="3" s="1"/>
  <c r="V46" i="5"/>
  <c r="V43" i="5"/>
  <c r="V40" i="5"/>
  <c r="V29" i="5"/>
  <c r="V35" i="5" s="1"/>
  <c r="V38" i="5" s="1"/>
  <c r="F44" i="3"/>
  <c r="M44" i="3" s="1"/>
  <c r="F45" i="3"/>
  <c r="M45" i="3" s="1"/>
  <c r="M36" i="3"/>
  <c r="M37" i="3"/>
  <c r="L40" i="3"/>
  <c r="L39" i="3"/>
  <c r="L41" i="3"/>
  <c r="L36" i="3"/>
  <c r="M10" i="3"/>
  <c r="L44" i="3"/>
  <c r="L46" i="3"/>
  <c r="M46" i="3"/>
  <c r="M43" i="3" l="1"/>
  <c r="L45" i="3"/>
  <c r="V49" i="5"/>
  <c r="V50" i="5" s="1"/>
  <c r="V52" i="5" s="1"/>
  <c r="V53" i="5" l="1"/>
  <c r="V54" i="5" s="1"/>
  <c r="V55" i="5" s="1"/>
  <c r="V58" i="5" s="1"/>
  <c r="V60" i="5" s="1"/>
  <c r="J4" i="5" s="1"/>
  <c r="J5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<sst xmlns="http://schemas.openxmlformats.org/spreadsheetml/2006/main" count="380" uniqueCount="283">
  <si>
    <t>Main</t>
  </si>
  <si>
    <t>NKE</t>
  </si>
  <si>
    <t>Price</t>
  </si>
  <si>
    <t>Shares</t>
  </si>
  <si>
    <t>MC</t>
  </si>
  <si>
    <t>Cash</t>
  </si>
  <si>
    <t>Debt</t>
  </si>
  <si>
    <t>EV</t>
  </si>
  <si>
    <t>SEC Filiings</t>
  </si>
  <si>
    <t>IR</t>
  </si>
  <si>
    <t>Q224</t>
  </si>
  <si>
    <t>x</t>
  </si>
  <si>
    <t>Nike Inc</t>
  </si>
  <si>
    <t>FY18</t>
  </si>
  <si>
    <t>FY19</t>
  </si>
  <si>
    <t>FY20</t>
  </si>
  <si>
    <t>FY23</t>
  </si>
  <si>
    <t>FY24</t>
  </si>
  <si>
    <t>Q123</t>
  </si>
  <si>
    <t>Q223</t>
  </si>
  <si>
    <t>Q424</t>
  </si>
  <si>
    <t>Q324</t>
  </si>
  <si>
    <t>Q323</t>
  </si>
  <si>
    <t>Q423</t>
  </si>
  <si>
    <t>Q124</t>
  </si>
  <si>
    <t>COGS</t>
  </si>
  <si>
    <t>Gross Profit</t>
  </si>
  <si>
    <t>Demand Creation Expense</t>
  </si>
  <si>
    <t>Operating overhead Expense</t>
  </si>
  <si>
    <t>Operating Income</t>
  </si>
  <si>
    <t>Interest Expense</t>
  </si>
  <si>
    <t>Pretax Income</t>
  </si>
  <si>
    <t>Tax Expenses</t>
  </si>
  <si>
    <t>Net Income</t>
  </si>
  <si>
    <t>Other Income Expenses</t>
  </si>
  <si>
    <t>EPS</t>
  </si>
  <si>
    <t>FY21</t>
  </si>
  <si>
    <t>FY22</t>
  </si>
  <si>
    <t>Revenue Growth</t>
  </si>
  <si>
    <t>Gross Margin</t>
  </si>
  <si>
    <t>Operating Margin</t>
  </si>
  <si>
    <t>Net Margin</t>
  </si>
  <si>
    <t>Tax Rate</t>
  </si>
  <si>
    <t>n.a.</t>
  </si>
  <si>
    <t>Balance Sheet</t>
  </si>
  <si>
    <t>Cash and Cash Equivalents</t>
  </si>
  <si>
    <t>Short Term Investments</t>
  </si>
  <si>
    <t>Inventories</t>
  </si>
  <si>
    <t>Assets:</t>
  </si>
  <si>
    <t>Account Receivables</t>
  </si>
  <si>
    <t>Prepaid Expenses and other</t>
  </si>
  <si>
    <t>Total Current Liabilities</t>
  </si>
  <si>
    <t>PP&amp;E</t>
  </si>
  <si>
    <t>Operating Lease Assets</t>
  </si>
  <si>
    <t>Intangibles</t>
  </si>
  <si>
    <t>Goodwill</t>
  </si>
  <si>
    <t>Reffered Taxes and other</t>
  </si>
  <si>
    <t>Total Non-Current Assets</t>
  </si>
  <si>
    <t>Total Assets</t>
  </si>
  <si>
    <t>Liabilities:</t>
  </si>
  <si>
    <t>Current Portion of Long Term Debt</t>
  </si>
  <si>
    <t>Notes Payables</t>
  </si>
  <si>
    <t>Accounts Payables</t>
  </si>
  <si>
    <t>Current Portion of Lease Liabilities</t>
  </si>
  <si>
    <t>Accrued Liabilities</t>
  </si>
  <si>
    <t>Income Tax Payables</t>
  </si>
  <si>
    <t>Long Term Debt</t>
  </si>
  <si>
    <t>Operating Lease Liabilities</t>
  </si>
  <si>
    <t>Deffered Income Tax and other</t>
  </si>
  <si>
    <t>Total Non-Current Liabilities</t>
  </si>
  <si>
    <t>Total Liabilities</t>
  </si>
  <si>
    <t>Equity:</t>
  </si>
  <si>
    <t>Common Stock Class A</t>
  </si>
  <si>
    <t>Common Stock Class B</t>
  </si>
  <si>
    <t>Capital Excess at stated value</t>
  </si>
  <si>
    <t>Accumulated Comprehensive Income/Loss</t>
  </si>
  <si>
    <t>Retained Earnings</t>
  </si>
  <si>
    <t>Total Equity</t>
  </si>
  <si>
    <t>Total Liabilties and Equity</t>
  </si>
  <si>
    <t>Cash Flow Statement</t>
  </si>
  <si>
    <t xml:space="preserve">Net Income </t>
  </si>
  <si>
    <t>Depreciation</t>
  </si>
  <si>
    <t>Deffered Income Taxes</t>
  </si>
  <si>
    <t>Stock based compensations</t>
  </si>
  <si>
    <t>Amortizations</t>
  </si>
  <si>
    <t>Net foreign currency exchange</t>
  </si>
  <si>
    <t>Change in WC:</t>
  </si>
  <si>
    <t>Change in Account Receivables</t>
  </si>
  <si>
    <t>Change in Inventories</t>
  </si>
  <si>
    <t>Change in prepaid Expenses and other</t>
  </si>
  <si>
    <t>Change in WC Libilities</t>
  </si>
  <si>
    <t>CFFO</t>
  </si>
  <si>
    <t>Total</t>
  </si>
  <si>
    <t>Largest seller of athletic footwear and appereal in the world</t>
  </si>
  <si>
    <t>Footwear</t>
  </si>
  <si>
    <t>Appereal</t>
  </si>
  <si>
    <t>Equipment</t>
  </si>
  <si>
    <t>Global Brand Divisions</t>
  </si>
  <si>
    <t>Nike Brand Revenue</t>
  </si>
  <si>
    <t>Total Revenue</t>
  </si>
  <si>
    <t>Corporate</t>
  </si>
  <si>
    <t>Purchase of short term investments</t>
  </si>
  <si>
    <t xml:space="preserve">Maturities of short term investments </t>
  </si>
  <si>
    <t>Sales of short term investments</t>
  </si>
  <si>
    <t>CaEx</t>
  </si>
  <si>
    <t>Other Investing activities</t>
  </si>
  <si>
    <t>CFFI</t>
  </si>
  <si>
    <t>Change in Notes payables</t>
  </si>
  <si>
    <t>Repayment of Debts</t>
  </si>
  <si>
    <t>Proceeds from excersice of stock options</t>
  </si>
  <si>
    <t>Repurchase of common stock</t>
  </si>
  <si>
    <t>Other financing activities</t>
  </si>
  <si>
    <t>CFFF</t>
  </si>
  <si>
    <t>Effect of exchange rates</t>
  </si>
  <si>
    <t>Change in Cash</t>
  </si>
  <si>
    <t>Dividends</t>
  </si>
  <si>
    <t>Cash and Cash Equivalents BOP</t>
  </si>
  <si>
    <t>Cash and Cash Equivalents EOP</t>
  </si>
  <si>
    <t>Issuance of Debt</t>
  </si>
  <si>
    <t>FY25</t>
  </si>
  <si>
    <t>FY26</t>
  </si>
  <si>
    <t>FY27</t>
  </si>
  <si>
    <t>FY28</t>
  </si>
  <si>
    <t>Segments:</t>
  </si>
  <si>
    <t>Converse</t>
  </si>
  <si>
    <t>Average</t>
  </si>
  <si>
    <t>Median</t>
  </si>
  <si>
    <t>ROE</t>
  </si>
  <si>
    <t>ROCE</t>
  </si>
  <si>
    <t>ROIC</t>
  </si>
  <si>
    <t>ROA</t>
  </si>
  <si>
    <t>ROC</t>
  </si>
  <si>
    <t>Retention Rate</t>
  </si>
  <si>
    <t>Expected Growth</t>
  </si>
  <si>
    <t xml:space="preserve">Reinvestment Rate </t>
  </si>
  <si>
    <t>Financial Stability</t>
  </si>
  <si>
    <t>Profitability</t>
  </si>
  <si>
    <t>% of Equity</t>
  </si>
  <si>
    <t>Gearing</t>
  </si>
  <si>
    <t>Net Debt/EBITDA</t>
  </si>
  <si>
    <t>Reinvestment Need</t>
  </si>
  <si>
    <t>WC Metrics</t>
  </si>
  <si>
    <t>Debitors</t>
  </si>
  <si>
    <t>Creditors</t>
  </si>
  <si>
    <t>Inventory Intensity</t>
  </si>
  <si>
    <t>Inventory Turnover</t>
  </si>
  <si>
    <t>Cash Conversion Cycle</t>
  </si>
  <si>
    <t>Storage Period</t>
  </si>
  <si>
    <t>Multiples</t>
  </si>
  <si>
    <t>P/E</t>
  </si>
  <si>
    <t>PEG</t>
  </si>
  <si>
    <t>Net Debt</t>
  </si>
  <si>
    <t>P/B</t>
  </si>
  <si>
    <t>P/TB</t>
  </si>
  <si>
    <t>P/Sales</t>
  </si>
  <si>
    <t>Entity:</t>
  </si>
  <si>
    <t>EV/Sales</t>
  </si>
  <si>
    <t>EV/EBIT</t>
  </si>
  <si>
    <t>EV/EBITDA</t>
  </si>
  <si>
    <t>EV/FCF</t>
  </si>
  <si>
    <t>Net Debt/FCF</t>
  </si>
  <si>
    <t>P/CF</t>
  </si>
  <si>
    <t>%of Revenue</t>
  </si>
  <si>
    <t>Brands</t>
  </si>
  <si>
    <t>Competitors</t>
  </si>
  <si>
    <t>Year Start:</t>
  </si>
  <si>
    <t>Year End:</t>
  </si>
  <si>
    <t>Business Modek</t>
  </si>
  <si>
    <t>Customers</t>
  </si>
  <si>
    <t>D2C, Wholesale</t>
  </si>
  <si>
    <t>Corporate and other</t>
  </si>
  <si>
    <t>Adidas, New Balance, Puma</t>
  </si>
  <si>
    <t>Credit Score</t>
  </si>
  <si>
    <t>A1</t>
  </si>
  <si>
    <t>Model</t>
  </si>
  <si>
    <t xml:space="preserve">Revenue </t>
  </si>
  <si>
    <t>other</t>
  </si>
  <si>
    <t>Nike, Jordan</t>
  </si>
  <si>
    <t>Nike</t>
  </si>
  <si>
    <t>Growth (%)</t>
  </si>
  <si>
    <t>Switches</t>
  </si>
  <si>
    <t>Assumptions</t>
  </si>
  <si>
    <t>Revenue</t>
  </si>
  <si>
    <t>D&amp;A</t>
  </si>
  <si>
    <t xml:space="preserve">Base Case </t>
  </si>
  <si>
    <t>Optimistic Case</t>
  </si>
  <si>
    <t>EBIT</t>
  </si>
  <si>
    <t>WACC</t>
  </si>
  <si>
    <t>Taxes</t>
  </si>
  <si>
    <t>TGR</t>
  </si>
  <si>
    <t>Share Price</t>
  </si>
  <si>
    <t>Fair Share Price</t>
  </si>
  <si>
    <t>Implied Upside</t>
  </si>
  <si>
    <t>Conservative Case</t>
  </si>
  <si>
    <t>Optimisitic Case</t>
  </si>
  <si>
    <t>Tax Rate (%)</t>
  </si>
  <si>
    <t>Nopat</t>
  </si>
  <si>
    <t>% of Sales</t>
  </si>
  <si>
    <t>CapEx</t>
  </si>
  <si>
    <t>Change in WC</t>
  </si>
  <si>
    <t>Discount Period</t>
  </si>
  <si>
    <t>Sum of Present Value</t>
  </si>
  <si>
    <t>Terminal Value</t>
  </si>
  <si>
    <t>Present Value of TV</t>
  </si>
  <si>
    <t>Enterprise Value</t>
  </si>
  <si>
    <t>(+) Cash</t>
  </si>
  <si>
    <t>(-) Debt</t>
  </si>
  <si>
    <t>Equity Value</t>
  </si>
  <si>
    <t xml:space="preserve">Number of Shares </t>
  </si>
  <si>
    <t>Nike Stores US</t>
  </si>
  <si>
    <t>Nike Stores International</t>
  </si>
  <si>
    <t>Total Stores</t>
  </si>
  <si>
    <t>Nike Direct Revenue</t>
  </si>
  <si>
    <t>Wholesale Revenue</t>
  </si>
  <si>
    <t>DCF</t>
  </si>
  <si>
    <t>Ticker</t>
  </si>
  <si>
    <t>Date</t>
  </si>
  <si>
    <t>End of FY</t>
  </si>
  <si>
    <t>Base Case</t>
  </si>
  <si>
    <t>Assuptions</t>
  </si>
  <si>
    <t>Year</t>
  </si>
  <si>
    <t>Metic</t>
  </si>
  <si>
    <t>Valuation</t>
  </si>
  <si>
    <t>Unlevered Free Cashflow</t>
  </si>
  <si>
    <t>Present Value of unlevered FC</t>
  </si>
  <si>
    <t>Sensitivity Analysis</t>
  </si>
  <si>
    <t>Q125</t>
  </si>
  <si>
    <t>Q225</t>
  </si>
  <si>
    <t>Q325</t>
  </si>
  <si>
    <t>Q425</t>
  </si>
  <si>
    <t>numbers in mio USD</t>
  </si>
  <si>
    <t xml:space="preserve"> New Balance, Puma, Asics, La Ning, Adidas, Anta</t>
  </si>
  <si>
    <t>OPEX</t>
  </si>
  <si>
    <t>Footwear Growth</t>
  </si>
  <si>
    <t>Appereal Growth</t>
  </si>
  <si>
    <t>Equipment Growth</t>
  </si>
  <si>
    <t>Global Brands Growth</t>
  </si>
  <si>
    <t>Nike Brands Growth</t>
  </si>
  <si>
    <t>Converse Growth</t>
  </si>
  <si>
    <t>Cost of Capital</t>
  </si>
  <si>
    <t>Cost of Equity (CAPM)</t>
  </si>
  <si>
    <t>Riskfree Rate</t>
  </si>
  <si>
    <t>Expected Inflation</t>
  </si>
  <si>
    <t>=(1+Nominal Rate)/(1+Real Rate)-1</t>
  </si>
  <si>
    <t>Average Real Interest Rate</t>
  </si>
  <si>
    <t>= Average Interest Rate of the Past</t>
  </si>
  <si>
    <t>=Goverment Bond or Expected Inflation + Average Real Interest Rate</t>
  </si>
  <si>
    <t>Adjustments for Industry/Company Risk</t>
  </si>
  <si>
    <t xml:space="preserve">Raw Beta </t>
  </si>
  <si>
    <t>=Raw beta slope of regression line aginst total market -&gt; Ri= alpha + beta*Rm + standard error</t>
  </si>
  <si>
    <t>Debt to Value Ratio</t>
  </si>
  <si>
    <t>Value of Debt/Enterpries Value</t>
  </si>
  <si>
    <t>Unlevered Beta</t>
  </si>
  <si>
    <t>= Raw Beta* Debt-to-Equity Ratio (Book Value)</t>
  </si>
  <si>
    <t>Unlevered Industry Beta</t>
  </si>
  <si>
    <t>=Median of Peer Group</t>
  </si>
  <si>
    <t>Levered Industry Beta</t>
  </si>
  <si>
    <t>=Unlevered Industry Beta * Market Value of Debt to Market Value of Equity</t>
  </si>
  <si>
    <t>Expected Equity Risk Premium</t>
  </si>
  <si>
    <t>Estimated Future Market Return</t>
  </si>
  <si>
    <t>= 1/P/E * (1.g/ROE) + g , g = real growth in GDP, P/E =&gt; P/E ratio for S&amp;P500 or MSCI World Index, ROE = Average ROE in S&amp;P500 or MSCI World</t>
  </si>
  <si>
    <t>=&gt; ER(i)=rf+beta(i)*(Er(m)-rf)</t>
  </si>
  <si>
    <t>Cost of Debt</t>
  </si>
  <si>
    <t>Yield to Maturity on Trading Bonds</t>
  </si>
  <si>
    <t>=&gt; Price = Coupon/(1+YTM)+Coupon(1+YTM)^2 + … + (Face Value + Coupon)/(1+YTM)^n =&gt; solve for YTM</t>
  </si>
  <si>
    <t>or</t>
  </si>
  <si>
    <t>Credit Default Spread</t>
  </si>
  <si>
    <t>Country Rsik Premium</t>
  </si>
  <si>
    <t>Capital Structure</t>
  </si>
  <si>
    <t>Market Value of Debt</t>
  </si>
  <si>
    <t xml:space="preserve">Market Value of Equity </t>
  </si>
  <si>
    <t>Total  Enterprise Value</t>
  </si>
  <si>
    <t>Marginal Tax Rate</t>
  </si>
  <si>
    <t>=&gt; WACC = (D/D+E)*kd * (1-t) + (E/D+E) * ke</t>
  </si>
  <si>
    <t>Change</t>
  </si>
  <si>
    <t>SPX IDX</t>
  </si>
  <si>
    <t>NKE EQ</t>
  </si>
  <si>
    <t>Q126</t>
  </si>
  <si>
    <t>Q226</t>
  </si>
  <si>
    <t>Q326</t>
  </si>
  <si>
    <t>Q426</t>
  </si>
  <si>
    <t>Adidas, New Balance, Puma, Lulu Lemon, UA</t>
  </si>
  <si>
    <t>FQ426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</si>
</sst>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;[Red]#,##0.0"/>
    <numFmt numFmtId="165" formatCode="0.000"/>
    <numFmt numFmtId="166" formatCode="0.0%"/>
    <numFmt numFmtId="167" formatCode="&quot;FY&quot;0&quot;A&quot;"/>
    <numFmt numFmtId="168" formatCode="&quot;FY&quot;0&quot;E&quot;"/>
    <numFmt numFmtId="169" formatCode="#,##0.0;\(#,##0.0\)"/>
    <numFmt numFmtId="170" formatCode="0.0"/>
    <numFmt numFmtId="171" formatCode="#,##0;[Red]#,##0"/>
    <numFmt numFmtId="172" formatCode="#,##0;\(#,##0\)"/>
    <numFmt numFmtId="173" formatCode="#,##0.00;\(#,##0.00\)"/>
    <numFmt numFmtId="174" formatCode="yyyy\-mm\-dd"/>
  </numFmts>
  <fonts count="1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0" tint="-0.1499984740745262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1E9D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88">
    <xf numFmtId="0" fontId="0" fillId="0" borderId="0" xfId="0"/>
    <xf numFmtId="0" fontId="7" fillId="0" borderId="0" xfId="0" applyFont="1"/>
    <xf numFmtId="0" fontId="11" fillId="0" borderId="0" xfId="2" applyFont="1"/>
    <xf numFmtId="0" fontId="4" fillId="0" borderId="0" xfId="0" applyFont="1"/>
    <xf numFmtId="0" fontId="4" fillId="0" borderId="0" xfId="0" applyFont="1" applyAlignment="1">
      <alignment horizontal="right"/>
    </xf>
    <xf numFmtId="172" fontId="4" fillId="0" borderId="0" xfId="0" applyNumberFormat="1" applyFont="1"/>
    <xf numFmtId="0" fontId="9" fillId="0" borderId="0" xfId="0" applyFont="1"/>
    <xf numFmtId="0" fontId="4" fillId="0" borderId="0" xfId="0" applyFont="1" applyAlignment="1">
      <alignment horizontal="center"/>
    </xf>
    <xf numFmtId="172" fontId="9" fillId="0" borderId="0" xfId="0" applyNumberFormat="1" applyFont="1"/>
    <xf numFmtId="173" fontId="4" fillId="0" borderId="0" xfId="0" applyNumberFormat="1" applyFont="1"/>
    <xf numFmtId="9" fontId="4" fillId="0" borderId="0" xfId="1" applyFont="1"/>
    <xf numFmtId="164" fontId="4" fillId="0" borderId="0" xfId="0" applyNumberFormat="1" applyFont="1"/>
    <xf numFmtId="9" fontId="9" fillId="0" borderId="0" xfId="1" applyFont="1" applyAlignment="1">
      <alignment horizontal="right"/>
    </xf>
    <xf numFmtId="9" fontId="9" fillId="0" borderId="0" xfId="1" applyFont="1"/>
    <xf numFmtId="171" fontId="4" fillId="0" borderId="0" xfId="0" applyNumberFormat="1" applyFont="1"/>
    <xf numFmtId="0" fontId="12" fillId="0" borderId="0" xfId="0" applyFont="1"/>
    <xf numFmtId="17" fontId="4" fillId="0" borderId="0" xfId="0" applyNumberFormat="1" applyFont="1"/>
    <xf numFmtId="0" fontId="9" fillId="0" borderId="0" xfId="0" applyFont="1" applyAlignment="1">
      <alignment horizontal="center"/>
    </xf>
    <xf numFmtId="0" fontId="13" fillId="0" borderId="0" xfId="0" applyFont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1" xfId="0" applyFont="1" applyBorder="1"/>
    <xf numFmtId="9" fontId="4" fillId="0" borderId="0" xfId="0" applyNumberFormat="1" applyFont="1"/>
    <xf numFmtId="0" fontId="4" fillId="0" borderId="2" xfId="0" applyFont="1" applyBorder="1"/>
    <xf numFmtId="0" fontId="4" fillId="0" borderId="3" xfId="0" applyFont="1" applyBorder="1"/>
    <xf numFmtId="9" fontId="4" fillId="0" borderId="4" xfId="0" applyNumberFormat="1" applyFont="1" applyBorder="1"/>
    <xf numFmtId="0" fontId="4" fillId="0" borderId="4" xfId="0" applyFont="1" applyBorder="1"/>
    <xf numFmtId="0" fontId="4" fillId="0" borderId="5" xfId="0" applyFont="1" applyBorder="1"/>
    <xf numFmtId="10" fontId="4" fillId="0" borderId="0" xfId="0" applyNumberFormat="1" applyFont="1"/>
    <xf numFmtId="2" fontId="4" fillId="0" borderId="0" xfId="0" applyNumberFormat="1" applyFont="1"/>
    <xf numFmtId="165" fontId="4" fillId="0" borderId="0" xfId="0" applyNumberFormat="1" applyFont="1"/>
    <xf numFmtId="0" fontId="9" fillId="0" borderId="4" xfId="0" applyFont="1" applyBorder="1"/>
    <xf numFmtId="0" fontId="4" fillId="0" borderId="9" xfId="0" applyFont="1" applyBorder="1"/>
    <xf numFmtId="0" fontId="4" fillId="2" borderId="10" xfId="0" applyFont="1" applyFill="1" applyBorder="1" applyAlignment="1">
      <alignment horizontal="center"/>
    </xf>
    <xf numFmtId="14" fontId="4" fillId="2" borderId="10" xfId="0" applyNumberFormat="1" applyFont="1" applyFill="1" applyBorder="1" applyAlignment="1">
      <alignment horizontal="center"/>
    </xf>
    <xf numFmtId="2" fontId="4" fillId="2" borderId="10" xfId="0" applyNumberFormat="1" applyFont="1" applyFill="1" applyBorder="1" applyAlignment="1">
      <alignment horizontal="center"/>
    </xf>
    <xf numFmtId="14" fontId="4" fillId="2" borderId="11" xfId="0" applyNumberFormat="1" applyFont="1" applyFill="1" applyBorder="1" applyAlignment="1">
      <alignment horizontal="center"/>
    </xf>
    <xf numFmtId="9" fontId="4" fillId="2" borderId="11" xfId="1" applyFont="1" applyFill="1" applyBorder="1" applyAlignment="1">
      <alignment horizontal="center"/>
    </xf>
    <xf numFmtId="0" fontId="8" fillId="3" borderId="0" xfId="0" applyFont="1" applyFill="1"/>
    <xf numFmtId="0" fontId="8" fillId="4" borderId="0" xfId="0" applyFont="1" applyFill="1"/>
    <xf numFmtId="0" fontId="10" fillId="4" borderId="0" xfId="0" applyFont="1" applyFill="1"/>
    <xf numFmtId="0" fontId="4" fillId="2" borderId="11" xfId="0" applyFont="1" applyFill="1" applyBorder="1" applyAlignment="1">
      <alignment horizontal="center"/>
    </xf>
    <xf numFmtId="166" fontId="4" fillId="2" borderId="11" xfId="1" applyNumberFormat="1" applyFont="1" applyFill="1" applyBorder="1" applyAlignment="1">
      <alignment horizontal="center"/>
    </xf>
    <xf numFmtId="167" fontId="8" fillId="3" borderId="0" xfId="0" applyNumberFormat="1" applyFont="1" applyFill="1"/>
    <xf numFmtId="168" fontId="8" fillId="3" borderId="0" xfId="0" applyNumberFormat="1" applyFont="1" applyFill="1"/>
    <xf numFmtId="0" fontId="14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14" fillId="0" borderId="0" xfId="0" applyFont="1"/>
    <xf numFmtId="9" fontId="14" fillId="0" borderId="0" xfId="1" applyFont="1"/>
    <xf numFmtId="166" fontId="4" fillId="2" borderId="11" xfId="1" applyNumberFormat="1" applyFont="1" applyFill="1" applyBorder="1" applyAlignment="1">
      <alignment horizontal="right"/>
    </xf>
    <xf numFmtId="0" fontId="9" fillId="5" borderId="6" xfId="0" applyFont="1" applyFill="1" applyBorder="1"/>
    <xf numFmtId="0" fontId="9" fillId="5" borderId="7" xfId="0" applyFont="1" applyFill="1" applyBorder="1"/>
    <xf numFmtId="164" fontId="9" fillId="5" borderId="7" xfId="0" applyNumberFormat="1" applyFont="1" applyFill="1" applyBorder="1"/>
    <xf numFmtId="164" fontId="9" fillId="5" borderId="8" xfId="0" applyNumberFormat="1" applyFont="1" applyFill="1" applyBorder="1"/>
    <xf numFmtId="169" fontId="4" fillId="0" borderId="0" xfId="0" applyNumberFormat="1" applyFont="1"/>
    <xf numFmtId="166" fontId="14" fillId="0" borderId="0" xfId="1" applyNumberFormat="1" applyFont="1"/>
    <xf numFmtId="166" fontId="14" fillId="0" borderId="0" xfId="0" applyNumberFormat="1" applyFont="1"/>
    <xf numFmtId="164" fontId="9" fillId="5" borderId="12" xfId="0" applyNumberFormat="1" applyFont="1" applyFill="1" applyBorder="1"/>
    <xf numFmtId="164" fontId="9" fillId="5" borderId="13" xfId="0" applyNumberFormat="1" applyFont="1" applyFill="1" applyBorder="1"/>
    <xf numFmtId="164" fontId="9" fillId="5" borderId="14" xfId="0" applyNumberFormat="1" applyFont="1" applyFill="1" applyBorder="1"/>
    <xf numFmtId="164" fontId="9" fillId="5" borderId="3" xfId="0" applyNumberFormat="1" applyFont="1" applyFill="1" applyBorder="1"/>
    <xf numFmtId="164" fontId="9" fillId="5" borderId="4" xfId="0" applyNumberFormat="1" applyFont="1" applyFill="1" applyBorder="1"/>
    <xf numFmtId="164" fontId="9" fillId="5" borderId="5" xfId="0" applyNumberFormat="1" applyFont="1" applyFill="1" applyBorder="1"/>
    <xf numFmtId="164" fontId="4" fillId="0" borderId="4" xfId="0" applyNumberFormat="1" applyFont="1" applyBorder="1"/>
    <xf numFmtId="164" fontId="4" fillId="0" borderId="7" xfId="0" applyNumberFormat="1" applyFont="1" applyBorder="1"/>
    <xf numFmtId="0" fontId="4" fillId="6" borderId="12" xfId="0" applyFont="1" applyFill="1" applyBorder="1"/>
    <xf numFmtId="2" fontId="15" fillId="6" borderId="13" xfId="0" applyNumberFormat="1" applyFont="1" applyFill="1" applyBorder="1"/>
    <xf numFmtId="10" fontId="8" fillId="6" borderId="13" xfId="0" applyNumberFormat="1" applyFont="1" applyFill="1" applyBorder="1"/>
    <xf numFmtId="166" fontId="8" fillId="6" borderId="0" xfId="0" applyNumberFormat="1" applyFont="1" applyFill="1"/>
    <xf numFmtId="170" fontId="4" fillId="0" borderId="0" xfId="0" applyNumberFormat="1" applyFont="1"/>
    <xf numFmtId="166" fontId="4" fillId="0" borderId="0" xfId="1" applyNumberFormat="1" applyFont="1"/>
    <xf numFmtId="0" fontId="4" fillId="0" borderId="0" xfId="0" quotePrefix="1" applyFont="1"/>
    <xf numFmtId="10" fontId="4" fillId="0" borderId="0" xfId="1" applyNumberFormat="1" applyFont="1"/>
    <xf numFmtId="166" fontId="4" fillId="0" borderId="8" xfId="1" applyNumberFormat="1" applyFont="1" applyBorder="1"/>
    <xf numFmtId="10" fontId="4" fillId="0" borderId="8" xfId="0" applyNumberFormat="1" applyFont="1" applyBorder="1"/>
    <xf numFmtId="3" fontId="4" fillId="0" borderId="0" xfId="0" applyNumberFormat="1" applyFont="1"/>
    <xf numFmtId="174" fontId="4" fillId="0" borderId="0" xfId="0" applyNumberFormat="1" applyFont="1"/>
    <xf numFmtId="0" fontId="3" fillId="0" borderId="0" xfId="0" applyFont="1" applyAlignment="1">
      <alignment horizontal="right"/>
    </xf>
    <xf numFmtId="0" fontId="3" fillId="0" borderId="2" xfId="0" applyFont="1" applyBorder="1"/>
    <xf numFmtId="0" fontId="2" fillId="0" borderId="0" xfId="0" applyFont="1" applyAlignment="1">
      <alignment horizontal="right"/>
    </xf>
    <xf numFmtId="0" fontId="9" fillId="6" borderId="13" xfId="0" applyFont="1" applyFill="1" applyBorder="1" applyAlignment="1">
      <alignment horizontal="center"/>
    </xf>
    <xf numFmtId="0" fontId="9" fillId="6" borderId="14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center" vertical="center" textRotation="90"/>
    </xf>
    <xf numFmtId="0" fontId="9" fillId="6" borderId="16" xfId="0" applyFont="1" applyFill="1" applyBorder="1" applyAlignment="1">
      <alignment horizontal="center" vertical="center" textRotation="90"/>
    </xf>
    <xf numFmtId="0" fontId="4" fillId="0" borderId="0" xfId="0" applyFont="1" applyAlignment="1">
      <alignment horizontal="center"/>
    </xf>
    <xf numFmtId="0" fontId="1" fillId="0" borderId="0" xfId="0" applyFont="1"/>
    <xf numFmtId="172" fontId="1" fillId="0" borderId="0" xfId="0" applyNumberFormat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17463</xdr:colOff>
      <xdr:row>0</xdr:row>
      <xdr:rowOff>3177</xdr:rowOff>
    </xdr:from>
    <xdr:to>
      <xdr:col>28</xdr:col>
      <xdr:colOff>17479</xdr:colOff>
      <xdr:row>121</xdr:row>
      <xdr:rowOff>112713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48F9B8E-DE42-FCF0-49CA-EE116372D421}"/>
            </a:ext>
          </a:extLst>
        </xdr:cNvPr>
        <xdr:cNvCxnSpPr/>
      </xdr:nvCxnSpPr>
      <xdr:spPr>
        <a:xfrm flipH="1">
          <a:off x="18048288" y="3177"/>
          <a:ext cx="16" cy="1970246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14286</xdr:colOff>
      <xdr:row>7</xdr:row>
      <xdr:rowOff>90488</xdr:rowOff>
    </xdr:from>
    <xdr:to>
      <xdr:col>18</xdr:col>
      <xdr:colOff>28574</xdr:colOff>
      <xdr:row>31</xdr:row>
      <xdr:rowOff>38101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8D3D88F-E74E-B66D-0C84-BE7BBC5A5106}"/>
            </a:ext>
          </a:extLst>
        </xdr:cNvPr>
        <xdr:cNvCxnSpPr/>
      </xdr:nvCxnSpPr>
      <xdr:spPr>
        <a:xfrm flipH="1">
          <a:off x="12206286" y="1223963"/>
          <a:ext cx="14288" cy="383381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615950</xdr:colOff>
      <xdr:row>1</xdr:row>
      <xdr:rowOff>19050</xdr:rowOff>
    </xdr:from>
    <xdr:to>
      <xdr:col>9</xdr:col>
      <xdr:colOff>6350</xdr:colOff>
      <xdr:row>46</xdr:row>
      <xdr:rowOff>12700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B75950B-692B-77BE-B6AF-94A9BFFFBC9E}"/>
            </a:ext>
          </a:extLst>
        </xdr:cNvPr>
        <xdr:cNvCxnSpPr/>
      </xdr:nvCxnSpPr>
      <xdr:spPr>
        <a:xfrm>
          <a:off x="7086600" y="203200"/>
          <a:ext cx="12700" cy="8280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nvestors.nike.com/Home/default.aspx" TargetMode="External"/><Relationship Id="rId1" Type="http://schemas.openxmlformats.org/officeDocument/2006/relationships/hyperlink" Target="https://www.sec.gov/edgar/browse/?CIK=320187&amp;owner=exclud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5D63-442C-4F04-AE1E-B00C49530224}">
  <dimension ref="A1:J20"/>
  <sheetViews>
    <sheetView topLeftCell="F1" zoomScale="200" zoomScaleNormal="200" workbookViewId="0">
      <selection activeCell="I1" sqref="I1"/>
    </sheetView>
  </sheetViews>
  <sheetFormatPr defaultRowHeight="12.75" x14ac:dyDescent="0.2"/>
  <cols>
    <col min="1" max="1" width="4.140625" style="3" customWidth="1"/>
    <col min="2" max="2" width="20" style="3" customWidth="1"/>
    <col min="3" max="3" width="11" style="3" customWidth="1"/>
    <col min="4" max="4" width="13.7109375" style="3" customWidth="1"/>
    <col min="5" max="5" width="14.140625" style="3" customWidth="1"/>
    <col min="6" max="6" width="45.7109375" style="3" customWidth="1"/>
    <col min="7" max="16384" width="9.140625" style="3"/>
  </cols>
  <sheetData>
    <row r="1" spans="1:10" x14ac:dyDescent="0.2">
      <c r="A1" s="6" t="s">
        <v>12</v>
      </c>
    </row>
    <row r="2" spans="1:10" x14ac:dyDescent="0.2">
      <c r="A2" s="3" t="s">
        <v>230</v>
      </c>
      <c r="E2" s="16"/>
    </row>
    <row r="3" spans="1:10" x14ac:dyDescent="0.2">
      <c r="D3" s="3" t="s">
        <v>165</v>
      </c>
      <c r="E3" s="16">
        <v>37043</v>
      </c>
      <c r="H3" s="3" t="s">
        <v>2</v>
      </c>
      <c r="I3" s="3">
        <v>44.05</v>
      </c>
    </row>
    <row r="4" spans="1:10" x14ac:dyDescent="0.2">
      <c r="B4" s="3" t="s">
        <v>1</v>
      </c>
      <c r="D4" s="3" t="s">
        <v>166</v>
      </c>
      <c r="E4" s="16">
        <v>11444</v>
      </c>
      <c r="H4" s="3" t="s">
        <v>3</v>
      </c>
      <c r="I4" s="5">
        <v>1483.498703</v>
      </c>
      <c r="J4" s="80" t="s">
        <v>282</v>
      </c>
    </row>
    <row r="5" spans="1:10" x14ac:dyDescent="0.2">
      <c r="B5" s="2" t="s">
        <v>8</v>
      </c>
      <c r="D5" s="3" t="s">
        <v>172</v>
      </c>
      <c r="E5" s="4" t="s">
        <v>173</v>
      </c>
      <c r="H5" s="3" t="s">
        <v>4</v>
      </c>
      <c r="I5" s="14">
        <f>I3*I4</f>
        <v>65348.117867149995</v>
      </c>
      <c r="J5" s="4"/>
    </row>
    <row r="6" spans="1:10" x14ac:dyDescent="0.2">
      <c r="B6" s="2" t="s">
        <v>9</v>
      </c>
      <c r="H6" s="3" t="s">
        <v>5</v>
      </c>
      <c r="I6" s="14">
        <f>7563+1464</f>
        <v>9027</v>
      </c>
      <c r="J6" s="80" t="s">
        <v>282</v>
      </c>
    </row>
    <row r="7" spans="1:10" x14ac:dyDescent="0.2">
      <c r="H7" s="3" t="s">
        <v>6</v>
      </c>
      <c r="I7" s="14">
        <f>2000+5942</f>
        <v>7942</v>
      </c>
      <c r="J7" s="80" t="s">
        <v>282</v>
      </c>
    </row>
    <row r="8" spans="1:10" x14ac:dyDescent="0.2">
      <c r="A8" s="17" t="s">
        <v>11</v>
      </c>
      <c r="B8" s="18" t="s">
        <v>167</v>
      </c>
      <c r="H8" s="3" t="s">
        <v>7</v>
      </c>
      <c r="I8" s="14">
        <f>I5+I7-I6</f>
        <v>64263.117867149995</v>
      </c>
    </row>
    <row r="9" spans="1:10" x14ac:dyDescent="0.2">
      <c r="B9" s="19" t="s">
        <v>123</v>
      </c>
      <c r="C9" s="20" t="s">
        <v>162</v>
      </c>
      <c r="D9" s="20" t="s">
        <v>163</v>
      </c>
      <c r="E9" s="20" t="s">
        <v>168</v>
      </c>
      <c r="F9" s="21" t="s">
        <v>164</v>
      </c>
    </row>
    <row r="10" spans="1:10" x14ac:dyDescent="0.2">
      <c r="A10" s="17"/>
      <c r="B10" s="22" t="s">
        <v>94</v>
      </c>
      <c r="C10" s="23">
        <v>0.63</v>
      </c>
      <c r="D10" s="3" t="s">
        <v>177</v>
      </c>
      <c r="E10" s="3" t="s">
        <v>169</v>
      </c>
      <c r="F10" s="24" t="s">
        <v>231</v>
      </c>
      <c r="H10" s="86" t="s">
        <v>157</v>
      </c>
      <c r="I10" s="30">
        <f>+I8/Model!AB22</f>
        <v>16.924708419054515</v>
      </c>
    </row>
    <row r="11" spans="1:10" x14ac:dyDescent="0.2">
      <c r="B11" s="22" t="s">
        <v>95</v>
      </c>
      <c r="C11" s="23">
        <v>0.28000000000000003</v>
      </c>
      <c r="D11" s="3" t="s">
        <v>177</v>
      </c>
      <c r="E11" s="3" t="s">
        <v>169</v>
      </c>
      <c r="F11" s="79" t="s">
        <v>281</v>
      </c>
    </row>
    <row r="12" spans="1:10" x14ac:dyDescent="0.2">
      <c r="B12" s="22" t="s">
        <v>96</v>
      </c>
      <c r="C12" s="23">
        <v>0.04</v>
      </c>
      <c r="D12" s="3" t="s">
        <v>178</v>
      </c>
      <c r="E12" s="3" t="s">
        <v>169</v>
      </c>
      <c r="F12" s="79" t="s">
        <v>281</v>
      </c>
    </row>
    <row r="13" spans="1:10" x14ac:dyDescent="0.2">
      <c r="B13" s="22" t="s">
        <v>124</v>
      </c>
      <c r="C13" s="23">
        <v>0.04</v>
      </c>
      <c r="D13" s="3" t="s">
        <v>124</v>
      </c>
      <c r="E13" s="3" t="s">
        <v>169</v>
      </c>
      <c r="F13" s="24" t="s">
        <v>171</v>
      </c>
    </row>
    <row r="14" spans="1:10" x14ac:dyDescent="0.2">
      <c r="B14" s="25" t="s">
        <v>170</v>
      </c>
      <c r="C14" s="26">
        <v>0.01</v>
      </c>
      <c r="D14" s="27"/>
      <c r="E14" s="27" t="s">
        <v>176</v>
      </c>
      <c r="F14" s="28" t="s">
        <v>176</v>
      </c>
    </row>
    <row r="16" spans="1:10" x14ac:dyDescent="0.2">
      <c r="B16" s="3" t="s">
        <v>93</v>
      </c>
    </row>
    <row r="20" spans="4:4" x14ac:dyDescent="0.2">
      <c r="D20" s="29"/>
    </row>
  </sheetData>
  <hyperlinks>
    <hyperlink ref="B5" r:id="rId1" xr:uid="{C85598AF-59A0-46E0-ACAE-0CD1F0FAD053}"/>
    <hyperlink ref="B6" r:id="rId2" xr:uid="{CE704A82-2373-43ED-9B2A-C061F2A99C0A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3345-3923-4574-87E2-BA625EAF29B3}">
  <dimension ref="A1:AI134"/>
  <sheetViews>
    <sheetView tabSelected="1" zoomScale="200" zoomScaleNormal="200" workbookViewId="0">
      <pane xSplit="2" ySplit="2" topLeftCell="O9" activePane="bottomRight" state="frozen"/>
      <selection pane="topRight" activeCell="C1" sqref="C1"/>
      <selection pane="bottomLeft" activeCell="A3" sqref="A3"/>
      <selection pane="bottomRight" activeCell="R1" sqref="R1"/>
    </sheetView>
  </sheetViews>
  <sheetFormatPr defaultRowHeight="12.75" x14ac:dyDescent="0.2"/>
  <cols>
    <col min="1" max="1" width="4.5703125" style="3" customWidth="1"/>
    <col min="2" max="2" width="37.140625" style="3" customWidth="1"/>
    <col min="3" max="14" width="8.7109375" style="11"/>
    <col min="15" max="18" width="9.140625" style="11"/>
    <col min="19" max="25" width="8.7109375" style="11"/>
    <col min="26" max="26" width="8.28515625" style="11" bestFit="1" customWidth="1"/>
    <col min="27" max="16384" width="9.140625" style="3"/>
  </cols>
  <sheetData>
    <row r="1" spans="1:33" x14ac:dyDescent="0.2">
      <c r="A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33" x14ac:dyDescent="0.2">
      <c r="C2" s="4" t="s">
        <v>18</v>
      </c>
      <c r="D2" s="4" t="s">
        <v>19</v>
      </c>
      <c r="E2" s="4" t="s">
        <v>22</v>
      </c>
      <c r="F2" s="4" t="s">
        <v>23</v>
      </c>
      <c r="G2" s="4" t="s">
        <v>24</v>
      </c>
      <c r="H2" s="4" t="s">
        <v>10</v>
      </c>
      <c r="I2" s="4" t="s">
        <v>21</v>
      </c>
      <c r="J2" s="4" t="s">
        <v>20</v>
      </c>
      <c r="K2" s="4" t="s">
        <v>226</v>
      </c>
      <c r="L2" s="4" t="s">
        <v>227</v>
      </c>
      <c r="M2" s="4" t="s">
        <v>228</v>
      </c>
      <c r="N2" s="4" t="s">
        <v>229</v>
      </c>
      <c r="O2" s="78" t="s">
        <v>277</v>
      </c>
      <c r="P2" s="78" t="s">
        <v>278</v>
      </c>
      <c r="Q2" s="78" t="s">
        <v>279</v>
      </c>
      <c r="R2" s="78" t="s">
        <v>280</v>
      </c>
      <c r="S2" s="4"/>
      <c r="T2" s="4" t="s">
        <v>13</v>
      </c>
      <c r="U2" s="4" t="s">
        <v>14</v>
      </c>
      <c r="V2" s="4" t="s">
        <v>15</v>
      </c>
      <c r="W2" s="4" t="s">
        <v>36</v>
      </c>
      <c r="X2" s="4" t="s">
        <v>37</v>
      </c>
      <c r="Y2" s="4" t="s">
        <v>16</v>
      </c>
      <c r="Z2" s="4" t="s">
        <v>17</v>
      </c>
      <c r="AA2" s="4" t="s">
        <v>119</v>
      </c>
      <c r="AB2" s="4" t="s">
        <v>120</v>
      </c>
      <c r="AC2" s="4" t="s">
        <v>121</v>
      </c>
      <c r="AD2" s="4" t="s">
        <v>122</v>
      </c>
    </row>
    <row r="3" spans="1:33" x14ac:dyDescent="0.2">
      <c r="B3" s="3" t="s">
        <v>209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>
        <v>392</v>
      </c>
      <c r="U3" s="5">
        <v>384</v>
      </c>
      <c r="V3" s="5">
        <v>338</v>
      </c>
      <c r="W3" s="5">
        <v>325</v>
      </c>
      <c r="X3" s="5">
        <v>344</v>
      </c>
      <c r="Y3" s="5">
        <v>369</v>
      </c>
      <c r="Z3" s="5">
        <v>377</v>
      </c>
      <c r="AA3" s="5">
        <v>376</v>
      </c>
      <c r="AB3" s="5">
        <v>347</v>
      </c>
      <c r="AC3" s="5"/>
      <c r="AD3" s="5"/>
      <c r="AE3" s="5"/>
      <c r="AF3" s="5"/>
      <c r="AG3" s="5"/>
    </row>
    <row r="4" spans="1:33" x14ac:dyDescent="0.2">
      <c r="B4" s="3" t="s">
        <v>210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>
        <v>790</v>
      </c>
      <c r="U4" s="5">
        <v>768</v>
      </c>
      <c r="V4" s="5">
        <v>758</v>
      </c>
      <c r="W4" s="5">
        <v>723</v>
      </c>
      <c r="X4" s="5">
        <v>702</v>
      </c>
      <c r="Y4" s="5">
        <v>663</v>
      </c>
      <c r="Z4" s="5">
        <v>668</v>
      </c>
      <c r="AA4" s="5">
        <v>658</v>
      </c>
      <c r="AB4" s="5">
        <v>641</v>
      </c>
      <c r="AC4" s="5"/>
      <c r="AD4" s="5"/>
      <c r="AE4" s="5"/>
      <c r="AF4" s="5"/>
      <c r="AG4" s="5"/>
    </row>
    <row r="5" spans="1:33" x14ac:dyDescent="0.2">
      <c r="B5" s="6" t="s">
        <v>211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8">
        <f t="shared" ref="T5:X5" si="0">SUM(T3:T4)</f>
        <v>1182</v>
      </c>
      <c r="U5" s="8">
        <f t="shared" si="0"/>
        <v>1152</v>
      </c>
      <c r="V5" s="8">
        <f t="shared" si="0"/>
        <v>1096</v>
      </c>
      <c r="W5" s="8">
        <f t="shared" si="0"/>
        <v>1048</v>
      </c>
      <c r="X5" s="8">
        <f t="shared" si="0"/>
        <v>1046</v>
      </c>
      <c r="Y5" s="8">
        <f>SUM(Y3:Y4)</f>
        <v>1032</v>
      </c>
      <c r="Z5" s="8">
        <f>SUM(Z3:Z4)</f>
        <v>1045</v>
      </c>
      <c r="AA5" s="8">
        <f>SUM(AA3:AA4)</f>
        <v>1034</v>
      </c>
      <c r="AB5" s="8">
        <f>SUM(AB3:AB4)</f>
        <v>988</v>
      </c>
      <c r="AC5" s="5"/>
      <c r="AD5" s="5"/>
      <c r="AE5" s="5"/>
      <c r="AF5" s="5"/>
      <c r="AG5" s="5"/>
    </row>
    <row r="6" spans="1:33" x14ac:dyDescent="0.2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x14ac:dyDescent="0.2">
      <c r="B7" s="3" t="s">
        <v>212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f>10159+6765+3216+3829</f>
        <v>23969</v>
      </c>
      <c r="U7" s="5">
        <f t="shared" ref="U7:Z7" si="1">U16*U32</f>
        <v>26599.56</v>
      </c>
      <c r="V7" s="5">
        <f t="shared" si="1"/>
        <v>24311.95</v>
      </c>
      <c r="W7" s="5">
        <f t="shared" si="1"/>
        <v>27168.18</v>
      </c>
      <c r="X7" s="5">
        <f t="shared" si="1"/>
        <v>27091.8</v>
      </c>
      <c r="Y7" s="5">
        <f t="shared" si="1"/>
        <v>22535.48</v>
      </c>
      <c r="Z7" s="5">
        <f t="shared" si="1"/>
        <v>22599.279999999999</v>
      </c>
      <c r="AA7" s="5">
        <f>18783+48</f>
        <v>18831</v>
      </c>
      <c r="AB7" s="5">
        <v>17720</v>
      </c>
      <c r="AC7" s="5"/>
      <c r="AD7" s="5"/>
      <c r="AE7" s="5"/>
      <c r="AF7" s="5"/>
      <c r="AG7" s="5"/>
    </row>
    <row r="8" spans="1:33" x14ac:dyDescent="0.2">
      <c r="B8" s="3" t="s">
        <v>213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f>T16-T7</f>
        <v>12428</v>
      </c>
      <c r="U8" s="5">
        <f t="shared" ref="U8:Z8" si="2">U16*U33</f>
        <v>12517.44</v>
      </c>
      <c r="V8" s="5">
        <f t="shared" si="2"/>
        <v>13091.05</v>
      </c>
      <c r="W8" s="5">
        <f t="shared" si="2"/>
        <v>17369.82</v>
      </c>
      <c r="X8" s="5">
        <f t="shared" si="2"/>
        <v>19618.2</v>
      </c>
      <c r="Y8" s="5">
        <f t="shared" si="2"/>
        <v>28681.520000000004</v>
      </c>
      <c r="Z8" s="5">
        <f t="shared" si="2"/>
        <v>28762.720000000001</v>
      </c>
      <c r="AA8" s="5">
        <v>25883</v>
      </c>
      <c r="AB8" s="5">
        <v>27453</v>
      </c>
      <c r="AC8" s="5"/>
      <c r="AD8" s="5"/>
      <c r="AE8" s="5"/>
      <c r="AF8" s="5"/>
      <c r="AG8" s="5"/>
    </row>
    <row r="9" spans="1:33" x14ac:dyDescent="0.2">
      <c r="A9" s="7"/>
      <c r="B9" s="3" t="s">
        <v>94</v>
      </c>
      <c r="C9" s="5">
        <v>8114</v>
      </c>
      <c r="D9" s="5">
        <v>8504</v>
      </c>
      <c r="E9" s="5">
        <v>7970</v>
      </c>
      <c r="F9" s="5">
        <f t="shared" ref="F9:F12" si="3">X9-SUM(C9:E9)</f>
        <v>4555</v>
      </c>
      <c r="G9" s="5">
        <v>8421</v>
      </c>
      <c r="H9" s="5">
        <v>8607</v>
      </c>
      <c r="I9" s="5">
        <v>8162</v>
      </c>
      <c r="J9" s="5">
        <v>8237</v>
      </c>
      <c r="K9" s="5">
        <v>7462</v>
      </c>
      <c r="L9" s="5">
        <v>7655</v>
      </c>
      <c r="M9" s="5">
        <v>7208</v>
      </c>
      <c r="N9" s="5">
        <v>7185</v>
      </c>
      <c r="O9" s="5">
        <v>7410</v>
      </c>
      <c r="P9" s="5">
        <v>7659</v>
      </c>
      <c r="Q9" s="5">
        <v>7353</v>
      </c>
      <c r="R9" s="5">
        <f>+AB9-SUM(O9:Q9)</f>
        <v>7103</v>
      </c>
      <c r="S9" s="5"/>
      <c r="T9" s="5">
        <v>22268</v>
      </c>
      <c r="U9" s="5">
        <v>24222</v>
      </c>
      <c r="V9" s="5">
        <v>23305</v>
      </c>
      <c r="W9" s="5">
        <v>28021</v>
      </c>
      <c r="X9" s="5">
        <v>29143</v>
      </c>
      <c r="Y9" s="5">
        <v>33135</v>
      </c>
      <c r="Z9" s="5">
        <f>SUM(G9:J9)</f>
        <v>33427</v>
      </c>
      <c r="AA9" s="5">
        <f>+SUM(K9:N9)</f>
        <v>29510</v>
      </c>
      <c r="AB9" s="5">
        <v>29525</v>
      </c>
      <c r="AC9" s="5"/>
      <c r="AD9" s="5"/>
      <c r="AE9" s="5"/>
      <c r="AF9" s="5"/>
      <c r="AG9" s="5"/>
    </row>
    <row r="10" spans="1:33" x14ac:dyDescent="0.2">
      <c r="A10" s="7"/>
      <c r="B10" s="3" t="s">
        <v>95</v>
      </c>
      <c r="C10" s="5">
        <v>3434</v>
      </c>
      <c r="D10" s="5">
        <v>3794</v>
      </c>
      <c r="E10" s="5">
        <v>3381</v>
      </c>
      <c r="F10" s="5">
        <f t="shared" si="3"/>
        <v>2958</v>
      </c>
      <c r="G10" s="5">
        <v>3388</v>
      </c>
      <c r="H10" s="5">
        <v>3774</v>
      </c>
      <c r="I10" s="5">
        <v>3290</v>
      </c>
      <c r="J10" s="5">
        <v>3323</v>
      </c>
      <c r="K10" s="5">
        <v>3032</v>
      </c>
      <c r="L10" s="5">
        <v>3738</v>
      </c>
      <c r="M10" s="5">
        <v>3193</v>
      </c>
      <c r="N10" s="5">
        <v>3002</v>
      </c>
      <c r="O10" s="5">
        <v>3313</v>
      </c>
      <c r="P10" s="5">
        <v>3906</v>
      </c>
      <c r="Q10" s="5">
        <v>3184</v>
      </c>
      <c r="R10" s="5">
        <f t="shared" ref="R10:R15" si="4">+AB10-SUM(O10:Q10)</f>
        <v>3046</v>
      </c>
      <c r="S10" s="5"/>
      <c r="T10" s="5">
        <v>10733</v>
      </c>
      <c r="U10" s="5">
        <v>11550</v>
      </c>
      <c r="V10" s="5">
        <v>10953</v>
      </c>
      <c r="W10" s="5">
        <v>12865</v>
      </c>
      <c r="X10" s="5">
        <v>13567</v>
      </c>
      <c r="Y10" s="5">
        <v>13843</v>
      </c>
      <c r="Z10" s="5">
        <f t="shared" ref="Z10:Z12" si="5">SUM(G10:J10)</f>
        <v>13775</v>
      </c>
      <c r="AA10" s="5">
        <f t="shared" ref="AA10:AB26" si="6">+SUM(K10:N10)</f>
        <v>12965</v>
      </c>
      <c r="AB10" s="5">
        <v>13449</v>
      </c>
      <c r="AC10" s="5"/>
      <c r="AD10" s="5"/>
      <c r="AE10" s="5"/>
      <c r="AF10" s="5"/>
      <c r="AG10" s="5"/>
    </row>
    <row r="11" spans="1:33" x14ac:dyDescent="0.2">
      <c r="A11" s="7"/>
      <c r="B11" s="3" t="s">
        <v>96</v>
      </c>
      <c r="C11" s="5">
        <v>486</v>
      </c>
      <c r="D11" s="5">
        <v>408</v>
      </c>
      <c r="E11" s="5">
        <v>403</v>
      </c>
      <c r="F11" s="5">
        <f t="shared" si="3"/>
        <v>327</v>
      </c>
      <c r="G11" s="5">
        <v>531</v>
      </c>
      <c r="H11" s="5">
        <v>479</v>
      </c>
      <c r="I11" s="5">
        <v>487</v>
      </c>
      <c r="J11" s="5">
        <v>578</v>
      </c>
      <c r="K11" s="5">
        <v>603</v>
      </c>
      <c r="L11" s="5">
        <v>544</v>
      </c>
      <c r="M11" s="5">
        <v>477</v>
      </c>
      <c r="N11" s="5">
        <v>567</v>
      </c>
      <c r="O11" s="5">
        <v>630</v>
      </c>
      <c r="P11" s="5">
        <v>550</v>
      </c>
      <c r="Q11" s="5">
        <v>468</v>
      </c>
      <c r="R11" s="5">
        <f t="shared" si="4"/>
        <v>551</v>
      </c>
      <c r="S11" s="5"/>
      <c r="T11" s="5">
        <v>1396</v>
      </c>
      <c r="U11" s="5">
        <v>1404</v>
      </c>
      <c r="V11" s="5">
        <v>1280</v>
      </c>
      <c r="W11" s="5">
        <v>1382</v>
      </c>
      <c r="X11" s="5">
        <v>1624</v>
      </c>
      <c r="Y11" s="5">
        <v>1727</v>
      </c>
      <c r="Z11" s="5">
        <f t="shared" si="5"/>
        <v>2075</v>
      </c>
      <c r="AA11" s="5">
        <f t="shared" si="6"/>
        <v>2191</v>
      </c>
      <c r="AB11" s="5">
        <v>2199</v>
      </c>
      <c r="AC11" s="5"/>
      <c r="AD11" s="5"/>
      <c r="AE11" s="5"/>
      <c r="AF11" s="5"/>
      <c r="AG11" s="5"/>
    </row>
    <row r="12" spans="1:33" x14ac:dyDescent="0.2">
      <c r="A12" s="7"/>
      <c r="B12" s="3" t="s">
        <v>97</v>
      </c>
      <c r="C12" s="5">
        <v>14</v>
      </c>
      <c r="D12" s="5">
        <v>18</v>
      </c>
      <c r="E12" s="5">
        <v>12</v>
      </c>
      <c r="F12" s="5">
        <f t="shared" si="3"/>
        <v>58</v>
      </c>
      <c r="G12" s="5">
        <v>13</v>
      </c>
      <c r="H12" s="5">
        <v>12</v>
      </c>
      <c r="I12" s="5">
        <v>9</v>
      </c>
      <c r="J12" s="5">
        <v>11</v>
      </c>
      <c r="K12" s="5">
        <v>14</v>
      </c>
      <c r="L12" s="5">
        <v>13</v>
      </c>
      <c r="M12" s="5">
        <v>12</v>
      </c>
      <c r="N12" s="5">
        <v>9</v>
      </c>
      <c r="O12" s="5">
        <v>9</v>
      </c>
      <c r="P12" s="5">
        <v>9</v>
      </c>
      <c r="Q12" s="5">
        <v>7</v>
      </c>
      <c r="R12" s="5">
        <f t="shared" si="4"/>
        <v>24</v>
      </c>
      <c r="S12" s="5"/>
      <c r="T12" s="5">
        <v>88</v>
      </c>
      <c r="U12" s="5">
        <v>42</v>
      </c>
      <c r="V12" s="5">
        <v>30</v>
      </c>
      <c r="W12" s="5">
        <v>25</v>
      </c>
      <c r="X12" s="5">
        <v>102</v>
      </c>
      <c r="Y12" s="5">
        <v>58</v>
      </c>
      <c r="Z12" s="5">
        <f t="shared" si="5"/>
        <v>45</v>
      </c>
      <c r="AA12" s="5">
        <f t="shared" si="6"/>
        <v>48</v>
      </c>
      <c r="AB12" s="5">
        <v>49</v>
      </c>
      <c r="AC12" s="5"/>
      <c r="AD12" s="5"/>
      <c r="AE12" s="5"/>
      <c r="AF12" s="5"/>
      <c r="AG12" s="5"/>
    </row>
    <row r="13" spans="1:33" x14ac:dyDescent="0.2">
      <c r="A13" s="7"/>
      <c r="B13" s="3" t="s">
        <v>98</v>
      </c>
      <c r="C13" s="5">
        <f t="shared" ref="C13:K13" si="7">SUM(C9:C12)</f>
        <v>12048</v>
      </c>
      <c r="D13" s="5">
        <f t="shared" si="7"/>
        <v>12724</v>
      </c>
      <c r="E13" s="5">
        <f t="shared" si="7"/>
        <v>11766</v>
      </c>
      <c r="F13" s="5">
        <f t="shared" si="7"/>
        <v>7898</v>
      </c>
      <c r="G13" s="5">
        <f t="shared" si="7"/>
        <v>12353</v>
      </c>
      <c r="H13" s="5">
        <f t="shared" si="7"/>
        <v>12872</v>
      </c>
      <c r="I13" s="5">
        <f t="shared" si="7"/>
        <v>11948</v>
      </c>
      <c r="J13" s="5">
        <f t="shared" si="7"/>
        <v>12149</v>
      </c>
      <c r="K13" s="5">
        <f t="shared" si="7"/>
        <v>11111</v>
      </c>
      <c r="L13" s="5">
        <f>+SUM(L9:L12)</f>
        <v>11950</v>
      </c>
      <c r="M13" s="5">
        <v>10890</v>
      </c>
      <c r="N13" s="5">
        <f>+SUM(N9:N12)</f>
        <v>10763</v>
      </c>
      <c r="O13" s="5">
        <f>+SUM(O9:O12)</f>
        <v>11362</v>
      </c>
      <c r="P13" s="5">
        <f>+SUM(P9:P12)</f>
        <v>12124</v>
      </c>
      <c r="Q13" s="5">
        <v>11012</v>
      </c>
      <c r="R13" s="5">
        <f t="shared" si="4"/>
        <v>10724</v>
      </c>
      <c r="S13" s="5"/>
      <c r="T13" s="5">
        <f>+SUM(T9:T12)</f>
        <v>34485</v>
      </c>
      <c r="U13" s="5">
        <f>+SUM(U9:U12)</f>
        <v>37218</v>
      </c>
      <c r="V13" s="5">
        <f>+SUM(V9:V12)</f>
        <v>35568</v>
      </c>
      <c r="W13" s="5">
        <f>+SUM(W9:W12)</f>
        <v>42293</v>
      </c>
      <c r="X13" s="5">
        <f>+SUM(X9:X12)</f>
        <v>44436</v>
      </c>
      <c r="Y13" s="5">
        <f>+SUM(Y9:Y12)</f>
        <v>48763</v>
      </c>
      <c r="Z13" s="5">
        <f>+SUM(Z9:Z12)</f>
        <v>49322</v>
      </c>
      <c r="AA13" s="5">
        <f>+SUM(AA9:AA12)</f>
        <v>44714</v>
      </c>
      <c r="AB13" s="5">
        <f>+SUM(AB9:AB12)</f>
        <v>45222</v>
      </c>
      <c r="AC13" s="5"/>
      <c r="AD13" s="5"/>
      <c r="AE13" s="5"/>
      <c r="AF13" s="5"/>
      <c r="AG13" s="5"/>
    </row>
    <row r="14" spans="1:33" x14ac:dyDescent="0.2">
      <c r="A14" s="7"/>
      <c r="B14" s="3" t="s">
        <v>124</v>
      </c>
      <c r="C14" s="5">
        <v>643</v>
      </c>
      <c r="D14" s="5">
        <v>586</v>
      </c>
      <c r="E14" s="5">
        <v>612</v>
      </c>
      <c r="F14" s="5">
        <f t="shared" ref="F14:F15" si="8">X14-SUM(C14:E14)</f>
        <v>505</v>
      </c>
      <c r="G14" s="5">
        <v>588</v>
      </c>
      <c r="H14" s="5">
        <v>519</v>
      </c>
      <c r="I14" s="5">
        <v>495</v>
      </c>
      <c r="J14" s="5">
        <v>480</v>
      </c>
      <c r="K14" s="5">
        <v>501</v>
      </c>
      <c r="L14" s="5">
        <v>429</v>
      </c>
      <c r="M14" s="5">
        <v>405</v>
      </c>
      <c r="N14" s="5">
        <v>357</v>
      </c>
      <c r="O14" s="5">
        <v>366</v>
      </c>
      <c r="P14" s="5">
        <v>300</v>
      </c>
      <c r="Q14" s="5">
        <v>264</v>
      </c>
      <c r="R14" s="5">
        <f t="shared" si="4"/>
        <v>244</v>
      </c>
      <c r="S14" s="5"/>
      <c r="T14" s="5">
        <v>1886</v>
      </c>
      <c r="U14" s="5">
        <v>1906</v>
      </c>
      <c r="V14" s="5">
        <v>1846</v>
      </c>
      <c r="W14" s="5">
        <v>2205</v>
      </c>
      <c r="X14" s="5">
        <v>2346</v>
      </c>
      <c r="Y14" s="5">
        <v>2427</v>
      </c>
      <c r="Z14" s="5">
        <f>SUM(G14:J14)</f>
        <v>2082</v>
      </c>
      <c r="AA14" s="5">
        <f t="shared" si="6"/>
        <v>1692</v>
      </c>
      <c r="AB14" s="5">
        <v>1174</v>
      </c>
      <c r="AC14" s="5"/>
      <c r="AD14" s="5"/>
      <c r="AE14" s="5"/>
      <c r="AF14" s="5"/>
      <c r="AG14" s="5"/>
    </row>
    <row r="15" spans="1:33" x14ac:dyDescent="0.2">
      <c r="A15" s="7"/>
      <c r="B15" s="3" t="s">
        <v>100</v>
      </c>
      <c r="C15" s="5">
        <v>-4</v>
      </c>
      <c r="D15" s="5">
        <v>5</v>
      </c>
      <c r="E15" s="5">
        <v>12</v>
      </c>
      <c r="F15" s="5">
        <f t="shared" si="8"/>
        <v>-85</v>
      </c>
      <c r="G15" s="5">
        <v>-2</v>
      </c>
      <c r="H15" s="5">
        <v>-3</v>
      </c>
      <c r="I15" s="5">
        <v>-14</v>
      </c>
      <c r="J15" s="5">
        <v>-23</v>
      </c>
      <c r="K15" s="5">
        <v>-23</v>
      </c>
      <c r="L15" s="5">
        <v>-25</v>
      </c>
      <c r="M15" s="5">
        <v>-26</v>
      </c>
      <c r="N15" s="5">
        <v>-23</v>
      </c>
      <c r="O15" s="5">
        <v>-8</v>
      </c>
      <c r="P15" s="5">
        <v>3</v>
      </c>
      <c r="Q15" s="5">
        <v>3</v>
      </c>
      <c r="R15" s="5">
        <f t="shared" si="4"/>
        <v>4</v>
      </c>
      <c r="S15" s="5"/>
      <c r="T15" s="5">
        <v>26</v>
      </c>
      <c r="U15" s="5">
        <v>-7</v>
      </c>
      <c r="V15" s="5">
        <v>-11</v>
      </c>
      <c r="W15" s="5">
        <v>40</v>
      </c>
      <c r="X15" s="5">
        <v>-72</v>
      </c>
      <c r="Y15" s="5">
        <v>27</v>
      </c>
      <c r="Z15" s="5">
        <f>SUM(G15:J15)</f>
        <v>-42</v>
      </c>
      <c r="AA15" s="5">
        <f t="shared" si="6"/>
        <v>-97</v>
      </c>
      <c r="AB15" s="5">
        <v>2</v>
      </c>
      <c r="AC15" s="5"/>
      <c r="AD15" s="5"/>
      <c r="AE15" s="5"/>
      <c r="AF15" s="5"/>
      <c r="AG15" s="5"/>
    </row>
    <row r="16" spans="1:33" x14ac:dyDescent="0.2">
      <c r="B16" s="6" t="s">
        <v>99</v>
      </c>
      <c r="C16" s="8">
        <v>12687</v>
      </c>
      <c r="D16" s="8">
        <v>13315</v>
      </c>
      <c r="E16" s="8">
        <v>12390</v>
      </c>
      <c r="F16" s="8">
        <f>X16-SUM(C16:E16)</f>
        <v>8318</v>
      </c>
      <c r="G16" s="8">
        <v>12939</v>
      </c>
      <c r="H16" s="8">
        <v>13388</v>
      </c>
      <c r="I16" s="8">
        <v>12429</v>
      </c>
      <c r="J16" s="8">
        <v>12606</v>
      </c>
      <c r="K16" s="8">
        <v>11589</v>
      </c>
      <c r="L16" s="8">
        <v>12354</v>
      </c>
      <c r="M16" s="8">
        <v>11269</v>
      </c>
      <c r="N16" s="8">
        <v>11097</v>
      </c>
      <c r="O16" s="8">
        <v>11720</v>
      </c>
      <c r="P16" s="8">
        <v>12427</v>
      </c>
      <c r="Q16" s="8">
        <v>11279</v>
      </c>
      <c r="R16" s="8">
        <v>10972</v>
      </c>
      <c r="S16" s="8"/>
      <c r="T16" s="8">
        <v>36397</v>
      </c>
      <c r="U16" s="8">
        <v>39117</v>
      </c>
      <c r="V16" s="8">
        <v>37403</v>
      </c>
      <c r="W16" s="8">
        <v>44538</v>
      </c>
      <c r="X16" s="8">
        <v>46710</v>
      </c>
      <c r="Y16" s="8">
        <v>51217</v>
      </c>
      <c r="Z16" s="8">
        <v>51362</v>
      </c>
      <c r="AA16" s="8">
        <v>46309</v>
      </c>
      <c r="AB16" s="8">
        <v>46398</v>
      </c>
      <c r="AC16" s="5"/>
      <c r="AD16" s="5"/>
      <c r="AE16" s="5"/>
      <c r="AF16" s="5"/>
      <c r="AG16" s="5"/>
    </row>
    <row r="17" spans="1:33" x14ac:dyDescent="0.2">
      <c r="B17" s="3" t="s">
        <v>25</v>
      </c>
      <c r="C17" s="5">
        <v>7072</v>
      </c>
      <c r="D17" s="5">
        <v>7604</v>
      </c>
      <c r="E17" s="5">
        <v>7019</v>
      </c>
      <c r="F17" s="5">
        <f>X17-SUM(C17:E17)</f>
        <v>3536</v>
      </c>
      <c r="G17" s="5">
        <v>7219</v>
      </c>
      <c r="H17" s="5">
        <v>7417</v>
      </c>
      <c r="I17" s="5">
        <v>6867</v>
      </c>
      <c r="J17" s="5">
        <v>6972</v>
      </c>
      <c r="K17" s="5">
        <v>6332</v>
      </c>
      <c r="L17" s="5">
        <v>6965</v>
      </c>
      <c r="M17" s="5">
        <v>6594</v>
      </c>
      <c r="N17" s="5">
        <v>6628</v>
      </c>
      <c r="O17" s="5">
        <v>6777</v>
      </c>
      <c r="P17" s="5">
        <v>7382</v>
      </c>
      <c r="Q17" s="5">
        <v>6749</v>
      </c>
      <c r="R17" s="5">
        <v>5579</v>
      </c>
      <c r="S17" s="5"/>
      <c r="T17" s="5">
        <v>20441</v>
      </c>
      <c r="U17" s="5">
        <v>21643</v>
      </c>
      <c r="V17" s="5">
        <v>21162</v>
      </c>
      <c r="W17" s="5">
        <v>24576</v>
      </c>
      <c r="X17" s="5">
        <v>25231</v>
      </c>
      <c r="Y17" s="5">
        <v>28925</v>
      </c>
      <c r="Z17" s="5">
        <f>SUM(G17:J17)</f>
        <v>28475</v>
      </c>
      <c r="AA17" s="5">
        <f t="shared" si="6"/>
        <v>26519</v>
      </c>
      <c r="AB17" s="5">
        <v>26487</v>
      </c>
      <c r="AC17" s="5"/>
      <c r="AD17" s="5"/>
      <c r="AE17" s="5"/>
      <c r="AF17" s="5"/>
      <c r="AG17" s="5"/>
    </row>
    <row r="18" spans="1:33" x14ac:dyDescent="0.2">
      <c r="B18" s="3" t="s">
        <v>26</v>
      </c>
      <c r="C18" s="5">
        <f t="shared" ref="C18:G18" si="9">C16-C17</f>
        <v>5615</v>
      </c>
      <c r="D18" s="5">
        <f t="shared" si="9"/>
        <v>5711</v>
      </c>
      <c r="E18" s="5">
        <f t="shared" si="9"/>
        <v>5371</v>
      </c>
      <c r="F18" s="5">
        <f t="shared" si="9"/>
        <v>4782</v>
      </c>
      <c r="G18" s="5">
        <f t="shared" si="9"/>
        <v>5720</v>
      </c>
      <c r="H18" s="5">
        <f t="shared" ref="H18:R18" si="10">H16-H17</f>
        <v>5971</v>
      </c>
      <c r="I18" s="5">
        <f t="shared" si="10"/>
        <v>5562</v>
      </c>
      <c r="J18" s="5">
        <f t="shared" si="10"/>
        <v>5634</v>
      </c>
      <c r="K18" s="5">
        <f t="shared" si="10"/>
        <v>5257</v>
      </c>
      <c r="L18" s="5">
        <f t="shared" si="10"/>
        <v>5389</v>
      </c>
      <c r="M18" s="5">
        <f t="shared" si="10"/>
        <v>4675</v>
      </c>
      <c r="N18" s="5">
        <f t="shared" si="10"/>
        <v>4469</v>
      </c>
      <c r="O18" s="5">
        <f t="shared" si="10"/>
        <v>4943</v>
      </c>
      <c r="P18" s="5">
        <f t="shared" si="10"/>
        <v>5045</v>
      </c>
      <c r="Q18" s="5">
        <f t="shared" si="10"/>
        <v>4530</v>
      </c>
      <c r="R18" s="5">
        <f t="shared" si="10"/>
        <v>5393</v>
      </c>
      <c r="S18" s="5"/>
      <c r="T18" s="5">
        <f t="shared" ref="T18:Y18" si="11">T16-T17</f>
        <v>15956</v>
      </c>
      <c r="U18" s="5">
        <f t="shared" si="11"/>
        <v>17474</v>
      </c>
      <c r="V18" s="5">
        <f t="shared" si="11"/>
        <v>16241</v>
      </c>
      <c r="W18" s="5">
        <f t="shared" si="11"/>
        <v>19962</v>
      </c>
      <c r="X18" s="5">
        <f t="shared" si="11"/>
        <v>21479</v>
      </c>
      <c r="Y18" s="5">
        <f t="shared" si="11"/>
        <v>22292</v>
      </c>
      <c r="Z18" s="5">
        <f>Z16-Z17</f>
        <v>22887</v>
      </c>
      <c r="AA18" s="5">
        <f>AA16-AA17</f>
        <v>19790</v>
      </c>
      <c r="AB18" s="5">
        <f>AB16-AB17</f>
        <v>19911</v>
      </c>
      <c r="AC18" s="5"/>
      <c r="AD18" s="5"/>
      <c r="AE18" s="5"/>
      <c r="AF18" s="5"/>
      <c r="AG18" s="5"/>
    </row>
    <row r="19" spans="1:33" x14ac:dyDescent="0.2">
      <c r="B19" s="3" t="s">
        <v>27</v>
      </c>
      <c r="C19" s="5">
        <v>943</v>
      </c>
      <c r="D19" s="5">
        <v>1102</v>
      </c>
      <c r="E19" s="5">
        <v>923</v>
      </c>
      <c r="F19" s="5">
        <f>X19-SUM(C19:E19)</f>
        <v>882</v>
      </c>
      <c r="G19" s="5">
        <v>1069</v>
      </c>
      <c r="H19" s="5">
        <v>1114</v>
      </c>
      <c r="I19" s="5">
        <v>1011</v>
      </c>
      <c r="J19" s="5">
        <v>1091</v>
      </c>
      <c r="K19" s="5">
        <v>1226</v>
      </c>
      <c r="L19" s="5">
        <v>1122</v>
      </c>
      <c r="M19" s="5">
        <v>1088</v>
      </c>
      <c r="N19" s="5">
        <v>1253</v>
      </c>
      <c r="O19" s="5">
        <v>1188</v>
      </c>
      <c r="P19" s="5">
        <v>1273</v>
      </c>
      <c r="Q19" s="5">
        <v>1090</v>
      </c>
      <c r="R19" s="5">
        <v>1203</v>
      </c>
      <c r="S19" s="5"/>
      <c r="T19" s="5">
        <v>3577</v>
      </c>
      <c r="U19" s="5">
        <v>3753</v>
      </c>
      <c r="V19" s="5">
        <v>3592</v>
      </c>
      <c r="W19" s="5">
        <v>3114</v>
      </c>
      <c r="X19" s="5">
        <v>3850</v>
      </c>
      <c r="Y19" s="5">
        <v>4060</v>
      </c>
      <c r="Z19" s="5">
        <f>SUM(G19:J19)</f>
        <v>4285</v>
      </c>
      <c r="AA19" s="5">
        <f t="shared" si="6"/>
        <v>4689</v>
      </c>
      <c r="AB19" s="5">
        <v>4754</v>
      </c>
      <c r="AC19" s="5"/>
      <c r="AD19" s="5"/>
      <c r="AE19" s="5"/>
      <c r="AF19" s="5"/>
      <c r="AG19" s="5"/>
    </row>
    <row r="20" spans="1:33" x14ac:dyDescent="0.2">
      <c r="B20" s="3" t="s">
        <v>28</v>
      </c>
      <c r="C20" s="5">
        <v>2977</v>
      </c>
      <c r="D20" s="5">
        <v>3022</v>
      </c>
      <c r="E20" s="5">
        <v>3036</v>
      </c>
      <c r="F20" s="5">
        <f>X20-SUM(C20:E20)</f>
        <v>1919</v>
      </c>
      <c r="G20" s="5">
        <v>3047</v>
      </c>
      <c r="H20" s="5">
        <v>3032</v>
      </c>
      <c r="I20" s="5">
        <v>3215</v>
      </c>
      <c r="J20" s="5">
        <v>2997</v>
      </c>
      <c r="K20" s="5">
        <v>2822</v>
      </c>
      <c r="L20" s="5">
        <v>2883</v>
      </c>
      <c r="M20" s="5">
        <v>2799</v>
      </c>
      <c r="N20" s="5">
        <v>2895</v>
      </c>
      <c r="O20" s="5">
        <v>2828</v>
      </c>
      <c r="P20" s="5">
        <v>2766</v>
      </c>
      <c r="Q20" s="5">
        <v>2887</v>
      </c>
      <c r="R20" s="5">
        <v>2879</v>
      </c>
      <c r="S20" s="5"/>
      <c r="T20" s="5">
        <v>7934</v>
      </c>
      <c r="U20" s="5">
        <v>8949</v>
      </c>
      <c r="V20" s="5">
        <v>9534</v>
      </c>
      <c r="W20" s="5">
        <v>9911</v>
      </c>
      <c r="X20" s="5">
        <v>10954</v>
      </c>
      <c r="Y20" s="5">
        <v>12317</v>
      </c>
      <c r="Z20" s="5">
        <f>SUM(G20:J20)</f>
        <v>12291</v>
      </c>
      <c r="AA20" s="5">
        <f t="shared" si="6"/>
        <v>11399</v>
      </c>
      <c r="AB20" s="5">
        <v>11360</v>
      </c>
      <c r="AC20" s="5"/>
      <c r="AD20" s="5"/>
      <c r="AE20" s="5"/>
      <c r="AF20" s="5"/>
      <c r="AG20" s="5"/>
    </row>
    <row r="21" spans="1:33" x14ac:dyDescent="0.2">
      <c r="B21" s="3" t="s">
        <v>232</v>
      </c>
      <c r="C21" s="5">
        <f t="shared" ref="C21:G21" si="12">C19+C20</f>
        <v>3920</v>
      </c>
      <c r="D21" s="5">
        <f t="shared" si="12"/>
        <v>4124</v>
      </c>
      <c r="E21" s="5">
        <f t="shared" si="12"/>
        <v>3959</v>
      </c>
      <c r="F21" s="5">
        <f t="shared" si="12"/>
        <v>2801</v>
      </c>
      <c r="G21" s="5">
        <f t="shared" si="12"/>
        <v>4116</v>
      </c>
      <c r="H21" s="5">
        <f>H19+H20</f>
        <v>4146</v>
      </c>
      <c r="I21" s="5">
        <f>I19+I20</f>
        <v>4226</v>
      </c>
      <c r="J21" s="5">
        <f t="shared" ref="J21:R21" si="13">J19+J20</f>
        <v>4088</v>
      </c>
      <c r="K21" s="5">
        <f t="shared" si="13"/>
        <v>4048</v>
      </c>
      <c r="L21" s="5">
        <f t="shared" si="13"/>
        <v>4005</v>
      </c>
      <c r="M21" s="5">
        <f t="shared" si="13"/>
        <v>3887</v>
      </c>
      <c r="N21" s="5">
        <f t="shared" si="13"/>
        <v>4148</v>
      </c>
      <c r="O21" s="5">
        <f t="shared" si="13"/>
        <v>4016</v>
      </c>
      <c r="P21" s="5">
        <f t="shared" si="13"/>
        <v>4039</v>
      </c>
      <c r="Q21" s="5">
        <f t="shared" si="13"/>
        <v>3977</v>
      </c>
      <c r="R21" s="5">
        <f t="shared" si="13"/>
        <v>4082</v>
      </c>
      <c r="S21" s="5"/>
      <c r="T21" s="5">
        <f t="shared" ref="T21" si="14">T19+T20</f>
        <v>11511</v>
      </c>
      <c r="U21" s="5">
        <f t="shared" ref="U21" si="15">U19+U20</f>
        <v>12702</v>
      </c>
      <c r="V21" s="5">
        <f t="shared" ref="V21" si="16">V19+V20</f>
        <v>13126</v>
      </c>
      <c r="W21" s="5">
        <f>W19+W20</f>
        <v>13025</v>
      </c>
      <c r="X21" s="5">
        <f t="shared" ref="X21" si="17">X19+X20</f>
        <v>14804</v>
      </c>
      <c r="Y21" s="5">
        <f t="shared" ref="Y21" si="18">Y19+Y20</f>
        <v>16377</v>
      </c>
      <c r="Z21" s="5">
        <f>Z19+Z20</f>
        <v>16576</v>
      </c>
      <c r="AA21" s="5">
        <f>AA19+AA20</f>
        <v>16088</v>
      </c>
      <c r="AB21" s="5">
        <f>AB19+AB20</f>
        <v>16114</v>
      </c>
      <c r="AC21" s="5"/>
      <c r="AD21" s="5"/>
      <c r="AE21" s="5"/>
      <c r="AF21" s="5"/>
      <c r="AG21" s="5"/>
    </row>
    <row r="22" spans="1:33" x14ac:dyDescent="0.2">
      <c r="B22" s="3" t="s">
        <v>29</v>
      </c>
      <c r="C22" s="5">
        <f t="shared" ref="C22:G22" si="19">C18-C21</f>
        <v>1695</v>
      </c>
      <c r="D22" s="5">
        <f t="shared" si="19"/>
        <v>1587</v>
      </c>
      <c r="E22" s="5">
        <f t="shared" si="19"/>
        <v>1412</v>
      </c>
      <c r="F22" s="5">
        <f t="shared" si="19"/>
        <v>1981</v>
      </c>
      <c r="G22" s="5">
        <f t="shared" si="19"/>
        <v>1604</v>
      </c>
      <c r="H22" s="5">
        <f t="shared" ref="H22:R22" si="20">H18-H21</f>
        <v>1825</v>
      </c>
      <c r="I22" s="5">
        <f t="shared" si="20"/>
        <v>1336</v>
      </c>
      <c r="J22" s="5">
        <f t="shared" si="20"/>
        <v>1546</v>
      </c>
      <c r="K22" s="5">
        <f t="shared" si="20"/>
        <v>1209</v>
      </c>
      <c r="L22" s="5">
        <f t="shared" si="20"/>
        <v>1384</v>
      </c>
      <c r="M22" s="5">
        <f t="shared" si="20"/>
        <v>788</v>
      </c>
      <c r="N22" s="5">
        <f t="shared" si="20"/>
        <v>321</v>
      </c>
      <c r="O22" s="5">
        <f t="shared" si="20"/>
        <v>927</v>
      </c>
      <c r="P22" s="5">
        <f t="shared" si="20"/>
        <v>1006</v>
      </c>
      <c r="Q22" s="5">
        <f t="shared" si="20"/>
        <v>553</v>
      </c>
      <c r="R22" s="5">
        <f t="shared" si="20"/>
        <v>1311</v>
      </c>
      <c r="S22" s="5"/>
      <c r="T22" s="5">
        <f t="shared" ref="T22:Y22" si="21">T18-T21</f>
        <v>4445</v>
      </c>
      <c r="U22" s="5">
        <f t="shared" si="21"/>
        <v>4772</v>
      </c>
      <c r="V22" s="5">
        <f t="shared" si="21"/>
        <v>3115</v>
      </c>
      <c r="W22" s="5">
        <f>W18-W21</f>
        <v>6937</v>
      </c>
      <c r="X22" s="5">
        <f>X18-X21</f>
        <v>6675</v>
      </c>
      <c r="Y22" s="5">
        <f t="shared" si="21"/>
        <v>5915</v>
      </c>
      <c r="Z22" s="5">
        <f>Z18-Z21</f>
        <v>6311</v>
      </c>
      <c r="AA22" s="5">
        <f>AA18-AA21</f>
        <v>3702</v>
      </c>
      <c r="AB22" s="5">
        <f>AB18-AB21</f>
        <v>3797</v>
      </c>
      <c r="AC22" s="5"/>
      <c r="AD22" s="5"/>
      <c r="AE22" s="5"/>
      <c r="AF22" s="5"/>
      <c r="AG22" s="5"/>
    </row>
    <row r="23" spans="1:33" x14ac:dyDescent="0.2">
      <c r="B23" s="3" t="s">
        <v>30</v>
      </c>
      <c r="C23" s="5">
        <v>13</v>
      </c>
      <c r="D23" s="5">
        <v>16</v>
      </c>
      <c r="E23" s="5">
        <v>-7</v>
      </c>
      <c r="F23" s="5">
        <f>X23-SUM(C23:E23)</f>
        <v>183</v>
      </c>
      <c r="G23" s="5">
        <v>-34</v>
      </c>
      <c r="H23" s="5">
        <v>-22</v>
      </c>
      <c r="I23" s="5">
        <v>-52</v>
      </c>
      <c r="J23" s="5">
        <v>-53</v>
      </c>
      <c r="K23" s="5">
        <v>-43</v>
      </c>
      <c r="L23" s="5">
        <v>-24</v>
      </c>
      <c r="M23" s="5">
        <v>-18</v>
      </c>
      <c r="N23" s="5">
        <v>-22</v>
      </c>
      <c r="O23" s="5">
        <v>-18</v>
      </c>
      <c r="P23" s="5">
        <v>-9</v>
      </c>
      <c r="Q23" s="5">
        <v>-15</v>
      </c>
      <c r="R23" s="5">
        <v>-8</v>
      </c>
      <c r="S23" s="5"/>
      <c r="T23" s="5">
        <v>54</v>
      </c>
      <c r="U23" s="5">
        <v>49</v>
      </c>
      <c r="V23" s="5">
        <v>89</v>
      </c>
      <c r="W23" s="5">
        <v>262</v>
      </c>
      <c r="X23" s="5">
        <v>205</v>
      </c>
      <c r="Y23" s="5">
        <v>-6</v>
      </c>
      <c r="Z23" s="5">
        <f>SUM(G23:J23)</f>
        <v>-161</v>
      </c>
      <c r="AA23" s="5">
        <f t="shared" si="6"/>
        <v>-107</v>
      </c>
      <c r="AB23" s="5">
        <v>-50</v>
      </c>
      <c r="AC23" s="5"/>
      <c r="AD23" s="5"/>
      <c r="AE23" s="5"/>
      <c r="AF23" s="5"/>
      <c r="AG23" s="5"/>
    </row>
    <row r="24" spans="1:33" x14ac:dyDescent="0.2">
      <c r="B24" s="3" t="s">
        <v>34</v>
      </c>
      <c r="C24" s="5">
        <v>-146</v>
      </c>
      <c r="D24" s="5">
        <v>-79</v>
      </c>
      <c r="E24" s="5">
        <v>-58</v>
      </c>
      <c r="F24" s="5">
        <f>X24-SUM(C24:E24)</f>
        <v>102</v>
      </c>
      <c r="G24" s="5">
        <v>-10</v>
      </c>
      <c r="H24" s="5">
        <v>-75</v>
      </c>
      <c r="I24" s="5">
        <v>-16</v>
      </c>
      <c r="J24" s="5">
        <v>-127</v>
      </c>
      <c r="K24" s="5">
        <v>-55</v>
      </c>
      <c r="L24" s="5">
        <v>-8</v>
      </c>
      <c r="M24" s="5">
        <v>-38</v>
      </c>
      <c r="N24" s="5">
        <v>25</v>
      </c>
      <c r="O24" s="5">
        <v>23</v>
      </c>
      <c r="P24" s="5">
        <v>16</v>
      </c>
      <c r="Q24" s="5">
        <v>-82</v>
      </c>
      <c r="R24" s="5">
        <v>-10</v>
      </c>
      <c r="S24" s="5"/>
      <c r="T24" s="5">
        <v>66</v>
      </c>
      <c r="U24" s="5">
        <v>-78</v>
      </c>
      <c r="V24" s="5">
        <v>139</v>
      </c>
      <c r="W24" s="5">
        <v>14</v>
      </c>
      <c r="X24" s="5">
        <v>-181</v>
      </c>
      <c r="Y24" s="5">
        <v>-280</v>
      </c>
      <c r="Z24" s="5">
        <f>SUM(G24:J24)</f>
        <v>-228</v>
      </c>
      <c r="AA24" s="5">
        <f t="shared" si="6"/>
        <v>-76</v>
      </c>
      <c r="AB24" s="5">
        <v>-53</v>
      </c>
      <c r="AC24" s="5"/>
      <c r="AD24" s="5"/>
      <c r="AE24" s="5"/>
      <c r="AF24" s="5"/>
      <c r="AG24" s="5"/>
    </row>
    <row r="25" spans="1:33" x14ac:dyDescent="0.2">
      <c r="B25" s="3" t="s">
        <v>31</v>
      </c>
      <c r="C25" s="5">
        <f t="shared" ref="C25:G25" si="22">C22-C23-C24</f>
        <v>1828</v>
      </c>
      <c r="D25" s="5">
        <f t="shared" si="22"/>
        <v>1650</v>
      </c>
      <c r="E25" s="5">
        <f t="shared" si="22"/>
        <v>1477</v>
      </c>
      <c r="F25" s="5">
        <f t="shared" si="22"/>
        <v>1696</v>
      </c>
      <c r="G25" s="5">
        <f t="shared" si="22"/>
        <v>1648</v>
      </c>
      <c r="H25" s="5">
        <f t="shared" ref="H25:R25" si="23">H22-H23-H24</f>
        <v>1922</v>
      </c>
      <c r="I25" s="5">
        <f t="shared" si="23"/>
        <v>1404</v>
      </c>
      <c r="J25" s="5">
        <f t="shared" si="23"/>
        <v>1726</v>
      </c>
      <c r="K25" s="5">
        <f t="shared" si="23"/>
        <v>1307</v>
      </c>
      <c r="L25" s="5">
        <f t="shared" si="23"/>
        <v>1416</v>
      </c>
      <c r="M25" s="5">
        <f t="shared" si="23"/>
        <v>844</v>
      </c>
      <c r="N25" s="5">
        <f t="shared" si="23"/>
        <v>318</v>
      </c>
      <c r="O25" s="5">
        <f t="shared" si="23"/>
        <v>922</v>
      </c>
      <c r="P25" s="5">
        <f t="shared" si="23"/>
        <v>999</v>
      </c>
      <c r="Q25" s="5">
        <f t="shared" si="23"/>
        <v>650</v>
      </c>
      <c r="R25" s="5">
        <f t="shared" si="23"/>
        <v>1329</v>
      </c>
      <c r="S25" s="5"/>
      <c r="T25" s="5">
        <f t="shared" ref="T25:Y25" si="24">T22-T23-T24</f>
        <v>4325</v>
      </c>
      <c r="U25" s="5">
        <f t="shared" si="24"/>
        <v>4801</v>
      </c>
      <c r="V25" s="5">
        <f t="shared" si="24"/>
        <v>2887</v>
      </c>
      <c r="W25" s="5">
        <f t="shared" si="24"/>
        <v>6661</v>
      </c>
      <c r="X25" s="5">
        <f t="shared" si="24"/>
        <v>6651</v>
      </c>
      <c r="Y25" s="5">
        <f t="shared" si="24"/>
        <v>6201</v>
      </c>
      <c r="Z25" s="5">
        <f>Z22-Z23-Z24</f>
        <v>6700</v>
      </c>
      <c r="AA25" s="5">
        <f>AA22-AA23-AA24</f>
        <v>3885</v>
      </c>
      <c r="AB25" s="5">
        <f>AB22-AB23-AB24</f>
        <v>3900</v>
      </c>
      <c r="AC25" s="5"/>
      <c r="AD25" s="5"/>
      <c r="AE25" s="5"/>
      <c r="AF25" s="5"/>
      <c r="AG25" s="5"/>
    </row>
    <row r="26" spans="1:33" x14ac:dyDescent="0.2">
      <c r="B26" s="3" t="s">
        <v>32</v>
      </c>
      <c r="C26" s="5">
        <v>360</v>
      </c>
      <c r="D26" s="5">
        <v>319</v>
      </c>
      <c r="E26" s="5">
        <v>237</v>
      </c>
      <c r="F26" s="5">
        <f>X26-SUM(C26:E26)</f>
        <v>-311</v>
      </c>
      <c r="G26" s="5">
        <v>198</v>
      </c>
      <c r="H26" s="5">
        <v>344</v>
      </c>
      <c r="I26" s="5">
        <v>232</v>
      </c>
      <c r="J26" s="5">
        <v>226</v>
      </c>
      <c r="K26" s="5">
        <v>256</v>
      </c>
      <c r="L26" s="5">
        <v>253</v>
      </c>
      <c r="M26" s="5">
        <v>50</v>
      </c>
      <c r="N26" s="5">
        <v>107</v>
      </c>
      <c r="O26" s="5">
        <v>195</v>
      </c>
      <c r="P26" s="5">
        <v>207</v>
      </c>
      <c r="Q26" s="5">
        <v>130</v>
      </c>
      <c r="R26" s="5">
        <v>260</v>
      </c>
      <c r="S26" s="5"/>
      <c r="T26" s="5">
        <v>2392</v>
      </c>
      <c r="U26" s="5">
        <v>772</v>
      </c>
      <c r="V26" s="5">
        <v>348</v>
      </c>
      <c r="W26" s="5">
        <v>934</v>
      </c>
      <c r="X26" s="5">
        <v>605</v>
      </c>
      <c r="Y26" s="5">
        <v>1131</v>
      </c>
      <c r="Z26" s="5">
        <f>SUM(G26:J26)</f>
        <v>1000</v>
      </c>
      <c r="AA26" s="5">
        <f t="shared" si="6"/>
        <v>666</v>
      </c>
      <c r="AB26" s="5">
        <v>792</v>
      </c>
      <c r="AC26" s="5"/>
      <c r="AD26" s="5"/>
      <c r="AE26" s="5"/>
      <c r="AF26" s="5"/>
      <c r="AG26" s="5"/>
    </row>
    <row r="27" spans="1:33" x14ac:dyDescent="0.2">
      <c r="B27" s="3" t="s">
        <v>33</v>
      </c>
      <c r="C27" s="5">
        <f t="shared" ref="C27:G27" si="25">C25-C26</f>
        <v>1468</v>
      </c>
      <c r="D27" s="5">
        <f t="shared" si="25"/>
        <v>1331</v>
      </c>
      <c r="E27" s="5">
        <f t="shared" si="25"/>
        <v>1240</v>
      </c>
      <c r="F27" s="5">
        <f t="shared" si="25"/>
        <v>2007</v>
      </c>
      <c r="G27" s="5">
        <f t="shared" si="25"/>
        <v>1450</v>
      </c>
      <c r="H27" s="5">
        <f>H25-H26</f>
        <v>1578</v>
      </c>
      <c r="I27" s="5">
        <f>I25-I26</f>
        <v>1172</v>
      </c>
      <c r="J27" s="5">
        <f>J25-J26</f>
        <v>1500</v>
      </c>
      <c r="K27" s="5">
        <f>K25-K26</f>
        <v>1051</v>
      </c>
      <c r="L27" s="5">
        <f t="shared" ref="L27:R27" si="26">L25-L26</f>
        <v>1163</v>
      </c>
      <c r="M27" s="5">
        <f t="shared" si="26"/>
        <v>794</v>
      </c>
      <c r="N27" s="5">
        <f t="shared" si="26"/>
        <v>211</v>
      </c>
      <c r="O27" s="5">
        <f t="shared" si="26"/>
        <v>727</v>
      </c>
      <c r="P27" s="5">
        <f t="shared" si="26"/>
        <v>792</v>
      </c>
      <c r="Q27" s="5">
        <f t="shared" si="26"/>
        <v>520</v>
      </c>
      <c r="R27" s="5">
        <f t="shared" si="26"/>
        <v>1069</v>
      </c>
      <c r="S27" s="5"/>
      <c r="T27" s="5">
        <f t="shared" ref="T27:Y27" si="27">T25-T26</f>
        <v>1933</v>
      </c>
      <c r="U27" s="5">
        <f>U25-U26</f>
        <v>4029</v>
      </c>
      <c r="V27" s="5">
        <f t="shared" si="27"/>
        <v>2539</v>
      </c>
      <c r="W27" s="5">
        <f t="shared" si="27"/>
        <v>5727</v>
      </c>
      <c r="X27" s="5">
        <f t="shared" si="27"/>
        <v>6046</v>
      </c>
      <c r="Y27" s="5">
        <f t="shared" si="27"/>
        <v>5070</v>
      </c>
      <c r="Z27" s="5">
        <f>Z25-Z26</f>
        <v>5700</v>
      </c>
      <c r="AA27" s="5">
        <f>AA25-AA26</f>
        <v>3219</v>
      </c>
      <c r="AB27" s="5">
        <f>AB25-AB26</f>
        <v>3108</v>
      </c>
      <c r="AC27" s="5"/>
      <c r="AD27" s="5"/>
      <c r="AE27" s="5"/>
      <c r="AF27" s="5"/>
      <c r="AG27" s="5"/>
    </row>
    <row r="28" spans="1:33" x14ac:dyDescent="0.2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2">
      <c r="B29" s="3" t="s">
        <v>35</v>
      </c>
      <c r="C29" s="9">
        <f t="shared" ref="C29:R29" si="28">C27/C30</f>
        <v>0.92994376447237848</v>
      </c>
      <c r="D29" s="9">
        <f t="shared" si="28"/>
        <v>0.84315745947734044</v>
      </c>
      <c r="E29" s="9">
        <f t="shared" si="28"/>
        <v>0.78551108170691364</v>
      </c>
      <c r="F29" s="9">
        <f t="shared" si="28"/>
        <v>1.2713876943433675</v>
      </c>
      <c r="G29" s="9">
        <f t="shared" si="28"/>
        <v>0.95275008437176922</v>
      </c>
      <c r="H29" s="9">
        <f t="shared" si="28"/>
        <v>1.0415002416821773</v>
      </c>
      <c r="I29" s="9">
        <f t="shared" si="28"/>
        <v>0.77646747051808662</v>
      </c>
      <c r="J29" s="9">
        <f t="shared" si="28"/>
        <v>0.99469496021220161</v>
      </c>
      <c r="K29" s="9">
        <f t="shared" si="28"/>
        <v>0.70174267209721575</v>
      </c>
      <c r="L29" s="9">
        <f t="shared" si="28"/>
        <v>0.7822168415388755</v>
      </c>
      <c r="M29" s="9">
        <f t="shared" si="28"/>
        <v>0.53717610445842634</v>
      </c>
      <c r="N29" s="9">
        <f t="shared" si="28"/>
        <v>0.14288616509785332</v>
      </c>
      <c r="O29" s="9">
        <f t="shared" si="28"/>
        <v>0.49234728430177438</v>
      </c>
      <c r="P29" s="9">
        <f t="shared" si="28"/>
        <v>0.53531598513011147</v>
      </c>
      <c r="Q29" s="9">
        <f t="shared" si="28"/>
        <v>0.35123269165822357</v>
      </c>
      <c r="R29" s="9">
        <f t="shared" si="28"/>
        <v>0.72103062188048028</v>
      </c>
      <c r="S29" s="5"/>
      <c r="T29" s="9">
        <v>1.19</v>
      </c>
      <c r="U29" s="9">
        <v>2.5499999999999998</v>
      </c>
      <c r="V29" s="9">
        <v>1.63</v>
      </c>
      <c r="W29" s="9">
        <v>3.64</v>
      </c>
      <c r="X29" s="9">
        <v>3.83</v>
      </c>
      <c r="Y29" s="9">
        <v>3.27</v>
      </c>
      <c r="Z29" s="9">
        <f>Z27/Z30</f>
        <v>3.755930416447022</v>
      </c>
      <c r="AA29" s="9">
        <f>AA27/AA30</f>
        <v>2.1679322479080025</v>
      </c>
      <c r="AB29" s="9">
        <f>AB27/AB30</f>
        <v>2.100283822138127</v>
      </c>
      <c r="AC29" s="5"/>
      <c r="AD29" s="5"/>
      <c r="AE29" s="5"/>
      <c r="AF29" s="5"/>
      <c r="AG29" s="5"/>
    </row>
    <row r="30" spans="1:33" x14ac:dyDescent="0.2">
      <c r="B30" s="3" t="s">
        <v>3</v>
      </c>
      <c r="C30" s="5">
        <f>X30</f>
        <v>1578.5900783289817</v>
      </c>
      <c r="D30" s="5">
        <f>X30</f>
        <v>1578.5900783289817</v>
      </c>
      <c r="E30" s="5">
        <f>X30</f>
        <v>1578.5900783289817</v>
      </c>
      <c r="F30" s="5">
        <f>X30</f>
        <v>1578.5900783289817</v>
      </c>
      <c r="G30" s="5">
        <v>1521.9101250000001</v>
      </c>
      <c r="H30" s="5">
        <v>1515.1220679999999</v>
      </c>
      <c r="I30" s="5">
        <v>1509.4</v>
      </c>
      <c r="J30" s="5">
        <v>1508</v>
      </c>
      <c r="K30" s="5">
        <v>1497.7</v>
      </c>
      <c r="L30" s="5">
        <v>1486.8</v>
      </c>
      <c r="M30" s="5">
        <v>1478.1</v>
      </c>
      <c r="N30" s="5">
        <v>1476.7</v>
      </c>
      <c r="O30" s="5">
        <v>1476.6</v>
      </c>
      <c r="P30" s="5">
        <v>1479.5</v>
      </c>
      <c r="Q30" s="5">
        <v>1480.5</v>
      </c>
      <c r="R30" s="5">
        <v>1482.6</v>
      </c>
      <c r="S30" s="5"/>
      <c r="T30" s="5">
        <f t="shared" ref="T30:Y30" si="29">T27/T29</f>
        <v>1624.3697478991598</v>
      </c>
      <c r="U30" s="5">
        <f t="shared" si="29"/>
        <v>1580</v>
      </c>
      <c r="V30" s="5">
        <f t="shared" si="29"/>
        <v>1557.6687116564419</v>
      </c>
      <c r="W30" s="5">
        <f t="shared" si="29"/>
        <v>1573.3516483516482</v>
      </c>
      <c r="X30" s="5">
        <f t="shared" si="29"/>
        <v>1578.5900783289817</v>
      </c>
      <c r="Y30" s="5">
        <f t="shared" si="29"/>
        <v>1550.4587155963302</v>
      </c>
      <c r="Z30" s="5">
        <v>1517.6</v>
      </c>
      <c r="AA30" s="5">
        <f>+AVERAGE(K30:N30)</f>
        <v>1484.825</v>
      </c>
      <c r="AB30" s="5">
        <v>1479.8</v>
      </c>
      <c r="AC30" s="5"/>
      <c r="AD30" s="5"/>
      <c r="AE30" s="5"/>
      <c r="AF30" s="5"/>
      <c r="AG30" s="5"/>
    </row>
    <row r="31" spans="1:33" x14ac:dyDescent="0.2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2">
      <c r="A32" s="7"/>
      <c r="B32" s="3" t="s">
        <v>233</v>
      </c>
      <c r="C32" s="10"/>
      <c r="D32" s="10"/>
      <c r="E32" s="10"/>
      <c r="F32" s="10"/>
      <c r="G32" s="10">
        <f t="shared" ref="G32:G37" si="30">G9/C9-1</f>
        <v>3.7835839290115914E-2</v>
      </c>
      <c r="H32" s="10">
        <f t="shared" ref="H32:H37" si="31">H9/D9-1</f>
        <v>1.2111947318908856E-2</v>
      </c>
      <c r="I32" s="10">
        <f t="shared" ref="I32:I37" si="32">I9/E9-1</f>
        <v>2.4090338770389019E-2</v>
      </c>
      <c r="J32" s="10">
        <f t="shared" ref="J32:J37" si="33">J9/F9-1</f>
        <v>0.80834248079034032</v>
      </c>
      <c r="K32" s="10">
        <f t="shared" ref="K32:K37" si="34">K9/G9-1</f>
        <v>-0.11388196176226106</v>
      </c>
      <c r="L32" s="10">
        <f t="shared" ref="L32:L37" si="35">L9/H9-1</f>
        <v>-0.11060764494016495</v>
      </c>
      <c r="M32" s="10">
        <f t="shared" ref="M32:R37" si="36">M9/I9-1</f>
        <v>-0.11688311688311692</v>
      </c>
      <c r="N32" s="10">
        <f t="shared" si="36"/>
        <v>-0.12771640160252518</v>
      </c>
      <c r="O32" s="10">
        <f t="shared" si="36"/>
        <v>-6.9686411149826322E-3</v>
      </c>
      <c r="P32" s="10">
        <f t="shared" si="36"/>
        <v>5.2253429131288165E-4</v>
      </c>
      <c r="Q32" s="10">
        <f t="shared" si="36"/>
        <v>2.0116537180909999E-2</v>
      </c>
      <c r="R32" s="10">
        <f t="shared" si="36"/>
        <v>-1.1412665274878164E-2</v>
      </c>
      <c r="S32" s="10"/>
      <c r="T32" s="10">
        <f>T7/T16</f>
        <v>0.65854328653460448</v>
      </c>
      <c r="U32" s="10">
        <v>0.68</v>
      </c>
      <c r="V32" s="10">
        <v>0.65</v>
      </c>
      <c r="W32" s="10">
        <v>0.61</v>
      </c>
      <c r="X32" s="10">
        <v>0.57999999999999996</v>
      </c>
      <c r="Y32" s="10">
        <v>0.44</v>
      </c>
      <c r="Z32" s="10">
        <v>0.44</v>
      </c>
      <c r="AA32" s="10">
        <v>0.44</v>
      </c>
      <c r="AB32" s="10">
        <v>0.44</v>
      </c>
    </row>
    <row r="33" spans="1:35" x14ac:dyDescent="0.2">
      <c r="A33" s="7"/>
      <c r="B33" s="3" t="s">
        <v>234</v>
      </c>
      <c r="C33" s="10"/>
      <c r="D33" s="10"/>
      <c r="E33" s="10"/>
      <c r="F33" s="10"/>
      <c r="G33" s="10">
        <f t="shared" si="30"/>
        <v>-1.3395457192778126E-2</v>
      </c>
      <c r="H33" s="10">
        <f t="shared" si="31"/>
        <v>-5.2714812862414417E-3</v>
      </c>
      <c r="I33" s="10">
        <f t="shared" si="32"/>
        <v>-2.6915113871635588E-2</v>
      </c>
      <c r="J33" s="10">
        <f t="shared" si="33"/>
        <v>0.1233941852603111</v>
      </c>
      <c r="K33" s="10">
        <f t="shared" si="34"/>
        <v>-0.10507674144037782</v>
      </c>
      <c r="L33" s="10">
        <f t="shared" si="35"/>
        <v>-9.5389507154213238E-3</v>
      </c>
      <c r="M33" s="10">
        <f t="shared" si="36"/>
        <v>-2.9483282674772071E-2</v>
      </c>
      <c r="N33" s="10">
        <f t="shared" si="36"/>
        <v>-9.6599458320794418E-2</v>
      </c>
      <c r="O33" s="10">
        <f t="shared" si="36"/>
        <v>9.2678100263852148E-2</v>
      </c>
      <c r="P33" s="10">
        <f t="shared" si="36"/>
        <v>4.4943820224719211E-2</v>
      </c>
      <c r="Q33" s="10">
        <f t="shared" si="36"/>
        <v>-2.8186658315064728E-3</v>
      </c>
      <c r="R33" s="10">
        <f t="shared" si="36"/>
        <v>1.4656895403064585E-2</v>
      </c>
      <c r="S33" s="10"/>
      <c r="T33" s="10">
        <f>T8/T16</f>
        <v>0.34145671346539552</v>
      </c>
      <c r="U33" s="10">
        <v>0.32</v>
      </c>
      <c r="V33" s="10">
        <v>0.35</v>
      </c>
      <c r="W33" s="10">
        <v>0.39</v>
      </c>
      <c r="X33" s="10">
        <v>0.42</v>
      </c>
      <c r="Y33" s="10">
        <v>0.56000000000000005</v>
      </c>
      <c r="Z33" s="10">
        <v>0.56000000000000005</v>
      </c>
      <c r="AA33" s="10">
        <v>0.56000000000000005</v>
      </c>
      <c r="AB33" s="10">
        <v>0.56000000000000005</v>
      </c>
    </row>
    <row r="34" spans="1:35" x14ac:dyDescent="0.2">
      <c r="B34" s="3" t="s">
        <v>235</v>
      </c>
      <c r="C34" s="10"/>
      <c r="D34" s="10"/>
      <c r="E34" s="10"/>
      <c r="F34" s="10"/>
      <c r="G34" s="10">
        <f t="shared" si="30"/>
        <v>9.259259259259256E-2</v>
      </c>
      <c r="H34" s="10">
        <f t="shared" si="31"/>
        <v>0.1740196078431373</v>
      </c>
      <c r="I34" s="10">
        <f t="shared" si="32"/>
        <v>0.20843672456575679</v>
      </c>
      <c r="J34" s="10">
        <f t="shared" si="33"/>
        <v>0.76758409785932713</v>
      </c>
      <c r="K34" s="10">
        <f t="shared" si="34"/>
        <v>0.13559322033898313</v>
      </c>
      <c r="L34" s="10">
        <f t="shared" si="35"/>
        <v>0.13569937369519836</v>
      </c>
      <c r="M34" s="10">
        <f t="shared" si="36"/>
        <v>-2.0533880903490731E-2</v>
      </c>
      <c r="N34" s="10">
        <f t="shared" si="36"/>
        <v>-1.9031141868512069E-2</v>
      </c>
      <c r="O34" s="10">
        <f t="shared" si="36"/>
        <v>4.4776119402984982E-2</v>
      </c>
      <c r="P34" s="10">
        <f t="shared" si="36"/>
        <v>1.1029411764705843E-2</v>
      </c>
      <c r="Q34" s="10">
        <f t="shared" si="36"/>
        <v>-1.8867924528301883E-2</v>
      </c>
      <c r="R34" s="10">
        <f t="shared" si="36"/>
        <v>-2.821869488536155E-2</v>
      </c>
      <c r="T34" s="10">
        <f t="shared" ref="T34:Z34" si="37">T9/T16</f>
        <v>0.61180866554935842</v>
      </c>
      <c r="U34" s="10">
        <f t="shared" si="37"/>
        <v>0.61921926528107984</v>
      </c>
      <c r="V34" s="10">
        <f t="shared" si="37"/>
        <v>0.62307836269817929</v>
      </c>
      <c r="W34" s="10">
        <f t="shared" si="37"/>
        <v>0.62914814315865109</v>
      </c>
      <c r="X34" s="10">
        <f t="shared" si="37"/>
        <v>0.62391350888460717</v>
      </c>
      <c r="Y34" s="10">
        <f t="shared" si="37"/>
        <v>0.64695316008356596</v>
      </c>
      <c r="Z34" s="10">
        <f t="shared" si="37"/>
        <v>0.65081188427241932</v>
      </c>
      <c r="AA34" s="10">
        <f t="shared" ref="AA34:AB34" si="38">AA9/AA16</f>
        <v>0.63724114103090113</v>
      </c>
      <c r="AB34" s="10">
        <f t="shared" si="38"/>
        <v>0.63634208371050471</v>
      </c>
    </row>
    <row r="35" spans="1:35" x14ac:dyDescent="0.2">
      <c r="B35" s="3" t="s">
        <v>236</v>
      </c>
      <c r="C35" s="10"/>
      <c r="D35" s="10"/>
      <c r="E35" s="10"/>
      <c r="F35" s="10"/>
      <c r="G35" s="10">
        <f t="shared" si="30"/>
        <v>-7.1428571428571397E-2</v>
      </c>
      <c r="H35" s="10">
        <f t="shared" si="31"/>
        <v>-0.33333333333333337</v>
      </c>
      <c r="I35" s="10">
        <f t="shared" si="32"/>
        <v>-0.25</v>
      </c>
      <c r="J35" s="10">
        <f t="shared" si="33"/>
        <v>-0.81034482758620685</v>
      </c>
      <c r="K35" s="10">
        <f t="shared" si="34"/>
        <v>7.6923076923076872E-2</v>
      </c>
      <c r="L35" s="10">
        <f t="shared" si="35"/>
        <v>8.3333333333333259E-2</v>
      </c>
      <c r="M35" s="10">
        <f t="shared" si="36"/>
        <v>0.33333333333333326</v>
      </c>
      <c r="N35" s="10">
        <f t="shared" si="36"/>
        <v>-0.18181818181818177</v>
      </c>
      <c r="O35" s="10">
        <f t="shared" si="36"/>
        <v>-0.3571428571428571</v>
      </c>
      <c r="P35" s="10">
        <f t="shared" si="36"/>
        <v>-0.30769230769230771</v>
      </c>
      <c r="Q35" s="10">
        <f t="shared" si="36"/>
        <v>-0.41666666666666663</v>
      </c>
      <c r="R35" s="10">
        <f t="shared" si="36"/>
        <v>1.6666666666666665</v>
      </c>
      <c r="T35" s="10">
        <f t="shared" ref="T35:Z35" si="39">T10/T16</f>
        <v>0.29488694123142017</v>
      </c>
      <c r="U35" s="10">
        <f t="shared" si="39"/>
        <v>0.29526804202776286</v>
      </c>
      <c r="V35" s="10">
        <f t="shared" si="39"/>
        <v>0.29283747292997886</v>
      </c>
      <c r="W35" s="10">
        <f t="shared" si="39"/>
        <v>0.28885446135883963</v>
      </c>
      <c r="X35" s="10">
        <f t="shared" si="39"/>
        <v>0.29045172339970027</v>
      </c>
      <c r="Y35" s="10">
        <f t="shared" si="39"/>
        <v>0.27028135189487867</v>
      </c>
      <c r="Z35" s="10">
        <f t="shared" si="39"/>
        <v>0.26819438495385695</v>
      </c>
      <c r="AA35" s="10">
        <f t="shared" ref="AA35:AB35" si="40">AA10/AA16</f>
        <v>0.27996717700662938</v>
      </c>
      <c r="AB35" s="10">
        <f t="shared" si="40"/>
        <v>0.28986163196689513</v>
      </c>
    </row>
    <row r="36" spans="1:35" x14ac:dyDescent="0.2">
      <c r="B36" s="3" t="s">
        <v>237</v>
      </c>
      <c r="C36" s="10"/>
      <c r="D36" s="10"/>
      <c r="E36" s="10"/>
      <c r="F36" s="10"/>
      <c r="G36" s="10">
        <f t="shared" si="30"/>
        <v>2.5315405046480777E-2</v>
      </c>
      <c r="H36" s="10">
        <f t="shared" si="31"/>
        <v>1.1631562401760442E-2</v>
      </c>
      <c r="I36" s="10">
        <f t="shared" si="32"/>
        <v>1.5468298487166354E-2</v>
      </c>
      <c r="J36" s="10">
        <f t="shared" si="33"/>
        <v>0.53823752848822481</v>
      </c>
      <c r="K36" s="10">
        <f t="shared" si="34"/>
        <v>-0.10054237836962676</v>
      </c>
      <c r="L36" s="10">
        <f t="shared" si="35"/>
        <v>-7.1628340584213746E-2</v>
      </c>
      <c r="M36" s="10">
        <f t="shared" si="36"/>
        <v>-8.8550385001673892E-2</v>
      </c>
      <c r="N36" s="10">
        <f t="shared" si="36"/>
        <v>-0.11408346365956046</v>
      </c>
      <c r="O36" s="10">
        <f t="shared" si="36"/>
        <v>2.2590225902259009E-2</v>
      </c>
      <c r="P36" s="10">
        <f t="shared" si="36"/>
        <v>1.4560669456066933E-2</v>
      </c>
      <c r="Q36" s="10">
        <f t="shared" si="36"/>
        <v>1.120293847566578E-2</v>
      </c>
      <c r="R36" s="10">
        <f t="shared" si="36"/>
        <v>-3.6235250394871521E-3</v>
      </c>
      <c r="T36" s="10">
        <f t="shared" ref="T36:Z36" si="41">T11/T16</f>
        <v>3.8354809462318326E-2</v>
      </c>
      <c r="U36" s="10">
        <f t="shared" si="41"/>
        <v>3.589232303090728E-2</v>
      </c>
      <c r="V36" s="10">
        <f t="shared" si="41"/>
        <v>3.4221853861989678E-2</v>
      </c>
      <c r="W36" s="10">
        <f t="shared" si="41"/>
        <v>3.102968251829898E-2</v>
      </c>
      <c r="X36" s="10">
        <f t="shared" si="41"/>
        <v>3.4767715692571186E-2</v>
      </c>
      <c r="Y36" s="10">
        <f t="shared" si="41"/>
        <v>3.3719272897670696E-2</v>
      </c>
      <c r="Z36" s="10">
        <f t="shared" si="41"/>
        <v>4.039951715275885E-2</v>
      </c>
      <c r="AA36" s="10">
        <f t="shared" ref="AA36:AB36" si="42">AA11/AA16</f>
        <v>4.7312617417780561E-2</v>
      </c>
      <c r="AB36" s="10">
        <f t="shared" si="42"/>
        <v>4.73942842363895E-2</v>
      </c>
    </row>
    <row r="37" spans="1:35" x14ac:dyDescent="0.2">
      <c r="B37" s="3" t="s">
        <v>238</v>
      </c>
      <c r="C37" s="10"/>
      <c r="D37" s="10"/>
      <c r="E37" s="10"/>
      <c r="F37" s="10"/>
      <c r="G37" s="10">
        <f t="shared" si="30"/>
        <v>-8.5536547433903598E-2</v>
      </c>
      <c r="H37" s="10">
        <f t="shared" si="31"/>
        <v>-0.11433447098976113</v>
      </c>
      <c r="I37" s="10">
        <f t="shared" si="32"/>
        <v>-0.19117647058823528</v>
      </c>
      <c r="J37" s="10">
        <f t="shared" si="33"/>
        <v>-4.9504950495049549E-2</v>
      </c>
      <c r="K37" s="10">
        <f t="shared" si="34"/>
        <v>-0.14795918367346939</v>
      </c>
      <c r="L37" s="10">
        <f t="shared" si="35"/>
        <v>-0.17341040462427748</v>
      </c>
      <c r="M37" s="10">
        <f t="shared" si="36"/>
        <v>-0.18181818181818177</v>
      </c>
      <c r="N37" s="10">
        <f t="shared" si="36"/>
        <v>-0.25624999999999998</v>
      </c>
      <c r="O37" s="10">
        <f t="shared" si="36"/>
        <v>-0.26946107784431139</v>
      </c>
      <c r="P37" s="10">
        <f t="shared" si="36"/>
        <v>-0.30069930069930073</v>
      </c>
      <c r="Q37" s="10">
        <f t="shared" si="36"/>
        <v>-0.3481481481481481</v>
      </c>
      <c r="R37" s="10">
        <f t="shared" si="36"/>
        <v>-0.31652661064425769</v>
      </c>
      <c r="T37" s="10">
        <f t="shared" ref="T37:Z37" si="43">T14/T16</f>
        <v>5.1817457482759566E-2</v>
      </c>
      <c r="U37" s="10">
        <f t="shared" si="43"/>
        <v>4.8725618017741647E-2</v>
      </c>
      <c r="V37" s="10">
        <f t="shared" si="43"/>
        <v>4.9354329866588241E-2</v>
      </c>
      <c r="W37" s="10">
        <f t="shared" si="43"/>
        <v>4.9508285059948809E-2</v>
      </c>
      <c r="X37" s="10">
        <f t="shared" si="43"/>
        <v>5.0224791265253692E-2</v>
      </c>
      <c r="Y37" s="10">
        <f t="shared" si="43"/>
        <v>4.7386609914676768E-2</v>
      </c>
      <c r="Z37" s="10">
        <f t="shared" si="43"/>
        <v>4.0535804680503093E-2</v>
      </c>
      <c r="AA37" s="10">
        <f t="shared" ref="AA37:AB37" si="44">AA14/AA16</f>
        <v>3.6537174199399683E-2</v>
      </c>
      <c r="AB37" s="10">
        <f t="shared" si="44"/>
        <v>2.5302814776498986E-2</v>
      </c>
    </row>
    <row r="38" spans="1:35" x14ac:dyDescent="0.2">
      <c r="B38" s="6" t="s">
        <v>38</v>
      </c>
      <c r="C38" s="12" t="s">
        <v>43</v>
      </c>
      <c r="D38" s="12" t="s">
        <v>43</v>
      </c>
      <c r="E38" s="12" t="s">
        <v>43</v>
      </c>
      <c r="F38" s="12" t="s">
        <v>43</v>
      </c>
      <c r="G38" s="13">
        <f>G16/D16-1</f>
        <v>-2.8238828389034909E-2</v>
      </c>
      <c r="H38" s="13">
        <f t="shared" ref="H38:R38" si="45">H16/D16-1</f>
        <v>5.482538490424238E-3</v>
      </c>
      <c r="I38" s="13">
        <f t="shared" si="45"/>
        <v>3.1476997578692156E-3</v>
      </c>
      <c r="J38" s="13">
        <f t="shared" si="45"/>
        <v>0.51550853570569855</v>
      </c>
      <c r="K38" s="13">
        <f t="shared" si="45"/>
        <v>-0.10433572919081846</v>
      </c>
      <c r="L38" s="13">
        <f t="shared" si="45"/>
        <v>-7.7233343292500756E-2</v>
      </c>
      <c r="M38" s="13">
        <f t="shared" si="45"/>
        <v>-9.3330115053503859E-2</v>
      </c>
      <c r="N38" s="13">
        <f t="shared" si="45"/>
        <v>-0.11970490242741549</v>
      </c>
      <c r="O38" s="13">
        <f t="shared" si="45"/>
        <v>1.1303822590387425E-2</v>
      </c>
      <c r="P38" s="13">
        <f t="shared" si="45"/>
        <v>5.9090173223248499E-3</v>
      </c>
      <c r="Q38" s="13">
        <f t="shared" si="45"/>
        <v>8.8739018546446502E-4</v>
      </c>
      <c r="R38" s="13">
        <f t="shared" si="45"/>
        <v>-1.1264305668198582E-2</v>
      </c>
      <c r="S38" s="13"/>
      <c r="T38" s="12" t="s">
        <v>43</v>
      </c>
      <c r="U38" s="13">
        <f t="shared" ref="U38:AB38" si="46">U16/T16-1</f>
        <v>7.4731433909388079E-2</v>
      </c>
      <c r="V38" s="13">
        <f t="shared" si="46"/>
        <v>-4.3817266150267153E-2</v>
      </c>
      <c r="W38" s="13">
        <f t="shared" si="46"/>
        <v>0.19076009945726269</v>
      </c>
      <c r="X38" s="13">
        <f t="shared" si="46"/>
        <v>4.8767344739323759E-2</v>
      </c>
      <c r="Y38" s="13">
        <f t="shared" si="46"/>
        <v>9.6488974523656568E-2</v>
      </c>
      <c r="Z38" s="13">
        <f t="shared" si="46"/>
        <v>2.8310912392370824E-3</v>
      </c>
      <c r="AA38" s="13">
        <f t="shared" si="46"/>
        <v>-9.8380125384525563E-2</v>
      </c>
      <c r="AB38" s="13">
        <f t="shared" si="46"/>
        <v>1.9218726381480256E-3</v>
      </c>
    </row>
    <row r="39" spans="1:35" x14ac:dyDescent="0.2">
      <c r="B39" s="3" t="s">
        <v>39</v>
      </c>
      <c r="C39" s="10">
        <f t="shared" ref="C39:N39" si="47">C18/C16</f>
        <v>0.44257901789233073</v>
      </c>
      <c r="D39" s="10">
        <f t="shared" si="47"/>
        <v>0.42891475779196397</v>
      </c>
      <c r="E39" s="10">
        <f t="shared" si="47"/>
        <v>0.43349475383373687</v>
      </c>
      <c r="F39" s="10">
        <f t="shared" si="47"/>
        <v>0.57489781197403222</v>
      </c>
      <c r="G39" s="10">
        <f t="shared" si="47"/>
        <v>0.44207434886776414</v>
      </c>
      <c r="H39" s="10">
        <f t="shared" si="47"/>
        <v>0.44599641469973111</v>
      </c>
      <c r="I39" s="10">
        <f t="shared" si="47"/>
        <v>0.44750181028240404</v>
      </c>
      <c r="J39" s="10">
        <f t="shared" si="47"/>
        <v>0.44693003331746789</v>
      </c>
      <c r="K39" s="10">
        <f t="shared" si="47"/>
        <v>0.45361981189058592</v>
      </c>
      <c r="L39" s="10">
        <f t="shared" si="47"/>
        <v>0.43621499109600131</v>
      </c>
      <c r="M39" s="10">
        <f t="shared" si="47"/>
        <v>0.41485491170467653</v>
      </c>
      <c r="N39" s="10">
        <f t="shared" si="47"/>
        <v>0.40272145624943678</v>
      </c>
      <c r="O39" s="10">
        <f t="shared" ref="O39:P39" si="48">O18/O16</f>
        <v>0.42175767918088736</v>
      </c>
      <c r="P39" s="10">
        <f t="shared" si="48"/>
        <v>0.40597086988009978</v>
      </c>
      <c r="Q39" s="10">
        <f t="shared" ref="Q39:R39" si="49">Q18/Q16</f>
        <v>0.40163135029701214</v>
      </c>
      <c r="R39" s="10">
        <f t="shared" si="49"/>
        <v>0.49152387896463728</v>
      </c>
      <c r="S39" s="10"/>
      <c r="T39" s="10">
        <f t="shared" ref="T39:AA39" si="50">T18/T16</f>
        <v>0.43838777921257244</v>
      </c>
      <c r="U39" s="10">
        <f t="shared" si="50"/>
        <v>0.44671114860546568</v>
      </c>
      <c r="V39" s="10">
        <f t="shared" si="50"/>
        <v>0.43421650669732376</v>
      </c>
      <c r="W39" s="10">
        <f t="shared" si="50"/>
        <v>0.44820153576721</v>
      </c>
      <c r="X39" s="10">
        <f t="shared" si="50"/>
        <v>0.45983729394134021</v>
      </c>
      <c r="Y39" s="10">
        <f t="shared" si="50"/>
        <v>0.43524610969014194</v>
      </c>
      <c r="Z39" s="10">
        <f t="shared" si="50"/>
        <v>0.44560180678322497</v>
      </c>
      <c r="AA39" s="10">
        <f t="shared" si="50"/>
        <v>0.42734673605562634</v>
      </c>
      <c r="AB39" s="10">
        <f t="shared" ref="AB39" si="51">AB18/AB16</f>
        <v>0.42913487650329757</v>
      </c>
    </row>
    <row r="40" spans="1:35" x14ac:dyDescent="0.2">
      <c r="B40" s="3" t="s">
        <v>40</v>
      </c>
      <c r="C40" s="10">
        <f t="shared" ref="C40:N40" si="52">C22/C16</f>
        <v>0.13360132419011586</v>
      </c>
      <c r="D40" s="10">
        <f t="shared" si="52"/>
        <v>0.11918888471648517</v>
      </c>
      <c r="E40" s="10">
        <f t="shared" si="52"/>
        <v>0.11396287328490719</v>
      </c>
      <c r="F40" s="10">
        <f t="shared" si="52"/>
        <v>0.23815821110843952</v>
      </c>
      <c r="G40" s="10">
        <f t="shared" si="52"/>
        <v>0.12396630342375763</v>
      </c>
      <c r="H40" s="10">
        <f t="shared" si="52"/>
        <v>0.1363161039737078</v>
      </c>
      <c r="I40" s="10">
        <f t="shared" si="52"/>
        <v>0.10749054630300105</v>
      </c>
      <c r="J40" s="10">
        <f t="shared" si="52"/>
        <v>0.12264001269236871</v>
      </c>
      <c r="K40" s="10">
        <f t="shared" si="52"/>
        <v>0.10432306497540772</v>
      </c>
      <c r="L40" s="10">
        <f t="shared" si="52"/>
        <v>0.1120284927958556</v>
      </c>
      <c r="M40" s="10">
        <f t="shared" si="52"/>
        <v>6.9926346614606436E-2</v>
      </c>
      <c r="N40" s="10">
        <f t="shared" si="52"/>
        <v>2.8926736955934035E-2</v>
      </c>
      <c r="O40" s="10">
        <f t="shared" ref="O40:P40" si="53">O22/O16</f>
        <v>7.909556313993174E-2</v>
      </c>
      <c r="P40" s="10">
        <f t="shared" si="53"/>
        <v>8.095276414259274E-2</v>
      </c>
      <c r="Q40" s="10">
        <f t="shared" ref="Q40:R40" si="54">Q22/Q16</f>
        <v>4.9029169252593312E-2</v>
      </c>
      <c r="R40" s="10">
        <f t="shared" si="54"/>
        <v>0.11948596427269413</v>
      </c>
      <c r="S40" s="10"/>
      <c r="T40" s="10">
        <f t="shared" ref="T40:AA40" si="55">T22/T16</f>
        <v>0.12212544989971701</v>
      </c>
      <c r="U40" s="10">
        <f t="shared" si="55"/>
        <v>0.12199299537285579</v>
      </c>
      <c r="V40" s="10">
        <f t="shared" si="55"/>
        <v>8.3282089671951443E-2</v>
      </c>
      <c r="W40" s="10">
        <f t="shared" si="55"/>
        <v>0.15575463649018814</v>
      </c>
      <c r="X40" s="10">
        <f t="shared" si="55"/>
        <v>0.14290301862556198</v>
      </c>
      <c r="Y40" s="10">
        <f t="shared" si="55"/>
        <v>0.11548899779370131</v>
      </c>
      <c r="Z40" s="10">
        <f t="shared" si="55"/>
        <v>0.12287294108484872</v>
      </c>
      <c r="AA40" s="10">
        <f t="shared" si="55"/>
        <v>7.9941264117126265E-2</v>
      </c>
      <c r="AB40" s="10">
        <f t="shared" ref="AB40" si="56">AB22/AB16</f>
        <v>8.1835423940687102E-2</v>
      </c>
    </row>
    <row r="41" spans="1:35" x14ac:dyDescent="0.2">
      <c r="B41" s="3" t="s">
        <v>41</v>
      </c>
      <c r="C41" s="10">
        <f t="shared" ref="C41:N41" si="57">C27/C16</f>
        <v>0.11570899345787027</v>
      </c>
      <c r="D41" s="10">
        <f t="shared" si="57"/>
        <v>9.9962448366503948E-2</v>
      </c>
      <c r="E41" s="10">
        <f t="shared" si="57"/>
        <v>0.10008071025020178</v>
      </c>
      <c r="F41" s="10">
        <f t="shared" si="57"/>
        <v>0.24128396249098341</v>
      </c>
      <c r="G41" s="10">
        <f t="shared" si="57"/>
        <v>0.11206430172347168</v>
      </c>
      <c r="H41" s="10">
        <f t="shared" si="57"/>
        <v>0.11786674634000598</v>
      </c>
      <c r="I41" s="10">
        <f t="shared" si="57"/>
        <v>9.4295599002333252E-2</v>
      </c>
      <c r="J41" s="10">
        <f t="shared" si="57"/>
        <v>0.11899095668729176</v>
      </c>
      <c r="K41" s="10">
        <f t="shared" si="57"/>
        <v>9.0689446889291564E-2</v>
      </c>
      <c r="L41" s="10">
        <f t="shared" si="57"/>
        <v>9.4139549943338188E-2</v>
      </c>
      <c r="M41" s="10">
        <f t="shared" si="57"/>
        <v>7.045878072588517E-2</v>
      </c>
      <c r="N41" s="10">
        <f t="shared" si="57"/>
        <v>1.9014147967919257E-2</v>
      </c>
      <c r="O41" s="10">
        <f t="shared" ref="O41:P41" si="58">O27/O16</f>
        <v>6.2030716723549491E-2</v>
      </c>
      <c r="P41" s="10">
        <f t="shared" si="58"/>
        <v>6.3732196024784749E-2</v>
      </c>
      <c r="Q41" s="10">
        <f t="shared" ref="Q41:R41" si="59">Q27/Q16</f>
        <v>4.6103377959038919E-2</v>
      </c>
      <c r="R41" s="10">
        <f t="shared" si="59"/>
        <v>9.7429821363470656E-2</v>
      </c>
      <c r="S41" s="10"/>
      <c r="T41" s="10">
        <f t="shared" ref="T41:AA41" si="60">T27/T16</f>
        <v>5.3108772701046789E-2</v>
      </c>
      <c r="U41" s="10">
        <f t="shared" si="60"/>
        <v>0.10299869621903521</v>
      </c>
      <c r="V41" s="10">
        <f t="shared" si="60"/>
        <v>6.7882255434056085E-2</v>
      </c>
      <c r="W41" s="10">
        <f t="shared" si="60"/>
        <v>0.12858682473393507</v>
      </c>
      <c r="X41" s="10">
        <f t="shared" si="60"/>
        <v>0.12943695140226932</v>
      </c>
      <c r="Y41" s="10">
        <f t="shared" si="60"/>
        <v>9.8990569537458259E-2</v>
      </c>
      <c r="Z41" s="10">
        <f t="shared" si="60"/>
        <v>0.11097698687745804</v>
      </c>
      <c r="AA41" s="10">
        <f t="shared" si="60"/>
        <v>6.9511326092120324E-2</v>
      </c>
      <c r="AB41" s="10">
        <f t="shared" ref="AB41" si="61">AB27/AB16</f>
        <v>6.6985645933014357E-2</v>
      </c>
    </row>
    <row r="42" spans="1:35" x14ac:dyDescent="0.2">
      <c r="B42" s="3" t="s">
        <v>42</v>
      </c>
      <c r="C42" s="10">
        <f t="shared" ref="C42:N42" si="62">C26/C25</f>
        <v>0.19693654266958424</v>
      </c>
      <c r="D42" s="10">
        <f t="shared" si="62"/>
        <v>0.19333333333333333</v>
      </c>
      <c r="E42" s="10">
        <f t="shared" si="62"/>
        <v>0.16046039268788084</v>
      </c>
      <c r="F42" s="10">
        <f t="shared" si="62"/>
        <v>-0.18337264150943397</v>
      </c>
      <c r="G42" s="10">
        <f t="shared" si="62"/>
        <v>0.12014563106796117</v>
      </c>
      <c r="H42" s="10">
        <f t="shared" si="62"/>
        <v>0.17898022892819979</v>
      </c>
      <c r="I42" s="10">
        <f t="shared" si="62"/>
        <v>0.16524216524216523</v>
      </c>
      <c r="J42" s="10">
        <f t="shared" si="62"/>
        <v>0.13093858632676708</v>
      </c>
      <c r="K42" s="10">
        <f t="shared" si="62"/>
        <v>0.19586840091813312</v>
      </c>
      <c r="L42" s="10">
        <f t="shared" si="62"/>
        <v>0.1786723163841808</v>
      </c>
      <c r="M42" s="10">
        <f t="shared" si="62"/>
        <v>5.9241706161137442E-2</v>
      </c>
      <c r="N42" s="10">
        <f t="shared" si="62"/>
        <v>0.33647798742138363</v>
      </c>
      <c r="O42" s="10">
        <f t="shared" ref="O42:P42" si="63">O26/O25</f>
        <v>0.21149674620390455</v>
      </c>
      <c r="P42" s="10">
        <f t="shared" si="63"/>
        <v>0.2072072072072072</v>
      </c>
      <c r="Q42" s="10">
        <f t="shared" ref="Q42:R42" si="64">Q26/Q25</f>
        <v>0.2</v>
      </c>
      <c r="R42" s="10">
        <f t="shared" si="64"/>
        <v>0.19563581640331076</v>
      </c>
      <c r="S42" s="10"/>
      <c r="T42" s="10">
        <f t="shared" ref="T42:Y42" si="65">T26/T25</f>
        <v>0.55306358381502885</v>
      </c>
      <c r="U42" s="10">
        <f t="shared" si="65"/>
        <v>0.16079983336804832</v>
      </c>
      <c r="V42" s="10">
        <f t="shared" si="65"/>
        <v>0.12054035330793211</v>
      </c>
      <c r="W42" s="10">
        <f t="shared" si="65"/>
        <v>0.14021918630836211</v>
      </c>
      <c r="X42" s="10">
        <f t="shared" si="65"/>
        <v>9.0963764847391368E-2</v>
      </c>
      <c r="Y42" s="10">
        <f t="shared" si="65"/>
        <v>0.18238993710691823</v>
      </c>
      <c r="Z42" s="10">
        <v>0.09</v>
      </c>
      <c r="AA42" s="10">
        <v>0.09</v>
      </c>
      <c r="AB42" s="10">
        <v>0.09</v>
      </c>
    </row>
    <row r="43" spans="1:35" x14ac:dyDescent="0.2">
      <c r="T43" s="14"/>
      <c r="U43" s="14"/>
      <c r="V43" s="14"/>
      <c r="W43" s="14"/>
      <c r="X43" s="14"/>
      <c r="Y43" s="14"/>
      <c r="Z43" s="14"/>
    </row>
    <row r="44" spans="1:35" x14ac:dyDescent="0.2">
      <c r="T44" s="14"/>
      <c r="U44" s="14"/>
      <c r="V44" s="14"/>
      <c r="W44" s="14"/>
      <c r="X44" s="14"/>
      <c r="Y44" s="14"/>
      <c r="Z44" s="14"/>
    </row>
    <row r="45" spans="1:35" x14ac:dyDescent="0.2">
      <c r="A45" s="7" t="s">
        <v>11</v>
      </c>
      <c r="B45" s="15" t="s">
        <v>44</v>
      </c>
      <c r="T45" s="14"/>
      <c r="U45" s="14"/>
      <c r="V45" s="14"/>
      <c r="W45" s="14"/>
      <c r="X45" s="14"/>
      <c r="Y45" s="14"/>
      <c r="Z45" s="14"/>
    </row>
    <row r="46" spans="1:35" x14ac:dyDescent="0.2">
      <c r="A46" s="7"/>
      <c r="B46" s="3" t="s">
        <v>48</v>
      </c>
      <c r="T46" s="14"/>
      <c r="U46" s="14"/>
      <c r="V46" s="14"/>
      <c r="W46" s="14"/>
      <c r="X46" s="14"/>
      <c r="Y46" s="14"/>
      <c r="Z46" s="14"/>
    </row>
    <row r="47" spans="1:35" x14ac:dyDescent="0.2">
      <c r="B47" s="3" t="s">
        <v>45</v>
      </c>
      <c r="C47" s="5"/>
      <c r="D47" s="5"/>
      <c r="E47" s="5">
        <v>7441</v>
      </c>
      <c r="F47" s="5"/>
      <c r="G47" s="5">
        <v>6178</v>
      </c>
      <c r="H47" s="5">
        <v>7919</v>
      </c>
      <c r="I47" s="5">
        <v>8960</v>
      </c>
      <c r="J47" s="5"/>
      <c r="K47" s="5">
        <v>8485</v>
      </c>
      <c r="L47" s="5"/>
      <c r="M47" s="5"/>
      <c r="N47" s="5"/>
      <c r="O47" s="5"/>
      <c r="P47" s="5"/>
      <c r="Q47" s="5"/>
      <c r="R47" s="5"/>
      <c r="S47" s="5"/>
      <c r="T47" s="5">
        <v>4249</v>
      </c>
      <c r="U47" s="5">
        <v>4466</v>
      </c>
      <c r="V47" s="5">
        <v>8348</v>
      </c>
      <c r="W47" s="5">
        <v>9889</v>
      </c>
      <c r="X47" s="5">
        <v>8574</v>
      </c>
      <c r="Y47" s="5">
        <v>7441</v>
      </c>
      <c r="Z47" s="5">
        <v>9860</v>
      </c>
      <c r="AA47" s="5">
        <v>7464</v>
      </c>
      <c r="AB47" s="5">
        <v>7563</v>
      </c>
      <c r="AC47" s="5"/>
      <c r="AD47" s="5"/>
      <c r="AE47" s="5"/>
      <c r="AF47" s="5"/>
      <c r="AG47" s="5"/>
      <c r="AH47" s="5"/>
      <c r="AI47" s="5"/>
    </row>
    <row r="48" spans="1:35" x14ac:dyDescent="0.2">
      <c r="B48" s="3" t="s">
        <v>46</v>
      </c>
      <c r="C48" s="5"/>
      <c r="D48" s="5"/>
      <c r="E48" s="5">
        <v>3234</v>
      </c>
      <c r="F48" s="5"/>
      <c r="G48" s="5">
        <v>2612</v>
      </c>
      <c r="H48" s="5">
        <v>2008</v>
      </c>
      <c r="I48" s="5">
        <v>1613</v>
      </c>
      <c r="J48" s="5"/>
      <c r="K48" s="5">
        <v>1809</v>
      </c>
      <c r="L48" s="5"/>
      <c r="M48" s="5"/>
      <c r="N48" s="5"/>
      <c r="O48" s="5"/>
      <c r="P48" s="5"/>
      <c r="Q48" s="5"/>
      <c r="R48" s="5"/>
      <c r="S48" s="5"/>
      <c r="T48" s="5">
        <v>996</v>
      </c>
      <c r="U48" s="5">
        <v>197</v>
      </c>
      <c r="V48" s="5">
        <v>439</v>
      </c>
      <c r="W48" s="5">
        <v>3587</v>
      </c>
      <c r="X48" s="5">
        <v>4423</v>
      </c>
      <c r="Y48" s="5">
        <v>3234</v>
      </c>
      <c r="Z48" s="5">
        <v>1722</v>
      </c>
      <c r="AA48" s="5">
        <v>1687</v>
      </c>
      <c r="AB48" s="5">
        <v>1464</v>
      </c>
      <c r="AC48" s="5"/>
      <c r="AD48" s="5"/>
      <c r="AE48" s="5"/>
      <c r="AF48" s="5"/>
      <c r="AG48" s="5"/>
      <c r="AH48" s="5"/>
      <c r="AI48" s="5"/>
    </row>
    <row r="49" spans="2:35" x14ac:dyDescent="0.2">
      <c r="B49" s="3" t="s">
        <v>49</v>
      </c>
      <c r="C49" s="5"/>
      <c r="D49" s="5"/>
      <c r="E49" s="5">
        <v>4131</v>
      </c>
      <c r="F49" s="5"/>
      <c r="G49" s="5">
        <v>4749</v>
      </c>
      <c r="H49" s="5">
        <v>4782</v>
      </c>
      <c r="I49" s="5">
        <v>4526</v>
      </c>
      <c r="J49" s="5"/>
      <c r="K49" s="5">
        <v>4764</v>
      </c>
      <c r="L49" s="5"/>
      <c r="M49" s="5"/>
      <c r="N49" s="5"/>
      <c r="O49" s="5"/>
      <c r="P49" s="5"/>
      <c r="Q49" s="5"/>
      <c r="R49" s="5"/>
      <c r="S49" s="5"/>
      <c r="T49" s="5">
        <v>3498</v>
      </c>
      <c r="U49" s="5">
        <v>4272</v>
      </c>
      <c r="V49" s="5">
        <v>2749</v>
      </c>
      <c r="W49" s="5">
        <v>4463</v>
      </c>
      <c r="X49" s="5">
        <v>4667</v>
      </c>
      <c r="Y49" s="5">
        <v>4131</v>
      </c>
      <c r="Z49" s="5">
        <v>4427</v>
      </c>
      <c r="AA49" s="5">
        <v>4717</v>
      </c>
      <c r="AB49" s="5">
        <v>5931</v>
      </c>
      <c r="AC49" s="5"/>
      <c r="AD49" s="5"/>
      <c r="AE49" s="5"/>
      <c r="AF49" s="5"/>
      <c r="AG49" s="5"/>
      <c r="AH49" s="5"/>
      <c r="AI49" s="5"/>
    </row>
    <row r="50" spans="2:35" x14ac:dyDescent="0.2">
      <c r="B50" s="3" t="s">
        <v>47</v>
      </c>
      <c r="C50" s="5"/>
      <c r="D50" s="5"/>
      <c r="E50" s="5">
        <v>8454</v>
      </c>
      <c r="F50" s="5"/>
      <c r="G50" s="5">
        <v>8698</v>
      </c>
      <c r="H50" s="5">
        <v>7979</v>
      </c>
      <c r="I50" s="5">
        <v>7726</v>
      </c>
      <c r="J50" s="5"/>
      <c r="K50" s="5">
        <v>8253</v>
      </c>
      <c r="L50" s="5"/>
      <c r="M50" s="5"/>
      <c r="N50" s="5"/>
      <c r="O50" s="5"/>
      <c r="P50" s="5"/>
      <c r="Q50" s="5"/>
      <c r="R50" s="5"/>
      <c r="S50" s="5"/>
      <c r="T50" s="5">
        <v>5261</v>
      </c>
      <c r="U50" s="5">
        <v>5622</v>
      </c>
      <c r="V50" s="5">
        <v>7367</v>
      </c>
      <c r="W50" s="5">
        <v>6854</v>
      </c>
      <c r="X50" s="5">
        <v>8420</v>
      </c>
      <c r="Y50" s="5">
        <v>8454</v>
      </c>
      <c r="Z50" s="5">
        <v>7519</v>
      </c>
      <c r="AA50" s="5">
        <v>7489</v>
      </c>
      <c r="AB50" s="5">
        <v>7501</v>
      </c>
      <c r="AC50" s="5"/>
      <c r="AD50" s="5"/>
      <c r="AE50" s="5"/>
      <c r="AF50" s="5"/>
      <c r="AG50" s="5"/>
      <c r="AH50" s="5"/>
      <c r="AI50" s="5"/>
    </row>
    <row r="51" spans="2:35" x14ac:dyDescent="0.2">
      <c r="B51" s="3" t="s">
        <v>50</v>
      </c>
      <c r="C51" s="5"/>
      <c r="D51" s="5"/>
      <c r="E51" s="5">
        <v>1942</v>
      </c>
      <c r="F51" s="5"/>
      <c r="G51" s="5">
        <v>2013</v>
      </c>
      <c r="H51" s="5">
        <v>1943</v>
      </c>
      <c r="I51" s="5">
        <v>1928</v>
      </c>
      <c r="J51" s="5"/>
      <c r="K51" s="5">
        <v>1729</v>
      </c>
      <c r="L51" s="5"/>
      <c r="M51" s="5"/>
      <c r="N51" s="5"/>
      <c r="O51" s="5"/>
      <c r="P51" s="5"/>
      <c r="Q51" s="5"/>
      <c r="R51" s="5"/>
      <c r="S51" s="5"/>
      <c r="T51" s="5">
        <v>1130</v>
      </c>
      <c r="U51" s="5">
        <v>1968</v>
      </c>
      <c r="V51" s="5">
        <v>1653</v>
      </c>
      <c r="W51" s="5">
        <v>1498</v>
      </c>
      <c r="X51" s="5">
        <v>2129</v>
      </c>
      <c r="Y51" s="5">
        <v>1942</v>
      </c>
      <c r="Z51" s="5">
        <v>1854</v>
      </c>
      <c r="AA51" s="5">
        <v>2005</v>
      </c>
      <c r="AB51" s="5">
        <v>2144</v>
      </c>
      <c r="AC51" s="5"/>
      <c r="AD51" s="5"/>
      <c r="AE51" s="5"/>
      <c r="AF51" s="5"/>
      <c r="AG51" s="5"/>
      <c r="AH51" s="5"/>
      <c r="AI51" s="5"/>
    </row>
    <row r="52" spans="2:35" x14ac:dyDescent="0.2">
      <c r="B52" s="6" t="s">
        <v>51</v>
      </c>
      <c r="C52" s="8">
        <f t="shared" ref="C52:I52" si="66">SUM(C47:C51)</f>
        <v>0</v>
      </c>
      <c r="D52" s="8">
        <f t="shared" si="66"/>
        <v>0</v>
      </c>
      <c r="E52" s="8">
        <f t="shared" si="66"/>
        <v>25202</v>
      </c>
      <c r="F52" s="8">
        <f t="shared" si="66"/>
        <v>0</v>
      </c>
      <c r="G52" s="8">
        <f t="shared" si="66"/>
        <v>24250</v>
      </c>
      <c r="H52" s="8">
        <f t="shared" si="66"/>
        <v>24631</v>
      </c>
      <c r="I52" s="8">
        <f t="shared" si="66"/>
        <v>24753</v>
      </c>
      <c r="J52" s="8">
        <f>SUM(J47:J51)</f>
        <v>0</v>
      </c>
      <c r="K52" s="8">
        <f>SUM(K47:K51)</f>
        <v>25040</v>
      </c>
      <c r="L52" s="8"/>
      <c r="M52" s="8"/>
      <c r="N52" s="5"/>
      <c r="O52" s="5"/>
      <c r="P52" s="5"/>
      <c r="Q52" s="5"/>
      <c r="R52" s="5"/>
      <c r="S52" s="5"/>
      <c r="T52" s="8">
        <f t="shared" ref="T52:AB52" si="67">SUM(T47:T51)</f>
        <v>15134</v>
      </c>
      <c r="U52" s="8">
        <f t="shared" si="67"/>
        <v>16525</v>
      </c>
      <c r="V52" s="8">
        <f t="shared" si="67"/>
        <v>20556</v>
      </c>
      <c r="W52" s="8">
        <f t="shared" si="67"/>
        <v>26291</v>
      </c>
      <c r="X52" s="8">
        <f t="shared" si="67"/>
        <v>28213</v>
      </c>
      <c r="Y52" s="8">
        <f t="shared" si="67"/>
        <v>25202</v>
      </c>
      <c r="Z52" s="8">
        <f t="shared" si="67"/>
        <v>25382</v>
      </c>
      <c r="AA52" s="8">
        <f t="shared" si="67"/>
        <v>23362</v>
      </c>
      <c r="AB52" s="8">
        <f t="shared" si="67"/>
        <v>24603</v>
      </c>
      <c r="AC52" s="5"/>
      <c r="AD52" s="5"/>
      <c r="AE52" s="5"/>
      <c r="AF52" s="5"/>
      <c r="AG52" s="5"/>
      <c r="AH52" s="5"/>
      <c r="AI52" s="5"/>
    </row>
    <row r="53" spans="2:35" x14ac:dyDescent="0.2">
      <c r="B53" s="3" t="s">
        <v>52</v>
      </c>
      <c r="C53" s="5"/>
      <c r="D53" s="5"/>
      <c r="E53" s="5">
        <v>5081</v>
      </c>
      <c r="F53" s="5"/>
      <c r="G53" s="5">
        <v>5109</v>
      </c>
      <c r="H53" s="5">
        <v>5153</v>
      </c>
      <c r="I53" s="5">
        <v>5082</v>
      </c>
      <c r="J53" s="5"/>
      <c r="K53" s="5">
        <v>4948</v>
      </c>
      <c r="L53" s="5"/>
      <c r="M53" s="5"/>
      <c r="N53" s="5"/>
      <c r="O53" s="5"/>
      <c r="P53" s="5"/>
      <c r="Q53" s="5"/>
      <c r="R53" s="5"/>
      <c r="S53" s="5"/>
      <c r="T53" s="5">
        <v>4454</v>
      </c>
      <c r="U53" s="5">
        <v>4744</v>
      </c>
      <c r="V53" s="5">
        <v>4866</v>
      </c>
      <c r="W53" s="5">
        <v>4904</v>
      </c>
      <c r="X53" s="5">
        <v>4791</v>
      </c>
      <c r="Y53" s="5">
        <v>5081</v>
      </c>
      <c r="Z53" s="5">
        <v>5000</v>
      </c>
      <c r="AA53" s="5">
        <v>4828</v>
      </c>
      <c r="AB53" s="5">
        <v>4796</v>
      </c>
      <c r="AC53" s="5"/>
      <c r="AD53" s="5"/>
      <c r="AE53" s="5"/>
      <c r="AF53" s="5"/>
      <c r="AG53" s="5"/>
      <c r="AH53" s="5"/>
      <c r="AI53" s="5"/>
    </row>
    <row r="54" spans="2:35" x14ac:dyDescent="0.2">
      <c r="B54" s="3" t="s">
        <v>53</v>
      </c>
      <c r="C54" s="5"/>
      <c r="D54" s="5"/>
      <c r="E54" s="5">
        <v>2923</v>
      </c>
      <c r="F54" s="5"/>
      <c r="G54" s="5">
        <v>2939</v>
      </c>
      <c r="H54" s="5">
        <v>2943</v>
      </c>
      <c r="I54" s="5">
        <v>2856</v>
      </c>
      <c r="J54" s="5"/>
      <c r="K54" s="5">
        <v>2792</v>
      </c>
      <c r="L54" s="5"/>
      <c r="M54" s="5"/>
      <c r="N54" s="5"/>
      <c r="O54" s="5"/>
      <c r="P54" s="5"/>
      <c r="Q54" s="5"/>
      <c r="R54" s="5"/>
      <c r="S54" s="5"/>
      <c r="T54" s="5">
        <v>0</v>
      </c>
      <c r="U54" s="5">
        <v>0</v>
      </c>
      <c r="V54" s="5">
        <v>3097</v>
      </c>
      <c r="W54" s="5">
        <v>3113</v>
      </c>
      <c r="X54" s="5">
        <v>2926</v>
      </c>
      <c r="Y54" s="5">
        <v>2923</v>
      </c>
      <c r="Z54" s="5">
        <v>2718</v>
      </c>
      <c r="AA54" s="5">
        <v>2712</v>
      </c>
      <c r="AB54" s="5">
        <v>2838</v>
      </c>
      <c r="AC54" s="5"/>
      <c r="AD54" s="5"/>
      <c r="AE54" s="5"/>
      <c r="AF54" s="5"/>
      <c r="AG54" s="5"/>
      <c r="AH54" s="5"/>
      <c r="AI54" s="5"/>
    </row>
    <row r="55" spans="2:35" x14ac:dyDescent="0.2">
      <c r="B55" s="3" t="s">
        <v>54</v>
      </c>
      <c r="C55" s="5"/>
      <c r="D55" s="5"/>
      <c r="E55" s="5">
        <v>274</v>
      </c>
      <c r="F55" s="5"/>
      <c r="G55" s="5">
        <v>272</v>
      </c>
      <c r="H55" s="5">
        <v>269</v>
      </c>
      <c r="I55" s="5">
        <v>259</v>
      </c>
      <c r="J55" s="5"/>
      <c r="K55" s="5">
        <v>259</v>
      </c>
      <c r="L55" s="5"/>
      <c r="M55" s="5"/>
      <c r="N55" s="5"/>
      <c r="O55" s="5"/>
      <c r="P55" s="5"/>
      <c r="Q55" s="5"/>
      <c r="R55" s="5"/>
      <c r="S55" s="5"/>
      <c r="T55" s="5">
        <v>285</v>
      </c>
      <c r="U55" s="5">
        <v>283</v>
      </c>
      <c r="V55" s="5">
        <v>274</v>
      </c>
      <c r="W55" s="5">
        <v>269</v>
      </c>
      <c r="X55" s="5">
        <v>286</v>
      </c>
      <c r="Y55" s="5">
        <v>274</v>
      </c>
      <c r="Z55" s="5">
        <v>259</v>
      </c>
      <c r="AA55" s="5">
        <v>259</v>
      </c>
      <c r="AB55" s="5">
        <v>259</v>
      </c>
      <c r="AC55" s="5"/>
      <c r="AD55" s="5"/>
      <c r="AE55" s="5"/>
      <c r="AF55" s="5"/>
      <c r="AG55" s="5"/>
      <c r="AH55" s="5"/>
      <c r="AI55" s="5"/>
    </row>
    <row r="56" spans="2:35" x14ac:dyDescent="0.2">
      <c r="B56" s="3" t="s">
        <v>55</v>
      </c>
      <c r="C56" s="5"/>
      <c r="D56" s="5"/>
      <c r="E56" s="5">
        <v>281</v>
      </c>
      <c r="F56" s="5"/>
      <c r="G56" s="5">
        <v>281</v>
      </c>
      <c r="H56" s="5">
        <v>281</v>
      </c>
      <c r="I56" s="5">
        <v>240</v>
      </c>
      <c r="J56" s="5"/>
      <c r="K56" s="5">
        <v>240</v>
      </c>
      <c r="L56" s="5"/>
      <c r="M56" s="5"/>
      <c r="N56" s="5"/>
      <c r="O56" s="5"/>
      <c r="P56" s="5"/>
      <c r="Q56" s="5"/>
      <c r="R56" s="5"/>
      <c r="S56" s="5"/>
      <c r="T56" s="5">
        <v>154</v>
      </c>
      <c r="U56" s="5">
        <v>154</v>
      </c>
      <c r="V56" s="5">
        <v>223</v>
      </c>
      <c r="W56" s="5">
        <v>242</v>
      </c>
      <c r="X56" s="5">
        <v>284</v>
      </c>
      <c r="Y56" s="5">
        <v>281</v>
      </c>
      <c r="Z56" s="5">
        <v>240</v>
      </c>
      <c r="AA56" s="5">
        <v>240</v>
      </c>
      <c r="AB56" s="5">
        <v>240</v>
      </c>
      <c r="AC56" s="5"/>
      <c r="AD56" s="5"/>
      <c r="AE56" s="5"/>
      <c r="AF56" s="5"/>
      <c r="AG56" s="5"/>
      <c r="AH56" s="5"/>
      <c r="AI56" s="5"/>
    </row>
    <row r="57" spans="2:35" x14ac:dyDescent="0.2">
      <c r="B57" s="3" t="s">
        <v>56</v>
      </c>
      <c r="C57" s="5"/>
      <c r="D57" s="5"/>
      <c r="E57" s="5">
        <v>3770</v>
      </c>
      <c r="F57" s="5"/>
      <c r="G57" s="5">
        <v>3935</v>
      </c>
      <c r="H57" s="5">
        <v>3926</v>
      </c>
      <c r="I57" s="5">
        <v>4166</v>
      </c>
      <c r="J57" s="5"/>
      <c r="K57" s="5">
        <v>4588</v>
      </c>
      <c r="L57" s="5"/>
      <c r="M57" s="5"/>
      <c r="N57" s="5"/>
      <c r="O57" s="5"/>
      <c r="P57" s="5"/>
      <c r="Q57" s="5"/>
      <c r="R57" s="5"/>
      <c r="S57" s="5"/>
      <c r="T57" s="5">
        <v>2509</v>
      </c>
      <c r="U57" s="5">
        <v>2011</v>
      </c>
      <c r="V57" s="5">
        <v>2326</v>
      </c>
      <c r="W57" s="5">
        <v>2921</v>
      </c>
      <c r="X57" s="5">
        <v>3821</v>
      </c>
      <c r="Y57" s="5">
        <v>3770</v>
      </c>
      <c r="Z57" s="5">
        <v>4511</v>
      </c>
      <c r="AA57" s="5">
        <v>5178</v>
      </c>
      <c r="AB57" s="5">
        <v>5674</v>
      </c>
      <c r="AC57" s="5"/>
      <c r="AD57" s="5"/>
      <c r="AE57" s="5"/>
      <c r="AF57" s="5"/>
      <c r="AG57" s="5"/>
      <c r="AH57" s="5"/>
      <c r="AI57" s="5"/>
    </row>
    <row r="58" spans="2:35" x14ac:dyDescent="0.2">
      <c r="B58" s="6" t="s">
        <v>57</v>
      </c>
      <c r="C58" s="8">
        <f t="shared" ref="C58:I58" si="68">SUM(C53:C57)</f>
        <v>0</v>
      </c>
      <c r="D58" s="8">
        <f t="shared" si="68"/>
        <v>0</v>
      </c>
      <c r="E58" s="8">
        <f t="shared" si="68"/>
        <v>12329</v>
      </c>
      <c r="F58" s="8">
        <f t="shared" si="68"/>
        <v>0</v>
      </c>
      <c r="G58" s="8">
        <f t="shared" si="68"/>
        <v>12536</v>
      </c>
      <c r="H58" s="8">
        <f t="shared" si="68"/>
        <v>12572</v>
      </c>
      <c r="I58" s="8">
        <f t="shared" si="68"/>
        <v>12603</v>
      </c>
      <c r="J58" s="8">
        <f>SUM(J53:J57)</f>
        <v>0</v>
      </c>
      <c r="K58" s="8">
        <f>SUM(K53:K57)</f>
        <v>12827</v>
      </c>
      <c r="L58" s="8"/>
      <c r="M58" s="8"/>
      <c r="N58" s="5"/>
      <c r="O58" s="5"/>
      <c r="P58" s="5"/>
      <c r="Q58" s="5"/>
      <c r="R58" s="5"/>
      <c r="S58" s="5"/>
      <c r="T58" s="8">
        <f t="shared" ref="T58:AB58" si="69">SUM(T53:T57)</f>
        <v>7402</v>
      </c>
      <c r="U58" s="8">
        <f t="shared" si="69"/>
        <v>7192</v>
      </c>
      <c r="V58" s="8">
        <f t="shared" si="69"/>
        <v>10786</v>
      </c>
      <c r="W58" s="8">
        <f t="shared" si="69"/>
        <v>11449</v>
      </c>
      <c r="X58" s="8">
        <f t="shared" si="69"/>
        <v>12108</v>
      </c>
      <c r="Y58" s="8">
        <f t="shared" si="69"/>
        <v>12329</v>
      </c>
      <c r="Z58" s="8">
        <f t="shared" si="69"/>
        <v>12728</v>
      </c>
      <c r="AA58" s="8">
        <f t="shared" si="69"/>
        <v>13217</v>
      </c>
      <c r="AB58" s="8">
        <f t="shared" si="69"/>
        <v>13807</v>
      </c>
      <c r="AC58" s="5"/>
      <c r="AD58" s="5"/>
      <c r="AE58" s="5"/>
      <c r="AF58" s="5"/>
      <c r="AG58" s="5"/>
      <c r="AH58" s="5"/>
      <c r="AI58" s="5"/>
    </row>
    <row r="59" spans="2:35" x14ac:dyDescent="0.2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2:35" x14ac:dyDescent="0.2">
      <c r="B60" s="6" t="s">
        <v>58</v>
      </c>
      <c r="C60" s="8">
        <f t="shared" ref="C60:I60" si="70">C58+C52</f>
        <v>0</v>
      </c>
      <c r="D60" s="8">
        <f t="shared" si="70"/>
        <v>0</v>
      </c>
      <c r="E60" s="8">
        <f t="shared" si="70"/>
        <v>37531</v>
      </c>
      <c r="F60" s="8">
        <f t="shared" si="70"/>
        <v>0</v>
      </c>
      <c r="G60" s="8">
        <f t="shared" si="70"/>
        <v>36786</v>
      </c>
      <c r="H60" s="8">
        <f t="shared" si="70"/>
        <v>37203</v>
      </c>
      <c r="I60" s="8">
        <f t="shared" si="70"/>
        <v>37356</v>
      </c>
      <c r="J60" s="8">
        <f>J58+J52</f>
        <v>0</v>
      </c>
      <c r="K60" s="8">
        <f>K58+K52</f>
        <v>37867</v>
      </c>
      <c r="L60" s="8"/>
      <c r="M60" s="8"/>
      <c r="N60" s="5"/>
      <c r="O60" s="5"/>
      <c r="P60" s="5"/>
      <c r="Q60" s="5"/>
      <c r="R60" s="5"/>
      <c r="S60" s="5"/>
      <c r="T60" s="8">
        <f t="shared" ref="T60:AB60" si="71">T58+T52</f>
        <v>22536</v>
      </c>
      <c r="U60" s="8">
        <f t="shared" si="71"/>
        <v>23717</v>
      </c>
      <c r="V60" s="8">
        <f t="shared" si="71"/>
        <v>31342</v>
      </c>
      <c r="W60" s="8">
        <f t="shared" si="71"/>
        <v>37740</v>
      </c>
      <c r="X60" s="8">
        <f t="shared" si="71"/>
        <v>40321</v>
      </c>
      <c r="Y60" s="8">
        <f t="shared" si="71"/>
        <v>37531</v>
      </c>
      <c r="Z60" s="8">
        <f t="shared" si="71"/>
        <v>38110</v>
      </c>
      <c r="AA60" s="8">
        <f t="shared" si="71"/>
        <v>36579</v>
      </c>
      <c r="AB60" s="8">
        <f t="shared" si="71"/>
        <v>38410</v>
      </c>
      <c r="AC60" s="5"/>
      <c r="AD60" s="5"/>
      <c r="AE60" s="5"/>
      <c r="AF60" s="5"/>
      <c r="AG60" s="5"/>
      <c r="AH60" s="5"/>
      <c r="AI60" s="5"/>
    </row>
    <row r="61" spans="2:35" x14ac:dyDescent="0.2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2:35" x14ac:dyDescent="0.2">
      <c r="B62" s="3" t="s">
        <v>59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8"/>
      <c r="AB62" s="5"/>
      <c r="AC62" s="5"/>
      <c r="AD62" s="5"/>
      <c r="AE62" s="5"/>
      <c r="AF62" s="5"/>
      <c r="AG62" s="5"/>
      <c r="AH62" s="5"/>
      <c r="AI62" s="5"/>
    </row>
    <row r="63" spans="2:35" x14ac:dyDescent="0.2">
      <c r="B63" s="3" t="s">
        <v>60</v>
      </c>
      <c r="C63" s="5"/>
      <c r="D63" s="5"/>
      <c r="E63" s="5">
        <v>0</v>
      </c>
      <c r="F63" s="5"/>
      <c r="G63" s="5">
        <v>0</v>
      </c>
      <c r="H63" s="5">
        <v>0</v>
      </c>
      <c r="I63" s="5">
        <v>0</v>
      </c>
      <c r="J63" s="5"/>
      <c r="K63" s="5">
        <v>1000</v>
      </c>
      <c r="L63" s="5"/>
      <c r="M63" s="5"/>
      <c r="N63" s="5"/>
      <c r="O63" s="5"/>
      <c r="P63" s="5"/>
      <c r="Q63" s="5"/>
      <c r="R63" s="5"/>
      <c r="S63" s="5"/>
      <c r="T63" s="5">
        <v>6</v>
      </c>
      <c r="U63" s="5">
        <v>6</v>
      </c>
      <c r="V63" s="5">
        <v>3</v>
      </c>
      <c r="W63" s="5">
        <v>0</v>
      </c>
      <c r="X63" s="5">
        <v>500</v>
      </c>
      <c r="Y63" s="5">
        <v>0</v>
      </c>
      <c r="Z63" s="5">
        <v>1000</v>
      </c>
      <c r="AA63" s="5">
        <v>0</v>
      </c>
      <c r="AB63" s="5">
        <v>2000</v>
      </c>
      <c r="AC63" s="5"/>
      <c r="AD63" s="5"/>
      <c r="AE63" s="5"/>
      <c r="AF63" s="5"/>
      <c r="AG63" s="5"/>
      <c r="AH63" s="5"/>
      <c r="AI63" s="5"/>
    </row>
    <row r="64" spans="2:35" x14ac:dyDescent="0.2">
      <c r="B64" s="3" t="s">
        <v>61</v>
      </c>
      <c r="C64" s="5"/>
      <c r="D64" s="5"/>
      <c r="E64" s="5">
        <v>6</v>
      </c>
      <c r="F64" s="5"/>
      <c r="G64" s="5">
        <v>6</v>
      </c>
      <c r="H64" s="5">
        <v>6</v>
      </c>
      <c r="I64" s="5">
        <v>6</v>
      </c>
      <c r="J64" s="5"/>
      <c r="K64" s="5">
        <v>12</v>
      </c>
      <c r="L64" s="5"/>
      <c r="M64" s="5"/>
      <c r="N64" s="5"/>
      <c r="O64" s="5"/>
      <c r="P64" s="5"/>
      <c r="Q64" s="5"/>
      <c r="R64" s="5"/>
      <c r="S64" s="5"/>
      <c r="T64" s="5">
        <v>336</v>
      </c>
      <c r="U64" s="5">
        <v>9</v>
      </c>
      <c r="V64" s="5">
        <v>248</v>
      </c>
      <c r="W64" s="5">
        <v>2</v>
      </c>
      <c r="X64" s="5">
        <v>10</v>
      </c>
      <c r="Y64" s="5">
        <v>6</v>
      </c>
      <c r="Z64" s="5">
        <f t="shared" ref="Z64" si="72">I64</f>
        <v>6</v>
      </c>
      <c r="AA64" s="5">
        <v>0</v>
      </c>
      <c r="AB64" s="5">
        <v>0</v>
      </c>
      <c r="AC64" s="5"/>
      <c r="AD64" s="5"/>
      <c r="AE64" s="5"/>
      <c r="AF64" s="5"/>
      <c r="AG64" s="5"/>
      <c r="AH64" s="5"/>
      <c r="AI64" s="5"/>
    </row>
    <row r="65" spans="2:35" x14ac:dyDescent="0.2">
      <c r="B65" s="3" t="s">
        <v>62</v>
      </c>
      <c r="C65" s="5"/>
      <c r="D65" s="5"/>
      <c r="E65" s="5">
        <v>2862</v>
      </c>
      <c r="F65" s="5"/>
      <c r="G65" s="5">
        <v>2738</v>
      </c>
      <c r="H65" s="5">
        <v>2709</v>
      </c>
      <c r="I65" s="5">
        <v>2340</v>
      </c>
      <c r="J65" s="5"/>
      <c r="K65" s="5">
        <v>3357</v>
      </c>
      <c r="L65" s="5"/>
      <c r="M65" s="5"/>
      <c r="N65" s="5"/>
      <c r="O65" s="5"/>
      <c r="P65" s="5"/>
      <c r="Q65" s="5"/>
      <c r="R65" s="5"/>
      <c r="S65" s="5"/>
      <c r="T65" s="5">
        <v>2279</v>
      </c>
      <c r="U65" s="5">
        <v>2612</v>
      </c>
      <c r="V65" s="5">
        <v>2248</v>
      </c>
      <c r="W65" s="5">
        <v>2836</v>
      </c>
      <c r="X65" s="5">
        <v>3358</v>
      </c>
      <c r="Y65" s="5">
        <v>2862</v>
      </c>
      <c r="Z65" s="5">
        <v>2851</v>
      </c>
      <c r="AA65" s="5">
        <v>3479</v>
      </c>
      <c r="AB65" s="5">
        <v>3600</v>
      </c>
      <c r="AC65" s="5"/>
      <c r="AD65" s="5"/>
      <c r="AE65" s="5"/>
      <c r="AF65" s="5"/>
      <c r="AG65" s="5"/>
      <c r="AH65" s="5"/>
      <c r="AI65" s="5"/>
    </row>
    <row r="66" spans="2:35" x14ac:dyDescent="0.2">
      <c r="B66" s="3" t="s">
        <v>63</v>
      </c>
      <c r="C66" s="5"/>
      <c r="D66" s="5"/>
      <c r="E66" s="5">
        <v>425</v>
      </c>
      <c r="F66" s="5"/>
      <c r="G66" s="5">
        <v>435</v>
      </c>
      <c r="H66" s="5">
        <v>456</v>
      </c>
      <c r="I66" s="5">
        <v>474</v>
      </c>
      <c r="J66" s="5"/>
      <c r="K66" s="5">
        <v>491</v>
      </c>
      <c r="L66" s="5"/>
      <c r="M66" s="5"/>
      <c r="N66" s="5"/>
      <c r="O66" s="5"/>
      <c r="P66" s="5"/>
      <c r="Q66" s="5"/>
      <c r="R66" s="5"/>
      <c r="S66" s="5"/>
      <c r="T66" s="5">
        <v>0</v>
      </c>
      <c r="U66" s="5">
        <v>0</v>
      </c>
      <c r="V66" s="5">
        <v>445</v>
      </c>
      <c r="W66" s="5">
        <v>467</v>
      </c>
      <c r="X66" s="5">
        <v>420</v>
      </c>
      <c r="Y66" s="5">
        <v>425</v>
      </c>
      <c r="Z66" s="5">
        <v>477</v>
      </c>
      <c r="AA66" s="5">
        <v>502</v>
      </c>
      <c r="AB66" s="5">
        <v>478</v>
      </c>
      <c r="AC66" s="5"/>
      <c r="AD66" s="5"/>
      <c r="AE66" s="5"/>
      <c r="AF66" s="5"/>
      <c r="AG66" s="5"/>
      <c r="AH66" s="5"/>
      <c r="AI66" s="5"/>
    </row>
    <row r="67" spans="2:35" x14ac:dyDescent="0.2">
      <c r="B67" s="3" t="s">
        <v>64</v>
      </c>
      <c r="C67" s="5"/>
      <c r="D67" s="5"/>
      <c r="E67" s="5">
        <v>5723</v>
      </c>
      <c r="F67" s="5"/>
      <c r="G67" s="5">
        <v>4987</v>
      </c>
      <c r="H67" s="5">
        <v>5470</v>
      </c>
      <c r="I67" s="5">
        <v>5818</v>
      </c>
      <c r="J67" s="5"/>
      <c r="K67" s="5">
        <v>5075</v>
      </c>
      <c r="L67" s="5"/>
      <c r="M67" s="5"/>
      <c r="N67" s="5"/>
      <c r="O67" s="5"/>
      <c r="P67" s="5"/>
      <c r="Q67" s="5"/>
      <c r="R67" s="5"/>
      <c r="S67" s="5"/>
      <c r="T67" s="5">
        <v>3269</v>
      </c>
      <c r="U67" s="5">
        <v>5010</v>
      </c>
      <c r="V67" s="5">
        <v>5184</v>
      </c>
      <c r="W67" s="5">
        <v>6063</v>
      </c>
      <c r="X67" s="5">
        <v>6220</v>
      </c>
      <c r="Y67" s="5">
        <v>5723</v>
      </c>
      <c r="Z67" s="5">
        <v>5725</v>
      </c>
      <c r="AA67" s="5">
        <v>5916</v>
      </c>
      <c r="AB67" s="5">
        <v>6092</v>
      </c>
      <c r="AC67" s="5"/>
      <c r="AD67" s="5"/>
      <c r="AE67" s="5"/>
      <c r="AF67" s="5"/>
      <c r="AG67" s="5"/>
      <c r="AH67" s="5"/>
      <c r="AI67" s="5"/>
    </row>
    <row r="68" spans="2:35" x14ac:dyDescent="0.2">
      <c r="B68" s="3" t="s">
        <v>65</v>
      </c>
      <c r="C68" s="5"/>
      <c r="D68" s="5"/>
      <c r="E68" s="5">
        <v>240</v>
      </c>
      <c r="F68" s="5"/>
      <c r="G68" s="5">
        <v>295</v>
      </c>
      <c r="H68" s="5">
        <v>358</v>
      </c>
      <c r="I68" s="5">
        <v>391</v>
      </c>
      <c r="J68" s="5"/>
      <c r="K68" s="5">
        <v>693</v>
      </c>
      <c r="L68" s="5"/>
      <c r="M68" s="5"/>
      <c r="N68" s="5"/>
      <c r="O68" s="5"/>
      <c r="P68" s="5"/>
      <c r="Q68" s="5"/>
      <c r="R68" s="5"/>
      <c r="S68" s="5"/>
      <c r="T68" s="5">
        <v>150</v>
      </c>
      <c r="U68" s="5">
        <v>229</v>
      </c>
      <c r="V68" s="5">
        <v>156</v>
      </c>
      <c r="W68" s="5">
        <v>306</v>
      </c>
      <c r="X68" s="5">
        <v>222</v>
      </c>
      <c r="Y68" s="5">
        <v>240</v>
      </c>
      <c r="Z68" s="5">
        <v>534</v>
      </c>
      <c r="AA68" s="5">
        <v>669</v>
      </c>
      <c r="AB68" s="5">
        <v>377</v>
      </c>
      <c r="AC68" s="5"/>
      <c r="AD68" s="5"/>
      <c r="AE68" s="5"/>
      <c r="AF68" s="5"/>
      <c r="AG68" s="5"/>
      <c r="AH68" s="5"/>
      <c r="AI68" s="5"/>
    </row>
    <row r="69" spans="2:35" x14ac:dyDescent="0.2">
      <c r="B69" s="6" t="s">
        <v>51</v>
      </c>
      <c r="C69" s="8">
        <f t="shared" ref="C69:I69" si="73">SUM(C63:C68)</f>
        <v>0</v>
      </c>
      <c r="D69" s="8">
        <f t="shared" si="73"/>
        <v>0</v>
      </c>
      <c r="E69" s="8">
        <f t="shared" si="73"/>
        <v>9256</v>
      </c>
      <c r="F69" s="8">
        <f t="shared" si="73"/>
        <v>0</v>
      </c>
      <c r="G69" s="8">
        <f t="shared" si="73"/>
        <v>8461</v>
      </c>
      <c r="H69" s="8">
        <f t="shared" si="73"/>
        <v>8999</v>
      </c>
      <c r="I69" s="8">
        <f t="shared" si="73"/>
        <v>9029</v>
      </c>
      <c r="J69" s="8">
        <f>SUM(J63:J68)</f>
        <v>0</v>
      </c>
      <c r="K69" s="8">
        <f>SUM(K63:K68)</f>
        <v>10628</v>
      </c>
      <c r="L69" s="8"/>
      <c r="M69" s="8"/>
      <c r="N69" s="5"/>
      <c r="O69" s="5"/>
      <c r="P69" s="5"/>
      <c r="Q69" s="5"/>
      <c r="R69" s="5"/>
      <c r="S69" s="5"/>
      <c r="T69" s="8">
        <f t="shared" ref="T69:V69" si="74">SUM(T63:T68)</f>
        <v>6040</v>
      </c>
      <c r="U69" s="8">
        <f t="shared" si="74"/>
        <v>7866</v>
      </c>
      <c r="V69" s="8">
        <f t="shared" si="74"/>
        <v>8284</v>
      </c>
      <c r="W69" s="8">
        <f t="shared" ref="W69" si="75">SUM(W63:W68)</f>
        <v>9674</v>
      </c>
      <c r="X69" s="8">
        <f t="shared" ref="X69" si="76">SUM(X63:X68)</f>
        <v>10730</v>
      </c>
      <c r="Y69" s="8">
        <f t="shared" ref="Y69" si="77">SUM(Y63:Y68)</f>
        <v>9256</v>
      </c>
      <c r="Z69" s="8">
        <f t="shared" ref="Z69:AB69" si="78">SUM(Z63:Z68)</f>
        <v>10593</v>
      </c>
      <c r="AA69" s="8">
        <f t="shared" si="78"/>
        <v>10566</v>
      </c>
      <c r="AB69" s="8">
        <f t="shared" si="78"/>
        <v>12547</v>
      </c>
      <c r="AC69" s="5"/>
      <c r="AD69" s="5"/>
      <c r="AE69" s="5"/>
      <c r="AF69" s="5"/>
      <c r="AG69" s="5"/>
      <c r="AH69" s="5"/>
      <c r="AI69" s="5"/>
    </row>
    <row r="70" spans="2:35" x14ac:dyDescent="0.2">
      <c r="B70" s="3" t="s">
        <v>66</v>
      </c>
      <c r="C70" s="5"/>
      <c r="D70" s="5"/>
      <c r="E70" s="5">
        <v>8927</v>
      </c>
      <c r="F70" s="5"/>
      <c r="G70" s="5">
        <v>8929</v>
      </c>
      <c r="H70" s="5">
        <v>8930</v>
      </c>
      <c r="I70" s="5">
        <v>8930</v>
      </c>
      <c r="J70" s="5"/>
      <c r="K70" s="5">
        <v>7998</v>
      </c>
      <c r="L70" s="5"/>
      <c r="M70" s="5"/>
      <c r="N70" s="5"/>
      <c r="O70" s="5"/>
      <c r="P70" s="5"/>
      <c r="Q70" s="5"/>
      <c r="R70" s="5"/>
      <c r="S70" s="5"/>
      <c r="T70" s="5">
        <v>3468</v>
      </c>
      <c r="U70" s="5">
        <v>3464</v>
      </c>
      <c r="V70" s="5">
        <v>9406</v>
      </c>
      <c r="W70" s="5">
        <v>9413</v>
      </c>
      <c r="X70" s="5">
        <v>8920</v>
      </c>
      <c r="Y70" s="5">
        <v>8927</v>
      </c>
      <c r="Z70" s="5">
        <v>7903</v>
      </c>
      <c r="AA70" s="5">
        <v>7961</v>
      </c>
      <c r="AB70" s="5">
        <v>5942</v>
      </c>
      <c r="AC70" s="5"/>
      <c r="AD70" s="5"/>
      <c r="AE70" s="5"/>
      <c r="AF70" s="5"/>
      <c r="AG70" s="5"/>
      <c r="AH70" s="5"/>
      <c r="AI70" s="5"/>
    </row>
    <row r="71" spans="2:35" x14ac:dyDescent="0.2">
      <c r="B71" s="3" t="s">
        <v>67</v>
      </c>
      <c r="C71" s="5"/>
      <c r="D71" s="5"/>
      <c r="E71" s="5">
        <v>2786</v>
      </c>
      <c r="F71" s="5"/>
      <c r="G71" s="5">
        <v>2807</v>
      </c>
      <c r="H71" s="5">
        <v>2785</v>
      </c>
      <c r="I71" s="5">
        <v>2691</v>
      </c>
      <c r="J71" s="5"/>
      <c r="K71" s="5">
        <v>2625</v>
      </c>
      <c r="L71" s="5"/>
      <c r="M71" s="5"/>
      <c r="N71" s="5"/>
      <c r="O71" s="5"/>
      <c r="P71" s="5"/>
      <c r="Q71" s="5"/>
      <c r="R71" s="5"/>
      <c r="S71" s="5"/>
      <c r="T71" s="5">
        <v>0</v>
      </c>
      <c r="U71" s="5">
        <v>0</v>
      </c>
      <c r="V71" s="5">
        <v>2913</v>
      </c>
      <c r="W71" s="5">
        <v>2931</v>
      </c>
      <c r="X71" s="5">
        <v>2777</v>
      </c>
      <c r="Y71" s="5">
        <v>2786</v>
      </c>
      <c r="Z71" s="5">
        <v>2566</v>
      </c>
      <c r="AA71" s="5">
        <v>2550</v>
      </c>
      <c r="AB71" s="5">
        <v>2613</v>
      </c>
      <c r="AC71" s="5"/>
      <c r="AD71" s="5"/>
      <c r="AE71" s="5"/>
      <c r="AF71" s="5"/>
      <c r="AG71" s="5"/>
      <c r="AH71" s="5"/>
      <c r="AI71" s="5"/>
    </row>
    <row r="72" spans="2:35" x14ac:dyDescent="0.2">
      <c r="B72" s="3" t="s">
        <v>68</v>
      </c>
      <c r="C72" s="5"/>
      <c r="D72" s="5"/>
      <c r="E72" s="5">
        <v>2558</v>
      </c>
      <c r="F72" s="5"/>
      <c r="G72" s="5">
        <v>2618</v>
      </c>
      <c r="H72" s="5">
        <v>2343</v>
      </c>
      <c r="I72" s="5">
        <v>2480</v>
      </c>
      <c r="J72" s="5"/>
      <c r="K72" s="5">
        <v>2672</v>
      </c>
      <c r="L72" s="5"/>
      <c r="M72" s="5"/>
      <c r="N72" s="5"/>
      <c r="O72" s="5"/>
      <c r="P72" s="5"/>
      <c r="Q72" s="5"/>
      <c r="R72" s="5"/>
      <c r="S72" s="5"/>
      <c r="T72" s="5">
        <v>3216</v>
      </c>
      <c r="U72" s="5">
        <v>3347</v>
      </c>
      <c r="V72" s="5">
        <v>2684</v>
      </c>
      <c r="W72" s="5">
        <v>2955</v>
      </c>
      <c r="X72" s="5">
        <v>2613</v>
      </c>
      <c r="Y72" s="5">
        <v>2558</v>
      </c>
      <c r="Z72" s="5">
        <v>2618</v>
      </c>
      <c r="AA72" s="5">
        <v>2289</v>
      </c>
      <c r="AB72" s="5">
        <v>2443</v>
      </c>
      <c r="AC72" s="5"/>
      <c r="AD72" s="5"/>
      <c r="AE72" s="5"/>
      <c r="AF72" s="5"/>
      <c r="AG72" s="5"/>
      <c r="AH72" s="5"/>
      <c r="AI72" s="5"/>
    </row>
    <row r="73" spans="2:35" x14ac:dyDescent="0.2">
      <c r="B73" s="6" t="s">
        <v>69</v>
      </c>
      <c r="C73" s="8">
        <f t="shared" ref="C73:I73" si="79">SUM(C70:C72)</f>
        <v>0</v>
      </c>
      <c r="D73" s="8">
        <f t="shared" si="79"/>
        <v>0</v>
      </c>
      <c r="E73" s="8">
        <f t="shared" si="79"/>
        <v>14271</v>
      </c>
      <c r="F73" s="8">
        <f t="shared" si="79"/>
        <v>0</v>
      </c>
      <c r="G73" s="8">
        <f t="shared" si="79"/>
        <v>14354</v>
      </c>
      <c r="H73" s="8">
        <f t="shared" si="79"/>
        <v>14058</v>
      </c>
      <c r="I73" s="8">
        <f t="shared" si="79"/>
        <v>14101</v>
      </c>
      <c r="J73" s="8">
        <f>SUM(J70:J72)</f>
        <v>0</v>
      </c>
      <c r="K73" s="8">
        <f>SUM(K70:K72)</f>
        <v>13295</v>
      </c>
      <c r="L73" s="8"/>
      <c r="M73" s="8"/>
      <c r="N73" s="5"/>
      <c r="O73" s="5"/>
      <c r="P73" s="5"/>
      <c r="Q73" s="5"/>
      <c r="R73" s="5"/>
      <c r="S73" s="5"/>
      <c r="T73" s="8">
        <f t="shared" ref="T73:AB73" si="80">SUM(T70:T72)</f>
        <v>6684</v>
      </c>
      <c r="U73" s="8">
        <f t="shared" si="80"/>
        <v>6811</v>
      </c>
      <c r="V73" s="8">
        <f t="shared" si="80"/>
        <v>15003</v>
      </c>
      <c r="W73" s="8">
        <f t="shared" si="80"/>
        <v>15299</v>
      </c>
      <c r="X73" s="8">
        <f t="shared" si="80"/>
        <v>14310</v>
      </c>
      <c r="Y73" s="8">
        <f t="shared" si="80"/>
        <v>14271</v>
      </c>
      <c r="Z73" s="8">
        <f t="shared" si="80"/>
        <v>13087</v>
      </c>
      <c r="AA73" s="8">
        <f t="shared" si="80"/>
        <v>12800</v>
      </c>
      <c r="AB73" s="8">
        <f t="shared" si="80"/>
        <v>10998</v>
      </c>
      <c r="AC73" s="5"/>
      <c r="AD73" s="5"/>
      <c r="AE73" s="5"/>
      <c r="AF73" s="5"/>
      <c r="AG73" s="5"/>
      <c r="AH73" s="5"/>
      <c r="AI73" s="5"/>
    </row>
    <row r="74" spans="2:35" x14ac:dyDescent="0.2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spans="2:35" x14ac:dyDescent="0.2">
      <c r="B75" s="6" t="s">
        <v>70</v>
      </c>
      <c r="C75" s="8">
        <f t="shared" ref="C75:I75" si="81">C73+C69</f>
        <v>0</v>
      </c>
      <c r="D75" s="8">
        <f t="shared" si="81"/>
        <v>0</v>
      </c>
      <c r="E75" s="8">
        <f t="shared" si="81"/>
        <v>23527</v>
      </c>
      <c r="F75" s="8">
        <f t="shared" si="81"/>
        <v>0</v>
      </c>
      <c r="G75" s="8">
        <f t="shared" si="81"/>
        <v>22815</v>
      </c>
      <c r="H75" s="8">
        <f t="shared" si="81"/>
        <v>23057</v>
      </c>
      <c r="I75" s="8">
        <f t="shared" si="81"/>
        <v>23130</v>
      </c>
      <c r="J75" s="8">
        <f>J73+J69</f>
        <v>0</v>
      </c>
      <c r="K75" s="8">
        <f>K73+K69</f>
        <v>23923</v>
      </c>
      <c r="L75" s="8"/>
      <c r="M75" s="8"/>
      <c r="N75" s="5"/>
      <c r="O75" s="5"/>
      <c r="P75" s="5"/>
      <c r="Q75" s="5"/>
      <c r="R75" s="5"/>
      <c r="S75" s="5"/>
      <c r="T75" s="8">
        <f t="shared" ref="T75:AB75" si="82">T73+T69</f>
        <v>12724</v>
      </c>
      <c r="U75" s="8">
        <f t="shared" si="82"/>
        <v>14677</v>
      </c>
      <c r="V75" s="8">
        <f t="shared" si="82"/>
        <v>23287</v>
      </c>
      <c r="W75" s="8">
        <f t="shared" si="82"/>
        <v>24973</v>
      </c>
      <c r="X75" s="8">
        <f t="shared" si="82"/>
        <v>25040</v>
      </c>
      <c r="Y75" s="8">
        <f t="shared" si="82"/>
        <v>23527</v>
      </c>
      <c r="Z75" s="8">
        <f t="shared" si="82"/>
        <v>23680</v>
      </c>
      <c r="AA75" s="8">
        <f t="shared" si="82"/>
        <v>23366</v>
      </c>
      <c r="AB75" s="8">
        <f t="shared" si="82"/>
        <v>23545</v>
      </c>
      <c r="AC75" s="5"/>
      <c r="AD75" s="5"/>
      <c r="AE75" s="5"/>
      <c r="AF75" s="5"/>
      <c r="AG75" s="5"/>
      <c r="AH75" s="5"/>
      <c r="AI75" s="5"/>
    </row>
    <row r="76" spans="2:35" x14ac:dyDescent="0.2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spans="2:35" x14ac:dyDescent="0.2">
      <c r="B77" s="3" t="s">
        <v>71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spans="2:35" x14ac:dyDescent="0.2">
      <c r="B78" s="3" t="s">
        <v>72</v>
      </c>
      <c r="C78" s="5"/>
      <c r="D78" s="5"/>
      <c r="E78" s="5">
        <v>0</v>
      </c>
      <c r="F78" s="5"/>
      <c r="G78" s="5">
        <v>0</v>
      </c>
      <c r="H78" s="5">
        <v>0</v>
      </c>
      <c r="I78" s="5">
        <v>0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/>
      <c r="AD78" s="5"/>
      <c r="AE78" s="5"/>
      <c r="AF78" s="5"/>
      <c r="AG78" s="5"/>
      <c r="AH78" s="5"/>
      <c r="AI78" s="5"/>
    </row>
    <row r="79" spans="2:35" x14ac:dyDescent="0.2">
      <c r="B79" s="3" t="s">
        <v>73</v>
      </c>
      <c r="C79" s="5"/>
      <c r="D79" s="5"/>
      <c r="E79" s="5">
        <v>3</v>
      </c>
      <c r="F79" s="5"/>
      <c r="G79" s="5">
        <v>3</v>
      </c>
      <c r="H79" s="5">
        <v>3</v>
      </c>
      <c r="I79" s="5">
        <v>3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>
        <v>3</v>
      </c>
      <c r="U79" s="5">
        <v>3</v>
      </c>
      <c r="V79" s="5">
        <v>3</v>
      </c>
      <c r="W79" s="5">
        <v>3</v>
      </c>
      <c r="X79" s="5">
        <v>3</v>
      </c>
      <c r="Y79" s="5">
        <v>3</v>
      </c>
      <c r="Z79" s="5">
        <v>3</v>
      </c>
      <c r="AA79" s="5">
        <v>3</v>
      </c>
      <c r="AB79" s="5">
        <v>3</v>
      </c>
      <c r="AC79" s="5"/>
      <c r="AD79" s="5"/>
      <c r="AE79" s="5"/>
      <c r="AF79" s="5"/>
      <c r="AG79" s="5"/>
      <c r="AH79" s="5"/>
      <c r="AI79" s="5"/>
    </row>
    <row r="80" spans="2:35" x14ac:dyDescent="0.2">
      <c r="B80" s="3" t="s">
        <v>74</v>
      </c>
      <c r="C80" s="5"/>
      <c r="D80" s="5"/>
      <c r="E80" s="5">
        <v>12412</v>
      </c>
      <c r="F80" s="5"/>
      <c r="G80" s="5">
        <v>12590</v>
      </c>
      <c r="H80" s="5">
        <v>12871</v>
      </c>
      <c r="I80" s="5">
        <v>13128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>
        <v>6384</v>
      </c>
      <c r="U80" s="5">
        <v>7163</v>
      </c>
      <c r="V80" s="5">
        <v>8299</v>
      </c>
      <c r="W80" s="5">
        <v>9965</v>
      </c>
      <c r="X80" s="5">
        <v>11484</v>
      </c>
      <c r="Y80" s="5">
        <v>12412</v>
      </c>
      <c r="Z80" s="5">
        <v>13409</v>
      </c>
      <c r="AA80" s="5">
        <v>14195</v>
      </c>
      <c r="AB80" s="5">
        <v>15158</v>
      </c>
      <c r="AC80" s="5"/>
      <c r="AD80" s="5"/>
      <c r="AE80" s="5"/>
      <c r="AF80" s="5"/>
      <c r="AG80" s="5"/>
      <c r="AH80" s="5"/>
      <c r="AI80" s="5"/>
    </row>
    <row r="81" spans="1:35" x14ac:dyDescent="0.2">
      <c r="B81" s="3" t="s">
        <v>75</v>
      </c>
      <c r="C81" s="5"/>
      <c r="D81" s="5"/>
      <c r="E81" s="5">
        <v>231</v>
      </c>
      <c r="F81" s="5"/>
      <c r="G81" s="5">
        <v>136</v>
      </c>
      <c r="H81" s="5">
        <v>121</v>
      </c>
      <c r="I81" s="5">
        <v>125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-92</v>
      </c>
      <c r="U81" s="5">
        <v>231</v>
      </c>
      <c r="V81" s="5">
        <v>-56</v>
      </c>
      <c r="W81" s="5">
        <v>-380</v>
      </c>
      <c r="X81" s="5">
        <v>318</v>
      </c>
      <c r="Y81" s="5">
        <v>231</v>
      </c>
      <c r="Z81" s="5">
        <v>53</v>
      </c>
      <c r="AA81" s="5">
        <v>-258</v>
      </c>
      <c r="AB81" s="5">
        <v>-141</v>
      </c>
      <c r="AC81" s="5"/>
      <c r="AD81" s="5"/>
      <c r="AE81" s="5"/>
      <c r="AF81" s="5"/>
      <c r="AG81" s="5"/>
      <c r="AH81" s="5"/>
      <c r="AI81" s="5"/>
    </row>
    <row r="82" spans="1:35" x14ac:dyDescent="0.2">
      <c r="B82" s="3" t="s">
        <v>76</v>
      </c>
      <c r="C82" s="5"/>
      <c r="D82" s="5"/>
      <c r="E82" s="5">
        <v>1358</v>
      </c>
      <c r="F82" s="5"/>
      <c r="G82" s="5">
        <v>1242</v>
      </c>
      <c r="H82" s="5">
        <v>1151</v>
      </c>
      <c r="I82" s="5">
        <v>970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3517</v>
      </c>
      <c r="U82" s="5">
        <v>1643</v>
      </c>
      <c r="V82" s="5">
        <v>-191</v>
      </c>
      <c r="W82" s="5">
        <v>3179</v>
      </c>
      <c r="X82" s="5">
        <v>3476</v>
      </c>
      <c r="Y82" s="5">
        <v>1358</v>
      </c>
      <c r="Z82" s="5">
        <v>965</v>
      </c>
      <c r="AA82" s="5">
        <v>-727</v>
      </c>
      <c r="AB82" s="5">
        <v>-155</v>
      </c>
      <c r="AC82" s="5"/>
      <c r="AD82" s="5"/>
      <c r="AE82" s="5"/>
      <c r="AF82" s="5"/>
      <c r="AG82" s="5"/>
      <c r="AH82" s="5"/>
      <c r="AI82" s="5"/>
    </row>
    <row r="83" spans="1:35" x14ac:dyDescent="0.2">
      <c r="B83" s="6" t="s">
        <v>77</v>
      </c>
      <c r="C83" s="8">
        <f t="shared" ref="C83:I83" si="83">SUM(C78:C82)</f>
        <v>0</v>
      </c>
      <c r="D83" s="8">
        <f t="shared" si="83"/>
        <v>0</v>
      </c>
      <c r="E83" s="8">
        <f t="shared" si="83"/>
        <v>14004</v>
      </c>
      <c r="F83" s="8">
        <f t="shared" si="83"/>
        <v>0</v>
      </c>
      <c r="G83" s="8">
        <f t="shared" si="83"/>
        <v>13971</v>
      </c>
      <c r="H83" s="8">
        <f t="shared" si="83"/>
        <v>14146</v>
      </c>
      <c r="I83" s="8">
        <f t="shared" si="83"/>
        <v>14226</v>
      </c>
      <c r="J83" s="8">
        <f>SUM(J78:J82)</f>
        <v>0</v>
      </c>
      <c r="K83" s="8">
        <v>13944</v>
      </c>
      <c r="L83" s="8"/>
      <c r="M83" s="8"/>
      <c r="N83" s="5"/>
      <c r="O83" s="5"/>
      <c r="P83" s="5"/>
      <c r="Q83" s="5"/>
      <c r="R83" s="5"/>
      <c r="S83" s="5"/>
      <c r="T83" s="8">
        <f t="shared" ref="T83:AB83" si="84">SUM(T78:T82)</f>
        <v>9812</v>
      </c>
      <c r="U83" s="8">
        <f t="shared" si="84"/>
        <v>9040</v>
      </c>
      <c r="V83" s="8">
        <f t="shared" si="84"/>
        <v>8055</v>
      </c>
      <c r="W83" s="8">
        <f t="shared" si="84"/>
        <v>12767</v>
      </c>
      <c r="X83" s="8">
        <f t="shared" si="84"/>
        <v>15281</v>
      </c>
      <c r="Y83" s="8">
        <f t="shared" si="84"/>
        <v>14004</v>
      </c>
      <c r="Z83" s="8">
        <f t="shared" si="84"/>
        <v>14430</v>
      </c>
      <c r="AA83" s="8">
        <f t="shared" si="84"/>
        <v>13213</v>
      </c>
      <c r="AB83" s="8">
        <f t="shared" si="84"/>
        <v>14865</v>
      </c>
      <c r="AC83" s="5"/>
      <c r="AD83" s="5"/>
      <c r="AE83" s="5"/>
      <c r="AF83" s="5"/>
      <c r="AG83" s="5"/>
      <c r="AH83" s="5"/>
      <c r="AI83" s="5"/>
    </row>
    <row r="84" spans="1:35" x14ac:dyDescent="0.2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spans="1:35" x14ac:dyDescent="0.2">
      <c r="B85" s="6" t="s">
        <v>78</v>
      </c>
      <c r="C85" s="8">
        <f t="shared" ref="C85:I85" si="85">C83+C75</f>
        <v>0</v>
      </c>
      <c r="D85" s="8">
        <f t="shared" si="85"/>
        <v>0</v>
      </c>
      <c r="E85" s="8">
        <f t="shared" si="85"/>
        <v>37531</v>
      </c>
      <c r="F85" s="8">
        <f t="shared" si="85"/>
        <v>0</v>
      </c>
      <c r="G85" s="8">
        <f>G83+G75</f>
        <v>36786</v>
      </c>
      <c r="H85" s="8">
        <f t="shared" si="85"/>
        <v>37203</v>
      </c>
      <c r="I85" s="8">
        <f t="shared" si="85"/>
        <v>37356</v>
      </c>
      <c r="J85" s="8">
        <f>J83+J75</f>
        <v>0</v>
      </c>
      <c r="K85" s="8">
        <f>K83+K75</f>
        <v>37867</v>
      </c>
      <c r="L85" s="8"/>
      <c r="M85" s="8"/>
      <c r="N85" s="5"/>
      <c r="O85" s="5"/>
      <c r="P85" s="5"/>
      <c r="Q85" s="5"/>
      <c r="R85" s="5"/>
      <c r="S85" s="5"/>
      <c r="T85" s="8">
        <f>T83+T75</f>
        <v>22536</v>
      </c>
      <c r="U85" s="8">
        <f t="shared" ref="U85:AB85" si="86">U83+U75</f>
        <v>23717</v>
      </c>
      <c r="V85" s="8">
        <f t="shared" si="86"/>
        <v>31342</v>
      </c>
      <c r="W85" s="8">
        <f t="shared" si="86"/>
        <v>37740</v>
      </c>
      <c r="X85" s="8">
        <f t="shared" si="86"/>
        <v>40321</v>
      </c>
      <c r="Y85" s="8">
        <f t="shared" si="86"/>
        <v>37531</v>
      </c>
      <c r="Z85" s="8">
        <f t="shared" si="86"/>
        <v>38110</v>
      </c>
      <c r="AA85" s="8">
        <f t="shared" si="86"/>
        <v>36579</v>
      </c>
      <c r="AB85" s="8">
        <f t="shared" si="86"/>
        <v>38410</v>
      </c>
      <c r="AC85" s="5"/>
      <c r="AD85" s="5"/>
      <c r="AE85" s="5"/>
      <c r="AF85" s="5"/>
      <c r="AG85" s="5"/>
      <c r="AH85" s="5"/>
      <c r="AI85" s="5"/>
    </row>
    <row r="86" spans="1:35" x14ac:dyDescent="0.2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spans="1:35" x14ac:dyDescent="0.2">
      <c r="A87" s="7" t="s">
        <v>11</v>
      </c>
      <c r="B87" s="15" t="s">
        <v>79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spans="1:35" x14ac:dyDescent="0.2">
      <c r="B88" s="3" t="s">
        <v>80</v>
      </c>
      <c r="C88" s="5">
        <f t="shared" ref="C88:J88" si="87">C27</f>
        <v>1468</v>
      </c>
      <c r="D88" s="5">
        <f t="shared" si="87"/>
        <v>1331</v>
      </c>
      <c r="E88" s="5">
        <f t="shared" si="87"/>
        <v>1240</v>
      </c>
      <c r="F88" s="5">
        <f t="shared" si="87"/>
        <v>2007</v>
      </c>
      <c r="G88" s="5">
        <f t="shared" si="87"/>
        <v>1450</v>
      </c>
      <c r="H88" s="5">
        <f t="shared" si="87"/>
        <v>1578</v>
      </c>
      <c r="I88" s="5">
        <f t="shared" si="87"/>
        <v>1172</v>
      </c>
      <c r="J88" s="5">
        <f t="shared" si="87"/>
        <v>1500</v>
      </c>
      <c r="K88" s="5"/>
      <c r="L88" s="5"/>
      <c r="M88" s="5"/>
      <c r="N88" s="5"/>
      <c r="O88" s="5"/>
      <c r="P88" s="5"/>
      <c r="Q88" s="5"/>
      <c r="R88" s="5"/>
      <c r="S88" s="5"/>
      <c r="T88" s="5">
        <f t="shared" ref="T88:AB88" si="88">T27</f>
        <v>1933</v>
      </c>
      <c r="U88" s="5">
        <f t="shared" si="88"/>
        <v>4029</v>
      </c>
      <c r="V88" s="5">
        <f t="shared" si="88"/>
        <v>2539</v>
      </c>
      <c r="W88" s="5">
        <f t="shared" si="88"/>
        <v>5727</v>
      </c>
      <c r="X88" s="5">
        <f t="shared" si="88"/>
        <v>6046</v>
      </c>
      <c r="Y88" s="5">
        <f t="shared" si="88"/>
        <v>5070</v>
      </c>
      <c r="Z88" s="5">
        <f t="shared" si="88"/>
        <v>5700</v>
      </c>
      <c r="AA88" s="5">
        <f t="shared" si="88"/>
        <v>3219</v>
      </c>
      <c r="AB88" s="5">
        <f t="shared" si="88"/>
        <v>3108</v>
      </c>
      <c r="AC88" s="5"/>
      <c r="AD88" s="5"/>
      <c r="AE88" s="5"/>
      <c r="AF88" s="5"/>
      <c r="AG88" s="5"/>
      <c r="AH88" s="5"/>
      <c r="AI88" s="5"/>
    </row>
    <row r="89" spans="1:35" x14ac:dyDescent="0.2">
      <c r="B89" s="3" t="s">
        <v>81</v>
      </c>
      <c r="C89" s="5"/>
      <c r="D89" s="5"/>
      <c r="E89" s="5"/>
      <c r="F89" s="5"/>
      <c r="G89" s="5"/>
      <c r="H89" s="5"/>
      <c r="I89" s="5">
        <v>589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747</v>
      </c>
      <c r="U89" s="5">
        <v>705</v>
      </c>
      <c r="V89" s="5">
        <v>721</v>
      </c>
      <c r="W89" s="5">
        <v>744</v>
      </c>
      <c r="X89" s="5">
        <v>717</v>
      </c>
      <c r="Y89" s="5">
        <v>703</v>
      </c>
      <c r="Z89" s="5">
        <v>796</v>
      </c>
      <c r="AA89" s="5">
        <v>775</v>
      </c>
      <c r="AB89" s="5">
        <v>747</v>
      </c>
      <c r="AC89" s="5"/>
      <c r="AD89" s="5"/>
      <c r="AE89" s="5"/>
      <c r="AF89" s="5"/>
      <c r="AG89" s="5"/>
      <c r="AH89" s="5"/>
      <c r="AI89" s="5"/>
    </row>
    <row r="90" spans="1:35" x14ac:dyDescent="0.2">
      <c r="B90" s="3" t="s">
        <v>82</v>
      </c>
      <c r="C90" s="5"/>
      <c r="D90" s="5"/>
      <c r="E90" s="5"/>
      <c r="F90" s="5"/>
      <c r="G90" s="5"/>
      <c r="H90" s="5"/>
      <c r="I90" s="5">
        <v>-281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647</v>
      </c>
      <c r="U90" s="5">
        <v>34</v>
      </c>
      <c r="V90" s="5">
        <v>-380</v>
      </c>
      <c r="W90" s="5">
        <v>-385</v>
      </c>
      <c r="X90" s="5">
        <v>-650</v>
      </c>
      <c r="Y90" s="5">
        <v>-117</v>
      </c>
      <c r="Z90" s="5">
        <v>-497</v>
      </c>
      <c r="AA90" s="5">
        <v>-288</v>
      </c>
      <c r="AB90" s="5">
        <v>-96</v>
      </c>
      <c r="AC90" s="5"/>
      <c r="AD90" s="5"/>
      <c r="AE90" s="5"/>
      <c r="AF90" s="5"/>
      <c r="AG90" s="5"/>
      <c r="AH90" s="5"/>
      <c r="AI90" s="5"/>
    </row>
    <row r="91" spans="1:35" x14ac:dyDescent="0.2">
      <c r="B91" s="3" t="s">
        <v>83</v>
      </c>
      <c r="C91" s="5"/>
      <c r="D91" s="5"/>
      <c r="E91" s="5"/>
      <c r="F91" s="5"/>
      <c r="G91" s="5"/>
      <c r="H91" s="5"/>
      <c r="I91" s="5">
        <v>618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>
        <v>218</v>
      </c>
      <c r="U91" s="5">
        <v>325</v>
      </c>
      <c r="V91" s="5">
        <v>429</v>
      </c>
      <c r="W91" s="5">
        <v>611</v>
      </c>
      <c r="X91" s="5">
        <v>638</v>
      </c>
      <c r="Y91" s="5">
        <v>755</v>
      </c>
      <c r="Z91" s="5">
        <v>804</v>
      </c>
      <c r="AA91" s="5">
        <v>709</v>
      </c>
      <c r="AB91" s="5">
        <v>715</v>
      </c>
      <c r="AC91" s="5"/>
      <c r="AD91" s="5"/>
      <c r="AE91" s="5"/>
      <c r="AF91" s="5"/>
      <c r="AG91" s="5"/>
      <c r="AH91" s="5"/>
      <c r="AI91" s="5"/>
    </row>
    <row r="92" spans="1:35" x14ac:dyDescent="0.2">
      <c r="B92" s="3" t="s">
        <v>84</v>
      </c>
      <c r="C92" s="5"/>
      <c r="D92" s="5"/>
      <c r="E92" s="5"/>
      <c r="F92" s="5"/>
      <c r="G92" s="5"/>
      <c r="H92" s="5"/>
      <c r="I92" s="5">
        <v>51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27</v>
      </c>
      <c r="U92" s="5">
        <v>15</v>
      </c>
      <c r="V92" s="5">
        <v>398</v>
      </c>
      <c r="W92" s="5">
        <v>53</v>
      </c>
      <c r="X92" s="5">
        <v>123</v>
      </c>
      <c r="Y92" s="5">
        <v>156</v>
      </c>
      <c r="Z92" s="5">
        <v>48</v>
      </c>
      <c r="AA92" s="5">
        <v>33</v>
      </c>
      <c r="AB92" s="5">
        <v>50</v>
      </c>
      <c r="AC92" s="5"/>
      <c r="AD92" s="5"/>
      <c r="AE92" s="5"/>
      <c r="AF92" s="5"/>
      <c r="AG92" s="5"/>
      <c r="AH92" s="5"/>
      <c r="AI92" s="5"/>
    </row>
    <row r="93" spans="1:35" x14ac:dyDescent="0.2">
      <c r="B93" s="3" t="s">
        <v>85</v>
      </c>
      <c r="C93" s="5"/>
      <c r="D93" s="5"/>
      <c r="E93" s="5"/>
      <c r="F93" s="5"/>
      <c r="G93" s="5"/>
      <c r="H93" s="5"/>
      <c r="I93" s="5">
        <v>-81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-99</v>
      </c>
      <c r="U93" s="5">
        <v>233</v>
      </c>
      <c r="V93" s="5">
        <v>23</v>
      </c>
      <c r="W93" s="5">
        <v>-138</v>
      </c>
      <c r="X93" s="5">
        <v>-26</v>
      </c>
      <c r="Y93" s="5">
        <v>-213</v>
      </c>
      <c r="Z93" s="5">
        <v>-138</v>
      </c>
      <c r="AA93" s="5">
        <v>37</v>
      </c>
      <c r="AB93" s="5">
        <v>22</v>
      </c>
      <c r="AC93" s="5"/>
      <c r="AD93" s="5"/>
      <c r="AE93" s="5"/>
      <c r="AF93" s="5"/>
      <c r="AG93" s="5"/>
      <c r="AH93" s="5"/>
      <c r="AI93" s="5"/>
    </row>
    <row r="94" spans="1:35" x14ac:dyDescent="0.2">
      <c r="B94" s="3" t="s">
        <v>86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spans="1:35" x14ac:dyDescent="0.2">
      <c r="B95" s="3" t="s">
        <v>87</v>
      </c>
      <c r="C95" s="5"/>
      <c r="D95" s="5"/>
      <c r="E95" s="5"/>
      <c r="F95" s="5"/>
      <c r="G95" s="5"/>
      <c r="H95" s="5"/>
      <c r="I95" s="5">
        <v>-429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>
        <v>187</v>
      </c>
      <c r="U95" s="5">
        <v>-270</v>
      </c>
      <c r="V95" s="5">
        <v>1239</v>
      </c>
      <c r="W95" s="5">
        <v>-1606</v>
      </c>
      <c r="X95" s="5">
        <v>-504</v>
      </c>
      <c r="Y95" s="5">
        <v>489</v>
      </c>
      <c r="Z95" s="5">
        <v>-329</v>
      </c>
      <c r="AA95" s="5">
        <v>-257</v>
      </c>
      <c r="AB95" s="87">
        <v>-1207</v>
      </c>
      <c r="AC95" s="5"/>
      <c r="AD95" s="5"/>
      <c r="AE95" s="5"/>
      <c r="AF95" s="5"/>
      <c r="AG95" s="5"/>
      <c r="AH95" s="5"/>
      <c r="AI95" s="5"/>
    </row>
    <row r="96" spans="1:35" x14ac:dyDescent="0.2">
      <c r="B96" s="3" t="s">
        <v>88</v>
      </c>
      <c r="C96" s="5"/>
      <c r="D96" s="5"/>
      <c r="E96" s="5"/>
      <c r="F96" s="5"/>
      <c r="G96" s="5"/>
      <c r="H96" s="5"/>
      <c r="I96" s="5">
        <v>698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-255</v>
      </c>
      <c r="U96" s="5">
        <v>-490</v>
      </c>
      <c r="V96" s="5">
        <v>-1854</v>
      </c>
      <c r="W96" s="5">
        <v>507</v>
      </c>
      <c r="X96" s="5">
        <v>-1676</v>
      </c>
      <c r="Y96" s="5">
        <v>-133</v>
      </c>
      <c r="Z96" s="5">
        <v>908</v>
      </c>
      <c r="AA96" s="5">
        <v>120</v>
      </c>
      <c r="AB96" s="87">
        <v>-31</v>
      </c>
      <c r="AC96" s="5"/>
      <c r="AD96" s="5"/>
      <c r="AE96" s="5"/>
      <c r="AF96" s="5"/>
      <c r="AG96" s="5"/>
      <c r="AH96" s="5"/>
      <c r="AI96" s="5"/>
    </row>
    <row r="97" spans="2:35" x14ac:dyDescent="0.2">
      <c r="B97" s="3" t="s">
        <v>89</v>
      </c>
      <c r="C97" s="5"/>
      <c r="D97" s="5"/>
      <c r="E97" s="5"/>
      <c r="F97" s="5"/>
      <c r="G97" s="5"/>
      <c r="H97" s="5"/>
      <c r="I97" s="5">
        <v>-342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>
        <v>35</v>
      </c>
      <c r="U97" s="5">
        <v>-203</v>
      </c>
      <c r="V97" s="5">
        <v>-654</v>
      </c>
      <c r="W97" s="5">
        <v>-182</v>
      </c>
      <c r="X97" s="5">
        <v>-845</v>
      </c>
      <c r="Y97" s="5">
        <v>-644</v>
      </c>
      <c r="Z97" s="5">
        <v>-260</v>
      </c>
      <c r="AA97" s="5">
        <v>-224</v>
      </c>
      <c r="AB97" s="5">
        <v>519</v>
      </c>
      <c r="AC97" s="5"/>
      <c r="AD97" s="5"/>
      <c r="AE97" s="5"/>
      <c r="AF97" s="5"/>
      <c r="AG97" s="5"/>
      <c r="AH97" s="5"/>
      <c r="AI97" s="5"/>
    </row>
    <row r="98" spans="2:35" x14ac:dyDescent="0.2">
      <c r="B98" s="3" t="s">
        <v>90</v>
      </c>
      <c r="C98" s="5"/>
      <c r="D98" s="5"/>
      <c r="E98" s="5"/>
      <c r="F98" s="5"/>
      <c r="G98" s="5"/>
      <c r="H98" s="5"/>
      <c r="I98" s="5">
        <v>-212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>
        <v>1515</v>
      </c>
      <c r="U98" s="5">
        <v>1525</v>
      </c>
      <c r="V98" s="5">
        <v>24</v>
      </c>
      <c r="W98" s="5">
        <v>1326</v>
      </c>
      <c r="X98" s="5">
        <v>1365</v>
      </c>
      <c r="Y98" s="5">
        <v>-225</v>
      </c>
      <c r="Z98" s="5">
        <v>397</v>
      </c>
      <c r="AA98" s="5">
        <v>-426</v>
      </c>
      <c r="AB98" s="5">
        <v>-959</v>
      </c>
      <c r="AC98" s="5"/>
      <c r="AD98" s="5"/>
      <c r="AE98" s="5"/>
      <c r="AF98" s="5"/>
      <c r="AG98" s="5"/>
      <c r="AH98" s="5"/>
      <c r="AI98" s="5"/>
    </row>
    <row r="99" spans="2:35" x14ac:dyDescent="0.2">
      <c r="B99" s="3" t="s">
        <v>92</v>
      </c>
      <c r="C99" s="5">
        <f t="shared" ref="C99:I99" si="89">SUM(C95:C98)</f>
        <v>0</v>
      </c>
      <c r="D99" s="5">
        <f t="shared" si="89"/>
        <v>0</v>
      </c>
      <c r="E99" s="5">
        <f t="shared" si="89"/>
        <v>0</v>
      </c>
      <c r="F99" s="5">
        <f t="shared" si="89"/>
        <v>0</v>
      </c>
      <c r="G99" s="5">
        <f t="shared" si="89"/>
        <v>0</v>
      </c>
      <c r="H99" s="5">
        <f t="shared" si="89"/>
        <v>0</v>
      </c>
      <c r="I99" s="5">
        <f t="shared" si="89"/>
        <v>-285</v>
      </c>
      <c r="J99" s="5">
        <f>SUM(J95:J98)</f>
        <v>0</v>
      </c>
      <c r="K99" s="5"/>
      <c r="L99" s="5"/>
      <c r="M99" s="5"/>
      <c r="N99" s="5"/>
      <c r="O99" s="5"/>
      <c r="P99" s="5"/>
      <c r="Q99" s="5"/>
      <c r="R99" s="5"/>
      <c r="S99" s="5"/>
      <c r="T99" s="5">
        <f t="shared" ref="T99:AB99" si="90">SUM(T95:T98)</f>
        <v>1482</v>
      </c>
      <c r="U99" s="5">
        <f t="shared" si="90"/>
        <v>562</v>
      </c>
      <c r="V99" s="5">
        <f t="shared" si="90"/>
        <v>-1245</v>
      </c>
      <c r="W99" s="5">
        <f t="shared" si="90"/>
        <v>45</v>
      </c>
      <c r="X99" s="5">
        <f t="shared" si="90"/>
        <v>-1660</v>
      </c>
      <c r="Y99" s="5">
        <f t="shared" si="90"/>
        <v>-513</v>
      </c>
      <c r="Z99" s="5">
        <f t="shared" si="90"/>
        <v>716</v>
      </c>
      <c r="AA99" s="5">
        <f t="shared" si="90"/>
        <v>-787</v>
      </c>
      <c r="AB99" s="5">
        <f t="shared" si="90"/>
        <v>-1678</v>
      </c>
      <c r="AC99" s="5"/>
      <c r="AD99" s="5"/>
      <c r="AE99" s="5"/>
      <c r="AF99" s="5"/>
      <c r="AG99" s="5"/>
      <c r="AH99" s="5"/>
      <c r="AI99" s="5"/>
    </row>
    <row r="100" spans="2:35" x14ac:dyDescent="0.2">
      <c r="B100" s="6" t="s">
        <v>91</v>
      </c>
      <c r="C100" s="8">
        <f t="shared" ref="C100:I100" si="91">C88+SUM(C89:C93)+C99</f>
        <v>1468</v>
      </c>
      <c r="D100" s="8">
        <f t="shared" si="91"/>
        <v>1331</v>
      </c>
      <c r="E100" s="8">
        <f t="shared" si="91"/>
        <v>1240</v>
      </c>
      <c r="F100" s="8">
        <f t="shared" si="91"/>
        <v>2007</v>
      </c>
      <c r="G100" s="8">
        <f t="shared" si="91"/>
        <v>1450</v>
      </c>
      <c r="H100" s="8">
        <f t="shared" si="91"/>
        <v>1578</v>
      </c>
      <c r="I100" s="8">
        <f t="shared" si="91"/>
        <v>1783</v>
      </c>
      <c r="J100" s="8">
        <f>J88+SUM(J89:J93)+J99</f>
        <v>1500</v>
      </c>
      <c r="K100" s="8"/>
      <c r="L100" s="8"/>
      <c r="M100" s="8"/>
      <c r="N100" s="5"/>
      <c r="O100" s="5"/>
      <c r="P100" s="5"/>
      <c r="Q100" s="5"/>
      <c r="R100" s="5"/>
      <c r="S100" s="5"/>
      <c r="T100" s="8">
        <f t="shared" ref="T100:AB100" si="92">T88+SUM(T89:T93)+T99</f>
        <v>4955</v>
      </c>
      <c r="U100" s="8">
        <f t="shared" si="92"/>
        <v>5903</v>
      </c>
      <c r="V100" s="8">
        <f t="shared" si="92"/>
        <v>2485</v>
      </c>
      <c r="W100" s="8">
        <f t="shared" si="92"/>
        <v>6657</v>
      </c>
      <c r="X100" s="8">
        <f t="shared" si="92"/>
        <v>5188</v>
      </c>
      <c r="Y100" s="8">
        <f t="shared" si="92"/>
        <v>5841</v>
      </c>
      <c r="Z100" s="8">
        <f t="shared" si="92"/>
        <v>7429</v>
      </c>
      <c r="AA100" s="8">
        <f t="shared" si="92"/>
        <v>3698</v>
      </c>
      <c r="AB100" s="8">
        <f t="shared" si="92"/>
        <v>2868</v>
      </c>
      <c r="AC100" s="5"/>
      <c r="AD100" s="5"/>
      <c r="AE100" s="5"/>
      <c r="AF100" s="5"/>
      <c r="AG100" s="5"/>
      <c r="AH100" s="5"/>
      <c r="AI100" s="5"/>
    </row>
    <row r="101" spans="2:35" x14ac:dyDescent="0.2">
      <c r="B101" s="3" t="s">
        <v>101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>
        <v>-4783</v>
      </c>
      <c r="U101" s="5">
        <v>-2937</v>
      </c>
      <c r="V101" s="5">
        <v>-2426</v>
      </c>
      <c r="W101" s="5">
        <v>-9961</v>
      </c>
      <c r="X101" s="5">
        <v>-12913</v>
      </c>
      <c r="Y101" s="5">
        <v>-6059</v>
      </c>
      <c r="Z101" s="5">
        <v>-4767</v>
      </c>
      <c r="AA101" s="5">
        <v>-3234</v>
      </c>
      <c r="AB101" s="5">
        <v>-1316</v>
      </c>
      <c r="AC101" s="5"/>
      <c r="AD101" s="5"/>
      <c r="AE101" s="5"/>
      <c r="AF101" s="5"/>
      <c r="AG101" s="5"/>
      <c r="AH101" s="5"/>
      <c r="AI101" s="5"/>
    </row>
    <row r="102" spans="2:35" x14ac:dyDescent="0.2">
      <c r="B102" s="3" t="s">
        <v>102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>
        <v>3613</v>
      </c>
      <c r="U102" s="5">
        <v>1715</v>
      </c>
      <c r="V102" s="5">
        <v>74</v>
      </c>
      <c r="W102" s="5">
        <v>4236</v>
      </c>
      <c r="X102" s="5">
        <v>8199</v>
      </c>
      <c r="Y102" s="5">
        <v>3356</v>
      </c>
      <c r="Z102" s="5">
        <v>2269</v>
      </c>
      <c r="AA102" s="5">
        <v>319</v>
      </c>
      <c r="AB102" s="5">
        <v>556</v>
      </c>
      <c r="AC102" s="5"/>
      <c r="AD102" s="5"/>
      <c r="AE102" s="5"/>
      <c r="AF102" s="5"/>
      <c r="AG102" s="5"/>
      <c r="AH102" s="5"/>
      <c r="AI102" s="5"/>
    </row>
    <row r="103" spans="2:35" x14ac:dyDescent="0.2">
      <c r="B103" s="3" t="s">
        <v>103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>
        <v>2496</v>
      </c>
      <c r="U103" s="5">
        <v>2072</v>
      </c>
      <c r="V103" s="5">
        <v>2379</v>
      </c>
      <c r="W103" s="5">
        <v>2449</v>
      </c>
      <c r="X103" s="5">
        <v>3967</v>
      </c>
      <c r="Y103" s="5">
        <v>4184</v>
      </c>
      <c r="Z103" s="5">
        <v>4219</v>
      </c>
      <c r="AA103" s="5">
        <v>3062</v>
      </c>
      <c r="AB103" s="5">
        <v>1021</v>
      </c>
      <c r="AC103" s="5"/>
      <c r="AD103" s="5"/>
      <c r="AE103" s="5"/>
      <c r="AF103" s="5"/>
      <c r="AG103" s="5"/>
      <c r="AH103" s="5"/>
      <c r="AI103" s="5"/>
    </row>
    <row r="104" spans="2:35" x14ac:dyDescent="0.2">
      <c r="B104" s="3" t="s">
        <v>104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>
        <v>-1028</v>
      </c>
      <c r="U104" s="5">
        <v>-1119</v>
      </c>
      <c r="V104" s="5">
        <v>-1086</v>
      </c>
      <c r="W104" s="5">
        <v>-695</v>
      </c>
      <c r="X104" s="5">
        <v>-758</v>
      </c>
      <c r="Y104" s="5">
        <v>-969</v>
      </c>
      <c r="Z104" s="5">
        <v>-812</v>
      </c>
      <c r="AA104" s="5">
        <v>-430</v>
      </c>
      <c r="AB104" s="5">
        <v>-684</v>
      </c>
      <c r="AC104" s="5"/>
      <c r="AD104" s="5"/>
      <c r="AE104" s="5"/>
      <c r="AF104" s="5"/>
      <c r="AG104" s="5"/>
      <c r="AH104" s="5"/>
      <c r="AI104" s="5"/>
    </row>
    <row r="105" spans="2:35" x14ac:dyDescent="0.2">
      <c r="B105" s="3" t="s">
        <v>105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>
        <v>-22</v>
      </c>
      <c r="U105" s="5">
        <v>5</v>
      </c>
      <c r="V105" s="5">
        <v>31</v>
      </c>
      <c r="W105" s="5">
        <v>171</v>
      </c>
      <c r="X105" s="5">
        <v>-19</v>
      </c>
      <c r="Y105" s="5">
        <v>52</v>
      </c>
      <c r="Z105" s="5">
        <v>-15</v>
      </c>
      <c r="AA105" s="5">
        <v>8</v>
      </c>
      <c r="AB105" s="5">
        <v>-65</v>
      </c>
      <c r="AC105" s="5"/>
      <c r="AD105" s="5"/>
      <c r="AE105" s="5"/>
      <c r="AF105" s="5"/>
      <c r="AG105" s="5"/>
      <c r="AH105" s="5"/>
      <c r="AI105" s="5"/>
    </row>
    <row r="106" spans="2:35" x14ac:dyDescent="0.2">
      <c r="B106" s="6" t="s">
        <v>106</v>
      </c>
      <c r="C106" s="8">
        <f t="shared" ref="C106:I106" si="93">SUM(C101:C105)</f>
        <v>0</v>
      </c>
      <c r="D106" s="8">
        <f t="shared" si="93"/>
        <v>0</v>
      </c>
      <c r="E106" s="8">
        <f t="shared" si="93"/>
        <v>0</v>
      </c>
      <c r="F106" s="8">
        <f t="shared" si="93"/>
        <v>0</v>
      </c>
      <c r="G106" s="8">
        <f t="shared" si="93"/>
        <v>0</v>
      </c>
      <c r="H106" s="8">
        <f t="shared" si="93"/>
        <v>0</v>
      </c>
      <c r="I106" s="8">
        <f t="shared" si="93"/>
        <v>0</v>
      </c>
      <c r="J106" s="8">
        <f>SUM(J101:J105)</f>
        <v>0</v>
      </c>
      <c r="K106" s="8"/>
      <c r="L106" s="8"/>
      <c r="M106" s="8"/>
      <c r="N106" s="5"/>
      <c r="O106" s="5"/>
      <c r="P106" s="5"/>
      <c r="Q106" s="5"/>
      <c r="R106" s="5"/>
      <c r="S106" s="5"/>
      <c r="T106" s="8">
        <f t="shared" ref="T106:AB106" si="94">SUM(T101:T105)</f>
        <v>276</v>
      </c>
      <c r="U106" s="8">
        <f t="shared" si="94"/>
        <v>-264</v>
      </c>
      <c r="V106" s="8">
        <f t="shared" si="94"/>
        <v>-1028</v>
      </c>
      <c r="W106" s="8">
        <f t="shared" si="94"/>
        <v>-3800</v>
      </c>
      <c r="X106" s="8">
        <f t="shared" si="94"/>
        <v>-1524</v>
      </c>
      <c r="Y106" s="8">
        <f t="shared" si="94"/>
        <v>564</v>
      </c>
      <c r="Z106" s="8">
        <f t="shared" si="94"/>
        <v>894</v>
      </c>
      <c r="AA106" s="8">
        <f t="shared" si="94"/>
        <v>-275</v>
      </c>
      <c r="AB106" s="8">
        <f t="shared" si="94"/>
        <v>-488</v>
      </c>
      <c r="AC106" s="5"/>
      <c r="AD106" s="5"/>
      <c r="AE106" s="5"/>
      <c r="AF106" s="5"/>
      <c r="AG106" s="5"/>
      <c r="AH106" s="5"/>
      <c r="AI106" s="5"/>
    </row>
    <row r="107" spans="2:35" x14ac:dyDescent="0.2">
      <c r="B107" s="3" t="s">
        <v>118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5"/>
      <c r="O107" s="5"/>
      <c r="P107" s="5"/>
      <c r="Q107" s="5"/>
      <c r="R107" s="5"/>
      <c r="S107" s="5"/>
      <c r="T107" s="5">
        <v>0</v>
      </c>
      <c r="U107" s="5">
        <v>0</v>
      </c>
      <c r="V107" s="5">
        <v>6134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/>
      <c r="AD107" s="5"/>
      <c r="AE107" s="5"/>
      <c r="AF107" s="5"/>
      <c r="AG107" s="5"/>
      <c r="AH107" s="5"/>
      <c r="AI107" s="5"/>
    </row>
    <row r="108" spans="2:35" x14ac:dyDescent="0.2">
      <c r="B108" s="3" t="s">
        <v>107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>
        <v>13</v>
      </c>
      <c r="U108" s="5">
        <v>-325</v>
      </c>
      <c r="V108" s="5">
        <v>49</v>
      </c>
      <c r="W108" s="5">
        <v>-52</v>
      </c>
      <c r="X108" s="5">
        <v>15</v>
      </c>
      <c r="Y108" s="5">
        <v>-4</v>
      </c>
      <c r="Z108" s="5">
        <v>0</v>
      </c>
      <c r="AA108" s="5">
        <v>0</v>
      </c>
      <c r="AB108" s="5">
        <v>0</v>
      </c>
      <c r="AC108" s="5"/>
      <c r="AD108" s="5"/>
      <c r="AE108" s="5"/>
      <c r="AF108" s="5"/>
      <c r="AG108" s="5"/>
      <c r="AH108" s="5"/>
      <c r="AI108" s="5"/>
    </row>
    <row r="109" spans="2:35" x14ac:dyDescent="0.2">
      <c r="B109" s="3" t="s">
        <v>108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>
        <v>0</v>
      </c>
      <c r="U109" s="5">
        <v>0</v>
      </c>
      <c r="V109" s="5">
        <v>0</v>
      </c>
      <c r="W109" s="5">
        <v>-197</v>
      </c>
      <c r="X109" s="5">
        <v>0</v>
      </c>
      <c r="Y109" s="5">
        <v>-500</v>
      </c>
      <c r="Z109" s="5">
        <v>0</v>
      </c>
      <c r="AA109" s="87">
        <v>-1000</v>
      </c>
      <c r="AB109" s="5">
        <v>0</v>
      </c>
      <c r="AC109" s="5"/>
      <c r="AD109" s="5"/>
      <c r="AE109" s="5"/>
      <c r="AF109" s="5"/>
      <c r="AG109" s="5"/>
      <c r="AH109" s="5"/>
      <c r="AI109" s="5"/>
    </row>
    <row r="110" spans="2:35" x14ac:dyDescent="0.2">
      <c r="B110" s="3" t="s">
        <v>109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>
        <v>733</v>
      </c>
      <c r="U110" s="5">
        <v>700</v>
      </c>
      <c r="V110" s="5">
        <v>885</v>
      </c>
      <c r="W110" s="5">
        <v>1172</v>
      </c>
      <c r="X110" s="5">
        <v>1151</v>
      </c>
      <c r="Y110" s="5">
        <v>651</v>
      </c>
      <c r="Z110" s="5">
        <v>667</v>
      </c>
      <c r="AA110" s="5">
        <v>551</v>
      </c>
      <c r="AB110" s="5">
        <v>354</v>
      </c>
      <c r="AC110" s="5"/>
      <c r="AD110" s="5"/>
      <c r="AE110" s="5"/>
      <c r="AF110" s="5"/>
      <c r="AG110" s="5"/>
      <c r="AH110" s="5"/>
      <c r="AI110" s="5"/>
    </row>
    <row r="111" spans="2:35" x14ac:dyDescent="0.2">
      <c r="B111" s="3" t="s">
        <v>110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>
        <v>-4254</v>
      </c>
      <c r="U111" s="5">
        <v>-4286</v>
      </c>
      <c r="V111" s="5">
        <v>-3067</v>
      </c>
      <c r="W111" s="5">
        <v>-608</v>
      </c>
      <c r="X111" s="5">
        <v>-4014</v>
      </c>
      <c r="Y111" s="5">
        <v>-5480</v>
      </c>
      <c r="Z111" s="5">
        <v>-4250</v>
      </c>
      <c r="AA111" s="5">
        <v>-2985</v>
      </c>
      <c r="AB111" s="5">
        <v>-146</v>
      </c>
      <c r="AC111" s="5"/>
      <c r="AD111" s="5"/>
      <c r="AE111" s="5"/>
      <c r="AF111" s="5"/>
      <c r="AG111" s="5"/>
      <c r="AH111" s="5"/>
      <c r="AI111" s="5"/>
    </row>
    <row r="112" spans="2:35" x14ac:dyDescent="0.2">
      <c r="B112" s="3" t="s">
        <v>115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>
        <v>-1243</v>
      </c>
      <c r="U112" s="5">
        <v>-1332</v>
      </c>
      <c r="V112" s="5">
        <v>-1452</v>
      </c>
      <c r="W112" s="5">
        <v>-1638</v>
      </c>
      <c r="X112" s="5">
        <v>-1837</v>
      </c>
      <c r="Y112" s="5">
        <v>-2012</v>
      </c>
      <c r="Z112" s="5">
        <v>-2169</v>
      </c>
      <c r="AA112" s="5">
        <v>-2300</v>
      </c>
      <c r="AB112" s="5">
        <v>-2407</v>
      </c>
      <c r="AC112" s="5"/>
      <c r="AD112" s="5"/>
      <c r="AE112" s="5"/>
      <c r="AF112" s="5"/>
      <c r="AG112" s="5"/>
      <c r="AH112" s="5"/>
      <c r="AI112" s="5"/>
    </row>
    <row r="113" spans="2:35" x14ac:dyDescent="0.2">
      <c r="B113" s="3" t="s">
        <v>111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>
        <v>-84</v>
      </c>
      <c r="U113" s="5">
        <v>-50</v>
      </c>
      <c r="V113" s="5">
        <v>-58</v>
      </c>
      <c r="W113" s="5">
        <v>-136</v>
      </c>
      <c r="X113" s="5">
        <v>-151</v>
      </c>
      <c r="Y113" s="5">
        <v>-102</v>
      </c>
      <c r="Z113" s="5">
        <v>-136</v>
      </c>
      <c r="AA113" s="5">
        <v>-86</v>
      </c>
      <c r="AB113" s="5">
        <v>-93</v>
      </c>
      <c r="AC113" s="5"/>
      <c r="AD113" s="5"/>
      <c r="AE113" s="5"/>
      <c r="AF113" s="5"/>
      <c r="AG113" s="5"/>
      <c r="AH113" s="5"/>
      <c r="AI113" s="5"/>
    </row>
    <row r="114" spans="2:35" x14ac:dyDescent="0.2">
      <c r="B114" s="6" t="s">
        <v>112</v>
      </c>
      <c r="C114" s="8">
        <f>SUM(C108:C113)</f>
        <v>0</v>
      </c>
      <c r="D114" s="8">
        <f t="shared" ref="D114:J114" si="95">SUM(D108:D113)</f>
        <v>0</v>
      </c>
      <c r="E114" s="8">
        <f t="shared" si="95"/>
        <v>0</v>
      </c>
      <c r="F114" s="8">
        <f t="shared" si="95"/>
        <v>0</v>
      </c>
      <c r="G114" s="8">
        <f t="shared" si="95"/>
        <v>0</v>
      </c>
      <c r="H114" s="8">
        <f t="shared" si="95"/>
        <v>0</v>
      </c>
      <c r="I114" s="8">
        <f t="shared" si="95"/>
        <v>0</v>
      </c>
      <c r="J114" s="8">
        <f t="shared" si="95"/>
        <v>0</v>
      </c>
      <c r="K114" s="8"/>
      <c r="L114" s="8"/>
      <c r="M114" s="8"/>
      <c r="N114" s="5"/>
      <c r="O114" s="5"/>
      <c r="P114" s="5"/>
      <c r="Q114" s="5"/>
      <c r="R114" s="5"/>
      <c r="S114" s="5"/>
      <c r="T114" s="8">
        <f t="shared" ref="T114:X114" si="96">SUM(T107:T113)</f>
        <v>-4835</v>
      </c>
      <c r="U114" s="8">
        <f t="shared" si="96"/>
        <v>-5293</v>
      </c>
      <c r="V114" s="8">
        <f t="shared" si="96"/>
        <v>2491</v>
      </c>
      <c r="W114" s="8">
        <f t="shared" si="96"/>
        <v>-1459</v>
      </c>
      <c r="X114" s="8">
        <f t="shared" si="96"/>
        <v>-4836</v>
      </c>
      <c r="Y114" s="8">
        <f>SUM(Y107:Y113)</f>
        <v>-7447</v>
      </c>
      <c r="Z114" s="8">
        <f t="shared" ref="Z114:AB114" si="97">SUM(Z108:Z113)</f>
        <v>-5888</v>
      </c>
      <c r="AA114" s="8">
        <f t="shared" si="97"/>
        <v>-5820</v>
      </c>
      <c r="AB114" s="8">
        <f t="shared" si="97"/>
        <v>-2292</v>
      </c>
      <c r="AC114" s="5"/>
      <c r="AD114" s="5"/>
      <c r="AE114" s="5"/>
      <c r="AF114" s="5"/>
      <c r="AG114" s="5"/>
      <c r="AH114" s="5"/>
      <c r="AI114" s="5"/>
    </row>
    <row r="115" spans="2:35" x14ac:dyDescent="0.2">
      <c r="B115" s="3" t="s">
        <v>113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>
        <v>45</v>
      </c>
      <c r="U115" s="5">
        <v>-129</v>
      </c>
      <c r="V115" s="5">
        <v>-66</v>
      </c>
      <c r="W115" s="5">
        <v>143</v>
      </c>
      <c r="X115" s="5">
        <v>-143</v>
      </c>
      <c r="Y115" s="5">
        <v>-91</v>
      </c>
      <c r="Z115" s="5">
        <v>-16</v>
      </c>
      <c r="AA115" s="5">
        <v>1</v>
      </c>
      <c r="AB115" s="5">
        <v>11</v>
      </c>
      <c r="AC115" s="5"/>
      <c r="AD115" s="5"/>
      <c r="AE115" s="5"/>
      <c r="AF115" s="5"/>
      <c r="AG115" s="5"/>
      <c r="AH115" s="5"/>
      <c r="AI115" s="5"/>
    </row>
    <row r="116" spans="2:35" x14ac:dyDescent="0.2">
      <c r="B116" s="6" t="s">
        <v>114</v>
      </c>
      <c r="C116" s="8">
        <f>C100+C106+C114+C115</f>
        <v>1468</v>
      </c>
      <c r="D116" s="8">
        <f t="shared" ref="D116:J116" si="98">D100+D106+D114+D115</f>
        <v>1331</v>
      </c>
      <c r="E116" s="8">
        <f t="shared" si="98"/>
        <v>1240</v>
      </c>
      <c r="F116" s="8">
        <f t="shared" si="98"/>
        <v>2007</v>
      </c>
      <c r="G116" s="8">
        <f t="shared" si="98"/>
        <v>1450</v>
      </c>
      <c r="H116" s="8">
        <f t="shared" si="98"/>
        <v>1578</v>
      </c>
      <c r="I116" s="8">
        <f t="shared" si="98"/>
        <v>1783</v>
      </c>
      <c r="J116" s="8">
        <f t="shared" si="98"/>
        <v>1500</v>
      </c>
      <c r="K116" s="8"/>
      <c r="L116" s="8"/>
      <c r="M116" s="8"/>
      <c r="N116" s="5"/>
      <c r="O116" s="5"/>
      <c r="P116" s="5"/>
      <c r="Q116" s="5"/>
      <c r="R116" s="5"/>
      <c r="S116" s="5"/>
      <c r="T116" s="8">
        <f t="shared" ref="T116" si="99">T100+T106+T114+T115</f>
        <v>441</v>
      </c>
      <c r="U116" s="8">
        <f t="shared" ref="U116" si="100">U100+U106+U114+U115</f>
        <v>217</v>
      </c>
      <c r="V116" s="8">
        <f t="shared" ref="V116" si="101">V100+V106+V114+V115</f>
        <v>3882</v>
      </c>
      <c r="W116" s="8">
        <f t="shared" ref="W116" si="102">W100+W106+W114+W115</f>
        <v>1541</v>
      </c>
      <c r="X116" s="8">
        <f t="shared" ref="X116" si="103">X100+X106+X114+X115</f>
        <v>-1315</v>
      </c>
      <c r="Y116" s="8">
        <f t="shared" ref="Y116" si="104">Y100+Y106+Y114+Y115</f>
        <v>-1133</v>
      </c>
      <c r="Z116" s="8">
        <f t="shared" ref="Z116:AB116" si="105">Z100+Z106+Z114+Z115</f>
        <v>2419</v>
      </c>
      <c r="AA116" s="8">
        <f t="shared" si="105"/>
        <v>-2396</v>
      </c>
      <c r="AB116" s="8">
        <f t="shared" si="105"/>
        <v>99</v>
      </c>
      <c r="AC116" s="5"/>
      <c r="AD116" s="5"/>
      <c r="AE116" s="5"/>
      <c r="AF116" s="5"/>
      <c r="AG116" s="5"/>
      <c r="AH116" s="5"/>
      <c r="AI116" s="5"/>
    </row>
    <row r="117" spans="2:35" x14ac:dyDescent="0.2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spans="2:35" x14ac:dyDescent="0.2">
      <c r="B118" s="3" t="s">
        <v>116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>
        <f>T119-T116</f>
        <v>3808</v>
      </c>
      <c r="U118" s="5">
        <f>U119-U116</f>
        <v>4249</v>
      </c>
      <c r="V118" s="5">
        <f>V119-V116</f>
        <v>4466</v>
      </c>
      <c r="W118" s="5">
        <f>W119-W116</f>
        <v>8348</v>
      </c>
      <c r="X118" s="5">
        <f>X119-X116</f>
        <v>9889</v>
      </c>
      <c r="Y118" s="5">
        <v>8574</v>
      </c>
      <c r="Z118" s="5">
        <f>Y119</f>
        <v>7441</v>
      </c>
      <c r="AA118" s="87">
        <f>+Z119</f>
        <v>9860</v>
      </c>
      <c r="AB118" s="5">
        <f>+AA119</f>
        <v>7464</v>
      </c>
      <c r="AC118" s="5"/>
      <c r="AD118" s="5"/>
      <c r="AE118" s="5"/>
      <c r="AF118" s="5"/>
      <c r="AG118" s="5"/>
      <c r="AH118" s="5"/>
      <c r="AI118" s="5"/>
    </row>
    <row r="119" spans="2:35" x14ac:dyDescent="0.2">
      <c r="B119" s="3" t="s">
        <v>117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>
        <f>U118</f>
        <v>4249</v>
      </c>
      <c r="U119" s="5">
        <f>V118</f>
        <v>4466</v>
      </c>
      <c r="V119" s="5">
        <f>W118</f>
        <v>8348</v>
      </c>
      <c r="W119" s="5">
        <f>X118</f>
        <v>9889</v>
      </c>
      <c r="X119" s="5">
        <f>Y118</f>
        <v>8574</v>
      </c>
      <c r="Y119" s="5">
        <f>Y118+Y116</f>
        <v>7441</v>
      </c>
      <c r="Z119" s="5">
        <f>Z118+Z116</f>
        <v>9860</v>
      </c>
      <c r="AA119" s="5">
        <f>+AA116+AA118</f>
        <v>7464</v>
      </c>
      <c r="AB119" s="5">
        <f>+AB116+AB118</f>
        <v>7563</v>
      </c>
      <c r="AC119" s="5"/>
      <c r="AD119" s="5"/>
      <c r="AE119" s="5"/>
      <c r="AF119" s="5"/>
      <c r="AG119" s="5"/>
      <c r="AH119" s="5"/>
      <c r="AI119" s="5"/>
    </row>
    <row r="120" spans="2:35" x14ac:dyDescent="0.2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spans="2:35" x14ac:dyDescent="0.2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spans="2:35" x14ac:dyDescent="0.2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spans="2:35" x14ac:dyDescent="0.2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spans="2:35" x14ac:dyDescent="0.2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2:35" x14ac:dyDescent="0.2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2:35" x14ac:dyDescent="0.2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spans="2:35" x14ac:dyDescent="0.2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spans="2:35" x14ac:dyDescent="0.2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spans="3:35" x14ac:dyDescent="0.2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spans="3:35" x14ac:dyDescent="0.2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spans="3:35" x14ac:dyDescent="0.2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spans="3:35" x14ac:dyDescent="0.2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spans="3:35" x14ac:dyDescent="0.2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spans="3:35" x14ac:dyDescent="0.2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</sheetData>
  <hyperlinks>
    <hyperlink ref="A1" location="Main!A1" display="Main" xr:uid="{A849A098-9105-406C-B7DB-1C3F1E990FFB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D2DF-A1F2-4D4E-9D8E-6766B9EE7B08}">
  <dimension ref="A1:M46"/>
  <sheetViews>
    <sheetView zoomScale="200" zoomScaleNormal="20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C2" sqref="C2"/>
    </sheetView>
  </sheetViews>
  <sheetFormatPr defaultRowHeight="12.75" x14ac:dyDescent="0.2"/>
  <cols>
    <col min="1" max="1" width="4.42578125" style="3" customWidth="1"/>
    <col min="2" max="2" width="26.42578125" style="3" customWidth="1"/>
    <col min="3" max="3" width="10.42578125" style="3" bestFit="1" customWidth="1"/>
    <col min="4" max="4" width="9.28515625" style="3" bestFit="1" customWidth="1"/>
    <col min="5" max="5" width="9.7109375" style="3" bestFit="1" customWidth="1"/>
    <col min="6" max="6" width="9.140625" style="3" bestFit="1" customWidth="1"/>
    <col min="7" max="7" width="9.7109375" style="3" bestFit="1" customWidth="1"/>
    <col min="8" max="8" width="9.140625" style="3" bestFit="1" customWidth="1"/>
    <col min="9" max="9" width="9.28515625" style="3" bestFit="1" customWidth="1"/>
    <col min="10" max="11" width="9.140625" style="3"/>
    <col min="12" max="13" width="9.42578125" style="3" bestFit="1" customWidth="1"/>
    <col min="14" max="16384" width="9.140625" style="3"/>
  </cols>
  <sheetData>
    <row r="1" spans="1:13" x14ac:dyDescent="0.2">
      <c r="A1" s="2" t="s">
        <v>0</v>
      </c>
    </row>
    <row r="2" spans="1:13" x14ac:dyDescent="0.2">
      <c r="C2" s="4" t="s">
        <v>13</v>
      </c>
      <c r="D2" s="4" t="s">
        <v>14</v>
      </c>
      <c r="E2" s="4" t="s">
        <v>15</v>
      </c>
      <c r="F2" s="4" t="s">
        <v>36</v>
      </c>
      <c r="G2" s="4" t="s">
        <v>37</v>
      </c>
      <c r="H2" s="4" t="s">
        <v>16</v>
      </c>
      <c r="I2" s="4" t="s">
        <v>17</v>
      </c>
      <c r="J2" s="4" t="s">
        <v>119</v>
      </c>
      <c r="K2" s="4"/>
      <c r="L2" s="4" t="s">
        <v>125</v>
      </c>
      <c r="M2" s="4" t="s">
        <v>126</v>
      </c>
    </row>
    <row r="3" spans="1:13" x14ac:dyDescent="0.2">
      <c r="A3" s="7" t="s">
        <v>11</v>
      </c>
      <c r="B3" s="15" t="s">
        <v>136</v>
      </c>
    </row>
    <row r="4" spans="1:13" x14ac:dyDescent="0.2">
      <c r="B4" s="3" t="s">
        <v>127</v>
      </c>
      <c r="C4" s="10">
        <f>Model!T27/Model!T83</f>
        <v>0.19700366897676314</v>
      </c>
      <c r="D4" s="10">
        <f>Model!U27/Model!U83</f>
        <v>0.44568584070796458</v>
      </c>
      <c r="E4" s="10">
        <f>Model!V27/Model!V83</f>
        <v>0.31520794537554314</v>
      </c>
      <c r="F4" s="10">
        <f>Model!W27/Model!W83</f>
        <v>0.44857836610010182</v>
      </c>
      <c r="G4" s="10">
        <f>Model!X27/Model!X83</f>
        <v>0.3956547346377855</v>
      </c>
      <c r="H4" s="10">
        <f>Model!Y27/Model!Y83</f>
        <v>0.36203941730934019</v>
      </c>
      <c r="I4" s="10">
        <f>Model!Z27/Model!Z83</f>
        <v>0.39501039501039503</v>
      </c>
      <c r="L4" s="23">
        <f>AVERAGE(C4:I4)</f>
        <v>0.3655971954454133</v>
      </c>
      <c r="M4" s="23">
        <f>MEDIAN(C4:I4)</f>
        <v>0.39501039501039503</v>
      </c>
    </row>
    <row r="5" spans="1:13" x14ac:dyDescent="0.2">
      <c r="B5" s="3" t="s">
        <v>128</v>
      </c>
      <c r="C5" s="10">
        <f>Model!T22/(Model!T58+SUM(Model!T48:T51)-Model!T65)</f>
        <v>0.2776736631684158</v>
      </c>
      <c r="D5" s="10">
        <f>Model!U22/(Model!U58+SUM(Model!U48:U51)-Model!U65)</f>
        <v>0.28679608149528218</v>
      </c>
      <c r="E5" s="10">
        <f>Model!V22/(Model!V58+SUM(Model!V48:V51)-Model!V65)</f>
        <v>0.15014942639544973</v>
      </c>
      <c r="F5" s="10">
        <f>Model!W22/(Model!W58+SUM(Model!W48:W51)-Model!W65)</f>
        <v>0.27731361183290026</v>
      </c>
      <c r="G5" s="10">
        <f>Model!X22/(Model!X58+SUM(Model!X48:X51)-Model!X65)</f>
        <v>0.23512628130613969</v>
      </c>
      <c r="H5" s="10">
        <f>Model!Y22/(Model!Y58+SUM(Model!Y48:Y51)-Model!Y65)</f>
        <v>0.21723960628764508</v>
      </c>
      <c r="I5" s="10">
        <f>Model!Z22/(Model!Z58+SUM(Model!Z48:Z51)-Model!Z65)</f>
        <v>0.248474349383834</v>
      </c>
      <c r="L5" s="23">
        <f t="shared" ref="L5:L12" si="0">AVERAGE(C5:I5)</f>
        <v>0.24182471712423809</v>
      </c>
      <c r="M5" s="23">
        <f t="shared" ref="M5:M12" si="1">MEDIAN(C5:I5)</f>
        <v>0.248474349383834</v>
      </c>
    </row>
    <row r="6" spans="1:13" x14ac:dyDescent="0.2">
      <c r="B6" s="3" t="s">
        <v>129</v>
      </c>
      <c r="C6" s="10">
        <f>(Model!T27*(1-Model!T42))/(Model!T83+Model!T75-Model!T47)</f>
        <v>4.724274580223925E-2</v>
      </c>
      <c r="D6" s="10">
        <f>(Model!U27*(1-Model!U42))/(Model!U83+Model!U75-Model!U47)</f>
        <v>0.1756343811417658</v>
      </c>
      <c r="E6" s="10">
        <f>(Model!V27*(1-Model!V42))/(Model!V83+Model!V75-Model!V47)</f>
        <v>9.7110030571068998E-2</v>
      </c>
      <c r="F6" s="10">
        <f>(Model!W27*(1-Model!W42))/(Model!W83+Model!W75-Model!W47)</f>
        <v>0.17679669383548202</v>
      </c>
      <c r="G6" s="10">
        <f>(Model!X27*(1-Model!X42))/(Model!X83+Model!X75-Model!X47)</f>
        <v>0.17311976179584437</v>
      </c>
      <c r="H6" s="10">
        <f>(Model!Y27*(1-Model!Y42))/(Model!Y83+Model!Y75-Model!Y47)</f>
        <v>0.13776281219235376</v>
      </c>
      <c r="I6" s="10">
        <f>(Model!Z27*(1-Model!Z42))/(Model!Z83+Model!Z75-Model!Z47)</f>
        <v>0.18361061946902654</v>
      </c>
      <c r="L6" s="23">
        <f t="shared" si="0"/>
        <v>0.14161100640111154</v>
      </c>
      <c r="M6" s="23">
        <f t="shared" si="1"/>
        <v>0.17311976179584437</v>
      </c>
    </row>
    <row r="7" spans="1:13" x14ac:dyDescent="0.2">
      <c r="B7" s="3" t="s">
        <v>130</v>
      </c>
      <c r="C7" s="10">
        <f>Model!T27/Model!T60</f>
        <v>8.5773872914447991E-2</v>
      </c>
      <c r="D7" s="10">
        <f>Model!U27/Model!U60</f>
        <v>0.16987814647721045</v>
      </c>
      <c r="E7" s="10">
        <f>Model!V27/Model!V60</f>
        <v>8.1009508008423201E-2</v>
      </c>
      <c r="F7" s="10">
        <f>Model!W27/Model!W60</f>
        <v>0.15174880763116058</v>
      </c>
      <c r="G7" s="10">
        <f>Model!X27/Model!X60</f>
        <v>0.14994667790977406</v>
      </c>
      <c r="H7" s="10">
        <f>Model!Y27/Model!Y60</f>
        <v>0.13508832698302736</v>
      </c>
      <c r="I7" s="10">
        <f>Model!Z27/Model!Z60</f>
        <v>0.14956704277092628</v>
      </c>
      <c r="L7" s="23">
        <f t="shared" si="0"/>
        <v>0.13185891181356715</v>
      </c>
      <c r="M7" s="23">
        <f t="shared" si="1"/>
        <v>0.14956704277092628</v>
      </c>
    </row>
    <row r="8" spans="1:13" x14ac:dyDescent="0.2">
      <c r="B8" s="3" t="s">
        <v>131</v>
      </c>
      <c r="C8" s="10">
        <f>(Model!T27-Model!T23)/Model!T60</f>
        <v>8.3377706780262698E-2</v>
      </c>
      <c r="D8" s="10">
        <f>(Model!U27-Model!U23)/Model!U60</f>
        <v>0.16781211789012102</v>
      </c>
      <c r="E8" s="10">
        <f>(Model!V27-Model!V23)/Model!V60</f>
        <v>7.816986790887627E-2</v>
      </c>
      <c r="F8" s="10">
        <f>(Model!W27-Model!W23)/Model!W60</f>
        <v>0.14480657127715951</v>
      </c>
      <c r="G8" s="10">
        <f>(Model!X27-Model!X23)/Model!X60</f>
        <v>0.14486247860916149</v>
      </c>
      <c r="H8" s="10">
        <f>(Model!Y27-Model!Y23)/Model!Y60</f>
        <v>0.13524819482561082</v>
      </c>
      <c r="I8" s="10">
        <f>(Model!Z27-Model!Z23)/Model!Z60</f>
        <v>0.15379165573340331</v>
      </c>
      <c r="L8" s="23">
        <f t="shared" si="0"/>
        <v>0.12972408471779931</v>
      </c>
      <c r="M8" s="23">
        <f t="shared" si="1"/>
        <v>0.14480657127715951</v>
      </c>
    </row>
    <row r="9" spans="1:13" x14ac:dyDescent="0.2">
      <c r="B9" s="3" t="s">
        <v>132</v>
      </c>
      <c r="C9" s="10">
        <f>1-(-Model!T112/Model!T27)</f>
        <v>0.35695809622348684</v>
      </c>
      <c r="D9" s="10">
        <f>1-(-Model!U112/Model!U27)</f>
        <v>0.66939687267311987</v>
      </c>
      <c r="E9" s="10">
        <f>1-(-Model!V112/Model!V27)</f>
        <v>0.42812130760141787</v>
      </c>
      <c r="F9" s="10">
        <f>1-(-Model!W112/Model!W27)</f>
        <v>0.713986380303824</v>
      </c>
      <c r="G9" s="10">
        <f>1-(-Model!X112/Model!X27)</f>
        <v>0.69616275223288127</v>
      </c>
      <c r="H9" s="10">
        <f>1-(-Model!Y112/Model!Y27)</f>
        <v>0.60315581854043399</v>
      </c>
      <c r="I9" s="10">
        <f>1-(-Model!Z112/Model!Z27)</f>
        <v>0.6194736842105264</v>
      </c>
      <c r="L9" s="23">
        <f t="shared" si="0"/>
        <v>0.58389355882652716</v>
      </c>
      <c r="M9" s="23">
        <f t="shared" si="1"/>
        <v>0.6194736842105264</v>
      </c>
    </row>
    <row r="10" spans="1:13" x14ac:dyDescent="0.2">
      <c r="B10" s="3" t="s">
        <v>133</v>
      </c>
      <c r="C10" s="23">
        <f t="shared" ref="C10:G10" si="2">C9*C4</f>
        <v>7.032205462698736E-2</v>
      </c>
      <c r="D10" s="23">
        <f t="shared" si="2"/>
        <v>0.29834070796460177</v>
      </c>
      <c r="E10" s="23">
        <f t="shared" si="2"/>
        <v>0.13494723774053383</v>
      </c>
      <c r="F10" s="23">
        <f t="shared" si="2"/>
        <v>0.3202788438944153</v>
      </c>
      <c r="G10" s="23">
        <f t="shared" si="2"/>
        <v>0.27544008899941103</v>
      </c>
      <c r="H10" s="23">
        <f>H9*H4</f>
        <v>0.21836618109111686</v>
      </c>
      <c r="I10" s="23">
        <f>I9*I4</f>
        <v>0.24469854469854474</v>
      </c>
      <c r="L10" s="23">
        <f t="shared" si="0"/>
        <v>0.22319909414508726</v>
      </c>
      <c r="M10" s="23">
        <f t="shared" si="1"/>
        <v>0.24469854469854474</v>
      </c>
    </row>
    <row r="11" spans="1:13" x14ac:dyDescent="0.2">
      <c r="B11" s="3" t="s">
        <v>134</v>
      </c>
      <c r="C11" s="10">
        <f>(-Model!T99-Model!T104)/(Model!T22*(1-Model!T42))</f>
        <v>-0.22852743510527296</v>
      </c>
      <c r="D11" s="10">
        <f>(-Model!U99-Model!U104)/(Model!U22*(1-Model!U42))</f>
        <v>0.13908785155069167</v>
      </c>
      <c r="E11" s="10">
        <f>(-Model!V99-Model!V104)/(Model!V22*(1-Model!V42))</f>
        <v>0.8508799801744471</v>
      </c>
      <c r="F11" s="10">
        <f>(-Model!W99-Model!W104)/(Model!W22*(1-Model!W42))</f>
        <v>0.1089817839464608</v>
      </c>
      <c r="G11" s="10">
        <f>(-Model!X99-Model!X104)/(Model!X22*(1-Model!X42))</f>
        <v>0.39849587618520182</v>
      </c>
      <c r="H11" s="10">
        <f>(-Model!Y99-Model!Y104)/(Model!Y22*(1-Model!Y42))</f>
        <v>0.30644125105663567</v>
      </c>
      <c r="I11" s="10">
        <f>(-Model!Z99-Model!Z104)/(Model!Z22*(1-Model!Z42))</f>
        <v>1.6715972982808667E-2</v>
      </c>
      <c r="L11" s="23">
        <f t="shared" si="0"/>
        <v>0.2274393258272818</v>
      </c>
      <c r="M11" s="23">
        <f t="shared" si="1"/>
        <v>0.13908785155069167</v>
      </c>
    </row>
    <row r="12" spans="1:13" x14ac:dyDescent="0.2">
      <c r="B12" s="3" t="s">
        <v>133</v>
      </c>
      <c r="C12" s="23">
        <f t="shared" ref="C12:G12" si="3">C11*C6</f>
        <v>-1.0796263525516136E-2</v>
      </c>
      <c r="D12" s="23">
        <f t="shared" si="3"/>
        <v>2.4428608731443521E-2</v>
      </c>
      <c r="E12" s="23">
        <f t="shared" si="3"/>
        <v>8.2628980887051146E-2</v>
      </c>
      <c r="F12" s="23">
        <f t="shared" si="3"/>
        <v>1.9267619090027079E-2</v>
      </c>
      <c r="G12" s="23">
        <f t="shared" si="3"/>
        <v>6.8987511161808429E-2</v>
      </c>
      <c r="H12" s="23">
        <f>H11*H6</f>
        <v>4.2216208517305225E-2</v>
      </c>
      <c r="I12" s="23">
        <f>I11*I6</f>
        <v>3.0692301544010107E-3</v>
      </c>
      <c r="L12" s="23">
        <f t="shared" si="0"/>
        <v>3.2828842145217182E-2</v>
      </c>
      <c r="M12" s="23">
        <f t="shared" si="1"/>
        <v>2.4428608731443521E-2</v>
      </c>
    </row>
    <row r="15" spans="1:13" x14ac:dyDescent="0.2">
      <c r="A15" s="7" t="s">
        <v>11</v>
      </c>
      <c r="B15" s="15" t="s">
        <v>135</v>
      </c>
    </row>
    <row r="16" spans="1:13" x14ac:dyDescent="0.2">
      <c r="B16" s="3" t="s">
        <v>137</v>
      </c>
      <c r="C16" s="10">
        <f>Model!T83/Model!T85</f>
        <v>0.43539226127085551</v>
      </c>
      <c r="D16" s="10">
        <f>Model!U83/Model!U85</f>
        <v>0.38116119239364171</v>
      </c>
      <c r="E16" s="10">
        <f>Model!V83/Model!V85</f>
        <v>0.25700338204326462</v>
      </c>
      <c r="F16" s="10">
        <f>Model!W83/Model!W85</f>
        <v>0.33828828828828827</v>
      </c>
      <c r="G16" s="10">
        <f>Model!X83/Model!X85</f>
        <v>0.37898365615932145</v>
      </c>
      <c r="H16" s="10">
        <f>Model!Y83/Model!Y85</f>
        <v>0.37313154458980574</v>
      </c>
      <c r="I16" s="10">
        <f>Model!Z83/Model!Z85</f>
        <v>0.37864077669902912</v>
      </c>
      <c r="L16" s="23">
        <f t="shared" ref="L16:L20" si="4">AVERAGE(C16:I16)</f>
        <v>0.36322872877774376</v>
      </c>
      <c r="M16" s="23">
        <f t="shared" ref="M16:M20" si="5">MEDIAN(C16:I16)</f>
        <v>0.37864077669902912</v>
      </c>
    </row>
    <row r="17" spans="1:13" x14ac:dyDescent="0.2">
      <c r="B17" s="3" t="s">
        <v>138</v>
      </c>
      <c r="C17" s="10">
        <f>C33/Model!T83</f>
        <v>-0.14624949041989402</v>
      </c>
      <c r="D17" s="10">
        <f>D33/Model!U83</f>
        <v>-0.13097345132743363</v>
      </c>
      <c r="E17" s="10">
        <f>E33/Model!V83</f>
        <v>0.46964618249534451</v>
      </c>
      <c r="F17" s="10">
        <f>F33/Model!W83</f>
        <v>-8.8509438395864337E-2</v>
      </c>
      <c r="G17" s="10">
        <f>G33/Model!X83</f>
        <v>-5.1698187291407634E-2</v>
      </c>
      <c r="H17" s="10">
        <f>H33/Model!Y83</f>
        <v>7.4550128534704371E-2</v>
      </c>
      <c r="I17" s="10">
        <f>I33/Model!Z83</f>
        <v>-7.4151074151074152E-3</v>
      </c>
      <c r="L17" s="23">
        <f t="shared" si="4"/>
        <v>1.7050090882905978E-2</v>
      </c>
      <c r="M17" s="23">
        <f t="shared" si="5"/>
        <v>-5.1698187291407634E-2</v>
      </c>
    </row>
    <row r="18" spans="1:13" x14ac:dyDescent="0.2">
      <c r="B18" s="3" t="s">
        <v>139</v>
      </c>
      <c r="C18" s="10">
        <f>Ratios!C33/(Model!T22+Model!T89+Model!T92)</f>
        <v>-0.27495688829277637</v>
      </c>
      <c r="D18" s="10">
        <f>Ratios!D33/(Model!U22+Model!U89+Model!U92)</f>
        <v>-0.21558630735615442</v>
      </c>
      <c r="E18" s="10">
        <f>Ratios!E33/(Model!V22+Model!V89+Model!V92)</f>
        <v>0.89348134152102032</v>
      </c>
      <c r="F18" s="10">
        <f>Ratios!F33/(Model!W22+Model!W89+Model!W92)</f>
        <v>-0.1461080941298164</v>
      </c>
      <c r="G18" s="10">
        <f>Ratios!G33/(Model!X22+Model!X89+Model!X92)</f>
        <v>-0.1051230871590153</v>
      </c>
      <c r="H18" s="10">
        <f>Ratios!H33/(Model!Y22+Model!Y89+Model!Y92)</f>
        <v>0.15411868910540302</v>
      </c>
      <c r="I18" s="10">
        <f>I33/(Model!Z22+Model!Y89+Model!Y92)</f>
        <v>-1.492329149232915E-2</v>
      </c>
      <c r="L18" s="23">
        <f t="shared" si="4"/>
        <v>4.1557480313761677E-2</v>
      </c>
      <c r="M18" s="23">
        <f t="shared" si="5"/>
        <v>-0.1051230871590153</v>
      </c>
    </row>
    <row r="19" spans="1:13" x14ac:dyDescent="0.2">
      <c r="B19" s="3" t="s">
        <v>140</v>
      </c>
      <c r="C19" s="10">
        <f>-(Model!T104/Model!T89)</f>
        <v>1.3761713520749665</v>
      </c>
      <c r="D19" s="10">
        <f>-(Model!U104/Model!U89)</f>
        <v>1.5872340425531914</v>
      </c>
      <c r="E19" s="10">
        <f>-(Model!V104/Model!V89)</f>
        <v>1.5062413314840499</v>
      </c>
      <c r="F19" s="10">
        <f>-(Model!W104/Model!W89)</f>
        <v>0.93413978494623651</v>
      </c>
      <c r="G19" s="10">
        <f>-(Model!X104/Model!X89)</f>
        <v>1.0571827057182706</v>
      </c>
      <c r="H19" s="10">
        <f>-(Model!Y104/Model!Y89)</f>
        <v>1.3783783783783783</v>
      </c>
      <c r="I19" s="10">
        <f>-(Model!Z104/Model!Z89)</f>
        <v>1.0201005025125629</v>
      </c>
      <c r="L19" s="23">
        <f t="shared" si="4"/>
        <v>1.2656354425239509</v>
      </c>
      <c r="M19" s="23">
        <f t="shared" si="5"/>
        <v>1.3761713520749665</v>
      </c>
    </row>
    <row r="20" spans="1:13" x14ac:dyDescent="0.2">
      <c r="B20" s="3" t="s">
        <v>160</v>
      </c>
      <c r="C20" s="10">
        <f>Ratios!C33/(Model!T22*(1-Model!T42))+Model!T89+Model!T92-Model!T99+Model!T104</f>
        <v>-1736.7223279061145</v>
      </c>
      <c r="D20" s="10">
        <f>Ratios!D33/(Model!U22*(1-Model!U42))+Model!U89+Model!U92-Model!U99+Model!U104</f>
        <v>-961.2956553253789</v>
      </c>
      <c r="E20" s="10">
        <f>Ratios!E33/(Model!V22*(1-Model!V42))+Model!V89+Model!V92-Model!V99+Model!V104</f>
        <v>1279.3809004568857</v>
      </c>
      <c r="F20" s="10">
        <f>Ratios!F33/(Model!W22*(1-Model!W42))+Model!W89+Model!W92-Model!W99+Model!W104</f>
        <v>56.810539360216126</v>
      </c>
      <c r="G20" s="10">
        <f>Ratios!G33/(Model!X22*(1-Model!X42))+Model!X89+Model!X92-Model!X99+Model!X104</f>
        <v>1741.8698049039758</v>
      </c>
      <c r="H20" s="10">
        <f>Ratios!H33/(Model!Y22*(1-Model!Y42))+Model!Y89+Model!Y92-Model!Y99+Model!Y104</f>
        <v>403.21587359386172</v>
      </c>
      <c r="I20" s="10">
        <f>Ratios!I33/(Model!Z22*(1-Model!Z42))+Model!Z89+Model!Z92-Model!Z99+Model!Z104</f>
        <v>-684.01863134488713</v>
      </c>
      <c r="L20" s="23">
        <f t="shared" si="4"/>
        <v>14.177214819794115</v>
      </c>
      <c r="M20" s="23">
        <f t="shared" si="5"/>
        <v>56.810539360216126</v>
      </c>
    </row>
    <row r="23" spans="1:13" x14ac:dyDescent="0.2">
      <c r="A23" s="7" t="s">
        <v>11</v>
      </c>
      <c r="B23" s="15" t="s">
        <v>141</v>
      </c>
    </row>
    <row r="24" spans="1:13" x14ac:dyDescent="0.2">
      <c r="B24" s="3" t="s">
        <v>142</v>
      </c>
      <c r="C24" s="30">
        <f>Model!T49/Model!T9*360</f>
        <v>56.551104724268008</v>
      </c>
      <c r="D24" s="30">
        <f>Model!U49/Model!U9*360</f>
        <v>63.492692593510036</v>
      </c>
      <c r="E24" s="30">
        <f>Model!V49/Model!V9*360</f>
        <v>42.464707144389621</v>
      </c>
      <c r="F24" s="30">
        <f>Model!W49/Model!W9*360</f>
        <v>57.338424752863922</v>
      </c>
      <c r="G24" s="30">
        <f>Model!X49/Model!X9*360</f>
        <v>57.650893868167316</v>
      </c>
      <c r="H24" s="30">
        <f>Model!Y49/Model!Y9*360</f>
        <v>44.881846989588048</v>
      </c>
      <c r="I24" s="30">
        <f>Model!Z49/Model!Z9*360</f>
        <v>47.677625871301643</v>
      </c>
      <c r="L24" s="30">
        <f>AVERAGE(C24:I24)</f>
        <v>52.865327992012659</v>
      </c>
      <c r="M24" s="30">
        <f>MEDIAN(C24:I24)</f>
        <v>56.551104724268008</v>
      </c>
    </row>
    <row r="25" spans="1:13" x14ac:dyDescent="0.2">
      <c r="B25" s="3" t="s">
        <v>143</v>
      </c>
      <c r="C25" s="30">
        <f>Model!T65/Model!T9*360</f>
        <v>36.843901562780673</v>
      </c>
      <c r="D25" s="30">
        <f>Model!U65/Model!U9*360</f>
        <v>38.820906613822146</v>
      </c>
      <c r="E25" s="30">
        <f>Model!V65/Model!V9*360</f>
        <v>34.725595365801333</v>
      </c>
      <c r="F25" s="30">
        <f>Model!W65/Model!W9*360</f>
        <v>36.435530494985905</v>
      </c>
      <c r="G25" s="30">
        <f>Model!X65/Model!X9*360</f>
        <v>41.480973132484642</v>
      </c>
      <c r="H25" s="30">
        <f>Model!Y65/Model!Y9*360</f>
        <v>31.094612947034861</v>
      </c>
      <c r="I25" s="30">
        <f>Model!Z65/Model!Z9*360</f>
        <v>30.704520297962723</v>
      </c>
      <c r="L25" s="30">
        <f>AVERAGE(C25:I25)</f>
        <v>35.729434344981755</v>
      </c>
      <c r="M25" s="30">
        <f>MEDIAN(C25:I25)</f>
        <v>36.435530494985905</v>
      </c>
    </row>
    <row r="26" spans="1:13" x14ac:dyDescent="0.2">
      <c r="B26" s="3" t="s">
        <v>144</v>
      </c>
      <c r="C26" s="10">
        <f>Model!T50/Model!T60</f>
        <v>0.23344870429534967</v>
      </c>
      <c r="D26" s="10">
        <f>Model!U50/Model!U60</f>
        <v>0.23704515748197497</v>
      </c>
      <c r="E26" s="10">
        <f>Model!V50/Model!V60</f>
        <v>0.2350520068917108</v>
      </c>
      <c r="F26" s="10">
        <f>Model!W50/Model!W60</f>
        <v>0.18161102278749339</v>
      </c>
      <c r="G26" s="10">
        <f>Model!X50/Model!X60</f>
        <v>0.2088241859080876</v>
      </c>
      <c r="H26" s="10">
        <f>Model!Y50/Model!Y60</f>
        <v>0.22525379020010125</v>
      </c>
      <c r="I26" s="10">
        <f>Model!Z50/Model!Z60</f>
        <v>0.19729729729729731</v>
      </c>
      <c r="L26" s="23">
        <f>AVERAGE(C26:I26)</f>
        <v>0.21693316640885932</v>
      </c>
      <c r="M26" s="23">
        <f>MEDIAN(C26:I26)</f>
        <v>0.22525379020010125</v>
      </c>
    </row>
    <row r="27" spans="1:13" x14ac:dyDescent="0.2">
      <c r="B27" s="3" t="s">
        <v>145</v>
      </c>
      <c r="C27" s="30">
        <f>Model!T17/Model!T50</f>
        <v>3.8853830070328836</v>
      </c>
      <c r="D27" s="30">
        <f>Model!U17/Model!U50</f>
        <v>3.8496976165065813</v>
      </c>
      <c r="E27" s="30">
        <f>Model!V17/Model!V50</f>
        <v>2.8725397040857881</v>
      </c>
      <c r="F27" s="30">
        <f>Model!W17/Model!W50</f>
        <v>3.5856434199007881</v>
      </c>
      <c r="G27" s="30">
        <f>Model!X17/Model!X50</f>
        <v>2.9965558194774347</v>
      </c>
      <c r="H27" s="30">
        <f>Model!Y17/Model!Y50</f>
        <v>3.4214572983203215</v>
      </c>
      <c r="I27" s="30">
        <f>Model!Z17/Model!Z50</f>
        <v>3.7870727490357758</v>
      </c>
      <c r="L27" s="30">
        <f>AVERAGE(C27:I27)</f>
        <v>3.4854785163370825</v>
      </c>
      <c r="M27" s="30">
        <f t="shared" ref="M27:M29" si="6">AVERAGE(D27:J27)</f>
        <v>3.4188277678877816</v>
      </c>
    </row>
    <row r="28" spans="1:13" x14ac:dyDescent="0.2">
      <c r="B28" s="3" t="s">
        <v>147</v>
      </c>
      <c r="C28" s="30">
        <f t="shared" ref="C28:H28" si="7">360/C27</f>
        <v>92.654958172300766</v>
      </c>
      <c r="D28" s="30">
        <f t="shared" si="7"/>
        <v>93.513838192487185</v>
      </c>
      <c r="E28" s="30">
        <f t="shared" si="7"/>
        <v>125.32463850297702</v>
      </c>
      <c r="F28" s="30">
        <f t="shared" si="7"/>
        <v>100.400390625</v>
      </c>
      <c r="G28" s="30">
        <f t="shared" si="7"/>
        <v>120.13792556775395</v>
      </c>
      <c r="H28" s="30">
        <f t="shared" si="7"/>
        <v>105.21832324978394</v>
      </c>
      <c r="I28" s="30">
        <f>360/I27</f>
        <v>95.060228270412651</v>
      </c>
      <c r="L28" s="30">
        <f t="shared" ref="L28:L29" si="8">AVERAGE(C28:I28)</f>
        <v>104.61575751153079</v>
      </c>
      <c r="M28" s="30">
        <f t="shared" si="6"/>
        <v>106.60922406806912</v>
      </c>
    </row>
    <row r="29" spans="1:13" x14ac:dyDescent="0.2">
      <c r="B29" s="3" t="s">
        <v>146</v>
      </c>
      <c r="C29" s="30">
        <f t="shared" ref="C29:H29" si="9">C28+C24-C25</f>
        <v>112.36216133378809</v>
      </c>
      <c r="D29" s="30">
        <f t="shared" si="9"/>
        <v>118.18562417217508</v>
      </c>
      <c r="E29" s="30">
        <f t="shared" si="9"/>
        <v>133.06375028156532</v>
      </c>
      <c r="F29" s="30">
        <f t="shared" si="9"/>
        <v>121.30328488287802</v>
      </c>
      <c r="G29" s="30">
        <f t="shared" si="9"/>
        <v>136.30784630343661</v>
      </c>
      <c r="H29" s="30">
        <f t="shared" si="9"/>
        <v>119.00555729233712</v>
      </c>
      <c r="I29" s="30">
        <f>I28+I24-I25</f>
        <v>112.03333384375159</v>
      </c>
      <c r="L29" s="30">
        <f t="shared" si="8"/>
        <v>121.7516511585617</v>
      </c>
      <c r="M29" s="30">
        <f t="shared" si="6"/>
        <v>123.3165661293573</v>
      </c>
    </row>
    <row r="31" spans="1:13" x14ac:dyDescent="0.2">
      <c r="B31" s="15" t="s">
        <v>148</v>
      </c>
    </row>
    <row r="32" spans="1:13" x14ac:dyDescent="0.2">
      <c r="B32" s="3" t="s">
        <v>4</v>
      </c>
      <c r="C32" s="5">
        <f>74.3*Model!T30</f>
        <v>120690.67226890757</v>
      </c>
      <c r="D32" s="5">
        <f>83.13*Model!U30</f>
        <v>131345.4</v>
      </c>
      <c r="E32" s="5">
        <f>95.17*Model!V30</f>
        <v>148243.33128834359</v>
      </c>
      <c r="F32" s="5">
        <f>131.94*Model!W30</f>
        <v>207588.01648351646</v>
      </c>
      <c r="G32" s="5">
        <f>110.44*Model!X30</f>
        <v>174339.48825065274</v>
      </c>
      <c r="H32" s="5">
        <f>106.83*Model!Y30</f>
        <v>165635.50458715594</v>
      </c>
      <c r="I32" s="5">
        <f>Main!I5</f>
        <v>65348.117867149995</v>
      </c>
    </row>
    <row r="33" spans="2:13" x14ac:dyDescent="0.2">
      <c r="B33" s="3" t="s">
        <v>151</v>
      </c>
      <c r="C33" s="5">
        <f>Model!T63+Model!T64+Model!T70+Model!T71-Model!T47-Model!T48</f>
        <v>-1435</v>
      </c>
      <c r="D33" s="5">
        <f>Model!U63+Model!U64+Model!U70+Model!U71-Model!U47-Model!U48</f>
        <v>-1184</v>
      </c>
      <c r="E33" s="5">
        <f>Model!V63+Model!V64+Model!V70+Model!V71-Model!V47-Model!V48</f>
        <v>3783</v>
      </c>
      <c r="F33" s="5">
        <f>Model!W63+Model!W64+Model!W70+Model!W71-Model!W47-Model!W48</f>
        <v>-1130</v>
      </c>
      <c r="G33" s="5">
        <f>Model!X63+Model!X64+Model!X70+Model!X71-Model!X47-Model!X48</f>
        <v>-790</v>
      </c>
      <c r="H33" s="5">
        <f>Model!Y63+Model!Y64+Model!Y70+Model!Y71-Model!Y47-Model!Y48</f>
        <v>1044</v>
      </c>
      <c r="I33" s="5">
        <f>Model!Z63+Model!Z64+Model!Z70+Model!Z71-Model!Z47-Model!Z48</f>
        <v>-107</v>
      </c>
    </row>
    <row r="34" spans="2:13" x14ac:dyDescent="0.2">
      <c r="B34" s="3" t="s">
        <v>7</v>
      </c>
      <c r="C34" s="5">
        <f t="shared" ref="C34:H34" si="10">C32+C33</f>
        <v>119255.67226890757</v>
      </c>
      <c r="D34" s="5">
        <f t="shared" si="10"/>
        <v>130161.4</v>
      </c>
      <c r="E34" s="5">
        <f t="shared" si="10"/>
        <v>152026.33128834359</v>
      </c>
      <c r="F34" s="5">
        <f t="shared" si="10"/>
        <v>206458.01648351646</v>
      </c>
      <c r="G34" s="5">
        <f t="shared" si="10"/>
        <v>173549.48825065274</v>
      </c>
      <c r="H34" s="5">
        <f t="shared" si="10"/>
        <v>166679.50458715594</v>
      </c>
      <c r="I34" s="5">
        <f>I32+I33</f>
        <v>65241.117867149995</v>
      </c>
    </row>
    <row r="35" spans="2:13" x14ac:dyDescent="0.2">
      <c r="B35" s="15" t="s">
        <v>71</v>
      </c>
      <c r="C35" s="31"/>
      <c r="D35" s="31"/>
      <c r="E35" s="31"/>
      <c r="F35" s="31"/>
      <c r="G35" s="31"/>
      <c r="H35" s="31"/>
      <c r="I35" s="31"/>
    </row>
    <row r="36" spans="2:13" x14ac:dyDescent="0.2">
      <c r="B36" s="3" t="s">
        <v>149</v>
      </c>
      <c r="C36" s="30">
        <f>C32/Model!T27</f>
        <v>62.436974789915972</v>
      </c>
      <c r="D36" s="30">
        <f>D32/Model!U27</f>
        <v>32.6</v>
      </c>
      <c r="E36" s="30">
        <f>E32/Model!V27</f>
        <v>58.386503067484675</v>
      </c>
      <c r="F36" s="30">
        <f>F32/Model!W27</f>
        <v>36.247252747252745</v>
      </c>
      <c r="G36" s="30">
        <f>G32/Model!X27</f>
        <v>28.835509138381202</v>
      </c>
      <c r="H36" s="30">
        <f>H32/Model!Y27</f>
        <v>32.669724770642198</v>
      </c>
      <c r="I36" s="30">
        <f>I32/Model!Z27</f>
        <v>11.46458208195614</v>
      </c>
      <c r="L36" s="30">
        <f>AVERAGE(C36:I36)</f>
        <v>37.520078085090418</v>
      </c>
      <c r="M36" s="30">
        <f>AVERAGE(D36:J36)</f>
        <v>33.367261967619491</v>
      </c>
    </row>
    <row r="37" spans="2:13" x14ac:dyDescent="0.2">
      <c r="B37" s="3" t="s">
        <v>150</v>
      </c>
      <c r="C37" s="4" t="s">
        <v>43</v>
      </c>
      <c r="D37" s="30">
        <f>D36/((Model!U27/Model!T27-1)*100)</f>
        <v>0.30064790076335879</v>
      </c>
      <c r="E37" s="30">
        <f>E36/((Model!V27/Model!U27-1)*100)</f>
        <v>-1.578786717173797</v>
      </c>
      <c r="F37" s="30">
        <f>F36/((Model!W27/Model!V27-1)*100)</f>
        <v>0.28868185296510263</v>
      </c>
      <c r="G37" s="30">
        <f>G36/((Model!X27/Model!W27-1)*100)</f>
        <v>5.176832628072388</v>
      </c>
      <c r="H37" s="30">
        <f>H36/((Model!Y27/Model!X27-1)*100)</f>
        <v>-2.0237823356895777</v>
      </c>
      <c r="I37" s="30">
        <f>I36/((Model!Z27/Model!Y27-1)*100)</f>
        <v>0.9226258913574229</v>
      </c>
      <c r="L37" s="30">
        <f t="shared" ref="L37:M41" si="11">AVERAGE(C37:I37)</f>
        <v>0.51436987004914958</v>
      </c>
      <c r="M37" s="30">
        <f t="shared" si="11"/>
        <v>0.51436987004914958</v>
      </c>
    </row>
    <row r="38" spans="2:13" x14ac:dyDescent="0.2">
      <c r="B38" s="3" t="s">
        <v>152</v>
      </c>
      <c r="C38" s="30">
        <f>Ratios!C32/Model!T83</f>
        <v>12.300313113423112</v>
      </c>
      <c r="D38" s="30">
        <f>Ratios!D32/Model!U83</f>
        <v>14.529358407079645</v>
      </c>
      <c r="E38" s="30">
        <f>Ratios!E32/Model!V83</f>
        <v>18.403889669564691</v>
      </c>
      <c r="F38" s="30">
        <f>Ratios!F32/Model!W83</f>
        <v>16.259733412980061</v>
      </c>
      <c r="G38" s="30">
        <f>Ratios!G32/Model!X83</f>
        <v>11.408905716291653</v>
      </c>
      <c r="H38" s="30">
        <f>Ratios!H32/Model!Y83</f>
        <v>11.827728119619819</v>
      </c>
      <c r="I38" s="30">
        <f>Ratios!I32/Model!Z83</f>
        <v>4.5286290968225913</v>
      </c>
      <c r="L38" s="30">
        <f t="shared" si="11"/>
        <v>12.751222505111652</v>
      </c>
      <c r="M38" s="30">
        <f t="shared" si="11"/>
        <v>12.826374070393078</v>
      </c>
    </row>
    <row r="39" spans="2:13" x14ac:dyDescent="0.2">
      <c r="B39" s="3" t="s">
        <v>153</v>
      </c>
      <c r="C39" s="30">
        <f>C32/(Model!T83-Model!T55-Model!T56)</f>
        <v>12.876418678001448</v>
      </c>
      <c r="D39" s="30">
        <f>D32/(Model!U83-Model!U55-Model!U56)</f>
        <v>15.267395094734395</v>
      </c>
      <c r="E39" s="30">
        <f>E32/(Model!V83-Model!V55-Model!V56)</f>
        <v>19.614095169137812</v>
      </c>
      <c r="F39" s="30">
        <f>F32/(Model!W83-Model!W55-Model!W56)</f>
        <v>16.937664530313029</v>
      </c>
      <c r="G39" s="30">
        <f>G32/(Model!X83-Model!X55-Model!X56)</f>
        <v>11.850961066593211</v>
      </c>
      <c r="H39" s="30">
        <f>H32/(Model!Y83-Model!Y55-Model!Y56)</f>
        <v>12.315823078827863</v>
      </c>
      <c r="I39" s="30">
        <f>I32/(Model!Z83-Model!Z55-Model!Z56)</f>
        <v>4.6908418539336729</v>
      </c>
      <c r="L39" s="30">
        <f t="shared" si="11"/>
        <v>13.364742781648776</v>
      </c>
      <c r="M39" s="30">
        <f t="shared" si="11"/>
        <v>13.446130132256664</v>
      </c>
    </row>
    <row r="40" spans="2:13" x14ac:dyDescent="0.2">
      <c r="B40" s="3" t="s">
        <v>161</v>
      </c>
      <c r="C40" s="30">
        <f>C32/Model!T100</f>
        <v>24.357350609264898</v>
      </c>
      <c r="D40" s="30">
        <f>D32/Model!U100</f>
        <v>22.250618329662881</v>
      </c>
      <c r="E40" s="30">
        <f>E32/Model!V100</f>
        <v>59.655264099937057</v>
      </c>
      <c r="F40" s="30">
        <f>F32/Model!W100</f>
        <v>31.183418429249883</v>
      </c>
      <c r="G40" s="30">
        <f>G32/Model!X100</f>
        <v>33.60437321716514</v>
      </c>
      <c r="H40" s="30">
        <f>H32/Model!Y100</f>
        <v>28.357388218996054</v>
      </c>
      <c r="I40" s="30">
        <f>I32/Model!Z100</f>
        <v>8.7963545385852733</v>
      </c>
      <c r="L40" s="30">
        <f t="shared" si="11"/>
        <v>29.743538206123027</v>
      </c>
      <c r="M40" s="30">
        <f t="shared" si="11"/>
        <v>30.641236138932712</v>
      </c>
    </row>
    <row r="41" spans="2:13" x14ac:dyDescent="0.2">
      <c r="B41" s="3" t="s">
        <v>154</v>
      </c>
      <c r="C41" s="30">
        <f>C32/Model!T16</f>
        <v>3.3159511022586359</v>
      </c>
      <c r="D41" s="30">
        <f>D32/Model!U16</f>
        <v>3.3577574967405472</v>
      </c>
      <c r="E41" s="30">
        <f>E32/Model!V16</f>
        <v>3.9634075151282944</v>
      </c>
      <c r="F41" s="30">
        <f>F32/Model!W16</f>
        <v>4.6609191360976352</v>
      </c>
      <c r="G41" s="30">
        <f>G32/Model!X16</f>
        <v>3.7323803950043404</v>
      </c>
      <c r="H41" s="30">
        <f>H32/Model!Y16</f>
        <v>3.2339946616778792</v>
      </c>
      <c r="I41" s="30">
        <f>I32/Model!Z16</f>
        <v>1.2723047752647871</v>
      </c>
      <c r="L41" s="30">
        <f t="shared" si="11"/>
        <v>3.3623878688817315</v>
      </c>
      <c r="M41" s="30">
        <f t="shared" si="11"/>
        <v>3.3701273299855803</v>
      </c>
    </row>
    <row r="42" spans="2:13" x14ac:dyDescent="0.2">
      <c r="B42" s="15" t="s">
        <v>155</v>
      </c>
    </row>
    <row r="43" spans="2:13" x14ac:dyDescent="0.2">
      <c r="B43" s="3" t="s">
        <v>156</v>
      </c>
      <c r="C43" s="30">
        <f>C34/Model!T16</f>
        <v>3.276524775913058</v>
      </c>
      <c r="D43" s="30">
        <f>D34/Model!U16</f>
        <v>3.3274893268911212</v>
      </c>
      <c r="E43" s="30">
        <f>E34/Model!V16</f>
        <v>4.0645491347844711</v>
      </c>
      <c r="F43" s="30">
        <f>F34/Model!W16</f>
        <v>4.6355475433004729</v>
      </c>
      <c r="G43" s="30">
        <f>G34/Model!X16</f>
        <v>3.7154675283804912</v>
      </c>
      <c r="H43" s="30">
        <f>H34/Model!Y16</f>
        <v>3.2543785186003853</v>
      </c>
      <c r="I43" s="30">
        <f>I34/Model!Z16</f>
        <v>1.2702215230549823</v>
      </c>
      <c r="L43" s="30">
        <f t="shared" ref="L43:M46" si="12">AVERAGE(C43:I43)</f>
        <v>3.3634540501321402</v>
      </c>
      <c r="M43" s="30">
        <f t="shared" si="12"/>
        <v>3.3779422625019873</v>
      </c>
    </row>
    <row r="44" spans="2:13" x14ac:dyDescent="0.2">
      <c r="B44" s="3" t="s">
        <v>157</v>
      </c>
      <c r="C44" s="30">
        <f>C34/Model!T22</f>
        <v>26.829172613927462</v>
      </c>
      <c r="D44" s="30">
        <f>D34/Model!U22</f>
        <v>27.276068734283317</v>
      </c>
      <c r="E44" s="30">
        <f>E34/Model!V22</f>
        <v>48.804600734620735</v>
      </c>
      <c r="F44" s="30">
        <f>F34/Model!W22</f>
        <v>29.761859086567171</v>
      </c>
      <c r="G44" s="30">
        <f>G34/Model!X22</f>
        <v>25.99992333343112</v>
      </c>
      <c r="H44" s="30">
        <f>H34/Model!Y22</f>
        <v>28.179121654633295</v>
      </c>
      <c r="I44" s="30">
        <f>I34/Model!Z22</f>
        <v>10.337683071961653</v>
      </c>
      <c r="L44" s="30">
        <f t="shared" si="12"/>
        <v>28.16977560420354</v>
      </c>
      <c r="M44" s="30">
        <f t="shared" si="12"/>
        <v>28.393209435916216</v>
      </c>
    </row>
    <row r="45" spans="2:13" x14ac:dyDescent="0.2">
      <c r="B45" s="3" t="s">
        <v>158</v>
      </c>
      <c r="C45" s="30">
        <f>Ratios!C34/(Model!T22+Model!T89+Model!T92)</f>
        <v>22.850291678273148</v>
      </c>
      <c r="D45" s="30">
        <f>Ratios!D34/(Model!U22+Model!U89+Model!U92)</f>
        <v>23.700182083029862</v>
      </c>
      <c r="E45" s="30">
        <f>Ratios!E34/(Model!V22+Model!V89+Model!V92)</f>
        <v>35.906077300033914</v>
      </c>
      <c r="F45" s="30">
        <f>Ratios!F34/(Model!W22+Model!W89+Model!W92)</f>
        <v>26.694856023211333</v>
      </c>
      <c r="G45" s="30">
        <f>Ratios!G34/(Model!X22+Model!X89+Model!X92)</f>
        <v>23.093744278197303</v>
      </c>
      <c r="H45" s="30">
        <f>Ratios!H34/(Model!Y22+Model!Y89+Model!Y92)</f>
        <v>24.605772746849119</v>
      </c>
      <c r="I45" s="30">
        <f>Ratios!I34/(Model!Z22+Model!Y89+Model!Y92)</f>
        <v>9.0991796188493712</v>
      </c>
      <c r="L45" s="30">
        <f t="shared" si="12"/>
        <v>23.707157675492006</v>
      </c>
      <c r="M45" s="30">
        <f t="shared" si="12"/>
        <v>23.849968675028482</v>
      </c>
    </row>
    <row r="46" spans="2:13" x14ac:dyDescent="0.2">
      <c r="B46" s="3" t="s">
        <v>159</v>
      </c>
      <c r="C46" s="30">
        <f>C34/(Model!T22*(1-Model!T42)+Model!T89+Model!T92+Model!S104+Model!S98)</f>
        <v>43.198679247322083</v>
      </c>
      <c r="D46" s="30">
        <f>D34/(Model!U22*(1-Model!U42)+Model!U89+Model!U92+Model!T104+Model!T98)</f>
        <v>24.975021432829244</v>
      </c>
      <c r="E46" s="30">
        <f>E34/(Model!V22*(1-Model!V42)+Model!V89+Model!V92+Model!U104+Model!U98)</f>
        <v>35.649134107784647</v>
      </c>
      <c r="F46" s="30">
        <f>F34/(Model!W22*(1-Model!W42)+Model!W89+Model!W92+Model!V104+Model!V98)</f>
        <v>36.225156498205678</v>
      </c>
      <c r="G46" s="30">
        <f>G34/(Model!X22*(1-Model!X42)+Model!X89+Model!X92+Model!W104+Model!W98)</f>
        <v>23.020785787950288</v>
      </c>
      <c r="H46" s="30">
        <f>H34/(Model!Y22*(1-Model!Y42)+Model!Y89+Model!Y92+Model!X104+Model!X98)</f>
        <v>26.447981555059251</v>
      </c>
      <c r="I46" s="30">
        <f>I34/(Model!Z22*(1-Model!Z42)+Model!Z89+Model!Z92+Model!Y104+Model!Y98)</f>
        <v>12.097347838618877</v>
      </c>
      <c r="L46" s="30">
        <f t="shared" si="12"/>
        <v>28.802015209681436</v>
      </c>
      <c r="M46" s="30">
        <f t="shared" si="12"/>
        <v>26.402571203407998</v>
      </c>
    </row>
  </sheetData>
  <hyperlinks>
    <hyperlink ref="A1" location="Main!A1" display="Main" xr:uid="{BF963786-6950-4684-B3EB-F59E886E2C36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2A36-E45F-452C-AE1C-029950064429}">
  <dimension ref="A1:AO74"/>
  <sheetViews>
    <sheetView showGridLines="0" workbookViewId="0">
      <selection activeCell="A2" sqref="A2"/>
    </sheetView>
  </sheetViews>
  <sheetFormatPr defaultRowHeight="12.75" x14ac:dyDescent="0.2"/>
  <cols>
    <col min="1" max="1" width="4.7109375" style="3" bestFit="1" customWidth="1"/>
    <col min="2" max="4" width="9.140625" style="3"/>
    <col min="5" max="5" width="11.28515625" style="3" bestFit="1" customWidth="1"/>
    <col min="6" max="6" width="9.140625" style="3"/>
    <col min="7" max="21" width="9.28515625" style="3" bestFit="1" customWidth="1"/>
    <col min="22" max="22" width="10.140625" style="3" bestFit="1" customWidth="1"/>
    <col min="23" max="16384" width="9.140625" style="3"/>
  </cols>
  <sheetData>
    <row r="1" spans="1:41" x14ac:dyDescent="0.2">
      <c r="A1" s="2" t="s">
        <v>0</v>
      </c>
      <c r="B1" s="32" t="s">
        <v>214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</row>
    <row r="2" spans="1:41" x14ac:dyDescent="0.2">
      <c r="E2" s="33"/>
    </row>
    <row r="3" spans="1:41" x14ac:dyDescent="0.2">
      <c r="B3" s="3" t="s">
        <v>215</v>
      </c>
      <c r="E3" s="34" t="s">
        <v>1</v>
      </c>
      <c r="G3" s="3" t="s">
        <v>190</v>
      </c>
      <c r="J3" s="34">
        <f>Main!I3</f>
        <v>44.05</v>
      </c>
    </row>
    <row r="4" spans="1:41" x14ac:dyDescent="0.2">
      <c r="B4" s="3" t="s">
        <v>216</v>
      </c>
      <c r="E4" s="35">
        <v>45519</v>
      </c>
      <c r="G4" s="3" t="s">
        <v>191</v>
      </c>
      <c r="J4" s="36">
        <f ca="1">V60</f>
        <v>69.732016495904531</v>
      </c>
    </row>
    <row r="5" spans="1:41" x14ac:dyDescent="0.2">
      <c r="B5" s="3" t="s">
        <v>217</v>
      </c>
      <c r="E5" s="37">
        <v>45808</v>
      </c>
      <c r="G5" s="3" t="s">
        <v>192</v>
      </c>
      <c r="J5" s="38">
        <f ca="1">J4/J3-1</f>
        <v>0.58301967073563077</v>
      </c>
    </row>
    <row r="7" spans="1:41" x14ac:dyDescent="0.2">
      <c r="A7" s="17" t="s">
        <v>11</v>
      </c>
      <c r="B7" s="39" t="s">
        <v>181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</row>
    <row r="8" spans="1:41" ht="5.0999999999999996" customHeight="1" x14ac:dyDescent="0.2">
      <c r="A8" s="17"/>
    </row>
    <row r="9" spans="1:41" x14ac:dyDescent="0.2">
      <c r="A9" s="17"/>
      <c r="B9" s="40" t="s">
        <v>180</v>
      </c>
      <c r="C9" s="41"/>
      <c r="D9" s="41"/>
      <c r="E9" s="41"/>
      <c r="G9" s="40" t="s">
        <v>193</v>
      </c>
      <c r="H9" s="41"/>
      <c r="I9" s="41"/>
      <c r="J9" s="41"/>
      <c r="L9" s="40" t="s">
        <v>218</v>
      </c>
      <c r="M9" s="41"/>
      <c r="N9" s="41"/>
      <c r="O9" s="41"/>
      <c r="Q9" s="40" t="s">
        <v>185</v>
      </c>
      <c r="R9" s="41"/>
      <c r="S9" s="41"/>
      <c r="T9" s="41"/>
    </row>
    <row r="10" spans="1:41" x14ac:dyDescent="0.2">
      <c r="A10" s="17"/>
      <c r="B10" s="18" t="s">
        <v>219</v>
      </c>
      <c r="G10" s="18" t="s">
        <v>219</v>
      </c>
      <c r="I10" s="18" t="s">
        <v>220</v>
      </c>
      <c r="J10" s="18" t="s">
        <v>221</v>
      </c>
      <c r="L10" s="18" t="s">
        <v>219</v>
      </c>
      <c r="N10" s="18" t="s">
        <v>220</v>
      </c>
      <c r="O10" s="18" t="s">
        <v>221</v>
      </c>
      <c r="Q10" s="18" t="s">
        <v>219</v>
      </c>
      <c r="S10" s="18" t="s">
        <v>220</v>
      </c>
      <c r="T10" s="18" t="s">
        <v>221</v>
      </c>
    </row>
    <row r="11" spans="1:41" x14ac:dyDescent="0.2">
      <c r="B11" s="3" t="s">
        <v>182</v>
      </c>
      <c r="E11" s="42">
        <v>2</v>
      </c>
      <c r="G11" s="3" t="s">
        <v>175</v>
      </c>
      <c r="K11" s="6"/>
      <c r="L11" s="3" t="s">
        <v>175</v>
      </c>
      <c r="O11" s="23"/>
      <c r="Q11" s="3" t="s">
        <v>175</v>
      </c>
    </row>
    <row r="12" spans="1:41" x14ac:dyDescent="0.2">
      <c r="B12" s="3" t="s">
        <v>186</v>
      </c>
      <c r="E12" s="42">
        <v>2</v>
      </c>
    </row>
    <row r="13" spans="1:41" x14ac:dyDescent="0.2">
      <c r="B13" s="3" t="s">
        <v>187</v>
      </c>
      <c r="E13" s="42">
        <v>2</v>
      </c>
      <c r="G13" s="3" t="s">
        <v>186</v>
      </c>
      <c r="L13" s="3" t="s">
        <v>186</v>
      </c>
      <c r="O13" s="23">
        <v>3.5000000000000003E-2</v>
      </c>
      <c r="Q13" s="3" t="s">
        <v>186</v>
      </c>
    </row>
    <row r="14" spans="1:41" x14ac:dyDescent="0.2">
      <c r="B14" s="3" t="s">
        <v>189</v>
      </c>
      <c r="E14" s="42">
        <v>2</v>
      </c>
    </row>
    <row r="16" spans="1:41" x14ac:dyDescent="0.2">
      <c r="B16" s="18" t="s">
        <v>222</v>
      </c>
    </row>
    <row r="17" spans="1:22" x14ac:dyDescent="0.2">
      <c r="B17" s="3" t="s">
        <v>187</v>
      </c>
      <c r="E17" s="43">
        <f>CHOOSE(E13,J17,O17,T17)</f>
        <v>0.09</v>
      </c>
      <c r="G17" s="3" t="s">
        <v>187</v>
      </c>
      <c r="J17" s="43"/>
      <c r="L17" s="3" t="s">
        <v>187</v>
      </c>
      <c r="O17" s="43">
        <v>0.09</v>
      </c>
      <c r="Q17" s="3" t="s">
        <v>187</v>
      </c>
      <c r="T17" s="43"/>
    </row>
    <row r="18" spans="1:22" x14ac:dyDescent="0.2">
      <c r="B18" s="3" t="s">
        <v>189</v>
      </c>
      <c r="E18" s="43">
        <f>CHOOSE(E14,J18,O18,T18)</f>
        <v>0.02</v>
      </c>
      <c r="G18" s="3" t="s">
        <v>189</v>
      </c>
      <c r="J18" s="43"/>
      <c r="L18" s="3" t="s">
        <v>189</v>
      </c>
      <c r="O18" s="43">
        <v>0.02</v>
      </c>
      <c r="Q18" s="3" t="s">
        <v>189</v>
      </c>
      <c r="T18" s="43"/>
    </row>
    <row r="22" spans="1:22" x14ac:dyDescent="0.2">
      <c r="A22" s="17" t="s">
        <v>11</v>
      </c>
      <c r="B22" s="39" t="s">
        <v>174</v>
      </c>
      <c r="C22" s="39"/>
      <c r="D22" s="39"/>
      <c r="E22" s="39"/>
      <c r="F22" s="39"/>
      <c r="G22" s="44">
        <v>19</v>
      </c>
      <c r="H22" s="44">
        <f>G22+1</f>
        <v>20</v>
      </c>
      <c r="I22" s="44">
        <f t="shared" ref="I22:V22" si="0">H22+1</f>
        <v>21</v>
      </c>
      <c r="J22" s="44">
        <f t="shared" si="0"/>
        <v>22</v>
      </c>
      <c r="K22" s="44">
        <f t="shared" si="0"/>
        <v>23</v>
      </c>
      <c r="L22" s="44">
        <f t="shared" si="0"/>
        <v>24</v>
      </c>
      <c r="M22" s="45">
        <f t="shared" si="0"/>
        <v>25</v>
      </c>
      <c r="N22" s="45">
        <f t="shared" si="0"/>
        <v>26</v>
      </c>
      <c r="O22" s="45">
        <f t="shared" si="0"/>
        <v>27</v>
      </c>
      <c r="P22" s="45">
        <f t="shared" si="0"/>
        <v>28</v>
      </c>
      <c r="Q22" s="45">
        <f t="shared" si="0"/>
        <v>29</v>
      </c>
      <c r="R22" s="45">
        <f t="shared" si="0"/>
        <v>30</v>
      </c>
      <c r="S22" s="45">
        <f t="shared" si="0"/>
        <v>31</v>
      </c>
      <c r="T22" s="45">
        <f t="shared" si="0"/>
        <v>32</v>
      </c>
      <c r="U22" s="45">
        <f t="shared" si="0"/>
        <v>33</v>
      </c>
      <c r="V22" s="45">
        <f t="shared" si="0"/>
        <v>34</v>
      </c>
    </row>
    <row r="23" spans="1:22" x14ac:dyDescent="0.2">
      <c r="B23" s="3" t="s">
        <v>175</v>
      </c>
      <c r="G23" s="11">
        <f>Model!U16</f>
        <v>39117</v>
      </c>
      <c r="H23" s="11">
        <f>Model!V16</f>
        <v>37403</v>
      </c>
      <c r="I23" s="11">
        <f>Model!W16</f>
        <v>44538</v>
      </c>
      <c r="J23" s="11">
        <f>Model!X16</f>
        <v>46710</v>
      </c>
      <c r="K23" s="11">
        <f>Model!Y16</f>
        <v>51217</v>
      </c>
      <c r="L23" s="11">
        <f>Model!Z16</f>
        <v>51362</v>
      </c>
      <c r="M23" s="11">
        <f ca="1">L23*(1+M24)</f>
        <v>45712.18</v>
      </c>
      <c r="N23" s="11">
        <f t="shared" ref="N23:V23" ca="1" si="1">M23*(1+N24)</f>
        <v>45255.058199999999</v>
      </c>
      <c r="O23" s="11">
        <f t="shared" ca="1" si="1"/>
        <v>46612.709946000003</v>
      </c>
      <c r="P23" s="11">
        <f t="shared" ca="1" si="1"/>
        <v>48477.218343840002</v>
      </c>
      <c r="Q23" s="11">
        <f t="shared" ca="1" si="1"/>
        <v>50901.079261032006</v>
      </c>
      <c r="R23" s="11">
        <f t="shared" ca="1" si="1"/>
        <v>53446.133224083605</v>
      </c>
      <c r="S23" s="11">
        <f t="shared" ca="1" si="1"/>
        <v>56118.439885287786</v>
      </c>
      <c r="T23" s="11">
        <f t="shared" ca="1" si="1"/>
        <v>58250.940600928727</v>
      </c>
      <c r="U23" s="11">
        <f t="shared" ca="1" si="1"/>
        <v>60231.472581360307</v>
      </c>
      <c r="V23" s="11">
        <f t="shared" ca="1" si="1"/>
        <v>62279.342649126556</v>
      </c>
    </row>
    <row r="24" spans="1:22" x14ac:dyDescent="0.2">
      <c r="B24" s="46" t="s">
        <v>179</v>
      </c>
      <c r="C24" s="47"/>
      <c r="G24" s="48"/>
      <c r="H24" s="49">
        <f>H23/G23-1</f>
        <v>-4.3817266150267153E-2</v>
      </c>
      <c r="I24" s="49">
        <f t="shared" ref="I24:L24" si="2">I23/H23-1</f>
        <v>0.19076009945726269</v>
      </c>
      <c r="J24" s="49">
        <f t="shared" si="2"/>
        <v>4.8767344739323759E-2</v>
      </c>
      <c r="K24" s="49">
        <f t="shared" si="2"/>
        <v>9.6488974523656568E-2</v>
      </c>
      <c r="L24" s="49">
        <f t="shared" si="2"/>
        <v>2.8310912392370824E-3</v>
      </c>
      <c r="M24" s="49" cm="1">
        <f t="array" aca="1" ref="M24" ca="1">OFFSET(M24,$E$11,,)</f>
        <v>-0.11</v>
      </c>
      <c r="N24" s="49" cm="1">
        <f t="array" aca="1" ref="N24" ca="1">OFFSET(N24,$E$11,,)</f>
        <v>-0.01</v>
      </c>
      <c r="O24" s="49" cm="1">
        <f t="array" aca="1" ref="O24" ca="1">OFFSET(O24,$E$11,,)</f>
        <v>0.03</v>
      </c>
      <c r="P24" s="49" cm="1">
        <f t="array" aca="1" ref="P24" ca="1">OFFSET(P24,$E$11,,)</f>
        <v>0.04</v>
      </c>
      <c r="Q24" s="49" cm="1">
        <f t="array" aca="1" ref="Q24" ca="1">OFFSET(Q24,$E$11,,)</f>
        <v>0.05</v>
      </c>
      <c r="R24" s="49" cm="1">
        <f t="array" aca="1" ref="R24" ca="1">OFFSET(R24,$E$11,,)</f>
        <v>0.05</v>
      </c>
      <c r="S24" s="49" cm="1">
        <f t="array" aca="1" ref="S24" ca="1">OFFSET(S24,$E$11,,)</f>
        <v>0.05</v>
      </c>
      <c r="T24" s="49" cm="1">
        <f t="array" aca="1" ref="T24" ca="1">OFFSET(T24,$E$11,,)</f>
        <v>3.7999999999999999E-2</v>
      </c>
      <c r="U24" s="49" cm="1">
        <f t="array" aca="1" ref="U24" ca="1">OFFSET(U24,$E$11,,)</f>
        <v>3.4000000000000002E-2</v>
      </c>
      <c r="V24" s="49" cm="1">
        <f t="array" aca="1" ref="V24" ca="1">OFFSET(V24,$E$11,,)</f>
        <v>3.4000000000000002E-2</v>
      </c>
    </row>
    <row r="25" spans="1:22" x14ac:dyDescent="0.2">
      <c r="B25" s="46" t="s">
        <v>193</v>
      </c>
      <c r="C25" s="47"/>
      <c r="H25" s="10"/>
      <c r="I25" s="10"/>
      <c r="J25" s="10"/>
      <c r="K25" s="10"/>
      <c r="L25" s="10"/>
      <c r="M25" s="50"/>
      <c r="N25" s="50"/>
      <c r="O25" s="50"/>
      <c r="P25" s="50"/>
      <c r="Q25" s="50"/>
      <c r="R25" s="50"/>
      <c r="S25" s="50"/>
      <c r="T25" s="50"/>
      <c r="U25" s="50"/>
      <c r="V25" s="50"/>
    </row>
    <row r="26" spans="1:22" x14ac:dyDescent="0.2">
      <c r="B26" s="46" t="s">
        <v>184</v>
      </c>
      <c r="C26" s="47"/>
      <c r="H26" s="10"/>
      <c r="I26" s="10"/>
      <c r="J26" s="10"/>
      <c r="K26" s="10"/>
      <c r="L26" s="10"/>
      <c r="M26" s="50">
        <v>-0.11</v>
      </c>
      <c r="N26" s="50">
        <v>-0.01</v>
      </c>
      <c r="O26" s="50">
        <v>0.03</v>
      </c>
      <c r="P26" s="50">
        <v>0.04</v>
      </c>
      <c r="Q26" s="50">
        <v>0.05</v>
      </c>
      <c r="R26" s="50">
        <v>0.05</v>
      </c>
      <c r="S26" s="50">
        <v>0.05</v>
      </c>
      <c r="T26" s="50">
        <v>3.7999999999999999E-2</v>
      </c>
      <c r="U26" s="50">
        <v>3.4000000000000002E-2</v>
      </c>
      <c r="V26" s="50">
        <f t="shared" ref="V26" si="3">U26*(1+$O$11)</f>
        <v>3.4000000000000002E-2</v>
      </c>
    </row>
    <row r="27" spans="1:22" x14ac:dyDescent="0.2">
      <c r="B27" s="46" t="s">
        <v>194</v>
      </c>
      <c r="C27" s="47"/>
      <c r="H27" s="10"/>
      <c r="I27" s="10"/>
      <c r="J27" s="10"/>
      <c r="K27" s="10"/>
      <c r="L27" s="10"/>
      <c r="M27" s="50"/>
      <c r="N27" s="50"/>
      <c r="O27" s="50"/>
      <c r="P27" s="50"/>
      <c r="Q27" s="50"/>
      <c r="R27" s="50"/>
      <c r="S27" s="50"/>
      <c r="T27" s="50"/>
      <c r="U27" s="50"/>
      <c r="V27" s="50"/>
    </row>
    <row r="29" spans="1:22" x14ac:dyDescent="0.2">
      <c r="B29" s="3" t="s">
        <v>186</v>
      </c>
      <c r="G29" s="11">
        <f>Model!U22</f>
        <v>4772</v>
      </c>
      <c r="H29" s="11">
        <f>Model!V22</f>
        <v>3115</v>
      </c>
      <c r="I29" s="11">
        <f>Model!W22</f>
        <v>6937</v>
      </c>
      <c r="J29" s="11">
        <f>Model!X22</f>
        <v>6675</v>
      </c>
      <c r="K29" s="11">
        <f>Model!Y22</f>
        <v>5915</v>
      </c>
      <c r="L29" s="11">
        <f>Model!Z22</f>
        <v>6311</v>
      </c>
      <c r="M29" s="11">
        <f ca="1">M30*M23</f>
        <v>5485.4615999999996</v>
      </c>
      <c r="N29" s="11">
        <f t="shared" ref="N29:V29" ca="1" si="4">N30*N23</f>
        <v>5620.6782284399997</v>
      </c>
      <c r="O29" s="11">
        <f t="shared" ca="1" si="4"/>
        <v>5991.9240254284605</v>
      </c>
      <c r="P29" s="11">
        <f t="shared" ca="1" si="4"/>
        <v>6449.7070209711947</v>
      </c>
      <c r="Q29" s="11">
        <f t="shared" ca="1" si="4"/>
        <v>7009.2191050404454</v>
      </c>
      <c r="R29" s="11">
        <f t="shared" ca="1" si="4"/>
        <v>7617.2688624027032</v>
      </c>
      <c r="S29" s="11">
        <f t="shared" ca="1" si="4"/>
        <v>8278.066936216137</v>
      </c>
      <c r="T29" s="11">
        <f t="shared" ca="1" si="4"/>
        <v>8893.3756515850819</v>
      </c>
      <c r="U29" s="11">
        <f t="shared" ca="1" si="4"/>
        <v>9517.6016885698373</v>
      </c>
      <c r="V29" s="11">
        <f t="shared" ca="1" si="4"/>
        <v>9964.694823860249</v>
      </c>
    </row>
    <row r="30" spans="1:22" x14ac:dyDescent="0.2">
      <c r="B30" s="46" t="s">
        <v>197</v>
      </c>
      <c r="G30" s="49">
        <f>G29/G23</f>
        <v>0.12199299537285579</v>
      </c>
      <c r="H30" s="49">
        <f t="shared" ref="H30:L30" si="5">H29/H23</f>
        <v>8.3282089671951443E-2</v>
      </c>
      <c r="I30" s="49">
        <f t="shared" si="5"/>
        <v>0.15575463649018814</v>
      </c>
      <c r="J30" s="49">
        <f t="shared" si="5"/>
        <v>0.14290301862556198</v>
      </c>
      <c r="K30" s="49">
        <f t="shared" si="5"/>
        <v>0.11548899779370131</v>
      </c>
      <c r="L30" s="49">
        <f t="shared" si="5"/>
        <v>0.12287294108484872</v>
      </c>
      <c r="M30" s="49" cm="1">
        <f t="array" aca="1" ref="M30" ca="1">OFFSET(M30,$E$12,,)</f>
        <v>0.12</v>
      </c>
      <c r="N30" s="49" cm="1">
        <f t="array" aca="1" ref="N30" ca="1">OFFSET(N30,$E$12,,)</f>
        <v>0.12419999999999999</v>
      </c>
      <c r="O30" s="49" cm="1">
        <f t="array" aca="1" ref="O30" ca="1">OFFSET(O30,$E$12,,)</f>
        <v>0.12854699999999997</v>
      </c>
      <c r="P30" s="49" cm="1">
        <f t="array" aca="1" ref="P30" ca="1">OFFSET(P30,$E$12,,)</f>
        <v>0.13304614499999995</v>
      </c>
      <c r="Q30" s="49" cm="1">
        <f t="array" aca="1" ref="Q30" ca="1">OFFSET(Q30,$E$12,,)</f>
        <v>0.13770276007499993</v>
      </c>
      <c r="R30" s="49" cm="1">
        <f t="array" aca="1" ref="R30" ca="1">OFFSET(R30,$E$12,,)</f>
        <v>0.14252235667762492</v>
      </c>
      <c r="S30" s="49" cm="1">
        <f t="array" aca="1" ref="S30" ca="1">OFFSET(S30,$E$12,,)</f>
        <v>0.14751063916134177</v>
      </c>
      <c r="T30" s="49" cm="1">
        <f t="array" aca="1" ref="T30" ca="1">OFFSET(T30,$E$12,,)</f>
        <v>0.15267351153198871</v>
      </c>
      <c r="U30" s="49" cm="1">
        <f t="array" aca="1" ref="U30" ca="1">OFFSET(U30,$E$12,,)</f>
        <v>0.1580170844356083</v>
      </c>
      <c r="V30" s="49" cm="1">
        <f t="array" aca="1" ref="V30" ca="1">OFFSET(V30,$E$12,,)</f>
        <v>0.16</v>
      </c>
    </row>
    <row r="31" spans="1:22" x14ac:dyDescent="0.2">
      <c r="B31" s="46" t="s">
        <v>193</v>
      </c>
      <c r="M31" s="50"/>
      <c r="N31" s="50"/>
      <c r="O31" s="50"/>
      <c r="P31" s="50"/>
      <c r="Q31" s="50"/>
      <c r="R31" s="50"/>
      <c r="S31" s="50"/>
      <c r="T31" s="50"/>
      <c r="U31" s="50"/>
      <c r="V31" s="50"/>
    </row>
    <row r="32" spans="1:22" x14ac:dyDescent="0.2">
      <c r="B32" s="46" t="s">
        <v>184</v>
      </c>
      <c r="M32" s="50">
        <v>0.12</v>
      </c>
      <c r="N32" s="50">
        <f>M32*(1+$O$13)</f>
        <v>0.12419999999999999</v>
      </c>
      <c r="O32" s="50">
        <f t="shared" ref="O32:U32" si="6">N32*(1+$O$13)</f>
        <v>0.12854699999999997</v>
      </c>
      <c r="P32" s="50">
        <f t="shared" si="6"/>
        <v>0.13304614499999995</v>
      </c>
      <c r="Q32" s="50">
        <f t="shared" si="6"/>
        <v>0.13770276007499993</v>
      </c>
      <c r="R32" s="50">
        <f t="shared" si="6"/>
        <v>0.14252235667762492</v>
      </c>
      <c r="S32" s="50">
        <f t="shared" si="6"/>
        <v>0.14751063916134177</v>
      </c>
      <c r="T32" s="50">
        <f t="shared" si="6"/>
        <v>0.15267351153198871</v>
      </c>
      <c r="U32" s="50">
        <f t="shared" si="6"/>
        <v>0.1580170844356083</v>
      </c>
      <c r="V32" s="50">
        <v>0.16</v>
      </c>
    </row>
    <row r="33" spans="2:22" x14ac:dyDescent="0.2">
      <c r="B33" s="46" t="s">
        <v>194</v>
      </c>
      <c r="M33" s="50"/>
      <c r="N33" s="50"/>
      <c r="O33" s="50"/>
      <c r="P33" s="50"/>
      <c r="Q33" s="50"/>
      <c r="R33" s="50"/>
      <c r="S33" s="50"/>
      <c r="T33" s="50"/>
      <c r="U33" s="50"/>
      <c r="V33" s="50"/>
    </row>
    <row r="35" spans="2:22" x14ac:dyDescent="0.2">
      <c r="B35" s="3" t="s">
        <v>188</v>
      </c>
      <c r="G35" s="11">
        <f>Model!T26</f>
        <v>2392</v>
      </c>
      <c r="H35" s="11">
        <f>Model!U26</f>
        <v>772</v>
      </c>
      <c r="I35" s="11">
        <f>Model!V26</f>
        <v>348</v>
      </c>
      <c r="J35" s="11">
        <f>Model!W26</f>
        <v>934</v>
      </c>
      <c r="K35" s="11">
        <f>Model!X26</f>
        <v>605</v>
      </c>
      <c r="L35" s="11">
        <f>Model!Y26</f>
        <v>1131</v>
      </c>
      <c r="M35" s="11">
        <f ca="1">M36*M29</f>
        <v>987.38308799999993</v>
      </c>
      <c r="N35" s="11">
        <f t="shared" ref="N35:V35" ca="1" si="7">N36*N29</f>
        <v>981.3704186856238</v>
      </c>
      <c r="O35" s="11">
        <f t="shared" ca="1" si="7"/>
        <v>1014.8042367946148</v>
      </c>
      <c r="P35" s="11">
        <f t="shared" ca="1" si="7"/>
        <v>1059.5652220711518</v>
      </c>
      <c r="Q35" s="11">
        <f t="shared" ca="1" si="7"/>
        <v>1116.9380299332493</v>
      </c>
      <c r="R35" s="11">
        <f t="shared" ca="1" si="7"/>
        <v>1177.4174319090598</v>
      </c>
      <c r="S35" s="11">
        <f t="shared" ca="1" si="7"/>
        <v>1241.1716423033554</v>
      </c>
      <c r="T35" s="11">
        <f t="shared" ca="1" si="7"/>
        <v>1293.4250925614906</v>
      </c>
      <c r="U35" s="11">
        <f t="shared" ca="1" si="7"/>
        <v>1342.6842818141299</v>
      </c>
      <c r="V35" s="11">
        <f t="shared" ca="1" si="7"/>
        <v>1395.0572753404349</v>
      </c>
    </row>
    <row r="36" spans="2:22" x14ac:dyDescent="0.2">
      <c r="B36" s="47" t="s">
        <v>195</v>
      </c>
      <c r="G36" s="49">
        <f t="shared" ref="G36:L36" si="8">G35/G29</f>
        <v>0.50125733445096399</v>
      </c>
      <c r="H36" s="49">
        <f t="shared" si="8"/>
        <v>0.24783306581059389</v>
      </c>
      <c r="I36" s="49">
        <f t="shared" si="8"/>
        <v>5.0165777713709093E-2</v>
      </c>
      <c r="J36" s="49">
        <f t="shared" si="8"/>
        <v>0.1399250936329588</v>
      </c>
      <c r="K36" s="49">
        <f t="shared" si="8"/>
        <v>0.10228233305156383</v>
      </c>
      <c r="L36" s="49">
        <f t="shared" si="8"/>
        <v>0.17921090160038028</v>
      </c>
      <c r="M36" s="49">
        <v>0.18</v>
      </c>
      <c r="N36" s="49">
        <f>M36*(1-3%)</f>
        <v>0.17459999999999998</v>
      </c>
      <c r="O36" s="49">
        <f t="shared" ref="O36:U36" si="9">N36*(1-3%)</f>
        <v>0.16936199999999998</v>
      </c>
      <c r="P36" s="49">
        <f t="shared" si="9"/>
        <v>0.16428113999999999</v>
      </c>
      <c r="Q36" s="49">
        <f t="shared" si="9"/>
        <v>0.15935270579999999</v>
      </c>
      <c r="R36" s="49">
        <f t="shared" si="9"/>
        <v>0.15457212462599998</v>
      </c>
      <c r="S36" s="49">
        <f t="shared" si="9"/>
        <v>0.14993496088721997</v>
      </c>
      <c r="T36" s="49">
        <f t="shared" si="9"/>
        <v>0.14543691206060336</v>
      </c>
      <c r="U36" s="49">
        <f t="shared" si="9"/>
        <v>0.14107380469878525</v>
      </c>
      <c r="V36" s="49">
        <v>0.14000000000000001</v>
      </c>
    </row>
    <row r="37" spans="2:22" x14ac:dyDescent="0.2">
      <c r="B37" s="47"/>
    </row>
    <row r="38" spans="2:22" x14ac:dyDescent="0.2">
      <c r="B38" s="51" t="s">
        <v>196</v>
      </c>
      <c r="C38" s="52"/>
      <c r="D38" s="52"/>
      <c r="E38" s="52"/>
      <c r="F38" s="52"/>
      <c r="G38" s="53">
        <f t="shared" ref="G38:V38" si="10">G29-G35</f>
        <v>2380</v>
      </c>
      <c r="H38" s="53">
        <f t="shared" si="10"/>
        <v>2343</v>
      </c>
      <c r="I38" s="53">
        <f t="shared" si="10"/>
        <v>6589</v>
      </c>
      <c r="J38" s="53">
        <f t="shared" si="10"/>
        <v>5741</v>
      </c>
      <c r="K38" s="53">
        <f t="shared" si="10"/>
        <v>5310</v>
      </c>
      <c r="L38" s="53">
        <f t="shared" si="10"/>
        <v>5180</v>
      </c>
      <c r="M38" s="53">
        <f t="shared" ca="1" si="10"/>
        <v>4498.078512</v>
      </c>
      <c r="N38" s="53">
        <f t="shared" ca="1" si="10"/>
        <v>4639.3078097543757</v>
      </c>
      <c r="O38" s="53">
        <f t="shared" ca="1" si="10"/>
        <v>4977.1197886338459</v>
      </c>
      <c r="P38" s="53">
        <f t="shared" ca="1" si="10"/>
        <v>5390.1417989000429</v>
      </c>
      <c r="Q38" s="53">
        <f t="shared" ca="1" si="10"/>
        <v>5892.2810751071956</v>
      </c>
      <c r="R38" s="53">
        <f t="shared" ca="1" si="10"/>
        <v>6439.8514304936434</v>
      </c>
      <c r="S38" s="53">
        <f t="shared" ca="1" si="10"/>
        <v>7036.8952939127812</v>
      </c>
      <c r="T38" s="53">
        <f t="shared" ca="1" si="10"/>
        <v>7599.9505590235913</v>
      </c>
      <c r="U38" s="53">
        <f t="shared" ca="1" si="10"/>
        <v>8174.9174067557069</v>
      </c>
      <c r="V38" s="54">
        <f t="shared" ca="1" si="10"/>
        <v>8569.637548519815</v>
      </c>
    </row>
    <row r="40" spans="2:22" x14ac:dyDescent="0.2">
      <c r="B40" s="3" t="s">
        <v>183</v>
      </c>
      <c r="G40" s="55">
        <f>Model!T89</f>
        <v>747</v>
      </c>
      <c r="H40" s="55">
        <f>Model!U89</f>
        <v>705</v>
      </c>
      <c r="I40" s="55">
        <f>Model!V89</f>
        <v>721</v>
      </c>
      <c r="J40" s="55">
        <f>Model!W89</f>
        <v>744</v>
      </c>
      <c r="K40" s="55">
        <f>Model!X89</f>
        <v>717</v>
      </c>
      <c r="L40" s="55">
        <f>Model!Y89</f>
        <v>703</v>
      </c>
      <c r="M40" s="55">
        <f ca="1">M41*M23</f>
        <v>685.68269999999995</v>
      </c>
      <c r="N40" s="55">
        <f t="shared" ref="N40:V40" ca="1" si="11">N41*N23</f>
        <v>678.825873</v>
      </c>
      <c r="O40" s="55">
        <f t="shared" ca="1" si="11"/>
        <v>699.19064919000004</v>
      </c>
      <c r="P40" s="55">
        <f t="shared" ca="1" si="11"/>
        <v>727.15827515759997</v>
      </c>
      <c r="Q40" s="55">
        <f t="shared" ca="1" si="11"/>
        <v>763.51618891548003</v>
      </c>
      <c r="R40" s="55">
        <f t="shared" ca="1" si="11"/>
        <v>801.69199836125404</v>
      </c>
      <c r="S40" s="55">
        <f t="shared" ca="1" si="11"/>
        <v>841.77659827931677</v>
      </c>
      <c r="T40" s="55">
        <f t="shared" ca="1" si="11"/>
        <v>873.76410901393092</v>
      </c>
      <c r="U40" s="55">
        <f t="shared" ca="1" si="11"/>
        <v>903.4720887204046</v>
      </c>
      <c r="V40" s="55">
        <f t="shared" ca="1" si="11"/>
        <v>934.19013973689835</v>
      </c>
    </row>
    <row r="41" spans="2:22" x14ac:dyDescent="0.2">
      <c r="B41" s="46" t="s">
        <v>197</v>
      </c>
      <c r="C41" s="48"/>
      <c r="D41" s="48"/>
      <c r="E41" s="48"/>
      <c r="F41" s="48"/>
      <c r="G41" s="56">
        <f t="shared" ref="G41:L41" si="12">G40/G23</f>
        <v>1.9096556484392974E-2</v>
      </c>
      <c r="H41" s="56">
        <f t="shared" si="12"/>
        <v>1.8848755447424002E-2</v>
      </c>
      <c r="I41" s="56">
        <f t="shared" si="12"/>
        <v>1.6188423368808658E-2</v>
      </c>
      <c r="J41" s="56">
        <f t="shared" si="12"/>
        <v>1.5928066795118819E-2</v>
      </c>
      <c r="K41" s="56">
        <f t="shared" si="12"/>
        <v>1.3999258058847648E-2</v>
      </c>
      <c r="L41" s="56">
        <f t="shared" si="12"/>
        <v>1.3687161714886492E-2</v>
      </c>
      <c r="M41" s="57">
        <v>1.4999999999999999E-2</v>
      </c>
      <c r="N41" s="57">
        <v>1.4999999999999999E-2</v>
      </c>
      <c r="O41" s="57">
        <v>1.4999999999999999E-2</v>
      </c>
      <c r="P41" s="57">
        <v>1.4999999999999999E-2</v>
      </c>
      <c r="Q41" s="57">
        <v>1.4999999999999999E-2</v>
      </c>
      <c r="R41" s="57">
        <v>1.4999999999999999E-2</v>
      </c>
      <c r="S41" s="57">
        <v>1.4999999999999999E-2</v>
      </c>
      <c r="T41" s="57">
        <v>1.4999999999999999E-2</v>
      </c>
      <c r="U41" s="57">
        <v>1.4999999999999999E-2</v>
      </c>
      <c r="V41" s="57">
        <v>1.4999999999999999E-2</v>
      </c>
    </row>
    <row r="43" spans="2:22" x14ac:dyDescent="0.2">
      <c r="B43" s="3" t="s">
        <v>198</v>
      </c>
      <c r="G43" s="55">
        <f>Model!T104</f>
        <v>-1028</v>
      </c>
      <c r="H43" s="55">
        <f>Model!U104</f>
        <v>-1119</v>
      </c>
      <c r="I43" s="55">
        <f>Model!V104</f>
        <v>-1086</v>
      </c>
      <c r="J43" s="55">
        <f>Model!W104</f>
        <v>-695</v>
      </c>
      <c r="K43" s="55">
        <f>Model!X104</f>
        <v>-758</v>
      </c>
      <c r="L43" s="55">
        <f>Model!Y104</f>
        <v>-969</v>
      </c>
      <c r="M43" s="55">
        <f ca="1">M44*M23</f>
        <v>-1005.66796</v>
      </c>
      <c r="N43" s="55">
        <f t="shared" ref="N43:V43" ca="1" si="13">N44*N23</f>
        <v>-995.61128039999994</v>
      </c>
      <c r="O43" s="55">
        <f t="shared" ca="1" si="13"/>
        <v>-1025.4796188119999</v>
      </c>
      <c r="P43" s="55">
        <f t="shared" ca="1" si="13"/>
        <v>-1066.4988035644799</v>
      </c>
      <c r="Q43" s="55">
        <f t="shared" ca="1" si="13"/>
        <v>-1119.823743742704</v>
      </c>
      <c r="R43" s="55">
        <f t="shared" ca="1" si="13"/>
        <v>-1175.8149309298392</v>
      </c>
      <c r="S43" s="55">
        <f t="shared" ca="1" si="13"/>
        <v>-1234.6056774763313</v>
      </c>
      <c r="T43" s="55">
        <f t="shared" ca="1" si="13"/>
        <v>-1281.5206932204319</v>
      </c>
      <c r="U43" s="55">
        <f t="shared" ca="1" si="13"/>
        <v>-1325.0923967899266</v>
      </c>
      <c r="V43" s="55">
        <f t="shared" ca="1" si="13"/>
        <v>-1370.1455382807842</v>
      </c>
    </row>
    <row r="44" spans="2:22" x14ac:dyDescent="0.2">
      <c r="B44" s="46" t="s">
        <v>197</v>
      </c>
      <c r="G44" s="56">
        <f t="shared" ref="G44:L44" si="14">G43/G23</f>
        <v>-2.628013395710305E-2</v>
      </c>
      <c r="H44" s="56">
        <f t="shared" si="14"/>
        <v>-2.991738630591129E-2</v>
      </c>
      <c r="I44" s="56">
        <f t="shared" si="14"/>
        <v>-2.4383672369661862E-2</v>
      </c>
      <c r="J44" s="56">
        <f t="shared" si="14"/>
        <v>-1.4879040890601583E-2</v>
      </c>
      <c r="K44" s="56">
        <f t="shared" si="14"/>
        <v>-1.4799773512700861E-2</v>
      </c>
      <c r="L44" s="56">
        <f t="shared" si="14"/>
        <v>-1.8866087769167868E-2</v>
      </c>
      <c r="M44" s="57">
        <v>-2.1999999999999999E-2</v>
      </c>
      <c r="N44" s="57">
        <v>-2.1999999999999999E-2</v>
      </c>
      <c r="O44" s="57">
        <v>-2.1999999999999999E-2</v>
      </c>
      <c r="P44" s="57">
        <v>-2.1999999999999999E-2</v>
      </c>
      <c r="Q44" s="57">
        <v>-2.1999999999999999E-2</v>
      </c>
      <c r="R44" s="57">
        <v>-2.1999999999999999E-2</v>
      </c>
      <c r="S44" s="57">
        <v>-2.1999999999999999E-2</v>
      </c>
      <c r="T44" s="57">
        <v>-2.1999999999999999E-2</v>
      </c>
      <c r="U44" s="57">
        <v>-2.1999999999999999E-2</v>
      </c>
      <c r="V44" s="57">
        <v>-2.1999999999999999E-2</v>
      </c>
    </row>
    <row r="46" spans="2:22" x14ac:dyDescent="0.2">
      <c r="B46" s="3" t="s">
        <v>199</v>
      </c>
      <c r="G46" s="55">
        <f>Model!U99</f>
        <v>562</v>
      </c>
      <c r="H46" s="55">
        <f>Model!V99</f>
        <v>-1245</v>
      </c>
      <c r="I46" s="55">
        <f>Model!W99</f>
        <v>45</v>
      </c>
      <c r="J46" s="55">
        <f>Model!X99</f>
        <v>-1660</v>
      </c>
      <c r="K46" s="55">
        <f>Model!Y99</f>
        <v>-513</v>
      </c>
      <c r="L46" s="55">
        <f>Model!Z99</f>
        <v>716</v>
      </c>
      <c r="M46" s="55">
        <f ca="1">M47*M23</f>
        <v>-365.69744000000003</v>
      </c>
      <c r="N46" s="55">
        <f t="shared" ref="N46:V46" ca="1" si="15">N47*N23</f>
        <v>-362.0404656</v>
      </c>
      <c r="O46" s="55">
        <f t="shared" ca="1" si="15"/>
        <v>-372.90167956800002</v>
      </c>
      <c r="P46" s="55">
        <f t="shared" ca="1" si="15"/>
        <v>-387.81774675072</v>
      </c>
      <c r="Q46" s="55">
        <f t="shared" ca="1" si="15"/>
        <v>-407.20863408825608</v>
      </c>
      <c r="R46" s="55">
        <f t="shared" ca="1" si="15"/>
        <v>-427.56906579266888</v>
      </c>
      <c r="S46" s="55">
        <f t="shared" ca="1" si="15"/>
        <v>-448.94751908230228</v>
      </c>
      <c r="T46" s="55">
        <f t="shared" ca="1" si="15"/>
        <v>-466.00752480742983</v>
      </c>
      <c r="U46" s="55">
        <f t="shared" ca="1" si="15"/>
        <v>-481.85178065088246</v>
      </c>
      <c r="V46" s="55">
        <f t="shared" ca="1" si="15"/>
        <v>-498.23474119301244</v>
      </c>
    </row>
    <row r="47" spans="2:22" x14ac:dyDescent="0.2">
      <c r="B47" s="46" t="s">
        <v>197</v>
      </c>
      <c r="G47" s="56">
        <f t="shared" ref="G47:L47" si="16">G46/G23</f>
        <v>1.436715494542015E-2</v>
      </c>
      <c r="H47" s="56">
        <f t="shared" si="16"/>
        <v>-3.3286100045450899E-2</v>
      </c>
      <c r="I47" s="56">
        <f t="shared" si="16"/>
        <v>1.0103731644887511E-3</v>
      </c>
      <c r="J47" s="56">
        <f t="shared" si="16"/>
        <v>-3.5538428602012416E-2</v>
      </c>
      <c r="K47" s="56">
        <f t="shared" si="16"/>
        <v>-1.0016205556748736E-2</v>
      </c>
      <c r="L47" s="56">
        <f t="shared" si="16"/>
        <v>1.394026712355438E-2</v>
      </c>
      <c r="M47" s="57">
        <v>-8.0000000000000002E-3</v>
      </c>
      <c r="N47" s="57">
        <v>-8.0000000000000002E-3</v>
      </c>
      <c r="O47" s="57">
        <v>-8.0000000000000002E-3</v>
      </c>
      <c r="P47" s="57">
        <v>-8.0000000000000002E-3</v>
      </c>
      <c r="Q47" s="57">
        <v>-8.0000000000000002E-3</v>
      </c>
      <c r="R47" s="57">
        <v>-8.0000000000000002E-3</v>
      </c>
      <c r="S47" s="57">
        <v>-8.0000000000000002E-3</v>
      </c>
      <c r="T47" s="57">
        <v>-8.0000000000000002E-3</v>
      </c>
      <c r="U47" s="57">
        <v>-8.0000000000000002E-3</v>
      </c>
      <c r="V47" s="57">
        <v>-8.0000000000000002E-3</v>
      </c>
    </row>
    <row r="49" spans="1:22" x14ac:dyDescent="0.2">
      <c r="B49" s="58" t="s">
        <v>223</v>
      </c>
      <c r="C49" s="59"/>
      <c r="D49" s="59"/>
      <c r="E49" s="59"/>
      <c r="F49" s="59"/>
      <c r="G49" s="59">
        <f>G38+G40+G43+G46</f>
        <v>2661</v>
      </c>
      <c r="H49" s="59">
        <f t="shared" ref="H49:U49" si="17">H38+H40+H43+H46</f>
        <v>684</v>
      </c>
      <c r="I49" s="59">
        <f t="shared" si="17"/>
        <v>6269</v>
      </c>
      <c r="J49" s="59">
        <f t="shared" si="17"/>
        <v>4130</v>
      </c>
      <c r="K49" s="59">
        <f t="shared" si="17"/>
        <v>4756</v>
      </c>
      <c r="L49" s="59">
        <f t="shared" si="17"/>
        <v>5630</v>
      </c>
      <c r="M49" s="59">
        <f t="shared" ca="1" si="17"/>
        <v>3812.3958120000007</v>
      </c>
      <c r="N49" s="59">
        <f t="shared" ca="1" si="17"/>
        <v>3960.481936754376</v>
      </c>
      <c r="O49" s="59">
        <f t="shared" ca="1" si="17"/>
        <v>4277.929139443846</v>
      </c>
      <c r="P49" s="59">
        <f t="shared" ca="1" si="17"/>
        <v>4662.9835237424422</v>
      </c>
      <c r="Q49" s="59">
        <f t="shared" ca="1" si="17"/>
        <v>5128.764886191715</v>
      </c>
      <c r="R49" s="59">
        <f t="shared" ca="1" si="17"/>
        <v>5638.1594321323892</v>
      </c>
      <c r="S49" s="59">
        <f t="shared" ca="1" si="17"/>
        <v>6195.118695633465</v>
      </c>
      <c r="T49" s="59">
        <f t="shared" ca="1" si="17"/>
        <v>6726.1864500096608</v>
      </c>
      <c r="U49" s="59">
        <f t="shared" ca="1" si="17"/>
        <v>7271.4453180353012</v>
      </c>
      <c r="V49" s="60">
        <f ca="1">V38+V40+V43+V46</f>
        <v>7635.4474087829167</v>
      </c>
    </row>
    <row r="50" spans="1:22" x14ac:dyDescent="0.2">
      <c r="B50" s="61" t="s">
        <v>224</v>
      </c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>
        <f ca="1">(M49/(1+$D$15)^M51)*M51</f>
        <v>3028.736672866667</v>
      </c>
      <c r="N50" s="62">
        <f t="shared" ref="N50:V50" ca="1" si="18">N49/(1+$D$15)^N51</f>
        <v>3960.481936754376</v>
      </c>
      <c r="O50" s="62">
        <f t="shared" ca="1" si="18"/>
        <v>4277.929139443846</v>
      </c>
      <c r="P50" s="62">
        <f t="shared" ca="1" si="18"/>
        <v>4662.9835237424422</v>
      </c>
      <c r="Q50" s="62">
        <f t="shared" ca="1" si="18"/>
        <v>5128.764886191715</v>
      </c>
      <c r="R50" s="62">
        <f t="shared" ca="1" si="18"/>
        <v>5638.1594321323892</v>
      </c>
      <c r="S50" s="62">
        <f t="shared" ca="1" si="18"/>
        <v>6195.118695633465</v>
      </c>
      <c r="T50" s="62">
        <f t="shared" ca="1" si="18"/>
        <v>6726.1864500096608</v>
      </c>
      <c r="U50" s="62">
        <f t="shared" ca="1" si="18"/>
        <v>7271.4453180353012</v>
      </c>
      <c r="V50" s="63">
        <f t="shared" ca="1" si="18"/>
        <v>7635.4474087829167</v>
      </c>
    </row>
    <row r="51" spans="1:22" x14ac:dyDescent="0.2">
      <c r="B51" s="3" t="s">
        <v>200</v>
      </c>
      <c r="M51" s="30">
        <f>YEARFRAC(E4,E5)</f>
        <v>0.7944444444444444</v>
      </c>
      <c r="N51" s="30">
        <f>M51+1</f>
        <v>1.7944444444444443</v>
      </c>
      <c r="O51" s="30">
        <f>N51+1</f>
        <v>2.7944444444444443</v>
      </c>
      <c r="P51" s="30">
        <f t="shared" ref="P51:V51" si="19">O51+1</f>
        <v>3.7944444444444443</v>
      </c>
      <c r="Q51" s="30">
        <f t="shared" si="19"/>
        <v>4.7944444444444443</v>
      </c>
      <c r="R51" s="30">
        <f t="shared" si="19"/>
        <v>5.7944444444444443</v>
      </c>
      <c r="S51" s="30">
        <f t="shared" si="19"/>
        <v>6.7944444444444443</v>
      </c>
      <c r="T51" s="30">
        <f t="shared" si="19"/>
        <v>7.7944444444444443</v>
      </c>
      <c r="U51" s="30">
        <f t="shared" si="19"/>
        <v>8.7944444444444443</v>
      </c>
      <c r="V51" s="30">
        <f t="shared" si="19"/>
        <v>9.7944444444444443</v>
      </c>
    </row>
    <row r="52" spans="1:22" x14ac:dyDescent="0.2">
      <c r="B52" s="3" t="s">
        <v>201</v>
      </c>
      <c r="N52" s="11"/>
      <c r="O52" s="11"/>
      <c r="P52" s="11"/>
      <c r="Q52" s="11"/>
      <c r="V52" s="11">
        <f ca="1">SUM(M50:V50)</f>
        <v>54525.25346359278</v>
      </c>
    </row>
    <row r="53" spans="1:22" x14ac:dyDescent="0.2">
      <c r="B53" s="3" t="s">
        <v>202</v>
      </c>
      <c r="N53" s="11"/>
      <c r="O53" s="11"/>
      <c r="P53" s="11"/>
      <c r="Q53" s="11"/>
      <c r="V53" s="11">
        <f ca="1">(V49*(1+E18))/(E17-E18)</f>
        <v>111259.37652797965</v>
      </c>
    </row>
    <row r="54" spans="1:22" x14ac:dyDescent="0.2">
      <c r="B54" s="27" t="s">
        <v>203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64"/>
      <c r="O54" s="64"/>
      <c r="P54" s="64"/>
      <c r="Q54" s="64"/>
      <c r="R54" s="64"/>
      <c r="S54" s="64"/>
      <c r="T54" s="64"/>
      <c r="U54" s="64"/>
      <c r="V54" s="64">
        <f ca="1">V53/(1+E17)^V51</f>
        <v>47837.102565656191</v>
      </c>
    </row>
    <row r="55" spans="1:22" x14ac:dyDescent="0.2">
      <c r="B55" s="20" t="s">
        <v>204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65"/>
      <c r="O55" s="65"/>
      <c r="P55" s="65"/>
      <c r="Q55" s="65"/>
      <c r="R55" s="65"/>
      <c r="S55" s="65"/>
      <c r="T55" s="65"/>
      <c r="U55" s="65"/>
      <c r="V55" s="65">
        <f ca="1">V52+V54</f>
        <v>102362.35602924897</v>
      </c>
    </row>
    <row r="56" spans="1:22" x14ac:dyDescent="0.2">
      <c r="B56" s="3" t="s">
        <v>205</v>
      </c>
      <c r="N56" s="11"/>
      <c r="O56" s="11"/>
      <c r="P56" s="11"/>
      <c r="Q56" s="11"/>
      <c r="V56" s="11">
        <f>Main!I6</f>
        <v>9027</v>
      </c>
    </row>
    <row r="57" spans="1:22" x14ac:dyDescent="0.2">
      <c r="B57" s="27" t="s">
        <v>206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64"/>
      <c r="O57" s="64"/>
      <c r="P57" s="64"/>
      <c r="Q57" s="64"/>
      <c r="R57" s="64"/>
      <c r="S57" s="64"/>
      <c r="T57" s="64"/>
      <c r="U57" s="64"/>
      <c r="V57" s="64">
        <f>Main!I7</f>
        <v>7942</v>
      </c>
    </row>
    <row r="58" spans="1:22" x14ac:dyDescent="0.2">
      <c r="B58" s="3" t="s">
        <v>207</v>
      </c>
      <c r="N58" s="11"/>
      <c r="O58" s="11"/>
      <c r="P58" s="11"/>
      <c r="Q58" s="11"/>
      <c r="V58" s="11">
        <f ca="1">V55+V56-V57</f>
        <v>103447.35602924897</v>
      </c>
    </row>
    <row r="59" spans="1:22" x14ac:dyDescent="0.2">
      <c r="B59" s="27" t="s">
        <v>208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64"/>
      <c r="O59" s="64"/>
      <c r="P59" s="64"/>
      <c r="Q59" s="64"/>
      <c r="R59" s="64"/>
      <c r="S59" s="64"/>
      <c r="T59" s="64"/>
      <c r="U59" s="64"/>
      <c r="V59" s="64">
        <f>Main!I4</f>
        <v>1483.498703</v>
      </c>
    </row>
    <row r="60" spans="1:22" x14ac:dyDescent="0.2">
      <c r="B60" s="3" t="s">
        <v>190</v>
      </c>
      <c r="V60" s="30">
        <f ca="1">V58/V59</f>
        <v>69.732016495904531</v>
      </c>
    </row>
    <row r="64" spans="1:22" x14ac:dyDescent="0.2">
      <c r="A64" s="17" t="s">
        <v>11</v>
      </c>
      <c r="B64" s="39" t="s">
        <v>225</v>
      </c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</row>
    <row r="66" spans="2:10" x14ac:dyDescent="0.2">
      <c r="B66" s="66"/>
      <c r="C66" s="81" t="s">
        <v>189</v>
      </c>
      <c r="D66" s="81"/>
      <c r="E66" s="81"/>
      <c r="F66" s="81"/>
      <c r="G66" s="81"/>
      <c r="H66" s="81"/>
      <c r="I66" s="81"/>
      <c r="J66" s="82"/>
    </row>
    <row r="67" spans="2:10" ht="14.45" customHeight="1" x14ac:dyDescent="0.2">
      <c r="B67" s="83" t="s">
        <v>187</v>
      </c>
      <c r="C67" s="67"/>
      <c r="D67" s="68"/>
      <c r="E67" s="68"/>
      <c r="F67" s="68"/>
      <c r="G67" s="68"/>
      <c r="H67" s="68"/>
      <c r="I67" s="68"/>
      <c r="J67" s="68"/>
    </row>
    <row r="68" spans="2:10" x14ac:dyDescent="0.2">
      <c r="B68" s="83"/>
      <c r="C68" s="69"/>
      <c r="D68" s="70"/>
      <c r="E68" s="70"/>
      <c r="F68" s="70"/>
      <c r="G68" s="70"/>
      <c r="H68" s="70"/>
      <c r="I68" s="70"/>
      <c r="J68" s="70"/>
    </row>
    <row r="69" spans="2:10" x14ac:dyDescent="0.2">
      <c r="B69" s="83"/>
      <c r="C69" s="69"/>
      <c r="D69" s="70"/>
      <c r="E69" s="70"/>
      <c r="F69" s="70"/>
      <c r="G69" s="70"/>
      <c r="H69" s="70"/>
      <c r="I69" s="70"/>
      <c r="J69" s="70"/>
    </row>
    <row r="70" spans="2:10" x14ac:dyDescent="0.2">
      <c r="B70" s="83"/>
      <c r="C70" s="69"/>
      <c r="D70" s="70"/>
      <c r="E70" s="70"/>
      <c r="F70" s="70"/>
      <c r="G70" s="70"/>
      <c r="H70" s="70"/>
      <c r="I70" s="70"/>
      <c r="J70" s="70"/>
    </row>
    <row r="71" spans="2:10" x14ac:dyDescent="0.2">
      <c r="B71" s="83"/>
      <c r="C71" s="69"/>
      <c r="D71" s="70"/>
      <c r="E71" s="70"/>
      <c r="F71" s="70"/>
      <c r="G71" s="70"/>
      <c r="H71" s="70"/>
      <c r="I71" s="70"/>
      <c r="J71" s="70"/>
    </row>
    <row r="72" spans="2:10" x14ac:dyDescent="0.2">
      <c r="B72" s="83"/>
      <c r="C72" s="69"/>
      <c r="D72" s="70"/>
      <c r="E72" s="70"/>
      <c r="F72" s="70"/>
      <c r="G72" s="70"/>
      <c r="H72" s="70"/>
      <c r="I72" s="70"/>
      <c r="J72" s="70"/>
    </row>
    <row r="73" spans="2:10" x14ac:dyDescent="0.2">
      <c r="B73" s="83"/>
      <c r="C73" s="69"/>
      <c r="D73" s="70"/>
      <c r="E73" s="70"/>
      <c r="F73" s="70"/>
      <c r="G73" s="70"/>
      <c r="H73" s="70"/>
      <c r="I73" s="70"/>
      <c r="J73" s="70"/>
    </row>
    <row r="74" spans="2:10" x14ac:dyDescent="0.2">
      <c r="B74" s="84"/>
      <c r="C74" s="69"/>
      <c r="D74" s="70"/>
      <c r="E74" s="70"/>
      <c r="F74" s="70"/>
      <c r="G74" s="70"/>
      <c r="H74" s="70"/>
      <c r="I74" s="70"/>
      <c r="J74" s="70"/>
    </row>
  </sheetData>
  <mergeCells count="2">
    <mergeCell ref="C66:J66"/>
    <mergeCell ref="B67:B74"/>
  </mergeCells>
  <dataValidations count="1">
    <dataValidation type="list" allowBlank="1" showInputMessage="1" showErrorMessage="1" sqref="E11:E14 H11:H13 M11:M13 R11:R13" xr:uid="{66922C66-6DCD-42B9-BF84-64FF3F0BF1D3}">
      <formula1>"1,2,3"</formula1>
    </dataValidation>
  </dataValidations>
  <hyperlinks>
    <hyperlink ref="A1" location="Main!A1" display="Main" xr:uid="{7ECFD66C-D14F-47E8-BB14-9484E46687C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275F-F9BE-4526-A2A1-60CB5298C078}">
  <dimension ref="A1:M315"/>
  <sheetViews>
    <sheetView showGridLines="0" zoomScale="200" zoomScaleNormal="200" workbookViewId="0">
      <selection activeCell="A2" sqref="A2"/>
    </sheetView>
  </sheetViews>
  <sheetFormatPr defaultRowHeight="12.75" x14ac:dyDescent="0.2"/>
  <cols>
    <col min="1" max="1" width="5.42578125" style="3" bestFit="1" customWidth="1"/>
    <col min="2" max="2" width="11.28515625" style="3" customWidth="1"/>
    <col min="3" max="5" width="9.140625" style="3"/>
    <col min="6" max="6" width="12.7109375" style="3" bestFit="1" customWidth="1"/>
    <col min="7" max="7" width="9.140625" style="3"/>
    <col min="8" max="8" width="10.7109375" style="3" customWidth="1"/>
    <col min="9" max="11" width="9.140625" style="3"/>
    <col min="12" max="12" width="10.7109375" style="3" bestFit="1" customWidth="1"/>
    <col min="13" max="16384" width="9.140625" style="3"/>
  </cols>
  <sheetData>
    <row r="1" spans="1:8" x14ac:dyDescent="0.2">
      <c r="A1" s="2" t="s">
        <v>0</v>
      </c>
    </row>
    <row r="3" spans="1:8" x14ac:dyDescent="0.2">
      <c r="B3" s="39" t="s">
        <v>239</v>
      </c>
      <c r="C3" s="39"/>
      <c r="D3" s="39"/>
      <c r="E3" s="39"/>
      <c r="F3" s="39"/>
    </row>
    <row r="4" spans="1:8" x14ac:dyDescent="0.2">
      <c r="A4" s="7" t="s">
        <v>11</v>
      </c>
      <c r="B4" s="15" t="s">
        <v>240</v>
      </c>
    </row>
    <row r="5" spans="1:8" x14ac:dyDescent="0.2">
      <c r="B5" s="15" t="s">
        <v>241</v>
      </c>
    </row>
    <row r="6" spans="1:8" x14ac:dyDescent="0.2">
      <c r="B6" s="3" t="s">
        <v>242</v>
      </c>
      <c r="F6" s="71">
        <f>+(1+F7)/(1+1.667%)-1</f>
        <v>2.2416319946491958E-2</v>
      </c>
      <c r="H6" s="72" t="s">
        <v>243</v>
      </c>
    </row>
    <row r="7" spans="1:8" x14ac:dyDescent="0.2">
      <c r="B7" s="3" t="s">
        <v>244</v>
      </c>
      <c r="F7" s="29">
        <v>3.9460000000000002E-2</v>
      </c>
      <c r="H7" s="72" t="s">
        <v>245</v>
      </c>
    </row>
    <row r="8" spans="1:8" x14ac:dyDescent="0.2">
      <c r="B8" s="3" t="s">
        <v>241</v>
      </c>
      <c r="F8" s="73">
        <f>F6+F7</f>
        <v>6.187631994649196E-2</v>
      </c>
      <c r="H8" s="72" t="s">
        <v>246</v>
      </c>
    </row>
    <row r="10" spans="1:8" x14ac:dyDescent="0.2">
      <c r="A10" s="7" t="s">
        <v>11</v>
      </c>
      <c r="B10" s="15" t="s">
        <v>247</v>
      </c>
    </row>
    <row r="11" spans="1:8" x14ac:dyDescent="0.2">
      <c r="B11" s="3" t="s">
        <v>248</v>
      </c>
      <c r="F11" s="30">
        <f>+_xlfn.COVARIANCE.P(J51:J303,D51:D303)/_xlfn.VAR.P(D51:D303)</f>
        <v>0.52893228425897865</v>
      </c>
      <c r="H11" s="72" t="s">
        <v>249</v>
      </c>
    </row>
    <row r="12" spans="1:8" x14ac:dyDescent="0.2">
      <c r="B12" s="3" t="s">
        <v>250</v>
      </c>
      <c r="H12" s="72" t="s">
        <v>251</v>
      </c>
    </row>
    <row r="13" spans="1:8" x14ac:dyDescent="0.2">
      <c r="B13" s="3" t="s">
        <v>252</v>
      </c>
      <c r="H13" s="72" t="s">
        <v>253</v>
      </c>
    </row>
    <row r="14" spans="1:8" x14ac:dyDescent="0.2">
      <c r="B14" s="3" t="s">
        <v>254</v>
      </c>
      <c r="H14" s="72" t="s">
        <v>255</v>
      </c>
    </row>
    <row r="15" spans="1:8" x14ac:dyDescent="0.2">
      <c r="B15" s="3" t="s">
        <v>256</v>
      </c>
      <c r="F15" s="30">
        <f>+F11</f>
        <v>0.52893228425897865</v>
      </c>
      <c r="H15" s="72" t="s">
        <v>257</v>
      </c>
    </row>
    <row r="17" spans="1:8" x14ac:dyDescent="0.2">
      <c r="A17" s="7" t="s">
        <v>11</v>
      </c>
      <c r="B17" s="15" t="s">
        <v>258</v>
      </c>
    </row>
    <row r="18" spans="1:8" x14ac:dyDescent="0.2">
      <c r="B18" s="3" t="s">
        <v>259</v>
      </c>
      <c r="F18" s="23">
        <v>0.11</v>
      </c>
      <c r="H18" s="72" t="s">
        <v>260</v>
      </c>
    </row>
    <row r="19" spans="1:8" x14ac:dyDescent="0.2">
      <c r="B19" s="3" t="s">
        <v>241</v>
      </c>
      <c r="F19" s="29">
        <f>+F8</f>
        <v>6.187631994649196E-2</v>
      </c>
    </row>
    <row r="20" spans="1:8" x14ac:dyDescent="0.2">
      <c r="B20" s="3" t="s">
        <v>258</v>
      </c>
      <c r="F20" s="10">
        <f>F18-F19</f>
        <v>4.812368005350804E-2</v>
      </c>
    </row>
    <row r="22" spans="1:8" x14ac:dyDescent="0.2">
      <c r="A22" s="7" t="s">
        <v>11</v>
      </c>
      <c r="B22" s="19" t="s">
        <v>240</v>
      </c>
      <c r="C22" s="20"/>
      <c r="D22" s="20"/>
      <c r="E22" s="20"/>
      <c r="F22" s="74">
        <f>F8+F15*F20</f>
        <v>8.7330487964142223E-2</v>
      </c>
      <c r="H22" s="72" t="s">
        <v>261</v>
      </c>
    </row>
    <row r="25" spans="1:8" x14ac:dyDescent="0.2">
      <c r="A25" s="7" t="s">
        <v>11</v>
      </c>
      <c r="B25" s="15" t="s">
        <v>262</v>
      </c>
    </row>
    <row r="26" spans="1:8" x14ac:dyDescent="0.2">
      <c r="B26" s="3" t="s">
        <v>263</v>
      </c>
      <c r="F26" s="29">
        <v>3.6249999999999998E-2</v>
      </c>
      <c r="H26" s="72" t="s">
        <v>264</v>
      </c>
    </row>
    <row r="27" spans="1:8" x14ac:dyDescent="0.2">
      <c r="B27" s="3" t="s">
        <v>265</v>
      </c>
    </row>
    <row r="28" spans="1:8" x14ac:dyDescent="0.2">
      <c r="B28" s="3" t="s">
        <v>241</v>
      </c>
      <c r="F28" s="29"/>
    </row>
    <row r="29" spans="1:8" x14ac:dyDescent="0.2">
      <c r="B29" s="3" t="s">
        <v>266</v>
      </c>
    </row>
    <row r="30" spans="1:8" x14ac:dyDescent="0.2">
      <c r="B30" s="3" t="s">
        <v>267</v>
      </c>
    </row>
    <row r="32" spans="1:8" x14ac:dyDescent="0.2">
      <c r="A32" s="7" t="s">
        <v>11</v>
      </c>
      <c r="B32" s="19" t="s">
        <v>262</v>
      </c>
      <c r="C32" s="20"/>
      <c r="D32" s="20"/>
      <c r="E32" s="20"/>
      <c r="F32" s="75">
        <f>+F26</f>
        <v>3.6249999999999998E-2</v>
      </c>
    </row>
    <row r="34" spans="1:10" x14ac:dyDescent="0.2">
      <c r="A34" s="7" t="s">
        <v>11</v>
      </c>
      <c r="B34" s="15" t="s">
        <v>268</v>
      </c>
    </row>
    <row r="35" spans="1:10" x14ac:dyDescent="0.2">
      <c r="B35" s="3" t="s">
        <v>269</v>
      </c>
      <c r="F35" s="76">
        <f>+Main!I7</f>
        <v>7942</v>
      </c>
    </row>
    <row r="36" spans="1:10" x14ac:dyDescent="0.2">
      <c r="B36" s="3" t="s">
        <v>270</v>
      </c>
      <c r="F36" s="76">
        <f>+Main!I5</f>
        <v>65348.117867149995</v>
      </c>
    </row>
    <row r="37" spans="1:10" x14ac:dyDescent="0.2">
      <c r="B37" s="3" t="s">
        <v>271</v>
      </c>
      <c r="F37" s="76">
        <f>F35+F36</f>
        <v>73290.117867149995</v>
      </c>
    </row>
    <row r="39" spans="1:10" x14ac:dyDescent="0.2">
      <c r="B39" s="3" t="s">
        <v>272</v>
      </c>
      <c r="F39" s="23">
        <v>0.21</v>
      </c>
    </row>
    <row r="41" spans="1:10" x14ac:dyDescent="0.2">
      <c r="A41" s="7" t="s">
        <v>11</v>
      </c>
      <c r="B41" s="19" t="s">
        <v>187</v>
      </c>
      <c r="C41" s="20"/>
      <c r="D41" s="20"/>
      <c r="E41" s="20"/>
      <c r="F41" s="74">
        <f>(F32*(F35/F37)*(1-F39))+((F36/F37)*F22)</f>
        <v>8.0970289291025482E-2</v>
      </c>
      <c r="H41" s="72" t="s">
        <v>273</v>
      </c>
    </row>
    <row r="48" spans="1:10" x14ac:dyDescent="0.2">
      <c r="B48" s="85" t="s">
        <v>275</v>
      </c>
      <c r="C48" s="85"/>
      <c r="D48" s="85"/>
      <c r="H48" s="85" t="s">
        <v>276</v>
      </c>
      <c r="I48" s="85"/>
      <c r="J48" s="85"/>
    </row>
    <row r="49" spans="2:13" x14ac:dyDescent="0.2">
      <c r="B49" s="4" t="s">
        <v>216</v>
      </c>
      <c r="C49" s="4" t="s">
        <v>2</v>
      </c>
      <c r="D49" s="4" t="s">
        <v>274</v>
      </c>
      <c r="H49" s="4" t="s">
        <v>216</v>
      </c>
      <c r="I49" s="4" t="s">
        <v>2</v>
      </c>
      <c r="J49" s="4" t="s">
        <v>274</v>
      </c>
    </row>
    <row r="50" spans="2:13" x14ac:dyDescent="0.2">
      <c r="B50" s="77">
        <v>45397</v>
      </c>
      <c r="C50" s="30">
        <v>5061.82</v>
      </c>
      <c r="H50" s="77">
        <v>45397</v>
      </c>
      <c r="I50" s="1">
        <v>87.438199999999995</v>
      </c>
    </row>
    <row r="51" spans="2:13" x14ac:dyDescent="0.2">
      <c r="B51" s="77">
        <v>45398</v>
      </c>
      <c r="C51" s="30">
        <v>5051.41</v>
      </c>
      <c r="D51" s="10">
        <f>+C51/C50-1</f>
        <v>-2.056572537150636E-3</v>
      </c>
      <c r="H51" s="77">
        <v>45398</v>
      </c>
      <c r="I51" s="1">
        <v>87.212400000000002</v>
      </c>
      <c r="J51" s="10">
        <f>+I51/I50-1</f>
        <v>-2.5823953375068154E-3</v>
      </c>
    </row>
    <row r="52" spans="2:13" x14ac:dyDescent="0.2">
      <c r="B52" s="77">
        <v>45399</v>
      </c>
      <c r="C52" s="30">
        <v>5022.21</v>
      </c>
      <c r="D52" s="10">
        <f t="shared" ref="D52:D115" si="0">+C52/C51-1</f>
        <v>-5.780564238499708E-3</v>
      </c>
      <c r="H52" s="77">
        <v>45399</v>
      </c>
      <c r="I52" s="1">
        <v>88.351100000000002</v>
      </c>
      <c r="J52" s="10">
        <f t="shared" ref="J52:J115" si="1">+I52/I51-1</f>
        <v>1.3056629561851274E-2</v>
      </c>
    </row>
    <row r="53" spans="2:13" x14ac:dyDescent="0.2">
      <c r="B53" s="77">
        <v>45400</v>
      </c>
      <c r="C53" s="30">
        <v>5011.12</v>
      </c>
      <c r="D53" s="10">
        <f t="shared" si="0"/>
        <v>-2.2081912146246774E-3</v>
      </c>
      <c r="H53" s="77">
        <v>45400</v>
      </c>
      <c r="I53" s="1">
        <v>89.332800000000006</v>
      </c>
      <c r="J53" s="10">
        <f t="shared" si="1"/>
        <v>1.1111350056762115E-2</v>
      </c>
    </row>
    <row r="54" spans="2:13" x14ac:dyDescent="0.2">
      <c r="B54" s="77">
        <v>45401</v>
      </c>
      <c r="C54" s="30">
        <v>4967.2299999999996</v>
      </c>
      <c r="D54" s="10">
        <f t="shared" si="0"/>
        <v>-8.7585210491867294E-3</v>
      </c>
      <c r="H54" s="77">
        <v>45401</v>
      </c>
      <c r="I54" s="1">
        <v>87.369500000000002</v>
      </c>
      <c r="J54" s="10">
        <f t="shared" si="1"/>
        <v>-2.1977370014149344E-2</v>
      </c>
    </row>
    <row r="55" spans="2:13" x14ac:dyDescent="0.2">
      <c r="B55" s="77">
        <v>45404</v>
      </c>
      <c r="C55" s="30">
        <v>5010.6000000000004</v>
      </c>
      <c r="D55" s="10">
        <f t="shared" si="0"/>
        <v>8.7312244450128418E-3</v>
      </c>
      <c r="H55" s="77">
        <v>45404</v>
      </c>
      <c r="I55" s="1">
        <v>90.314499999999995</v>
      </c>
      <c r="J55" s="10">
        <f t="shared" si="1"/>
        <v>3.3707415059030854E-2</v>
      </c>
    </row>
    <row r="56" spans="2:13" x14ac:dyDescent="0.2">
      <c r="B56" s="77">
        <v>45405</v>
      </c>
      <c r="C56" s="30">
        <v>5070.55</v>
      </c>
      <c r="D56" s="10">
        <f t="shared" si="0"/>
        <v>1.1964634973855359E-2</v>
      </c>
      <c r="H56" s="77">
        <v>45405</v>
      </c>
      <c r="I56" s="1">
        <v>90.314499999999995</v>
      </c>
      <c r="J56" s="10">
        <f t="shared" si="1"/>
        <v>0</v>
      </c>
    </row>
    <row r="57" spans="2:13" x14ac:dyDescent="0.2">
      <c r="B57" s="77">
        <v>45406</v>
      </c>
      <c r="C57" s="30">
        <v>5071.63</v>
      </c>
      <c r="D57" s="10">
        <f t="shared" si="0"/>
        <v>2.129946455513565E-4</v>
      </c>
      <c r="H57" s="77">
        <v>45406</v>
      </c>
      <c r="I57" s="1">
        <v>91.394400000000005</v>
      </c>
      <c r="J57" s="10">
        <f t="shared" si="1"/>
        <v>1.1957105448183958E-2</v>
      </c>
    </row>
    <row r="58" spans="2:13" x14ac:dyDescent="0.2">
      <c r="B58" s="77">
        <v>45407</v>
      </c>
      <c r="C58" s="30">
        <v>5048.42</v>
      </c>
      <c r="D58" s="10">
        <f t="shared" si="0"/>
        <v>-4.5764379499293462E-3</v>
      </c>
      <c r="H58" s="77">
        <v>45407</v>
      </c>
      <c r="I58" s="1">
        <v>91.679000000000002</v>
      </c>
      <c r="J58" s="10">
        <f t="shared" si="1"/>
        <v>3.1139763486602856E-3</v>
      </c>
    </row>
    <row r="59" spans="2:13" x14ac:dyDescent="0.2">
      <c r="B59" s="77">
        <v>45408</v>
      </c>
      <c r="C59" s="30">
        <v>5099.96</v>
      </c>
      <c r="D59" s="10">
        <f t="shared" si="0"/>
        <v>1.0209134739185721E-2</v>
      </c>
      <c r="H59" s="77">
        <v>45408</v>
      </c>
      <c r="I59" s="1">
        <v>93.102500000000006</v>
      </c>
      <c r="J59" s="10">
        <f t="shared" si="1"/>
        <v>1.5527001821573183E-2</v>
      </c>
    </row>
    <row r="60" spans="2:13" x14ac:dyDescent="0.2">
      <c r="B60" s="77">
        <v>45411</v>
      </c>
      <c r="C60" s="30">
        <v>5116.17</v>
      </c>
      <c r="D60" s="10">
        <f t="shared" si="0"/>
        <v>3.178456301617949E-3</v>
      </c>
      <c r="H60" s="77">
        <v>45411</v>
      </c>
      <c r="I60" s="1">
        <v>93.986000000000004</v>
      </c>
      <c r="J60" s="10">
        <f t="shared" si="1"/>
        <v>9.4895410971778116E-3</v>
      </c>
    </row>
    <row r="61" spans="2:13" x14ac:dyDescent="0.2">
      <c r="B61" s="77">
        <v>45412</v>
      </c>
      <c r="C61" s="30">
        <v>5035.6899999999996</v>
      </c>
      <c r="D61" s="10">
        <f t="shared" si="0"/>
        <v>-1.5730517164206925E-2</v>
      </c>
      <c r="H61" s="77">
        <v>45412</v>
      </c>
      <c r="I61" s="1">
        <v>92.798199999999994</v>
      </c>
      <c r="J61" s="10">
        <f t="shared" si="1"/>
        <v>-1.2638052475900774E-2</v>
      </c>
    </row>
    <row r="62" spans="2:13" x14ac:dyDescent="0.2">
      <c r="B62" s="77">
        <v>45413</v>
      </c>
      <c r="C62" s="30">
        <v>5018.3900000000003</v>
      </c>
      <c r="D62" s="10">
        <f t="shared" si="0"/>
        <v>-3.4354775611682431E-3</v>
      </c>
      <c r="H62" s="77">
        <v>45413</v>
      </c>
      <c r="I62" s="1">
        <v>92.464399999999998</v>
      </c>
      <c r="J62" s="10">
        <f t="shared" si="1"/>
        <v>-3.5970525290360822E-3</v>
      </c>
      <c r="L62" s="77"/>
      <c r="M62" s="30"/>
    </row>
    <row r="63" spans="2:13" x14ac:dyDescent="0.2">
      <c r="B63" s="77">
        <v>45414</v>
      </c>
      <c r="C63" s="30">
        <v>5064.2</v>
      </c>
      <c r="D63" s="10">
        <f t="shared" si="0"/>
        <v>9.1284256504575723E-3</v>
      </c>
      <c r="H63" s="77">
        <v>45414</v>
      </c>
      <c r="I63" s="1">
        <v>92.297499999999999</v>
      </c>
      <c r="J63" s="10">
        <f t="shared" si="1"/>
        <v>-1.8050190127226751E-3</v>
      </c>
      <c r="L63" s="77"/>
      <c r="M63" s="30"/>
    </row>
    <row r="64" spans="2:13" x14ac:dyDescent="0.2">
      <c r="B64" s="77">
        <v>45415</v>
      </c>
      <c r="C64" s="30">
        <v>5127.79</v>
      </c>
      <c r="D64" s="10">
        <f t="shared" si="0"/>
        <v>1.2556771059594851E-2</v>
      </c>
      <c r="H64" s="77">
        <v>45415</v>
      </c>
      <c r="I64" s="1">
        <v>92.906099999999995</v>
      </c>
      <c r="J64" s="10">
        <f t="shared" si="1"/>
        <v>6.5938947425443484E-3</v>
      </c>
      <c r="L64" s="77"/>
      <c r="M64" s="30"/>
    </row>
    <row r="65" spans="2:13" x14ac:dyDescent="0.2">
      <c r="B65" s="77">
        <v>45418</v>
      </c>
      <c r="C65" s="30">
        <v>5180.74</v>
      </c>
      <c r="D65" s="10">
        <f t="shared" si="0"/>
        <v>1.0326085896653403E-2</v>
      </c>
      <c r="H65" s="77">
        <v>45418</v>
      </c>
      <c r="I65" s="1">
        <v>92.218999999999994</v>
      </c>
      <c r="J65" s="10">
        <f t="shared" si="1"/>
        <v>-7.3956392529661574E-3</v>
      </c>
      <c r="L65" s="77"/>
      <c r="M65" s="30"/>
    </row>
    <row r="66" spans="2:13" x14ac:dyDescent="0.2">
      <c r="B66" s="77">
        <v>45419</v>
      </c>
      <c r="C66" s="30">
        <v>5187.7</v>
      </c>
      <c r="D66" s="10">
        <f t="shared" si="0"/>
        <v>1.3434374239973401E-3</v>
      </c>
      <c r="H66" s="77">
        <v>45419</v>
      </c>
      <c r="I66" s="1">
        <v>92.395700000000005</v>
      </c>
      <c r="J66" s="10">
        <f t="shared" si="1"/>
        <v>1.9160910441451406E-3</v>
      </c>
      <c r="L66" s="77"/>
      <c r="M66" s="30"/>
    </row>
    <row r="67" spans="2:13" x14ac:dyDescent="0.2">
      <c r="B67" s="77">
        <v>45420</v>
      </c>
      <c r="C67" s="30">
        <v>5187.67</v>
      </c>
      <c r="D67" s="10">
        <f t="shared" si="0"/>
        <v>-5.7829095745365322E-6</v>
      </c>
      <c r="H67" s="77">
        <v>45420</v>
      </c>
      <c r="I67" s="1">
        <v>92.336799999999997</v>
      </c>
      <c r="J67" s="10">
        <f t="shared" si="1"/>
        <v>-6.3747555351612029E-4</v>
      </c>
      <c r="L67" s="77"/>
      <c r="M67" s="30"/>
    </row>
    <row r="68" spans="2:13" x14ac:dyDescent="0.2">
      <c r="B68" s="77">
        <v>45421</v>
      </c>
      <c r="C68" s="30">
        <v>5214.08</v>
      </c>
      <c r="D68" s="10">
        <f t="shared" si="0"/>
        <v>5.0909175024624886E-3</v>
      </c>
      <c r="H68" s="77">
        <v>45421</v>
      </c>
      <c r="I68" s="1">
        <v>90.569699999999997</v>
      </c>
      <c r="J68" s="10">
        <f t="shared" si="1"/>
        <v>-1.9137548626333101E-2</v>
      </c>
      <c r="L68" s="77"/>
      <c r="M68" s="30"/>
    </row>
    <row r="69" spans="2:13" x14ac:dyDescent="0.2">
      <c r="B69" s="77">
        <v>45422</v>
      </c>
      <c r="C69" s="30">
        <v>5222.68</v>
      </c>
      <c r="D69" s="10">
        <f t="shared" si="0"/>
        <v>1.6493801399288799E-3</v>
      </c>
      <c r="H69" s="77">
        <v>45422</v>
      </c>
      <c r="I69" s="1">
        <v>88.684899999999999</v>
      </c>
      <c r="J69" s="10">
        <f t="shared" si="1"/>
        <v>-2.0810491809070797E-2</v>
      </c>
      <c r="L69" s="77"/>
      <c r="M69" s="30"/>
    </row>
    <row r="70" spans="2:13" x14ac:dyDescent="0.2">
      <c r="B70" s="77">
        <v>45425</v>
      </c>
      <c r="C70" s="30">
        <v>5221.42</v>
      </c>
      <c r="D70" s="10">
        <f t="shared" si="0"/>
        <v>-2.4125544739483917E-4</v>
      </c>
      <c r="H70" s="77">
        <v>45425</v>
      </c>
      <c r="I70" s="1">
        <v>90.716999999999999</v>
      </c>
      <c r="J70" s="10">
        <f t="shared" si="1"/>
        <v>2.291370909816659E-2</v>
      </c>
      <c r="L70" s="77"/>
      <c r="M70" s="30"/>
    </row>
    <row r="71" spans="2:13" x14ac:dyDescent="0.2">
      <c r="B71" s="77">
        <v>45426</v>
      </c>
      <c r="C71" s="30">
        <v>5246.68</v>
      </c>
      <c r="D71" s="10">
        <f t="shared" si="0"/>
        <v>4.8377644395585229E-3</v>
      </c>
      <c r="H71" s="77">
        <v>45426</v>
      </c>
      <c r="I71" s="1">
        <v>90.461799999999997</v>
      </c>
      <c r="J71" s="10">
        <f t="shared" si="1"/>
        <v>-2.8131441736388707E-3</v>
      </c>
      <c r="L71" s="77"/>
      <c r="M71" s="30"/>
    </row>
    <row r="72" spans="2:13" x14ac:dyDescent="0.2">
      <c r="B72" s="77">
        <v>45427</v>
      </c>
      <c r="C72" s="30">
        <v>5308.15</v>
      </c>
      <c r="D72" s="10">
        <f t="shared" si="0"/>
        <v>1.1715980391409309E-2</v>
      </c>
      <c r="H72" s="77">
        <v>45427</v>
      </c>
      <c r="I72" s="1">
        <v>91.649600000000007</v>
      </c>
      <c r="J72" s="10">
        <f t="shared" si="1"/>
        <v>1.3130404214817926E-2</v>
      </c>
      <c r="L72" s="77"/>
      <c r="M72" s="30"/>
    </row>
    <row r="73" spans="2:13" x14ac:dyDescent="0.2">
      <c r="B73" s="77">
        <v>45428</v>
      </c>
      <c r="C73" s="30">
        <v>5297.1</v>
      </c>
      <c r="D73" s="10">
        <f t="shared" si="0"/>
        <v>-2.0817045486656305E-3</v>
      </c>
      <c r="H73" s="77">
        <v>45428</v>
      </c>
      <c r="I73" s="1">
        <v>92.061899999999994</v>
      </c>
      <c r="J73" s="10">
        <f t="shared" si="1"/>
        <v>4.4986557497248558E-3</v>
      </c>
      <c r="L73" s="77"/>
      <c r="M73" s="30"/>
    </row>
    <row r="74" spans="2:13" x14ac:dyDescent="0.2">
      <c r="B74" s="77">
        <v>45429</v>
      </c>
      <c r="C74" s="30">
        <v>5303.27</v>
      </c>
      <c r="D74" s="10">
        <f t="shared" si="0"/>
        <v>1.1647882803798026E-3</v>
      </c>
      <c r="H74" s="77">
        <v>45429</v>
      </c>
      <c r="I74" s="1">
        <v>91.875399999999999</v>
      </c>
      <c r="J74" s="10">
        <f t="shared" si="1"/>
        <v>-2.0258108946262787E-3</v>
      </c>
      <c r="L74" s="77"/>
      <c r="M74" s="30"/>
    </row>
    <row r="75" spans="2:13" x14ac:dyDescent="0.2">
      <c r="B75" s="77">
        <v>45432</v>
      </c>
      <c r="C75" s="30">
        <v>5308.13</v>
      </c>
      <c r="D75" s="10">
        <f t="shared" si="0"/>
        <v>9.1641572086653689E-4</v>
      </c>
      <c r="H75" s="77">
        <v>45432</v>
      </c>
      <c r="I75" s="1">
        <v>91.679000000000002</v>
      </c>
      <c r="J75" s="10">
        <f t="shared" si="1"/>
        <v>-2.1376777679334991E-3</v>
      </c>
      <c r="L75" s="77"/>
      <c r="M75" s="30"/>
    </row>
    <row r="76" spans="2:13" x14ac:dyDescent="0.2">
      <c r="B76" s="77">
        <v>45433</v>
      </c>
      <c r="C76" s="30">
        <v>5321.41</v>
      </c>
      <c r="D76" s="10">
        <f t="shared" si="0"/>
        <v>2.5018226757822504E-3</v>
      </c>
      <c r="H76" s="77">
        <v>45433</v>
      </c>
      <c r="I76" s="1">
        <v>89.273899999999998</v>
      </c>
      <c r="J76" s="10">
        <f t="shared" si="1"/>
        <v>-2.6233924890105786E-2</v>
      </c>
      <c r="L76" s="77"/>
      <c r="M76" s="30"/>
    </row>
    <row r="77" spans="2:13" x14ac:dyDescent="0.2">
      <c r="B77" s="77">
        <v>45434</v>
      </c>
      <c r="C77" s="30">
        <v>5307.01</v>
      </c>
      <c r="D77" s="10">
        <f t="shared" si="0"/>
        <v>-2.7060497123881921E-3</v>
      </c>
      <c r="H77" s="77">
        <v>45434</v>
      </c>
      <c r="I77" s="1">
        <v>91.021299999999997</v>
      </c>
      <c r="J77" s="10">
        <f t="shared" si="1"/>
        <v>1.9573469961545298E-2</v>
      </c>
      <c r="L77" s="77"/>
      <c r="M77" s="30"/>
    </row>
    <row r="78" spans="2:13" x14ac:dyDescent="0.2">
      <c r="B78" s="77">
        <v>45435</v>
      </c>
      <c r="C78" s="30">
        <v>5267.84</v>
      </c>
      <c r="D78" s="10">
        <f t="shared" si="0"/>
        <v>-7.3808038801509435E-3</v>
      </c>
      <c r="H78" s="77">
        <v>45435</v>
      </c>
      <c r="I78" s="1">
        <v>91.09</v>
      </c>
      <c r="J78" s="10">
        <f t="shared" si="1"/>
        <v>7.547683893771584E-4</v>
      </c>
      <c r="L78" s="77"/>
      <c r="M78" s="30"/>
    </row>
    <row r="79" spans="2:13" x14ac:dyDescent="0.2">
      <c r="B79" s="77">
        <v>45436</v>
      </c>
      <c r="C79" s="30">
        <v>5304.72</v>
      </c>
      <c r="D79" s="10">
        <f t="shared" si="0"/>
        <v>7.0009719353663069E-3</v>
      </c>
      <c r="H79" s="77">
        <v>45436</v>
      </c>
      <c r="I79" s="1">
        <v>89.990600000000001</v>
      </c>
      <c r="J79" s="10">
        <f t="shared" si="1"/>
        <v>-1.2069381929959433E-2</v>
      </c>
      <c r="L79" s="77"/>
      <c r="M79" s="30"/>
    </row>
    <row r="80" spans="2:13" x14ac:dyDescent="0.2">
      <c r="B80" s="77">
        <v>45439</v>
      </c>
      <c r="C80" s="30">
        <v>5304.72</v>
      </c>
      <c r="D80" s="10">
        <f t="shared" si="0"/>
        <v>0</v>
      </c>
      <c r="H80" s="77">
        <v>45439</v>
      </c>
      <c r="I80" s="1">
        <v>90.088700000000003</v>
      </c>
      <c r="J80" s="10">
        <f t="shared" si="1"/>
        <v>1.0901138563361723E-3</v>
      </c>
      <c r="L80" s="77"/>
      <c r="M80" s="30"/>
    </row>
    <row r="81" spans="2:13" x14ac:dyDescent="0.2">
      <c r="B81" s="77">
        <v>45440</v>
      </c>
      <c r="C81" s="30">
        <v>5306.04</v>
      </c>
      <c r="D81" s="10">
        <f>+C81/C80-1</f>
        <v>2.4883499977379486E-4</v>
      </c>
      <c r="H81" s="77">
        <v>45440</v>
      </c>
      <c r="I81" s="1">
        <v>90.491200000000006</v>
      </c>
      <c r="J81" s="10">
        <f>+I81/I80-1</f>
        <v>4.4678189384461664E-3</v>
      </c>
      <c r="L81" s="77"/>
      <c r="M81" s="30"/>
    </row>
    <row r="82" spans="2:13" x14ac:dyDescent="0.2">
      <c r="B82" s="77">
        <v>45441</v>
      </c>
      <c r="C82" s="30">
        <v>5266.95</v>
      </c>
      <c r="D82" s="10">
        <f t="shared" si="0"/>
        <v>-7.3670760114887823E-3</v>
      </c>
      <c r="H82" s="77">
        <v>45441</v>
      </c>
      <c r="I82" s="1">
        <v>90.088700000000003</v>
      </c>
      <c r="J82" s="10">
        <f t="shared" si="1"/>
        <v>-4.447946319642182E-3</v>
      </c>
      <c r="L82" s="77"/>
      <c r="M82" s="30"/>
    </row>
    <row r="83" spans="2:13" x14ac:dyDescent="0.2">
      <c r="B83" s="77">
        <v>45442</v>
      </c>
      <c r="C83" s="30">
        <v>5235.4799999999996</v>
      </c>
      <c r="D83" s="10">
        <f t="shared" si="0"/>
        <v>-5.9749950160910004E-3</v>
      </c>
      <c r="H83" s="77">
        <v>45442</v>
      </c>
      <c r="I83" s="1">
        <v>91.119500000000002</v>
      </c>
      <c r="J83" s="10">
        <f t="shared" si="1"/>
        <v>1.1442056550932556E-2</v>
      </c>
      <c r="L83" s="77"/>
      <c r="M83" s="30"/>
    </row>
    <row r="84" spans="2:13" x14ac:dyDescent="0.2">
      <c r="B84" s="77">
        <v>45443</v>
      </c>
      <c r="C84" s="30">
        <v>5277.51</v>
      </c>
      <c r="D84" s="10">
        <f t="shared" si="0"/>
        <v>8.0279172110295782E-3</v>
      </c>
      <c r="H84" s="77">
        <v>45443</v>
      </c>
      <c r="I84" s="1">
        <v>90.805300000000003</v>
      </c>
      <c r="J84" s="10">
        <f t="shared" si="1"/>
        <v>-3.4482190969001847E-3</v>
      </c>
      <c r="L84" s="77"/>
      <c r="M84" s="30"/>
    </row>
    <row r="85" spans="2:13" x14ac:dyDescent="0.2">
      <c r="B85" s="77">
        <v>45446</v>
      </c>
      <c r="C85" s="30">
        <v>5283.4</v>
      </c>
      <c r="D85" s="10">
        <f t="shared" si="0"/>
        <v>1.116056625188655E-3</v>
      </c>
      <c r="H85" s="77">
        <v>45446</v>
      </c>
      <c r="I85" s="1">
        <v>89.725499999999997</v>
      </c>
      <c r="J85" s="10">
        <f t="shared" si="1"/>
        <v>-1.1891376384418173E-2</v>
      </c>
      <c r="L85" s="77"/>
      <c r="M85" s="30"/>
    </row>
    <row r="86" spans="2:13" x14ac:dyDescent="0.2">
      <c r="B86" s="77">
        <v>45447</v>
      </c>
      <c r="C86" s="30">
        <v>5291.34</v>
      </c>
      <c r="D86" s="10">
        <f t="shared" si="0"/>
        <v>1.5028201536890773E-3</v>
      </c>
      <c r="H86" s="77">
        <v>45447</v>
      </c>
      <c r="I86" s="1">
        <v>90.069100000000006</v>
      </c>
      <c r="J86" s="10">
        <f t="shared" si="1"/>
        <v>3.8294576235295974E-3</v>
      </c>
      <c r="L86" s="77"/>
      <c r="M86" s="30"/>
    </row>
    <row r="87" spans="2:13" x14ac:dyDescent="0.2">
      <c r="B87" s="77">
        <v>45448</v>
      </c>
      <c r="C87" s="30">
        <v>5354.03</v>
      </c>
      <c r="D87" s="10">
        <f t="shared" si="0"/>
        <v>1.1847660516995706E-2</v>
      </c>
      <c r="H87" s="77">
        <v>45448</v>
      </c>
      <c r="I87" s="1">
        <v>90.314499999999995</v>
      </c>
      <c r="J87" s="10">
        <f t="shared" si="1"/>
        <v>2.7245747986821556E-3</v>
      </c>
      <c r="L87" s="77"/>
      <c r="M87" s="30"/>
    </row>
    <row r="88" spans="2:13" x14ac:dyDescent="0.2">
      <c r="B88" s="77">
        <v>45449</v>
      </c>
      <c r="C88" s="30">
        <v>5352.96</v>
      </c>
      <c r="D88" s="10">
        <f t="shared" si="0"/>
        <v>-1.9984945919238051E-4</v>
      </c>
      <c r="H88" s="77">
        <v>45449</v>
      </c>
      <c r="I88" s="1">
        <v>89.990600000000001</v>
      </c>
      <c r="J88" s="10">
        <f t="shared" si="1"/>
        <v>-3.5863565651140794E-3</v>
      </c>
      <c r="L88" s="77"/>
      <c r="M88" s="30"/>
    </row>
    <row r="89" spans="2:13" x14ac:dyDescent="0.2">
      <c r="B89" s="77">
        <v>45450</v>
      </c>
      <c r="C89" s="30">
        <v>5346.99</v>
      </c>
      <c r="D89" s="10">
        <f t="shared" si="0"/>
        <v>-1.1152708034434244E-3</v>
      </c>
      <c r="H89" s="77">
        <v>45450</v>
      </c>
      <c r="I89" s="1">
        <v>91.737899999999996</v>
      </c>
      <c r="J89" s="10">
        <f t="shared" si="1"/>
        <v>1.9416472387115968E-2</v>
      </c>
      <c r="L89" s="77"/>
      <c r="M89" s="30"/>
    </row>
    <row r="90" spans="2:13" x14ac:dyDescent="0.2">
      <c r="B90" s="77">
        <v>45453</v>
      </c>
      <c r="C90" s="30">
        <v>5360.79</v>
      </c>
      <c r="D90" s="10">
        <f t="shared" si="0"/>
        <v>2.5808913052016713E-3</v>
      </c>
      <c r="H90" s="77">
        <v>45453</v>
      </c>
      <c r="I90" s="1">
        <v>93.308599999999998</v>
      </c>
      <c r="J90" s="10">
        <f t="shared" si="1"/>
        <v>1.7121604048054406E-2</v>
      </c>
      <c r="L90" s="77"/>
      <c r="M90" s="30"/>
    </row>
    <row r="91" spans="2:13" x14ac:dyDescent="0.2">
      <c r="B91" s="77">
        <v>45454</v>
      </c>
      <c r="C91" s="30">
        <v>5375.32</v>
      </c>
      <c r="D91" s="10">
        <f t="shared" si="0"/>
        <v>2.7104214117694703E-3</v>
      </c>
      <c r="H91" s="77">
        <v>45454</v>
      </c>
      <c r="I91" s="1">
        <v>93.032700000000006</v>
      </c>
      <c r="J91" s="10">
        <f t="shared" si="1"/>
        <v>-2.9568549951450862E-3</v>
      </c>
      <c r="L91" s="77"/>
      <c r="M91" s="30"/>
    </row>
    <row r="92" spans="2:13" x14ac:dyDescent="0.2">
      <c r="B92" s="77">
        <v>45455</v>
      </c>
      <c r="C92" s="30">
        <v>5421.03</v>
      </c>
      <c r="D92" s="10">
        <f t="shared" si="0"/>
        <v>8.503679780924589E-3</v>
      </c>
      <c r="H92" s="77">
        <v>45455</v>
      </c>
      <c r="I92" s="1">
        <v>93.367800000000003</v>
      </c>
      <c r="J92" s="10">
        <f t="shared" si="1"/>
        <v>3.6019593110809822E-3</v>
      </c>
      <c r="L92" s="77"/>
    </row>
    <row r="93" spans="2:13" x14ac:dyDescent="0.2">
      <c r="B93" s="77">
        <v>45456</v>
      </c>
      <c r="C93" s="30">
        <v>5433.74</v>
      </c>
      <c r="D93" s="10">
        <f t="shared" si="0"/>
        <v>2.3445728948188194E-3</v>
      </c>
      <c r="H93" s="77">
        <v>45456</v>
      </c>
      <c r="I93" s="1">
        <v>92.953800000000001</v>
      </c>
      <c r="J93" s="10">
        <f t="shared" si="1"/>
        <v>-4.4340768444796064E-3</v>
      </c>
      <c r="L93" s="77"/>
      <c r="M93" s="30"/>
    </row>
    <row r="94" spans="2:13" x14ac:dyDescent="0.2">
      <c r="B94" s="77">
        <v>45457</v>
      </c>
      <c r="C94" s="30">
        <v>5431.6</v>
      </c>
      <c r="D94" s="10">
        <f t="shared" si="0"/>
        <v>-3.9383555341243603E-4</v>
      </c>
      <c r="H94" s="77">
        <v>45457</v>
      </c>
      <c r="I94" s="1">
        <v>94.333600000000004</v>
      </c>
      <c r="J94" s="10">
        <f t="shared" si="1"/>
        <v>1.4843933222740802E-2</v>
      </c>
      <c r="L94" s="77"/>
      <c r="M94" s="30"/>
    </row>
    <row r="95" spans="2:13" x14ac:dyDescent="0.2">
      <c r="B95" s="77">
        <v>45460</v>
      </c>
      <c r="C95" s="30">
        <v>5473.23</v>
      </c>
      <c r="D95" s="10">
        <f t="shared" si="0"/>
        <v>7.6644082774870448E-3</v>
      </c>
      <c r="H95" s="77">
        <v>45460</v>
      </c>
      <c r="I95" s="1">
        <v>95.151499999999999</v>
      </c>
      <c r="J95" s="10">
        <f t="shared" si="1"/>
        <v>8.6702935115376967E-3</v>
      </c>
      <c r="L95" s="77"/>
      <c r="M95" s="30"/>
    </row>
    <row r="96" spans="2:13" x14ac:dyDescent="0.2">
      <c r="B96" s="77">
        <v>45461</v>
      </c>
      <c r="C96" s="30">
        <v>5487.03</v>
      </c>
      <c r="D96" s="10">
        <f t="shared" si="0"/>
        <v>2.5213630708009749E-3</v>
      </c>
      <c r="H96" s="77">
        <v>45461</v>
      </c>
      <c r="I96" s="1">
        <v>94.609499999999997</v>
      </c>
      <c r="J96" s="10">
        <f t="shared" si="1"/>
        <v>-5.6961792509839793E-3</v>
      </c>
      <c r="L96" s="77"/>
      <c r="M96" s="30"/>
    </row>
    <row r="97" spans="2:13" x14ac:dyDescent="0.2">
      <c r="B97" s="77">
        <v>45462</v>
      </c>
      <c r="C97" s="30">
        <v>5487.03</v>
      </c>
      <c r="D97" s="10">
        <f t="shared" si="0"/>
        <v>0</v>
      </c>
      <c r="H97" s="77">
        <v>45462</v>
      </c>
      <c r="I97" s="1">
        <v>94.481399999999994</v>
      </c>
      <c r="J97" s="10">
        <f t="shared" si="1"/>
        <v>-1.3539866503892162E-3</v>
      </c>
      <c r="L97" s="77"/>
      <c r="M97" s="30"/>
    </row>
    <row r="98" spans="2:13" x14ac:dyDescent="0.2">
      <c r="B98" s="77">
        <v>45463</v>
      </c>
      <c r="C98" s="30">
        <v>5473.17</v>
      </c>
      <c r="D98" s="10">
        <f>+C98/C97-1</f>
        <v>-2.5259566650810417E-3</v>
      </c>
      <c r="H98" s="77">
        <v>45463</v>
      </c>
      <c r="I98" s="1">
        <v>92.323099999999997</v>
      </c>
      <c r="J98" s="10">
        <f>+I98/I97-1</f>
        <v>-2.2843649649560649E-2</v>
      </c>
      <c r="L98" s="77"/>
      <c r="M98" s="30"/>
    </row>
    <row r="99" spans="2:13" x14ac:dyDescent="0.2">
      <c r="B99" s="77">
        <v>45464</v>
      </c>
      <c r="C99" s="30">
        <v>5464.62</v>
      </c>
      <c r="D99" s="10">
        <f t="shared" si="0"/>
        <v>-1.5621659842468549E-3</v>
      </c>
      <c r="H99" s="77">
        <v>45464</v>
      </c>
      <c r="I99" s="1">
        <v>92.815899999999999</v>
      </c>
      <c r="J99" s="10">
        <f t="shared" si="1"/>
        <v>5.3377757029389183E-3</v>
      </c>
      <c r="L99" s="77"/>
      <c r="M99" s="30"/>
    </row>
    <row r="100" spans="2:13" x14ac:dyDescent="0.2">
      <c r="B100" s="77">
        <v>45467</v>
      </c>
      <c r="C100" s="30">
        <v>5447.87</v>
      </c>
      <c r="D100" s="10">
        <f t="shared" si="0"/>
        <v>-3.0651719607218686E-3</v>
      </c>
      <c r="H100" s="77">
        <v>45467</v>
      </c>
      <c r="I100" s="1">
        <v>92.037300000000002</v>
      </c>
      <c r="J100" s="10">
        <f t="shared" si="1"/>
        <v>-8.3886489276082665E-3</v>
      </c>
      <c r="L100" s="77"/>
      <c r="M100" s="30"/>
    </row>
    <row r="101" spans="2:13" x14ac:dyDescent="0.2">
      <c r="B101" s="77">
        <v>45468</v>
      </c>
      <c r="C101" s="30">
        <v>5469.3</v>
      </c>
      <c r="D101" s="10">
        <f t="shared" si="0"/>
        <v>3.9336474622191364E-3</v>
      </c>
      <c r="H101" s="77">
        <v>45468</v>
      </c>
      <c r="I101" s="1">
        <v>93.623999999999995</v>
      </c>
      <c r="J101" s="10">
        <f t="shared" si="1"/>
        <v>1.723974953632923E-2</v>
      </c>
      <c r="L101" s="77"/>
      <c r="M101" s="30"/>
    </row>
    <row r="102" spans="2:13" x14ac:dyDescent="0.2">
      <c r="B102" s="77">
        <v>45469</v>
      </c>
      <c r="C102" s="30">
        <v>5477.9</v>
      </c>
      <c r="D102" s="10">
        <f t="shared" si="0"/>
        <v>1.5724132887204867E-3</v>
      </c>
      <c r="H102" s="77">
        <v>45469</v>
      </c>
      <c r="I102" s="1">
        <v>93.407200000000003</v>
      </c>
      <c r="J102" s="10">
        <f t="shared" si="1"/>
        <v>-2.3156455609671944E-3</v>
      </c>
      <c r="L102" s="77"/>
      <c r="M102" s="30"/>
    </row>
    <row r="103" spans="2:13" x14ac:dyDescent="0.2">
      <c r="B103" s="77">
        <v>45470</v>
      </c>
      <c r="C103" s="30">
        <v>5482.87</v>
      </c>
      <c r="D103" s="10">
        <f t="shared" si="0"/>
        <v>9.0728198762302092E-4</v>
      </c>
      <c r="H103" s="77">
        <v>45470</v>
      </c>
      <c r="I103" s="1">
        <v>94.185699999999997</v>
      </c>
      <c r="J103" s="10">
        <f t="shared" si="1"/>
        <v>8.3344752867016147E-3</v>
      </c>
      <c r="L103" s="77"/>
      <c r="M103" s="30"/>
    </row>
    <row r="104" spans="2:13" x14ac:dyDescent="0.2">
      <c r="B104" s="77">
        <v>45471</v>
      </c>
      <c r="C104" s="30">
        <v>5460.48</v>
      </c>
      <c r="D104" s="10">
        <f t="shared" si="0"/>
        <v>-4.0836277351096184E-3</v>
      </c>
      <c r="H104" s="77">
        <v>45471</v>
      </c>
      <c r="I104" s="1">
        <v>95.772400000000005</v>
      </c>
      <c r="J104" s="10">
        <f t="shared" si="1"/>
        <v>1.6846506422949714E-2</v>
      </c>
      <c r="L104" s="77"/>
      <c r="M104" s="30"/>
    </row>
    <row r="105" spans="2:13" x14ac:dyDescent="0.2">
      <c r="B105" s="77">
        <v>45474</v>
      </c>
      <c r="C105" s="30">
        <v>5475.09</v>
      </c>
      <c r="D105" s="10">
        <f t="shared" si="0"/>
        <v>2.6755889592124937E-3</v>
      </c>
      <c r="H105" s="77">
        <v>45474</v>
      </c>
      <c r="I105" s="1">
        <v>95.762600000000006</v>
      </c>
      <c r="J105" s="10">
        <f t="shared" si="1"/>
        <v>-1.0232593106151988E-4</v>
      </c>
      <c r="L105" s="77"/>
      <c r="M105" s="30"/>
    </row>
    <row r="106" spans="2:13" x14ac:dyDescent="0.2">
      <c r="B106" s="77">
        <v>45475</v>
      </c>
      <c r="C106" s="30">
        <v>5509.01</v>
      </c>
      <c r="D106" s="10">
        <f t="shared" si="0"/>
        <v>6.195331948881222E-3</v>
      </c>
      <c r="H106" s="77">
        <v>45475</v>
      </c>
      <c r="I106" s="1">
        <v>93.377600000000001</v>
      </c>
      <c r="J106" s="10">
        <f t="shared" si="1"/>
        <v>-2.4905338827475476E-2</v>
      </c>
      <c r="L106" s="77"/>
      <c r="M106" s="30"/>
    </row>
    <row r="107" spans="2:13" x14ac:dyDescent="0.2">
      <c r="B107" s="77">
        <v>45476</v>
      </c>
      <c r="C107" s="30">
        <v>5537.02</v>
      </c>
      <c r="D107" s="10">
        <f t="shared" si="0"/>
        <v>5.0843981041965858E-3</v>
      </c>
      <c r="H107" s="77">
        <v>45476</v>
      </c>
      <c r="I107" s="1">
        <v>92.697599999999994</v>
      </c>
      <c r="J107" s="10">
        <f t="shared" si="1"/>
        <v>-7.2822604136324465E-3</v>
      </c>
      <c r="L107" s="77"/>
      <c r="M107" s="30"/>
    </row>
    <row r="108" spans="2:13" x14ac:dyDescent="0.2">
      <c r="B108" s="77">
        <v>45477</v>
      </c>
      <c r="C108" s="30">
        <v>5537.02</v>
      </c>
      <c r="D108" s="10">
        <f t="shared" si="0"/>
        <v>0</v>
      </c>
      <c r="H108" s="77">
        <v>45477</v>
      </c>
      <c r="I108" s="1">
        <v>92.825699999999998</v>
      </c>
      <c r="J108" s="10">
        <f t="shared" si="1"/>
        <v>1.3819128003313974E-3</v>
      </c>
      <c r="L108" s="77"/>
      <c r="M108" s="30"/>
    </row>
    <row r="109" spans="2:13" x14ac:dyDescent="0.2">
      <c r="B109" s="77">
        <v>45478</v>
      </c>
      <c r="C109" s="30">
        <v>5567.19</v>
      </c>
      <c r="D109" s="10">
        <f>+C109/C108-1</f>
        <v>5.4487793072806046E-3</v>
      </c>
      <c r="H109" s="77">
        <v>45478</v>
      </c>
      <c r="I109" s="1">
        <v>74.278300000000002</v>
      </c>
      <c r="J109" s="10">
        <f>+I109/I108-1</f>
        <v>-0.19980888913307415</v>
      </c>
      <c r="L109" s="77"/>
    </row>
    <row r="110" spans="2:13" x14ac:dyDescent="0.2">
      <c r="B110" s="77">
        <v>45481</v>
      </c>
      <c r="C110" s="30">
        <v>5572.85</v>
      </c>
      <c r="D110" s="10">
        <f t="shared" si="0"/>
        <v>1.0166708878267539E-3</v>
      </c>
      <c r="H110" s="77">
        <v>45481</v>
      </c>
      <c r="I110" s="1">
        <v>75.717200000000005</v>
      </c>
      <c r="J110" s="10">
        <f t="shared" si="1"/>
        <v>1.9371741141086973E-2</v>
      </c>
      <c r="L110" s="77"/>
      <c r="M110" s="30"/>
    </row>
    <row r="111" spans="2:13" x14ac:dyDescent="0.2">
      <c r="B111" s="77">
        <v>45482</v>
      </c>
      <c r="C111" s="30">
        <v>5576.98</v>
      </c>
      <c r="D111" s="10">
        <f t="shared" si="0"/>
        <v>7.410929775606423E-4</v>
      </c>
      <c r="H111" s="77">
        <v>45482</v>
      </c>
      <c r="I111" s="1">
        <v>74.938599999999994</v>
      </c>
      <c r="J111" s="10">
        <f t="shared" si="1"/>
        <v>-1.0283000427908195E-2</v>
      </c>
      <c r="L111" s="77"/>
      <c r="M111" s="30"/>
    </row>
    <row r="112" spans="2:13" x14ac:dyDescent="0.2">
      <c r="B112" s="77">
        <v>45483</v>
      </c>
      <c r="C112" s="30">
        <v>5633.91</v>
      </c>
      <c r="D112" s="10">
        <f t="shared" si="0"/>
        <v>1.0208033738690059E-2</v>
      </c>
      <c r="H112" s="77">
        <v>45483</v>
      </c>
      <c r="I112" s="1">
        <v>74.150199999999998</v>
      </c>
      <c r="J112" s="10">
        <f t="shared" si="1"/>
        <v>-1.0520612875073665E-2</v>
      </c>
      <c r="L112" s="77"/>
      <c r="M112" s="30"/>
    </row>
    <row r="113" spans="2:13" x14ac:dyDescent="0.2">
      <c r="B113" s="77">
        <v>45484</v>
      </c>
      <c r="C113" s="30">
        <v>5584.54</v>
      </c>
      <c r="D113" s="10">
        <f t="shared" si="0"/>
        <v>-8.763008283767415E-3</v>
      </c>
      <c r="H113" s="77">
        <v>45484</v>
      </c>
      <c r="I113" s="1">
        <v>74.337400000000002</v>
      </c>
      <c r="J113" s="10">
        <f t="shared" si="1"/>
        <v>2.5246054629657344E-3</v>
      </c>
      <c r="L113" s="77"/>
      <c r="M113" s="30"/>
    </row>
    <row r="114" spans="2:13" x14ac:dyDescent="0.2">
      <c r="B114" s="77">
        <v>45485</v>
      </c>
      <c r="C114" s="30">
        <v>5615.35</v>
      </c>
      <c r="D114" s="10">
        <f t="shared" si="0"/>
        <v>5.5170166208855509E-3</v>
      </c>
      <c r="H114" s="77">
        <v>45485</v>
      </c>
      <c r="I114" s="1">
        <v>71.991900000000001</v>
      </c>
      <c r="J114" s="10">
        <f t="shared" si="1"/>
        <v>-3.1552085491287074E-2</v>
      </c>
      <c r="L114" s="77"/>
      <c r="M114" s="30"/>
    </row>
    <row r="115" spans="2:13" x14ac:dyDescent="0.2">
      <c r="B115" s="77">
        <v>45488</v>
      </c>
      <c r="C115" s="30">
        <v>5631.22</v>
      </c>
      <c r="D115" s="10">
        <f t="shared" si="0"/>
        <v>2.826181805230199E-3</v>
      </c>
      <c r="H115" s="77">
        <v>45488</v>
      </c>
      <c r="I115" s="1">
        <v>71.410499999999999</v>
      </c>
      <c r="J115" s="10">
        <f t="shared" si="1"/>
        <v>-8.0759085397107411E-3</v>
      </c>
      <c r="L115" s="77"/>
      <c r="M115" s="30"/>
    </row>
    <row r="116" spans="2:13" x14ac:dyDescent="0.2">
      <c r="B116" s="77">
        <v>45489</v>
      </c>
      <c r="C116" s="30">
        <v>5667.2</v>
      </c>
      <c r="D116" s="10">
        <f t="shared" ref="D116:D179" si="2">+C116/C115-1</f>
        <v>6.3893792108991043E-3</v>
      </c>
      <c r="H116" s="77">
        <v>45489</v>
      </c>
      <c r="I116" s="1">
        <v>71.4893</v>
      </c>
      <c r="J116" s="10">
        <f t="shared" ref="J116:J179" si="3">+I116/I115-1</f>
        <v>1.1034791802326804E-3</v>
      </c>
      <c r="L116" s="77"/>
      <c r="M116" s="30"/>
    </row>
    <row r="117" spans="2:13" x14ac:dyDescent="0.2">
      <c r="B117" s="77">
        <v>45490</v>
      </c>
      <c r="C117" s="30">
        <v>5588.27</v>
      </c>
      <c r="D117" s="10">
        <f t="shared" si="2"/>
        <v>-1.3927512704686507E-2</v>
      </c>
      <c r="H117" s="77">
        <v>45490</v>
      </c>
      <c r="I117" s="1">
        <v>72.326999999999998</v>
      </c>
      <c r="J117" s="10">
        <f t="shared" si="3"/>
        <v>1.1717837494562122E-2</v>
      </c>
      <c r="L117" s="77"/>
      <c r="M117" s="30"/>
    </row>
    <row r="118" spans="2:13" x14ac:dyDescent="0.2">
      <c r="B118" s="77">
        <v>45491</v>
      </c>
      <c r="C118" s="30">
        <v>5544.59</v>
      </c>
      <c r="D118" s="10">
        <f t="shared" si="2"/>
        <v>-7.8163725088444824E-3</v>
      </c>
      <c r="H118" s="77">
        <v>45491</v>
      </c>
      <c r="I118" s="1">
        <v>72.3566</v>
      </c>
      <c r="J118" s="10">
        <f t="shared" si="3"/>
        <v>4.0925242302325415E-4</v>
      </c>
      <c r="L118" s="77"/>
      <c r="M118" s="30"/>
    </row>
    <row r="119" spans="2:13" x14ac:dyDescent="0.2">
      <c r="B119" s="77">
        <v>45492</v>
      </c>
      <c r="C119" s="30">
        <v>5505</v>
      </c>
      <c r="D119" s="10">
        <f t="shared" si="2"/>
        <v>-7.1402935113327182E-3</v>
      </c>
      <c r="H119" s="77">
        <v>45492</v>
      </c>
      <c r="I119" s="1">
        <v>70.277100000000004</v>
      </c>
      <c r="J119" s="10">
        <f t="shared" si="3"/>
        <v>-2.8739603574518324E-2</v>
      </c>
      <c r="L119" s="77"/>
      <c r="M119" s="30"/>
    </row>
    <row r="120" spans="2:13" x14ac:dyDescent="0.2">
      <c r="B120" s="77">
        <v>45495</v>
      </c>
      <c r="C120" s="30">
        <v>5564.41</v>
      </c>
      <c r="D120" s="10">
        <f t="shared" si="2"/>
        <v>1.0792007266121617E-2</v>
      </c>
      <c r="H120" s="77">
        <v>45495</v>
      </c>
      <c r="I120" s="1">
        <v>71.755399999999995</v>
      </c>
      <c r="J120" s="10">
        <f t="shared" si="3"/>
        <v>2.1035301684332319E-2</v>
      </c>
      <c r="L120" s="77"/>
    </row>
    <row r="121" spans="2:13" x14ac:dyDescent="0.2">
      <c r="B121" s="77">
        <v>45496</v>
      </c>
      <c r="C121" s="30">
        <v>5555.74</v>
      </c>
      <c r="D121" s="10">
        <f t="shared" si="2"/>
        <v>-1.558116673645582E-3</v>
      </c>
      <c r="H121" s="77">
        <v>45496</v>
      </c>
      <c r="I121" s="1">
        <v>72.011600000000001</v>
      </c>
      <c r="J121" s="10">
        <f t="shared" si="3"/>
        <v>3.57046298954522E-3</v>
      </c>
      <c r="L121" s="77"/>
      <c r="M121" s="30"/>
    </row>
    <row r="122" spans="2:13" x14ac:dyDescent="0.2">
      <c r="B122" s="77">
        <v>45497</v>
      </c>
      <c r="C122" s="30">
        <v>5427.13</v>
      </c>
      <c r="D122" s="10">
        <f t="shared" si="2"/>
        <v>-2.3149031452155744E-2</v>
      </c>
      <c r="H122" s="77">
        <v>45497</v>
      </c>
      <c r="I122" s="1">
        <v>71.331599999999995</v>
      </c>
      <c r="J122" s="10">
        <f t="shared" si="3"/>
        <v>-9.442923084614252E-3</v>
      </c>
      <c r="L122" s="77"/>
      <c r="M122" s="30"/>
    </row>
    <row r="123" spans="2:13" x14ac:dyDescent="0.2">
      <c r="B123" s="77">
        <v>45498</v>
      </c>
      <c r="C123" s="30">
        <v>5399.22</v>
      </c>
      <c r="D123" s="10">
        <f t="shared" si="2"/>
        <v>-5.1426813066942634E-3</v>
      </c>
      <c r="H123" s="77">
        <v>45498</v>
      </c>
      <c r="I123" s="1">
        <v>71.647000000000006</v>
      </c>
      <c r="J123" s="10">
        <f t="shared" si="3"/>
        <v>4.4216027679178094E-3</v>
      </c>
      <c r="L123" s="77"/>
      <c r="M123" s="30"/>
    </row>
    <row r="124" spans="2:13" x14ac:dyDescent="0.2">
      <c r="B124" s="77">
        <v>45499</v>
      </c>
      <c r="C124" s="30">
        <v>5459.1</v>
      </c>
      <c r="D124" s="10">
        <f t="shared" si="2"/>
        <v>1.1090490848678192E-2</v>
      </c>
      <c r="H124" s="77">
        <v>45499</v>
      </c>
      <c r="I124" s="1">
        <v>73.775700000000001</v>
      </c>
      <c r="J124" s="10">
        <f t="shared" si="3"/>
        <v>2.9710943933451528E-2</v>
      </c>
      <c r="L124" s="77"/>
      <c r="M124" s="30"/>
    </row>
    <row r="125" spans="2:13" x14ac:dyDescent="0.2">
      <c r="B125" s="77">
        <v>45502</v>
      </c>
      <c r="C125" s="30">
        <v>5463.54</v>
      </c>
      <c r="D125" s="10">
        <f t="shared" si="2"/>
        <v>8.1332087706753597E-4</v>
      </c>
      <c r="H125" s="77">
        <v>45502</v>
      </c>
      <c r="I125" s="1">
        <v>72.3369</v>
      </c>
      <c r="J125" s="10">
        <f t="shared" si="3"/>
        <v>-1.9502356466966742E-2</v>
      </c>
      <c r="L125" s="77"/>
      <c r="M125" s="30"/>
    </row>
    <row r="126" spans="2:13" x14ac:dyDescent="0.2">
      <c r="B126" s="77">
        <v>45503</v>
      </c>
      <c r="C126" s="30">
        <v>5436.44</v>
      </c>
      <c r="D126" s="10">
        <f t="shared" si="2"/>
        <v>-4.9601540393225951E-3</v>
      </c>
      <c r="H126" s="77">
        <v>45503</v>
      </c>
      <c r="I126" s="1">
        <v>70.060299999999998</v>
      </c>
      <c r="J126" s="10">
        <f t="shared" si="3"/>
        <v>-3.1472180864814514E-2</v>
      </c>
      <c r="L126" s="77"/>
      <c r="M126" s="30"/>
    </row>
    <row r="127" spans="2:13" x14ac:dyDescent="0.2">
      <c r="B127" s="77">
        <v>45504</v>
      </c>
      <c r="C127" s="30">
        <v>5522.3</v>
      </c>
      <c r="D127" s="10">
        <f t="shared" si="2"/>
        <v>1.579342363752767E-2</v>
      </c>
      <c r="H127" s="77">
        <v>45504</v>
      </c>
      <c r="I127" s="1">
        <v>70.375699999999995</v>
      </c>
      <c r="J127" s="10">
        <f t="shared" si="3"/>
        <v>4.5018362753228569E-3</v>
      </c>
      <c r="L127" s="77"/>
      <c r="M127" s="30"/>
    </row>
    <row r="128" spans="2:13" x14ac:dyDescent="0.2">
      <c r="B128" s="77">
        <v>45505</v>
      </c>
      <c r="C128" s="30">
        <v>5446.68</v>
      </c>
      <c r="D128" s="10">
        <f t="shared" si="2"/>
        <v>-1.3693569708273734E-2</v>
      </c>
      <c r="H128" s="77">
        <v>45505</v>
      </c>
      <c r="I128" s="1">
        <v>71.509</v>
      </c>
      <c r="J128" s="10">
        <f t="shared" si="3"/>
        <v>1.6103569840157927E-2</v>
      </c>
      <c r="L128" s="77"/>
      <c r="M128" s="30"/>
    </row>
    <row r="129" spans="2:13" x14ac:dyDescent="0.2">
      <c r="B129" s="77">
        <v>45506</v>
      </c>
      <c r="C129" s="30">
        <v>5346.56</v>
      </c>
      <c r="D129" s="10">
        <f t="shared" si="2"/>
        <v>-1.8381839946536194E-2</v>
      </c>
      <c r="H129" s="77">
        <v>45506</v>
      </c>
      <c r="I129" s="1">
        <v>72.484700000000004</v>
      </c>
      <c r="J129" s="10">
        <f t="shared" si="3"/>
        <v>1.3644436364653512E-2</v>
      </c>
      <c r="L129" s="77"/>
      <c r="M129" s="30"/>
    </row>
    <row r="130" spans="2:13" x14ac:dyDescent="0.2">
      <c r="B130" s="77">
        <v>45509</v>
      </c>
      <c r="C130" s="30">
        <v>5186.33</v>
      </c>
      <c r="D130" s="10">
        <f t="shared" si="2"/>
        <v>-2.9968802370122227E-2</v>
      </c>
      <c r="H130" s="77">
        <v>45509</v>
      </c>
      <c r="I130" s="1">
        <v>73.243499999999997</v>
      </c>
      <c r="J130" s="10">
        <f t="shared" si="3"/>
        <v>1.0468416093327271E-2</v>
      </c>
      <c r="L130" s="77"/>
      <c r="M130" s="30"/>
    </row>
    <row r="131" spans="2:13" x14ac:dyDescent="0.2">
      <c r="B131" s="77">
        <v>45510</v>
      </c>
      <c r="C131" s="30">
        <v>5240.03</v>
      </c>
      <c r="D131" s="10">
        <f t="shared" si="2"/>
        <v>1.0354142524675369E-2</v>
      </c>
      <c r="H131" s="77">
        <v>45510</v>
      </c>
      <c r="I131" s="1">
        <v>73.775700000000001</v>
      </c>
      <c r="J131" s="10">
        <f t="shared" si="3"/>
        <v>7.2661737901658086E-3</v>
      </c>
      <c r="L131" s="77"/>
      <c r="M131" s="30"/>
    </row>
    <row r="132" spans="2:13" x14ac:dyDescent="0.2">
      <c r="B132" s="77">
        <v>45511</v>
      </c>
      <c r="C132" s="30">
        <v>5199.5</v>
      </c>
      <c r="D132" s="10">
        <f t="shared" si="2"/>
        <v>-7.7346885418594358E-3</v>
      </c>
      <c r="H132" s="77">
        <v>45511</v>
      </c>
      <c r="I132" s="1">
        <v>72.780299999999997</v>
      </c>
      <c r="J132" s="10">
        <f t="shared" si="3"/>
        <v>-1.3492247447330241E-2</v>
      </c>
      <c r="L132" s="77"/>
      <c r="M132" s="30"/>
    </row>
    <row r="133" spans="2:13" x14ac:dyDescent="0.2">
      <c r="B133" s="77">
        <v>45512</v>
      </c>
      <c r="C133" s="30">
        <v>5319.31</v>
      </c>
      <c r="D133" s="10">
        <f t="shared" si="2"/>
        <v>2.3042600250024137E-2</v>
      </c>
      <c r="H133" s="77">
        <v>45512</v>
      </c>
      <c r="I133" s="1">
        <v>72.938000000000002</v>
      </c>
      <c r="J133" s="10">
        <f t="shared" si="3"/>
        <v>2.1667951354968906E-3</v>
      </c>
      <c r="L133" s="77"/>
      <c r="M133" s="30"/>
    </row>
    <row r="134" spans="2:13" x14ac:dyDescent="0.2">
      <c r="B134" s="77">
        <v>45513</v>
      </c>
      <c r="C134" s="30">
        <v>5344.16</v>
      </c>
      <c r="D134" s="10">
        <f t="shared" si="2"/>
        <v>4.6716585421793244E-3</v>
      </c>
      <c r="H134" s="77">
        <v>45513</v>
      </c>
      <c r="I134" s="1">
        <v>70.385499999999993</v>
      </c>
      <c r="J134" s="10">
        <f t="shared" si="3"/>
        <v>-3.4995475609421844E-2</v>
      </c>
      <c r="L134" s="77"/>
      <c r="M134" s="30"/>
    </row>
    <row r="135" spans="2:13" x14ac:dyDescent="0.2">
      <c r="B135" s="77">
        <v>45516</v>
      </c>
      <c r="C135" s="30">
        <v>5344.39</v>
      </c>
      <c r="D135" s="10">
        <f t="shared" si="2"/>
        <v>4.3037633603804082E-5</v>
      </c>
      <c r="H135" s="77">
        <v>45516</v>
      </c>
      <c r="I135" s="1">
        <v>71.4499</v>
      </c>
      <c r="J135" s="10">
        <f t="shared" si="3"/>
        <v>1.5122432887455517E-2</v>
      </c>
      <c r="L135" s="77"/>
      <c r="M135" s="30"/>
    </row>
    <row r="136" spans="2:13" x14ac:dyDescent="0.2">
      <c r="B136" s="77">
        <v>45517</v>
      </c>
      <c r="C136" s="30">
        <v>5434.43</v>
      </c>
      <c r="D136" s="10">
        <f t="shared" si="2"/>
        <v>1.6847572875482442E-2</v>
      </c>
      <c r="H136" s="77">
        <v>45517</v>
      </c>
      <c r="I136" s="1">
        <v>71.568200000000004</v>
      </c>
      <c r="J136" s="10">
        <f t="shared" si="3"/>
        <v>1.6557056063060127E-3</v>
      </c>
      <c r="L136" s="77"/>
      <c r="M136" s="30"/>
    </row>
    <row r="137" spans="2:13" x14ac:dyDescent="0.2">
      <c r="B137" s="77">
        <v>45518</v>
      </c>
      <c r="C137" s="30">
        <v>5455.21</v>
      </c>
      <c r="D137" s="10">
        <f t="shared" si="2"/>
        <v>3.8237680860733203E-3</v>
      </c>
      <c r="H137" s="77">
        <v>45518</v>
      </c>
      <c r="I137" s="1">
        <v>73.115399999999994</v>
      </c>
      <c r="J137" s="10">
        <f t="shared" si="3"/>
        <v>2.1618540077855686E-2</v>
      </c>
      <c r="L137" s="77"/>
      <c r="M137" s="30"/>
    </row>
    <row r="138" spans="2:13" x14ac:dyDescent="0.2">
      <c r="B138" s="77">
        <v>45519</v>
      </c>
      <c r="C138" s="30">
        <v>5543.22</v>
      </c>
      <c r="D138" s="10">
        <f t="shared" si="2"/>
        <v>1.6133201104998829E-2</v>
      </c>
      <c r="H138" s="77">
        <v>45519</v>
      </c>
      <c r="I138" s="1">
        <v>73.263199999999998</v>
      </c>
      <c r="J138" s="10">
        <f t="shared" si="3"/>
        <v>2.0214619628697861E-3</v>
      </c>
      <c r="L138" s="77"/>
      <c r="M138" s="30"/>
    </row>
    <row r="139" spans="2:13" x14ac:dyDescent="0.2">
      <c r="B139" s="77">
        <v>45520</v>
      </c>
      <c r="C139" s="30">
        <v>5554.25</v>
      </c>
      <c r="D139" s="10">
        <f t="shared" si="2"/>
        <v>1.9898181923141411E-3</v>
      </c>
      <c r="H139" s="77">
        <v>45520</v>
      </c>
      <c r="I139" s="1">
        <v>73.558899999999994</v>
      </c>
      <c r="J139" s="10">
        <f t="shared" si="3"/>
        <v>4.0361327378546363E-3</v>
      </c>
      <c r="L139" s="77"/>
      <c r="M139" s="30"/>
    </row>
    <row r="140" spans="2:13" x14ac:dyDescent="0.2">
      <c r="B140" s="77">
        <v>45523</v>
      </c>
      <c r="C140" s="30">
        <v>5608.25</v>
      </c>
      <c r="D140" s="10">
        <f t="shared" si="2"/>
        <v>9.7222847369131671E-3</v>
      </c>
      <c r="H140" s="77">
        <v>45523</v>
      </c>
      <c r="I140" s="1">
        <v>77.363</v>
      </c>
      <c r="J140" s="10">
        <f t="shared" si="3"/>
        <v>5.1715020208295659E-2</v>
      </c>
      <c r="L140" s="77"/>
      <c r="M140" s="30"/>
    </row>
    <row r="141" spans="2:13" x14ac:dyDescent="0.2">
      <c r="B141" s="77">
        <v>45524</v>
      </c>
      <c r="C141" s="30">
        <v>5597.12</v>
      </c>
      <c r="D141" s="10">
        <f t="shared" si="2"/>
        <v>-1.9845762938528466E-3</v>
      </c>
      <c r="H141" s="77">
        <v>45524</v>
      </c>
      <c r="I141" s="1">
        <v>77.3827</v>
      </c>
      <c r="J141" s="10">
        <f t="shared" si="3"/>
        <v>2.5464369272132359E-4</v>
      </c>
      <c r="L141" s="77"/>
      <c r="M141" s="30"/>
    </row>
    <row r="142" spans="2:13" x14ac:dyDescent="0.2">
      <c r="B142" s="77">
        <v>45525</v>
      </c>
      <c r="C142" s="30">
        <v>5620.85</v>
      </c>
      <c r="D142" s="10">
        <f t="shared" si="2"/>
        <v>4.2396804070665706E-3</v>
      </c>
      <c r="H142" s="77">
        <v>45525</v>
      </c>
      <c r="I142" s="1">
        <v>81.305000000000007</v>
      </c>
      <c r="J142" s="10">
        <f t="shared" si="3"/>
        <v>5.0687039868084316E-2</v>
      </c>
      <c r="L142" s="77"/>
      <c r="M142" s="30"/>
    </row>
    <row r="143" spans="2:13" x14ac:dyDescent="0.2">
      <c r="B143" s="77">
        <v>45526</v>
      </c>
      <c r="C143" s="30">
        <v>5570.64</v>
      </c>
      <c r="D143" s="10">
        <f t="shared" si="2"/>
        <v>-8.9328126528905871E-3</v>
      </c>
      <c r="H143" s="77">
        <v>45526</v>
      </c>
      <c r="I143" s="1">
        <v>82.024500000000003</v>
      </c>
      <c r="J143" s="10">
        <f t="shared" si="3"/>
        <v>8.8493942561957972E-3</v>
      </c>
      <c r="L143" s="77"/>
      <c r="M143" s="30"/>
    </row>
    <row r="144" spans="2:13" x14ac:dyDescent="0.2">
      <c r="B144" s="77">
        <v>45527</v>
      </c>
      <c r="C144" s="30">
        <v>5634.61</v>
      </c>
      <c r="D144" s="10">
        <f t="shared" si="2"/>
        <v>1.1483420217425433E-2</v>
      </c>
      <c r="H144" s="77">
        <v>45527</v>
      </c>
      <c r="I144" s="1">
        <v>82.073700000000002</v>
      </c>
      <c r="J144" s="10">
        <f t="shared" si="3"/>
        <v>5.9982078525311344E-4</v>
      </c>
      <c r="L144" s="77"/>
      <c r="M144" s="30"/>
    </row>
    <row r="145" spans="2:13" x14ac:dyDescent="0.2">
      <c r="B145" s="77">
        <v>45530</v>
      </c>
      <c r="C145" s="30">
        <v>5616.84</v>
      </c>
      <c r="D145" s="10">
        <f t="shared" si="2"/>
        <v>-3.1537231503155905E-3</v>
      </c>
      <c r="H145" s="77">
        <v>45530</v>
      </c>
      <c r="I145" s="1">
        <v>82.349699999999999</v>
      </c>
      <c r="J145" s="10">
        <f t="shared" si="3"/>
        <v>3.3628312114599712E-3</v>
      </c>
      <c r="L145" s="77"/>
      <c r="M145" s="30"/>
    </row>
    <row r="146" spans="2:13" x14ac:dyDescent="0.2">
      <c r="B146" s="77">
        <v>45531</v>
      </c>
      <c r="C146" s="30">
        <v>5625.8</v>
      </c>
      <c r="D146" s="10">
        <f t="shared" si="2"/>
        <v>1.5952029967027936E-3</v>
      </c>
      <c r="H146" s="77">
        <v>45531</v>
      </c>
      <c r="I146" s="1">
        <v>82.783299999999997</v>
      </c>
      <c r="J146" s="10">
        <f t="shared" si="3"/>
        <v>5.2653500862784863E-3</v>
      </c>
      <c r="L146" s="77"/>
      <c r="M146" s="30"/>
    </row>
    <row r="147" spans="2:13" x14ac:dyDescent="0.2">
      <c r="B147" s="77">
        <v>45532</v>
      </c>
      <c r="C147" s="30">
        <v>5592.18</v>
      </c>
      <c r="D147" s="10">
        <f t="shared" si="2"/>
        <v>-5.9760389633474187E-3</v>
      </c>
      <c r="H147" s="77">
        <v>45532</v>
      </c>
      <c r="I147" s="1">
        <v>82.201899999999995</v>
      </c>
      <c r="J147" s="10">
        <f t="shared" si="3"/>
        <v>-7.0231556364629411E-3</v>
      </c>
      <c r="L147" s="77"/>
      <c r="M147" s="30"/>
    </row>
    <row r="148" spans="2:13" x14ac:dyDescent="0.2">
      <c r="B148" s="77">
        <v>45533</v>
      </c>
      <c r="C148" s="30">
        <v>5591.96</v>
      </c>
      <c r="D148" s="10">
        <f t="shared" si="2"/>
        <v>-3.9340650694441592E-5</v>
      </c>
      <c r="H148" s="77">
        <v>45533</v>
      </c>
      <c r="I148" s="1">
        <v>82.832599999999999</v>
      </c>
      <c r="J148" s="10">
        <f t="shared" si="3"/>
        <v>7.6725720451717994E-3</v>
      </c>
      <c r="L148" s="77"/>
      <c r="M148" s="30"/>
    </row>
    <row r="149" spans="2:13" x14ac:dyDescent="0.2">
      <c r="B149" s="77">
        <v>45534</v>
      </c>
      <c r="C149" s="30">
        <v>5648.4</v>
      </c>
      <c r="D149" s="10">
        <f>+C149/C148-1</f>
        <v>1.0093062182132906E-2</v>
      </c>
      <c r="H149" s="77">
        <v>45534</v>
      </c>
      <c r="I149" s="1">
        <v>83.059299999999993</v>
      </c>
      <c r="J149" s="10">
        <f>+I149/I148-1</f>
        <v>2.7368451551683659E-3</v>
      </c>
      <c r="L149" s="77"/>
      <c r="M149" s="30"/>
    </row>
    <row r="150" spans="2:13" x14ac:dyDescent="0.2">
      <c r="B150" s="77">
        <v>45537</v>
      </c>
      <c r="C150" s="30">
        <v>5648.4</v>
      </c>
      <c r="D150" s="10">
        <f>+C150/C149-1</f>
        <v>0</v>
      </c>
      <c r="H150" s="77">
        <v>45537</v>
      </c>
      <c r="I150" s="1">
        <v>84.054599999999994</v>
      </c>
      <c r="J150" s="10">
        <f>+I150/I149-1</f>
        <v>1.1983004913357131E-2</v>
      </c>
      <c r="L150" s="77"/>
      <c r="M150" s="30"/>
    </row>
    <row r="151" spans="2:13" x14ac:dyDescent="0.2">
      <c r="B151" s="77">
        <v>45538</v>
      </c>
      <c r="C151" s="30">
        <v>5528.93</v>
      </c>
      <c r="D151" s="10">
        <f>+C151/C150-1</f>
        <v>-2.1151122441753323E-2</v>
      </c>
      <c r="H151" s="77">
        <v>45538</v>
      </c>
      <c r="I151" s="1">
        <v>81.590800000000002</v>
      </c>
      <c r="J151" s="10">
        <f>+I151/I150-1</f>
        <v>-2.9311899646182304E-2</v>
      </c>
      <c r="L151" s="77"/>
      <c r="M151" s="30"/>
    </row>
    <row r="152" spans="2:13" x14ac:dyDescent="0.2">
      <c r="B152" s="77">
        <v>45539</v>
      </c>
      <c r="C152" s="30">
        <v>5520.07</v>
      </c>
      <c r="D152" s="10">
        <f t="shared" si="2"/>
        <v>-1.6024800458679378E-3</v>
      </c>
      <c r="H152" s="77">
        <v>45539</v>
      </c>
      <c r="I152" s="1">
        <v>82.054000000000002</v>
      </c>
      <c r="J152" s="10">
        <f t="shared" si="3"/>
        <v>5.6771106546327221E-3</v>
      </c>
      <c r="L152" s="77"/>
      <c r="M152" s="30"/>
    </row>
    <row r="153" spans="2:13" x14ac:dyDescent="0.2">
      <c r="B153" s="77">
        <v>45540</v>
      </c>
      <c r="C153" s="30">
        <v>5503.41</v>
      </c>
      <c r="D153" s="10">
        <f t="shared" si="2"/>
        <v>-3.0180776693048417E-3</v>
      </c>
      <c r="H153" s="77">
        <v>45540</v>
      </c>
      <c r="I153" s="1">
        <v>82.113200000000006</v>
      </c>
      <c r="J153" s="10">
        <f t="shared" si="3"/>
        <v>7.2147610110429028E-4</v>
      </c>
      <c r="L153" s="77"/>
      <c r="M153" s="30"/>
    </row>
    <row r="154" spans="2:13" x14ac:dyDescent="0.2">
      <c r="B154" s="77">
        <v>45541</v>
      </c>
      <c r="C154" s="30">
        <v>5408.42</v>
      </c>
      <c r="D154" s="10">
        <f t="shared" si="2"/>
        <v>-1.726020776209658E-2</v>
      </c>
      <c r="H154" s="77">
        <v>45541</v>
      </c>
      <c r="I154" s="1">
        <v>80.499600000000001</v>
      </c>
      <c r="J154" s="10">
        <f t="shared" si="3"/>
        <v>-1.9650920923797943E-2</v>
      </c>
      <c r="L154" s="77"/>
      <c r="M154" s="30"/>
    </row>
    <row r="155" spans="2:13" x14ac:dyDescent="0.2">
      <c r="B155" s="77">
        <v>45544</v>
      </c>
      <c r="C155" s="30">
        <v>5471.05</v>
      </c>
      <c r="D155" s="10">
        <f t="shared" si="2"/>
        <v>1.1580091782812829E-2</v>
      </c>
      <c r="H155" s="77">
        <v>45544</v>
      </c>
      <c r="I155" s="1">
        <v>80.202600000000004</v>
      </c>
      <c r="J155" s="10">
        <f t="shared" si="3"/>
        <v>-3.6894593265058839E-3</v>
      </c>
      <c r="L155" s="77"/>
      <c r="M155" s="30"/>
    </row>
    <row r="156" spans="2:13" x14ac:dyDescent="0.2">
      <c r="B156" s="77">
        <v>45545</v>
      </c>
      <c r="C156" s="30">
        <v>5495.52</v>
      </c>
      <c r="D156" s="10">
        <f t="shared" si="2"/>
        <v>4.4726332239699573E-3</v>
      </c>
      <c r="H156" s="77">
        <v>45545</v>
      </c>
      <c r="I156" s="1">
        <v>80.014600000000002</v>
      </c>
      <c r="J156" s="10">
        <f t="shared" si="3"/>
        <v>-2.3440636587841457E-3</v>
      </c>
      <c r="L156" s="77"/>
      <c r="M156" s="30"/>
    </row>
    <row r="157" spans="2:13" x14ac:dyDescent="0.2">
      <c r="B157" s="77">
        <v>45546</v>
      </c>
      <c r="C157" s="30">
        <v>5554.13</v>
      </c>
      <c r="D157" s="10">
        <f t="shared" si="2"/>
        <v>1.0665050805019227E-2</v>
      </c>
      <c r="H157" s="77">
        <v>45546</v>
      </c>
      <c r="I157" s="1">
        <v>79.816599999999994</v>
      </c>
      <c r="J157" s="10">
        <f t="shared" si="3"/>
        <v>-2.474548394918008E-3</v>
      </c>
      <c r="L157" s="77"/>
      <c r="M157" s="30"/>
    </row>
    <row r="158" spans="2:13" x14ac:dyDescent="0.2">
      <c r="B158" s="77">
        <v>45547</v>
      </c>
      <c r="C158" s="30">
        <v>5595.76</v>
      </c>
      <c r="D158" s="10">
        <f t="shared" si="2"/>
        <v>7.4953232999588337E-3</v>
      </c>
      <c r="H158" s="77">
        <v>45547</v>
      </c>
      <c r="I158" s="1">
        <v>78.688100000000006</v>
      </c>
      <c r="J158" s="10">
        <f t="shared" si="3"/>
        <v>-1.4138662884662923E-2</v>
      </c>
      <c r="L158" s="77"/>
      <c r="M158" s="30"/>
    </row>
    <row r="159" spans="2:13" x14ac:dyDescent="0.2">
      <c r="B159" s="77">
        <v>45548</v>
      </c>
      <c r="C159" s="30">
        <v>5626.02</v>
      </c>
      <c r="D159" s="10">
        <f t="shared" si="2"/>
        <v>5.4076658041088965E-3</v>
      </c>
      <c r="H159" s="77">
        <v>45548</v>
      </c>
      <c r="I159" s="1">
        <v>77.302199999999999</v>
      </c>
      <c r="J159" s="10">
        <f t="shared" si="3"/>
        <v>-1.7612574201181674E-2</v>
      </c>
      <c r="L159" s="77"/>
      <c r="M159" s="30"/>
    </row>
    <row r="160" spans="2:13" x14ac:dyDescent="0.2">
      <c r="B160" s="77">
        <v>45551</v>
      </c>
      <c r="C160" s="30">
        <v>5633.09</v>
      </c>
      <c r="D160" s="10">
        <f t="shared" si="2"/>
        <v>1.2566610143582846E-3</v>
      </c>
      <c r="H160" s="77">
        <v>45551</v>
      </c>
      <c r="I160" s="1">
        <v>77.609099999999998</v>
      </c>
      <c r="J160" s="10">
        <f t="shared" si="3"/>
        <v>3.9701328034649208E-3</v>
      </c>
      <c r="L160" s="77"/>
      <c r="M160" s="30"/>
    </row>
    <row r="161" spans="2:13" x14ac:dyDescent="0.2">
      <c r="B161" s="77">
        <v>45552</v>
      </c>
      <c r="C161" s="30">
        <v>5634.58</v>
      </c>
      <c r="D161" s="10">
        <f t="shared" si="2"/>
        <v>2.6450846693371055E-4</v>
      </c>
      <c r="H161" s="77">
        <v>45552</v>
      </c>
      <c r="I161" s="1">
        <v>77.609099999999998</v>
      </c>
      <c r="J161" s="10">
        <f t="shared" si="3"/>
        <v>0</v>
      </c>
      <c r="L161" s="77"/>
      <c r="M161" s="30"/>
    </row>
    <row r="162" spans="2:13" x14ac:dyDescent="0.2">
      <c r="B162" s="77">
        <v>45553</v>
      </c>
      <c r="C162" s="30">
        <v>5618.26</v>
      </c>
      <c r="D162" s="10">
        <f t="shared" si="2"/>
        <v>-2.8964004415590328E-3</v>
      </c>
      <c r="H162" s="77">
        <v>45553</v>
      </c>
      <c r="I162" s="1">
        <v>78.212900000000005</v>
      </c>
      <c r="J162" s="10">
        <f t="shared" si="3"/>
        <v>7.7800154878746586E-3</v>
      </c>
      <c r="L162" s="77"/>
    </row>
    <row r="163" spans="2:13" x14ac:dyDescent="0.2">
      <c r="B163" s="77">
        <v>45554</v>
      </c>
      <c r="C163" s="30">
        <v>5713.64</v>
      </c>
      <c r="D163" s="10">
        <f t="shared" si="2"/>
        <v>1.6976786407179478E-2</v>
      </c>
      <c r="H163" s="77">
        <v>45554</v>
      </c>
      <c r="I163" s="1">
        <v>78.994900000000001</v>
      </c>
      <c r="J163" s="10">
        <f t="shared" si="3"/>
        <v>9.9983506557101975E-3</v>
      </c>
      <c r="L163" s="77"/>
      <c r="M163" s="30"/>
    </row>
    <row r="164" spans="2:13" x14ac:dyDescent="0.2">
      <c r="B164" s="77">
        <v>45555</v>
      </c>
      <c r="C164" s="30">
        <v>5702.55</v>
      </c>
      <c r="D164" s="10">
        <f t="shared" si="2"/>
        <v>-1.9409693295342478E-3</v>
      </c>
      <c r="H164" s="77">
        <v>45555</v>
      </c>
      <c r="I164" s="1">
        <v>79.826499999999996</v>
      </c>
      <c r="J164" s="10">
        <f t="shared" si="3"/>
        <v>1.0527261886526862E-2</v>
      </c>
      <c r="L164" s="77"/>
      <c r="M164" s="30"/>
    </row>
    <row r="165" spans="2:13" x14ac:dyDescent="0.2">
      <c r="B165" s="77">
        <v>45558</v>
      </c>
      <c r="C165" s="30">
        <v>5718.57</v>
      </c>
      <c r="D165" s="10">
        <f t="shared" si="2"/>
        <v>2.8092695373120868E-3</v>
      </c>
      <c r="H165" s="77">
        <v>45558</v>
      </c>
      <c r="I165" s="1">
        <v>80.083799999999997</v>
      </c>
      <c r="J165" s="10">
        <f t="shared" si="3"/>
        <v>3.2232404026231176E-3</v>
      </c>
      <c r="L165" s="77"/>
      <c r="M165" s="30"/>
    </row>
    <row r="166" spans="2:13" x14ac:dyDescent="0.2">
      <c r="B166" s="77">
        <v>45559</v>
      </c>
      <c r="C166" s="30">
        <v>5732.93</v>
      </c>
      <c r="D166" s="10">
        <f t="shared" si="2"/>
        <v>2.5111172898120149E-3</v>
      </c>
      <c r="H166" s="77">
        <v>45559</v>
      </c>
      <c r="I166" s="1">
        <v>80.162999999999997</v>
      </c>
      <c r="J166" s="10">
        <f t="shared" si="3"/>
        <v>9.8896406014703508E-4</v>
      </c>
      <c r="L166" s="77"/>
      <c r="M166" s="30"/>
    </row>
    <row r="167" spans="2:13" x14ac:dyDescent="0.2">
      <c r="B167" s="77">
        <v>45560</v>
      </c>
      <c r="C167" s="30">
        <v>5722.26</v>
      </c>
      <c r="D167" s="10">
        <f t="shared" si="2"/>
        <v>-1.8611774432969463E-3</v>
      </c>
      <c r="H167" s="77">
        <v>45560</v>
      </c>
      <c r="I167" s="1">
        <v>85.647199999999998</v>
      </c>
      <c r="J167" s="10">
        <f t="shared" si="3"/>
        <v>6.8413108291855318E-2</v>
      </c>
      <c r="L167" s="77"/>
      <c r="M167" s="30"/>
    </row>
    <row r="168" spans="2:13" x14ac:dyDescent="0.2">
      <c r="B168" s="77">
        <v>45561</v>
      </c>
      <c r="C168" s="30">
        <v>5745.37</v>
      </c>
      <c r="D168" s="10">
        <f t="shared" si="2"/>
        <v>4.0386141140038578E-3</v>
      </c>
      <c r="H168" s="77">
        <v>45561</v>
      </c>
      <c r="I168" s="1">
        <v>85.330399999999997</v>
      </c>
      <c r="J168" s="10">
        <f t="shared" si="3"/>
        <v>-3.6988950018214117E-3</v>
      </c>
      <c r="L168" s="77"/>
      <c r="M168" s="30"/>
    </row>
    <row r="169" spans="2:13" x14ac:dyDescent="0.2">
      <c r="B169" s="77">
        <v>45562</v>
      </c>
      <c r="C169" s="30">
        <v>5738.17</v>
      </c>
      <c r="D169" s="10">
        <f t="shared" si="2"/>
        <v>-1.2531829977877607E-3</v>
      </c>
      <c r="H169" s="77">
        <v>45562</v>
      </c>
      <c r="I169" s="1">
        <v>86.577699999999993</v>
      </c>
      <c r="J169" s="10">
        <f t="shared" si="3"/>
        <v>1.4617299344664936E-2</v>
      </c>
      <c r="L169" s="77"/>
      <c r="M169" s="30"/>
    </row>
    <row r="170" spans="2:13" x14ac:dyDescent="0.2">
      <c r="B170" s="77">
        <v>45565</v>
      </c>
      <c r="C170" s="30">
        <v>5762.48</v>
      </c>
      <c r="D170" s="10">
        <f t="shared" si="2"/>
        <v>4.2365423122701085E-3</v>
      </c>
      <c r="H170" s="77">
        <v>45565</v>
      </c>
      <c r="I170" s="1">
        <v>87.112200000000001</v>
      </c>
      <c r="J170" s="10">
        <f t="shared" si="3"/>
        <v>6.1736451765292966E-3</v>
      </c>
      <c r="L170" s="77"/>
      <c r="M170" s="30"/>
    </row>
    <row r="171" spans="2:13" x14ac:dyDescent="0.2">
      <c r="B171" s="77">
        <v>45566</v>
      </c>
      <c r="C171" s="30">
        <v>5708.75</v>
      </c>
      <c r="D171" s="10">
        <f t="shared" si="2"/>
        <v>-9.3241104524439677E-3</v>
      </c>
      <c r="H171" s="77">
        <v>45566</v>
      </c>
      <c r="I171" s="1">
        <v>88.488200000000006</v>
      </c>
      <c r="J171" s="10">
        <f t="shared" si="3"/>
        <v>1.5795720920835477E-2</v>
      </c>
      <c r="L171" s="77"/>
      <c r="M171" s="30"/>
    </row>
    <row r="172" spans="2:13" x14ac:dyDescent="0.2">
      <c r="B172" s="77">
        <v>45567</v>
      </c>
      <c r="C172" s="30">
        <v>5709.54</v>
      </c>
      <c r="D172" s="10">
        <f t="shared" si="2"/>
        <v>1.3838405955768351E-4</v>
      </c>
      <c r="H172" s="77">
        <v>45567</v>
      </c>
      <c r="I172" s="1">
        <v>88.537700000000001</v>
      </c>
      <c r="J172" s="10">
        <f t="shared" si="3"/>
        <v>5.5939662011428304E-4</v>
      </c>
      <c r="L172" s="77"/>
      <c r="M172" s="30"/>
    </row>
    <row r="173" spans="2:13" x14ac:dyDescent="0.2">
      <c r="B173" s="77">
        <v>45568</v>
      </c>
      <c r="C173" s="30">
        <v>5699.94</v>
      </c>
      <c r="D173" s="10">
        <f t="shared" si="2"/>
        <v>-1.681396399709989E-3</v>
      </c>
      <c r="H173" s="77">
        <v>45568</v>
      </c>
      <c r="I173" s="1">
        <v>87.508200000000002</v>
      </c>
      <c r="J173" s="10">
        <f t="shared" si="3"/>
        <v>-1.1627815043760981E-2</v>
      </c>
      <c r="L173" s="77"/>
      <c r="M173" s="30"/>
    </row>
    <row r="174" spans="2:13" x14ac:dyDescent="0.2">
      <c r="B174" s="77">
        <v>45569</v>
      </c>
      <c r="C174" s="30">
        <v>5751.07</v>
      </c>
      <c r="D174" s="10">
        <f t="shared" si="2"/>
        <v>8.9702698624898325E-3</v>
      </c>
      <c r="H174" s="77">
        <v>45569</v>
      </c>
      <c r="I174" s="1">
        <v>88.230800000000002</v>
      </c>
      <c r="J174" s="10">
        <f t="shared" si="3"/>
        <v>8.2575118674592662E-3</v>
      </c>
      <c r="L174" s="77"/>
      <c r="M174" s="30"/>
    </row>
    <row r="175" spans="2:13" x14ac:dyDescent="0.2">
      <c r="B175" s="77">
        <v>45572</v>
      </c>
      <c r="C175" s="30">
        <v>5695.94</v>
      </c>
      <c r="D175" s="10">
        <f t="shared" si="2"/>
        <v>-9.5860422495291919E-3</v>
      </c>
      <c r="H175" s="77">
        <v>45572</v>
      </c>
      <c r="I175" s="1">
        <v>82.261700000000005</v>
      </c>
      <c r="J175" s="10">
        <f t="shared" si="3"/>
        <v>-6.7653245805319617E-2</v>
      </c>
      <c r="L175" s="77"/>
      <c r="M175" s="30"/>
    </row>
    <row r="176" spans="2:13" x14ac:dyDescent="0.2">
      <c r="B176" s="77">
        <v>45573</v>
      </c>
      <c r="C176" s="30">
        <v>5751.13</v>
      </c>
      <c r="D176" s="10">
        <f t="shared" si="2"/>
        <v>9.68935768284096E-3</v>
      </c>
      <c r="H176" s="77">
        <v>45573</v>
      </c>
      <c r="I176" s="1">
        <v>81.271699999999996</v>
      </c>
      <c r="J176" s="10">
        <f t="shared" si="3"/>
        <v>-1.203476222835187E-2</v>
      </c>
      <c r="L176" s="77"/>
      <c r="M176" s="30"/>
    </row>
    <row r="177" spans="2:13" x14ac:dyDescent="0.2">
      <c r="B177" s="77">
        <v>45574</v>
      </c>
      <c r="C177" s="30">
        <v>5792.04</v>
      </c>
      <c r="D177" s="10">
        <f t="shared" si="2"/>
        <v>7.1133846739683815E-3</v>
      </c>
      <c r="H177" s="77">
        <v>45574</v>
      </c>
      <c r="I177" s="1">
        <v>81.420199999999994</v>
      </c>
      <c r="J177" s="10">
        <f t="shared" si="3"/>
        <v>1.8272043035889585E-3</v>
      </c>
      <c r="L177" s="77"/>
      <c r="M177" s="30"/>
    </row>
    <row r="178" spans="2:13" x14ac:dyDescent="0.2">
      <c r="B178" s="77">
        <v>45575</v>
      </c>
      <c r="C178" s="30">
        <v>5780.05</v>
      </c>
      <c r="D178" s="10">
        <f t="shared" si="2"/>
        <v>-2.0700823889336917E-3</v>
      </c>
      <c r="H178" s="77">
        <v>45575</v>
      </c>
      <c r="I178" s="1">
        <v>80.014600000000002</v>
      </c>
      <c r="J178" s="10">
        <f t="shared" si="3"/>
        <v>-1.7263529197913963E-2</v>
      </c>
      <c r="L178" s="77"/>
      <c r="M178" s="30"/>
    </row>
    <row r="179" spans="2:13" x14ac:dyDescent="0.2">
      <c r="B179" s="77">
        <v>45576</v>
      </c>
      <c r="C179" s="30">
        <v>5815.03</v>
      </c>
      <c r="D179" s="10">
        <f t="shared" si="2"/>
        <v>6.0518507625366702E-3</v>
      </c>
      <c r="H179" s="77">
        <v>45576</v>
      </c>
      <c r="I179" s="1">
        <v>79.955200000000005</v>
      </c>
      <c r="J179" s="10">
        <f t="shared" si="3"/>
        <v>-7.423645184753136E-4</v>
      </c>
      <c r="L179" s="77"/>
      <c r="M179" s="30"/>
    </row>
    <row r="180" spans="2:13" x14ac:dyDescent="0.2">
      <c r="B180" s="77">
        <v>45579</v>
      </c>
      <c r="C180" s="30">
        <v>5859.85</v>
      </c>
      <c r="D180" s="10">
        <f t="shared" ref="D180:D243" si="4">+C180/C179-1</f>
        <v>7.7076128584032677E-3</v>
      </c>
      <c r="H180" s="77">
        <v>45579</v>
      </c>
      <c r="I180" s="1">
        <v>81.618200000000002</v>
      </c>
      <c r="J180" s="10">
        <f t="shared" ref="J180:J243" si="5">+I180/I179-1</f>
        <v>2.0799147522612582E-2</v>
      </c>
      <c r="L180" s="77"/>
      <c r="M180" s="30"/>
    </row>
    <row r="181" spans="2:13" x14ac:dyDescent="0.2">
      <c r="B181" s="77">
        <v>45580</v>
      </c>
      <c r="C181" s="30">
        <v>5815.26</v>
      </c>
      <c r="D181" s="10">
        <f t="shared" si="4"/>
        <v>-7.6094097971791674E-3</v>
      </c>
      <c r="H181" s="77">
        <v>45580</v>
      </c>
      <c r="I181" s="1">
        <v>81.271699999999996</v>
      </c>
      <c r="J181" s="10">
        <f t="shared" si="5"/>
        <v>-4.2453766439348728E-3</v>
      </c>
      <c r="L181" s="77"/>
      <c r="M181" s="30"/>
    </row>
    <row r="182" spans="2:13" x14ac:dyDescent="0.2">
      <c r="B182" s="77">
        <v>45581</v>
      </c>
      <c r="C182" s="30">
        <v>5842.47</v>
      </c>
      <c r="D182" s="10">
        <f t="shared" si="4"/>
        <v>4.6790685197222182E-3</v>
      </c>
      <c r="H182" s="77">
        <v>45581</v>
      </c>
      <c r="I182" s="1">
        <v>81.321200000000005</v>
      </c>
      <c r="J182" s="10">
        <f t="shared" si="5"/>
        <v>6.0906810119654153E-4</v>
      </c>
      <c r="L182" s="77"/>
      <c r="M182" s="30"/>
    </row>
    <row r="183" spans="2:13" x14ac:dyDescent="0.2">
      <c r="B183" s="77">
        <v>45582</v>
      </c>
      <c r="C183" s="30">
        <v>5841.47</v>
      </c>
      <c r="D183" s="10">
        <f t="shared" si="4"/>
        <v>-1.7116048520571248E-4</v>
      </c>
      <c r="H183" s="77">
        <v>45582</v>
      </c>
      <c r="I183" s="1">
        <v>80.776799999999994</v>
      </c>
      <c r="J183" s="10">
        <f t="shared" si="5"/>
        <v>-6.6944413018992233E-3</v>
      </c>
      <c r="L183" s="77"/>
      <c r="M183" s="30"/>
    </row>
    <row r="184" spans="2:13" x14ac:dyDescent="0.2">
      <c r="B184" s="77">
        <v>45583</v>
      </c>
      <c r="C184" s="30">
        <v>5864.67</v>
      </c>
      <c r="D184" s="10">
        <f t="shared" si="4"/>
        <v>3.9716030382763723E-3</v>
      </c>
      <c r="H184" s="77">
        <v>45583</v>
      </c>
      <c r="I184" s="1">
        <v>81.291499999999999</v>
      </c>
      <c r="J184" s="10">
        <f t="shared" si="5"/>
        <v>6.3718790543820791E-3</v>
      </c>
      <c r="L184" s="77"/>
      <c r="M184" s="30"/>
    </row>
    <row r="185" spans="2:13" x14ac:dyDescent="0.2">
      <c r="B185" s="77">
        <v>45586</v>
      </c>
      <c r="C185" s="30">
        <v>5853.98</v>
      </c>
      <c r="D185" s="10">
        <f t="shared" si="4"/>
        <v>-1.8227794573267841E-3</v>
      </c>
      <c r="H185" s="77">
        <v>45586</v>
      </c>
      <c r="I185" s="1">
        <v>83.093199999999996</v>
      </c>
      <c r="J185" s="10">
        <f t="shared" si="5"/>
        <v>2.2163448823062648E-2</v>
      </c>
      <c r="L185" s="77"/>
      <c r="M185" s="30"/>
    </row>
    <row r="186" spans="2:13" x14ac:dyDescent="0.2">
      <c r="B186" s="77">
        <v>45587</v>
      </c>
      <c r="C186" s="30">
        <v>5851.2</v>
      </c>
      <c r="D186" s="10">
        <f t="shared" si="4"/>
        <v>-4.7489058725858069E-4</v>
      </c>
      <c r="H186" s="77">
        <v>45587</v>
      </c>
      <c r="I186" s="1">
        <v>82.558599999999998</v>
      </c>
      <c r="J186" s="10">
        <f t="shared" si="5"/>
        <v>-6.4337394636383438E-3</v>
      </c>
      <c r="L186" s="77"/>
      <c r="M186" s="30"/>
    </row>
    <row r="187" spans="2:13" x14ac:dyDescent="0.2">
      <c r="B187" s="77">
        <v>45588</v>
      </c>
      <c r="C187" s="30">
        <v>5797.42</v>
      </c>
      <c r="D187" s="10">
        <f t="shared" si="4"/>
        <v>-9.1912770030079249E-3</v>
      </c>
      <c r="H187" s="77">
        <v>45588</v>
      </c>
      <c r="I187" s="1">
        <v>82.083500000000001</v>
      </c>
      <c r="J187" s="10">
        <f t="shared" si="5"/>
        <v>-5.7547002977278439E-3</v>
      </c>
      <c r="L187" s="77"/>
      <c r="M187" s="30"/>
    </row>
    <row r="188" spans="2:13" x14ac:dyDescent="0.2">
      <c r="B188" s="77">
        <v>45589</v>
      </c>
      <c r="C188" s="30">
        <v>5809.86</v>
      </c>
      <c r="D188" s="10">
        <f t="shared" si="4"/>
        <v>2.1457820892740731E-3</v>
      </c>
      <c r="H188" s="77">
        <v>45589</v>
      </c>
      <c r="I188" s="1">
        <v>80.658000000000001</v>
      </c>
      <c r="J188" s="10">
        <f t="shared" si="5"/>
        <v>-1.736646220007676E-2</v>
      </c>
      <c r="L188" s="77"/>
      <c r="M188" s="30"/>
    </row>
    <row r="189" spans="2:13" x14ac:dyDescent="0.2">
      <c r="B189" s="77">
        <v>45590</v>
      </c>
      <c r="C189" s="30">
        <v>5808.12</v>
      </c>
      <c r="D189" s="10">
        <f t="shared" si="4"/>
        <v>-2.994908655286066E-4</v>
      </c>
      <c r="H189" s="77">
        <v>45590</v>
      </c>
      <c r="I189" s="1">
        <v>80.598600000000005</v>
      </c>
      <c r="J189" s="10">
        <f t="shared" si="5"/>
        <v>-7.3644275831286077E-4</v>
      </c>
      <c r="L189" s="77"/>
      <c r="M189" s="30"/>
    </row>
    <row r="190" spans="2:13" x14ac:dyDescent="0.2">
      <c r="B190" s="77">
        <v>45593</v>
      </c>
      <c r="C190" s="30">
        <v>5823.52</v>
      </c>
      <c r="D190" s="10">
        <f t="shared" si="4"/>
        <v>2.6514603692762151E-3</v>
      </c>
      <c r="H190" s="77">
        <v>45593</v>
      </c>
      <c r="I190" s="1">
        <v>79.242400000000004</v>
      </c>
      <c r="J190" s="10">
        <f t="shared" si="5"/>
        <v>-1.6826595002890854E-2</v>
      </c>
      <c r="L190" s="77"/>
      <c r="M190" s="30"/>
    </row>
    <row r="191" spans="2:13" x14ac:dyDescent="0.2">
      <c r="B191" s="77">
        <v>45594</v>
      </c>
      <c r="C191" s="30">
        <v>5832.92</v>
      </c>
      <c r="D191" s="10">
        <f t="shared" si="4"/>
        <v>1.6141440228589765E-3</v>
      </c>
      <c r="H191" s="77">
        <v>45594</v>
      </c>
      <c r="I191" s="1">
        <v>78.242599999999996</v>
      </c>
      <c r="J191" s="10">
        <f t="shared" si="5"/>
        <v>-1.2616982827375334E-2</v>
      </c>
      <c r="L191" s="77"/>
      <c r="M191" s="30"/>
    </row>
    <row r="192" spans="2:13" x14ac:dyDescent="0.2">
      <c r="B192" s="77">
        <v>45595</v>
      </c>
      <c r="C192" s="30">
        <v>5813.67</v>
      </c>
      <c r="D192" s="10">
        <f t="shared" si="4"/>
        <v>-3.3002338451409985E-3</v>
      </c>
      <c r="H192" s="77">
        <v>45595</v>
      </c>
      <c r="I192" s="1">
        <v>78.054500000000004</v>
      </c>
      <c r="J192" s="10">
        <f t="shared" si="5"/>
        <v>-2.4040612147345763E-3</v>
      </c>
      <c r="L192" s="77"/>
      <c r="M192" s="30"/>
    </row>
    <row r="193" spans="2:13" x14ac:dyDescent="0.2">
      <c r="B193" s="77">
        <v>45596</v>
      </c>
      <c r="C193" s="30">
        <v>5705.45</v>
      </c>
      <c r="D193" s="10">
        <f t="shared" si="4"/>
        <v>-1.8614747655095742E-2</v>
      </c>
      <c r="H193" s="77">
        <v>45596</v>
      </c>
      <c r="I193" s="1">
        <v>78.113900000000001</v>
      </c>
      <c r="J193" s="10">
        <f t="shared" si="5"/>
        <v>7.6100673247525563E-4</v>
      </c>
      <c r="L193" s="77"/>
      <c r="M193" s="30"/>
    </row>
    <row r="194" spans="2:13" x14ac:dyDescent="0.2">
      <c r="B194" s="77">
        <v>45597</v>
      </c>
      <c r="C194" s="30">
        <v>5728.8</v>
      </c>
      <c r="D194" s="10">
        <f t="shared" si="4"/>
        <v>4.0925781489629109E-3</v>
      </c>
      <c r="H194" s="77">
        <v>45597</v>
      </c>
      <c r="I194" s="1">
        <v>77.609099999999998</v>
      </c>
      <c r="J194" s="10">
        <f t="shared" si="5"/>
        <v>-6.4623581718491474E-3</v>
      </c>
      <c r="L194" s="77"/>
      <c r="M194" s="30"/>
    </row>
    <row r="195" spans="2:13" x14ac:dyDescent="0.2">
      <c r="B195" s="77">
        <v>45600</v>
      </c>
      <c r="C195" s="30">
        <v>5712.69</v>
      </c>
      <c r="D195" s="10">
        <f t="shared" si="4"/>
        <v>-2.8121072475911779E-3</v>
      </c>
      <c r="H195" s="77">
        <v>45600</v>
      </c>
      <c r="I195" s="1">
        <v>75.678700000000006</v>
      </c>
      <c r="J195" s="10">
        <f t="shared" si="5"/>
        <v>-2.4873371808202815E-2</v>
      </c>
      <c r="L195" s="77"/>
      <c r="M195" s="30"/>
    </row>
    <row r="196" spans="2:13" x14ac:dyDescent="0.2">
      <c r="B196" s="77">
        <v>45601</v>
      </c>
      <c r="C196" s="30">
        <v>5782.76</v>
      </c>
      <c r="D196" s="10">
        <f t="shared" si="4"/>
        <v>1.2265675189796932E-2</v>
      </c>
      <c r="H196" s="77">
        <v>45601</v>
      </c>
      <c r="I196" s="1">
        <v>76.351900000000001</v>
      </c>
      <c r="J196" s="10">
        <f t="shared" si="5"/>
        <v>8.8955016404879128E-3</v>
      </c>
      <c r="L196" s="77"/>
      <c r="M196" s="30"/>
    </row>
    <row r="197" spans="2:13" x14ac:dyDescent="0.2">
      <c r="B197" s="77">
        <v>45602</v>
      </c>
      <c r="C197" s="30">
        <v>5929.04</v>
      </c>
      <c r="D197" s="10">
        <f t="shared" si="4"/>
        <v>2.5295879476236127E-2</v>
      </c>
      <c r="H197" s="77">
        <v>45602</v>
      </c>
      <c r="I197" s="1">
        <v>77.272499999999994</v>
      </c>
      <c r="J197" s="10">
        <f t="shared" si="5"/>
        <v>1.2057329287155749E-2</v>
      </c>
      <c r="L197" s="77"/>
      <c r="M197" s="30"/>
    </row>
    <row r="198" spans="2:13" x14ac:dyDescent="0.2">
      <c r="B198" s="77">
        <v>45603</v>
      </c>
      <c r="C198" s="30">
        <v>5973.1</v>
      </c>
      <c r="D198" s="10">
        <f t="shared" si="4"/>
        <v>7.4312198939459062E-3</v>
      </c>
      <c r="H198" s="77">
        <v>45603</v>
      </c>
      <c r="I198" s="1">
        <v>76.411299999999997</v>
      </c>
      <c r="J198" s="10">
        <f t="shared" si="5"/>
        <v>-1.1144973955805715E-2</v>
      </c>
      <c r="L198" s="77"/>
      <c r="M198" s="30"/>
    </row>
    <row r="199" spans="2:13" x14ac:dyDescent="0.2">
      <c r="B199" s="77">
        <v>45604</v>
      </c>
      <c r="C199" s="30">
        <v>5995.54</v>
      </c>
      <c r="D199" s="10">
        <f t="shared" si="4"/>
        <v>3.7568431802581514E-3</v>
      </c>
      <c r="H199" s="77">
        <v>45604</v>
      </c>
      <c r="I199" s="1">
        <v>77.193299999999994</v>
      </c>
      <c r="J199" s="10">
        <f t="shared" si="5"/>
        <v>1.023408841362472E-2</v>
      </c>
      <c r="L199" s="77"/>
      <c r="M199" s="30"/>
    </row>
    <row r="200" spans="2:13" x14ac:dyDescent="0.2">
      <c r="B200" s="77">
        <v>45607</v>
      </c>
      <c r="C200" s="30">
        <v>6001.35</v>
      </c>
      <c r="D200" s="10">
        <f t="shared" si="4"/>
        <v>9.6905366322297404E-4</v>
      </c>
      <c r="H200" s="77">
        <v>45607</v>
      </c>
      <c r="I200" s="1">
        <v>74.560100000000006</v>
      </c>
      <c r="J200" s="10">
        <f t="shared" si="5"/>
        <v>-3.4111768767496553E-2</v>
      </c>
      <c r="L200" s="77"/>
      <c r="M200" s="30"/>
    </row>
    <row r="201" spans="2:13" x14ac:dyDescent="0.2">
      <c r="B201" s="77">
        <v>45608</v>
      </c>
      <c r="C201" s="30">
        <v>5983.99</v>
      </c>
      <c r="D201" s="10">
        <f t="shared" si="4"/>
        <v>-2.8926824797754769E-3</v>
      </c>
      <c r="H201" s="77">
        <v>45608</v>
      </c>
      <c r="I201" s="1">
        <v>75.1541</v>
      </c>
      <c r="J201" s="10">
        <f t="shared" si="5"/>
        <v>7.9667275124362114E-3</v>
      </c>
      <c r="L201" s="77"/>
      <c r="M201" s="30"/>
    </row>
    <row r="202" spans="2:13" x14ac:dyDescent="0.2">
      <c r="B202" s="77">
        <v>45609</v>
      </c>
      <c r="C202" s="30">
        <v>5985.38</v>
      </c>
      <c r="D202" s="10">
        <f t="shared" si="4"/>
        <v>2.3228648443596178E-4</v>
      </c>
      <c r="H202" s="77">
        <v>45609</v>
      </c>
      <c r="I202" s="1">
        <v>75.114500000000007</v>
      </c>
      <c r="J202" s="10">
        <f t="shared" si="5"/>
        <v>-5.2691736046328597E-4</v>
      </c>
      <c r="L202" s="77"/>
      <c r="M202" s="30"/>
    </row>
    <row r="203" spans="2:13" x14ac:dyDescent="0.2">
      <c r="B203" s="77">
        <v>45610</v>
      </c>
      <c r="C203" s="30">
        <v>5949.17</v>
      </c>
      <c r="D203" s="10">
        <f t="shared" si="4"/>
        <v>-6.0497412027306074E-3</v>
      </c>
      <c r="H203" s="77">
        <v>45610</v>
      </c>
      <c r="I203" s="1">
        <v>75.827200000000005</v>
      </c>
      <c r="J203" s="10">
        <f t="shared" si="5"/>
        <v>9.4881813764320366E-3</v>
      </c>
      <c r="L203" s="77"/>
      <c r="M203" s="30"/>
    </row>
    <row r="204" spans="2:13" x14ac:dyDescent="0.2">
      <c r="B204" s="77">
        <v>45611</v>
      </c>
      <c r="C204" s="30">
        <v>5870.62</v>
      </c>
      <c r="D204" s="10">
        <f t="shared" si="4"/>
        <v>-1.3203522508181798E-2</v>
      </c>
      <c r="H204" s="77">
        <v>45611</v>
      </c>
      <c r="I204" s="1">
        <v>75.886600000000001</v>
      </c>
      <c r="J204" s="10">
        <f t="shared" si="5"/>
        <v>7.8336006076962228E-4</v>
      </c>
      <c r="L204" s="77"/>
      <c r="M204" s="30"/>
    </row>
    <row r="205" spans="2:13" x14ac:dyDescent="0.2">
      <c r="B205" s="77">
        <v>45614</v>
      </c>
      <c r="C205" s="30">
        <v>5893.62</v>
      </c>
      <c r="D205" s="10">
        <f t="shared" si="4"/>
        <v>3.9178144727474162E-3</v>
      </c>
      <c r="H205" s="77">
        <v>45614</v>
      </c>
      <c r="I205" s="1">
        <v>75.748000000000005</v>
      </c>
      <c r="J205" s="10">
        <f t="shared" si="5"/>
        <v>-1.826409405613072E-3</v>
      </c>
      <c r="L205" s="77"/>
      <c r="M205" s="30"/>
    </row>
    <row r="206" spans="2:13" x14ac:dyDescent="0.2">
      <c r="B206" s="77">
        <v>45615</v>
      </c>
      <c r="C206" s="30">
        <v>5916.98</v>
      </c>
      <c r="D206" s="10">
        <f t="shared" si="4"/>
        <v>3.9636081050355987E-3</v>
      </c>
      <c r="H206" s="77">
        <v>45615</v>
      </c>
      <c r="I206" s="1">
        <v>74.916499999999999</v>
      </c>
      <c r="J206" s="10">
        <f t="shared" si="5"/>
        <v>-1.0977187516502118E-2</v>
      </c>
      <c r="L206" s="77"/>
      <c r="M206" s="30"/>
    </row>
    <row r="207" spans="2:13" x14ac:dyDescent="0.2">
      <c r="B207" s="77">
        <v>45616</v>
      </c>
      <c r="C207" s="30">
        <v>5917.11</v>
      </c>
      <c r="D207" s="10">
        <f t="shared" si="4"/>
        <v>2.1970667468895755E-5</v>
      </c>
      <c r="H207" s="77">
        <v>45616</v>
      </c>
      <c r="I207" s="1">
        <v>75.886600000000001</v>
      </c>
      <c r="J207" s="10">
        <f t="shared" si="5"/>
        <v>1.2949083312754794E-2</v>
      </c>
      <c r="L207" s="77"/>
      <c r="M207" s="30"/>
    </row>
    <row r="208" spans="2:13" x14ac:dyDescent="0.2">
      <c r="B208" s="77">
        <v>45617</v>
      </c>
      <c r="C208" s="30">
        <v>5948.71</v>
      </c>
      <c r="D208" s="10">
        <f t="shared" si="4"/>
        <v>5.3404449131417842E-3</v>
      </c>
      <c r="H208" s="77">
        <v>45617</v>
      </c>
      <c r="I208" s="1">
        <v>74.134500000000003</v>
      </c>
      <c r="J208" s="10">
        <f t="shared" si="5"/>
        <v>-2.3088397688129425E-2</v>
      </c>
      <c r="L208" s="77"/>
      <c r="M208" s="30"/>
    </row>
    <row r="209" spans="2:13" x14ac:dyDescent="0.2">
      <c r="B209" s="77">
        <v>45618</v>
      </c>
      <c r="C209" s="30">
        <v>5969.34</v>
      </c>
      <c r="D209" s="10">
        <f t="shared" si="4"/>
        <v>3.4679787718681077E-3</v>
      </c>
      <c r="H209" s="77">
        <v>45618</v>
      </c>
      <c r="I209" s="1">
        <v>73.164400000000001</v>
      </c>
      <c r="J209" s="10">
        <f t="shared" si="5"/>
        <v>-1.3085675360324789E-2</v>
      </c>
      <c r="L209" s="77"/>
      <c r="M209" s="30"/>
    </row>
    <row r="210" spans="2:13" x14ac:dyDescent="0.2">
      <c r="B210" s="77">
        <v>45621</v>
      </c>
      <c r="C210" s="30">
        <v>5987.37</v>
      </c>
      <c r="D210" s="10">
        <f t="shared" si="4"/>
        <v>3.0204344198856425E-3</v>
      </c>
      <c r="H210" s="77">
        <v>45621</v>
      </c>
      <c r="I210" s="1">
        <v>72.619900000000001</v>
      </c>
      <c r="J210" s="10">
        <f t="shared" si="5"/>
        <v>-7.4421439935269396E-3</v>
      </c>
      <c r="L210" s="77"/>
      <c r="M210" s="30"/>
    </row>
    <row r="211" spans="2:13" x14ac:dyDescent="0.2">
      <c r="B211" s="77">
        <v>45622</v>
      </c>
      <c r="C211" s="30">
        <v>6021.63</v>
      </c>
      <c r="D211" s="10">
        <f t="shared" si="4"/>
        <v>5.722044904524104E-3</v>
      </c>
      <c r="H211" s="77">
        <v>45622</v>
      </c>
      <c r="I211" s="1">
        <v>74.342399999999998</v>
      </c>
      <c r="J211" s="10">
        <f t="shared" si="5"/>
        <v>2.371939371990317E-2</v>
      </c>
      <c r="L211" s="77"/>
      <c r="M211" s="30"/>
    </row>
    <row r="212" spans="2:13" x14ac:dyDescent="0.2">
      <c r="B212" s="77">
        <v>45623</v>
      </c>
      <c r="C212" s="30">
        <v>5998.74</v>
      </c>
      <c r="D212" s="10">
        <f t="shared" si="4"/>
        <v>-3.8012963267421984E-3</v>
      </c>
      <c r="H212" s="77">
        <v>45623</v>
      </c>
      <c r="I212" s="1">
        <v>76.619200000000006</v>
      </c>
      <c r="J212" s="10">
        <f t="shared" si="5"/>
        <v>3.0625860881542843E-2</v>
      </c>
      <c r="L212" s="77"/>
      <c r="M212" s="30"/>
    </row>
    <row r="213" spans="2:13" x14ac:dyDescent="0.2">
      <c r="B213" s="77">
        <v>45624</v>
      </c>
      <c r="C213" s="30">
        <v>5998.74</v>
      </c>
      <c r="D213" s="10">
        <f t="shared" si="4"/>
        <v>0</v>
      </c>
      <c r="H213" s="77">
        <v>45624</v>
      </c>
      <c r="I213" s="1">
        <v>78.460400000000007</v>
      </c>
      <c r="J213" s="10">
        <f t="shared" si="5"/>
        <v>2.4030530206527789E-2</v>
      </c>
      <c r="L213" s="77"/>
      <c r="M213" s="30"/>
    </row>
    <row r="214" spans="2:13" x14ac:dyDescent="0.2">
      <c r="B214" s="77">
        <v>45625</v>
      </c>
      <c r="C214" s="30">
        <v>6032.38</v>
      </c>
      <c r="D214" s="10">
        <f>+C214/C213-1</f>
        <v>5.6078443139726541E-3</v>
      </c>
      <c r="H214" s="77">
        <v>45625</v>
      </c>
      <c r="I214" s="1">
        <v>76.826999999999998</v>
      </c>
      <c r="J214" s="10">
        <f>+I214/I213-1</f>
        <v>-2.0818145204459904E-2</v>
      </c>
      <c r="L214" s="77"/>
      <c r="M214" s="30"/>
    </row>
    <row r="215" spans="2:13" x14ac:dyDescent="0.2">
      <c r="B215" s="77">
        <v>45628</v>
      </c>
      <c r="C215" s="30">
        <v>6047.15</v>
      </c>
      <c r="D215" s="10">
        <f t="shared" si="4"/>
        <v>2.4484531809998433E-3</v>
      </c>
      <c r="H215" s="77">
        <v>45628</v>
      </c>
      <c r="I215" s="1">
        <v>77.549700000000001</v>
      </c>
      <c r="J215" s="10">
        <f t="shared" si="5"/>
        <v>9.4068491545942212E-3</v>
      </c>
      <c r="L215" s="77"/>
      <c r="M215" s="30"/>
    </row>
    <row r="216" spans="2:13" x14ac:dyDescent="0.2">
      <c r="B216" s="77">
        <v>45629</v>
      </c>
      <c r="C216" s="30">
        <v>6049.88</v>
      </c>
      <c r="D216" s="10">
        <f t="shared" si="4"/>
        <v>4.5145233705135013E-4</v>
      </c>
      <c r="H216" s="77">
        <v>45629</v>
      </c>
      <c r="I216" s="1">
        <v>77.975300000000004</v>
      </c>
      <c r="J216" s="10">
        <f t="shared" si="5"/>
        <v>5.4880934420120653E-3</v>
      </c>
      <c r="L216" s="77"/>
      <c r="M216" s="30"/>
    </row>
    <row r="217" spans="2:13" x14ac:dyDescent="0.2">
      <c r="B217" s="77">
        <v>45630</v>
      </c>
      <c r="C217" s="30">
        <v>6086.49</v>
      </c>
      <c r="D217" s="10">
        <f t="shared" si="4"/>
        <v>6.0513596963907013E-3</v>
      </c>
      <c r="H217" s="77">
        <v>45630</v>
      </c>
      <c r="I217" s="1">
        <v>78.691699999999997</v>
      </c>
      <c r="J217" s="10">
        <f t="shared" si="5"/>
        <v>9.1875247674584326E-3</v>
      </c>
      <c r="L217" s="77"/>
      <c r="M217" s="30"/>
    </row>
    <row r="218" spans="2:13" x14ac:dyDescent="0.2">
      <c r="B218" s="77">
        <v>45631</v>
      </c>
      <c r="C218" s="30">
        <v>6075.11</v>
      </c>
      <c r="D218" s="10">
        <f t="shared" si="4"/>
        <v>-1.8697147288503357E-3</v>
      </c>
      <c r="H218" s="77">
        <v>45631</v>
      </c>
      <c r="I218" s="1">
        <v>78.462900000000005</v>
      </c>
      <c r="J218" s="10">
        <f t="shared" si="5"/>
        <v>-2.9075493349360881E-3</v>
      </c>
      <c r="L218" s="77"/>
      <c r="M218" s="30"/>
    </row>
    <row r="219" spans="2:13" x14ac:dyDescent="0.2">
      <c r="B219" s="77">
        <v>45632</v>
      </c>
      <c r="C219" s="30">
        <v>6090.27</v>
      </c>
      <c r="D219" s="10">
        <f t="shared" si="4"/>
        <v>2.4954280663231909E-3</v>
      </c>
      <c r="H219" s="77">
        <v>45632</v>
      </c>
      <c r="I219" s="1">
        <v>77.975300000000004</v>
      </c>
      <c r="J219" s="10">
        <f t="shared" si="5"/>
        <v>-6.2144019657698335E-3</v>
      </c>
      <c r="L219" s="77"/>
      <c r="M219" s="30"/>
    </row>
    <row r="220" spans="2:13" x14ac:dyDescent="0.2">
      <c r="B220" s="77">
        <v>45635</v>
      </c>
      <c r="C220" s="30">
        <v>6052.85</v>
      </c>
      <c r="D220" s="10">
        <f t="shared" si="4"/>
        <v>-6.1442267748391677E-3</v>
      </c>
      <c r="H220" s="77">
        <v>45635</v>
      </c>
      <c r="I220" s="1">
        <v>78.184299999999993</v>
      </c>
      <c r="J220" s="10">
        <f t="shared" si="5"/>
        <v>2.6803359525386927E-3</v>
      </c>
      <c r="L220" s="77"/>
      <c r="M220" s="30"/>
    </row>
    <row r="221" spans="2:13" x14ac:dyDescent="0.2">
      <c r="B221" s="77">
        <v>45636</v>
      </c>
      <c r="C221" s="30">
        <v>6034.91</v>
      </c>
      <c r="D221" s="10">
        <f t="shared" si="4"/>
        <v>-2.9638930421207466E-3</v>
      </c>
      <c r="H221" s="77">
        <v>45636</v>
      </c>
      <c r="I221" s="1">
        <v>78.492699999999999</v>
      </c>
      <c r="J221" s="10">
        <f t="shared" si="5"/>
        <v>3.9445259470252125E-3</v>
      </c>
      <c r="L221" s="77"/>
      <c r="M221" s="30"/>
    </row>
    <row r="222" spans="2:13" x14ac:dyDescent="0.2">
      <c r="B222" s="77">
        <v>45637</v>
      </c>
      <c r="C222" s="30">
        <v>6084.19</v>
      </c>
      <c r="D222" s="10">
        <f t="shared" si="4"/>
        <v>8.1658218598121834E-3</v>
      </c>
      <c r="H222" s="77">
        <v>45637</v>
      </c>
      <c r="I222" s="1">
        <v>77.248999999999995</v>
      </c>
      <c r="J222" s="10">
        <f t="shared" si="5"/>
        <v>-1.5844785566046293E-2</v>
      </c>
      <c r="L222" s="77"/>
      <c r="M222" s="30"/>
    </row>
    <row r="223" spans="2:13" x14ac:dyDescent="0.2">
      <c r="B223" s="77">
        <v>45638</v>
      </c>
      <c r="C223" s="30">
        <v>6051.25</v>
      </c>
      <c r="D223" s="10">
        <f t="shared" si="4"/>
        <v>-5.4140321061636465E-3</v>
      </c>
      <c r="H223" s="77">
        <v>45638</v>
      </c>
      <c r="I223" s="1">
        <v>76.353499999999997</v>
      </c>
      <c r="J223" s="10">
        <f t="shared" si="5"/>
        <v>-1.1592383072919987E-2</v>
      </c>
      <c r="L223" s="77"/>
      <c r="M223" s="30"/>
    </row>
    <row r="224" spans="2:13" x14ac:dyDescent="0.2">
      <c r="B224" s="77">
        <v>45639</v>
      </c>
      <c r="C224" s="30">
        <v>6051.09</v>
      </c>
      <c r="D224" s="10">
        <f t="shared" si="4"/>
        <v>-2.6440818012729572E-5</v>
      </c>
      <c r="H224" s="77">
        <v>45639</v>
      </c>
      <c r="I224" s="1">
        <v>78.4529</v>
      </c>
      <c r="J224" s="10">
        <f t="shared" si="5"/>
        <v>2.7495792596279101E-2</v>
      </c>
      <c r="L224" s="77"/>
      <c r="M224" s="30"/>
    </row>
    <row r="225" spans="2:13" x14ac:dyDescent="0.2">
      <c r="B225" s="77">
        <v>45642</v>
      </c>
      <c r="C225" s="30">
        <v>6074.08</v>
      </c>
      <c r="D225" s="10">
        <f t="shared" si="4"/>
        <v>3.7993154952247199E-3</v>
      </c>
      <c r="H225" s="77">
        <v>45642</v>
      </c>
      <c r="I225" s="1">
        <v>77.567400000000006</v>
      </c>
      <c r="J225" s="10">
        <f t="shared" si="5"/>
        <v>-1.1287026993265892E-2</v>
      </c>
      <c r="L225" s="77"/>
    </row>
    <row r="226" spans="2:13" x14ac:dyDescent="0.2">
      <c r="B226" s="77">
        <v>45643</v>
      </c>
      <c r="C226" s="30">
        <v>6050.61</v>
      </c>
      <c r="D226" s="10">
        <f t="shared" si="4"/>
        <v>-3.8639596449174807E-3</v>
      </c>
      <c r="H226" s="77">
        <v>45643</v>
      </c>
      <c r="I226" s="1">
        <v>76.861000000000004</v>
      </c>
      <c r="J226" s="10">
        <f t="shared" si="5"/>
        <v>-9.1069186281865777E-3</v>
      </c>
      <c r="L226" s="77"/>
      <c r="M226" s="30"/>
    </row>
    <row r="227" spans="2:13" x14ac:dyDescent="0.2">
      <c r="B227" s="77">
        <v>45644</v>
      </c>
      <c r="C227" s="30">
        <v>5872.16</v>
      </c>
      <c r="D227" s="10">
        <f t="shared" si="4"/>
        <v>-2.9492894104891865E-2</v>
      </c>
      <c r="H227" s="77">
        <v>45644</v>
      </c>
      <c r="I227" s="1">
        <v>76.811199999999999</v>
      </c>
      <c r="J227" s="10">
        <f t="shared" si="5"/>
        <v>-6.4792287375914359E-4</v>
      </c>
      <c r="L227" s="77"/>
      <c r="M227" s="30"/>
    </row>
    <row r="228" spans="2:13" x14ac:dyDescent="0.2">
      <c r="B228" s="77">
        <v>45645</v>
      </c>
      <c r="C228" s="30">
        <v>5867.08</v>
      </c>
      <c r="D228" s="10">
        <f t="shared" si="4"/>
        <v>-8.6509904362275236E-4</v>
      </c>
      <c r="H228" s="77">
        <v>45645</v>
      </c>
      <c r="I228" s="1">
        <v>77.607200000000006</v>
      </c>
      <c r="J228" s="10">
        <f t="shared" si="5"/>
        <v>1.0363072051992495E-2</v>
      </c>
      <c r="L228" s="77"/>
      <c r="M228" s="30"/>
    </row>
    <row r="229" spans="2:13" x14ac:dyDescent="0.2">
      <c r="B229" s="77">
        <v>45646</v>
      </c>
      <c r="C229" s="30">
        <v>5930.85</v>
      </c>
      <c r="D229" s="10">
        <f t="shared" si="4"/>
        <v>1.0869120584686254E-2</v>
      </c>
      <c r="H229" s="77">
        <v>45646</v>
      </c>
      <c r="I229" s="1">
        <v>76.512699999999995</v>
      </c>
      <c r="J229" s="10">
        <f t="shared" si="5"/>
        <v>-1.4103072910760961E-2</v>
      </c>
      <c r="L229" s="77"/>
      <c r="M229" s="30"/>
    </row>
    <row r="230" spans="2:13" x14ac:dyDescent="0.2">
      <c r="B230" s="77">
        <v>45649</v>
      </c>
      <c r="C230" s="30">
        <v>5974.07</v>
      </c>
      <c r="D230" s="10">
        <f t="shared" si="4"/>
        <v>7.2873196927927264E-3</v>
      </c>
      <c r="H230" s="77">
        <v>45649</v>
      </c>
      <c r="I230" s="1">
        <v>76.711699999999993</v>
      </c>
      <c r="J230" s="10">
        <f t="shared" si="5"/>
        <v>2.6008754102260223E-3</v>
      </c>
      <c r="L230" s="77"/>
      <c r="M230" s="30"/>
    </row>
    <row r="231" spans="2:13" x14ac:dyDescent="0.2">
      <c r="B231" s="77">
        <v>45650</v>
      </c>
      <c r="C231" s="30">
        <v>6040.04</v>
      </c>
      <c r="D231" s="10">
        <f t="shared" si="4"/>
        <v>1.1042722967758989E-2</v>
      </c>
      <c r="H231" s="77">
        <v>45650</v>
      </c>
      <c r="I231" s="1">
        <v>76.552499999999995</v>
      </c>
      <c r="J231" s="10">
        <f t="shared" si="5"/>
        <v>-2.0753027243561872E-3</v>
      </c>
      <c r="L231" s="77"/>
      <c r="M231" s="30"/>
    </row>
    <row r="232" spans="2:13" x14ac:dyDescent="0.2">
      <c r="B232" s="77">
        <v>45651</v>
      </c>
      <c r="C232" s="30">
        <v>6040.04</v>
      </c>
      <c r="D232" s="10">
        <f t="shared" si="4"/>
        <v>0</v>
      </c>
      <c r="H232" s="77">
        <v>45651</v>
      </c>
      <c r="I232" s="1">
        <v>76.373400000000004</v>
      </c>
      <c r="J232" s="10">
        <f t="shared" si="5"/>
        <v>-2.3395708827274042E-3</v>
      </c>
      <c r="L232" s="77"/>
      <c r="M232" s="30"/>
    </row>
    <row r="233" spans="2:13" x14ac:dyDescent="0.2">
      <c r="B233" s="77">
        <v>45652</v>
      </c>
      <c r="C233" s="30">
        <v>6037.59</v>
      </c>
      <c r="D233" s="10">
        <f>+C233/C232-1</f>
        <v>-4.0562645280495246E-4</v>
      </c>
      <c r="H233" s="77">
        <v>45652</v>
      </c>
      <c r="I233" s="1">
        <v>76.403300000000002</v>
      </c>
      <c r="J233" s="10">
        <f>+I233/I232-1</f>
        <v>3.9149756328771268E-4</v>
      </c>
      <c r="L233" s="77"/>
      <c r="M233" s="30"/>
    </row>
    <row r="234" spans="2:13" x14ac:dyDescent="0.2">
      <c r="B234" s="77">
        <v>45653</v>
      </c>
      <c r="C234" s="30">
        <v>5970.84</v>
      </c>
      <c r="D234" s="10">
        <f t="shared" si="4"/>
        <v>-1.1055735815118317E-2</v>
      </c>
      <c r="H234" s="77">
        <v>45653</v>
      </c>
      <c r="I234" s="1">
        <v>76.552499999999995</v>
      </c>
      <c r="J234" s="10">
        <f t="shared" si="5"/>
        <v>1.9527952326665599E-3</v>
      </c>
      <c r="L234" s="77"/>
      <c r="M234" s="30"/>
    </row>
    <row r="235" spans="2:13" x14ac:dyDescent="0.2">
      <c r="B235" s="77">
        <v>45656</v>
      </c>
      <c r="C235" s="30">
        <v>5906.94</v>
      </c>
      <c r="D235" s="10">
        <f t="shared" si="4"/>
        <v>-1.0702011777237508E-2</v>
      </c>
      <c r="H235" s="77">
        <v>45656</v>
      </c>
      <c r="I235" s="1">
        <v>76.035200000000003</v>
      </c>
      <c r="J235" s="10">
        <f t="shared" si="5"/>
        <v>-6.7574540348126488E-3</v>
      </c>
      <c r="L235" s="77"/>
      <c r="M235" s="30"/>
    </row>
    <row r="236" spans="2:13" x14ac:dyDescent="0.2">
      <c r="B236" s="77">
        <v>45657</v>
      </c>
      <c r="C236" s="30">
        <v>5881.63</v>
      </c>
      <c r="D236" s="10">
        <f t="shared" si="4"/>
        <v>-4.2847904329482711E-3</v>
      </c>
      <c r="H236" s="77">
        <v>45657</v>
      </c>
      <c r="I236" s="1">
        <v>74.274100000000004</v>
      </c>
      <c r="J236" s="10">
        <f t="shared" si="5"/>
        <v>-2.3161640924203475E-2</v>
      </c>
      <c r="L236" s="77"/>
      <c r="M236" s="30"/>
    </row>
    <row r="237" spans="2:13" x14ac:dyDescent="0.2">
      <c r="B237" s="77">
        <v>45658</v>
      </c>
      <c r="C237" s="30">
        <v>5881.63</v>
      </c>
      <c r="D237" s="10">
        <f t="shared" si="4"/>
        <v>0</v>
      </c>
      <c r="H237" s="77">
        <v>45658</v>
      </c>
      <c r="I237" s="1">
        <v>75.288899999999998</v>
      </c>
      <c r="J237" s="10">
        <f t="shared" si="5"/>
        <v>1.3662905373474699E-2</v>
      </c>
      <c r="L237" s="77"/>
      <c r="M237" s="30"/>
    </row>
    <row r="238" spans="2:13" x14ac:dyDescent="0.2">
      <c r="B238" s="77">
        <v>45659</v>
      </c>
      <c r="C238" s="30">
        <v>5868.55</v>
      </c>
      <c r="D238" s="10">
        <f>+C238/C237-1</f>
        <v>-2.2238733140302891E-3</v>
      </c>
      <c r="H238" s="77">
        <v>45659</v>
      </c>
      <c r="I238" s="1">
        <v>73.299000000000007</v>
      </c>
      <c r="J238" s="10">
        <f>+I238/I237-1</f>
        <v>-2.6430190904635276E-2</v>
      </c>
      <c r="L238" s="77"/>
      <c r="M238" s="30"/>
    </row>
    <row r="239" spans="2:13" x14ac:dyDescent="0.2">
      <c r="B239" s="77">
        <v>45660</v>
      </c>
      <c r="C239" s="30">
        <v>5942.47</v>
      </c>
      <c r="D239" s="10">
        <f t="shared" si="4"/>
        <v>1.2595956411720177E-2</v>
      </c>
      <c r="H239" s="77">
        <v>45660</v>
      </c>
      <c r="I239" s="1">
        <v>72.940799999999996</v>
      </c>
      <c r="J239" s="10">
        <f t="shared" si="5"/>
        <v>-4.8868333810830888E-3</v>
      </c>
      <c r="L239" s="77"/>
      <c r="M239" s="30"/>
    </row>
    <row r="240" spans="2:13" x14ac:dyDescent="0.2">
      <c r="B240" s="77">
        <v>45663</v>
      </c>
      <c r="C240" s="30">
        <v>5975.38</v>
      </c>
      <c r="D240" s="10">
        <f t="shared" si="4"/>
        <v>5.5381011599553442E-3</v>
      </c>
      <c r="H240" s="77">
        <v>45663</v>
      </c>
      <c r="I240" s="1">
        <v>71.6374</v>
      </c>
      <c r="J240" s="10">
        <f t="shared" si="5"/>
        <v>-1.7869285776958788E-2</v>
      </c>
      <c r="L240" s="77"/>
      <c r="M240" s="30"/>
    </row>
    <row r="241" spans="2:13" x14ac:dyDescent="0.2">
      <c r="B241" s="77">
        <v>45664</v>
      </c>
      <c r="C241" s="30">
        <v>5909.03</v>
      </c>
      <c r="D241" s="10">
        <f t="shared" si="4"/>
        <v>-1.1103896321238205E-2</v>
      </c>
      <c r="H241" s="77">
        <v>45664</v>
      </c>
      <c r="I241" s="1">
        <v>71.727000000000004</v>
      </c>
      <c r="J241" s="10">
        <f t="shared" si="5"/>
        <v>1.2507433268098556E-3</v>
      </c>
      <c r="L241" s="77"/>
      <c r="M241" s="30"/>
    </row>
    <row r="242" spans="2:13" x14ac:dyDescent="0.2">
      <c r="B242" s="77">
        <v>45665</v>
      </c>
      <c r="C242" s="30">
        <v>5918.25</v>
      </c>
      <c r="D242" s="10">
        <f t="shared" si="4"/>
        <v>1.5603237756451893E-3</v>
      </c>
      <c r="H242" s="77">
        <v>45665</v>
      </c>
      <c r="I242" s="1">
        <v>70.930999999999997</v>
      </c>
      <c r="J242" s="10">
        <f t="shared" si="5"/>
        <v>-1.1097634084793806E-2</v>
      </c>
      <c r="L242" s="77"/>
      <c r="M242" s="30"/>
    </row>
    <row r="243" spans="2:13" x14ac:dyDescent="0.2">
      <c r="B243" s="77">
        <v>45666</v>
      </c>
      <c r="C243" s="30">
        <v>5918.25</v>
      </c>
      <c r="D243" s="10">
        <f t="shared" si="4"/>
        <v>0</v>
      </c>
      <c r="H243" s="77">
        <v>45666</v>
      </c>
      <c r="I243" s="1">
        <v>70.841399999999993</v>
      </c>
      <c r="J243" s="10">
        <f t="shared" si="5"/>
        <v>-1.2631994473503161E-3</v>
      </c>
      <c r="L243" s="77"/>
      <c r="M243" s="30"/>
    </row>
    <row r="244" spans="2:13" x14ac:dyDescent="0.2">
      <c r="B244" s="77">
        <v>45667</v>
      </c>
      <c r="C244" s="30">
        <v>5827.04</v>
      </c>
      <c r="D244" s="10">
        <f>+C244/C243-1</f>
        <v>-1.5411650403413191E-2</v>
      </c>
      <c r="H244" s="77">
        <v>45667</v>
      </c>
      <c r="I244" s="1">
        <v>71.716999999999999</v>
      </c>
      <c r="J244" s="10">
        <f>+I244/I243-1</f>
        <v>1.2360004178347817E-2</v>
      </c>
      <c r="L244" s="77"/>
    </row>
    <row r="245" spans="2:13" x14ac:dyDescent="0.2">
      <c r="B245" s="77">
        <v>45670</v>
      </c>
      <c r="C245" s="30">
        <v>5836.22</v>
      </c>
      <c r="D245" s="10">
        <f t="shared" ref="D245:D303" si="6">+C245/C244-1</f>
        <v>1.5754139322881056E-3</v>
      </c>
      <c r="H245" s="77">
        <v>45670</v>
      </c>
      <c r="I245" s="1">
        <v>70.811599999999999</v>
      </c>
      <c r="J245" s="10">
        <f t="shared" ref="J245:J303" si="7">+I245/I244-1</f>
        <v>-1.2624621777263423E-2</v>
      </c>
      <c r="L245" s="77"/>
      <c r="M245" s="30"/>
    </row>
    <row r="246" spans="2:13" x14ac:dyDescent="0.2">
      <c r="B246" s="77">
        <v>45671</v>
      </c>
      <c r="C246" s="30">
        <v>5842.91</v>
      </c>
      <c r="D246" s="10">
        <f t="shared" si="6"/>
        <v>1.146289893115604E-3</v>
      </c>
      <c r="H246" s="77">
        <v>45671</v>
      </c>
      <c r="I246" s="1">
        <v>70.712100000000007</v>
      </c>
      <c r="J246" s="10">
        <f t="shared" si="7"/>
        <v>-1.4051370114499528E-3</v>
      </c>
      <c r="L246" s="77"/>
      <c r="M246" s="30"/>
    </row>
    <row r="247" spans="2:13" x14ac:dyDescent="0.2">
      <c r="B247" s="77">
        <v>45672</v>
      </c>
      <c r="C247" s="30">
        <v>5949.91</v>
      </c>
      <c r="D247" s="10">
        <f t="shared" si="6"/>
        <v>1.8312792769356268E-2</v>
      </c>
      <c r="H247" s="77">
        <v>45672</v>
      </c>
      <c r="I247" s="1">
        <v>70.751900000000006</v>
      </c>
      <c r="J247" s="10">
        <f t="shared" si="7"/>
        <v>5.6284567987652245E-4</v>
      </c>
      <c r="L247" s="77"/>
      <c r="M247" s="30"/>
    </row>
    <row r="248" spans="2:13" x14ac:dyDescent="0.2">
      <c r="B248" s="77">
        <v>45673</v>
      </c>
      <c r="C248" s="30">
        <v>5937.34</v>
      </c>
      <c r="D248" s="10">
        <f t="shared" si="6"/>
        <v>-2.112636997870454E-3</v>
      </c>
      <c r="H248" s="77">
        <v>45673</v>
      </c>
      <c r="I248" s="1">
        <v>70.4833</v>
      </c>
      <c r="J248" s="10">
        <f t="shared" si="7"/>
        <v>-3.7963644792579077E-3</v>
      </c>
      <c r="L248" s="77"/>
      <c r="M248" s="30"/>
    </row>
    <row r="249" spans="2:13" x14ac:dyDescent="0.2">
      <c r="B249" s="77">
        <v>45674</v>
      </c>
      <c r="C249" s="30">
        <v>5996.66</v>
      </c>
      <c r="D249" s="10">
        <f t="shared" si="6"/>
        <v>9.9910060734267336E-3</v>
      </c>
      <c r="H249" s="77">
        <v>45674</v>
      </c>
      <c r="I249" s="1">
        <v>72.801500000000004</v>
      </c>
      <c r="J249" s="10">
        <f t="shared" si="7"/>
        <v>3.2890060482412276E-2</v>
      </c>
      <c r="L249" s="77"/>
    </row>
    <row r="250" spans="2:13" x14ac:dyDescent="0.2">
      <c r="B250" s="77">
        <v>45677</v>
      </c>
      <c r="C250" s="30">
        <v>5996.66</v>
      </c>
      <c r="D250" s="10">
        <f t="shared" si="6"/>
        <v>0</v>
      </c>
      <c r="H250" s="77">
        <v>45677</v>
      </c>
      <c r="I250" s="1">
        <v>73.667100000000005</v>
      </c>
      <c r="J250" s="10">
        <f t="shared" si="7"/>
        <v>1.1889864906629688E-2</v>
      </c>
      <c r="L250" s="77"/>
      <c r="M250" s="30"/>
    </row>
    <row r="251" spans="2:13" x14ac:dyDescent="0.2">
      <c r="B251" s="77">
        <v>45678</v>
      </c>
      <c r="C251" s="30">
        <v>6049.24</v>
      </c>
      <c r="D251" s="10">
        <f>+C251/C250-1</f>
        <v>8.7682143059637507E-3</v>
      </c>
      <c r="H251" s="77">
        <v>45678</v>
      </c>
      <c r="I251" s="1">
        <v>73.915899999999993</v>
      </c>
      <c r="J251" s="10">
        <f>+I251/I250-1</f>
        <v>3.3773556988123676E-3</v>
      </c>
      <c r="L251" s="77"/>
      <c r="M251" s="30"/>
    </row>
    <row r="252" spans="2:13" x14ac:dyDescent="0.2">
      <c r="B252" s="77">
        <v>45679</v>
      </c>
      <c r="C252" s="30">
        <v>6086.37</v>
      </c>
      <c r="D252" s="10">
        <f t="shared" si="6"/>
        <v>6.1379611323075789E-3</v>
      </c>
      <c r="H252" s="77">
        <v>45679</v>
      </c>
      <c r="I252" s="1">
        <v>73.1995</v>
      </c>
      <c r="J252" s="10">
        <f t="shared" si="7"/>
        <v>-9.6920960172303117E-3</v>
      </c>
      <c r="L252" s="77"/>
      <c r="M252" s="30"/>
    </row>
    <row r="253" spans="2:13" x14ac:dyDescent="0.2">
      <c r="B253" s="77">
        <v>45680</v>
      </c>
      <c r="C253" s="30">
        <v>6118.71</v>
      </c>
      <c r="D253" s="10">
        <f t="shared" si="6"/>
        <v>5.31351199483443E-3</v>
      </c>
      <c r="H253" s="77">
        <v>45680</v>
      </c>
      <c r="I253" s="1">
        <v>75.199399999999997</v>
      </c>
      <c r="J253" s="10">
        <f t="shared" si="7"/>
        <v>2.7321224871754479E-2</v>
      </c>
      <c r="L253" s="77"/>
      <c r="M253" s="30"/>
    </row>
    <row r="254" spans="2:13" x14ac:dyDescent="0.2">
      <c r="B254" s="77">
        <v>45681</v>
      </c>
      <c r="C254" s="30">
        <v>6101.24</v>
      </c>
      <c r="D254" s="10">
        <f t="shared" si="6"/>
        <v>-2.8551769899211044E-3</v>
      </c>
      <c r="H254" s="77">
        <v>45681</v>
      </c>
      <c r="I254" s="1">
        <v>74.0154</v>
      </c>
      <c r="J254" s="10">
        <f t="shared" si="7"/>
        <v>-1.5744806474519701E-2</v>
      </c>
      <c r="L254" s="77"/>
      <c r="M254" s="30"/>
    </row>
    <row r="255" spans="2:13" x14ac:dyDescent="0.2">
      <c r="B255" s="77">
        <v>45684</v>
      </c>
      <c r="C255" s="30">
        <v>6012.28</v>
      </c>
      <c r="D255" s="10">
        <f t="shared" si="6"/>
        <v>-1.45806426234667E-2</v>
      </c>
      <c r="H255" s="77">
        <v>45684</v>
      </c>
      <c r="I255" s="1">
        <v>76.194400000000002</v>
      </c>
      <c r="J255" s="10">
        <f t="shared" si="7"/>
        <v>2.9439819280852486E-2</v>
      </c>
      <c r="L255" s="77"/>
    </row>
    <row r="256" spans="2:13" x14ac:dyDescent="0.2">
      <c r="B256" s="77">
        <v>45685</v>
      </c>
      <c r="C256" s="30">
        <v>6067.7</v>
      </c>
      <c r="D256" s="10">
        <f t="shared" si="6"/>
        <v>9.2178009008230255E-3</v>
      </c>
      <c r="H256" s="77">
        <v>45685</v>
      </c>
      <c r="I256" s="1">
        <v>77.935500000000005</v>
      </c>
      <c r="J256" s="10">
        <f t="shared" si="7"/>
        <v>2.2850760685824811E-2</v>
      </c>
      <c r="L256" s="77"/>
      <c r="M256" s="30"/>
    </row>
    <row r="257" spans="2:13" x14ac:dyDescent="0.2">
      <c r="B257" s="77">
        <v>45686</v>
      </c>
      <c r="C257" s="30">
        <v>6039.31</v>
      </c>
      <c r="D257" s="10">
        <f t="shared" si="6"/>
        <v>-4.6788733787100911E-3</v>
      </c>
      <c r="H257" s="77">
        <v>45686</v>
      </c>
      <c r="I257" s="1">
        <v>76.512699999999995</v>
      </c>
      <c r="J257" s="10">
        <f t="shared" si="7"/>
        <v>-1.8256122049643775E-2</v>
      </c>
      <c r="L257" s="77"/>
      <c r="M257" s="30"/>
    </row>
    <row r="258" spans="2:13" x14ac:dyDescent="0.2">
      <c r="B258" s="77">
        <v>45687</v>
      </c>
      <c r="C258" s="30">
        <v>6071.17</v>
      </c>
      <c r="D258" s="10">
        <f t="shared" si="6"/>
        <v>5.2754370946348494E-3</v>
      </c>
      <c r="H258" s="77">
        <v>45687</v>
      </c>
      <c r="I258" s="1">
        <v>76.204300000000003</v>
      </c>
      <c r="J258" s="10">
        <f t="shared" si="7"/>
        <v>-4.0307033995662378E-3</v>
      </c>
      <c r="L258" s="77"/>
      <c r="M258" s="30"/>
    </row>
    <row r="259" spans="2:13" x14ac:dyDescent="0.2">
      <c r="B259" s="77">
        <v>45688</v>
      </c>
      <c r="C259" s="30">
        <v>6040.53</v>
      </c>
      <c r="D259" s="10">
        <f t="shared" si="6"/>
        <v>-5.0468031697350479E-3</v>
      </c>
      <c r="H259" s="77">
        <v>45688</v>
      </c>
      <c r="I259" s="1">
        <v>76.333600000000004</v>
      </c>
      <c r="J259" s="10">
        <f t="shared" si="7"/>
        <v>1.6967546450790127E-3</v>
      </c>
      <c r="L259" s="77"/>
      <c r="M259" s="30"/>
    </row>
    <row r="260" spans="2:13" x14ac:dyDescent="0.2">
      <c r="B260" s="77">
        <v>45691</v>
      </c>
      <c r="C260" s="30">
        <v>5994.57</v>
      </c>
      <c r="D260" s="10">
        <f t="shared" si="6"/>
        <v>-7.6086038807853251E-3</v>
      </c>
      <c r="H260" s="77">
        <v>45691</v>
      </c>
      <c r="I260" s="1">
        <v>74.194500000000005</v>
      </c>
      <c r="J260" s="10">
        <f t="shared" si="7"/>
        <v>-2.8023046207698799E-2</v>
      </c>
      <c r="L260" s="77"/>
      <c r="M260" s="30"/>
    </row>
    <row r="261" spans="2:13" x14ac:dyDescent="0.2">
      <c r="B261" s="77">
        <v>45692</v>
      </c>
      <c r="C261" s="30">
        <v>6037.88</v>
      </c>
      <c r="D261" s="10">
        <f t="shared" si="6"/>
        <v>7.2248718423506553E-3</v>
      </c>
      <c r="H261" s="77">
        <v>45692</v>
      </c>
      <c r="I261" s="1">
        <v>71.378699999999995</v>
      </c>
      <c r="J261" s="10">
        <f t="shared" si="7"/>
        <v>-3.7951600185997747E-2</v>
      </c>
      <c r="L261" s="77"/>
      <c r="M261" s="30"/>
    </row>
    <row r="262" spans="2:13" x14ac:dyDescent="0.2">
      <c r="B262" s="77">
        <v>45693</v>
      </c>
      <c r="C262" s="30">
        <v>6061.48</v>
      </c>
      <c r="D262" s="10">
        <f t="shared" si="6"/>
        <v>3.9086566808217427E-3</v>
      </c>
      <c r="H262" s="77">
        <v>45693</v>
      </c>
      <c r="I262" s="1">
        <v>68.334100000000007</v>
      </c>
      <c r="J262" s="10">
        <f t="shared" si="7"/>
        <v>-4.2654181149278214E-2</v>
      </c>
      <c r="L262" s="77"/>
    </row>
    <row r="263" spans="2:13" x14ac:dyDescent="0.2">
      <c r="B263" s="77">
        <v>45694</v>
      </c>
      <c r="C263" s="30">
        <v>6083.57</v>
      </c>
      <c r="D263" s="10">
        <f t="shared" si="6"/>
        <v>3.64432448840879E-3</v>
      </c>
      <c r="H263" s="77">
        <v>45694</v>
      </c>
      <c r="I263" s="1">
        <v>70.582800000000006</v>
      </c>
      <c r="J263" s="10">
        <f t="shared" si="7"/>
        <v>3.2907435672672847E-2</v>
      </c>
      <c r="L263" s="77"/>
      <c r="M263" s="30"/>
    </row>
    <row r="264" spans="2:13" x14ac:dyDescent="0.2">
      <c r="B264" s="77">
        <v>45695</v>
      </c>
      <c r="C264" s="30">
        <v>6025.99</v>
      </c>
      <c r="D264" s="10">
        <f t="shared" si="6"/>
        <v>-9.464837258386094E-3</v>
      </c>
      <c r="H264" s="77">
        <v>45695</v>
      </c>
      <c r="I264" s="1">
        <v>70.980699999999999</v>
      </c>
      <c r="J264" s="10">
        <f t="shared" si="7"/>
        <v>5.6373507426736857E-3</v>
      </c>
      <c r="L264" s="77"/>
      <c r="M264" s="30"/>
    </row>
    <row r="265" spans="2:13" x14ac:dyDescent="0.2">
      <c r="B265" s="77">
        <v>45698</v>
      </c>
      <c r="C265" s="30">
        <v>6066.44</v>
      </c>
      <c r="D265" s="10">
        <f t="shared" si="6"/>
        <v>6.712589964470439E-3</v>
      </c>
      <c r="H265" s="77">
        <v>45698</v>
      </c>
      <c r="I265" s="1">
        <v>71.896100000000004</v>
      </c>
      <c r="J265" s="10">
        <f t="shared" si="7"/>
        <v>1.2896463404841185E-2</v>
      </c>
      <c r="L265" s="77"/>
      <c r="M265" s="30"/>
    </row>
    <row r="266" spans="2:13" x14ac:dyDescent="0.2">
      <c r="B266" s="77">
        <v>45699</v>
      </c>
      <c r="C266" s="30">
        <v>6068.5</v>
      </c>
      <c r="D266" s="10">
        <f t="shared" si="6"/>
        <v>3.3957312690802155E-4</v>
      </c>
      <c r="H266" s="77">
        <v>45699</v>
      </c>
      <c r="I266" s="1">
        <v>72.841300000000004</v>
      </c>
      <c r="J266" s="10">
        <f t="shared" si="7"/>
        <v>1.3146749267345603E-2</v>
      </c>
      <c r="L266" s="77"/>
      <c r="M266" s="30"/>
    </row>
    <row r="267" spans="2:13" x14ac:dyDescent="0.2">
      <c r="B267" s="77">
        <v>45700</v>
      </c>
      <c r="C267" s="30">
        <v>6051.97</v>
      </c>
      <c r="D267" s="10">
        <f t="shared" si="6"/>
        <v>-2.7239021174919609E-3</v>
      </c>
      <c r="H267" s="77">
        <v>45700</v>
      </c>
      <c r="I267" s="1">
        <v>72.672200000000004</v>
      </c>
      <c r="J267" s="10">
        <f t="shared" si="7"/>
        <v>-2.3214852013898613E-3</v>
      </c>
      <c r="L267" s="77"/>
      <c r="M267" s="30"/>
    </row>
    <row r="268" spans="2:13" x14ac:dyDescent="0.2">
      <c r="B268" s="77">
        <v>45701</v>
      </c>
      <c r="C268" s="30">
        <v>6115.07</v>
      </c>
      <c r="D268" s="10">
        <f t="shared" si="6"/>
        <v>1.0426357037460532E-2</v>
      </c>
      <c r="H268" s="77">
        <v>45701</v>
      </c>
      <c r="I268" s="1">
        <v>77.199299999999994</v>
      </c>
      <c r="J268" s="10">
        <f t="shared" si="7"/>
        <v>6.2294797735585217E-2</v>
      </c>
      <c r="L268" s="77"/>
      <c r="M268" s="30"/>
    </row>
    <row r="269" spans="2:13" x14ac:dyDescent="0.2">
      <c r="B269" s="77">
        <v>45702</v>
      </c>
      <c r="C269" s="30">
        <v>6114.63</v>
      </c>
      <c r="D269" s="10">
        <f t="shared" si="6"/>
        <v>-7.195338728738232E-5</v>
      </c>
      <c r="H269" s="77">
        <v>45702</v>
      </c>
      <c r="I269" s="1">
        <v>76.393299999999996</v>
      </c>
      <c r="J269" s="10">
        <f t="shared" si="7"/>
        <v>-1.0440509175601353E-2</v>
      </c>
      <c r="L269" s="77"/>
      <c r="M269" s="30"/>
    </row>
    <row r="270" spans="2:13" x14ac:dyDescent="0.2">
      <c r="B270" s="77">
        <v>45705</v>
      </c>
      <c r="C270" s="30">
        <v>6114.63</v>
      </c>
      <c r="D270" s="10">
        <f t="shared" si="6"/>
        <v>0</v>
      </c>
      <c r="H270" s="77">
        <v>45705</v>
      </c>
      <c r="I270" s="1">
        <v>76.841099999999997</v>
      </c>
      <c r="J270" s="10">
        <f t="shared" si="7"/>
        <v>5.8617706003012415E-3</v>
      </c>
      <c r="L270" s="77"/>
      <c r="M270" s="30"/>
    </row>
    <row r="271" spans="2:13" x14ac:dyDescent="0.2">
      <c r="B271" s="77">
        <v>45706</v>
      </c>
      <c r="C271" s="30">
        <v>6129.58</v>
      </c>
      <c r="D271" s="10">
        <f>+C271/C270-1</f>
        <v>2.4449557863681637E-3</v>
      </c>
      <c r="H271" s="77">
        <v>45706</v>
      </c>
      <c r="I271" s="1">
        <v>76.114800000000002</v>
      </c>
      <c r="J271" s="10">
        <f>+I271/I270-1</f>
        <v>-9.4519729675914821E-3</v>
      </c>
      <c r="L271" s="77"/>
      <c r="M271" s="30"/>
    </row>
    <row r="272" spans="2:13" x14ac:dyDescent="0.2">
      <c r="B272" s="77">
        <v>45707</v>
      </c>
      <c r="C272" s="30">
        <v>6144.15</v>
      </c>
      <c r="D272" s="10">
        <f t="shared" si="6"/>
        <v>2.3769980977488281E-3</v>
      </c>
      <c r="H272" s="77">
        <v>45707</v>
      </c>
      <c r="I272" s="1">
        <v>79.875699999999995</v>
      </c>
      <c r="J272" s="10">
        <f t="shared" si="7"/>
        <v>4.9410889866359664E-2</v>
      </c>
      <c r="L272" s="77"/>
      <c r="M272" s="30"/>
    </row>
    <row r="273" spans="2:13" x14ac:dyDescent="0.2">
      <c r="B273" s="77">
        <v>45708</v>
      </c>
      <c r="C273" s="30">
        <v>6117.52</v>
      </c>
      <c r="D273" s="10">
        <f t="shared" si="6"/>
        <v>-4.3342040803039383E-3</v>
      </c>
      <c r="H273" s="77">
        <v>45708</v>
      </c>
      <c r="I273" s="1">
        <v>81.308499999999995</v>
      </c>
      <c r="J273" s="10">
        <f t="shared" si="7"/>
        <v>1.7937870967015046E-2</v>
      </c>
      <c r="L273" s="77"/>
      <c r="M273" s="30"/>
    </row>
    <row r="274" spans="2:13" x14ac:dyDescent="0.2">
      <c r="B274" s="77">
        <v>45709</v>
      </c>
      <c r="C274" s="30">
        <v>6013.13</v>
      </c>
      <c r="D274" s="10">
        <f t="shared" si="6"/>
        <v>-1.70641044083224E-2</v>
      </c>
      <c r="H274" s="77">
        <v>45709</v>
      </c>
      <c r="I274" s="1">
        <v>80.761200000000002</v>
      </c>
      <c r="J274" s="10">
        <f t="shared" si="7"/>
        <v>-6.7311535694298819E-3</v>
      </c>
      <c r="L274" s="77"/>
      <c r="M274" s="30"/>
    </row>
    <row r="275" spans="2:13" x14ac:dyDescent="0.2">
      <c r="B275" s="77">
        <v>45712</v>
      </c>
      <c r="C275" s="30">
        <v>5983.25</v>
      </c>
      <c r="D275" s="10">
        <f t="shared" si="6"/>
        <v>-4.9691258961639395E-3</v>
      </c>
      <c r="H275" s="77">
        <v>45712</v>
      </c>
      <c r="I275" s="1">
        <v>79.617000000000004</v>
      </c>
      <c r="J275" s="10">
        <f t="shared" si="7"/>
        <v>-1.416769438789911E-2</v>
      </c>
      <c r="L275" s="77"/>
      <c r="M275" s="30"/>
    </row>
    <row r="276" spans="2:13" x14ac:dyDescent="0.2">
      <c r="B276" s="77">
        <v>45713</v>
      </c>
      <c r="C276" s="30">
        <v>5955.25</v>
      </c>
      <c r="D276" s="10">
        <f t="shared" si="6"/>
        <v>-4.6797309154723576E-3</v>
      </c>
      <c r="H276" s="77">
        <v>45713</v>
      </c>
      <c r="I276" s="1">
        <v>79.03</v>
      </c>
      <c r="J276" s="10">
        <f t="shared" si="7"/>
        <v>-7.3727972669154207E-3</v>
      </c>
      <c r="L276" s="77"/>
      <c r="M276" s="30"/>
    </row>
    <row r="277" spans="2:13" x14ac:dyDescent="0.2">
      <c r="B277" s="77">
        <v>45714</v>
      </c>
      <c r="C277" s="30">
        <v>5956.06</v>
      </c>
      <c r="D277" s="10">
        <f t="shared" si="6"/>
        <v>1.3601444103938931E-4</v>
      </c>
      <c r="H277" s="77">
        <v>45714</v>
      </c>
      <c r="I277" s="1">
        <v>78.41</v>
      </c>
      <c r="J277" s="10">
        <f t="shared" si="7"/>
        <v>-7.8451221055295672E-3</v>
      </c>
      <c r="L277" s="77"/>
      <c r="M277" s="30"/>
    </row>
    <row r="278" spans="2:13" x14ac:dyDescent="0.2">
      <c r="B278" s="77">
        <v>45715</v>
      </c>
      <c r="C278" s="30">
        <v>5861.57</v>
      </c>
      <c r="D278" s="10">
        <f t="shared" si="6"/>
        <v>-1.586451446090209E-2</v>
      </c>
      <c r="H278" s="77">
        <v>45715</v>
      </c>
      <c r="I278" s="1">
        <v>77.319999999999993</v>
      </c>
      <c r="J278" s="10">
        <f t="shared" si="7"/>
        <v>-1.3901288101007547E-2</v>
      </c>
      <c r="L278" s="77"/>
      <c r="M278" s="30"/>
    </row>
    <row r="279" spans="2:13" x14ac:dyDescent="0.2">
      <c r="B279" s="77">
        <v>45716</v>
      </c>
      <c r="C279" s="30">
        <v>5954.5</v>
      </c>
      <c r="D279" s="10">
        <f t="shared" si="6"/>
        <v>1.5854114170776867E-2</v>
      </c>
      <c r="H279" s="77">
        <v>45716</v>
      </c>
      <c r="I279" s="1">
        <v>77.81</v>
      </c>
      <c r="J279" s="10">
        <f t="shared" si="7"/>
        <v>6.3372995344026517E-3</v>
      </c>
      <c r="L279" s="77"/>
      <c r="M279" s="30"/>
    </row>
    <row r="280" spans="2:13" x14ac:dyDescent="0.2">
      <c r="B280" s="77">
        <v>45719</v>
      </c>
      <c r="C280" s="30">
        <v>5849.72</v>
      </c>
      <c r="D280" s="10">
        <f t="shared" si="6"/>
        <v>-1.7596775547904953E-2</v>
      </c>
      <c r="H280" s="77">
        <v>45719</v>
      </c>
      <c r="I280" s="1">
        <v>77.709999999999994</v>
      </c>
      <c r="J280" s="10">
        <f t="shared" si="7"/>
        <v>-1.2851818532323422E-3</v>
      </c>
      <c r="L280" s="77"/>
      <c r="M280" s="30"/>
    </row>
    <row r="281" spans="2:13" x14ac:dyDescent="0.2">
      <c r="B281" s="77">
        <v>45720</v>
      </c>
      <c r="C281" s="30">
        <v>5778.15</v>
      </c>
      <c r="D281" s="10">
        <f t="shared" si="6"/>
        <v>-1.2234773630190987E-2</v>
      </c>
      <c r="H281" s="77">
        <v>45720</v>
      </c>
      <c r="I281" s="1">
        <v>78.59</v>
      </c>
      <c r="J281" s="10">
        <f t="shared" si="7"/>
        <v>1.1324153905546419E-2</v>
      </c>
      <c r="L281" s="77"/>
      <c r="M281" s="30"/>
    </row>
    <row r="282" spans="2:13" x14ac:dyDescent="0.2">
      <c r="B282" s="77">
        <v>45721</v>
      </c>
      <c r="C282" s="30">
        <v>5842.63</v>
      </c>
      <c r="D282" s="10">
        <f t="shared" si="6"/>
        <v>1.1159281084776262E-2</v>
      </c>
      <c r="H282" s="77">
        <v>45721</v>
      </c>
      <c r="I282" s="1">
        <v>76.400000000000006</v>
      </c>
      <c r="J282" s="10">
        <f t="shared" si="7"/>
        <v>-2.7866140730372746E-2</v>
      </c>
      <c r="L282" s="77"/>
    </row>
    <row r="283" spans="2:13" x14ac:dyDescent="0.2">
      <c r="B283" s="77">
        <v>45722</v>
      </c>
      <c r="C283" s="30">
        <v>5738.52</v>
      </c>
      <c r="D283" s="10">
        <f t="shared" si="6"/>
        <v>-1.7819030128555013E-2</v>
      </c>
      <c r="H283" s="77">
        <v>45722</v>
      </c>
      <c r="I283" s="1">
        <v>74.17</v>
      </c>
      <c r="J283" s="10">
        <f t="shared" si="7"/>
        <v>-2.9188481675392675E-2</v>
      </c>
      <c r="L283" s="77"/>
      <c r="M283" s="30"/>
    </row>
    <row r="284" spans="2:13" x14ac:dyDescent="0.2">
      <c r="B284" s="77">
        <v>45723</v>
      </c>
      <c r="C284" s="30">
        <v>5770.2</v>
      </c>
      <c r="D284" s="10">
        <f t="shared" si="6"/>
        <v>5.5205871897281433E-3</v>
      </c>
      <c r="H284" s="77">
        <v>45723</v>
      </c>
      <c r="I284" s="1">
        <v>73.58</v>
      </c>
      <c r="J284" s="10">
        <f t="shared" si="7"/>
        <v>-7.9546986652285767E-3</v>
      </c>
      <c r="L284" s="77"/>
      <c r="M284" s="30"/>
    </row>
    <row r="285" spans="2:13" x14ac:dyDescent="0.2">
      <c r="B285" s="77">
        <v>45726</v>
      </c>
      <c r="C285" s="30">
        <v>5614.56</v>
      </c>
      <c r="D285" s="10">
        <f t="shared" si="6"/>
        <v>-2.6973068524487775E-2</v>
      </c>
      <c r="H285" s="77">
        <v>45726</v>
      </c>
      <c r="I285" s="1">
        <v>72.64</v>
      </c>
      <c r="J285" s="10">
        <f t="shared" si="7"/>
        <v>-1.2775210655069258E-2</v>
      </c>
      <c r="L285" s="77"/>
      <c r="M285" s="30"/>
    </row>
    <row r="286" spans="2:13" x14ac:dyDescent="0.2">
      <c r="B286" s="77">
        <v>45727</v>
      </c>
      <c r="C286" s="30">
        <v>5572.07</v>
      </c>
      <c r="D286" s="10">
        <f t="shared" si="6"/>
        <v>-7.5678236584880709E-3</v>
      </c>
      <c r="H286" s="77">
        <v>45727</v>
      </c>
      <c r="I286" s="1">
        <v>71.66</v>
      </c>
      <c r="J286" s="10">
        <f t="shared" si="7"/>
        <v>-1.3491189427312866E-2</v>
      </c>
      <c r="L286" s="77"/>
      <c r="M286" s="30"/>
    </row>
    <row r="287" spans="2:13" x14ac:dyDescent="0.2">
      <c r="B287" s="77">
        <v>45728</v>
      </c>
      <c r="C287" s="30">
        <v>5599.3</v>
      </c>
      <c r="D287" s="10">
        <f t="shared" si="6"/>
        <v>4.8868732804865367E-3</v>
      </c>
      <c r="H287" s="77">
        <v>45728</v>
      </c>
      <c r="I287" s="1">
        <v>73.7</v>
      </c>
      <c r="J287" s="10">
        <f t="shared" si="7"/>
        <v>2.8467764443204091E-2</v>
      </c>
      <c r="L287" s="77"/>
      <c r="M287" s="30"/>
    </row>
    <row r="288" spans="2:13" x14ac:dyDescent="0.2">
      <c r="B288" s="77">
        <v>45729</v>
      </c>
      <c r="C288" s="30">
        <v>5521.52</v>
      </c>
      <c r="D288" s="10">
        <f t="shared" si="6"/>
        <v>-1.3891022092047178E-2</v>
      </c>
      <c r="H288" s="77">
        <v>45729</v>
      </c>
      <c r="I288" s="1">
        <v>73.31</v>
      </c>
      <c r="J288" s="10">
        <f t="shared" si="7"/>
        <v>-5.2917232021709726E-3</v>
      </c>
      <c r="L288" s="77"/>
      <c r="M288" s="30"/>
    </row>
    <row r="289" spans="2:13" x14ac:dyDescent="0.2">
      <c r="B289" s="77">
        <v>45730</v>
      </c>
      <c r="C289" s="30">
        <v>5638.94</v>
      </c>
      <c r="D289" s="10">
        <f t="shared" si="6"/>
        <v>2.1265883307494793E-2</v>
      </c>
      <c r="H289" s="77">
        <v>45730</v>
      </c>
      <c r="I289" s="1">
        <v>72.989999999999995</v>
      </c>
      <c r="J289" s="10">
        <f t="shared" si="7"/>
        <v>-4.3650252353022445E-3</v>
      </c>
      <c r="L289" s="77"/>
      <c r="M289" s="30"/>
    </row>
    <row r="290" spans="2:13" x14ac:dyDescent="0.2">
      <c r="B290" s="77">
        <v>45733</v>
      </c>
      <c r="C290" s="30">
        <v>5675.12</v>
      </c>
      <c r="D290" s="10">
        <f t="shared" si="6"/>
        <v>6.4160994796895743E-3</v>
      </c>
      <c r="H290" s="77">
        <v>45733</v>
      </c>
      <c r="I290" s="1">
        <v>71.86</v>
      </c>
      <c r="J290" s="10">
        <f t="shared" si="7"/>
        <v>-1.5481572818194178E-2</v>
      </c>
      <c r="L290" s="77"/>
      <c r="M290" s="30"/>
    </row>
    <row r="291" spans="2:13" x14ac:dyDescent="0.2">
      <c r="B291" s="77">
        <v>45734</v>
      </c>
      <c r="C291" s="30">
        <v>5614.66</v>
      </c>
      <c r="D291" s="10">
        <f t="shared" si="6"/>
        <v>-1.0653519220738983E-2</v>
      </c>
      <c r="H291" s="77">
        <v>45734</v>
      </c>
      <c r="I291" s="1">
        <v>67.94</v>
      </c>
      <c r="J291" s="10">
        <f t="shared" si="7"/>
        <v>-5.4550514890064017E-2</v>
      </c>
      <c r="L291" s="77"/>
      <c r="M291" s="30"/>
    </row>
    <row r="292" spans="2:13" x14ac:dyDescent="0.2">
      <c r="B292" s="77">
        <v>45735</v>
      </c>
      <c r="C292" s="30">
        <v>5675.29</v>
      </c>
      <c r="D292" s="10">
        <f t="shared" si="6"/>
        <v>1.0798516740105457E-2</v>
      </c>
      <c r="H292" s="77">
        <v>45735</v>
      </c>
      <c r="I292" s="1">
        <v>67.39</v>
      </c>
      <c r="J292" s="10">
        <f t="shared" si="7"/>
        <v>-8.0953782749484393E-3</v>
      </c>
      <c r="L292" s="77"/>
      <c r="M292" s="30"/>
    </row>
    <row r="293" spans="2:13" x14ac:dyDescent="0.2">
      <c r="B293" s="77">
        <v>45736</v>
      </c>
      <c r="C293" s="30">
        <v>5662.89</v>
      </c>
      <c r="D293" s="10">
        <f t="shared" si="6"/>
        <v>-2.1849103746239829E-3</v>
      </c>
      <c r="H293" s="77">
        <v>45736</v>
      </c>
      <c r="I293" s="1">
        <v>66.540000000000006</v>
      </c>
      <c r="J293" s="10">
        <f t="shared" si="7"/>
        <v>-1.2613147351238974E-2</v>
      </c>
      <c r="L293" s="77"/>
      <c r="M293" s="30"/>
    </row>
    <row r="294" spans="2:13" x14ac:dyDescent="0.2">
      <c r="B294" s="77">
        <v>45737</v>
      </c>
      <c r="C294" s="30">
        <v>5667.56</v>
      </c>
      <c r="D294" s="10">
        <f t="shared" si="6"/>
        <v>8.2466726353502828E-4</v>
      </c>
      <c r="H294" s="77">
        <v>45737</v>
      </c>
      <c r="I294" s="1">
        <v>65.739999999999995</v>
      </c>
      <c r="J294" s="10">
        <f t="shared" si="7"/>
        <v>-1.2022843402464845E-2</v>
      </c>
      <c r="L294" s="77"/>
      <c r="M294" s="30"/>
    </row>
    <row r="295" spans="2:13" x14ac:dyDescent="0.2">
      <c r="B295" s="77">
        <v>45740</v>
      </c>
      <c r="C295" s="30">
        <v>5767.57</v>
      </c>
      <c r="D295" s="10">
        <f t="shared" si="6"/>
        <v>1.7646041682840563E-2</v>
      </c>
      <c r="H295" s="77">
        <v>45740</v>
      </c>
      <c r="I295" s="1">
        <v>65.8</v>
      </c>
      <c r="J295" s="10">
        <f t="shared" si="7"/>
        <v>9.126863401278662E-4</v>
      </c>
      <c r="L295" s="77"/>
      <c r="M295" s="30"/>
    </row>
    <row r="296" spans="2:13" x14ac:dyDescent="0.2">
      <c r="B296" s="77">
        <v>45741</v>
      </c>
      <c r="C296" s="30">
        <v>5776.65</v>
      </c>
      <c r="D296" s="10">
        <f t="shared" si="6"/>
        <v>1.5743198608773046E-3</v>
      </c>
      <c r="H296" s="77">
        <v>45741</v>
      </c>
      <c r="I296" s="1">
        <v>63.29</v>
      </c>
      <c r="J296" s="10">
        <f t="shared" si="7"/>
        <v>-3.8145896656534894E-2</v>
      </c>
      <c r="L296" s="77"/>
      <c r="M296" s="30"/>
    </row>
    <row r="297" spans="2:13" x14ac:dyDescent="0.2">
      <c r="B297" s="77">
        <v>45742</v>
      </c>
      <c r="C297" s="30">
        <v>5712.2</v>
      </c>
      <c r="D297" s="10">
        <f t="shared" si="6"/>
        <v>-1.115698545004451E-2</v>
      </c>
      <c r="H297" s="77">
        <v>45742</v>
      </c>
      <c r="I297" s="1">
        <v>63.48</v>
      </c>
      <c r="J297" s="10">
        <f t="shared" si="7"/>
        <v>3.0020540369726234E-3</v>
      </c>
      <c r="L297" s="77"/>
      <c r="M297" s="30"/>
    </row>
    <row r="298" spans="2:13" x14ac:dyDescent="0.2">
      <c r="B298" s="77">
        <v>45743</v>
      </c>
      <c r="C298" s="30">
        <v>5693.31</v>
      </c>
      <c r="D298" s="10">
        <f t="shared" si="6"/>
        <v>-3.3069570393192693E-3</v>
      </c>
      <c r="H298" s="77">
        <v>45743</v>
      </c>
      <c r="I298" s="1">
        <v>64.760000000000005</v>
      </c>
      <c r="J298" s="10">
        <f t="shared" si="7"/>
        <v>2.0163831127914422E-2</v>
      </c>
      <c r="L298" s="77"/>
      <c r="M298" s="30"/>
    </row>
    <row r="299" spans="2:13" x14ac:dyDescent="0.2">
      <c r="B299" s="77">
        <v>45744</v>
      </c>
      <c r="C299" s="30">
        <v>5580.94</v>
      </c>
      <c r="D299" s="10">
        <f t="shared" si="6"/>
        <v>-1.9737200328104554E-2</v>
      </c>
      <c r="H299" s="77">
        <v>45744</v>
      </c>
      <c r="I299" s="1">
        <v>63.48</v>
      </c>
      <c r="J299" s="10">
        <f t="shared" si="7"/>
        <v>-1.9765287214329907E-2</v>
      </c>
      <c r="L299" s="77"/>
      <c r="M299" s="30"/>
    </row>
    <row r="300" spans="2:13" x14ac:dyDescent="0.2">
      <c r="B300" s="77">
        <v>45747</v>
      </c>
      <c r="C300" s="30">
        <v>5611.85</v>
      </c>
      <c r="D300" s="10">
        <f t="shared" si="6"/>
        <v>5.5384935154294546E-3</v>
      </c>
      <c r="H300" s="77">
        <v>45747</v>
      </c>
      <c r="I300" s="1">
        <v>63.48</v>
      </c>
      <c r="J300" s="10">
        <f t="shared" si="7"/>
        <v>0</v>
      </c>
      <c r="L300" s="77"/>
      <c r="M300" s="30"/>
    </row>
    <row r="301" spans="2:13" x14ac:dyDescent="0.2">
      <c r="B301" s="77">
        <v>45748</v>
      </c>
      <c r="C301" s="30">
        <v>5633.07</v>
      </c>
      <c r="D301" s="10">
        <f t="shared" si="6"/>
        <v>3.7812842467277452E-3</v>
      </c>
      <c r="H301" s="77">
        <v>45748</v>
      </c>
      <c r="I301" s="1">
        <v>64.760000000000005</v>
      </c>
      <c r="J301" s="10">
        <f t="shared" si="7"/>
        <v>2.0163831127914422E-2</v>
      </c>
      <c r="L301" s="77"/>
      <c r="M301" s="30"/>
    </row>
    <row r="302" spans="2:13" x14ac:dyDescent="0.2">
      <c r="B302" s="77">
        <v>45749</v>
      </c>
      <c r="C302" s="30">
        <v>5670.97</v>
      </c>
      <c r="D302" s="10">
        <f t="shared" si="6"/>
        <v>6.7281251608803938E-3</v>
      </c>
      <c r="H302" s="77">
        <v>45749</v>
      </c>
      <c r="I302" s="1">
        <v>64.959999999999994</v>
      </c>
      <c r="J302" s="10">
        <f t="shared" si="7"/>
        <v>3.0883261272389717E-3</v>
      </c>
      <c r="L302" s="77"/>
      <c r="M302" s="30"/>
    </row>
    <row r="303" spans="2:13" x14ac:dyDescent="0.2">
      <c r="B303" s="77">
        <v>45750</v>
      </c>
      <c r="C303" s="30">
        <v>5396.52</v>
      </c>
      <c r="D303" s="10">
        <f t="shared" si="6"/>
        <v>-4.839560075260485E-2</v>
      </c>
      <c r="H303" s="77">
        <v>45750</v>
      </c>
      <c r="I303" s="1">
        <v>55.58</v>
      </c>
      <c r="J303" s="10">
        <f t="shared" si="7"/>
        <v>-0.1443965517241379</v>
      </c>
      <c r="L303" s="77"/>
      <c r="M303" s="30"/>
    </row>
    <row r="304" spans="2:13" x14ac:dyDescent="0.2">
      <c r="L304" s="77"/>
      <c r="M304" s="30"/>
    </row>
    <row r="305" spans="12:13" x14ac:dyDescent="0.2">
      <c r="L305" s="77"/>
      <c r="M305" s="30"/>
    </row>
    <row r="306" spans="12:13" x14ac:dyDescent="0.2">
      <c r="L306" s="77"/>
      <c r="M306" s="30"/>
    </row>
    <row r="307" spans="12:13" x14ac:dyDescent="0.2">
      <c r="L307" s="77"/>
      <c r="M307" s="30"/>
    </row>
    <row r="308" spans="12:13" x14ac:dyDescent="0.2">
      <c r="L308" s="77"/>
      <c r="M308" s="30"/>
    </row>
    <row r="309" spans="12:13" x14ac:dyDescent="0.2">
      <c r="L309" s="77"/>
      <c r="M309" s="30"/>
    </row>
    <row r="310" spans="12:13" x14ac:dyDescent="0.2">
      <c r="L310" s="77"/>
      <c r="M310" s="30"/>
    </row>
    <row r="311" spans="12:13" x14ac:dyDescent="0.2">
      <c r="L311" s="77"/>
      <c r="M311" s="30"/>
    </row>
    <row r="312" spans="12:13" x14ac:dyDescent="0.2">
      <c r="L312" s="77"/>
      <c r="M312" s="30"/>
    </row>
    <row r="313" spans="12:13" x14ac:dyDescent="0.2">
      <c r="L313" s="77"/>
      <c r="M313" s="30"/>
    </row>
    <row r="314" spans="12:13" x14ac:dyDescent="0.2">
      <c r="L314" s="77"/>
      <c r="M314" s="30"/>
    </row>
    <row r="315" spans="12:13" x14ac:dyDescent="0.2">
      <c r="L315" s="77"/>
      <c r="M315" s="30"/>
    </row>
  </sheetData>
  <mergeCells count="2">
    <mergeCell ref="B48:D48"/>
    <mergeCell ref="H48:J48"/>
  </mergeCells>
  <hyperlinks>
    <hyperlink ref="A1" location="Main!A1" display="Main" xr:uid="{A9FBE790-0E25-4AE9-9AC5-4D96809900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Ratios</vt:lpstr>
      <vt:lpstr>DCF</vt:lpstr>
      <vt:lpstr>CoC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2024-06-10T08:04:28Z</dcterms:created>
  <dcterms:modified xsi:type="dcterms:W3CDTF">2026-07-17T09:52:45Z</dcterms:modified>
</cp:coreProperties>
</file>