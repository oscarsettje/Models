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03CD83D-FBD3-4F0F-8F2A-11109913DF33}" xr6:coauthVersionLast="47" xr6:coauthVersionMax="47" xr10:uidLastSave="{00000000-0000-0000-0000-000000000000}"/>
  <bookViews>
    <workbookView xWindow="19095" yWindow="0" windowWidth="19410" windowHeight="20985" activeTab="1" xr2:uid="{4E82A43E-637D-4DBB-91B0-A5D722633EB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2" l="1"/>
  <c r="P29" i="2" s="1"/>
  <c r="P25" i="2"/>
  <c r="P18" i="2"/>
  <c r="P19" i="2"/>
  <c r="P17" i="2"/>
  <c r="P33" i="2" s="1"/>
  <c r="O29" i="2"/>
  <c r="P35" i="2"/>
  <c r="O35" i="2"/>
  <c r="P34" i="2"/>
  <c r="O34" i="2"/>
  <c r="O33" i="2"/>
  <c r="P32" i="2"/>
  <c r="O32" i="2"/>
  <c r="O17" i="2"/>
  <c r="O19" i="2" s="1"/>
  <c r="O25" i="2" s="1"/>
  <c r="O27" i="2" s="1"/>
  <c r="N32" i="2"/>
  <c r="M19" i="2"/>
  <c r="N17" i="2"/>
  <c r="N33" i="2" s="1"/>
  <c r="Z18" i="2"/>
  <c r="Z17" i="2"/>
  <c r="Z33" i="2" s="1"/>
  <c r="M12" i="2"/>
  <c r="M17" i="2"/>
  <c r="L32" i="2"/>
  <c r="K32" i="2"/>
  <c r="L17" i="2"/>
  <c r="K18" i="2"/>
  <c r="K17" i="2"/>
  <c r="K33" i="2" s="1"/>
  <c r="W20" i="2"/>
  <c r="Y15" i="2"/>
  <c r="Y17" i="2" s="1"/>
  <c r="Y33" i="2" s="1"/>
  <c r="X15" i="2"/>
  <c r="X17" i="2" s="1"/>
  <c r="X33" i="2" s="1"/>
  <c r="W15" i="2"/>
  <c r="W17" i="2" s="1"/>
  <c r="W33" i="2" s="1"/>
  <c r="V15" i="2"/>
  <c r="V17" i="2" s="1"/>
  <c r="V33" i="2" s="1"/>
  <c r="U15" i="2"/>
  <c r="U17" i="2" s="1"/>
  <c r="U33" i="2" s="1"/>
  <c r="T15" i="2"/>
  <c r="T17" i="2" s="1"/>
  <c r="T19" i="2" s="1"/>
  <c r="T25" i="2" s="1"/>
  <c r="T27" i="2" s="1"/>
  <c r="T29" i="2" s="1"/>
  <c r="J15" i="2"/>
  <c r="J17" i="2" s="1"/>
  <c r="J19" i="2" s="1"/>
  <c r="J25" i="2" s="1"/>
  <c r="H17" i="2"/>
  <c r="H33" i="2" s="1"/>
  <c r="G17" i="2"/>
  <c r="G19" i="2" s="1"/>
  <c r="G25" i="2" s="1"/>
  <c r="F15" i="2"/>
  <c r="F17" i="2" s="1"/>
  <c r="F19" i="2" s="1"/>
  <c r="F25" i="2" s="1"/>
  <c r="E15" i="2"/>
  <c r="E17" i="2" s="1"/>
  <c r="E33" i="2" s="1"/>
  <c r="D15" i="2"/>
  <c r="D17" i="2" s="1"/>
  <c r="D33" i="2" s="1"/>
  <c r="C15" i="2"/>
  <c r="C17" i="2" s="1"/>
  <c r="C33" i="2" s="1"/>
  <c r="I15" i="2"/>
  <c r="J4" i="1"/>
  <c r="N19" i="2" l="1"/>
  <c r="Z19" i="2"/>
  <c r="Z32" i="2"/>
  <c r="M33" i="2"/>
  <c r="L19" i="2"/>
  <c r="L33" i="2"/>
  <c r="I17" i="2"/>
  <c r="M32" i="2"/>
  <c r="K19" i="2"/>
  <c r="H19" i="2"/>
  <c r="H25" i="2" s="1"/>
  <c r="H35" i="2" s="1"/>
  <c r="F33" i="2"/>
  <c r="G33" i="2"/>
  <c r="U19" i="2"/>
  <c r="U25" i="2" s="1"/>
  <c r="V19" i="2"/>
  <c r="V25" i="2" s="1"/>
  <c r="V35" i="2" s="1"/>
  <c r="W19" i="2"/>
  <c r="W25" i="2" s="1"/>
  <c r="X19" i="2"/>
  <c r="X25" i="2" s="1"/>
  <c r="X35" i="2" s="1"/>
  <c r="Y19" i="2"/>
  <c r="Y25" i="2" s="1"/>
  <c r="Y35" i="2" s="1"/>
  <c r="F34" i="2"/>
  <c r="G34" i="2"/>
  <c r="J34" i="2"/>
  <c r="F27" i="2"/>
  <c r="F29" i="2" s="1"/>
  <c r="G27" i="2"/>
  <c r="G29" i="2" s="1"/>
  <c r="J27" i="2"/>
  <c r="J29" i="2" s="1"/>
  <c r="U32" i="2"/>
  <c r="E19" i="2"/>
  <c r="V32" i="2"/>
  <c r="C19" i="2"/>
  <c r="W32" i="2"/>
  <c r="D19" i="2"/>
  <c r="Y32" i="2"/>
  <c r="X32" i="2"/>
  <c r="J7" i="1"/>
  <c r="J32" i="2"/>
  <c r="F35" i="2"/>
  <c r="G35" i="2"/>
  <c r="J33" i="2"/>
  <c r="G32" i="2"/>
  <c r="I32" i="2"/>
  <c r="J35" i="2"/>
  <c r="H32" i="2"/>
  <c r="N25" i="2" l="1"/>
  <c r="N34" i="2"/>
  <c r="Z25" i="2"/>
  <c r="Z34" i="2"/>
  <c r="I19" i="2"/>
  <c r="I33" i="2"/>
  <c r="M34" i="2"/>
  <c r="M25" i="2"/>
  <c r="L34" i="2"/>
  <c r="L25" i="2"/>
  <c r="K25" i="2"/>
  <c r="K34" i="2"/>
  <c r="U35" i="2"/>
  <c r="U27" i="2"/>
  <c r="U29" i="2" s="1"/>
  <c r="Y27" i="2"/>
  <c r="Y29" i="2" s="1"/>
  <c r="X27" i="2"/>
  <c r="X29" i="2" s="1"/>
  <c r="V27" i="2"/>
  <c r="V29" i="2" s="1"/>
  <c r="H27" i="2"/>
  <c r="H29" i="2" s="1"/>
  <c r="H34" i="2"/>
  <c r="X34" i="2"/>
  <c r="W34" i="2"/>
  <c r="V34" i="2"/>
  <c r="U34" i="2"/>
  <c r="Y34" i="2"/>
  <c r="W27" i="2"/>
  <c r="W29" i="2" s="1"/>
  <c r="W35" i="2"/>
  <c r="D25" i="2"/>
  <c r="D34" i="2"/>
  <c r="C25" i="2"/>
  <c r="C34" i="2"/>
  <c r="E25" i="2"/>
  <c r="E34" i="2"/>
  <c r="N35" i="2" l="1"/>
  <c r="N27" i="2"/>
  <c r="N29" i="2" s="1"/>
  <c r="Z35" i="2"/>
  <c r="Z27" i="2"/>
  <c r="Z29" i="2" s="1"/>
  <c r="I34" i="2"/>
  <c r="I25" i="2"/>
  <c r="M27" i="2"/>
  <c r="M29" i="2" s="1"/>
  <c r="M35" i="2"/>
  <c r="L27" i="2"/>
  <c r="L29" i="2" s="1"/>
  <c r="L35" i="2"/>
  <c r="K35" i="2"/>
  <c r="K27" i="2"/>
  <c r="K29" i="2" s="1"/>
  <c r="E27" i="2"/>
  <c r="E29" i="2" s="1"/>
  <c r="E35" i="2"/>
  <c r="C27" i="2"/>
  <c r="C29" i="2" s="1"/>
  <c r="C35" i="2"/>
  <c r="D27" i="2"/>
  <c r="D29" i="2" s="1"/>
  <c r="D35" i="2"/>
  <c r="I27" i="2" l="1"/>
  <c r="I29" i="2" s="1"/>
  <c r="I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tc={D51EE676-5C5B-4335-A546-EAAD45EEB1DD}</author>
    <author>tc={711DCC9E-6314-48C0-8101-7AEAA9FA9195}</author>
    <author>tc={F0ACDF0F-CDA2-4712-9A7E-53F6389B265C}</author>
  </authors>
  <commentList>
    <comment ref="Z8" authorId="0" shapeId="0" xr:uid="{D51EE676-5C5B-4335-A546-EAAD45EEB1DD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sgment reporting</t>
      </text>
    </comment>
    <comment ref="P18" authorId="1" shapeId="0" xr:uid="{711DCC9E-6314-48C0-8101-7AEAA9FA9195}">
      <text>
        <t>[Threaded comment]
Your version of Excel allows you to read this threaded comment; however, any edits to it will get removed if the file is opened in a newer version of Excel. Learn more: https://go.microsoft.com/fwlink/?linkid=870924
Comment:
    439 Assets Impairment</t>
      </text>
    </comment>
    <comment ref="Z18" authorId="2" shapeId="0" xr:uid="{F0ACDF0F-CDA2-4712-9A7E-53F6389B265C}">
      <text>
        <t>[Threaded comment]
Your version of Excel allows you to read this threaded comment; however, any edits to it will get removed if the file is opened in a newer version of Excel. Learn more: https://go.microsoft.com/fwlink/?linkid=870924
Comment:
    479,5 mio Goowill impairment</t>
      </text>
    </comment>
  </commentList>
</comments>
</file>

<file path=xl/sharedStrings.xml><?xml version="1.0" encoding="utf-8"?>
<sst xmlns="http://schemas.openxmlformats.org/spreadsheetml/2006/main" count="78" uniqueCount="68">
  <si>
    <t>PVH Corp</t>
  </si>
  <si>
    <t>numbers in mio USD</t>
  </si>
  <si>
    <t>Price</t>
  </si>
  <si>
    <t>Shares</t>
  </si>
  <si>
    <t>MC</t>
  </si>
  <si>
    <t>Cash</t>
  </si>
  <si>
    <t>Debt</t>
  </si>
  <si>
    <t>EV</t>
  </si>
  <si>
    <t>Q324</t>
  </si>
  <si>
    <t>PVH</t>
  </si>
  <si>
    <t>IR</t>
  </si>
  <si>
    <t>Main</t>
  </si>
  <si>
    <t>Q123</t>
  </si>
  <si>
    <t>Q223</t>
  </si>
  <si>
    <t>Q323</t>
  </si>
  <si>
    <t>Q423</t>
  </si>
  <si>
    <t>Q124</t>
  </si>
  <si>
    <t>Q224</t>
  </si>
  <si>
    <t>Q424</t>
  </si>
  <si>
    <t>Revenue</t>
  </si>
  <si>
    <t>Advertising and other</t>
  </si>
  <si>
    <t>COGS</t>
  </si>
  <si>
    <t>Gross Profit</t>
  </si>
  <si>
    <t>SGA</t>
  </si>
  <si>
    <t>Pension income</t>
  </si>
  <si>
    <t>Other gains</t>
  </si>
  <si>
    <t>Equity income of affiliates</t>
  </si>
  <si>
    <t>Operating Income</t>
  </si>
  <si>
    <t>Interest Income</t>
  </si>
  <si>
    <t>Interest Expense</t>
  </si>
  <si>
    <t>Pretax Income</t>
  </si>
  <si>
    <t>Tax Expense</t>
  </si>
  <si>
    <t>Net Income</t>
  </si>
  <si>
    <t>EPS</t>
  </si>
  <si>
    <t>Wholesale Revenue</t>
  </si>
  <si>
    <t>Retail Stores Revenue</t>
  </si>
  <si>
    <t>Ecommerce Revenue</t>
  </si>
  <si>
    <t>Revenue Growth</t>
  </si>
  <si>
    <t>Gross Margin</t>
  </si>
  <si>
    <t>Operating Margin</t>
  </si>
  <si>
    <t>Tax Rate</t>
  </si>
  <si>
    <t>Segments</t>
  </si>
  <si>
    <t>Tommy Hilfiger</t>
  </si>
  <si>
    <t>Calvin Klein</t>
  </si>
  <si>
    <t>FY19</t>
  </si>
  <si>
    <t>FY20</t>
  </si>
  <si>
    <t>FY21</t>
  </si>
  <si>
    <t>FY22</t>
  </si>
  <si>
    <t>FY23</t>
  </si>
  <si>
    <t>FY24</t>
  </si>
  <si>
    <t>Royalty Revenue</t>
  </si>
  <si>
    <t>Q125</t>
  </si>
  <si>
    <t>Q225</t>
  </si>
  <si>
    <t>Q325</t>
  </si>
  <si>
    <t>Q425</t>
  </si>
  <si>
    <t>Retail Sales</t>
  </si>
  <si>
    <t>EMEA Revenue</t>
  </si>
  <si>
    <t>Americas Revenue</t>
  </si>
  <si>
    <t>APAC Revenue</t>
  </si>
  <si>
    <t>Tommy Hilfiger Revenue</t>
  </si>
  <si>
    <t>Calvin Klein Revenue</t>
  </si>
  <si>
    <t>Heritage Brands Revenue</t>
  </si>
  <si>
    <t>FY25</t>
  </si>
  <si>
    <t>Q126</t>
  </si>
  <si>
    <t>Q226</t>
  </si>
  <si>
    <t>Q326</t>
  </si>
  <si>
    <t>Q426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</si>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</sst>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;\(#,##0.0\)"/>
    <numFmt numFmtId="166" formatCode="#,##0.00;\(#,##0.0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8" fillId="0" borderId="0" xfId="2" applyFont="1"/>
    <xf numFmtId="0" fontId="4" fillId="0" borderId="0" xfId="0" applyFont="1"/>
    <xf numFmtId="0" fontId="4" fillId="0" borderId="0" xfId="0" applyFont="1" applyAlignment="1">
      <alignment horizontal="right"/>
    </xf>
    <xf numFmtId="165" fontId="4" fillId="0" borderId="0" xfId="0" applyNumberFormat="1" applyFont="1"/>
    <xf numFmtId="0" fontId="7" fillId="0" borderId="0" xfId="0" applyFont="1"/>
    <xf numFmtId="165" fontId="7" fillId="0" borderId="0" xfId="0" applyNumberFormat="1" applyFont="1"/>
    <xf numFmtId="166" fontId="4" fillId="0" borderId="0" xfId="0" applyNumberFormat="1" applyFont="1"/>
    <xf numFmtId="164" fontId="4" fillId="0" borderId="0" xfId="0" applyNumberFormat="1" applyFont="1"/>
    <xf numFmtId="9" fontId="4" fillId="0" borderId="0" xfId="1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164" fontId="7" fillId="0" borderId="0" xfId="0" applyNumberFormat="1" applyFont="1"/>
    <xf numFmtId="9" fontId="7" fillId="0" borderId="0" xfId="1" applyFont="1"/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2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08AA6270-0AA0-4052-82A4-EF407D925022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8" dT="2026-05-15T11:58:36.19" personId="{08AA6270-0AA0-4052-82A4-EF407D925022}" id="{D51EE676-5C5B-4335-A546-EAAD45EEB1DD}">
    <text>Changed sgment reporting</text>
  </threadedComment>
  <threadedComment ref="P18" dT="2026-09-04T08:57:54.20" personId="{08AA6270-0AA0-4052-82A4-EF407D925022}" id="{711DCC9E-6314-48C0-8101-7AEAA9FA9195}">
    <text>439 Assets Impairment</text>
  </threadedComment>
  <threadedComment ref="Z18" dT="2026-05-15T11:52:09.02" personId="{08AA6270-0AA0-4052-82A4-EF407D925022}" id="{F0ACDF0F-CDA2-4712-9A7E-53F6389B265C}">
    <text>479,5 mio Goowill impairment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vh.com/investor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AF53-00DD-49E0-9789-00B0461E23A4}">
  <dimension ref="A1:K10"/>
  <sheetViews>
    <sheetView topLeftCell="C1" zoomScale="200" zoomScaleNormal="200" workbookViewId="0">
      <selection activeCell="J7" sqref="J7"/>
    </sheetView>
  </sheetViews>
  <sheetFormatPr defaultRowHeight="12.75" x14ac:dyDescent="0.2"/>
  <cols>
    <col min="1" max="1" width="3.85546875" style="2" customWidth="1"/>
    <col min="2" max="2" width="14.28515625" style="2" bestFit="1" customWidth="1"/>
    <col min="3" max="16384" width="9.140625" style="2"/>
  </cols>
  <sheetData>
    <row r="1" spans="1:11" x14ac:dyDescent="0.2">
      <c r="A1" s="5" t="s">
        <v>0</v>
      </c>
    </row>
    <row r="2" spans="1:11" x14ac:dyDescent="0.2">
      <c r="A2" s="2" t="s">
        <v>1</v>
      </c>
      <c r="I2" s="2" t="s">
        <v>2</v>
      </c>
      <c r="J2" s="7">
        <v>72.459999999999994</v>
      </c>
    </row>
    <row r="3" spans="1:11" x14ac:dyDescent="0.2">
      <c r="I3" s="2" t="s">
        <v>3</v>
      </c>
      <c r="J3" s="4">
        <v>46.137833000000001</v>
      </c>
      <c r="K3" s="26" t="s">
        <v>64</v>
      </c>
    </row>
    <row r="4" spans="1:11" x14ac:dyDescent="0.2">
      <c r="B4" s="2" t="s">
        <v>9</v>
      </c>
      <c r="I4" s="2" t="s">
        <v>4</v>
      </c>
      <c r="J4" s="4">
        <f>+J2*J3</f>
        <v>3343.1473791799999</v>
      </c>
    </row>
    <row r="5" spans="1:11" x14ac:dyDescent="0.2">
      <c r="B5" s="1" t="s">
        <v>10</v>
      </c>
      <c r="I5" s="2" t="s">
        <v>5</v>
      </c>
      <c r="J5" s="4">
        <v>965.9</v>
      </c>
      <c r="K5" s="26" t="s">
        <v>64</v>
      </c>
    </row>
    <row r="6" spans="1:11" x14ac:dyDescent="0.2">
      <c r="I6" s="2" t="s">
        <v>6</v>
      </c>
      <c r="J6" s="4">
        <v>2236.5</v>
      </c>
      <c r="K6" s="26" t="s">
        <v>64</v>
      </c>
    </row>
    <row r="7" spans="1:11" x14ac:dyDescent="0.2">
      <c r="B7" s="10" t="s">
        <v>41</v>
      </c>
      <c r="C7" s="11"/>
      <c r="D7" s="11"/>
      <c r="E7" s="12"/>
      <c r="I7" s="2" t="s">
        <v>7</v>
      </c>
      <c r="J7" s="4">
        <f>+J4-J5+J6</f>
        <v>4613.7473791800003</v>
      </c>
    </row>
    <row r="8" spans="1:11" x14ac:dyDescent="0.2">
      <c r="B8" s="13" t="s">
        <v>42</v>
      </c>
      <c r="C8" s="14"/>
      <c r="D8" s="14"/>
      <c r="E8" s="15"/>
    </row>
    <row r="9" spans="1:11" x14ac:dyDescent="0.2">
      <c r="B9" s="16" t="s">
        <v>43</v>
      </c>
      <c r="E9" s="17"/>
    </row>
    <row r="10" spans="1:11" x14ac:dyDescent="0.2">
      <c r="B10" s="18"/>
      <c r="C10" s="19"/>
      <c r="D10" s="19"/>
      <c r="E10" s="20"/>
    </row>
  </sheetData>
  <hyperlinks>
    <hyperlink ref="B5" r:id="rId1" xr:uid="{DC6072B6-9981-457D-A8F6-5F209F543F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90B7-A3DC-4D3A-A9CD-5D107CBCFC5C}">
  <dimension ref="A1:BY605"/>
  <sheetViews>
    <sheetView tabSelected="1"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O15" sqref="O15"/>
    </sheetView>
  </sheetViews>
  <sheetFormatPr defaultRowHeight="12.75" x14ac:dyDescent="0.2"/>
  <cols>
    <col min="1" max="1" width="5.42578125" style="2" bestFit="1" customWidth="1"/>
    <col min="2" max="2" width="27.28515625" style="2" customWidth="1"/>
    <col min="3" max="16384" width="9.140625" style="2"/>
  </cols>
  <sheetData>
    <row r="1" spans="1:77" x14ac:dyDescent="0.2">
      <c r="A1" s="1" t="s">
        <v>11</v>
      </c>
    </row>
    <row r="2" spans="1:77" x14ac:dyDescent="0.2"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8</v>
      </c>
      <c r="J2" s="3" t="s">
        <v>18</v>
      </c>
      <c r="K2" s="3" t="s">
        <v>51</v>
      </c>
      <c r="L2" s="3" t="s">
        <v>52</v>
      </c>
      <c r="M2" s="3" t="s">
        <v>53</v>
      </c>
      <c r="N2" s="3" t="s">
        <v>54</v>
      </c>
      <c r="O2" s="23" t="s">
        <v>63</v>
      </c>
      <c r="P2" s="23" t="s">
        <v>64</v>
      </c>
      <c r="Q2" s="23" t="s">
        <v>65</v>
      </c>
      <c r="R2" s="23" t="s">
        <v>66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23" t="s">
        <v>62</v>
      </c>
    </row>
    <row r="3" spans="1:77" x14ac:dyDescent="0.2">
      <c r="B3" s="2" t="s">
        <v>56</v>
      </c>
      <c r="C3" s="4"/>
      <c r="D3" s="4"/>
      <c r="E3" s="4"/>
      <c r="F3" s="4"/>
      <c r="G3" s="4">
        <v>882.9</v>
      </c>
      <c r="H3" s="4">
        <v>1014.2</v>
      </c>
      <c r="I3" s="4">
        <v>1072.7</v>
      </c>
      <c r="J3" s="4"/>
      <c r="K3" s="4">
        <v>927.8</v>
      </c>
      <c r="L3" s="4">
        <v>1048.5</v>
      </c>
      <c r="M3" s="4">
        <v>1113.9000000000001</v>
      </c>
      <c r="N3" s="4"/>
      <c r="O3" s="4">
        <v>946.1</v>
      </c>
      <c r="P3" s="4">
        <v>986.3</v>
      </c>
      <c r="Q3" s="4"/>
      <c r="R3" s="4"/>
      <c r="S3" s="4"/>
      <c r="T3" s="4"/>
      <c r="U3" s="4"/>
      <c r="V3" s="4"/>
      <c r="W3" s="4"/>
      <c r="X3" s="4">
        <v>4316.7</v>
      </c>
      <c r="Y3" s="4">
        <v>4063.5</v>
      </c>
      <c r="Z3" s="4">
        <v>4273.6000000000004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</row>
    <row r="4" spans="1:77" x14ac:dyDescent="0.2">
      <c r="B4" s="2" t="s">
        <v>57</v>
      </c>
      <c r="C4" s="4"/>
      <c r="D4" s="4"/>
      <c r="E4" s="4"/>
      <c r="F4" s="4"/>
      <c r="G4" s="4">
        <v>569.20000000000005</v>
      </c>
      <c r="H4" s="4">
        <v>617.5</v>
      </c>
      <c r="I4" s="4">
        <v>666.3</v>
      </c>
      <c r="J4" s="4"/>
      <c r="K4" s="4">
        <v>608.4</v>
      </c>
      <c r="L4" s="4">
        <v>684</v>
      </c>
      <c r="M4" s="4">
        <v>682.8</v>
      </c>
      <c r="N4" s="4"/>
      <c r="O4" s="4">
        <v>602.9</v>
      </c>
      <c r="P4" s="4">
        <v>680.1</v>
      </c>
      <c r="Q4" s="4"/>
      <c r="R4" s="4"/>
      <c r="S4" s="4"/>
      <c r="T4" s="4"/>
      <c r="U4" s="4"/>
      <c r="V4" s="4"/>
      <c r="W4" s="4"/>
      <c r="X4" s="4">
        <v>2855.7</v>
      </c>
      <c r="Y4" s="4">
        <v>2586.1999999999998</v>
      </c>
      <c r="Z4" s="4">
        <v>2739.9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77" x14ac:dyDescent="0.2">
      <c r="B5" s="2" t="s">
        <v>58</v>
      </c>
      <c r="C5" s="4"/>
      <c r="D5" s="4"/>
      <c r="E5" s="4"/>
      <c r="F5" s="4"/>
      <c r="G5" s="4">
        <v>402.5</v>
      </c>
      <c r="H5" s="4">
        <v>339.8</v>
      </c>
      <c r="I5" s="4">
        <v>397.7</v>
      </c>
      <c r="J5" s="4"/>
      <c r="K5" s="4">
        <v>351.7</v>
      </c>
      <c r="L5" s="4">
        <v>335.2</v>
      </c>
      <c r="M5" s="4">
        <v>391.9</v>
      </c>
      <c r="N5" s="4"/>
      <c r="O5" s="4">
        <v>387</v>
      </c>
      <c r="P5" s="4">
        <v>343.7</v>
      </c>
      <c r="Q5" s="4"/>
      <c r="R5" s="4"/>
      <c r="S5" s="4"/>
      <c r="T5" s="4"/>
      <c r="U5" s="4"/>
      <c r="V5" s="4"/>
      <c r="W5" s="4"/>
      <c r="X5" s="4">
        <v>1602.4</v>
      </c>
      <c r="Y5" s="4">
        <v>1575.5</v>
      </c>
      <c r="Z5" s="4">
        <v>1515.5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</row>
    <row r="6" spans="1:77" x14ac:dyDescent="0.2">
      <c r="B6" s="2" t="s">
        <v>59</v>
      </c>
      <c r="C6" s="4"/>
      <c r="D6" s="4"/>
      <c r="E6" s="4"/>
      <c r="F6" s="4"/>
      <c r="G6" s="4">
        <v>1013.3</v>
      </c>
      <c r="H6" s="4">
        <v>1093.4000000000001</v>
      </c>
      <c r="I6" s="4">
        <v>1200.9000000000001</v>
      </c>
      <c r="J6" s="4"/>
      <c r="K6" s="4">
        <v>1048.0999999999999</v>
      </c>
      <c r="L6" s="4">
        <v>1135.9000000000001</v>
      </c>
      <c r="M6" s="4">
        <v>1217.7</v>
      </c>
      <c r="N6" s="4"/>
      <c r="O6" s="4">
        <v>1077.3</v>
      </c>
      <c r="P6" s="4">
        <v>1131.8</v>
      </c>
      <c r="Q6" s="4"/>
      <c r="R6" s="4"/>
      <c r="S6" s="4"/>
      <c r="T6" s="4"/>
      <c r="U6" s="4"/>
      <c r="V6" s="4"/>
      <c r="W6" s="4"/>
      <c r="X6" s="4"/>
      <c r="Y6" s="4"/>
      <c r="Z6" s="24" t="s">
        <v>67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77" x14ac:dyDescent="0.2">
      <c r="B7" s="2" t="s">
        <v>60</v>
      </c>
      <c r="C7" s="4"/>
      <c r="D7" s="4"/>
      <c r="E7" s="4"/>
      <c r="F7" s="4"/>
      <c r="G7" s="4">
        <v>886.8</v>
      </c>
      <c r="H7" s="4">
        <v>930.3</v>
      </c>
      <c r="I7" s="4">
        <v>993.9</v>
      </c>
      <c r="J7" s="4"/>
      <c r="K7" s="4">
        <v>886.1</v>
      </c>
      <c r="L7" s="4">
        <v>980</v>
      </c>
      <c r="M7" s="4">
        <v>1018.2</v>
      </c>
      <c r="N7" s="4"/>
      <c r="O7" s="4">
        <v>895.2</v>
      </c>
      <c r="P7" s="4">
        <v>913.3</v>
      </c>
      <c r="Q7" s="4"/>
      <c r="R7" s="4"/>
      <c r="S7" s="4"/>
      <c r="T7" s="4"/>
      <c r="U7" s="4"/>
      <c r="V7" s="4"/>
      <c r="W7" s="4"/>
      <c r="X7" s="4"/>
      <c r="Y7" s="4"/>
      <c r="Z7" s="24" t="s">
        <v>67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</row>
    <row r="8" spans="1:77" x14ac:dyDescent="0.2">
      <c r="B8" s="2" t="s">
        <v>61</v>
      </c>
      <c r="C8" s="4"/>
      <c r="D8" s="4"/>
      <c r="E8" s="4"/>
      <c r="F8" s="4"/>
      <c r="G8" s="4">
        <v>51.8</v>
      </c>
      <c r="H8" s="4">
        <v>50.6</v>
      </c>
      <c r="I8" s="4">
        <v>60.3</v>
      </c>
      <c r="J8" s="4"/>
      <c r="K8" s="4">
        <v>49.4</v>
      </c>
      <c r="L8" s="4">
        <v>51.3</v>
      </c>
      <c r="M8" s="4">
        <v>58.4</v>
      </c>
      <c r="N8" s="4"/>
      <c r="O8" s="4">
        <v>52.6</v>
      </c>
      <c r="P8" s="4">
        <v>51.9</v>
      </c>
      <c r="Q8" s="4"/>
      <c r="R8" s="4"/>
      <c r="S8" s="4"/>
      <c r="T8" s="4"/>
      <c r="U8" s="4"/>
      <c r="V8" s="4"/>
      <c r="W8" s="4"/>
      <c r="X8" s="4"/>
      <c r="Y8" s="4"/>
      <c r="Z8" s="24" t="s">
        <v>67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77" x14ac:dyDescent="0.2">
      <c r="B9" s="2" t="s">
        <v>34</v>
      </c>
      <c r="C9" s="4"/>
      <c r="D9" s="4"/>
      <c r="E9" s="4">
        <v>1301.5999999999999</v>
      </c>
      <c r="F9" s="4"/>
      <c r="G9" s="4">
        <v>1008.7</v>
      </c>
      <c r="H9" s="4">
        <v>954.4</v>
      </c>
      <c r="I9" s="4">
        <v>1203.0999999999999</v>
      </c>
      <c r="J9" s="4"/>
      <c r="K9" s="4">
        <v>1071.3</v>
      </c>
      <c r="L9" s="4">
        <v>1013.1</v>
      </c>
      <c r="M9" s="4">
        <v>1257.5999999999999</v>
      </c>
      <c r="N9" s="4"/>
      <c r="O9" s="4">
        <v>1067</v>
      </c>
      <c r="P9" s="4">
        <v>954</v>
      </c>
      <c r="Q9" s="4"/>
      <c r="R9" s="4"/>
      <c r="S9" s="4"/>
      <c r="T9" s="4"/>
      <c r="U9" s="4"/>
      <c r="V9" s="4"/>
      <c r="W9" s="4">
        <v>4704</v>
      </c>
      <c r="X9" s="4">
        <v>4554.7</v>
      </c>
      <c r="Y9" s="4">
        <v>4108.8</v>
      </c>
      <c r="Z9" s="24" t="s">
        <v>67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77" x14ac:dyDescent="0.2">
      <c r="B10" s="2" t="s">
        <v>35</v>
      </c>
      <c r="C10" s="4"/>
      <c r="D10" s="4"/>
      <c r="E10" s="4">
        <v>754.7</v>
      </c>
      <c r="F10" s="4"/>
      <c r="G10" s="4">
        <v>697.5</v>
      </c>
      <c r="H10" s="4">
        <v>836.4</v>
      </c>
      <c r="I10" s="4">
        <v>760</v>
      </c>
      <c r="J10" s="4"/>
      <c r="K10" s="4">
        <v>663</v>
      </c>
      <c r="L10" s="4">
        <v>868</v>
      </c>
      <c r="M10" s="4">
        <v>760.7</v>
      </c>
      <c r="N10" s="4"/>
      <c r="O10" s="4">
        <v>698.9</v>
      </c>
      <c r="P10" s="4">
        <v>862</v>
      </c>
      <c r="Q10" s="4"/>
      <c r="R10" s="4"/>
      <c r="S10" s="4"/>
      <c r="T10" s="4"/>
      <c r="U10" s="4"/>
      <c r="V10" s="4"/>
      <c r="W10" s="4">
        <v>3118.2</v>
      </c>
      <c r="X10" s="4">
        <v>3399.8</v>
      </c>
      <c r="Y10" s="4">
        <v>3348.9</v>
      </c>
      <c r="Z10" s="24" t="s">
        <v>67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77" x14ac:dyDescent="0.2">
      <c r="B11" s="2" t="s">
        <v>36</v>
      </c>
      <c r="C11" s="4"/>
      <c r="D11" s="4"/>
      <c r="E11" s="4">
        <v>169.5</v>
      </c>
      <c r="F11" s="4"/>
      <c r="G11" s="4">
        <v>148.4</v>
      </c>
      <c r="H11" s="4">
        <v>180.7</v>
      </c>
      <c r="I11" s="4">
        <v>167.9</v>
      </c>
      <c r="J11" s="4"/>
      <c r="K11" s="4">
        <v>153.5</v>
      </c>
      <c r="L11" s="4">
        <v>186.6</v>
      </c>
      <c r="M11" s="4">
        <v>170.3</v>
      </c>
      <c r="N11" s="4"/>
      <c r="O11" s="4">
        <v>170.1</v>
      </c>
      <c r="P11" s="4">
        <v>194.1</v>
      </c>
      <c r="Q11" s="4"/>
      <c r="R11" s="4"/>
      <c r="S11" s="4"/>
      <c r="T11" s="4"/>
      <c r="U11" s="4"/>
      <c r="V11" s="4"/>
      <c r="W11" s="4">
        <v>722.7</v>
      </c>
      <c r="X11" s="4">
        <v>797.3</v>
      </c>
      <c r="Y11" s="4">
        <v>745.4</v>
      </c>
      <c r="Z11" s="24" t="s">
        <v>67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</row>
    <row r="12" spans="1:77" x14ac:dyDescent="0.2">
      <c r="B12" s="2" t="s">
        <v>55</v>
      </c>
      <c r="C12" s="4"/>
      <c r="D12" s="4"/>
      <c r="E12" s="4">
        <v>2225.8000000000002</v>
      </c>
      <c r="F12" s="4"/>
      <c r="G12" s="4">
        <v>845.9</v>
      </c>
      <c r="H12" s="4">
        <v>1017.1</v>
      </c>
      <c r="I12" s="4">
        <v>2131</v>
      </c>
      <c r="J12" s="4"/>
      <c r="K12" s="4">
        <v>816.5</v>
      </c>
      <c r="L12" s="4">
        <v>1054.5999999999999</v>
      </c>
      <c r="M12" s="4">
        <f>+M10+M11</f>
        <v>931</v>
      </c>
      <c r="N12" s="4"/>
      <c r="O12" s="4">
        <v>869</v>
      </c>
      <c r="P12" s="4">
        <v>1056.0999999999999</v>
      </c>
      <c r="Q12" s="4"/>
      <c r="R12" s="4"/>
      <c r="S12" s="4"/>
      <c r="T12" s="4"/>
      <c r="U12" s="4"/>
      <c r="V12" s="4"/>
      <c r="W12" s="4">
        <v>8544.9</v>
      </c>
      <c r="X12" s="4">
        <v>8751.7999999999993</v>
      </c>
      <c r="Y12" s="4">
        <v>8203.1</v>
      </c>
      <c r="Z12" s="24" t="s">
        <v>67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77" x14ac:dyDescent="0.2">
      <c r="B13" s="2" t="s">
        <v>50</v>
      </c>
      <c r="C13" s="4"/>
      <c r="D13" s="4"/>
      <c r="E13" s="4">
        <v>108</v>
      </c>
      <c r="F13" s="4"/>
      <c r="G13" s="4">
        <v>97.3</v>
      </c>
      <c r="H13" s="4">
        <v>102.8</v>
      </c>
      <c r="I13" s="4">
        <v>97.9</v>
      </c>
      <c r="J13" s="4"/>
      <c r="K13" s="4">
        <v>95.8</v>
      </c>
      <c r="L13" s="4">
        <v>99.5</v>
      </c>
      <c r="M13" s="4">
        <v>105.7</v>
      </c>
      <c r="N13" s="4"/>
      <c r="O13" s="4">
        <v>89.1</v>
      </c>
      <c r="P13" s="4">
        <v>86.9</v>
      </c>
      <c r="Q13" s="4"/>
      <c r="R13" s="4"/>
      <c r="S13" s="4"/>
      <c r="T13" s="4"/>
      <c r="U13" s="4"/>
      <c r="V13" s="4"/>
      <c r="W13" s="4">
        <v>372</v>
      </c>
      <c r="X13" s="4">
        <v>368.2</v>
      </c>
      <c r="Y13" s="4">
        <v>361.2</v>
      </c>
      <c r="Z13" s="4">
        <v>421.2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77" x14ac:dyDescent="0.2">
      <c r="B14" s="2" t="s">
        <v>20</v>
      </c>
      <c r="C14" s="4"/>
      <c r="D14" s="4"/>
      <c r="E14" s="4">
        <v>29.1</v>
      </c>
      <c r="F14" s="4"/>
      <c r="G14" s="4">
        <v>0</v>
      </c>
      <c r="H14" s="4">
        <v>0</v>
      </c>
      <c r="I14" s="4">
        <v>26.2</v>
      </c>
      <c r="J14" s="4"/>
      <c r="K14" s="4">
        <v>0</v>
      </c>
      <c r="L14" s="4">
        <v>0</v>
      </c>
      <c r="M14" s="4">
        <v>0</v>
      </c>
      <c r="N14" s="4"/>
      <c r="O14" s="4">
        <v>0</v>
      </c>
      <c r="P14" s="4">
        <v>0</v>
      </c>
      <c r="Q14" s="4"/>
      <c r="R14" s="4"/>
      <c r="S14" s="4"/>
      <c r="T14" s="4"/>
      <c r="U14" s="4"/>
      <c r="V14" s="4"/>
      <c r="W14" s="4">
        <v>107.3</v>
      </c>
      <c r="X14" s="4">
        <v>97.7</v>
      </c>
      <c r="Y14" s="4">
        <v>88.6</v>
      </c>
      <c r="Z14" s="4">
        <v>0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77" x14ac:dyDescent="0.2">
      <c r="B15" s="5" t="s">
        <v>19</v>
      </c>
      <c r="C15" s="6">
        <f t="shared" ref="C15:F15" si="0">+SUM(C12:C14)</f>
        <v>0</v>
      </c>
      <c r="D15" s="6">
        <f t="shared" si="0"/>
        <v>0</v>
      </c>
      <c r="E15" s="6">
        <f t="shared" si="0"/>
        <v>2362.9</v>
      </c>
      <c r="F15" s="6">
        <f t="shared" si="0"/>
        <v>0</v>
      </c>
      <c r="G15" s="6">
        <v>1951.9</v>
      </c>
      <c r="H15" s="6">
        <v>2074.3000000000002</v>
      </c>
      <c r="I15" s="6">
        <f>+SUM(I12:I14)</f>
        <v>2255.1</v>
      </c>
      <c r="J15" s="6">
        <f t="shared" ref="J15:Y15" si="1">+SUM(J12:J14)</f>
        <v>0</v>
      </c>
      <c r="K15" s="6">
        <v>1983.6</v>
      </c>
      <c r="L15" s="6">
        <v>2167.1999999999998</v>
      </c>
      <c r="M15" s="6">
        <v>2294.3000000000002</v>
      </c>
      <c r="N15" s="6"/>
      <c r="O15" s="6">
        <v>2025.1</v>
      </c>
      <c r="P15" s="6">
        <v>2097</v>
      </c>
      <c r="Q15" s="6"/>
      <c r="R15" s="6"/>
      <c r="S15" s="4"/>
      <c r="T15" s="6">
        <f t="shared" si="1"/>
        <v>0</v>
      </c>
      <c r="U15" s="6">
        <f t="shared" si="1"/>
        <v>0</v>
      </c>
      <c r="V15" s="6">
        <f t="shared" si="1"/>
        <v>0</v>
      </c>
      <c r="W15" s="6">
        <f t="shared" si="1"/>
        <v>9024.1999999999989</v>
      </c>
      <c r="X15" s="6">
        <f t="shared" si="1"/>
        <v>9217.7000000000007</v>
      </c>
      <c r="Y15" s="6">
        <f t="shared" si="1"/>
        <v>8652.9000000000015</v>
      </c>
      <c r="Z15" s="6">
        <v>8950.2000000000007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</row>
    <row r="16" spans="1:77" x14ac:dyDescent="0.2">
      <c r="B16" s="2" t="s">
        <v>21</v>
      </c>
      <c r="C16" s="4"/>
      <c r="D16" s="4"/>
      <c r="E16" s="4">
        <v>1023.5</v>
      </c>
      <c r="F16" s="4"/>
      <c r="G16" s="4">
        <v>753.2</v>
      </c>
      <c r="H16" s="4">
        <v>828.4</v>
      </c>
      <c r="I16" s="4">
        <v>938.5</v>
      </c>
      <c r="J16" s="4"/>
      <c r="K16" s="4">
        <v>821.9</v>
      </c>
      <c r="L16" s="4">
        <v>916.4</v>
      </c>
      <c r="M16" s="4">
        <v>1001.5</v>
      </c>
      <c r="N16" s="4"/>
      <c r="O16" s="4">
        <v>838.9</v>
      </c>
      <c r="P16" s="4">
        <v>775.2</v>
      </c>
      <c r="Q16" s="4"/>
      <c r="R16" s="4"/>
      <c r="S16" s="4"/>
      <c r="T16" s="4"/>
      <c r="U16" s="4"/>
      <c r="V16" s="4"/>
      <c r="W16" s="4">
        <v>3901.3</v>
      </c>
      <c r="X16" s="4">
        <v>3854.5</v>
      </c>
      <c r="Y16" s="4">
        <v>3510.4</v>
      </c>
      <c r="Z16" s="4">
        <v>3801.6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2:77" x14ac:dyDescent="0.2">
      <c r="B17" s="2" t="s">
        <v>22</v>
      </c>
      <c r="C17" s="4">
        <f t="shared" ref="C17:H17" si="2">+C15-C16</f>
        <v>0</v>
      </c>
      <c r="D17" s="4">
        <f t="shared" si="2"/>
        <v>0</v>
      </c>
      <c r="E17" s="4">
        <f t="shared" si="2"/>
        <v>1339.4</v>
      </c>
      <c r="F17" s="4">
        <f t="shared" si="2"/>
        <v>0</v>
      </c>
      <c r="G17" s="4">
        <f t="shared" si="2"/>
        <v>1198.7</v>
      </c>
      <c r="H17" s="4">
        <f t="shared" si="2"/>
        <v>1245.9000000000001</v>
      </c>
      <c r="I17" s="4">
        <f t="shared" ref="I17:P17" si="3">+I15-I16</f>
        <v>1316.6</v>
      </c>
      <c r="J17" s="4">
        <f t="shared" si="3"/>
        <v>0</v>
      </c>
      <c r="K17" s="4">
        <f t="shared" si="3"/>
        <v>1161.6999999999998</v>
      </c>
      <c r="L17" s="4">
        <f t="shared" si="3"/>
        <v>1250.7999999999997</v>
      </c>
      <c r="M17" s="4">
        <f t="shared" si="3"/>
        <v>1292.8000000000002</v>
      </c>
      <c r="N17" s="4">
        <f t="shared" si="3"/>
        <v>0</v>
      </c>
      <c r="O17" s="4">
        <f t="shared" si="3"/>
        <v>1186.1999999999998</v>
      </c>
      <c r="P17" s="4">
        <f t="shared" si="3"/>
        <v>1321.8</v>
      </c>
      <c r="Q17" s="4"/>
      <c r="R17" s="4"/>
      <c r="S17" s="4"/>
      <c r="T17" s="4">
        <f t="shared" ref="T17:X17" si="4">+T15-T16</f>
        <v>0</v>
      </c>
      <c r="U17" s="4">
        <f t="shared" si="4"/>
        <v>0</v>
      </c>
      <c r="V17" s="4">
        <f t="shared" si="4"/>
        <v>0</v>
      </c>
      <c r="W17" s="4">
        <f t="shared" si="4"/>
        <v>5122.8999999999987</v>
      </c>
      <c r="X17" s="4">
        <f t="shared" si="4"/>
        <v>5363.2000000000007</v>
      </c>
      <c r="Y17" s="4">
        <f>+Y15-Y16</f>
        <v>5142.5000000000018</v>
      </c>
      <c r="Z17" s="4">
        <f>+Z15-Z16</f>
        <v>5148.6000000000004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</row>
    <row r="18" spans="2:77" x14ac:dyDescent="0.2">
      <c r="B18" s="2" t="s">
        <v>23</v>
      </c>
      <c r="C18" s="4"/>
      <c r="D18" s="4"/>
      <c r="E18" s="4">
        <v>1123.8</v>
      </c>
      <c r="F18" s="4"/>
      <c r="G18" s="4">
        <v>1017.3</v>
      </c>
      <c r="H18" s="4">
        <v>1083.3</v>
      </c>
      <c r="I18" s="4">
        <v>1154</v>
      </c>
      <c r="J18" s="4"/>
      <c r="K18" s="4">
        <f>1023.9+479.5</f>
        <v>1503.4</v>
      </c>
      <c r="L18" s="4">
        <v>1128.9000000000001</v>
      </c>
      <c r="M18" s="4">
        <v>1121</v>
      </c>
      <c r="N18" s="4"/>
      <c r="O18" s="4">
        <v>1074.4000000000001</v>
      </c>
      <c r="P18" s="4">
        <f>1112.5+439</f>
        <v>1551.5</v>
      </c>
      <c r="Q18" s="4"/>
      <c r="R18" s="4"/>
      <c r="S18" s="4"/>
      <c r="T18" s="4"/>
      <c r="U18" s="4"/>
      <c r="V18" s="4"/>
      <c r="W18" s="4">
        <v>4377.3999999999996</v>
      </c>
      <c r="X18" s="4">
        <v>4542.6000000000004</v>
      </c>
      <c r="Y18" s="4">
        <v>4411.3</v>
      </c>
      <c r="Z18" s="4">
        <f>4492.1+479.5</f>
        <v>4971.6000000000004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</row>
    <row r="19" spans="2:77" x14ac:dyDescent="0.2">
      <c r="B19" s="2" t="s">
        <v>27</v>
      </c>
      <c r="C19" s="4">
        <f t="shared" ref="C19:D19" si="5">+C17-C18</f>
        <v>0</v>
      </c>
      <c r="D19" s="4">
        <f t="shared" si="5"/>
        <v>0</v>
      </c>
      <c r="E19" s="4">
        <f>+E17-E18</f>
        <v>215.60000000000014</v>
      </c>
      <c r="F19" s="4">
        <f t="shared" ref="F19:I19" si="6">+F17-F18</f>
        <v>0</v>
      </c>
      <c r="G19" s="4">
        <f t="shared" si="6"/>
        <v>181.40000000000009</v>
      </c>
      <c r="H19" s="4">
        <f t="shared" si="6"/>
        <v>162.60000000000014</v>
      </c>
      <c r="I19" s="4">
        <f t="shared" si="6"/>
        <v>162.59999999999991</v>
      </c>
      <c r="J19" s="4">
        <f>+J17-J18</f>
        <v>0</v>
      </c>
      <c r="K19" s="4">
        <f>+K17-K18</f>
        <v>-341.70000000000027</v>
      </c>
      <c r="L19" s="4">
        <f>+L17-L18</f>
        <v>121.89999999999964</v>
      </c>
      <c r="M19" s="4">
        <f t="shared" ref="M19:P19" si="7">+M17-M18</f>
        <v>171.80000000000018</v>
      </c>
      <c r="N19" s="4">
        <f t="shared" si="7"/>
        <v>0</v>
      </c>
      <c r="O19" s="4">
        <f t="shared" si="7"/>
        <v>111.79999999999973</v>
      </c>
      <c r="P19" s="4">
        <f t="shared" si="7"/>
        <v>-229.70000000000005</v>
      </c>
      <c r="Q19" s="4"/>
      <c r="R19" s="4"/>
      <c r="S19" s="4"/>
      <c r="T19" s="4">
        <f t="shared" ref="T19" si="8">+T17-T18</f>
        <v>0</v>
      </c>
      <c r="U19" s="4">
        <f t="shared" ref="U19" si="9">+U17-U18</f>
        <v>0</v>
      </c>
      <c r="V19" s="4">
        <f t="shared" ref="V19" si="10">+V17-V18</f>
        <v>0</v>
      </c>
      <c r="W19" s="4">
        <f t="shared" ref="W19" si="11">+W17-W18</f>
        <v>745.49999999999909</v>
      </c>
      <c r="X19" s="4">
        <f t="shared" ref="X19" si="12">+X17-X18</f>
        <v>820.60000000000036</v>
      </c>
      <c r="Y19" s="4">
        <f t="shared" ref="Y19:Z19" si="13">+Y17-Y18</f>
        <v>731.20000000000164</v>
      </c>
      <c r="Z19" s="4">
        <f t="shared" si="13"/>
        <v>177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</row>
    <row r="20" spans="2:77" x14ac:dyDescent="0.2">
      <c r="B20" s="2" t="s">
        <v>24</v>
      </c>
      <c r="C20" s="4"/>
      <c r="D20" s="4"/>
      <c r="E20" s="4">
        <v>0.5</v>
      </c>
      <c r="F20" s="4"/>
      <c r="G20" s="4">
        <v>0.5</v>
      </c>
      <c r="H20" s="4">
        <v>0.4</v>
      </c>
      <c r="I20" s="4">
        <v>0.4</v>
      </c>
      <c r="J20" s="4"/>
      <c r="K20" s="4">
        <v>-1</v>
      </c>
      <c r="L20" s="4">
        <v>-0.9</v>
      </c>
      <c r="M20" s="4">
        <v>-1</v>
      </c>
      <c r="N20" s="4"/>
      <c r="O20" s="4">
        <v>-0.8</v>
      </c>
      <c r="P20" s="4">
        <v>-0.6</v>
      </c>
      <c r="Q20" s="4"/>
      <c r="R20" s="4"/>
      <c r="S20" s="4"/>
      <c r="T20" s="4"/>
      <c r="U20" s="4"/>
      <c r="V20" s="4"/>
      <c r="W20" s="4">
        <f>91.9-417.1</f>
        <v>-325.20000000000005</v>
      </c>
      <c r="X20" s="4">
        <v>47.2</v>
      </c>
      <c r="Y20" s="4">
        <v>-26.6</v>
      </c>
      <c r="Z20" s="4">
        <v>8.9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</row>
    <row r="21" spans="2:77" x14ac:dyDescent="0.2">
      <c r="B21" s="2" t="s">
        <v>25</v>
      </c>
      <c r="C21" s="4"/>
      <c r="D21" s="4"/>
      <c r="E21" s="4">
        <v>0</v>
      </c>
      <c r="F21" s="4"/>
      <c r="G21" s="4">
        <v>10</v>
      </c>
      <c r="H21" s="4">
        <v>0</v>
      </c>
      <c r="I21" s="4">
        <v>9.5</v>
      </c>
      <c r="J21" s="4"/>
      <c r="K21" s="4">
        <v>0</v>
      </c>
      <c r="L21" s="4">
        <v>0</v>
      </c>
      <c r="M21" s="4">
        <v>0</v>
      </c>
      <c r="N21" s="4"/>
      <c r="O21" s="4">
        <v>0</v>
      </c>
      <c r="P21" s="4">
        <v>25.4</v>
      </c>
      <c r="Q21" s="4"/>
      <c r="R21" s="4"/>
      <c r="S21" s="4"/>
      <c r="T21" s="4"/>
      <c r="U21" s="4"/>
      <c r="V21" s="4"/>
      <c r="W21" s="4">
        <v>0</v>
      </c>
      <c r="X21" s="4">
        <v>15.3</v>
      </c>
      <c r="Y21" s="4">
        <v>19.5</v>
      </c>
      <c r="Z21" s="4">
        <v>0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</row>
    <row r="22" spans="2:77" x14ac:dyDescent="0.2">
      <c r="B22" s="2" t="s">
        <v>26</v>
      </c>
      <c r="C22" s="4"/>
      <c r="D22" s="4"/>
      <c r="E22" s="4">
        <v>13.7</v>
      </c>
      <c r="F22" s="4"/>
      <c r="G22" s="4">
        <v>13.2</v>
      </c>
      <c r="H22" s="4">
        <v>10.9</v>
      </c>
      <c r="I22" s="4">
        <v>10.6</v>
      </c>
      <c r="J22" s="4"/>
      <c r="K22" s="4">
        <v>10.5</v>
      </c>
      <c r="L22" s="4">
        <v>12.2</v>
      </c>
      <c r="M22" s="4">
        <v>10</v>
      </c>
      <c r="N22" s="4"/>
      <c r="O22" s="4">
        <v>13.3</v>
      </c>
      <c r="P22" s="4">
        <v>14</v>
      </c>
      <c r="Q22" s="4"/>
      <c r="R22" s="4"/>
      <c r="S22" s="4"/>
      <c r="T22" s="4"/>
      <c r="U22" s="4"/>
      <c r="V22" s="4"/>
      <c r="W22" s="4">
        <v>50.4</v>
      </c>
      <c r="X22" s="4">
        <v>45.7</v>
      </c>
      <c r="Y22" s="4">
        <v>48.2</v>
      </c>
      <c r="Z22" s="4">
        <v>44.7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2:77" x14ac:dyDescent="0.2">
      <c r="B23" s="2" t="s">
        <v>29</v>
      </c>
      <c r="C23" s="4"/>
      <c r="D23" s="4"/>
      <c r="E23" s="4">
        <v>24.3</v>
      </c>
      <c r="F23" s="4"/>
      <c r="G23" s="4">
        <v>23.3</v>
      </c>
      <c r="H23" s="4">
        <v>22.8</v>
      </c>
      <c r="I23" s="4">
        <v>23</v>
      </c>
      <c r="J23" s="4"/>
      <c r="K23" s="4">
        <v>22.4</v>
      </c>
      <c r="L23" s="4">
        <v>25.8</v>
      </c>
      <c r="M23" s="4">
        <v>23.2</v>
      </c>
      <c r="N23" s="4"/>
      <c r="O23" s="4">
        <v>22.7</v>
      </c>
      <c r="P23" s="4">
        <v>22.3</v>
      </c>
      <c r="Q23" s="4"/>
      <c r="R23" s="4"/>
      <c r="S23" s="4"/>
      <c r="T23" s="4"/>
      <c r="U23" s="4"/>
      <c r="V23" s="4"/>
      <c r="W23" s="4">
        <v>89.6</v>
      </c>
      <c r="X23" s="4">
        <v>99.3</v>
      </c>
      <c r="Y23" s="4">
        <v>89.8</v>
      </c>
      <c r="Z23" s="4">
        <v>94.2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</row>
    <row r="24" spans="2:77" x14ac:dyDescent="0.2">
      <c r="B24" s="2" t="s">
        <v>28</v>
      </c>
      <c r="C24" s="4"/>
      <c r="D24" s="4"/>
      <c r="E24" s="4">
        <v>2.1</v>
      </c>
      <c r="F24" s="4"/>
      <c r="G24" s="4">
        <v>5.6</v>
      </c>
      <c r="H24" s="4">
        <v>3.7</v>
      </c>
      <c r="I24" s="4">
        <v>6.9</v>
      </c>
      <c r="J24" s="4"/>
      <c r="K24" s="4">
        <v>5</v>
      </c>
      <c r="L24" s="4">
        <v>3.8</v>
      </c>
      <c r="M24" s="4">
        <v>2.7</v>
      </c>
      <c r="N24" s="4"/>
      <c r="O24" s="4">
        <v>6.9</v>
      </c>
      <c r="P24" s="4">
        <v>10.6</v>
      </c>
      <c r="Q24" s="4"/>
      <c r="R24" s="4"/>
      <c r="S24" s="4"/>
      <c r="T24" s="4"/>
      <c r="U24" s="4"/>
      <c r="V24" s="4"/>
      <c r="W24" s="4">
        <v>7.1</v>
      </c>
      <c r="X24" s="4">
        <v>11.5</v>
      </c>
      <c r="Y24" s="4">
        <v>23.2</v>
      </c>
      <c r="Z24" s="4">
        <v>14.9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2:77" x14ac:dyDescent="0.2">
      <c r="B25" s="2" t="s">
        <v>30</v>
      </c>
      <c r="C25" s="4">
        <f t="shared" ref="C25:P25" si="14">+C19+SUM(C20:C22)-C23+C24</f>
        <v>0</v>
      </c>
      <c r="D25" s="4">
        <f t="shared" si="14"/>
        <v>0</v>
      </c>
      <c r="E25" s="4">
        <f t="shared" si="14"/>
        <v>207.60000000000011</v>
      </c>
      <c r="F25" s="4">
        <f t="shared" si="14"/>
        <v>0</v>
      </c>
      <c r="G25" s="4">
        <f t="shared" si="14"/>
        <v>187.40000000000006</v>
      </c>
      <c r="H25" s="4">
        <f t="shared" si="14"/>
        <v>154.80000000000013</v>
      </c>
      <c r="I25" s="4">
        <f t="shared" si="14"/>
        <v>166.99999999999991</v>
      </c>
      <c r="J25" s="4">
        <f t="shared" si="14"/>
        <v>0</v>
      </c>
      <c r="K25" s="4">
        <f t="shared" si="14"/>
        <v>-349.60000000000025</v>
      </c>
      <c r="L25" s="4">
        <f t="shared" si="14"/>
        <v>111.19999999999965</v>
      </c>
      <c r="M25" s="4">
        <f t="shared" si="14"/>
        <v>160.30000000000018</v>
      </c>
      <c r="N25" s="4">
        <f t="shared" si="14"/>
        <v>0</v>
      </c>
      <c r="O25" s="4">
        <f t="shared" si="14"/>
        <v>108.49999999999973</v>
      </c>
      <c r="P25" s="4">
        <f t="shared" si="14"/>
        <v>-202.60000000000005</v>
      </c>
      <c r="Q25" s="4"/>
      <c r="R25" s="4"/>
      <c r="S25" s="4"/>
      <c r="T25" s="4">
        <f t="shared" ref="T25:Z25" si="15">+T19+SUM(T20:T22)-T23+T24</f>
        <v>0</v>
      </c>
      <c r="U25" s="4">
        <f t="shared" si="15"/>
        <v>0</v>
      </c>
      <c r="V25" s="4">
        <f t="shared" si="15"/>
        <v>0</v>
      </c>
      <c r="W25" s="4">
        <f t="shared" si="15"/>
        <v>388.19999999999902</v>
      </c>
      <c r="X25" s="4">
        <f t="shared" si="15"/>
        <v>841.00000000000045</v>
      </c>
      <c r="Y25" s="4">
        <f t="shared" si="15"/>
        <v>705.70000000000175</v>
      </c>
      <c r="Z25" s="4">
        <f t="shared" si="15"/>
        <v>151.29999999999998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</row>
    <row r="26" spans="2:77" x14ac:dyDescent="0.2">
      <c r="B26" s="2" t="s">
        <v>31</v>
      </c>
      <c r="C26" s="4"/>
      <c r="D26" s="4"/>
      <c r="E26" s="4">
        <v>46</v>
      </c>
      <c r="F26" s="4"/>
      <c r="G26" s="4">
        <v>36</v>
      </c>
      <c r="H26" s="4">
        <v>-3.2</v>
      </c>
      <c r="I26" s="4">
        <v>35.1</v>
      </c>
      <c r="J26" s="4"/>
      <c r="K26" s="4">
        <v>-304.8</v>
      </c>
      <c r="L26" s="4">
        <v>-113</v>
      </c>
      <c r="M26" s="4">
        <v>156.1</v>
      </c>
      <c r="N26" s="4"/>
      <c r="O26" s="4">
        <v>20.5</v>
      </c>
      <c r="P26" s="4">
        <v>-99.7</v>
      </c>
      <c r="Q26" s="4"/>
      <c r="R26" s="4"/>
      <c r="S26" s="4"/>
      <c r="T26" s="4"/>
      <c r="U26" s="4"/>
      <c r="V26" s="4"/>
      <c r="W26" s="4">
        <v>187.8</v>
      </c>
      <c r="X26" s="4">
        <v>117.4</v>
      </c>
      <c r="Y26" s="4">
        <v>107.2</v>
      </c>
      <c r="Z26" s="4">
        <v>126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2:77" x14ac:dyDescent="0.2">
      <c r="B27" s="2" t="s">
        <v>32</v>
      </c>
      <c r="C27" s="4">
        <f t="shared" ref="C27:H27" si="16">+C25-C26</f>
        <v>0</v>
      </c>
      <c r="D27" s="4">
        <f t="shared" si="16"/>
        <v>0</v>
      </c>
      <c r="E27" s="4">
        <f t="shared" si="16"/>
        <v>161.60000000000011</v>
      </c>
      <c r="F27" s="4">
        <f t="shared" si="16"/>
        <v>0</v>
      </c>
      <c r="G27" s="4">
        <f t="shared" si="16"/>
        <v>151.40000000000006</v>
      </c>
      <c r="H27" s="4">
        <f t="shared" si="16"/>
        <v>158.00000000000011</v>
      </c>
      <c r="I27" s="4">
        <f>+I25-I26</f>
        <v>131.89999999999992</v>
      </c>
      <c r="J27" s="4">
        <f t="shared" ref="J27:N27" si="17">+J25-J26</f>
        <v>0</v>
      </c>
      <c r="K27" s="4">
        <f t="shared" si="17"/>
        <v>-44.800000000000239</v>
      </c>
      <c r="L27" s="4">
        <f t="shared" si="17"/>
        <v>224.19999999999965</v>
      </c>
      <c r="M27" s="4">
        <f t="shared" si="17"/>
        <v>4.2000000000001876</v>
      </c>
      <c r="N27" s="4">
        <f t="shared" si="17"/>
        <v>0</v>
      </c>
      <c r="O27" s="4">
        <f t="shared" ref="O27:P27" si="18">+O25-O26</f>
        <v>87.99999999999973</v>
      </c>
      <c r="P27" s="4">
        <f t="shared" si="18"/>
        <v>-102.90000000000005</v>
      </c>
      <c r="Q27" s="4"/>
      <c r="R27" s="4"/>
      <c r="S27" s="4"/>
      <c r="T27" s="4">
        <f t="shared" ref="T27:W27" si="19">+T25-T26</f>
        <v>0</v>
      </c>
      <c r="U27" s="4">
        <f t="shared" si="19"/>
        <v>0</v>
      </c>
      <c r="V27" s="4">
        <f t="shared" si="19"/>
        <v>0</v>
      </c>
      <c r="W27" s="4">
        <f t="shared" si="19"/>
        <v>200.39999999999901</v>
      </c>
      <c r="X27" s="4">
        <f>+X25-X26</f>
        <v>723.60000000000048</v>
      </c>
      <c r="Y27" s="4">
        <f t="shared" ref="Y27:Z27" si="20">+Y25-Y26</f>
        <v>598.50000000000171</v>
      </c>
      <c r="Z27" s="4">
        <f t="shared" si="20"/>
        <v>25.299999999999983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</row>
    <row r="28" spans="2:77" x14ac:dyDescent="0.2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</row>
    <row r="29" spans="2:77" x14ac:dyDescent="0.2">
      <c r="B29" s="2" t="s">
        <v>33</v>
      </c>
      <c r="C29" s="7" t="e">
        <f t="shared" ref="C29:D29" si="21">+C27/C30</f>
        <v>#DIV/0!</v>
      </c>
      <c r="D29" s="7" t="e">
        <f t="shared" si="21"/>
        <v>#DIV/0!</v>
      </c>
      <c r="E29" s="7">
        <f>+E27/E30</f>
        <v>2.6799336650082939</v>
      </c>
      <c r="F29" s="7" t="e">
        <f t="shared" ref="F29:P29" si="22">+F27/F30</f>
        <v>#DIV/0!</v>
      </c>
      <c r="G29" s="7">
        <f t="shared" si="22"/>
        <v>2.5924657534246585</v>
      </c>
      <c r="H29" s="7">
        <f t="shared" si="22"/>
        <v>2.7964601769911526</v>
      </c>
      <c r="I29" s="7">
        <f t="shared" si="22"/>
        <v>2.3637992831541204</v>
      </c>
      <c r="J29" s="7" t="e">
        <f t="shared" si="22"/>
        <v>#DIV/0!</v>
      </c>
      <c r="K29" s="7">
        <f t="shared" si="22"/>
        <v>-0.8767123287671279</v>
      </c>
      <c r="L29" s="7">
        <f t="shared" si="22"/>
        <v>4.6611226611226533</v>
      </c>
      <c r="M29" s="7">
        <f t="shared" si="22"/>
        <v>8.8794926004232305E-2</v>
      </c>
      <c r="N29" s="7" t="e">
        <f t="shared" si="22"/>
        <v>#DIV/0!</v>
      </c>
      <c r="O29" s="7">
        <f t="shared" si="22"/>
        <v>1.9172113289760291</v>
      </c>
      <c r="P29" s="7">
        <f t="shared" si="22"/>
        <v>-2.232104121475055</v>
      </c>
      <c r="Q29" s="8"/>
      <c r="R29" s="8"/>
      <c r="S29" s="8"/>
      <c r="T29" s="7" t="e">
        <f t="shared" ref="T29:Z29" si="23">+T27/T30</f>
        <v>#DIV/0!</v>
      </c>
      <c r="U29" s="7" t="e">
        <f t="shared" si="23"/>
        <v>#DIV/0!</v>
      </c>
      <c r="V29" s="7" t="e">
        <f t="shared" si="23"/>
        <v>#DIV/0!</v>
      </c>
      <c r="W29" s="7">
        <f t="shared" si="23"/>
        <v>3.0502283105022681</v>
      </c>
      <c r="X29" s="7">
        <f t="shared" si="23"/>
        <v>11.86229508196722</v>
      </c>
      <c r="Y29" s="7">
        <f t="shared" si="23"/>
        <v>10.68750000000003</v>
      </c>
      <c r="Z29" s="7">
        <f t="shared" si="23"/>
        <v>0.52598752598752563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2:77" x14ac:dyDescent="0.2">
      <c r="B30" s="2" t="s">
        <v>3</v>
      </c>
      <c r="C30" s="8"/>
      <c r="D30" s="8"/>
      <c r="E30" s="8">
        <v>60.3</v>
      </c>
      <c r="F30" s="8"/>
      <c r="G30" s="8">
        <v>58.4</v>
      </c>
      <c r="H30" s="8">
        <v>56.5</v>
      </c>
      <c r="I30" s="8">
        <v>55.8</v>
      </c>
      <c r="J30" s="8"/>
      <c r="K30" s="8">
        <v>51.1</v>
      </c>
      <c r="L30" s="8">
        <v>48.1</v>
      </c>
      <c r="M30" s="8">
        <v>47.3</v>
      </c>
      <c r="N30" s="8"/>
      <c r="O30" s="25">
        <v>45.9</v>
      </c>
      <c r="P30" s="8">
        <v>46.1</v>
      </c>
      <c r="Q30" s="8"/>
      <c r="R30" s="8"/>
      <c r="S30" s="8"/>
      <c r="T30" s="8"/>
      <c r="U30" s="8"/>
      <c r="V30" s="8"/>
      <c r="W30" s="8">
        <v>65.7</v>
      </c>
      <c r="X30" s="8">
        <v>61</v>
      </c>
      <c r="Y30" s="8">
        <v>56</v>
      </c>
      <c r="Z30" s="8">
        <v>48.1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2:77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2:77" x14ac:dyDescent="0.2">
      <c r="B32" s="5" t="s">
        <v>37</v>
      </c>
      <c r="C32" s="21"/>
      <c r="D32" s="21"/>
      <c r="E32" s="21"/>
      <c r="F32" s="21"/>
      <c r="G32" s="22" t="e">
        <f t="shared" ref="G32:N32" si="24">+G15/C15-1</f>
        <v>#DIV/0!</v>
      </c>
      <c r="H32" s="22" t="e">
        <f t="shared" si="24"/>
        <v>#DIV/0!</v>
      </c>
      <c r="I32" s="22">
        <f t="shared" si="24"/>
        <v>-4.5621905285877618E-2</v>
      </c>
      <c r="J32" s="22" t="e">
        <f t="shared" si="24"/>
        <v>#DIV/0!</v>
      </c>
      <c r="K32" s="22">
        <f t="shared" si="24"/>
        <v>1.6240586095598974E-2</v>
      </c>
      <c r="L32" s="22">
        <f t="shared" si="24"/>
        <v>4.478619293255548E-2</v>
      </c>
      <c r="M32" s="22">
        <f t="shared" si="24"/>
        <v>1.7382821160924156E-2</v>
      </c>
      <c r="N32" s="22" t="e">
        <f t="shared" si="24"/>
        <v>#DIV/0!</v>
      </c>
      <c r="O32" s="22">
        <f t="shared" ref="O32:P32" si="25">+O15/K15-1</f>
        <v>2.0921556765476801E-2</v>
      </c>
      <c r="P32" s="22">
        <f t="shared" si="25"/>
        <v>-3.2392026578073052E-2</v>
      </c>
      <c r="Q32" s="9"/>
      <c r="R32" s="9"/>
      <c r="S32" s="8"/>
      <c r="T32" s="8"/>
      <c r="U32" s="22" t="e">
        <f t="shared" ref="U32:Z32" si="26">+U15/T15-1</f>
        <v>#DIV/0!</v>
      </c>
      <c r="V32" s="22" t="e">
        <f t="shared" si="26"/>
        <v>#DIV/0!</v>
      </c>
      <c r="W32" s="22" t="e">
        <f t="shared" si="26"/>
        <v>#DIV/0!</v>
      </c>
      <c r="X32" s="22">
        <f t="shared" si="26"/>
        <v>2.1442343919682916E-2</v>
      </c>
      <c r="Y32" s="22">
        <f t="shared" si="26"/>
        <v>-6.127341961660715E-2</v>
      </c>
      <c r="Z32" s="22">
        <f t="shared" si="26"/>
        <v>3.4358423187601739E-2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2:51" x14ac:dyDescent="0.2">
      <c r="B33" s="2" t="s">
        <v>38</v>
      </c>
      <c r="C33" s="9" t="e">
        <f t="shared" ref="C33:N33" si="27">+C17/C15</f>
        <v>#DIV/0!</v>
      </c>
      <c r="D33" s="9" t="e">
        <f t="shared" si="27"/>
        <v>#DIV/0!</v>
      </c>
      <c r="E33" s="9">
        <f t="shared" si="27"/>
        <v>0.56684582504549497</v>
      </c>
      <c r="F33" s="9" t="e">
        <f t="shared" si="27"/>
        <v>#DIV/0!</v>
      </c>
      <c r="G33" s="9">
        <f t="shared" si="27"/>
        <v>0.61411957579794041</v>
      </c>
      <c r="H33" s="9">
        <f t="shared" si="27"/>
        <v>0.60063635925372416</v>
      </c>
      <c r="I33" s="9">
        <f t="shared" si="27"/>
        <v>0.58383220256307922</v>
      </c>
      <c r="J33" s="9" t="e">
        <f t="shared" si="27"/>
        <v>#DIV/0!</v>
      </c>
      <c r="K33" s="9">
        <f t="shared" si="27"/>
        <v>0.58565234926396448</v>
      </c>
      <c r="L33" s="9">
        <f t="shared" si="27"/>
        <v>0.5771502399409375</v>
      </c>
      <c r="M33" s="9">
        <f t="shared" si="27"/>
        <v>0.56348341542082558</v>
      </c>
      <c r="N33" s="9" t="e">
        <f t="shared" si="27"/>
        <v>#DIV/0!</v>
      </c>
      <c r="O33" s="9">
        <f t="shared" ref="O33:P33" si="28">+O17/O15</f>
        <v>0.58574885190854764</v>
      </c>
      <c r="P33" s="9">
        <f t="shared" si="28"/>
        <v>0.63032904148783975</v>
      </c>
      <c r="Q33" s="9"/>
      <c r="R33" s="9"/>
      <c r="S33" s="8"/>
      <c r="T33" s="8"/>
      <c r="U33" s="9" t="e">
        <f t="shared" ref="U33:Z33" si="29">+U17/U15</f>
        <v>#DIV/0!</v>
      </c>
      <c r="V33" s="9" t="e">
        <f t="shared" si="29"/>
        <v>#DIV/0!</v>
      </c>
      <c r="W33" s="9">
        <f t="shared" si="29"/>
        <v>0.56768467010926171</v>
      </c>
      <c r="X33" s="9">
        <f t="shared" si="29"/>
        <v>0.58183711771917079</v>
      </c>
      <c r="Y33" s="9">
        <f t="shared" si="29"/>
        <v>0.59430942227461325</v>
      </c>
      <c r="Z33" s="9">
        <f t="shared" si="29"/>
        <v>0.57524971509016554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2:51" x14ac:dyDescent="0.2">
      <c r="B34" s="2" t="s">
        <v>39</v>
      </c>
      <c r="C34" s="9" t="e">
        <f t="shared" ref="C34:N34" si="30">+C19/C15</f>
        <v>#DIV/0!</v>
      </c>
      <c r="D34" s="9" t="e">
        <f t="shared" si="30"/>
        <v>#DIV/0!</v>
      </c>
      <c r="E34" s="9">
        <f t="shared" si="30"/>
        <v>9.1243810571755096E-2</v>
      </c>
      <c r="F34" s="9" t="e">
        <f t="shared" si="30"/>
        <v>#DIV/0!</v>
      </c>
      <c r="G34" s="9">
        <f t="shared" si="30"/>
        <v>9.2935088887750442E-2</v>
      </c>
      <c r="H34" s="9">
        <f t="shared" si="30"/>
        <v>7.8387889890565554E-2</v>
      </c>
      <c r="I34" s="9">
        <f t="shared" si="30"/>
        <v>7.2103232672608722E-2</v>
      </c>
      <c r="J34" s="9" t="e">
        <f t="shared" si="30"/>
        <v>#DIV/0!</v>
      </c>
      <c r="K34" s="9">
        <f t="shared" si="30"/>
        <v>-0.17226255293405943</v>
      </c>
      <c r="L34" s="9">
        <f t="shared" si="30"/>
        <v>5.6247692875599692E-2</v>
      </c>
      <c r="M34" s="9">
        <f t="shared" si="30"/>
        <v>7.4881227389617819E-2</v>
      </c>
      <c r="N34" s="9" t="e">
        <f t="shared" si="30"/>
        <v>#DIV/0!</v>
      </c>
      <c r="O34" s="9">
        <f t="shared" ref="O34:P34" si="31">+O19/O15</f>
        <v>5.5207150264184351E-2</v>
      </c>
      <c r="P34" s="9">
        <f t="shared" si="31"/>
        <v>-0.10953743443013832</v>
      </c>
      <c r="Q34" s="9"/>
      <c r="R34" s="9"/>
      <c r="S34" s="8"/>
      <c r="T34" s="8"/>
      <c r="U34" s="9" t="e">
        <f t="shared" ref="U34:Z34" si="32">+U19/U15</f>
        <v>#DIV/0!</v>
      </c>
      <c r="V34" s="9" t="e">
        <f t="shared" si="32"/>
        <v>#DIV/0!</v>
      </c>
      <c r="W34" s="9">
        <f t="shared" si="32"/>
        <v>8.26112009928857E-2</v>
      </c>
      <c r="X34" s="9">
        <f t="shared" si="32"/>
        <v>8.9024377013788722E-2</v>
      </c>
      <c r="Y34" s="9">
        <f t="shared" si="32"/>
        <v>8.4503461267320959E-2</v>
      </c>
      <c r="Z34" s="9">
        <f t="shared" si="32"/>
        <v>1.9776094388952201E-2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2:51" x14ac:dyDescent="0.2">
      <c r="B35" s="2" t="s">
        <v>40</v>
      </c>
      <c r="C35" s="9" t="e">
        <f t="shared" ref="C35:H35" si="33">+C26/C25</f>
        <v>#DIV/0!</v>
      </c>
      <c r="D35" s="9" t="e">
        <f t="shared" si="33"/>
        <v>#DIV/0!</v>
      </c>
      <c r="E35" s="9">
        <f t="shared" si="33"/>
        <v>0.22157996146435441</v>
      </c>
      <c r="F35" s="9" t="e">
        <f t="shared" si="33"/>
        <v>#DIV/0!</v>
      </c>
      <c r="G35" s="9">
        <f t="shared" si="33"/>
        <v>0.19210245464247591</v>
      </c>
      <c r="H35" s="9">
        <f t="shared" si="33"/>
        <v>-2.0671834625322981E-2</v>
      </c>
      <c r="I35" s="9">
        <f>+I26/I25</f>
        <v>0.21017964071856299</v>
      </c>
      <c r="J35" s="9" t="e">
        <f t="shared" ref="J35:L35" si="34">+J26/J25</f>
        <v>#DIV/0!</v>
      </c>
      <c r="K35" s="9">
        <f t="shared" si="34"/>
        <v>0.87185354691075456</v>
      </c>
      <c r="L35" s="9">
        <f t="shared" si="34"/>
        <v>-1.0161870503597155</v>
      </c>
      <c r="M35" s="9">
        <f t="shared" ref="M35:N35" si="35">+M26/M25</f>
        <v>0.97379912663755341</v>
      </c>
      <c r="N35" s="9" t="e">
        <f t="shared" si="35"/>
        <v>#DIV/0!</v>
      </c>
      <c r="O35" s="9">
        <f t="shared" ref="O35:P35" si="36">+O26/O25</f>
        <v>0.18894009216589908</v>
      </c>
      <c r="P35" s="9">
        <f t="shared" si="36"/>
        <v>0.49210266535044411</v>
      </c>
      <c r="Q35" s="9"/>
      <c r="R35" s="9"/>
      <c r="S35" s="8"/>
      <c r="T35" s="8"/>
      <c r="U35" s="9" t="e">
        <f t="shared" ref="U35:Y35" si="37">+U26/U25</f>
        <v>#DIV/0!</v>
      </c>
      <c r="V35" s="9" t="e">
        <f t="shared" si="37"/>
        <v>#DIV/0!</v>
      </c>
      <c r="W35" s="9">
        <f t="shared" si="37"/>
        <v>0.48377125193199505</v>
      </c>
      <c r="X35" s="9">
        <f t="shared" si="37"/>
        <v>0.13959571938168841</v>
      </c>
      <c r="Y35" s="9">
        <f t="shared" si="37"/>
        <v>0.15190590902649814</v>
      </c>
      <c r="Z35" s="9">
        <f t="shared" ref="Z35" si="38">+Z26/Z25</f>
        <v>0.83278255122273637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2:5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2:51" x14ac:dyDescent="0.2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2:51" x14ac:dyDescent="0.2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2:51" x14ac:dyDescent="0.2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2:51" x14ac:dyDescent="0.2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2:51" x14ac:dyDescent="0.2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2:51" x14ac:dyDescent="0.2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2:51" x14ac:dyDescent="0.2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2:51" x14ac:dyDescent="0.2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2:51" x14ac:dyDescent="0.2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2:51" x14ac:dyDescent="0.2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2:5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2:51" x14ac:dyDescent="0.2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3:51" x14ac:dyDescent="0.2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3:51" x14ac:dyDescent="0.2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3:51" x14ac:dyDescent="0.2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3:51" x14ac:dyDescent="0.2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3:51" x14ac:dyDescent="0.2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3:51" x14ac:dyDescent="0.2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3:51" x14ac:dyDescent="0.2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3:51" x14ac:dyDescent="0.2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3:51" x14ac:dyDescent="0.2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3:51" x14ac:dyDescent="0.2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3:51" x14ac:dyDescent="0.2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3:51" x14ac:dyDescent="0.2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3:5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3:51" x14ac:dyDescent="0.2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3:5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3:51" x14ac:dyDescent="0.2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3:51" x14ac:dyDescent="0.2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3:51" x14ac:dyDescent="0.2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3:51" x14ac:dyDescent="0.2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3:5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3:51" x14ac:dyDescent="0.2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3:51" x14ac:dyDescent="0.2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3:51" x14ac:dyDescent="0.2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3:51" x14ac:dyDescent="0.2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3:5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3:5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3:5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3:51" x14ac:dyDescent="0.2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3:51" x14ac:dyDescent="0.2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3:51" x14ac:dyDescent="0.2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3:51" x14ac:dyDescent="0.2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3:5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3:51" x14ac:dyDescent="0.2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3:51" x14ac:dyDescent="0.2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3:51" x14ac:dyDescent="0.2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3:51" x14ac:dyDescent="0.2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3:51" x14ac:dyDescent="0.2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3:51" x14ac:dyDescent="0.2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3:51" x14ac:dyDescent="0.2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3:5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3:51" x14ac:dyDescent="0.2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3:51" x14ac:dyDescent="0.2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3:51" x14ac:dyDescent="0.2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3:5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3:51" x14ac:dyDescent="0.2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3:51" x14ac:dyDescent="0.2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3:51" x14ac:dyDescent="0.2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3:51" x14ac:dyDescent="0.2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3:5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3:51" x14ac:dyDescent="0.2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3:51" x14ac:dyDescent="0.2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3:51" x14ac:dyDescent="0.2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3:51" x14ac:dyDescent="0.2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3:51" x14ac:dyDescent="0.2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3:51" x14ac:dyDescent="0.2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3:5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3:51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3:5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3:51" x14ac:dyDescent="0.2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3:5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3:51" x14ac:dyDescent="0.2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3:51" x14ac:dyDescent="0.2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3:51" x14ac:dyDescent="0.2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3:51" x14ac:dyDescent="0.2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3:51" x14ac:dyDescent="0.2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3:51" x14ac:dyDescent="0.2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3:51" x14ac:dyDescent="0.2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3:51" x14ac:dyDescent="0.2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3:5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3:51" x14ac:dyDescent="0.2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3:5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3:5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3:51" x14ac:dyDescent="0.2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3:51" x14ac:dyDescent="0.2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3:51" x14ac:dyDescent="0.2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3:51" x14ac:dyDescent="0.2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3:51" x14ac:dyDescent="0.2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3:51" x14ac:dyDescent="0.2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3:51" x14ac:dyDescent="0.2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3:51" x14ac:dyDescent="0.2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3:51" x14ac:dyDescent="0.2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3:51" x14ac:dyDescent="0.2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3:51" x14ac:dyDescent="0.2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3:51" x14ac:dyDescent="0.2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3:51" x14ac:dyDescent="0.2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3:51" x14ac:dyDescent="0.2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3:51" x14ac:dyDescent="0.2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3:51" x14ac:dyDescent="0.2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3:51" x14ac:dyDescent="0.2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3:51" x14ac:dyDescent="0.2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3:5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3:51" x14ac:dyDescent="0.2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3:51" x14ac:dyDescent="0.2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3:51" x14ac:dyDescent="0.2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3:51" x14ac:dyDescent="0.2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3:51" x14ac:dyDescent="0.2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3:51" x14ac:dyDescent="0.2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3:5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3:51" x14ac:dyDescent="0.2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3:51" x14ac:dyDescent="0.2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3:51" x14ac:dyDescent="0.2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3:51" x14ac:dyDescent="0.2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3:51" x14ac:dyDescent="0.2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3:51" x14ac:dyDescent="0.2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3:51" x14ac:dyDescent="0.2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3:5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3:51" x14ac:dyDescent="0.2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3:51" x14ac:dyDescent="0.2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3:51" x14ac:dyDescent="0.2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3:51" x14ac:dyDescent="0.2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3:51" x14ac:dyDescent="0.2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3:51" x14ac:dyDescent="0.2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3:51" x14ac:dyDescent="0.2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3:51" x14ac:dyDescent="0.2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3:51" x14ac:dyDescent="0.2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3:51" x14ac:dyDescent="0.2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3:51" x14ac:dyDescent="0.2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3:51" x14ac:dyDescent="0.2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3:51" x14ac:dyDescent="0.2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3:51" x14ac:dyDescent="0.2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3:51" x14ac:dyDescent="0.2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3:5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3:5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3:51" x14ac:dyDescent="0.2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3:5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3:51" x14ac:dyDescent="0.2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3:51" x14ac:dyDescent="0.2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3:51" x14ac:dyDescent="0.2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3:51" x14ac:dyDescent="0.2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3:51" x14ac:dyDescent="0.2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3:51" x14ac:dyDescent="0.2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3:51" x14ac:dyDescent="0.2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3:51" x14ac:dyDescent="0.2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3:51" x14ac:dyDescent="0.2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3:51" x14ac:dyDescent="0.2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3:51" x14ac:dyDescent="0.2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3:51" x14ac:dyDescent="0.2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3:51" x14ac:dyDescent="0.2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3:51" x14ac:dyDescent="0.2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3:51" x14ac:dyDescent="0.2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3:51" x14ac:dyDescent="0.2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3:51" x14ac:dyDescent="0.2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3:51" x14ac:dyDescent="0.2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3:5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3:5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3:51" x14ac:dyDescent="0.2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3:51" x14ac:dyDescent="0.2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3:5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3:51" x14ac:dyDescent="0.2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3:51" x14ac:dyDescent="0.2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3:51" x14ac:dyDescent="0.2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3:51" x14ac:dyDescent="0.2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3:51" x14ac:dyDescent="0.2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3:51" x14ac:dyDescent="0.2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3:51" x14ac:dyDescent="0.2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3:51" x14ac:dyDescent="0.2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3:51" x14ac:dyDescent="0.2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3:5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3:51" x14ac:dyDescent="0.2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3:51" x14ac:dyDescent="0.2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3:51" x14ac:dyDescent="0.2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3:51" x14ac:dyDescent="0.2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3:51" x14ac:dyDescent="0.2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3:51" x14ac:dyDescent="0.2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3:51" x14ac:dyDescent="0.2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3:5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3:5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3:51" x14ac:dyDescent="0.2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3:51" x14ac:dyDescent="0.2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3:5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3:51" x14ac:dyDescent="0.2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3:51" x14ac:dyDescent="0.2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3:51" x14ac:dyDescent="0.2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3:51" x14ac:dyDescent="0.2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3:51" x14ac:dyDescent="0.2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3:51" x14ac:dyDescent="0.2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3:51" x14ac:dyDescent="0.2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3:51" x14ac:dyDescent="0.2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3:51" x14ac:dyDescent="0.2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3:51" x14ac:dyDescent="0.2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3:51" x14ac:dyDescent="0.2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3:51" x14ac:dyDescent="0.2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3:5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3:51" x14ac:dyDescent="0.2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3:51" x14ac:dyDescent="0.2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3:51" x14ac:dyDescent="0.2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3:51" x14ac:dyDescent="0.2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3:5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3:51" x14ac:dyDescent="0.2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3:51" x14ac:dyDescent="0.2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3:51" x14ac:dyDescent="0.2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3:51" x14ac:dyDescent="0.2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3:51" x14ac:dyDescent="0.2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3:51" x14ac:dyDescent="0.2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3:51" x14ac:dyDescent="0.2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3:51" x14ac:dyDescent="0.2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3:51" x14ac:dyDescent="0.2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3:51" x14ac:dyDescent="0.2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3:51" x14ac:dyDescent="0.2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3:51" x14ac:dyDescent="0.2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3:51" x14ac:dyDescent="0.2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3:51" x14ac:dyDescent="0.2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3:51" x14ac:dyDescent="0.2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3:51" x14ac:dyDescent="0.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3:51" x14ac:dyDescent="0.2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3:51" x14ac:dyDescent="0.2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3:51" x14ac:dyDescent="0.2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3:51" x14ac:dyDescent="0.2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3:51" x14ac:dyDescent="0.2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3:51" x14ac:dyDescent="0.2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3:51" x14ac:dyDescent="0.2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3:51" x14ac:dyDescent="0.2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3:51" x14ac:dyDescent="0.2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3:51" x14ac:dyDescent="0.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3:51" x14ac:dyDescent="0.2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3:51" x14ac:dyDescent="0.2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3:51" x14ac:dyDescent="0.2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3:5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3:51" x14ac:dyDescent="0.2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3:51" x14ac:dyDescent="0.2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3:51" x14ac:dyDescent="0.2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3:51" x14ac:dyDescent="0.2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3:51" x14ac:dyDescent="0.2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3:51" x14ac:dyDescent="0.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3:51" x14ac:dyDescent="0.2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3:51" x14ac:dyDescent="0.2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3:51" x14ac:dyDescent="0.2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3:5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3:51" x14ac:dyDescent="0.2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3:51" x14ac:dyDescent="0.2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3:51" x14ac:dyDescent="0.2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3:51" x14ac:dyDescent="0.2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3:51" x14ac:dyDescent="0.2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3:51" x14ac:dyDescent="0.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3:51" x14ac:dyDescent="0.2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3:51" x14ac:dyDescent="0.2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3:51" x14ac:dyDescent="0.2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3:51" x14ac:dyDescent="0.2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3:51" x14ac:dyDescent="0.2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3:51" x14ac:dyDescent="0.2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3:5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3:51" x14ac:dyDescent="0.2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3:51" x14ac:dyDescent="0.2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3:5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3:51" x14ac:dyDescent="0.2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3:51" x14ac:dyDescent="0.2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3:51" x14ac:dyDescent="0.2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3:51" x14ac:dyDescent="0.2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3:51" x14ac:dyDescent="0.2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3:51" x14ac:dyDescent="0.2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3:51" x14ac:dyDescent="0.2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3:5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3:51" x14ac:dyDescent="0.2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3:51" x14ac:dyDescent="0.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3:51" x14ac:dyDescent="0.2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3:51" x14ac:dyDescent="0.2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3:5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3:51" x14ac:dyDescent="0.2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3:51" x14ac:dyDescent="0.2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3:51" x14ac:dyDescent="0.2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3:5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3:51" x14ac:dyDescent="0.2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3:51" x14ac:dyDescent="0.2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3:5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3:51" x14ac:dyDescent="0.2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3:5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3:51" x14ac:dyDescent="0.2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3:51" x14ac:dyDescent="0.2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3:51" x14ac:dyDescent="0.2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3:5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3:51" x14ac:dyDescent="0.2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3:51" x14ac:dyDescent="0.2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3:51" x14ac:dyDescent="0.2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3:5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3:5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3:51" x14ac:dyDescent="0.2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3:51" x14ac:dyDescent="0.2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3:51" x14ac:dyDescent="0.2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3:51" x14ac:dyDescent="0.2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3:51" x14ac:dyDescent="0.2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3:5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3:51" x14ac:dyDescent="0.2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3:51" x14ac:dyDescent="0.2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3:5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3:51" x14ac:dyDescent="0.2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3:51" x14ac:dyDescent="0.2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3:5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3:51" x14ac:dyDescent="0.2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3:51" x14ac:dyDescent="0.2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3:51" x14ac:dyDescent="0.2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3:51" x14ac:dyDescent="0.2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3:51" x14ac:dyDescent="0.2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3:51" x14ac:dyDescent="0.2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3:51" x14ac:dyDescent="0.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3:51" x14ac:dyDescent="0.2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3:51" x14ac:dyDescent="0.2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3:51" x14ac:dyDescent="0.2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3:51" x14ac:dyDescent="0.2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3:51" x14ac:dyDescent="0.2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3:5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3:51" x14ac:dyDescent="0.2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3:51" x14ac:dyDescent="0.2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3:51" x14ac:dyDescent="0.2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3:51" x14ac:dyDescent="0.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3:51" x14ac:dyDescent="0.2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3:51" x14ac:dyDescent="0.2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3:51" x14ac:dyDescent="0.2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3:51" x14ac:dyDescent="0.2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3:51" x14ac:dyDescent="0.2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3:51" x14ac:dyDescent="0.2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3:51" x14ac:dyDescent="0.2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3:51" x14ac:dyDescent="0.2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3:51" x14ac:dyDescent="0.2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3:51" x14ac:dyDescent="0.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3:5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3:51" x14ac:dyDescent="0.2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3:51" x14ac:dyDescent="0.2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3:5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3:51" x14ac:dyDescent="0.2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3:51" x14ac:dyDescent="0.2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3:51" x14ac:dyDescent="0.2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3:5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3:51" x14ac:dyDescent="0.2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3:51" x14ac:dyDescent="0.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3:51" x14ac:dyDescent="0.2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3:51" x14ac:dyDescent="0.2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3:51" x14ac:dyDescent="0.2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3:5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3:51" x14ac:dyDescent="0.2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3:51" x14ac:dyDescent="0.2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3:51" x14ac:dyDescent="0.2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3:51" x14ac:dyDescent="0.2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3:51" x14ac:dyDescent="0.2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3:51" x14ac:dyDescent="0.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3:51" x14ac:dyDescent="0.2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3:51" x14ac:dyDescent="0.2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3:51" x14ac:dyDescent="0.2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3:5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3:51" x14ac:dyDescent="0.2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3:5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3:51" x14ac:dyDescent="0.2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3:5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3:5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3:51" x14ac:dyDescent="0.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3:51" x14ac:dyDescent="0.2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3:51" x14ac:dyDescent="0.2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3:5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3:51" x14ac:dyDescent="0.2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3:51" x14ac:dyDescent="0.2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3:51" x14ac:dyDescent="0.2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3:51" x14ac:dyDescent="0.2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3:51" x14ac:dyDescent="0.2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3:51" x14ac:dyDescent="0.2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3:51" x14ac:dyDescent="0.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3:51" x14ac:dyDescent="0.2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3:51" x14ac:dyDescent="0.2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3:51" x14ac:dyDescent="0.2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3:51" x14ac:dyDescent="0.2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3:51" x14ac:dyDescent="0.2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3:51" x14ac:dyDescent="0.2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3:51" x14ac:dyDescent="0.2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3:51" x14ac:dyDescent="0.2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3:51" x14ac:dyDescent="0.2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3:5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3:51" x14ac:dyDescent="0.2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3:51" x14ac:dyDescent="0.2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3:51" x14ac:dyDescent="0.2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3:51" x14ac:dyDescent="0.2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3:51" x14ac:dyDescent="0.2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3:51" x14ac:dyDescent="0.2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3:51" x14ac:dyDescent="0.2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3:51" x14ac:dyDescent="0.2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3:51" x14ac:dyDescent="0.2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3:5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3:51" x14ac:dyDescent="0.2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3:51" x14ac:dyDescent="0.2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3:51" x14ac:dyDescent="0.2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3:51" x14ac:dyDescent="0.2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3:51" x14ac:dyDescent="0.2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3:51" x14ac:dyDescent="0.2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3:51" x14ac:dyDescent="0.2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3:51" x14ac:dyDescent="0.2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3:51" x14ac:dyDescent="0.2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3:51" x14ac:dyDescent="0.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3:51" x14ac:dyDescent="0.2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3:51" x14ac:dyDescent="0.2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3:5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3:51" x14ac:dyDescent="0.2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3:51" x14ac:dyDescent="0.2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3:51" x14ac:dyDescent="0.2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3:51" x14ac:dyDescent="0.2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3:51" x14ac:dyDescent="0.2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3:51" x14ac:dyDescent="0.2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3:5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3:51" x14ac:dyDescent="0.2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3:51" x14ac:dyDescent="0.2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3:51" x14ac:dyDescent="0.2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3:51" x14ac:dyDescent="0.2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3:51" x14ac:dyDescent="0.2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3:51" x14ac:dyDescent="0.2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3:51" x14ac:dyDescent="0.2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3:51" x14ac:dyDescent="0.2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3:51" x14ac:dyDescent="0.2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3:51" x14ac:dyDescent="0.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3:51" x14ac:dyDescent="0.2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3:51" x14ac:dyDescent="0.2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3:51" x14ac:dyDescent="0.2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3:51" x14ac:dyDescent="0.2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3:51" x14ac:dyDescent="0.2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3:51" x14ac:dyDescent="0.2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3:51" x14ac:dyDescent="0.2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3:51" x14ac:dyDescent="0.2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3:51" x14ac:dyDescent="0.2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3:51" x14ac:dyDescent="0.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3:5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3:51" x14ac:dyDescent="0.2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3:51" x14ac:dyDescent="0.2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3:51" x14ac:dyDescent="0.2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3:51" x14ac:dyDescent="0.2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3:51" x14ac:dyDescent="0.2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3:51" x14ac:dyDescent="0.2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3:51" x14ac:dyDescent="0.2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3:51" x14ac:dyDescent="0.2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3:5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3:51" x14ac:dyDescent="0.2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3:5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3:51" x14ac:dyDescent="0.2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3:51" x14ac:dyDescent="0.2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3:51" x14ac:dyDescent="0.2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3:51" x14ac:dyDescent="0.2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3:51" x14ac:dyDescent="0.2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3:51" x14ac:dyDescent="0.2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3:51" x14ac:dyDescent="0.2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3:51" x14ac:dyDescent="0.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3:5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3:51" x14ac:dyDescent="0.2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3:51" x14ac:dyDescent="0.2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3:51" x14ac:dyDescent="0.2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3:51" x14ac:dyDescent="0.2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3:51" x14ac:dyDescent="0.2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3:51" x14ac:dyDescent="0.2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3:51" x14ac:dyDescent="0.2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3:51" x14ac:dyDescent="0.2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3:51" x14ac:dyDescent="0.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3:51" x14ac:dyDescent="0.2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3:51" x14ac:dyDescent="0.2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3:51" x14ac:dyDescent="0.2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spans="3:51" x14ac:dyDescent="0.2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  <row r="497" spans="3:51" x14ac:dyDescent="0.2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</row>
    <row r="498" spans="3:51" x14ac:dyDescent="0.2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</row>
    <row r="499" spans="3:51" x14ac:dyDescent="0.2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</row>
    <row r="500" spans="3:51" x14ac:dyDescent="0.2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</row>
    <row r="501" spans="3:51" x14ac:dyDescent="0.2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</row>
    <row r="502" spans="3:51" x14ac:dyDescent="0.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</row>
    <row r="503" spans="3:51" x14ac:dyDescent="0.2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</row>
    <row r="504" spans="3:51" x14ac:dyDescent="0.2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</row>
    <row r="505" spans="3:51" x14ac:dyDescent="0.2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</row>
    <row r="506" spans="3:51" x14ac:dyDescent="0.2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</row>
    <row r="507" spans="3:51" x14ac:dyDescent="0.2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</row>
    <row r="508" spans="3:51" x14ac:dyDescent="0.2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</row>
    <row r="509" spans="3:51" x14ac:dyDescent="0.2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</row>
    <row r="510" spans="3:51" x14ac:dyDescent="0.2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</row>
    <row r="511" spans="3:51" x14ac:dyDescent="0.2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</row>
    <row r="512" spans="3:51" x14ac:dyDescent="0.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</row>
    <row r="513" spans="3:5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</row>
    <row r="514" spans="3:51" x14ac:dyDescent="0.2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</row>
    <row r="515" spans="3:51" x14ac:dyDescent="0.2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</row>
    <row r="516" spans="3:51" x14ac:dyDescent="0.2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</row>
    <row r="517" spans="3:51" x14ac:dyDescent="0.2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</row>
    <row r="518" spans="3:51" x14ac:dyDescent="0.2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</row>
    <row r="519" spans="3:51" x14ac:dyDescent="0.2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</row>
    <row r="520" spans="3:51" x14ac:dyDescent="0.2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</row>
    <row r="521" spans="3:5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</row>
    <row r="522" spans="3:51" x14ac:dyDescent="0.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</row>
    <row r="523" spans="3:51" x14ac:dyDescent="0.2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</row>
    <row r="524" spans="3:5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</row>
    <row r="525" spans="3:51" x14ac:dyDescent="0.2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</row>
    <row r="526" spans="3:51" x14ac:dyDescent="0.2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</row>
    <row r="527" spans="3:51" x14ac:dyDescent="0.2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</row>
    <row r="528" spans="3:51" x14ac:dyDescent="0.2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</row>
    <row r="529" spans="3:51" x14ac:dyDescent="0.2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</row>
    <row r="530" spans="3:51" x14ac:dyDescent="0.2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</row>
    <row r="531" spans="3:51" x14ac:dyDescent="0.2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</row>
    <row r="532" spans="3:51" x14ac:dyDescent="0.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</row>
    <row r="533" spans="3:51" x14ac:dyDescent="0.2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</row>
    <row r="534" spans="3:51" x14ac:dyDescent="0.2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</row>
    <row r="535" spans="3:51" x14ac:dyDescent="0.2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</row>
    <row r="536" spans="3:5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</row>
    <row r="537" spans="3:51" x14ac:dyDescent="0.2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</row>
    <row r="538" spans="3:51" x14ac:dyDescent="0.2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</row>
    <row r="539" spans="3:51" x14ac:dyDescent="0.2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</row>
    <row r="540" spans="3:51" x14ac:dyDescent="0.2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</row>
    <row r="541" spans="3:51" x14ac:dyDescent="0.2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</row>
    <row r="542" spans="3:51" x14ac:dyDescent="0.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</row>
    <row r="543" spans="3:51" x14ac:dyDescent="0.2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</row>
    <row r="544" spans="3:51" x14ac:dyDescent="0.2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</row>
    <row r="545" spans="3:5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</row>
    <row r="546" spans="3:51" x14ac:dyDescent="0.2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</row>
    <row r="547" spans="3:51" x14ac:dyDescent="0.2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</row>
    <row r="548" spans="3:5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</row>
    <row r="549" spans="3:5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</row>
    <row r="550" spans="3:5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</row>
    <row r="551" spans="3:51" x14ac:dyDescent="0.2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</row>
    <row r="552" spans="3:5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</row>
    <row r="553" spans="3:5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</row>
    <row r="554" spans="3:51" x14ac:dyDescent="0.2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</row>
    <row r="555" spans="3:51" x14ac:dyDescent="0.2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</row>
    <row r="556" spans="3:51" x14ac:dyDescent="0.2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</row>
    <row r="557" spans="3:51" x14ac:dyDescent="0.2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</row>
    <row r="558" spans="3:51" x14ac:dyDescent="0.2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</row>
    <row r="559" spans="3:51" x14ac:dyDescent="0.2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</row>
    <row r="560" spans="3:51" x14ac:dyDescent="0.2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</row>
    <row r="561" spans="3:51" x14ac:dyDescent="0.2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</row>
    <row r="562" spans="3:51" x14ac:dyDescent="0.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</row>
    <row r="563" spans="3:51" x14ac:dyDescent="0.2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</row>
    <row r="564" spans="3:51" x14ac:dyDescent="0.2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</row>
    <row r="565" spans="3:51" x14ac:dyDescent="0.2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</row>
    <row r="566" spans="3:51" x14ac:dyDescent="0.2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</row>
    <row r="567" spans="3:5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</row>
    <row r="568" spans="3:51" x14ac:dyDescent="0.2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</row>
    <row r="569" spans="3:5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</row>
    <row r="570" spans="3:5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</row>
    <row r="571" spans="3:51" x14ac:dyDescent="0.2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</row>
    <row r="572" spans="3:51" x14ac:dyDescent="0.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</row>
    <row r="573" spans="3:51" x14ac:dyDescent="0.2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</row>
    <row r="574" spans="3:5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</row>
    <row r="575" spans="3:51" x14ac:dyDescent="0.2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</row>
    <row r="576" spans="3:5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</row>
    <row r="577" spans="3:51" x14ac:dyDescent="0.2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</row>
    <row r="578" spans="3:51" x14ac:dyDescent="0.2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</row>
    <row r="579" spans="3:51" x14ac:dyDescent="0.2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</row>
    <row r="580" spans="3:5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</row>
    <row r="581" spans="3:51" x14ac:dyDescent="0.2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</row>
    <row r="582" spans="3:51" x14ac:dyDescent="0.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</row>
    <row r="583" spans="3:51" x14ac:dyDescent="0.2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</row>
    <row r="584" spans="3:5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</row>
    <row r="585" spans="3:51" x14ac:dyDescent="0.2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</row>
    <row r="586" spans="3:51" x14ac:dyDescent="0.2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</row>
    <row r="587" spans="3:51" x14ac:dyDescent="0.2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</row>
    <row r="588" spans="3:51" x14ac:dyDescent="0.2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</row>
    <row r="589" spans="3:51" x14ac:dyDescent="0.2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</row>
    <row r="590" spans="3:5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</row>
    <row r="591" spans="3:51" x14ac:dyDescent="0.2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</row>
    <row r="592" spans="3:51" x14ac:dyDescent="0.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</row>
    <row r="593" spans="3:5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</row>
    <row r="594" spans="3:51" x14ac:dyDescent="0.2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</row>
    <row r="595" spans="3:51" x14ac:dyDescent="0.2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</row>
    <row r="596" spans="3:51" x14ac:dyDescent="0.2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</row>
    <row r="597" spans="3:51" x14ac:dyDescent="0.2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</row>
    <row r="598" spans="3:51" x14ac:dyDescent="0.2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</row>
    <row r="599" spans="3:51" x14ac:dyDescent="0.2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</row>
    <row r="600" spans="3:51" x14ac:dyDescent="0.2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</row>
    <row r="601" spans="3:51" x14ac:dyDescent="0.2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</row>
    <row r="602" spans="3:51" x14ac:dyDescent="0.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</row>
    <row r="603" spans="3:51" x14ac:dyDescent="0.2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</row>
    <row r="604" spans="3:51" x14ac:dyDescent="0.2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</row>
    <row r="605" spans="3:51" x14ac:dyDescent="0.2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</row>
  </sheetData>
  <hyperlinks>
    <hyperlink ref="A1" location="Main!A1" display="Main" xr:uid="{493F6E00-5A4C-4585-BA70-F84B0FF69CA0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2025-01-31T13:10:06Z</dcterms:created>
  <dcterms:modified xsi:type="dcterms:W3CDTF">2026-09-04T09:03:31Z</dcterms:modified>
</cp:coreProperties>
</file>