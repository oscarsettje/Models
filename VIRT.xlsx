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7FE7ADF-869D-4F07-AA34-EF72EBE4B81C}" xr6:coauthVersionLast="47" xr6:coauthVersionMax="47" xr10:uidLastSave="{00000000-0000-0000-0000-000000000000}"/>
  <bookViews>
    <workbookView xWindow="-120" yWindow="-120" windowWidth="38640" windowHeight="21120" xr2:uid="{F2317BC5-DDE7-4B11-8968-E77385A88B35}"/>
  </bookViews>
  <sheets>
    <sheet name="Main" sheetId="1" r:id="rId1"/>
    <sheet name="Model" sheetId="2" r:id="rId2"/>
    <sheet name="Ratios" sheetId="5" r:id="rId3"/>
    <sheet name="CoC" sheetId="4" r:id="rId4"/>
    <sheet name="DCF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" l="1"/>
  <c r="G24" i="5"/>
  <c r="F24" i="5"/>
  <c r="E24" i="5"/>
  <c r="D24" i="5"/>
  <c r="C24" i="5"/>
  <c r="H25" i="5"/>
  <c r="G25" i="5"/>
  <c r="F25" i="5"/>
  <c r="E25" i="5"/>
  <c r="D25" i="5"/>
  <c r="C25" i="5"/>
  <c r="I25" i="5"/>
  <c r="I24" i="5"/>
  <c r="H14" i="5"/>
  <c r="G14" i="5"/>
  <c r="F14" i="5"/>
  <c r="E14" i="5"/>
  <c r="I14" i="5"/>
  <c r="H13" i="5"/>
  <c r="G13" i="5"/>
  <c r="F13" i="5"/>
  <c r="E13" i="5"/>
  <c r="I13" i="5"/>
  <c r="H11" i="5"/>
  <c r="G11" i="5"/>
  <c r="F11" i="5"/>
  <c r="E11" i="5"/>
  <c r="I11" i="5"/>
  <c r="I12" i="5"/>
  <c r="H12" i="5"/>
  <c r="G12" i="5"/>
  <c r="F12" i="5"/>
  <c r="E12" i="5"/>
  <c r="H10" i="5"/>
  <c r="G10" i="5"/>
  <c r="F10" i="5"/>
  <c r="E10" i="5"/>
  <c r="I10" i="5"/>
  <c r="H7" i="5"/>
  <c r="G7" i="5"/>
  <c r="F7" i="5"/>
  <c r="E7" i="5"/>
  <c r="D7" i="5"/>
  <c r="C7" i="5"/>
  <c r="I7" i="5"/>
  <c r="H6" i="5"/>
  <c r="G6" i="5"/>
  <c r="F6" i="5"/>
  <c r="E6" i="5"/>
  <c r="D6" i="5"/>
  <c r="C6" i="5"/>
  <c r="I6" i="5"/>
  <c r="C4" i="5"/>
  <c r="D4" i="5"/>
  <c r="E4" i="5"/>
  <c r="F4" i="5"/>
  <c r="G4" i="5"/>
  <c r="H4" i="5"/>
  <c r="I4" i="5"/>
  <c r="J3" i="3"/>
  <c r="O3" i="3" s="1"/>
  <c r="V61" i="3"/>
  <c r="V59" i="3"/>
  <c r="V58" i="3"/>
  <c r="L48" i="3"/>
  <c r="K48" i="3"/>
  <c r="J48" i="3"/>
  <c r="J49" i="3" s="1"/>
  <c r="I48" i="3"/>
  <c r="I49" i="3" s="1"/>
  <c r="H48" i="3"/>
  <c r="G48" i="3"/>
  <c r="G49" i="3" s="1"/>
  <c r="L45" i="3"/>
  <c r="K45" i="3"/>
  <c r="K46" i="3" s="1"/>
  <c r="J45" i="3"/>
  <c r="J46" i="3" s="1"/>
  <c r="I45" i="3"/>
  <c r="I46" i="3" s="1"/>
  <c r="H45" i="3"/>
  <c r="H46" i="3" s="1"/>
  <c r="G45" i="3"/>
  <c r="G46" i="3" s="1"/>
  <c r="L42" i="3"/>
  <c r="K42" i="3"/>
  <c r="K43" i="3" s="1"/>
  <c r="J42" i="3"/>
  <c r="J43" i="3" s="1"/>
  <c r="I42" i="3"/>
  <c r="I43" i="3" s="1"/>
  <c r="H42" i="3"/>
  <c r="G42" i="3"/>
  <c r="L37" i="3"/>
  <c r="K37" i="3"/>
  <c r="J37" i="3"/>
  <c r="I37" i="3"/>
  <c r="H37" i="3"/>
  <c r="G37" i="3"/>
  <c r="L31" i="3"/>
  <c r="L38" i="3" s="1"/>
  <c r="K31" i="3"/>
  <c r="K32" i="3" s="1"/>
  <c r="J31" i="3"/>
  <c r="J38" i="3" s="1"/>
  <c r="I31" i="3"/>
  <c r="H31" i="3"/>
  <c r="H40" i="3" s="1"/>
  <c r="G31" i="3"/>
  <c r="G40" i="3" s="1"/>
  <c r="L25" i="3"/>
  <c r="K25" i="3"/>
  <c r="J25" i="3"/>
  <c r="I25" i="3"/>
  <c r="H25" i="3"/>
  <c r="G25" i="3"/>
  <c r="H5" i="5"/>
  <c r="G5" i="5"/>
  <c r="F5" i="5"/>
  <c r="E5" i="5"/>
  <c r="D5" i="5"/>
  <c r="C5" i="5"/>
  <c r="I5" i="5"/>
  <c r="D2" i="5"/>
  <c r="E2" i="5" s="1"/>
  <c r="F2" i="5" s="1"/>
  <c r="G2" i="5" s="1"/>
  <c r="H2" i="5" s="1"/>
  <c r="I2" i="5" s="1"/>
  <c r="J2" i="5" s="1"/>
  <c r="I47" i="4"/>
  <c r="F37" i="4"/>
  <c r="F32" i="4"/>
  <c r="F20" i="4"/>
  <c r="F8" i="4"/>
  <c r="F22" i="4" s="1"/>
  <c r="L51" i="3"/>
  <c r="L49" i="3"/>
  <c r="K49" i="3"/>
  <c r="H49" i="3"/>
  <c r="L46" i="3"/>
  <c r="L43" i="3"/>
  <c r="G43" i="3"/>
  <c r="L40" i="3"/>
  <c r="K40" i="3"/>
  <c r="J40" i="3"/>
  <c r="I40" i="3"/>
  <c r="I38" i="3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/>
  <c r="J32" i="3"/>
  <c r="I32" i="3"/>
  <c r="H32" i="3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M25" i="3" s="1"/>
  <c r="L26" i="3"/>
  <c r="K26" i="3"/>
  <c r="J26" i="3"/>
  <c r="I26" i="3"/>
  <c r="H26" i="3"/>
  <c r="H24" i="3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E20" i="3"/>
  <c r="E19" i="3"/>
  <c r="E18" i="3"/>
  <c r="O4" i="3"/>
  <c r="E4" i="3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O5" i="3" l="1"/>
  <c r="G51" i="3"/>
  <c r="H43" i="3"/>
  <c r="K51" i="3"/>
  <c r="I51" i="3"/>
  <c r="J51" i="3"/>
  <c r="H51" i="3"/>
  <c r="H38" i="3"/>
  <c r="K38" i="3"/>
  <c r="G38" i="3"/>
  <c r="G32" i="3"/>
  <c r="F41" i="4"/>
  <c r="M31" i="3"/>
  <c r="M37" i="3" s="1"/>
  <c r="N25" i="3"/>
  <c r="M45" i="3"/>
  <c r="M48" i="3"/>
  <c r="M42" i="3"/>
  <c r="M40" i="3" l="1"/>
  <c r="M51" i="3" s="1"/>
  <c r="M52" i="3" s="1"/>
  <c r="O25" i="3"/>
  <c r="N42" i="3"/>
  <c r="N45" i="3"/>
  <c r="N48" i="3"/>
  <c r="N31" i="3"/>
  <c r="N37" i="3" l="1"/>
  <c r="N40" i="3" s="1"/>
  <c r="N51" i="3" s="1"/>
  <c r="N52" i="3" s="1"/>
  <c r="O45" i="3"/>
  <c r="O48" i="3"/>
  <c r="O42" i="3"/>
  <c r="P25" i="3"/>
  <c r="O31" i="3"/>
  <c r="O37" i="3" l="1"/>
  <c r="O40" i="3" s="1"/>
  <c r="O51" i="3" s="1"/>
  <c r="O52" i="3" s="1"/>
  <c r="P45" i="3"/>
  <c r="Q25" i="3"/>
  <c r="P48" i="3"/>
  <c r="P42" i="3"/>
  <c r="P31" i="3"/>
  <c r="P37" i="3" l="1"/>
  <c r="P40" i="3" s="1"/>
  <c r="P51" i="3" s="1"/>
  <c r="P52" i="3" s="1"/>
  <c r="Q48" i="3"/>
  <c r="Q42" i="3"/>
  <c r="Q45" i="3"/>
  <c r="R25" i="3"/>
  <c r="Q31" i="3"/>
  <c r="Q37" i="3" l="1"/>
  <c r="Q40" i="3" s="1"/>
  <c r="Q51" i="3" s="1"/>
  <c r="Q52" i="3" s="1"/>
  <c r="R45" i="3"/>
  <c r="R48" i="3"/>
  <c r="R42" i="3"/>
  <c r="S25" i="3"/>
  <c r="R31" i="3"/>
  <c r="S48" i="3" l="1"/>
  <c r="S45" i="3"/>
  <c r="T25" i="3"/>
  <c r="S42" i="3"/>
  <c r="S31" i="3"/>
  <c r="R37" i="3"/>
  <c r="R40" i="3" s="1"/>
  <c r="R51" i="3" s="1"/>
  <c r="R52" i="3" s="1"/>
  <c r="S37" i="3" l="1"/>
  <c r="S40" i="3" s="1"/>
  <c r="S51" i="3" s="1"/>
  <c r="S52" i="3" s="1"/>
  <c r="U25" i="3"/>
  <c r="T48" i="3"/>
  <c r="T45" i="3"/>
  <c r="T42" i="3"/>
  <c r="T31" i="3"/>
  <c r="T37" i="3" l="1"/>
  <c r="T40" i="3" s="1"/>
  <c r="T51" i="3" s="1"/>
  <c r="T52" i="3" s="1"/>
  <c r="V25" i="3"/>
  <c r="U48" i="3"/>
  <c r="U45" i="3"/>
  <c r="U42" i="3"/>
  <c r="U31" i="3"/>
  <c r="U37" i="3" l="1"/>
  <c r="U40" i="3" s="1"/>
  <c r="U51" i="3" s="1"/>
  <c r="U52" i="3" s="1"/>
  <c r="V48" i="3"/>
  <c r="V45" i="3"/>
  <c r="V42" i="3"/>
  <c r="V31" i="3"/>
  <c r="V37" i="3" l="1"/>
  <c r="V40" i="3" s="1"/>
  <c r="V55" i="3" l="1"/>
  <c r="V56" i="3" s="1"/>
  <c r="V51" i="3"/>
  <c r="V52" i="3" s="1"/>
  <c r="V54" i="3" s="1"/>
  <c r="V57" i="3" l="1"/>
  <c r="V60" i="3" s="1"/>
  <c r="V62" i="3" s="1"/>
  <c r="J4" i="3" s="1"/>
  <c r="N69" i="3" s="1"/>
  <c r="J5" i="3" l="1"/>
  <c r="C69" i="3"/>
  <c r="O85" i="2"/>
  <c r="O94" i="2"/>
  <c r="O96" i="2" s="1"/>
  <c r="O90" i="2"/>
  <c r="O88" i="2"/>
  <c r="O100" i="2"/>
  <c r="P99" i="2"/>
  <c r="O81" i="2"/>
  <c r="O75" i="2"/>
  <c r="O82" i="2" s="1"/>
  <c r="P85" i="2"/>
  <c r="P86" i="2" s="1"/>
  <c r="P81" i="2"/>
  <c r="P80" i="2"/>
  <c r="P82" i="2" s="1"/>
  <c r="P75" i="2"/>
  <c r="P100" i="2"/>
  <c r="Q100" i="2"/>
  <c r="Q94" i="2"/>
  <c r="Q88" i="2"/>
  <c r="Q81" i="2"/>
  <c r="Q75" i="2"/>
  <c r="P48" i="2"/>
  <c r="O48" i="2"/>
  <c r="N48" i="2"/>
  <c r="M48" i="2"/>
  <c r="L48" i="2"/>
  <c r="O55" i="2"/>
  <c r="N55" i="2"/>
  <c r="M55" i="2"/>
  <c r="L55" i="2"/>
  <c r="O56" i="2"/>
  <c r="N56" i="2"/>
  <c r="M56" i="2"/>
  <c r="L56" i="2"/>
  <c r="N65" i="2"/>
  <c r="M65" i="2"/>
  <c r="M70" i="2" s="1"/>
  <c r="M72" i="2" s="1"/>
  <c r="L65" i="2"/>
  <c r="P70" i="2"/>
  <c r="P72" i="2" s="1"/>
  <c r="O70" i="2"/>
  <c r="N70" i="2"/>
  <c r="N72" i="2" s="1"/>
  <c r="L70" i="2"/>
  <c r="O69" i="2"/>
  <c r="N69" i="2"/>
  <c r="M69" i="2"/>
  <c r="L69" i="2"/>
  <c r="O72" i="2"/>
  <c r="L72" i="2"/>
  <c r="N82" i="2"/>
  <c r="M82" i="2"/>
  <c r="L82" i="2"/>
  <c r="O86" i="2"/>
  <c r="N86" i="2"/>
  <c r="M86" i="2"/>
  <c r="L86" i="2"/>
  <c r="N96" i="2"/>
  <c r="N98" i="2" s="1"/>
  <c r="M96" i="2"/>
  <c r="L96" i="2"/>
  <c r="M98" i="2"/>
  <c r="L98" i="2"/>
  <c r="P96" i="2"/>
  <c r="S102" i="2"/>
  <c r="R102" i="2"/>
  <c r="T102" i="2"/>
  <c r="R99" i="2"/>
  <c r="R90" i="2"/>
  <c r="R96" i="2" s="1"/>
  <c r="R98" i="2" s="1"/>
  <c r="R88" i="2"/>
  <c r="R100" i="2"/>
  <c r="S99" i="2"/>
  <c r="S98" i="2"/>
  <c r="S88" i="2"/>
  <c r="S96" i="2" s="1"/>
  <c r="S100" i="2"/>
  <c r="T100" i="2"/>
  <c r="T98" i="2"/>
  <c r="Q96" i="2"/>
  <c r="T96" i="2"/>
  <c r="T90" i="2"/>
  <c r="R81" i="2"/>
  <c r="R75" i="2"/>
  <c r="S81" i="2"/>
  <c r="S75" i="2"/>
  <c r="S82" i="2"/>
  <c r="R82" i="2"/>
  <c r="S86" i="2"/>
  <c r="R86" i="2"/>
  <c r="Q86" i="2"/>
  <c r="T86" i="2"/>
  <c r="T81" i="2"/>
  <c r="T82" i="2"/>
  <c r="T75" i="2"/>
  <c r="L18" i="2"/>
  <c r="L17" i="2"/>
  <c r="M18" i="2"/>
  <c r="M17" i="2"/>
  <c r="M11" i="2"/>
  <c r="N18" i="2"/>
  <c r="N17" i="2"/>
  <c r="N11" i="2"/>
  <c r="O38" i="2"/>
  <c r="O37" i="2"/>
  <c r="O36" i="2"/>
  <c r="N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N10" i="2"/>
  <c r="N13" i="2" s="1"/>
  <c r="N19" i="2" s="1"/>
  <c r="N22" i="2" s="1"/>
  <c r="N25" i="2" s="1"/>
  <c r="N27" i="2" s="1"/>
  <c r="M10" i="2"/>
  <c r="M13" i="2" s="1"/>
  <c r="M19" i="2" s="1"/>
  <c r="M22" i="2" s="1"/>
  <c r="M25" i="2" s="1"/>
  <c r="M27" i="2" s="1"/>
  <c r="L10" i="2"/>
  <c r="L13" i="2" s="1"/>
  <c r="L19" i="2" s="1"/>
  <c r="L22" i="2" s="1"/>
  <c r="L25" i="2" s="1"/>
  <c r="L27" i="2" s="1"/>
  <c r="P34" i="2"/>
  <c r="P33" i="2"/>
  <c r="P32" i="2"/>
  <c r="P31" i="2"/>
  <c r="P30" i="2"/>
  <c r="O18" i="2"/>
  <c r="O17" i="2"/>
  <c r="P18" i="2"/>
  <c r="P17" i="2"/>
  <c r="Q18" i="2"/>
  <c r="Q17" i="2"/>
  <c r="O10" i="2"/>
  <c r="O13" i="2" s="1"/>
  <c r="O19" i="2" s="1"/>
  <c r="O22" i="2" s="1"/>
  <c r="O25" i="2" s="1"/>
  <c r="O27" i="2" s="1"/>
  <c r="S65" i="2"/>
  <c r="R65" i="2"/>
  <c r="Q65" i="2"/>
  <c r="P65" i="2"/>
  <c r="O65" i="2"/>
  <c r="S69" i="2"/>
  <c r="R69" i="2"/>
  <c r="Q69" i="2"/>
  <c r="P69" i="2"/>
  <c r="T69" i="2"/>
  <c r="T65" i="2"/>
  <c r="S55" i="2"/>
  <c r="R55" i="2"/>
  <c r="Q55" i="2"/>
  <c r="P55" i="2"/>
  <c r="T54" i="2"/>
  <c r="T55" i="2" s="1"/>
  <c r="S48" i="2"/>
  <c r="R48" i="2"/>
  <c r="Q48" i="2"/>
  <c r="T48" i="2"/>
  <c r="H34" i="2"/>
  <c r="H33" i="2"/>
  <c r="H32" i="2"/>
  <c r="H31" i="2"/>
  <c r="H30" i="2"/>
  <c r="D18" i="2"/>
  <c r="D17" i="2"/>
  <c r="H18" i="2"/>
  <c r="H17" i="2"/>
  <c r="H13" i="2"/>
  <c r="H6" i="1"/>
  <c r="H3" i="1"/>
  <c r="H4" i="1" s="1"/>
  <c r="H7" i="1" s="1"/>
  <c r="R34" i="2"/>
  <c r="Q34" i="2"/>
  <c r="R33" i="2"/>
  <c r="Q33" i="2"/>
  <c r="R32" i="2"/>
  <c r="Q32" i="2"/>
  <c r="R31" i="2"/>
  <c r="Q31" i="2"/>
  <c r="R30" i="2"/>
  <c r="Q30" i="2"/>
  <c r="S34" i="2"/>
  <c r="S33" i="2"/>
  <c r="S32" i="2"/>
  <c r="S31" i="2"/>
  <c r="S30" i="2"/>
  <c r="T30" i="2"/>
  <c r="T31" i="2"/>
  <c r="T33" i="2"/>
  <c r="T32" i="2"/>
  <c r="T34" i="2"/>
  <c r="R18" i="2"/>
  <c r="R17" i="2"/>
  <c r="S18" i="2"/>
  <c r="S17" i="2"/>
  <c r="T18" i="2"/>
  <c r="T17" i="2"/>
  <c r="T10" i="2"/>
  <c r="S10" i="2"/>
  <c r="S13" i="2" s="1"/>
  <c r="S36" i="2" s="1"/>
  <c r="R10" i="2"/>
  <c r="R13" i="2" s="1"/>
  <c r="R36" i="2" s="1"/>
  <c r="Q10" i="2"/>
  <c r="Q13" i="2" s="1"/>
  <c r="P10" i="2"/>
  <c r="P13" i="2" s="1"/>
  <c r="P36" i="2" s="1"/>
  <c r="G30" i="2"/>
  <c r="G31" i="2"/>
  <c r="G34" i="2"/>
  <c r="G33" i="2"/>
  <c r="G32" i="2"/>
  <c r="C18" i="2"/>
  <c r="C17" i="2"/>
  <c r="G17" i="2"/>
  <c r="G18" i="2"/>
  <c r="C10" i="2"/>
  <c r="C13" i="2" s="1"/>
  <c r="F10" i="2"/>
  <c r="F13" i="2" s="1"/>
  <c r="F19" i="2" s="1"/>
  <c r="E10" i="2"/>
  <c r="E13" i="2" s="1"/>
  <c r="E19" i="2" s="1"/>
  <c r="D10" i="2"/>
  <c r="D13" i="2" s="1"/>
  <c r="G10" i="2"/>
  <c r="G13" i="2" s="1"/>
  <c r="G36" i="2" s="1"/>
  <c r="O98" i="2" l="1"/>
  <c r="O99" i="2" s="1"/>
  <c r="P98" i="2"/>
  <c r="Q82" i="2"/>
  <c r="Q98" i="2" s="1"/>
  <c r="P56" i="2"/>
  <c r="Q56" i="2"/>
  <c r="M38" i="2"/>
  <c r="M36" i="2"/>
  <c r="M37" i="2"/>
  <c r="N38" i="2"/>
  <c r="N37" i="2"/>
  <c r="T56" i="2"/>
  <c r="R56" i="2"/>
  <c r="S56" i="2"/>
  <c r="T70" i="2"/>
  <c r="T72" i="2" s="1"/>
  <c r="Q70" i="2"/>
  <c r="Q72" i="2" s="1"/>
  <c r="R70" i="2"/>
  <c r="R72" i="2" s="1"/>
  <c r="H19" i="2"/>
  <c r="H22" i="2" s="1"/>
  <c r="H38" i="2" s="1"/>
  <c r="P35" i="2"/>
  <c r="S70" i="2"/>
  <c r="S72" i="2" s="1"/>
  <c r="H35" i="2"/>
  <c r="T35" i="2"/>
  <c r="H36" i="2"/>
  <c r="D19" i="2"/>
  <c r="D37" i="2" s="1"/>
  <c r="P19" i="2"/>
  <c r="P37" i="2" s="1"/>
  <c r="Q19" i="2"/>
  <c r="Q36" i="2"/>
  <c r="T13" i="2"/>
  <c r="Q35" i="2"/>
  <c r="R35" i="2"/>
  <c r="S35" i="2"/>
  <c r="R19" i="2"/>
  <c r="S19" i="2"/>
  <c r="C19" i="2"/>
  <c r="C37" i="2" s="1"/>
  <c r="E22" i="2"/>
  <c r="E37" i="2"/>
  <c r="F22" i="2"/>
  <c r="F37" i="2"/>
  <c r="G35" i="2"/>
  <c r="C36" i="2"/>
  <c r="D36" i="2"/>
  <c r="E36" i="2"/>
  <c r="F36" i="2"/>
  <c r="G19" i="2"/>
  <c r="H37" i="2" l="1"/>
  <c r="H25" i="2"/>
  <c r="H27" i="2" s="1"/>
  <c r="D22" i="2"/>
  <c r="D38" i="2" s="1"/>
  <c r="S22" i="2"/>
  <c r="S37" i="2"/>
  <c r="R22" i="2"/>
  <c r="R37" i="2"/>
  <c r="T36" i="2"/>
  <c r="T19" i="2"/>
  <c r="Q37" i="2"/>
  <c r="Q22" i="2"/>
  <c r="P22" i="2"/>
  <c r="P38" i="2" s="1"/>
  <c r="C22" i="2"/>
  <c r="C38" i="2" s="1"/>
  <c r="G22" i="2"/>
  <c r="G37" i="2"/>
  <c r="F38" i="2"/>
  <c r="F25" i="2"/>
  <c r="F27" i="2" s="1"/>
  <c r="E38" i="2"/>
  <c r="E25" i="2"/>
  <c r="E27" i="2" s="1"/>
  <c r="D25" i="2" l="1"/>
  <c r="D27" i="2" s="1"/>
  <c r="P25" i="2"/>
  <c r="P27" i="2" s="1"/>
  <c r="Q38" i="2"/>
  <c r="Q25" i="2"/>
  <c r="Q27" i="2" s="1"/>
  <c r="T37" i="2"/>
  <c r="T22" i="2"/>
  <c r="R25" i="2"/>
  <c r="R27" i="2" s="1"/>
  <c r="R38" i="2"/>
  <c r="S25" i="2"/>
  <c r="S27" i="2" s="1"/>
  <c r="S38" i="2"/>
  <c r="C25" i="2"/>
  <c r="C27" i="2" s="1"/>
  <c r="G25" i="2"/>
  <c r="G27" i="2" s="1"/>
  <c r="G38" i="2"/>
  <c r="T25" i="2" l="1"/>
  <c r="T27" i="2" s="1"/>
  <c r="T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<sst xmlns="http://schemas.openxmlformats.org/spreadsheetml/2006/main" count="403" uniqueCount="316">
  <si>
    <t xml:space="preserve">Virtu Financial </t>
  </si>
  <si>
    <t>numbers in mio USD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</si>
  <si>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</si>
  <si>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</si>
  <si>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</si>
  <si>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</si>
  <si>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</si>
  <si>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</si>
  <si>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</si>
  <si>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</si>
  <si>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</si>
  <si>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</si>
  <si>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</si>
  <si>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</si>
  <si>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</si>
  <si>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</si>
  <si>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</si>
  <si>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Trading Income</t>
  </si>
  <si>
    <t>Interests and Dividends</t>
  </si>
  <si>
    <t>Commissions and services</t>
  </si>
  <si>
    <t>Other</t>
  </si>
  <si>
    <t>Revenue</t>
  </si>
  <si>
    <t>Brokerager, exchange, payment for order flow</t>
  </si>
  <si>
    <t>Interest and Dividend Expense</t>
  </si>
  <si>
    <t>Gross Profit</t>
  </si>
  <si>
    <t>Communication and data processing</t>
  </si>
  <si>
    <t>Employee compensation</t>
  </si>
  <si>
    <t>D&amp;A</t>
  </si>
  <si>
    <t>Operating Income</t>
  </si>
  <si>
    <t>Transaction, advisor fees &amp; other</t>
  </si>
  <si>
    <t>Operations and administrative</t>
  </si>
  <si>
    <t>Pretax Income</t>
  </si>
  <si>
    <t>Interest on long term debt</t>
  </si>
  <si>
    <t>Cost of debt</t>
  </si>
  <si>
    <t>Tax Expense</t>
  </si>
  <si>
    <t>Minority Interest</t>
  </si>
  <si>
    <t>Net Income</t>
  </si>
  <si>
    <t>EPS</t>
  </si>
  <si>
    <t>Trading Income Growth</t>
  </si>
  <si>
    <t>Interest/Dividends Growth</t>
  </si>
  <si>
    <t>Commission Growth</t>
  </si>
  <si>
    <t>Revenue Growth</t>
  </si>
  <si>
    <t>Gross Margin</t>
  </si>
  <si>
    <t>Operating Margin</t>
  </si>
  <si>
    <t>Tax Rate</t>
  </si>
  <si>
    <t xml:space="preserve"> </t>
  </si>
  <si>
    <t>Market Making</t>
  </si>
  <si>
    <t>Execution Services</t>
  </si>
  <si>
    <t>Corporate</t>
  </si>
  <si>
    <t>IR</t>
  </si>
  <si>
    <t>VIRT</t>
  </si>
  <si>
    <t>Segments</t>
  </si>
  <si>
    <t>% of Rev</t>
  </si>
  <si>
    <t>Services</t>
  </si>
  <si>
    <t>Competitors</t>
  </si>
  <si>
    <t>Jane Street, Citadel</t>
  </si>
  <si>
    <t>market making in every asset class</t>
  </si>
  <si>
    <t>Market making</t>
  </si>
  <si>
    <t>25.000 OTC securities</t>
  </si>
  <si>
    <t>Trading services and analytics</t>
  </si>
  <si>
    <t xml:space="preserve">Corporate </t>
  </si>
  <si>
    <t>FY20</t>
  </si>
  <si>
    <t>FY21</t>
  </si>
  <si>
    <t>FY22</t>
  </si>
  <si>
    <t>FY23</t>
  </si>
  <si>
    <t>FY24</t>
  </si>
  <si>
    <t>Market Making Growth</t>
  </si>
  <si>
    <t>Execution Services Growth</t>
  </si>
  <si>
    <t>Management</t>
  </si>
  <si>
    <t>CEO</t>
  </si>
  <si>
    <t>CFO</t>
  </si>
  <si>
    <t>Aaron Simons</t>
  </si>
  <si>
    <t>Cindy Lee</t>
  </si>
  <si>
    <t>Cash &amp; Cash Equivalents</t>
  </si>
  <si>
    <t>Restricted Cash</t>
  </si>
  <si>
    <t>Securrities Borrowed</t>
  </si>
  <si>
    <t>Securrities purchased to resell</t>
  </si>
  <si>
    <t>Financial instruments pledged</t>
  </si>
  <si>
    <t>Financial instruments owned</t>
  </si>
  <si>
    <t>Receivables from costumers</t>
  </si>
  <si>
    <t>Current Assets</t>
  </si>
  <si>
    <t>Receivables from brokers</t>
  </si>
  <si>
    <t>PP&amp;E</t>
  </si>
  <si>
    <t>Operating Leases</t>
  </si>
  <si>
    <t>Goodwill</t>
  </si>
  <si>
    <t>Intangibles</t>
  </si>
  <si>
    <t>Deffered taxes</t>
  </si>
  <si>
    <t>Non-current Assets</t>
  </si>
  <si>
    <t>Total Assets</t>
  </si>
  <si>
    <t>Equity</t>
  </si>
  <si>
    <t>Short-Term Borrowings</t>
  </si>
  <si>
    <t>Securities loaned</t>
  </si>
  <si>
    <t>Securities sold to repurchase</t>
  </si>
  <si>
    <t>Payables to Brokers</t>
  </si>
  <si>
    <t>Payables to Costumers</t>
  </si>
  <si>
    <t>Financial instruments sold</t>
  </si>
  <si>
    <t>Tax receivables</t>
  </si>
  <si>
    <t>Accounts payables and other</t>
  </si>
  <si>
    <t>Current Liabilities</t>
  </si>
  <si>
    <t>Non-current Borrowing</t>
  </si>
  <si>
    <t>Non-Current Liabilities</t>
  </si>
  <si>
    <t>Total Liabilities</t>
  </si>
  <si>
    <t xml:space="preserve">Liabilities &amp; Equity </t>
  </si>
  <si>
    <t>FY19</t>
  </si>
  <si>
    <t>FY18</t>
  </si>
  <si>
    <t>FY17</t>
  </si>
  <si>
    <t>FY16</t>
  </si>
  <si>
    <t>Founded</t>
  </si>
  <si>
    <t>by Vincent Viola and Douglas Cifu</t>
  </si>
  <si>
    <t>Notes</t>
  </si>
  <si>
    <t>IPO 2015</t>
  </si>
  <si>
    <t>2017 Acquisition of KCG holdings for 1.4 billion USD</t>
  </si>
  <si>
    <t>2019 Acquisition of ITG for 1billion USD</t>
  </si>
  <si>
    <t>Debt Issue cost</t>
  </si>
  <si>
    <t>Termination of leases</t>
  </si>
  <si>
    <t>SBCs</t>
  </si>
  <si>
    <t>Deferred Taxes</t>
  </si>
  <si>
    <t>Others</t>
  </si>
  <si>
    <t>Change in WC</t>
  </si>
  <si>
    <t>CFFO</t>
  </si>
  <si>
    <t>Development of Software</t>
  </si>
  <si>
    <t>Acquisition</t>
  </si>
  <si>
    <t>CFFI</t>
  </si>
  <si>
    <t>Dividends</t>
  </si>
  <si>
    <t>Repurchases of Stocks</t>
  </si>
  <si>
    <t>Stock Options</t>
  </si>
  <si>
    <t>Proceeds of Borrowings</t>
  </si>
  <si>
    <t>Repayment of Borrowings</t>
  </si>
  <si>
    <t>Interest Rate Swaps</t>
  </si>
  <si>
    <t>Payment of Tax Receivables</t>
  </si>
  <si>
    <t>Debt Issuance Costs</t>
  </si>
  <si>
    <t>Non Controlling Interest</t>
  </si>
  <si>
    <t>CFFF</t>
  </si>
  <si>
    <t>FX</t>
  </si>
  <si>
    <t>Change in Cash</t>
  </si>
  <si>
    <t>Cash BoP</t>
  </si>
  <si>
    <t>Cash EoP</t>
  </si>
  <si>
    <t>FCF</t>
  </si>
  <si>
    <t>DCF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</si>
  <si>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</si>
  <si>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</si>
  <si>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</si>
  <si>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</si>
  <si>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</si>
  <si>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</si>
  <si>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</si>
  <si>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x</t>
  </si>
  <si>
    <t>Assumptions</t>
  </si>
  <si>
    <t>Switches</t>
  </si>
  <si>
    <t>Conservative Case</t>
  </si>
  <si>
    <t>Base Case</t>
  </si>
  <si>
    <t>Optimistic Case</t>
  </si>
  <si>
    <t>Year</t>
  </si>
  <si>
    <t>Metic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</si>
  <si>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</si>
  <si>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</si>
  <si>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</si>
  <si>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</si>
  <si>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</si>
  <si>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</si>
  <si>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</si>
  <si>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</si>
  <si>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</si>
  <si>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</si>
  <si>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</si>
  <si>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</si>
  <si>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</si>
  <si>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</si>
  <si>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</si>
  <si>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</si>
  <si>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</si>
  <si>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</si>
  <si>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</si>
  <si>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CapEx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</si>
  <si>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</si>
  <si>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</si>
  <si>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</si>
  <si>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</si>
  <si>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</si>
  <si>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</si>
  <si>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</si>
  <si>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</si>
  <si>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</si>
  <si>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</si>
  <si>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</si>
  <si>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</si>
  <si>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</si>
  <si>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</si>
  <si>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</si>
  <si>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</si>
  <si>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</si>
  <si>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</si>
  <si>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</si>
  <si>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</si>
  <si>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</si>
  <si>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</si>
  <si>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</si>
  <si>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</si>
  <si>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</si>
  <si>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</si>
  <si>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</si>
  <si>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</si>
  <si>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</si>
  <si>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</si>
  <si>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</si>
  <si>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</si>
  <si>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</si>
  <si>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</si>
  <si>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</si>
  <si>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</si>
  <si>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</si>
  <si>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</si>
  <si>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</si>
  <si>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</si>
  <si>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</si>
  <si>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</si>
  <si>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</si>
  <si>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</si>
  <si>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</si>
  <si>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</si>
  <si>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</si>
  <si>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</si>
  <si>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</si>
  <si>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Change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</si>
  <si>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</si>
  <si>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</si>
  <si>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</si>
  <si>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</si>
  <si>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</si>
  <si>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</si>
  <si>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</si>
  <si>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</si>
  <si>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</si>
  <si>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</si>
  <si>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</si>
  <si>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</si>
  <si>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</si>
  <si>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</si>
  <si>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</si>
  <si>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</si>
  <si>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</si>
  <si>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</si>
  <si>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</si>
  <si>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</si>
  <si>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</si>
  <si>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</si>
  <si>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</si>
  <si>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</si>
  <si>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</si>
  <si>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</si>
  <si>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</si>
  <si>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</si>
  <si>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</si>
  <si>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</si>
  <si>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</si>
  <si>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</si>
  <si>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</si>
  <si>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</si>
  <si>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</si>
  <si>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</si>
  <si>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</si>
  <si>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</si>
  <si>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</si>
  <si>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</si>
  <si>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</si>
  <si>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</si>
  <si>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</si>
  <si>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</si>
  <si>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</si>
  <si>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</si>
  <si>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</si>
  <si>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</si>
  <si>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</si>
  <si>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</si>
  <si>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</si>
  <si>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</si>
  <si>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</si>
  <si>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</si>
  <si>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</si>
  <si>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</si>
  <si>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</si>
  <si>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</si>
  <si>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</si>
  <si>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</si>
  <si>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</si>
  <si>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</si>
  <si>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</si>
  <si>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</si>
  <si>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</si>
  <si>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</si>
  <si>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</si>
  <si>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</si>
  <si>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</si>
  <si>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</si>
  <si>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</si>
  <si>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</si>
  <si>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</si>
  <si>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</si>
  <si>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</si>
  <si>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</si>
  <si>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</si>
  <si>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</si>
  <si>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</si>
  <si>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</si>
  <si>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</si>
  <si>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</si>
  <si>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</si>
  <si>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</si>
  <si>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</si>
  <si>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</si>
  <si>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</si>
  <si>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</si>
  <si>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</si>
  <si>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Biggest Risk</t>
  </si>
  <si>
    <t xml:space="preserve">performance will suffer if markets stabilize -&gt; profits extremly from volatility </t>
  </si>
  <si>
    <t>https://finance.yahoo.com/news/virtu-financial-virt-down-4-153019856.html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</si>
</sst>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\(#,##0.0\)"/>
    <numFmt numFmtId="165" formatCode="#,##0.00;\(#,##0.00\)"/>
    <numFmt numFmtId="166" formatCode="#,##0.0"/>
    <numFmt numFmtId="167" formatCode="0.0%"/>
    <numFmt numFmtId="168" formatCode="&quot;FY&quot;0&quot;A&quot;"/>
    <numFmt numFmtId="169" formatCode="#,##0;\(#,##0\)"/>
    <numFmt numFmtId="170" formatCode="#,##0.0;[Red]#,##0.0"/>
    <numFmt numFmtId="171" formatCode="0.0"/>
    <numFmt numFmtId="172" formatCode="\F\Y#,##0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  <font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0" fontId="10" fillId="0" borderId="0" xfId="0" applyFont="1"/>
    <xf numFmtId="0" fontId="11" fillId="0" borderId="0" xfId="0" applyFont="1"/>
    <xf numFmtId="164" fontId="11" fillId="0" borderId="0" xfId="0" applyNumberFormat="1" applyFont="1"/>
    <xf numFmtId="0" fontId="11" fillId="0" borderId="0" xfId="0" applyFont="1" applyAlignment="1">
      <alignment horizontal="right"/>
    </xf>
    <xf numFmtId="0" fontId="9" fillId="0" borderId="0" xfId="0" applyFont="1"/>
    <xf numFmtId="0" fontId="6" fillId="0" borderId="0" xfId="0" applyFont="1"/>
    <xf numFmtId="164" fontId="6" fillId="0" borderId="0" xfId="0" applyNumberFormat="1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6" fillId="0" borderId="4" xfId="0" applyFont="1" applyBorder="1"/>
    <xf numFmtId="9" fontId="6" fillId="0" borderId="5" xfId="1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9" fontId="6" fillId="0" borderId="0" xfId="1" applyFont="1" applyBorder="1"/>
    <xf numFmtId="0" fontId="6" fillId="0" borderId="8" xfId="0" applyFont="1" applyBorder="1"/>
    <xf numFmtId="0" fontId="6" fillId="0" borderId="9" xfId="0" applyFont="1" applyBorder="1"/>
    <xf numFmtId="9" fontId="6" fillId="0" borderId="10" xfId="1" applyFont="1" applyBorder="1"/>
    <xf numFmtId="0" fontId="6" fillId="0" borderId="10" xfId="0" applyFont="1" applyBorder="1"/>
    <xf numFmtId="0" fontId="6" fillId="0" borderId="11" xfId="0" applyFont="1" applyBorder="1"/>
    <xf numFmtId="0" fontId="12" fillId="0" borderId="0" xfId="2" applyFont="1"/>
    <xf numFmtId="164" fontId="10" fillId="0" borderId="0" xfId="0" applyNumberFormat="1" applyFont="1"/>
    <xf numFmtId="165" fontId="11" fillId="0" borderId="0" xfId="0" applyNumberFormat="1" applyFont="1"/>
    <xf numFmtId="9" fontId="11" fillId="0" borderId="0" xfId="1" applyFont="1"/>
    <xf numFmtId="9" fontId="10" fillId="0" borderId="0" xfId="1" applyFont="1"/>
    <xf numFmtId="0" fontId="5" fillId="0" borderId="0" xfId="0" applyFont="1" applyAlignment="1">
      <alignment horizontal="right"/>
    </xf>
    <xf numFmtId="0" fontId="4" fillId="0" borderId="0" xfId="0" applyFont="1"/>
    <xf numFmtId="0" fontId="13" fillId="0" borderId="0" xfId="0" applyFont="1"/>
    <xf numFmtId="0" fontId="16" fillId="0" borderId="10" xfId="2" applyFont="1" applyBorder="1"/>
    <xf numFmtId="0" fontId="9" fillId="0" borderId="10" xfId="0" applyFont="1" applyBorder="1"/>
    <xf numFmtId="0" fontId="3" fillId="0" borderId="10" xfId="0" applyFont="1" applyBorder="1"/>
    <xf numFmtId="0" fontId="3" fillId="0" borderId="0" xfId="0" applyFont="1"/>
    <xf numFmtId="0" fontId="17" fillId="0" borderId="0" xfId="0" applyFont="1"/>
    <xf numFmtId="0" fontId="3" fillId="0" borderId="12" xfId="0" applyFont="1" applyBorder="1"/>
    <xf numFmtId="0" fontId="3" fillId="2" borderId="13" xfId="0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center"/>
    </xf>
    <xf numFmtId="166" fontId="3" fillId="2" borderId="14" xfId="1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9" fontId="3" fillId="2" borderId="14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4" fillId="3" borderId="0" xfId="0" applyFont="1" applyFill="1"/>
    <xf numFmtId="0" fontId="14" fillId="4" borderId="0" xfId="0" applyFont="1" applyFill="1"/>
    <xf numFmtId="0" fontId="15" fillId="4" borderId="0" xfId="0" applyFont="1" applyFill="1"/>
    <xf numFmtId="167" fontId="3" fillId="2" borderId="14" xfId="1" applyNumberFormat="1" applyFont="1" applyFill="1" applyBorder="1" applyAlignment="1">
      <alignment horizontal="center"/>
    </xf>
    <xf numFmtId="168" fontId="14" fillId="3" borderId="0" xfId="0" applyNumberFormat="1" applyFont="1" applyFill="1"/>
    <xf numFmtId="169" fontId="3" fillId="0" borderId="0" xfId="0" applyNumberFormat="1" applyFont="1"/>
    <xf numFmtId="0" fontId="18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8" fillId="0" borderId="0" xfId="0" applyFont="1"/>
    <xf numFmtId="9" fontId="18" fillId="0" borderId="0" xfId="1" applyFont="1"/>
    <xf numFmtId="9" fontId="3" fillId="0" borderId="0" xfId="1" applyFont="1"/>
    <xf numFmtId="167" fontId="3" fillId="2" borderId="14" xfId="1" applyNumberFormat="1" applyFont="1" applyFill="1" applyBorder="1" applyAlignment="1">
      <alignment horizontal="right"/>
    </xf>
    <xf numFmtId="0" fontId="9" fillId="5" borderId="1" xfId="0" applyFont="1" applyFill="1" applyBorder="1"/>
    <xf numFmtId="0" fontId="9" fillId="5" borderId="2" xfId="0" applyFont="1" applyFill="1" applyBorder="1"/>
    <xf numFmtId="169" fontId="9" fillId="5" borderId="2" xfId="0" applyNumberFormat="1" applyFont="1" applyFill="1" applyBorder="1"/>
    <xf numFmtId="169" fontId="9" fillId="5" borderId="3" xfId="0" applyNumberFormat="1" applyFont="1" applyFill="1" applyBorder="1"/>
    <xf numFmtId="167" fontId="18" fillId="0" borderId="0" xfId="1" applyNumberFormat="1" applyFont="1"/>
    <xf numFmtId="167" fontId="18" fillId="0" borderId="0" xfId="0" applyNumberFormat="1" applyFont="1"/>
    <xf numFmtId="170" fontId="9" fillId="5" borderId="4" xfId="0" applyNumberFormat="1" applyFont="1" applyFill="1" applyBorder="1"/>
    <xf numFmtId="170" fontId="9" fillId="5" borderId="5" xfId="0" applyNumberFormat="1" applyFont="1" applyFill="1" applyBorder="1"/>
    <xf numFmtId="169" fontId="9" fillId="5" borderId="5" xfId="0" applyNumberFormat="1" applyFont="1" applyFill="1" applyBorder="1"/>
    <xf numFmtId="169" fontId="9" fillId="5" borderId="6" xfId="0" applyNumberFormat="1" applyFont="1" applyFill="1" applyBorder="1"/>
    <xf numFmtId="170" fontId="9" fillId="5" borderId="9" xfId="0" applyNumberFormat="1" applyFont="1" applyFill="1" applyBorder="1"/>
    <xf numFmtId="170" fontId="9" fillId="5" borderId="10" xfId="0" applyNumberFormat="1" applyFont="1" applyFill="1" applyBorder="1"/>
    <xf numFmtId="169" fontId="9" fillId="5" borderId="10" xfId="0" applyNumberFormat="1" applyFont="1" applyFill="1" applyBorder="1"/>
    <xf numFmtId="169" fontId="9" fillId="5" borderId="11" xfId="0" applyNumberFormat="1" applyFont="1" applyFill="1" applyBorder="1"/>
    <xf numFmtId="170" fontId="3" fillId="0" borderId="0" xfId="0" applyNumberFormat="1" applyFont="1"/>
    <xf numFmtId="0" fontId="3" fillId="0" borderId="0" xfId="0" quotePrefix="1" applyFont="1"/>
    <xf numFmtId="170" fontId="3" fillId="0" borderId="10" xfId="0" applyNumberFormat="1" applyFont="1" applyBorder="1"/>
    <xf numFmtId="170" fontId="3" fillId="0" borderId="10" xfId="0" applyNumberFormat="1" applyFont="1" applyBorder="1" applyAlignment="1">
      <alignment horizontal="right"/>
    </xf>
    <xf numFmtId="0" fontId="3" fillId="0" borderId="2" xfId="0" applyFont="1" applyBorder="1"/>
    <xf numFmtId="170" fontId="3" fillId="0" borderId="2" xfId="0" applyNumberFormat="1" applyFont="1" applyBorder="1"/>
    <xf numFmtId="170" fontId="3" fillId="0" borderId="2" xfId="0" applyNumberFormat="1" applyFont="1" applyBorder="1" applyAlignment="1">
      <alignment horizontal="right"/>
    </xf>
    <xf numFmtId="169" fontId="3" fillId="0" borderId="0" xfId="0" applyNumberFormat="1" applyFont="1" applyAlignment="1">
      <alignment horizontal="right"/>
    </xf>
    <xf numFmtId="169" fontId="3" fillId="0" borderId="10" xfId="0" applyNumberFormat="1" applyFont="1" applyBorder="1" applyAlignment="1">
      <alignment horizontal="right"/>
    </xf>
    <xf numFmtId="0" fontId="3" fillId="6" borderId="4" xfId="0" applyFont="1" applyFill="1" applyBorder="1"/>
    <xf numFmtId="2" fontId="19" fillId="6" borderId="5" xfId="0" applyNumberFormat="1" applyFont="1" applyFill="1" applyBorder="1"/>
    <xf numFmtId="167" fontId="14" fillId="6" borderId="5" xfId="0" applyNumberFormat="1" applyFont="1" applyFill="1" applyBorder="1"/>
    <xf numFmtId="167" fontId="14" fillId="6" borderId="0" xfId="0" applyNumberFormat="1" applyFont="1" applyFill="1"/>
    <xf numFmtId="171" fontId="3" fillId="0" borderId="0" xfId="0" applyNumberFormat="1" applyFont="1"/>
    <xf numFmtId="171" fontId="9" fillId="0" borderId="0" xfId="0" applyNumberFormat="1" applyFont="1"/>
    <xf numFmtId="0" fontId="16" fillId="0" borderId="0" xfId="2" applyFont="1"/>
    <xf numFmtId="0" fontId="3" fillId="0" borderId="0" xfId="0" applyFont="1" applyAlignment="1">
      <alignment horizontal="center"/>
    </xf>
    <xf numFmtId="0" fontId="20" fillId="0" borderId="0" xfId="0" applyFont="1"/>
    <xf numFmtId="0" fontId="3" fillId="0" borderId="1" xfId="0" applyFont="1" applyBorder="1"/>
    <xf numFmtId="0" fontId="3" fillId="0" borderId="3" xfId="0" applyFont="1" applyBorder="1"/>
    <xf numFmtId="0" fontId="21" fillId="0" borderId="0" xfId="0" applyFont="1"/>
    <xf numFmtId="172" fontId="22" fillId="0" borderId="0" xfId="0" applyNumberFormat="1" applyFont="1" applyAlignment="1">
      <alignment horizontal="right"/>
    </xf>
    <xf numFmtId="0" fontId="22" fillId="0" borderId="0" xfId="0" applyFont="1"/>
    <xf numFmtId="9" fontId="3" fillId="0" borderId="0" xfId="0" applyNumberFormat="1" applyFon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0" fontId="2" fillId="2" borderId="13" xfId="0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0" fontId="1" fillId="0" borderId="0" xfId="0" applyFont="1"/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 textRotation="90"/>
    </xf>
    <xf numFmtId="0" fontId="9" fillId="6" borderId="16" xfId="0" applyFont="1" applyFill="1" applyBorder="1" applyAlignment="1">
      <alignment horizontal="center" vertical="center" textRotation="90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187325</xdr:rowOff>
    </xdr:from>
    <xdr:to>
      <xdr:col>9</xdr:col>
      <xdr:colOff>19050</xdr:colOff>
      <xdr:row>61</xdr:row>
      <xdr:rowOff>41275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DA704BF-5F2B-4849-A485-884F3937D3A0}"/>
            </a:ext>
          </a:extLst>
        </xdr:cNvPr>
        <xdr:cNvCxnSpPr/>
      </xdr:nvCxnSpPr>
      <xdr:spPr>
        <a:xfrm>
          <a:off x="7010400" y="168275"/>
          <a:ext cx="0" cy="10331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A60B-4FB3-4488-9DA0-E5C9B71C2297}">
  <dimension ref="A1:I22"/>
  <sheetViews>
    <sheetView tabSelected="1" zoomScale="200" zoomScaleNormal="200" workbookViewId="0">
      <selection activeCell="H2" sqref="H2"/>
    </sheetView>
  </sheetViews>
  <sheetFormatPr defaultRowHeight="12.75" x14ac:dyDescent="0.2"/>
  <cols>
    <col min="1" max="1" width="4.140625" style="6" customWidth="1"/>
    <col min="2" max="2" width="17.42578125" style="6" customWidth="1"/>
    <col min="3" max="3" width="9.140625" style="6"/>
    <col min="4" max="4" width="29.140625" style="6" customWidth="1"/>
    <col min="5" max="5" width="17.7109375" style="6" bestFit="1" customWidth="1"/>
    <col min="6" max="16384" width="9.140625" style="6"/>
  </cols>
  <sheetData>
    <row r="1" spans="1:9" x14ac:dyDescent="0.2">
      <c r="A1" s="5" t="s">
        <v>0</v>
      </c>
    </row>
    <row r="2" spans="1:9" x14ac:dyDescent="0.2">
      <c r="A2" s="6" t="s">
        <v>1</v>
      </c>
      <c r="G2" s="6" t="s">
        <v>2</v>
      </c>
      <c r="H2" s="6">
        <v>59.96</v>
      </c>
    </row>
    <row r="3" spans="1:9" x14ac:dyDescent="0.2">
      <c r="G3" s="6" t="s">
        <v>3</v>
      </c>
      <c r="H3" s="7">
        <f>84.577655+8.194847+60.09174</f>
        <v>152.86424199999999</v>
      </c>
      <c r="I3" s="27" t="s">
        <v>14</v>
      </c>
    </row>
    <row r="4" spans="1:9" x14ac:dyDescent="0.2">
      <c r="B4" s="6" t="s">
        <v>49</v>
      </c>
      <c r="G4" s="6" t="s">
        <v>4</v>
      </c>
      <c r="H4" s="7">
        <f>+H2*H3</f>
        <v>9165.7399503199995</v>
      </c>
    </row>
    <row r="5" spans="1:9" x14ac:dyDescent="0.2">
      <c r="B5" s="6" t="s">
        <v>50</v>
      </c>
      <c r="G5" s="6" t="s">
        <v>5</v>
      </c>
      <c r="H5" s="7">
        <v>752.101</v>
      </c>
      <c r="I5" s="27" t="s">
        <v>14</v>
      </c>
    </row>
    <row r="6" spans="1:9" x14ac:dyDescent="0.2">
      <c r="G6" s="6" t="s">
        <v>6</v>
      </c>
      <c r="H6" s="7">
        <f>251.754+1743.171</f>
        <v>1994.925</v>
      </c>
      <c r="I6" s="27" t="s">
        <v>14</v>
      </c>
    </row>
    <row r="7" spans="1:9" x14ac:dyDescent="0.2">
      <c r="B7" s="8" t="s">
        <v>51</v>
      </c>
      <c r="C7" s="9" t="s">
        <v>52</v>
      </c>
      <c r="D7" s="9" t="s">
        <v>53</v>
      </c>
      <c r="E7" s="10" t="s">
        <v>54</v>
      </c>
      <c r="G7" s="6" t="s">
        <v>7</v>
      </c>
      <c r="H7" s="7">
        <f>+H4-H5+H6</f>
        <v>10408.563950319998</v>
      </c>
    </row>
    <row r="8" spans="1:9" x14ac:dyDescent="0.2">
      <c r="B8" s="11" t="s">
        <v>46</v>
      </c>
      <c r="C8" s="12">
        <v>0.8249165442330485</v>
      </c>
      <c r="D8" s="13" t="s">
        <v>56</v>
      </c>
      <c r="E8" s="14" t="s">
        <v>55</v>
      </c>
    </row>
    <row r="9" spans="1:9" x14ac:dyDescent="0.2">
      <c r="B9" s="15" t="s">
        <v>47</v>
      </c>
      <c r="C9" s="16">
        <v>0.16829361153115824</v>
      </c>
      <c r="D9" s="6" t="s">
        <v>59</v>
      </c>
      <c r="E9" s="17"/>
      <c r="G9" s="28" t="s">
        <v>107</v>
      </c>
      <c r="H9" s="6">
        <v>2008</v>
      </c>
      <c r="I9" s="28" t="s">
        <v>108</v>
      </c>
    </row>
    <row r="10" spans="1:9" x14ac:dyDescent="0.2">
      <c r="B10" s="18" t="s">
        <v>48</v>
      </c>
      <c r="C10" s="19">
        <v>6.7898442357934245E-3</v>
      </c>
      <c r="D10" s="20" t="s">
        <v>60</v>
      </c>
      <c r="E10" s="21"/>
    </row>
    <row r="12" spans="1:9" x14ac:dyDescent="0.2">
      <c r="B12" s="29" t="s">
        <v>109</v>
      </c>
      <c r="G12" s="29" t="s">
        <v>68</v>
      </c>
    </row>
    <row r="13" spans="1:9" x14ac:dyDescent="0.2">
      <c r="B13" s="28" t="s">
        <v>110</v>
      </c>
      <c r="G13" s="28" t="s">
        <v>69</v>
      </c>
      <c r="H13" s="28" t="s">
        <v>71</v>
      </c>
    </row>
    <row r="14" spans="1:9" x14ac:dyDescent="0.2">
      <c r="B14" s="28" t="s">
        <v>111</v>
      </c>
      <c r="G14" s="28" t="s">
        <v>70</v>
      </c>
      <c r="H14" s="28" t="s">
        <v>72</v>
      </c>
    </row>
    <row r="15" spans="1:9" x14ac:dyDescent="0.2">
      <c r="B15" s="28" t="s">
        <v>112</v>
      </c>
    </row>
    <row r="17" spans="2:2" x14ac:dyDescent="0.2">
      <c r="B17" s="6" t="s">
        <v>57</v>
      </c>
    </row>
    <row r="18" spans="2:2" x14ac:dyDescent="0.2">
      <c r="B18" s="6" t="s">
        <v>58</v>
      </c>
    </row>
    <row r="20" spans="2:2" x14ac:dyDescent="0.2">
      <c r="B20" s="98" t="s">
        <v>313</v>
      </c>
    </row>
    <row r="21" spans="2:2" x14ac:dyDescent="0.2">
      <c r="B21" s="98" t="s">
        <v>314</v>
      </c>
    </row>
    <row r="22" spans="2:2" x14ac:dyDescent="0.2">
      <c r="B22" s="6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E76C-2625-4A8C-BA57-81F6807C2301}">
  <dimension ref="A1:AP351"/>
  <sheetViews>
    <sheetView zoomScale="200" zoomScaleNormal="200" workbookViewId="0">
      <pane xSplit="2" ySplit="2" topLeftCell="G23" activePane="bottomRight" state="frozen"/>
      <selection pane="topRight" activeCell="C1" sqref="C1"/>
      <selection pane="bottomLeft" activeCell="A3" sqref="A3"/>
      <selection pane="bottomRight" activeCell="G37" sqref="G37"/>
    </sheetView>
  </sheetViews>
  <sheetFormatPr defaultRowHeight="14.25" x14ac:dyDescent="0.2"/>
  <cols>
    <col min="1" max="1" width="5.42578125" style="2" bestFit="1" customWidth="1"/>
    <col min="2" max="2" width="29.5703125" style="2" customWidth="1"/>
    <col min="3" max="16384" width="9.140625" style="2"/>
  </cols>
  <sheetData>
    <row r="1" spans="1:42" x14ac:dyDescent="0.2">
      <c r="A1" s="22" t="s">
        <v>8</v>
      </c>
      <c r="G1" s="2" t="s">
        <v>45</v>
      </c>
    </row>
    <row r="2" spans="1:42" x14ac:dyDescent="0.2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/>
      <c r="L2" s="4" t="s">
        <v>106</v>
      </c>
      <c r="M2" s="4" t="s">
        <v>105</v>
      </c>
      <c r="N2" s="4" t="s">
        <v>104</v>
      </c>
      <c r="O2" s="4" t="s">
        <v>103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65</v>
      </c>
    </row>
    <row r="3" spans="1:42" x14ac:dyDescent="0.2">
      <c r="B3" s="2" t="s">
        <v>46</v>
      </c>
      <c r="C3" s="3">
        <v>521.99800000000005</v>
      </c>
      <c r="D3" s="3">
        <v>569.78300000000002</v>
      </c>
      <c r="E3" s="3"/>
      <c r="F3" s="3"/>
      <c r="G3" s="3">
        <v>691.17200000000003</v>
      </c>
      <c r="H3" s="3">
        <v>786.59299999999996</v>
      </c>
      <c r="I3" s="3"/>
      <c r="J3" s="3"/>
      <c r="K3" s="3"/>
      <c r="L3" s="3">
        <v>691.88400000000001</v>
      </c>
      <c r="M3" s="3">
        <v>836.70699999999999</v>
      </c>
      <c r="N3" s="3">
        <v>1384.4749999999999</v>
      </c>
      <c r="O3" s="3">
        <v>1028.0940000000001</v>
      </c>
      <c r="P3" s="3">
        <v>2593.3420000000001</v>
      </c>
      <c r="Q3" s="3">
        <v>2203.0459999999998</v>
      </c>
      <c r="R3" s="3">
        <v>1812.8389999999999</v>
      </c>
      <c r="S3" s="3">
        <v>1843.5229999999999</v>
      </c>
      <c r="T3" s="3">
        <v>2374.096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">
      <c r="B4" s="2" t="s">
        <v>47</v>
      </c>
      <c r="C4" s="3">
        <v>117.788</v>
      </c>
      <c r="D4" s="3">
        <v>127.059</v>
      </c>
      <c r="E4" s="3"/>
      <c r="F4" s="3"/>
      <c r="G4" s="3">
        <v>141.00800000000001</v>
      </c>
      <c r="H4" s="3">
        <v>214.488</v>
      </c>
      <c r="I4" s="3"/>
      <c r="J4" s="3"/>
      <c r="K4" s="3"/>
      <c r="L4" s="3">
        <v>92.14</v>
      </c>
      <c r="M4" s="3">
        <v>99.135000000000005</v>
      </c>
      <c r="N4" s="3">
        <v>496.33300000000003</v>
      </c>
      <c r="O4" s="3">
        <v>491.73599999999999</v>
      </c>
      <c r="P4" s="3">
        <v>650.14300000000003</v>
      </c>
      <c r="Q4" s="3">
        <v>600.21500000000003</v>
      </c>
      <c r="R4" s="3">
        <v>514.24099999999999</v>
      </c>
      <c r="S4" s="3">
        <v>446.54199999999997</v>
      </c>
      <c r="T4" s="3">
        <v>507.23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">
      <c r="B5" s="2" t="s">
        <v>48</v>
      </c>
      <c r="C5" s="3">
        <v>4.0430000000000001</v>
      </c>
      <c r="D5" s="3">
        <v>-3.8570000000000002</v>
      </c>
      <c r="E5" s="3"/>
      <c r="F5" s="3"/>
      <c r="G5" s="3">
        <v>5.6890000000000001</v>
      </c>
      <c r="H5" s="3">
        <v>-1.508</v>
      </c>
      <c r="I5" s="3"/>
      <c r="J5" s="3"/>
      <c r="K5" s="3"/>
      <c r="L5" s="3">
        <v>0.36</v>
      </c>
      <c r="M5" s="3">
        <v>10.352</v>
      </c>
      <c r="N5" s="3">
        <v>-2.09</v>
      </c>
      <c r="O5" s="3">
        <v>-2.3380000000000001</v>
      </c>
      <c r="P5" s="3">
        <v>-4.1539999999999999</v>
      </c>
      <c r="Q5" s="3">
        <v>8.2240000000000002</v>
      </c>
      <c r="R5" s="3">
        <v>37.731999999999999</v>
      </c>
      <c r="S5" s="3">
        <v>3.3079999999999998</v>
      </c>
      <c r="T5" s="3">
        <v>-4.3769999999999998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">
      <c r="B6" s="2" t="s">
        <v>17</v>
      </c>
      <c r="C6" s="3">
        <v>408.09500000000003</v>
      </c>
      <c r="D6" s="3">
        <v>426.39499999999998</v>
      </c>
      <c r="E6" s="3"/>
      <c r="F6" s="3"/>
      <c r="G6" s="3">
        <v>589.98299999999995</v>
      </c>
      <c r="H6" s="3">
        <v>652.79600000000005</v>
      </c>
      <c r="I6" s="3"/>
      <c r="J6" s="3"/>
      <c r="K6" s="3"/>
      <c r="L6" s="3">
        <v>665.46500000000003</v>
      </c>
      <c r="M6" s="3">
        <v>766.02700000000004</v>
      </c>
      <c r="N6" s="3">
        <v>1266.682</v>
      </c>
      <c r="O6" s="3">
        <v>912.31600000000003</v>
      </c>
      <c r="P6" s="3">
        <v>2493.248</v>
      </c>
      <c r="Q6" s="3">
        <v>2105.194</v>
      </c>
      <c r="R6" s="3">
        <v>1628.8979999999999</v>
      </c>
      <c r="S6" s="3">
        <v>1301.3440000000001</v>
      </c>
      <c r="T6" s="3">
        <v>1822.4369999999999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">
      <c r="B7" s="2" t="s">
        <v>18</v>
      </c>
      <c r="C7" s="3">
        <v>105.992</v>
      </c>
      <c r="D7" s="3">
        <v>107.066</v>
      </c>
      <c r="E7" s="3"/>
      <c r="F7" s="3"/>
      <c r="G7" s="3">
        <v>109.053</v>
      </c>
      <c r="H7" s="3">
        <v>128.40600000000001</v>
      </c>
      <c r="I7" s="3"/>
      <c r="J7" s="3"/>
      <c r="K7" s="3"/>
      <c r="L7" s="3">
        <v>26.419</v>
      </c>
      <c r="M7" s="3">
        <v>50.406999999999996</v>
      </c>
      <c r="N7" s="3">
        <v>87.507999999999996</v>
      </c>
      <c r="O7" s="3">
        <v>108.77800000000001</v>
      </c>
      <c r="P7" s="3">
        <v>62.119</v>
      </c>
      <c r="Q7" s="3">
        <v>75.384</v>
      </c>
      <c r="R7" s="3">
        <v>159.12</v>
      </c>
      <c r="S7" s="3">
        <v>462.56599999999997</v>
      </c>
      <c r="T7" s="3">
        <v>462.07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">
      <c r="B8" s="2" t="s">
        <v>19</v>
      </c>
      <c r="C8" s="3">
        <v>118.611</v>
      </c>
      <c r="D8" s="3">
        <v>126.101</v>
      </c>
      <c r="E8" s="3"/>
      <c r="F8" s="3"/>
      <c r="G8" s="3">
        <v>151.30699999999999</v>
      </c>
      <c r="H8" s="3">
        <v>153.85900000000001</v>
      </c>
      <c r="I8" s="3"/>
      <c r="J8" s="3"/>
      <c r="K8" s="3"/>
      <c r="L8" s="3">
        <v>10.352</v>
      </c>
      <c r="M8" s="3">
        <v>116.503</v>
      </c>
      <c r="N8" s="3">
        <v>184.339</v>
      </c>
      <c r="O8" s="3">
        <v>498.54399999999998</v>
      </c>
      <c r="P8" s="3">
        <v>600.51</v>
      </c>
      <c r="Q8" s="3">
        <v>614.48900000000003</v>
      </c>
      <c r="R8" s="3">
        <v>529.84500000000003</v>
      </c>
      <c r="S8" s="3">
        <v>455.59800000000001</v>
      </c>
      <c r="T8" s="3">
        <v>516.78300000000002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">
      <c r="B9" s="2" t="s">
        <v>20</v>
      </c>
      <c r="C9" s="3">
        <v>10.141</v>
      </c>
      <c r="D9" s="3">
        <v>33.423000000000002</v>
      </c>
      <c r="E9" s="3"/>
      <c r="F9" s="3"/>
      <c r="G9" s="3">
        <v>-12.474</v>
      </c>
      <c r="H9" s="3">
        <v>64.512</v>
      </c>
      <c r="I9" s="3"/>
      <c r="J9" s="3"/>
      <c r="K9" s="3"/>
      <c r="L9" s="3">
        <v>3.5999999999999997E-2</v>
      </c>
      <c r="M9" s="3">
        <v>95.045000000000002</v>
      </c>
      <c r="N9" s="3">
        <v>340.18900000000002</v>
      </c>
      <c r="O9" s="3">
        <v>-2.1459999999999999</v>
      </c>
      <c r="P9" s="3">
        <v>83.453999999999994</v>
      </c>
      <c r="Q9" s="3">
        <v>16.417999999999999</v>
      </c>
      <c r="R9" s="3">
        <v>46.948999999999998</v>
      </c>
      <c r="S9" s="3">
        <v>73.864999999999995</v>
      </c>
      <c r="T9" s="3">
        <v>75.659000000000006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5" x14ac:dyDescent="0.25">
      <c r="B10" s="1" t="s">
        <v>21</v>
      </c>
      <c r="C10" s="23">
        <f t="shared" ref="C10:F10" si="0">+SUM(C6:C9)</f>
        <v>642.83899999999994</v>
      </c>
      <c r="D10" s="23">
        <f t="shared" si="0"/>
        <v>692.98500000000001</v>
      </c>
      <c r="E10" s="23">
        <f t="shared" si="0"/>
        <v>0</v>
      </c>
      <c r="F10" s="23">
        <f t="shared" si="0"/>
        <v>0</v>
      </c>
      <c r="G10" s="23">
        <f>+SUM(G6:G9)</f>
        <v>837.86899999999991</v>
      </c>
      <c r="H10" s="23">
        <v>999.57299999999998</v>
      </c>
      <c r="I10" s="3"/>
      <c r="J10" s="3"/>
      <c r="K10" s="3"/>
      <c r="L10" s="23">
        <f t="shared" ref="L10:N10" si="1">+SUM(L6:L9)</f>
        <v>702.27199999999993</v>
      </c>
      <c r="M10" s="23">
        <f t="shared" si="1"/>
        <v>1027.9820000000002</v>
      </c>
      <c r="N10" s="23">
        <f t="shared" si="1"/>
        <v>1878.7180000000001</v>
      </c>
      <c r="O10" s="23">
        <f t="shared" ref="O10:T10" si="2">+SUM(O6:O9)</f>
        <v>1517.492</v>
      </c>
      <c r="P10" s="23">
        <f t="shared" si="2"/>
        <v>3239.3310000000006</v>
      </c>
      <c r="Q10" s="23">
        <f t="shared" si="2"/>
        <v>2811.4850000000001</v>
      </c>
      <c r="R10" s="23">
        <f t="shared" si="2"/>
        <v>2364.8120000000004</v>
      </c>
      <c r="S10" s="23">
        <f t="shared" si="2"/>
        <v>2293.373</v>
      </c>
      <c r="T10" s="23">
        <f t="shared" si="2"/>
        <v>2876.9490000000001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">
      <c r="B11" s="2" t="s">
        <v>22</v>
      </c>
      <c r="C11" s="3">
        <v>139.79900000000001</v>
      </c>
      <c r="D11" s="3">
        <v>150.78700000000001</v>
      </c>
      <c r="E11" s="3"/>
      <c r="F11" s="3"/>
      <c r="G11" s="3">
        <v>221.875</v>
      </c>
      <c r="H11" s="3">
        <v>202.125</v>
      </c>
      <c r="I11" s="3"/>
      <c r="J11" s="3"/>
      <c r="K11" s="3"/>
      <c r="L11" s="3">
        <v>221.214</v>
      </c>
      <c r="M11" s="3">
        <f>256.926+27.727</f>
        <v>284.65299999999996</v>
      </c>
      <c r="N11" s="3">
        <f>301.779+74.645</f>
        <v>376.42399999999998</v>
      </c>
      <c r="O11" s="3">
        <v>386.88799999999998</v>
      </c>
      <c r="P11" s="3">
        <v>758.84299999999996</v>
      </c>
      <c r="Q11" s="3">
        <v>745.43399999999997</v>
      </c>
      <c r="R11" s="3">
        <v>619.16800000000001</v>
      </c>
      <c r="S11" s="3">
        <v>508.358</v>
      </c>
      <c r="T11" s="3">
        <v>674.42600000000004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B12" s="2" t="s">
        <v>23</v>
      </c>
      <c r="C12" s="3">
        <v>126.02800000000001</v>
      </c>
      <c r="D12" s="3">
        <v>123.693</v>
      </c>
      <c r="E12" s="3"/>
      <c r="F12" s="3"/>
      <c r="G12" s="3">
        <v>131.328</v>
      </c>
      <c r="H12" s="3">
        <v>165.21299999999999</v>
      </c>
      <c r="I12" s="3"/>
      <c r="J12" s="3"/>
      <c r="K12" s="3"/>
      <c r="L12" s="3">
        <v>56.557000000000002</v>
      </c>
      <c r="M12" s="3">
        <v>91.992999999999995</v>
      </c>
      <c r="N12" s="3">
        <v>141.81399999999999</v>
      </c>
      <c r="O12" s="3">
        <v>158.03899999999999</v>
      </c>
      <c r="P12" s="3">
        <v>125.649</v>
      </c>
      <c r="Q12" s="3">
        <v>139.70400000000001</v>
      </c>
      <c r="R12" s="3">
        <v>231.06</v>
      </c>
      <c r="S12" s="3">
        <v>500.46699999999998</v>
      </c>
      <c r="T12" s="3">
        <v>529.17700000000002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x14ac:dyDescent="0.2">
      <c r="B13" s="2" t="s">
        <v>24</v>
      </c>
      <c r="C13" s="3">
        <f t="shared" ref="C13:F13" si="3">+C10-SUM(C11:C12)</f>
        <v>377.01199999999994</v>
      </c>
      <c r="D13" s="3">
        <f t="shared" si="3"/>
        <v>418.505</v>
      </c>
      <c r="E13" s="3">
        <f t="shared" si="3"/>
        <v>0</v>
      </c>
      <c r="F13" s="3">
        <f t="shared" si="3"/>
        <v>0</v>
      </c>
      <c r="G13" s="3">
        <f>+G10-SUM(G11:G12)</f>
        <v>484.66599999999994</v>
      </c>
      <c r="H13" s="3">
        <f>+H10-SUM(H11:H12)</f>
        <v>632.23500000000001</v>
      </c>
      <c r="I13" s="3"/>
      <c r="J13" s="3"/>
      <c r="K13" s="3"/>
      <c r="L13" s="3">
        <f t="shared" ref="L13:N13" si="4">+L10-SUM(L11:L12)</f>
        <v>424.50099999999992</v>
      </c>
      <c r="M13" s="3">
        <f t="shared" si="4"/>
        <v>651.33600000000024</v>
      </c>
      <c r="N13" s="3">
        <f t="shared" si="4"/>
        <v>1360.48</v>
      </c>
      <c r="O13" s="3">
        <f t="shared" ref="O13:T13" si="5">+O10-SUM(O11:O12)</f>
        <v>972.56500000000005</v>
      </c>
      <c r="P13" s="3">
        <f t="shared" si="5"/>
        <v>2354.8390000000009</v>
      </c>
      <c r="Q13" s="3">
        <f t="shared" si="5"/>
        <v>1926.3470000000002</v>
      </c>
      <c r="R13" s="3">
        <f t="shared" si="5"/>
        <v>1514.5840000000003</v>
      </c>
      <c r="S13" s="3">
        <f t="shared" si="5"/>
        <v>1284.548</v>
      </c>
      <c r="T13" s="3">
        <f t="shared" si="5"/>
        <v>1673.346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B14" s="2" t="s">
        <v>25</v>
      </c>
      <c r="C14" s="3">
        <v>58.182000000000002</v>
      </c>
      <c r="D14" s="3">
        <v>59.326999999999998</v>
      </c>
      <c r="E14" s="3"/>
      <c r="F14" s="3"/>
      <c r="G14" s="3">
        <v>59.802999999999997</v>
      </c>
      <c r="H14" s="3">
        <v>61.435000000000002</v>
      </c>
      <c r="I14" s="3"/>
      <c r="J14" s="3"/>
      <c r="K14" s="3"/>
      <c r="L14" s="3">
        <v>71.001000000000005</v>
      </c>
      <c r="M14" s="3">
        <v>131.506</v>
      </c>
      <c r="N14" s="3">
        <v>176.12</v>
      </c>
      <c r="O14" s="3">
        <v>209.393</v>
      </c>
      <c r="P14" s="3">
        <v>213.75</v>
      </c>
      <c r="Q14" s="3">
        <v>211.988</v>
      </c>
      <c r="R14" s="3">
        <v>219.505</v>
      </c>
      <c r="S14" s="3">
        <v>230.76</v>
      </c>
      <c r="T14" s="3">
        <v>236.446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B15" s="2" t="s">
        <v>26</v>
      </c>
      <c r="C15" s="3">
        <v>100.82299999999999</v>
      </c>
      <c r="D15" s="3">
        <v>105.71599999999999</v>
      </c>
      <c r="E15" s="3"/>
      <c r="F15" s="3"/>
      <c r="G15" s="3">
        <v>119.35599999999999</v>
      </c>
      <c r="H15" s="3">
        <v>136.18100000000001</v>
      </c>
      <c r="I15" s="3"/>
      <c r="J15" s="3"/>
      <c r="K15" s="3"/>
      <c r="L15" s="3">
        <v>85.295000000000002</v>
      </c>
      <c r="M15" s="3">
        <v>177.489</v>
      </c>
      <c r="N15" s="3">
        <v>215.55600000000001</v>
      </c>
      <c r="O15" s="3">
        <v>383.71300000000002</v>
      </c>
      <c r="P15" s="3">
        <v>393.536</v>
      </c>
      <c r="Q15" s="3">
        <v>376.28199999999998</v>
      </c>
      <c r="R15" s="3">
        <v>390.947</v>
      </c>
      <c r="S15" s="3">
        <v>394.03899999999999</v>
      </c>
      <c r="T15" s="3">
        <v>434.82299999999998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B16" s="2" t="s">
        <v>30</v>
      </c>
      <c r="C16" s="3">
        <v>22.346</v>
      </c>
      <c r="D16" s="3">
        <v>22.061</v>
      </c>
      <c r="E16" s="3"/>
      <c r="F16" s="3"/>
      <c r="G16" s="3">
        <v>22.135999999999999</v>
      </c>
      <c r="H16" s="3">
        <v>25.895</v>
      </c>
      <c r="I16" s="3"/>
      <c r="J16" s="3"/>
      <c r="K16" s="3"/>
      <c r="L16" s="3">
        <v>23.358000000000001</v>
      </c>
      <c r="M16" s="3">
        <v>61.466000000000001</v>
      </c>
      <c r="N16" s="3">
        <v>64.748999999999995</v>
      </c>
      <c r="O16" s="3">
        <v>103.642</v>
      </c>
      <c r="P16" s="3">
        <v>94.558000000000007</v>
      </c>
      <c r="Q16" s="3">
        <v>88.149000000000001</v>
      </c>
      <c r="R16" s="3">
        <v>86.069000000000003</v>
      </c>
      <c r="S16" s="3">
        <v>98.971999999999994</v>
      </c>
      <c r="T16" s="3">
        <v>97.001999999999995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2:42" x14ac:dyDescent="0.2">
      <c r="B17" s="2" t="s">
        <v>27</v>
      </c>
      <c r="C17" s="3">
        <f>16.076+14.687</f>
        <v>30.762999999999998</v>
      </c>
      <c r="D17" s="3">
        <f>16.078+12.153</f>
        <v>28.231000000000002</v>
      </c>
      <c r="E17" s="3"/>
      <c r="F17" s="3"/>
      <c r="G17" s="3">
        <f>15.932+11.783</f>
        <v>27.715</v>
      </c>
      <c r="H17" s="3">
        <f>15.618+11.783</f>
        <v>27.401</v>
      </c>
      <c r="I17" s="3"/>
      <c r="J17" s="3"/>
      <c r="K17" s="3"/>
      <c r="L17" s="3">
        <f>29.703+0.211</f>
        <v>29.913999999999998</v>
      </c>
      <c r="M17" s="3">
        <f>47.327+15.447</f>
        <v>62.774000000000001</v>
      </c>
      <c r="N17" s="3">
        <f>61.154+26.123</f>
        <v>87.277000000000001</v>
      </c>
      <c r="O17" s="3">
        <f>65.644+70.595</f>
        <v>136.239</v>
      </c>
      <c r="P17" s="3">
        <f>66.741+74.254</f>
        <v>140.995</v>
      </c>
      <c r="Q17" s="3">
        <f>67.816+69.668</f>
        <v>137.48400000000001</v>
      </c>
      <c r="R17" s="3">
        <f>66.377+64.837</f>
        <v>131.214</v>
      </c>
      <c r="S17" s="3">
        <f>63.306+63.96</f>
        <v>127.26599999999999</v>
      </c>
      <c r="T17" s="3">
        <f>65.816+50.471</f>
        <v>116.28700000000001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2:42" x14ac:dyDescent="0.2">
      <c r="B18" s="2" t="s">
        <v>29</v>
      </c>
      <c r="C18" s="3">
        <f>0.135+0.017</f>
        <v>0.15200000000000002</v>
      </c>
      <c r="D18" s="3">
        <f>0.016+0.06</f>
        <v>7.5999999999999998E-2</v>
      </c>
      <c r="E18" s="3"/>
      <c r="F18" s="3"/>
      <c r="G18" s="3">
        <f>0.338+0.01</f>
        <v>0.34800000000000003</v>
      </c>
      <c r="H18" s="3">
        <f>0.011+0.059</f>
        <v>6.9999999999999993E-2</v>
      </c>
      <c r="I18" s="3"/>
      <c r="J18" s="3"/>
      <c r="K18" s="3"/>
      <c r="L18" s="3">
        <f>-0.319+1.755</f>
        <v>1.4359999999999999</v>
      </c>
      <c r="M18" s="3">
        <f>3.671+25.27+0.657+0.772</f>
        <v>30.369999999999997</v>
      </c>
      <c r="N18" s="3">
        <f>23.357+2.02+0.024+11.487</f>
        <v>36.887999999999998</v>
      </c>
      <c r="O18" s="3">
        <f>66.452+26.117</f>
        <v>92.569000000000003</v>
      </c>
      <c r="P18" s="3">
        <f>9.608+2.941</f>
        <v>12.548999999999999</v>
      </c>
      <c r="Q18" s="3">
        <f>28.138+0.843</f>
        <v>28.981000000000002</v>
      </c>
      <c r="R18" s="3">
        <f>6.982+1.124</f>
        <v>8.1059999999999999</v>
      </c>
      <c r="S18" s="3">
        <f>0.445+0.314</f>
        <v>0.75900000000000001</v>
      </c>
      <c r="T18" s="3">
        <f>0.313+16.224</f>
        <v>16.536999999999999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2:42" x14ac:dyDescent="0.2">
      <c r="B19" s="2" t="s">
        <v>28</v>
      </c>
      <c r="C19" s="3">
        <f t="shared" ref="C19:F19" si="6">+C13-SUM(C14:C18)</f>
        <v>164.74599999999995</v>
      </c>
      <c r="D19" s="3">
        <f t="shared" si="6"/>
        <v>203.09399999999999</v>
      </c>
      <c r="E19" s="3">
        <f t="shared" si="6"/>
        <v>0</v>
      </c>
      <c r="F19" s="3">
        <f t="shared" si="6"/>
        <v>0</v>
      </c>
      <c r="G19" s="3">
        <f>+G13-SUM(G14:G18)</f>
        <v>255.30799999999994</v>
      </c>
      <c r="H19" s="3">
        <f>+H13-SUM(H14:H18)</f>
        <v>381.25299999999999</v>
      </c>
      <c r="I19" s="3"/>
      <c r="J19" s="3"/>
      <c r="K19" s="3"/>
      <c r="L19" s="3">
        <f t="shared" ref="L19:N19" si="7">+L13-SUM(L14:L18)</f>
        <v>213.49699999999993</v>
      </c>
      <c r="M19" s="3">
        <f t="shared" si="7"/>
        <v>187.73100000000022</v>
      </c>
      <c r="N19" s="3">
        <f t="shared" si="7"/>
        <v>779.88999999999987</v>
      </c>
      <c r="O19" s="3">
        <f t="shared" ref="O19:T19" si="8">+O13-SUM(O14:O18)</f>
        <v>47.009000000000015</v>
      </c>
      <c r="P19" s="3">
        <f t="shared" si="8"/>
        <v>1499.4510000000009</v>
      </c>
      <c r="Q19" s="3">
        <f t="shared" si="8"/>
        <v>1083.4630000000002</v>
      </c>
      <c r="R19" s="3">
        <f t="shared" si="8"/>
        <v>678.74300000000039</v>
      </c>
      <c r="S19" s="3">
        <f t="shared" si="8"/>
        <v>432.75200000000007</v>
      </c>
      <c r="T19" s="3">
        <f t="shared" si="8"/>
        <v>772.25099999999998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2:42" x14ac:dyDescent="0.2">
      <c r="B20" s="2" t="s">
        <v>33</v>
      </c>
      <c r="C20" s="3">
        <v>1.694</v>
      </c>
      <c r="D20" s="3">
        <v>24.279</v>
      </c>
      <c r="E20" s="3"/>
      <c r="F20" s="3"/>
      <c r="G20" s="3">
        <v>1.681</v>
      </c>
      <c r="H20" s="3">
        <v>1.6819999999999999</v>
      </c>
      <c r="I20" s="3"/>
      <c r="J20" s="3"/>
      <c r="K20" s="3"/>
      <c r="L20" s="3">
        <v>5.5789999999999997</v>
      </c>
      <c r="M20" s="3">
        <v>10.46</v>
      </c>
      <c r="N20" s="3">
        <v>11.727</v>
      </c>
      <c r="O20" s="3">
        <v>41.131999999999998</v>
      </c>
      <c r="P20" s="3">
        <v>28.879000000000001</v>
      </c>
      <c r="Q20" s="3">
        <v>6.59</v>
      </c>
      <c r="R20" s="3">
        <v>29.91</v>
      </c>
      <c r="S20" s="3">
        <v>8.3170000000000002</v>
      </c>
      <c r="T20" s="3">
        <v>29.478999999999999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2:42" x14ac:dyDescent="0.2">
      <c r="B21" s="2" t="s">
        <v>32</v>
      </c>
      <c r="C21" s="3">
        <v>23.231999999999999</v>
      </c>
      <c r="D21" s="3">
        <v>23.43</v>
      </c>
      <c r="E21" s="3"/>
      <c r="F21" s="3"/>
      <c r="G21" s="3">
        <v>29.890999999999998</v>
      </c>
      <c r="H21" s="3">
        <v>32.551000000000002</v>
      </c>
      <c r="I21" s="3"/>
      <c r="J21" s="3"/>
      <c r="K21" s="3"/>
      <c r="L21" s="3">
        <v>28.327000000000002</v>
      </c>
      <c r="M21" s="3">
        <v>64.106999999999999</v>
      </c>
      <c r="N21" s="3">
        <v>71.8</v>
      </c>
      <c r="O21" s="3">
        <v>121.85899999999999</v>
      </c>
      <c r="P21" s="3">
        <v>87.734999999999999</v>
      </c>
      <c r="Q21" s="3">
        <v>79.968999999999994</v>
      </c>
      <c r="R21" s="3">
        <v>92.034999999999997</v>
      </c>
      <c r="S21" s="3">
        <v>99.293999999999997</v>
      </c>
      <c r="T21" s="3">
        <v>97.802000000000007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2:42" x14ac:dyDescent="0.2">
      <c r="B22" s="2" t="s">
        <v>31</v>
      </c>
      <c r="C22" s="3">
        <f t="shared" ref="C22:F22" si="9">+C19-C20-C21</f>
        <v>139.81999999999996</v>
      </c>
      <c r="D22" s="3">
        <f t="shared" si="9"/>
        <v>155.38499999999999</v>
      </c>
      <c r="E22" s="3">
        <f t="shared" si="9"/>
        <v>0</v>
      </c>
      <c r="F22" s="3">
        <f t="shared" si="9"/>
        <v>0</v>
      </c>
      <c r="G22" s="3">
        <f>+G19-G20-G21</f>
        <v>223.73599999999993</v>
      </c>
      <c r="H22" s="3">
        <f>+H19-H20-H21</f>
        <v>347.02</v>
      </c>
      <c r="I22" s="3"/>
      <c r="J22" s="3"/>
      <c r="K22" s="3"/>
      <c r="L22" s="3">
        <f t="shared" ref="L22:N22" si="10">+L19-L20-L21</f>
        <v>179.59099999999992</v>
      </c>
      <c r="M22" s="3">
        <f t="shared" si="10"/>
        <v>113.16400000000021</v>
      </c>
      <c r="N22" s="3">
        <f t="shared" si="10"/>
        <v>696.36299999999994</v>
      </c>
      <c r="O22" s="3">
        <f t="shared" ref="O22:T22" si="11">+O19-O20-O21</f>
        <v>-115.98199999999997</v>
      </c>
      <c r="P22" s="3">
        <f t="shared" si="11"/>
        <v>1382.8370000000011</v>
      </c>
      <c r="Q22" s="3">
        <f t="shared" si="11"/>
        <v>996.90400000000022</v>
      </c>
      <c r="R22" s="3">
        <f t="shared" si="11"/>
        <v>556.79800000000046</v>
      </c>
      <c r="S22" s="3">
        <f t="shared" si="11"/>
        <v>325.14100000000008</v>
      </c>
      <c r="T22" s="3">
        <f t="shared" si="11"/>
        <v>644.96999999999991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2:42" x14ac:dyDescent="0.2">
      <c r="B23" s="2" t="s">
        <v>34</v>
      </c>
      <c r="C23" s="3">
        <v>28.512</v>
      </c>
      <c r="D23" s="3">
        <v>27.268000000000001</v>
      </c>
      <c r="E23" s="3"/>
      <c r="F23" s="3"/>
      <c r="G23" s="3">
        <v>34.100999999999999</v>
      </c>
      <c r="H23" s="3">
        <v>54.043999999999997</v>
      </c>
      <c r="I23" s="3"/>
      <c r="J23" s="3"/>
      <c r="K23" s="3"/>
      <c r="L23" s="3">
        <v>21.251000000000001</v>
      </c>
      <c r="M23" s="3">
        <v>94.266000000000005</v>
      </c>
      <c r="N23" s="3">
        <v>76.171000000000006</v>
      </c>
      <c r="O23" s="3">
        <v>-12.276999999999999</v>
      </c>
      <c r="P23" s="3">
        <v>261.92399999999998</v>
      </c>
      <c r="Q23" s="3">
        <v>169.67</v>
      </c>
      <c r="R23" s="3">
        <v>88.465999999999994</v>
      </c>
      <c r="S23" s="3">
        <v>61.21</v>
      </c>
      <c r="T23" s="3">
        <v>110.435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2:42" x14ac:dyDescent="0.2">
      <c r="B24" s="2" t="s">
        <v>35</v>
      </c>
      <c r="C24" s="3">
        <v>55.491</v>
      </c>
      <c r="D24" s="3">
        <v>61.530999999999999</v>
      </c>
      <c r="E24" s="3"/>
      <c r="F24" s="3"/>
      <c r="G24" s="3">
        <v>89.984999999999999</v>
      </c>
      <c r="H24" s="3">
        <v>141.78899999999999</v>
      </c>
      <c r="I24" s="3"/>
      <c r="J24" s="3"/>
      <c r="K24" s="3"/>
      <c r="L24" s="3">
        <v>125.36</v>
      </c>
      <c r="M24" s="3">
        <v>15.959</v>
      </c>
      <c r="N24" s="3">
        <v>330.75099999999998</v>
      </c>
      <c r="O24" s="3">
        <v>-45.11</v>
      </c>
      <c r="P24" s="3">
        <v>471.71600000000001</v>
      </c>
      <c r="Q24" s="3">
        <v>350.35599999999999</v>
      </c>
      <c r="R24" s="3">
        <v>203.30600000000001</v>
      </c>
      <c r="S24" s="3">
        <v>121.88500000000001</v>
      </c>
      <c r="T24" s="3">
        <v>258.12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2:42" x14ac:dyDescent="0.2">
      <c r="B25" s="2" t="s">
        <v>36</v>
      </c>
      <c r="C25" s="3">
        <f t="shared" ref="C25:F25" si="12">+C22-SUM(C23:C24)</f>
        <v>55.816999999999965</v>
      </c>
      <c r="D25" s="3">
        <f t="shared" si="12"/>
        <v>66.585999999999984</v>
      </c>
      <c r="E25" s="3">
        <f t="shared" si="12"/>
        <v>0</v>
      </c>
      <c r="F25" s="3">
        <f t="shared" si="12"/>
        <v>0</v>
      </c>
      <c r="G25" s="3">
        <f>+G22-SUM(G23:G24)</f>
        <v>99.649999999999935</v>
      </c>
      <c r="H25" s="3">
        <f>+H22-SUM(H23:H24)</f>
        <v>151.18700000000001</v>
      </c>
      <c r="I25" s="3"/>
      <c r="J25" s="3"/>
      <c r="K25" s="3"/>
      <c r="L25" s="3">
        <f t="shared" ref="L25:N25" si="13">+L22-L23-L24</f>
        <v>32.979999999999919</v>
      </c>
      <c r="M25" s="3">
        <f t="shared" si="13"/>
        <v>2.9390000000002097</v>
      </c>
      <c r="N25" s="3">
        <f t="shared" si="13"/>
        <v>289.44099999999992</v>
      </c>
      <c r="O25" s="3">
        <f t="shared" ref="O25:S25" si="14">+O22-O23-O24</f>
        <v>-58.59499999999997</v>
      </c>
      <c r="P25" s="3">
        <f t="shared" si="14"/>
        <v>649.19700000000114</v>
      </c>
      <c r="Q25" s="3">
        <f t="shared" si="14"/>
        <v>476.87800000000027</v>
      </c>
      <c r="R25" s="3">
        <f t="shared" si="14"/>
        <v>265.02600000000041</v>
      </c>
      <c r="S25" s="3">
        <f t="shared" si="14"/>
        <v>142.04600000000011</v>
      </c>
      <c r="T25" s="3">
        <f>+T22-T23-T24</f>
        <v>276.41499999999985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2:42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2:42" x14ac:dyDescent="0.2">
      <c r="B27" s="2" t="s">
        <v>37</v>
      </c>
      <c r="C27" s="24">
        <f t="shared" ref="C27:F27" si="15">+C25/C28</f>
        <v>0.62716349044432107</v>
      </c>
      <c r="D27" s="24">
        <f t="shared" si="15"/>
        <v>0.75547609261265969</v>
      </c>
      <c r="E27" s="24" t="e">
        <f t="shared" si="15"/>
        <v>#DIV/0!</v>
      </c>
      <c r="F27" s="24" t="e">
        <f t="shared" si="15"/>
        <v>#DIV/0!</v>
      </c>
      <c r="G27" s="24">
        <f>+G25/G28</f>
        <v>1.1630347749731949</v>
      </c>
      <c r="H27" s="24">
        <f>+H25/H28</f>
        <v>1.7684733420835843</v>
      </c>
      <c r="I27" s="3"/>
      <c r="J27" s="3"/>
      <c r="K27" s="3"/>
      <c r="L27" s="24">
        <f t="shared" ref="L27:N27" si="16">+L25/L28</f>
        <v>0.85575470779907581</v>
      </c>
      <c r="M27" s="24">
        <f t="shared" si="16"/>
        <v>4.6964526378095402E-2</v>
      </c>
      <c r="N27" s="24">
        <f t="shared" si="16"/>
        <v>2.8692810375230451</v>
      </c>
      <c r="O27" s="24">
        <f t="shared" ref="O27:S27" si="17">+O25/O28</f>
        <v>-0.51436074212015248</v>
      </c>
      <c r="P27" s="24">
        <f t="shared" si="17"/>
        <v>5.3347355348926735</v>
      </c>
      <c r="Q27" s="24">
        <f t="shared" si="17"/>
        <v>4.0640861900778411</v>
      </c>
      <c r="R27" s="24">
        <f t="shared" si="17"/>
        <v>2.5483326323221513</v>
      </c>
      <c r="S27" s="24">
        <f t="shared" si="17"/>
        <v>1.4955962898691488</v>
      </c>
      <c r="T27" s="24">
        <f>+T25/T28</f>
        <v>3.1596727113351388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2:42" x14ac:dyDescent="0.2">
      <c r="B28" s="2" t="s">
        <v>3</v>
      </c>
      <c r="C28" s="3">
        <v>88.999122</v>
      </c>
      <c r="D28" s="3">
        <v>88.137799000000001</v>
      </c>
      <c r="E28" s="3"/>
      <c r="F28" s="3"/>
      <c r="G28" s="3">
        <v>85.681015000000002</v>
      </c>
      <c r="H28" s="3">
        <v>85.490121000000002</v>
      </c>
      <c r="I28" s="3"/>
      <c r="J28" s="3"/>
      <c r="K28" s="3"/>
      <c r="L28" s="3">
        <v>38.539081000000003</v>
      </c>
      <c r="M28" s="3">
        <v>62.579146999999999</v>
      </c>
      <c r="N28" s="3">
        <v>100.875793</v>
      </c>
      <c r="O28" s="3">
        <v>113.918103</v>
      </c>
      <c r="P28" s="3">
        <v>121.692443</v>
      </c>
      <c r="Q28" s="3">
        <v>117.339539</v>
      </c>
      <c r="R28" s="3">
        <v>103.99976700000001</v>
      </c>
      <c r="S28" s="3">
        <v>94.976164999999995</v>
      </c>
      <c r="T28" s="3">
        <v>87.482162000000002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2:42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2:42" x14ac:dyDescent="0.2">
      <c r="B30" s="2" t="s">
        <v>66</v>
      </c>
      <c r="C30" s="3"/>
      <c r="D30" s="3"/>
      <c r="E30" s="3"/>
      <c r="F30" s="3"/>
      <c r="G30" s="25">
        <f>+G3/C3-1</f>
        <v>0.32408936432706636</v>
      </c>
      <c r="H30" s="25">
        <f t="shared" ref="H30:H31" si="18">+H3/D3-1</f>
        <v>0.38051328312708521</v>
      </c>
      <c r="I30" s="3"/>
      <c r="J30" s="3"/>
      <c r="K30" s="3"/>
      <c r="L30" s="3"/>
      <c r="M30" s="25">
        <f t="shared" ref="M30:M31" si="19">+M3/L3-1</f>
        <v>0.20931687970815904</v>
      </c>
      <c r="N30" s="25">
        <f t="shared" ref="N30:N31" si="20">+N3/M3-1</f>
        <v>0.65467122899653041</v>
      </c>
      <c r="O30" s="25">
        <f t="shared" ref="O30:O31" si="21">+O3/N3-1</f>
        <v>-0.25741237653262061</v>
      </c>
      <c r="P30" s="25">
        <f t="shared" ref="P30:P31" si="22">+P3/O3-1</f>
        <v>1.5224755712999007</v>
      </c>
      <c r="Q30" s="25">
        <f t="shared" ref="Q30:R30" si="23">+Q3/P3-1</f>
        <v>-0.15049923997683312</v>
      </c>
      <c r="R30" s="25">
        <f t="shared" si="23"/>
        <v>-0.17712158529599464</v>
      </c>
      <c r="S30" s="25">
        <f t="shared" ref="S30" si="24">+S3/R3-1</f>
        <v>1.6925937714270312E-2</v>
      </c>
      <c r="T30" s="25">
        <f>+T3/S3-1</f>
        <v>0.28780384079829768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2:42" x14ac:dyDescent="0.2">
      <c r="B31" s="2" t="s">
        <v>67</v>
      </c>
      <c r="C31" s="3"/>
      <c r="D31" s="3"/>
      <c r="E31" s="3"/>
      <c r="F31" s="3"/>
      <c r="G31" s="25">
        <f>+G4/C4-1</f>
        <v>0.19713383366726678</v>
      </c>
      <c r="H31" s="25">
        <f t="shared" si="18"/>
        <v>0.68809765541992296</v>
      </c>
      <c r="I31" s="3"/>
      <c r="J31" s="3"/>
      <c r="K31" s="3"/>
      <c r="L31" s="3"/>
      <c r="M31" s="25">
        <f t="shared" si="19"/>
        <v>7.5917082700238891E-2</v>
      </c>
      <c r="N31" s="25">
        <f t="shared" si="20"/>
        <v>4.0066374136278808</v>
      </c>
      <c r="O31" s="25">
        <f t="shared" si="21"/>
        <v>-9.2619269724157904E-3</v>
      </c>
      <c r="P31" s="25">
        <f t="shared" si="22"/>
        <v>0.32213830185302683</v>
      </c>
      <c r="Q31" s="25">
        <f t="shared" ref="Q31:R31" si="25">+Q4/P4-1</f>
        <v>-7.6795412701513355E-2</v>
      </c>
      <c r="R31" s="25">
        <f t="shared" si="25"/>
        <v>-0.14323867280891023</v>
      </c>
      <c r="S31" s="25">
        <f t="shared" ref="S31" si="26">+S4/R4-1</f>
        <v>-0.13164839054062205</v>
      </c>
      <c r="T31" s="25">
        <f>+T4/S4-1</f>
        <v>0.13590658885390416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2:42" x14ac:dyDescent="0.2">
      <c r="B32" s="2" t="s">
        <v>38</v>
      </c>
      <c r="C32" s="3"/>
      <c r="D32" s="3"/>
      <c r="E32" s="3"/>
      <c r="F32" s="3"/>
      <c r="G32" s="25">
        <f>+G6/C6-1</f>
        <v>0.4457001433489749</v>
      </c>
      <c r="H32" s="25">
        <f t="shared" ref="H32:H34" si="27">+H6/D6-1</f>
        <v>0.53096541938812614</v>
      </c>
      <c r="I32" s="3"/>
      <c r="J32" s="3"/>
      <c r="K32" s="3"/>
      <c r="L32" s="3"/>
      <c r="M32" s="25">
        <f t="shared" ref="M32:M34" si="28">+M6/L6-1</f>
        <v>0.15111538548233194</v>
      </c>
      <c r="N32" s="25">
        <f t="shared" ref="N32:N34" si="29">+N6/M6-1</f>
        <v>0.65357356855567739</v>
      </c>
      <c r="O32" s="25">
        <f t="shared" ref="O32:O34" si="30">+O6/N6-1</f>
        <v>-0.27975924501966554</v>
      </c>
      <c r="P32" s="25">
        <f t="shared" ref="P32:P34" si="31">+P6/O6-1</f>
        <v>1.7328776432727255</v>
      </c>
      <c r="Q32" s="25">
        <f t="shared" ref="Q32:R32" si="32">+Q6/P6-1</f>
        <v>-0.15564195779962531</v>
      </c>
      <c r="R32" s="25">
        <f t="shared" si="32"/>
        <v>-0.22624803224785939</v>
      </c>
      <c r="S32" s="25">
        <f t="shared" ref="S32:T33" si="33">+S6/R6-1</f>
        <v>-0.20108932542123559</v>
      </c>
      <c r="T32" s="25">
        <f t="shared" si="33"/>
        <v>0.40042678953451194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2:42" x14ac:dyDescent="0.2">
      <c r="B33" s="2" t="s">
        <v>39</v>
      </c>
      <c r="C33" s="3"/>
      <c r="D33" s="3"/>
      <c r="E33" s="3"/>
      <c r="F33" s="3"/>
      <c r="G33" s="25">
        <f t="shared" ref="G33:G34" si="34">+G7/C7-1</f>
        <v>2.8879538078345535E-2</v>
      </c>
      <c r="H33" s="25">
        <f t="shared" si="27"/>
        <v>0.19931630956606217</v>
      </c>
      <c r="I33" s="3"/>
      <c r="J33" s="3"/>
      <c r="K33" s="3"/>
      <c r="L33" s="3"/>
      <c r="M33" s="25">
        <f t="shared" si="28"/>
        <v>0.90798289110110142</v>
      </c>
      <c r="N33" s="25">
        <f t="shared" si="29"/>
        <v>0.7360287261689844</v>
      </c>
      <c r="O33" s="25">
        <f t="shared" si="30"/>
        <v>0.24306349133793503</v>
      </c>
      <c r="P33" s="25">
        <f t="shared" si="31"/>
        <v>-0.42893783669491992</v>
      </c>
      <c r="Q33" s="25">
        <f t="shared" ref="Q33:R33" si="35">+Q7/P7-1</f>
        <v>0.21354175051111568</v>
      </c>
      <c r="R33" s="25">
        <f t="shared" si="35"/>
        <v>1.1107927411652341</v>
      </c>
      <c r="S33" s="25">
        <f t="shared" si="33"/>
        <v>1.9070261437908496</v>
      </c>
      <c r="T33" s="25">
        <f t="shared" si="33"/>
        <v>-1.0722794152617787E-3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2:42" x14ac:dyDescent="0.2">
      <c r="B34" s="2" t="s">
        <v>40</v>
      </c>
      <c r="C34" s="3"/>
      <c r="D34" s="3"/>
      <c r="E34" s="3"/>
      <c r="F34" s="3"/>
      <c r="G34" s="25">
        <f t="shared" si="34"/>
        <v>0.27565740108421632</v>
      </c>
      <c r="H34" s="25">
        <f t="shared" si="27"/>
        <v>0.22012513778637777</v>
      </c>
      <c r="I34" s="3"/>
      <c r="J34" s="3"/>
      <c r="K34" s="3"/>
      <c r="L34" s="3"/>
      <c r="M34" s="25">
        <f t="shared" si="28"/>
        <v>10.254153786707882</v>
      </c>
      <c r="N34" s="25">
        <f t="shared" si="29"/>
        <v>0.58226826776992868</v>
      </c>
      <c r="O34" s="25">
        <f t="shared" si="30"/>
        <v>1.704495521837484</v>
      </c>
      <c r="P34" s="25">
        <f t="shared" si="31"/>
        <v>0.20452758432555607</v>
      </c>
      <c r="Q34" s="25">
        <f t="shared" ref="Q34:R34" si="36">+Q8/P8-1</f>
        <v>2.3278546568749947E-2</v>
      </c>
      <c r="R34" s="25">
        <f t="shared" si="36"/>
        <v>-0.13774697350155984</v>
      </c>
      <c r="S34" s="25">
        <f t="shared" ref="S34" si="37">+S8/R8-1</f>
        <v>-0.14012966056110754</v>
      </c>
      <c r="T34" s="25">
        <f>+T8/S8-1</f>
        <v>0.13429602412653252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2:42" ht="15" x14ac:dyDescent="0.25">
      <c r="B35" s="1" t="s">
        <v>41</v>
      </c>
      <c r="C35" s="23"/>
      <c r="D35" s="23"/>
      <c r="E35" s="23"/>
      <c r="F35" s="23"/>
      <c r="G35" s="26">
        <f>+G10/C10-1</f>
        <v>0.30338856229942479</v>
      </c>
      <c r="H35" s="26">
        <f t="shared" ref="H35" si="38">+H10/D10-1</f>
        <v>0.44241650252169951</v>
      </c>
      <c r="I35" s="3"/>
      <c r="J35" s="3"/>
      <c r="K35" s="3"/>
      <c r="L35" s="3"/>
      <c r="M35" s="26">
        <f t="shared" ref="M35" si="39">+M10/L10-1</f>
        <v>0.46379465506242634</v>
      </c>
      <c r="N35" s="26">
        <f t="shared" ref="N35" si="40">+N10/M10-1</f>
        <v>0.82757869301213427</v>
      </c>
      <c r="O35" s="26">
        <f t="shared" ref="O35" si="41">+O10/N10-1</f>
        <v>-0.1922726029132632</v>
      </c>
      <c r="P35" s="26">
        <f t="shared" ref="P35" si="42">+P10/O10-1</f>
        <v>1.1346610064501168</v>
      </c>
      <c r="Q35" s="26">
        <f t="shared" ref="Q35:S35" si="43">+Q10/P10-1</f>
        <v>-0.132078506333561</v>
      </c>
      <c r="R35" s="26">
        <f t="shared" si="43"/>
        <v>-0.1588744026733202</v>
      </c>
      <c r="S35" s="26">
        <f t="shared" si="43"/>
        <v>-3.0209166732915849E-2</v>
      </c>
      <c r="T35" s="26">
        <f>+T10/S10-1</f>
        <v>0.25446187776693985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2:42" x14ac:dyDescent="0.2">
      <c r="B36" s="2" t="s">
        <v>42</v>
      </c>
      <c r="C36" s="25">
        <f t="shared" ref="C36:F36" si="44">+C13/C10</f>
        <v>0.58647966287048547</v>
      </c>
      <c r="D36" s="25">
        <f t="shared" si="44"/>
        <v>0.60391639068666703</v>
      </c>
      <c r="E36" s="25" t="e">
        <f t="shared" si="44"/>
        <v>#DIV/0!</v>
      </c>
      <c r="F36" s="25" t="e">
        <f t="shared" si="44"/>
        <v>#DIV/0!</v>
      </c>
      <c r="G36" s="25">
        <f>+G13/G10</f>
        <v>0.57845080794253034</v>
      </c>
      <c r="H36" s="25">
        <f t="shared" ref="H36" si="45">+H13/H10</f>
        <v>0.6325050796690187</v>
      </c>
      <c r="I36" s="3"/>
      <c r="J36" s="3"/>
      <c r="K36" s="3"/>
      <c r="L36" s="3"/>
      <c r="M36" s="25">
        <f t="shared" ref="M36:O36" si="46">+M13/M10</f>
        <v>0.63360642501522413</v>
      </c>
      <c r="N36" s="25">
        <f t="shared" si="46"/>
        <v>0.72415338544688446</v>
      </c>
      <c r="O36" s="25">
        <f t="shared" si="46"/>
        <v>0.64090288449626098</v>
      </c>
      <c r="P36" s="25">
        <f t="shared" ref="P36" si="47">+P13/P10</f>
        <v>0.72695226267399049</v>
      </c>
      <c r="Q36" s="25">
        <f t="shared" ref="Q36:T36" si="48">+Q13/Q10</f>
        <v>0.68517064825172469</v>
      </c>
      <c r="R36" s="25">
        <f t="shared" si="48"/>
        <v>0.64046698003900526</v>
      </c>
      <c r="S36" s="25">
        <f t="shared" si="48"/>
        <v>0.56011298641782215</v>
      </c>
      <c r="T36" s="25">
        <f t="shared" si="48"/>
        <v>0.58163909057824803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2:42" x14ac:dyDescent="0.2">
      <c r="B37" s="2" t="s">
        <v>43</v>
      </c>
      <c r="C37" s="25">
        <f t="shared" ref="C37:F37" si="49">+C19/C10</f>
        <v>0.25627878831247008</v>
      </c>
      <c r="D37" s="25">
        <f t="shared" si="49"/>
        <v>0.29307127859910387</v>
      </c>
      <c r="E37" s="25" t="e">
        <f t="shared" si="49"/>
        <v>#DIV/0!</v>
      </c>
      <c r="F37" s="25" t="e">
        <f t="shared" si="49"/>
        <v>#DIV/0!</v>
      </c>
      <c r="G37" s="25">
        <f>+G19/G10</f>
        <v>0.30471111832517966</v>
      </c>
      <c r="H37" s="25">
        <f t="shared" ref="H37" si="50">+H19/H10</f>
        <v>0.38141586457417315</v>
      </c>
      <c r="I37" s="3"/>
      <c r="J37" s="3"/>
      <c r="K37" s="3"/>
      <c r="L37" s="3"/>
      <c r="M37" s="25">
        <f t="shared" ref="M37:O37" si="51">+M19/M10</f>
        <v>0.18262090192240737</v>
      </c>
      <c r="N37" s="25">
        <f t="shared" si="51"/>
        <v>0.41511818165365949</v>
      </c>
      <c r="O37" s="25">
        <f t="shared" si="51"/>
        <v>3.0978087528632781E-2</v>
      </c>
      <c r="P37" s="25">
        <f t="shared" ref="P37" si="52">+P19/P10</f>
        <v>0.46288909654493493</v>
      </c>
      <c r="Q37" s="25">
        <f t="shared" ref="Q37:T37" si="53">+Q19/Q10</f>
        <v>0.3853703647716421</v>
      </c>
      <c r="R37" s="25">
        <f t="shared" si="53"/>
        <v>0.2870177417908909</v>
      </c>
      <c r="S37" s="25">
        <f t="shared" si="53"/>
        <v>0.18869673620470812</v>
      </c>
      <c r="T37" s="25">
        <f t="shared" si="53"/>
        <v>0.26842707326407245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2:42" x14ac:dyDescent="0.2">
      <c r="B38" s="2" t="s">
        <v>44</v>
      </c>
      <c r="C38" s="25">
        <f t="shared" ref="C38:F38" si="54">+C23/C22</f>
        <v>0.20391932484623093</v>
      </c>
      <c r="D38" s="25">
        <f t="shared" si="54"/>
        <v>0.17548669433986552</v>
      </c>
      <c r="E38" s="25" t="e">
        <f t="shared" si="54"/>
        <v>#DIV/0!</v>
      </c>
      <c r="F38" s="25" t="e">
        <f t="shared" si="54"/>
        <v>#DIV/0!</v>
      </c>
      <c r="G38" s="25">
        <f>+G23/G22</f>
        <v>0.15241624056924236</v>
      </c>
      <c r="H38" s="25">
        <f t="shared" ref="H38" si="55">+H23/H22</f>
        <v>0.15573742147426661</v>
      </c>
      <c r="I38" s="3"/>
      <c r="J38" s="3"/>
      <c r="K38" s="3"/>
      <c r="L38" s="3"/>
      <c r="M38" s="25">
        <f t="shared" ref="M38:O38" si="56">+M23/M22</f>
        <v>0.83300342865221999</v>
      </c>
      <c r="N38" s="25">
        <f t="shared" si="56"/>
        <v>0.10938404251805454</v>
      </c>
      <c r="O38" s="25">
        <f t="shared" si="56"/>
        <v>0.10585263230501286</v>
      </c>
      <c r="P38" s="25">
        <f t="shared" ref="P38" si="57">+P23/P22</f>
        <v>0.18941061021653294</v>
      </c>
      <c r="Q38" s="25">
        <f t="shared" ref="Q38:T38" si="58">+Q23/Q22</f>
        <v>0.17019692969433362</v>
      </c>
      <c r="R38" s="25">
        <f t="shared" si="58"/>
        <v>0.15888347300098046</v>
      </c>
      <c r="S38" s="25">
        <f t="shared" si="58"/>
        <v>0.18825678705546206</v>
      </c>
      <c r="T38" s="25">
        <f t="shared" si="58"/>
        <v>0.17122501821790165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2:42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B40" s="2" t="s">
        <v>73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v>889.55899999999997</v>
      </c>
      <c r="Q40" s="3">
        <v>1071.463</v>
      </c>
      <c r="R40" s="3">
        <v>981.58</v>
      </c>
      <c r="S40" s="3">
        <v>820.43600000000004</v>
      </c>
      <c r="T40" s="3">
        <v>872.51300000000003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B41" s="2" t="s">
        <v>74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v>117.446</v>
      </c>
      <c r="Q41" s="3">
        <v>49.49</v>
      </c>
      <c r="R41" s="3">
        <v>56.661999999999999</v>
      </c>
      <c r="S41" s="3">
        <v>35.024000000000001</v>
      </c>
      <c r="T41" s="3">
        <v>41.478000000000002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2:42" x14ac:dyDescent="0.2">
      <c r="B42" s="2" t="s">
        <v>75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1425.0160000000001</v>
      </c>
      <c r="Q42" s="3">
        <v>1349.3219999999999</v>
      </c>
      <c r="R42" s="3">
        <v>1187.674</v>
      </c>
      <c r="S42" s="3">
        <v>1722.44</v>
      </c>
      <c r="T42" s="3">
        <v>2294.529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2:42" x14ac:dyDescent="0.2">
      <c r="B43" s="2" t="s">
        <v>76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>
        <v>22.866</v>
      </c>
      <c r="Q43" s="3">
        <v>119.453</v>
      </c>
      <c r="R43" s="3">
        <v>336.99900000000002</v>
      </c>
      <c r="S43" s="3">
        <v>1512.114</v>
      </c>
      <c r="T43" s="3">
        <v>983.94100000000003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2:42" x14ac:dyDescent="0.2">
      <c r="B44" s="2" t="s">
        <v>81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v>1684.0060000000001</v>
      </c>
      <c r="Q44" s="3">
        <v>1026.807</v>
      </c>
      <c r="R44" s="3">
        <v>1115.1849999999999</v>
      </c>
      <c r="S44" s="3">
        <v>737.72400000000005</v>
      </c>
      <c r="T44" s="3">
        <v>1100.8499999999999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2:42" x14ac:dyDescent="0.2">
      <c r="B45" s="2" t="s">
        <v>78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v>2369.192</v>
      </c>
      <c r="Q45" s="3">
        <v>3238.9949999999999</v>
      </c>
      <c r="R45" s="3">
        <v>3667.4810000000002</v>
      </c>
      <c r="S45" s="3">
        <v>6127.7520000000004</v>
      </c>
      <c r="T45" s="3">
        <v>5520.0150000000003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2:42" x14ac:dyDescent="0.2">
      <c r="B46" s="2" t="s">
        <v>77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v>746.53899999999999</v>
      </c>
      <c r="Q46" s="3">
        <v>1017.96</v>
      </c>
      <c r="R46" s="3">
        <v>963.07100000000003</v>
      </c>
      <c r="S46" s="3">
        <v>1230.8589999999999</v>
      </c>
      <c r="T46" s="3">
        <v>2282.6370000000002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2:42" x14ac:dyDescent="0.2">
      <c r="B47" s="2" t="s">
        <v>79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>
        <v>214.47800000000001</v>
      </c>
      <c r="Q47" s="3">
        <v>146.476</v>
      </c>
      <c r="R47" s="3">
        <v>80.83</v>
      </c>
      <c r="S47" s="3">
        <v>106.245</v>
      </c>
      <c r="T47" s="3">
        <v>149.804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2:42" x14ac:dyDescent="0.2">
      <c r="B48" s="2" t="s">
        <v>80</v>
      </c>
      <c r="C48" s="3"/>
      <c r="D48" s="3"/>
      <c r="E48" s="3"/>
      <c r="F48" s="3"/>
      <c r="G48" s="3"/>
      <c r="H48" s="3"/>
      <c r="I48" s="3"/>
      <c r="J48" s="3"/>
      <c r="K48" s="3"/>
      <c r="L48" s="3">
        <f t="shared" ref="L48:P48" si="59">+SUM(L40:L47)</f>
        <v>0</v>
      </c>
      <c r="M48" s="3">
        <f t="shared" si="59"/>
        <v>0</v>
      </c>
      <c r="N48" s="3">
        <f t="shared" si="59"/>
        <v>0</v>
      </c>
      <c r="O48" s="3">
        <f t="shared" si="59"/>
        <v>0</v>
      </c>
      <c r="P48" s="3">
        <f t="shared" si="59"/>
        <v>7469.1019999999999</v>
      </c>
      <c r="Q48" s="3">
        <f t="shared" ref="Q48:S48" si="60">+SUM(Q40:Q47)</f>
        <v>8019.9659999999994</v>
      </c>
      <c r="R48" s="3">
        <f t="shared" si="60"/>
        <v>8389.482</v>
      </c>
      <c r="S48" s="3">
        <f t="shared" si="60"/>
        <v>12292.594000000003</v>
      </c>
      <c r="T48" s="3">
        <f>+SUM(T40:T47)</f>
        <v>13245.767000000002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2:42" x14ac:dyDescent="0.2">
      <c r="B49" s="2" t="s">
        <v>82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>
        <v>113.59</v>
      </c>
      <c r="Q49" s="3">
        <v>89.594999999999999</v>
      </c>
      <c r="R49" s="3">
        <v>85.194000000000003</v>
      </c>
      <c r="S49" s="3">
        <v>100.36499999999999</v>
      </c>
      <c r="T49" s="3">
        <v>91.415000000000006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2:42" x14ac:dyDescent="0.2">
      <c r="B50" s="2" t="s">
        <v>83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v>268.86399999999998</v>
      </c>
      <c r="Q50" s="3">
        <v>225.328</v>
      </c>
      <c r="R50" s="3">
        <v>187.44200000000001</v>
      </c>
      <c r="S50" s="3">
        <v>229.499</v>
      </c>
      <c r="T50" s="3">
        <v>175.04599999999999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2:42" x14ac:dyDescent="0.2">
      <c r="B51" s="2" t="s">
        <v>84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>
        <v>1148.9259999999999</v>
      </c>
      <c r="Q51" s="3">
        <v>1148.9259999999999</v>
      </c>
      <c r="R51" s="3">
        <v>1148.9259999999999</v>
      </c>
      <c r="S51" s="3">
        <v>1148.9259999999999</v>
      </c>
      <c r="T51" s="3">
        <v>1148.9259999999999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2:42" x14ac:dyDescent="0.2">
      <c r="B52" s="2" t="s">
        <v>85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>
        <v>454.49900000000002</v>
      </c>
      <c r="Q52" s="3">
        <v>386.33199999999999</v>
      </c>
      <c r="R52" s="3">
        <v>321.48</v>
      </c>
      <c r="S52" s="3">
        <v>257.52</v>
      </c>
      <c r="T52" s="3">
        <v>203.18799999999999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2:42" x14ac:dyDescent="0.2">
      <c r="B53" s="2" t="s">
        <v>86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v>193.07</v>
      </c>
      <c r="Q53" s="3">
        <v>158.518</v>
      </c>
      <c r="R53" s="3">
        <v>146.80099999999999</v>
      </c>
      <c r="S53" s="3">
        <v>133.76</v>
      </c>
      <c r="T53" s="3">
        <v>135.04599999999999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2:42" x14ac:dyDescent="0.2">
      <c r="B54" s="2" t="s">
        <v>20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317.74700000000001</v>
      </c>
      <c r="Q54" s="3">
        <v>291.30599999999998</v>
      </c>
      <c r="R54" s="3">
        <v>303.916</v>
      </c>
      <c r="S54" s="3">
        <v>303.72000000000003</v>
      </c>
      <c r="T54" s="3">
        <f>4.615+357.74</f>
        <v>362.35500000000002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2:42" x14ac:dyDescent="0.2">
      <c r="B55" s="2" t="s">
        <v>87</v>
      </c>
      <c r="C55" s="3"/>
      <c r="D55" s="3"/>
      <c r="E55" s="3"/>
      <c r="F55" s="3"/>
      <c r="G55" s="3"/>
      <c r="H55" s="3"/>
      <c r="I55" s="3"/>
      <c r="J55" s="3"/>
      <c r="K55" s="3"/>
      <c r="L55" s="3">
        <f t="shared" ref="L55:O55" si="61">+SUM(L49:L54)</f>
        <v>0</v>
      </c>
      <c r="M55" s="3">
        <f t="shared" si="61"/>
        <v>0</v>
      </c>
      <c r="N55" s="3">
        <f t="shared" si="61"/>
        <v>0</v>
      </c>
      <c r="O55" s="3">
        <f t="shared" si="61"/>
        <v>0</v>
      </c>
      <c r="P55" s="3">
        <f t="shared" ref="P55:S55" si="62">+SUM(P49:P54)</f>
        <v>2496.6959999999999</v>
      </c>
      <c r="Q55" s="3">
        <f t="shared" si="62"/>
        <v>2300.0050000000001</v>
      </c>
      <c r="R55" s="3">
        <f t="shared" si="62"/>
        <v>2193.759</v>
      </c>
      <c r="S55" s="3">
        <f t="shared" si="62"/>
        <v>2173.79</v>
      </c>
      <c r="T55" s="3">
        <f>+SUM(T49:T54)</f>
        <v>2115.9759999999997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2:42" ht="15" x14ac:dyDescent="0.25">
      <c r="B56" s="1" t="s">
        <v>88</v>
      </c>
      <c r="C56" s="23"/>
      <c r="D56" s="23"/>
      <c r="E56" s="23"/>
      <c r="F56" s="23"/>
      <c r="G56" s="23"/>
      <c r="H56" s="23"/>
      <c r="I56" s="23"/>
      <c r="J56" s="23"/>
      <c r="K56" s="23"/>
      <c r="L56" s="23">
        <f t="shared" ref="L56:Q56" si="63">+L55+L48</f>
        <v>0</v>
      </c>
      <c r="M56" s="23">
        <f t="shared" si="63"/>
        <v>0</v>
      </c>
      <c r="N56" s="23">
        <f t="shared" si="63"/>
        <v>0</v>
      </c>
      <c r="O56" s="23">
        <f t="shared" si="63"/>
        <v>0</v>
      </c>
      <c r="P56" s="23">
        <f t="shared" si="63"/>
        <v>9965.7979999999989</v>
      </c>
      <c r="Q56" s="23">
        <f t="shared" si="63"/>
        <v>10319.971</v>
      </c>
      <c r="R56" s="23">
        <f t="shared" ref="R56:S56" si="64">+R55+R48</f>
        <v>10583.241</v>
      </c>
      <c r="S56" s="23">
        <f t="shared" si="64"/>
        <v>14466.384000000002</v>
      </c>
      <c r="T56" s="23">
        <f>+T55+T48</f>
        <v>15361.743000000002</v>
      </c>
      <c r="U56" s="23"/>
      <c r="V56" s="23"/>
      <c r="W56" s="2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2:42" x14ac:dyDescent="0.2">
      <c r="B57" s="2" t="s">
        <v>90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>
        <v>64.686000000000007</v>
      </c>
      <c r="Q57" s="3">
        <v>61.51</v>
      </c>
      <c r="R57" s="3"/>
      <c r="S57" s="3">
        <v>0</v>
      </c>
      <c r="T57" s="3">
        <v>38.540999999999997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2:42" x14ac:dyDescent="0.2">
      <c r="B58" s="2" t="s">
        <v>91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>
        <v>948.25599999999997</v>
      </c>
      <c r="Q58" s="3">
        <v>1142.048</v>
      </c>
      <c r="R58" s="3"/>
      <c r="S58" s="3">
        <v>1329.4459999999999</v>
      </c>
      <c r="T58" s="3">
        <v>2431.8780000000002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2:42" x14ac:dyDescent="0.2">
      <c r="B59" s="2" t="s">
        <v>92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>
        <v>461.23500000000001</v>
      </c>
      <c r="Q59" s="3">
        <v>514.32500000000005</v>
      </c>
      <c r="R59" s="3"/>
      <c r="S59" s="3">
        <v>1795.9939999999999</v>
      </c>
      <c r="T59" s="3">
        <v>1271.788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2:42" x14ac:dyDescent="0.2">
      <c r="B60" s="2" t="s">
        <v>93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>
        <v>876.44600000000003</v>
      </c>
      <c r="Q60" s="3">
        <v>571.52599999999995</v>
      </c>
      <c r="R60" s="3"/>
      <c r="S60" s="3">
        <v>1167.712</v>
      </c>
      <c r="T60" s="3">
        <v>918.56600000000003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2:42" x14ac:dyDescent="0.2">
      <c r="B61" s="2" t="s">
        <v>94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>
        <v>118.82599999999999</v>
      </c>
      <c r="Q61" s="3">
        <v>54.999000000000002</v>
      </c>
      <c r="R61" s="3"/>
      <c r="S61" s="3">
        <v>23.228999999999999</v>
      </c>
      <c r="T61" s="3">
        <v>46.112000000000002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2:42" x14ac:dyDescent="0.2">
      <c r="B62" s="2" t="s">
        <v>95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2923.7080000000001</v>
      </c>
      <c r="Q62" s="3">
        <v>3510.779</v>
      </c>
      <c r="R62" s="3"/>
      <c r="S62" s="3">
        <v>6071.3519999999999</v>
      </c>
      <c r="T62" s="3">
        <v>6440.9709999999995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2:42" x14ac:dyDescent="0.2">
      <c r="B63" s="2" t="s">
        <v>96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>
        <v>271.16500000000002</v>
      </c>
      <c r="Q63" s="3">
        <v>259.28199999999998</v>
      </c>
      <c r="R63" s="3"/>
      <c r="S63" s="3">
        <v>216.48</v>
      </c>
      <c r="T63" s="3">
        <v>196.59200000000001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2:42" x14ac:dyDescent="0.2">
      <c r="B64" s="2" t="s">
        <v>97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>
        <v>0</v>
      </c>
      <c r="Q64" s="3">
        <v>6.5000000000000002E-2</v>
      </c>
      <c r="R64" s="3"/>
      <c r="S64" s="3">
        <v>451.29300000000001</v>
      </c>
      <c r="T64" s="3">
        <v>558.1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2:42" x14ac:dyDescent="0.2">
      <c r="B65" s="2" t="s">
        <v>98</v>
      </c>
      <c r="C65" s="3"/>
      <c r="D65" s="3"/>
      <c r="E65" s="3"/>
      <c r="F65" s="3"/>
      <c r="G65" s="3"/>
      <c r="H65" s="3"/>
      <c r="I65" s="3"/>
      <c r="J65" s="3"/>
      <c r="K65" s="3"/>
      <c r="L65" s="3">
        <f t="shared" ref="L65:N65" si="65">+SUM(L57:L64)</f>
        <v>0</v>
      </c>
      <c r="M65" s="3">
        <f t="shared" si="65"/>
        <v>0</v>
      </c>
      <c r="N65" s="3">
        <f t="shared" si="65"/>
        <v>0</v>
      </c>
      <c r="O65" s="3">
        <f t="shared" ref="O65:S65" si="66">+SUM(O57:O64)</f>
        <v>0</v>
      </c>
      <c r="P65" s="3">
        <f t="shared" si="66"/>
        <v>5664.3220000000001</v>
      </c>
      <c r="Q65" s="3">
        <f t="shared" si="66"/>
        <v>6114.5339999999997</v>
      </c>
      <c r="R65" s="3">
        <f t="shared" si="66"/>
        <v>0</v>
      </c>
      <c r="S65" s="3">
        <f t="shared" si="66"/>
        <v>11055.505999999999</v>
      </c>
      <c r="T65" s="3">
        <f>+SUM(T57:T64)</f>
        <v>11902.548000000001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2:42" x14ac:dyDescent="0.2">
      <c r="B66" s="2" t="s">
        <v>83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>
        <v>491.81799999999998</v>
      </c>
      <c r="Q66" s="3">
        <v>457.94200000000001</v>
      </c>
      <c r="R66" s="3"/>
      <c r="S66" s="3">
        <v>278.31700000000001</v>
      </c>
      <c r="T66" s="3">
        <v>229.82499999999999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2:42" x14ac:dyDescent="0.2">
      <c r="B67" s="2" t="s">
        <v>99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v>315.33999999999997</v>
      </c>
      <c r="Q67" s="3">
        <v>278.745</v>
      </c>
      <c r="R67" s="3"/>
      <c r="S67" s="3">
        <v>1727.2049999999999</v>
      </c>
      <c r="T67" s="3">
        <v>1740.4670000000001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B68" s="2" t="s">
        <v>20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>
        <v>1639.28</v>
      </c>
      <c r="Q68" s="3">
        <v>1605.1320000000001</v>
      </c>
      <c r="R68" s="3"/>
      <c r="S68" s="3">
        <v>0</v>
      </c>
      <c r="T68" s="3">
        <v>1.526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2:42" x14ac:dyDescent="0.2">
      <c r="B69" s="2" t="s">
        <v>100</v>
      </c>
      <c r="C69" s="3"/>
      <c r="D69" s="3"/>
      <c r="E69" s="3"/>
      <c r="F69" s="3"/>
      <c r="G69" s="3"/>
      <c r="H69" s="3"/>
      <c r="I69" s="3"/>
      <c r="J69" s="3"/>
      <c r="K69" s="3"/>
      <c r="L69" s="3">
        <f t="shared" ref="L69:O69" si="67">+SUM(L66:L68)</f>
        <v>0</v>
      </c>
      <c r="M69" s="3">
        <f t="shared" si="67"/>
        <v>0</v>
      </c>
      <c r="N69" s="3">
        <f t="shared" si="67"/>
        <v>0</v>
      </c>
      <c r="O69" s="3">
        <f t="shared" si="67"/>
        <v>0</v>
      </c>
      <c r="P69" s="3">
        <f t="shared" ref="P69:S69" si="68">+SUM(P66:P68)</f>
        <v>2446.4380000000001</v>
      </c>
      <c r="Q69" s="3">
        <f t="shared" si="68"/>
        <v>2341.819</v>
      </c>
      <c r="R69" s="3">
        <f t="shared" si="68"/>
        <v>0</v>
      </c>
      <c r="S69" s="3">
        <f t="shared" si="68"/>
        <v>2005.5219999999999</v>
      </c>
      <c r="T69" s="3">
        <f>+SUM(T66:T68)</f>
        <v>1971.8180000000002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2:42" x14ac:dyDescent="0.2">
      <c r="B70" s="2" t="s">
        <v>101</v>
      </c>
      <c r="C70" s="3"/>
      <c r="D70" s="3"/>
      <c r="E70" s="3"/>
      <c r="F70" s="3"/>
      <c r="G70" s="3"/>
      <c r="H70" s="3"/>
      <c r="I70" s="3"/>
      <c r="J70" s="3"/>
      <c r="K70" s="3"/>
      <c r="L70" s="3">
        <f t="shared" ref="L70:P70" si="69">+L69+L65</f>
        <v>0</v>
      </c>
      <c r="M70" s="3">
        <f t="shared" si="69"/>
        <v>0</v>
      </c>
      <c r="N70" s="3">
        <f t="shared" si="69"/>
        <v>0</v>
      </c>
      <c r="O70" s="3">
        <f t="shared" si="69"/>
        <v>0</v>
      </c>
      <c r="P70" s="3">
        <f t="shared" si="69"/>
        <v>8110.76</v>
      </c>
      <c r="Q70" s="3">
        <f t="shared" ref="Q70:S70" si="70">+Q69+Q65</f>
        <v>8456.3529999999992</v>
      </c>
      <c r="R70" s="3">
        <f t="shared" si="70"/>
        <v>0</v>
      </c>
      <c r="S70" s="3">
        <f t="shared" si="70"/>
        <v>13061.027999999998</v>
      </c>
      <c r="T70" s="3">
        <f>+T69+T65</f>
        <v>13874.366000000002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2:42" x14ac:dyDescent="0.2">
      <c r="B71" s="2" t="s">
        <v>89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>
        <v>1855.038</v>
      </c>
      <c r="Q71" s="3">
        <v>1863.6179999999999</v>
      </c>
      <c r="R71" s="3"/>
      <c r="S71" s="3">
        <v>1405.356</v>
      </c>
      <c r="T71" s="3">
        <v>1487.377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2:42" ht="15" x14ac:dyDescent="0.25">
      <c r="B72" s="1" t="s">
        <v>102</v>
      </c>
      <c r="C72" s="3"/>
      <c r="D72" s="3"/>
      <c r="E72" s="3"/>
      <c r="F72" s="3"/>
      <c r="G72" s="3"/>
      <c r="H72" s="3"/>
      <c r="I72" s="3"/>
      <c r="J72" s="3"/>
      <c r="K72" s="3"/>
      <c r="L72" s="23">
        <f t="shared" ref="L72:P72" si="71">+L70+L71</f>
        <v>0</v>
      </c>
      <c r="M72" s="23">
        <f t="shared" si="71"/>
        <v>0</v>
      </c>
      <c r="N72" s="23">
        <f t="shared" si="71"/>
        <v>0</v>
      </c>
      <c r="O72" s="23">
        <f t="shared" si="71"/>
        <v>0</v>
      </c>
      <c r="P72" s="23">
        <f t="shared" si="71"/>
        <v>9965.7980000000007</v>
      </c>
      <c r="Q72" s="23">
        <f t="shared" ref="Q72" si="72">+Q70+Q71</f>
        <v>10319.971</v>
      </c>
      <c r="R72" s="23">
        <f t="shared" ref="R72:S72" si="73">+R70+R71</f>
        <v>0</v>
      </c>
      <c r="S72" s="23">
        <f t="shared" si="73"/>
        <v>14466.383999999998</v>
      </c>
      <c r="T72" s="23">
        <f>+T70+T71</f>
        <v>15361.743000000002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2:42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2:42" x14ac:dyDescent="0.2">
      <c r="B74" s="2" t="s">
        <v>36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-103.705</v>
      </c>
      <c r="P74" s="3">
        <v>1120.913</v>
      </c>
      <c r="Q74" s="3">
        <v>827.23400000000004</v>
      </c>
      <c r="R74" s="3">
        <v>468.33199999999999</v>
      </c>
      <c r="S74" s="3">
        <v>263.92099999999999</v>
      </c>
      <c r="T74" s="3">
        <v>534.53499999999997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2:42" x14ac:dyDescent="0.2">
      <c r="B75" s="2" t="s">
        <v>27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f>65.644+70.505+11.72</f>
        <v>147.869</v>
      </c>
      <c r="P75" s="3">
        <f>66.741+74.254+26.148</f>
        <v>167.143</v>
      </c>
      <c r="Q75" s="3">
        <f>67.816+69.668+6.939</f>
        <v>144.423</v>
      </c>
      <c r="R75" s="3">
        <f>66.377+64.837+6.919</f>
        <v>138.13300000000001</v>
      </c>
      <c r="S75" s="3">
        <f>63.306+63.96+11.388</f>
        <v>138.654</v>
      </c>
      <c r="T75" s="3">
        <f>65.816+50.471+6.861</f>
        <v>123.14800000000001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2:42" x14ac:dyDescent="0.2">
      <c r="B76" s="2" t="s">
        <v>113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v>41.134</v>
      </c>
      <c r="P76" s="3">
        <v>7.5549999999999997</v>
      </c>
      <c r="Q76" s="3">
        <v>0.64900000000000002</v>
      </c>
      <c r="R76" s="3">
        <v>24.315999999999999</v>
      </c>
      <c r="S76" s="3">
        <v>1.0980000000000001</v>
      </c>
      <c r="T76" s="3">
        <v>22.562999999999999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2:42" x14ac:dyDescent="0.2">
      <c r="B77" s="2" t="s">
        <v>114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66.451999999999998</v>
      </c>
      <c r="P77" s="3">
        <v>9.6080000000000005</v>
      </c>
      <c r="Q77" s="3">
        <v>28.138000000000002</v>
      </c>
      <c r="R77" s="3">
        <v>4.7069999999999999</v>
      </c>
      <c r="S77" s="3">
        <v>0.45500000000000002</v>
      </c>
      <c r="T77" s="3">
        <v>16.224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2:42" x14ac:dyDescent="0.2">
      <c r="B78" s="2" t="s">
        <v>115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71.727999999999994</v>
      </c>
      <c r="P78" s="3">
        <v>59.838000000000001</v>
      </c>
      <c r="Q78" s="3">
        <v>55.750999999999998</v>
      </c>
      <c r="R78" s="3">
        <v>67.218999999999994</v>
      </c>
      <c r="S78" s="3">
        <v>63.933</v>
      </c>
      <c r="T78" s="3">
        <v>75.474999999999994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2:42" x14ac:dyDescent="0.2">
      <c r="B79" s="2" t="s">
        <v>116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v>-18.600999999999999</v>
      </c>
      <c r="P79" s="3">
        <v>21.600999999999999</v>
      </c>
      <c r="Q79" s="3">
        <v>34.616999999999997</v>
      </c>
      <c r="R79" s="3">
        <v>-3.468</v>
      </c>
      <c r="S79" s="3">
        <v>19.068999999999999</v>
      </c>
      <c r="T79" s="3">
        <v>4.2469999999999999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2:42" x14ac:dyDescent="0.2">
      <c r="B80" s="2" t="s">
        <v>117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v>-23.446000000000002</v>
      </c>
      <c r="P80" s="3">
        <f>-58.652-1.926</f>
        <v>-60.578000000000003</v>
      </c>
      <c r="Q80" s="3">
        <v>-5.556</v>
      </c>
      <c r="R80" s="3">
        <v>11.391999999999999</v>
      </c>
      <c r="S80" s="3">
        <v>-12.795</v>
      </c>
      <c r="T80" s="3">
        <v>-37.145000000000003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2:42" x14ac:dyDescent="0.2">
      <c r="B81" s="2" t="s">
        <v>118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>
        <f>-515.897-127.557+110.977-125.246+29.733-241.345+25.133+452.397+58.881+107.266-37.56+22.552+265.671-37.665</f>
        <v>-12.660000000000089</v>
      </c>
      <c r="P81" s="3">
        <f>503.747+120.166-365.422-350.041-110.947+39.659-48.472-651.843+120.493-9.323+29.107+425.75-50.024+81.954</f>
        <v>-265.19600000000008</v>
      </c>
      <c r="Q81" s="3">
        <f>75.694-96.587+657.199-1141.224+68.002+33.93+59.209+193.792+53.09-267.126-63.827+587.071-36.595-36.258</f>
        <v>86.370000000000061</v>
      </c>
      <c r="R81" s="3">
        <f>161.648-217.546-1.11-373.597+65.646+28.67-62.799-81.616+113.224-276.646-8.474+686.195-33.322-4.101</f>
        <v>-3.8279999999999754</v>
      </c>
      <c r="S81" s="3">
        <f>-534.766-1175.115+290.193-2728.059-25.415-42.057+20.331+269.014+1168.445+886.208-23.296+1874.378+39.115-1.534</f>
        <v>17.441999999999879</v>
      </c>
      <c r="T81" s="3">
        <f>-572.089+528.173-363.32-444.041-43.559+44.422-57.404+1102.432-524.206-244.057+22.883+369.619-48.492+89.583</f>
        <v>-140.05599999999993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2:42" ht="15" x14ac:dyDescent="0.25">
      <c r="B82" s="1" t="s">
        <v>119</v>
      </c>
      <c r="C82" s="3"/>
      <c r="D82" s="3"/>
      <c r="E82" s="3"/>
      <c r="F82" s="3"/>
      <c r="G82" s="3"/>
      <c r="H82" s="3"/>
      <c r="I82" s="3"/>
      <c r="J82" s="3"/>
      <c r="K82" s="3"/>
      <c r="L82" s="23">
        <f t="shared" ref="L82:P82" si="74">+SUM(L74:L81)</f>
        <v>0</v>
      </c>
      <c r="M82" s="23">
        <f t="shared" si="74"/>
        <v>0</v>
      </c>
      <c r="N82" s="23">
        <f t="shared" si="74"/>
        <v>0</v>
      </c>
      <c r="O82" s="23">
        <f t="shared" si="74"/>
        <v>168.77099999999993</v>
      </c>
      <c r="P82" s="23">
        <f t="shared" si="74"/>
        <v>1060.8839999999998</v>
      </c>
      <c r="Q82" s="23">
        <f t="shared" ref="Q82:S82" si="75">+SUM(Q74:Q81)</f>
        <v>1171.6260000000002</v>
      </c>
      <c r="R82" s="23">
        <f t="shared" si="75"/>
        <v>706.80300000000022</v>
      </c>
      <c r="S82" s="23">
        <f t="shared" si="75"/>
        <v>491.77699999999987</v>
      </c>
      <c r="T82" s="23">
        <f>+SUM(T74:T81)</f>
        <v>598.9910000000001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2:42" x14ac:dyDescent="0.2">
      <c r="B83" s="2" t="s">
        <v>120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v>-48.491999999999997</v>
      </c>
      <c r="P83" s="3">
        <v>-31.471</v>
      </c>
      <c r="Q83" s="3">
        <v>-35.508000000000003</v>
      </c>
      <c r="R83" s="3">
        <v>-37.658000000000001</v>
      </c>
      <c r="S83" s="3">
        <v>-38.354999999999997</v>
      </c>
      <c r="T83" s="3">
        <v>-41.886000000000003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2:42" x14ac:dyDescent="0.2">
      <c r="B84" s="2" t="s">
        <v>121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v>-9.32</v>
      </c>
      <c r="P84" s="3">
        <v>-28.888000000000002</v>
      </c>
      <c r="Q84" s="3">
        <v>-24.562000000000001</v>
      </c>
      <c r="R84" s="3">
        <v>-27.201000000000001</v>
      </c>
      <c r="S84" s="3">
        <v>-37.774000000000001</v>
      </c>
      <c r="T84" s="3">
        <v>-12.427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2:42" x14ac:dyDescent="0.2">
      <c r="B85" s="2" t="s">
        <v>117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>
        <f>-835.581-6.25</f>
        <v>-841.83100000000002</v>
      </c>
      <c r="P85" s="3">
        <f>7.62+60.592-10.412</f>
        <v>57.800000000000004</v>
      </c>
      <c r="Q85" s="3">
        <v>-27.279</v>
      </c>
      <c r="R85" s="3">
        <v>35.329000000000001</v>
      </c>
      <c r="S85" s="3">
        <v>-18.355</v>
      </c>
      <c r="T85" s="3">
        <v>-7.5339999999999998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2:42" ht="15" x14ac:dyDescent="0.25">
      <c r="B86" s="1" t="s">
        <v>122</v>
      </c>
      <c r="C86" s="3"/>
      <c r="D86" s="3"/>
      <c r="E86" s="3"/>
      <c r="F86" s="3"/>
      <c r="G86" s="3"/>
      <c r="H86" s="3"/>
      <c r="I86" s="3"/>
      <c r="J86" s="3"/>
      <c r="K86" s="3"/>
      <c r="L86" s="23">
        <f t="shared" ref="L86:P86" si="76">+SUM(L83:L85)</f>
        <v>0</v>
      </c>
      <c r="M86" s="23">
        <f t="shared" si="76"/>
        <v>0</v>
      </c>
      <c r="N86" s="23">
        <f t="shared" si="76"/>
        <v>0</v>
      </c>
      <c r="O86" s="23">
        <f t="shared" si="76"/>
        <v>-899.64300000000003</v>
      </c>
      <c r="P86" s="23">
        <f t="shared" si="76"/>
        <v>-2.5589999999999975</v>
      </c>
      <c r="Q86" s="23">
        <f t="shared" ref="Q86:S86" si="77">+SUM(Q83:Q85)</f>
        <v>-87.349000000000004</v>
      </c>
      <c r="R86" s="23">
        <f t="shared" si="77"/>
        <v>-29.530000000000008</v>
      </c>
      <c r="S86" s="23">
        <f t="shared" si="77"/>
        <v>-94.483999999999995</v>
      </c>
      <c r="T86" s="23">
        <f>+SUM(T83:T85)</f>
        <v>-61.847000000000001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2:42" x14ac:dyDescent="0.2">
      <c r="B87" s="2" t="s">
        <v>123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>
        <v>-211.63499999999999</v>
      </c>
      <c r="P87" s="3">
        <v>-484.41500000000002</v>
      </c>
      <c r="Q87" s="3">
        <v>-548.01700000000005</v>
      </c>
      <c r="R87" s="3">
        <v>-375.28399999999999</v>
      </c>
      <c r="S87" s="3">
        <v>-306.13600000000002</v>
      </c>
      <c r="T87" s="3">
        <v>-299.40300000000002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2:42" x14ac:dyDescent="0.2">
      <c r="B88" s="2" t="s">
        <v>124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f>-0.196-15.878</f>
        <v>-16.074000000000002</v>
      </c>
      <c r="P88" s="3">
        <v>-49.863999999999997</v>
      </c>
      <c r="Q88" s="3">
        <f>-3.454-427.453</f>
        <v>-430.90699999999998</v>
      </c>
      <c r="R88" s="3">
        <f>-8.256-480.544</f>
        <v>-488.79999999999995</v>
      </c>
      <c r="S88" s="3">
        <f>-1.566-229.012</f>
        <v>-230.578</v>
      </c>
      <c r="T88" s="3">
        <v>-191.13800000000001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2:42" x14ac:dyDescent="0.2">
      <c r="B89" s="2" t="s">
        <v>125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v>0.93100000000000005</v>
      </c>
      <c r="P89" s="3">
        <v>16.440000000000001</v>
      </c>
      <c r="Q89" s="3">
        <v>10.042</v>
      </c>
      <c r="R89" s="3">
        <v>5.109</v>
      </c>
      <c r="S89" s="3">
        <v>0</v>
      </c>
      <c r="T89" s="3">
        <v>13.21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2:42" x14ac:dyDescent="0.2">
      <c r="B90" s="2" t="s">
        <v>126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>
        <f>39.935+1492.5</f>
        <v>1532.4349999999999</v>
      </c>
      <c r="P90" s="3">
        <v>-10.513999999999999</v>
      </c>
      <c r="Q90" s="3">
        <v>-2.0169999999999999</v>
      </c>
      <c r="R90" s="3">
        <f>-59.112+1800</f>
        <v>1740.8879999999999</v>
      </c>
      <c r="S90" s="3">
        <v>-3.944</v>
      </c>
      <c r="T90" s="3">
        <f>38.541+1741.888</f>
        <v>1780.4289999999999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2:42" x14ac:dyDescent="0.2">
      <c r="B91" s="2" t="s">
        <v>127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v>-500</v>
      </c>
      <c r="P91" s="3">
        <v>-288.5</v>
      </c>
      <c r="Q91" s="3">
        <v>-36.737000000000002</v>
      </c>
      <c r="R91" s="3">
        <v>-1599.7739999999999</v>
      </c>
      <c r="S91" s="3">
        <v>-73</v>
      </c>
      <c r="T91" s="3">
        <v>-1727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2:42" x14ac:dyDescent="0.2">
      <c r="B92" s="2" t="s">
        <v>128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>
        <v>0</v>
      </c>
      <c r="P92" s="3">
        <v>-13.286</v>
      </c>
      <c r="Q92" s="3">
        <v>-16.504999999999999</v>
      </c>
      <c r="R92" s="3">
        <v>-21.343</v>
      </c>
      <c r="S92" s="3">
        <v>55.83</v>
      </c>
      <c r="T92" s="3">
        <v>1.9550000000000001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2:42" x14ac:dyDescent="0.2">
      <c r="B93" s="2" t="s">
        <v>129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v>0</v>
      </c>
      <c r="P93" s="3">
        <v>-9.7789999999999999</v>
      </c>
      <c r="Q93" s="3">
        <v>0</v>
      </c>
      <c r="R93" s="3">
        <v>0</v>
      </c>
      <c r="S93" s="3">
        <v>-23.274999999999999</v>
      </c>
      <c r="T93" s="3">
        <v>-20.225999999999999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2:42" x14ac:dyDescent="0.2">
      <c r="B94" s="2" t="s">
        <v>130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>
        <f>-35.702-0.375</f>
        <v>-36.076999999999998</v>
      </c>
      <c r="P94" s="3">
        <v>0</v>
      </c>
      <c r="Q94" s="3">
        <f>-2.658+68.94</f>
        <v>66.281999999999996</v>
      </c>
      <c r="R94" s="3">
        <v>-35.741</v>
      </c>
      <c r="S94" s="3">
        <v>-3.9289999999999998</v>
      </c>
      <c r="T94" s="3">
        <v>-27.391999999999999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2:42" x14ac:dyDescent="0.2">
      <c r="B95" s="2" t="s">
        <v>131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v>0</v>
      </c>
      <c r="P95" s="3">
        <v>0</v>
      </c>
      <c r="Q95" s="3">
        <v>0</v>
      </c>
      <c r="R95" s="3">
        <v>39</v>
      </c>
      <c r="S95" s="3">
        <v>0</v>
      </c>
      <c r="T95" s="3">
        <v>0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2:42" ht="15" x14ac:dyDescent="0.25">
      <c r="B96" s="1" t="s">
        <v>132</v>
      </c>
      <c r="C96" s="3"/>
      <c r="D96" s="3"/>
      <c r="E96" s="3"/>
      <c r="F96" s="3"/>
      <c r="G96" s="3"/>
      <c r="H96" s="3"/>
      <c r="I96" s="3"/>
      <c r="J96" s="3"/>
      <c r="K96" s="3"/>
      <c r="L96" s="23">
        <f t="shared" ref="L96:N96" si="78">+SUM(L87:L95)</f>
        <v>0</v>
      </c>
      <c r="M96" s="23">
        <f t="shared" si="78"/>
        <v>0</v>
      </c>
      <c r="N96" s="23">
        <f t="shared" si="78"/>
        <v>0</v>
      </c>
      <c r="O96" s="23">
        <f t="shared" ref="O96:S96" si="79">+SUM(O87:O95)</f>
        <v>769.57999999999993</v>
      </c>
      <c r="P96" s="23">
        <f t="shared" si="79"/>
        <v>-839.91799999999989</v>
      </c>
      <c r="Q96" s="23">
        <f t="shared" si="79"/>
        <v>-957.85900000000004</v>
      </c>
      <c r="R96" s="23">
        <f t="shared" si="79"/>
        <v>-735.94499999999982</v>
      </c>
      <c r="S96" s="23">
        <f t="shared" si="79"/>
        <v>-585.03199999999993</v>
      </c>
      <c r="T96" s="23">
        <f>+SUM(T87:T95)</f>
        <v>-469.56500000000028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2:42" x14ac:dyDescent="0.2">
      <c r="B97" s="2" t="s">
        <v>133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>
        <v>-1.4750000000000001</v>
      </c>
      <c r="P97" s="3">
        <v>15.318</v>
      </c>
      <c r="Q97" s="3">
        <v>-12.47</v>
      </c>
      <c r="R97" s="3">
        <v>-24.239000000000001</v>
      </c>
      <c r="S97" s="3">
        <v>4.9569999999999999</v>
      </c>
      <c r="T97" s="3">
        <v>-9.048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2:42" ht="15" x14ac:dyDescent="0.25">
      <c r="B98" s="1" t="s">
        <v>134</v>
      </c>
      <c r="C98" s="3"/>
      <c r="D98" s="3"/>
      <c r="E98" s="3"/>
      <c r="F98" s="3"/>
      <c r="G98" s="3"/>
      <c r="H98" s="3"/>
      <c r="I98" s="3"/>
      <c r="J98" s="3"/>
      <c r="K98" s="3"/>
      <c r="L98" s="23">
        <f t="shared" ref="L98:Q98" si="80">+L96+L97+L86+L82</f>
        <v>0</v>
      </c>
      <c r="M98" s="23">
        <f t="shared" si="80"/>
        <v>0</v>
      </c>
      <c r="N98" s="23">
        <f t="shared" si="80"/>
        <v>0</v>
      </c>
      <c r="O98" s="23">
        <f t="shared" si="80"/>
        <v>37.232999999999805</v>
      </c>
      <c r="P98" s="23">
        <f t="shared" si="80"/>
        <v>233.72499999999991</v>
      </c>
      <c r="Q98" s="23">
        <f t="shared" si="80"/>
        <v>113.94800000000009</v>
      </c>
      <c r="R98" s="23">
        <f t="shared" ref="R98:S98" si="81">+R96+R97+R86+R82</f>
        <v>-82.910999999999603</v>
      </c>
      <c r="S98" s="23">
        <f t="shared" si="81"/>
        <v>-182.7820000000001</v>
      </c>
      <c r="T98" s="23">
        <f>+T96+T97+T86+T82</f>
        <v>58.530999999999835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2:42" x14ac:dyDescent="0.2">
      <c r="B99" s="2" t="s">
        <v>135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>
        <f>+O100-O98</f>
        <v>736.04700000000025</v>
      </c>
      <c r="P99" s="3">
        <f>+P100-P98</f>
        <v>773.28000000000009</v>
      </c>
      <c r="Q99" s="3">
        <v>1007.005</v>
      </c>
      <c r="R99" s="3">
        <f>+R100-R98</f>
        <v>1121.1529999999998</v>
      </c>
      <c r="S99" s="3">
        <f>+S100-S98</f>
        <v>1038.2420000000002</v>
      </c>
      <c r="T99" s="3">
        <v>855.46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2:42" x14ac:dyDescent="0.2">
      <c r="B100" s="2" t="s">
        <v>136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f>+P99</f>
        <v>773.28000000000009</v>
      </c>
      <c r="P100" s="3">
        <f>+Q99</f>
        <v>1007.005</v>
      </c>
      <c r="Q100" s="3">
        <f>+Q99+Q98</f>
        <v>1120.953</v>
      </c>
      <c r="R100" s="3">
        <f>+S99</f>
        <v>1038.2420000000002</v>
      </c>
      <c r="S100" s="3">
        <f>+T99</f>
        <v>855.46</v>
      </c>
      <c r="T100" s="3">
        <f>+T98+T99</f>
        <v>913.99099999999987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2:42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2:42" x14ac:dyDescent="0.2">
      <c r="B102" s="2" t="s">
        <v>137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>
        <f t="shared" ref="R102:S102" si="82">+R82+R86</f>
        <v>677.27300000000025</v>
      </c>
      <c r="S102" s="3">
        <f t="shared" si="82"/>
        <v>397.29299999999989</v>
      </c>
      <c r="T102" s="3">
        <f>+T82+T86</f>
        <v>537.14400000000012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2:42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2:42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2:42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2:42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2:42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2:42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2:42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2:42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2:42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2:42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3:42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3:42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3:42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3:42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3:42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3:42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3:42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3:42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3:42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3:42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spans="3:42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3:42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3:42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3:42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spans="3:42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3:42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spans="3:42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3:42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spans="3:42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3:42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3:42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3:42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3:42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3:42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3:42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3:42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3:42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3:42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3:42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3:42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3:42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3:42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3:42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3:42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3:42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3:42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3:42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3:42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spans="3:42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spans="3:42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3:42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3:42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3:42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3:42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3:42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3:42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3:42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3:42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3:42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3:42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spans="3:42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spans="3:42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spans="3:42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3:42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spans="3:42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spans="3:42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spans="3:42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3:42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spans="3:42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spans="3:42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3:42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3:42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3:42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3:42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3:42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3:4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3:4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3:4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3:4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3:4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spans="3:4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spans="3:4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spans="3:4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3:4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spans="3:4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spans="3:4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spans="3:4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3:4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spans="3:4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spans="3:4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3:4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3:4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3:4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3:4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3:4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3:4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3:4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3:4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3:4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3:4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spans="3:4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spans="3:4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3:4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3:4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3:4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3:4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3:42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3:42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3:42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3:42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3:42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3:42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3:42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3:42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3:42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3:42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3:42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3:42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spans="3:42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3:42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3:42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3:42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3:42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3:42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3:42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3:42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3:42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3:42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3:42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3:42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3:42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3:42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3:42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3:42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3:42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3:42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3:42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3:42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3:42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3:42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3:42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3:42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3:42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3:42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3:42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3:42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3:42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3:42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3:42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3:42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3:42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3:42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3:42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3:42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3:42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3:42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3:42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3:42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3:42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3:42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spans="3:42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spans="3:42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spans="3:42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3:42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spans="3:42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spans="3:42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spans="3:42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3:42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spans="3:42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spans="3:42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spans="3:42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3:42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spans="3:42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spans="3:42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spans="3:42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3:42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spans="3:42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spans="3:42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spans="3:42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3:42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spans="3:42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spans="3:42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spans="3:42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3:42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spans="3:42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spans="3:42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spans="3:42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3:42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spans="3:42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spans="3:42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spans="3:42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3:42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spans="3:42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spans="3:42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spans="3:42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3:42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spans="3:42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spans="3:42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spans="3:42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3:42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spans="3:42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spans="3:42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spans="3:42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3:42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spans="3:42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spans="3:42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spans="3:42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3:42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spans="3:42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spans="3:42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spans="3:42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3:42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spans="3:42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spans="3:42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spans="3:42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3:42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spans="3:42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spans="3:42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spans="3:42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3:42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spans="3:42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spans="3:42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spans="3:42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3:42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spans="3:42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spans="3:42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spans="3:42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3:42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spans="3:42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spans="3:42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spans="3:42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3:42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spans="3:42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spans="3:42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spans="3:42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3:42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spans="3:42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spans="3:42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spans="3:42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3:42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spans="3:42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spans="3:42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spans="3:42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3:42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spans="3:42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spans="3:42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spans="3:42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3:42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spans="3:42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</sheetData>
  <hyperlinks>
    <hyperlink ref="A1" location="Main!A1" display="Main" xr:uid="{7A5FD33B-47A5-40C1-B791-82EE8EF3F8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DBAA-4575-49B0-A45F-BCC90477D664}">
  <dimension ref="A1:T62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" sqref="I1"/>
    </sheetView>
  </sheetViews>
  <sheetFormatPr defaultRowHeight="13.5" x14ac:dyDescent="0.25"/>
  <cols>
    <col min="1" max="1" width="4.7109375" style="34" bestFit="1" customWidth="1"/>
    <col min="2" max="2" width="36.140625" style="34" bestFit="1" customWidth="1"/>
    <col min="3" max="16384" width="9.140625" style="34"/>
  </cols>
  <sheetData>
    <row r="1" spans="1:20" x14ac:dyDescent="0.25">
      <c r="A1" s="84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25">
      <c r="A2" s="33"/>
      <c r="B2" s="89" t="s">
        <v>224</v>
      </c>
      <c r="C2" s="90">
        <v>18</v>
      </c>
      <c r="D2" s="90">
        <f>+C2+1</f>
        <v>19</v>
      </c>
      <c r="E2" s="90">
        <f t="shared" ref="E2:J2" si="0">+D2+1</f>
        <v>20</v>
      </c>
      <c r="F2" s="90">
        <f t="shared" si="0"/>
        <v>21</v>
      </c>
      <c r="G2" s="90">
        <f t="shared" si="0"/>
        <v>22</v>
      </c>
      <c r="H2" s="90">
        <f t="shared" si="0"/>
        <v>23</v>
      </c>
      <c r="I2" s="90">
        <f t="shared" si="0"/>
        <v>24</v>
      </c>
      <c r="J2" s="90">
        <f t="shared" si="0"/>
        <v>25</v>
      </c>
      <c r="K2" s="91"/>
      <c r="L2" s="33"/>
      <c r="M2" s="33"/>
      <c r="N2" s="33"/>
      <c r="O2" s="33"/>
      <c r="P2" s="33"/>
      <c r="Q2" s="33"/>
      <c r="R2" s="33"/>
      <c r="S2" s="33"/>
      <c r="T2" s="33"/>
    </row>
    <row r="3" spans="1:20" x14ac:dyDescent="0.25">
      <c r="A3" s="33"/>
      <c r="B3" s="33" t="s">
        <v>2</v>
      </c>
      <c r="C3" s="48">
        <v>19.71</v>
      </c>
      <c r="D3" s="48">
        <v>12.84</v>
      </c>
      <c r="E3" s="48">
        <v>21.11</v>
      </c>
      <c r="F3" s="48">
        <v>25.04</v>
      </c>
      <c r="G3" s="48">
        <v>18.399999999999999</v>
      </c>
      <c r="H3" s="48">
        <v>19.25</v>
      </c>
      <c r="I3" s="48">
        <v>35.229999999999997</v>
      </c>
      <c r="J3" s="48"/>
      <c r="K3" s="48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33"/>
      <c r="B4" s="33" t="s">
        <v>225</v>
      </c>
      <c r="C4" s="48">
        <f>107.329814+13.509886+60.09174</f>
        <v>180.93144000000001</v>
      </c>
      <c r="D4" s="48">
        <f>119.921738+12.162851+60.0974</f>
        <v>192.18198899999999</v>
      </c>
      <c r="E4" s="48">
        <f>122.186196+10.135182+60.09174</f>
        <v>192.413118</v>
      </c>
      <c r="F4" s="48">
        <f>108.77295+9.053155+60.09174</f>
        <v>177.917845</v>
      </c>
      <c r="G4" s="48">
        <f>97.877807+8.856531+60.09174</f>
        <v>166.826078</v>
      </c>
      <c r="H4" s="48">
        <f>89.415191+8.607998+60.09174</f>
        <v>158.11492899999999</v>
      </c>
      <c r="I4" s="48">
        <f>86.618617+8.194847+60.09174</f>
        <v>154.905204</v>
      </c>
      <c r="J4" s="48"/>
      <c r="K4" s="48"/>
      <c r="L4" s="33"/>
      <c r="M4" s="33"/>
      <c r="N4" s="33"/>
      <c r="O4" s="33"/>
      <c r="P4" s="33"/>
      <c r="Q4" s="33"/>
      <c r="R4" s="33"/>
      <c r="S4" s="33"/>
      <c r="T4" s="33"/>
    </row>
    <row r="5" spans="1:20" x14ac:dyDescent="0.25">
      <c r="A5" s="33"/>
      <c r="B5" s="33" t="s">
        <v>226</v>
      </c>
      <c r="C5" s="48">
        <f t="shared" ref="C5:H5" si="1">+C3*C4</f>
        <v>3566.1586824000005</v>
      </c>
      <c r="D5" s="48">
        <f t="shared" si="1"/>
        <v>2467.6167387599999</v>
      </c>
      <c r="E5" s="48">
        <f t="shared" si="1"/>
        <v>4061.8409209799997</v>
      </c>
      <c r="F5" s="48">
        <f t="shared" si="1"/>
        <v>4455.0628387999996</v>
      </c>
      <c r="G5" s="48">
        <f t="shared" si="1"/>
        <v>3069.5998351999997</v>
      </c>
      <c r="H5" s="48">
        <f t="shared" si="1"/>
        <v>3043.7123832499997</v>
      </c>
      <c r="I5" s="48">
        <f>+I3*I4</f>
        <v>5457.3103369199998</v>
      </c>
      <c r="J5" s="48"/>
      <c r="K5" s="48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33"/>
      <c r="B6" s="33" t="s">
        <v>227</v>
      </c>
      <c r="C6" s="48">
        <f>+Model!N57+Model!N67-Model!N40</f>
        <v>0</v>
      </c>
      <c r="D6" s="48">
        <f>+Model!O57+Model!O67-Model!O40</f>
        <v>0</v>
      </c>
      <c r="E6" s="48">
        <f>+Model!P57+Model!P67-Model!P40</f>
        <v>-509.53300000000002</v>
      </c>
      <c r="F6" s="48">
        <f>+Model!Q57+Model!Q67-Model!Q40</f>
        <v>-731.20799999999997</v>
      </c>
      <c r="G6" s="48">
        <f>+Model!R57+Model!R67-Model!R40</f>
        <v>-981.58</v>
      </c>
      <c r="H6" s="48">
        <f>+Model!S57+Model!S67-Model!S40</f>
        <v>906.76899999999989</v>
      </c>
      <c r="I6" s="48">
        <f>+Model!T57+Model!T67-Model!T40</f>
        <v>906.495</v>
      </c>
      <c r="J6" s="48"/>
      <c r="K6" s="48"/>
      <c r="L6" s="33"/>
      <c r="M6" s="33"/>
      <c r="N6" s="33"/>
      <c r="O6" s="33"/>
      <c r="P6" s="33"/>
      <c r="Q6" s="33"/>
      <c r="R6" s="33"/>
      <c r="S6" s="33"/>
      <c r="T6" s="33"/>
    </row>
    <row r="7" spans="1:20" x14ac:dyDescent="0.25">
      <c r="A7" s="33"/>
      <c r="B7" s="33" t="s">
        <v>7</v>
      </c>
      <c r="C7" s="48">
        <f t="shared" ref="C7:H7" si="2">+C5+C6</f>
        <v>3566.1586824000005</v>
      </c>
      <c r="D7" s="48">
        <f t="shared" si="2"/>
        <v>2467.6167387599999</v>
      </c>
      <c r="E7" s="48">
        <f t="shared" si="2"/>
        <v>3552.3079209799998</v>
      </c>
      <c r="F7" s="48">
        <f t="shared" si="2"/>
        <v>3723.8548387999995</v>
      </c>
      <c r="G7" s="48">
        <f t="shared" si="2"/>
        <v>2088.0198351999998</v>
      </c>
      <c r="H7" s="48">
        <f t="shared" si="2"/>
        <v>3950.4813832499995</v>
      </c>
      <c r="I7" s="48">
        <f>+I5+I6</f>
        <v>6363.8053369199997</v>
      </c>
      <c r="J7" s="48"/>
      <c r="K7" s="48"/>
      <c r="L7" s="33"/>
      <c r="M7" s="33"/>
      <c r="N7" s="33"/>
      <c r="O7" s="33"/>
      <c r="P7" s="33"/>
      <c r="Q7" s="33"/>
      <c r="R7" s="33"/>
      <c r="S7" s="33"/>
      <c r="T7" s="33"/>
    </row>
    <row r="8" spans="1:20" x14ac:dyDescent="0.25">
      <c r="A8" s="33"/>
      <c r="B8" s="33"/>
      <c r="C8" s="48"/>
      <c r="D8" s="48"/>
      <c r="E8" s="48"/>
      <c r="F8" s="48"/>
      <c r="G8" s="48"/>
      <c r="H8" s="48"/>
      <c r="I8" s="48"/>
      <c r="J8" s="48"/>
      <c r="K8" s="48"/>
      <c r="L8" s="33"/>
      <c r="M8" s="33"/>
      <c r="N8" s="33"/>
      <c r="O8" s="33"/>
      <c r="P8" s="33"/>
      <c r="Q8" s="33"/>
      <c r="R8" s="33"/>
      <c r="S8" s="33"/>
      <c r="T8" s="33"/>
    </row>
    <row r="9" spans="1:20" x14ac:dyDescent="0.25">
      <c r="A9" s="85" t="s">
        <v>146</v>
      </c>
      <c r="B9" s="86" t="s">
        <v>228</v>
      </c>
      <c r="C9" s="48"/>
      <c r="D9" s="48"/>
      <c r="E9" s="48"/>
      <c r="F9" s="48"/>
      <c r="G9" s="48"/>
      <c r="H9" s="48"/>
      <c r="I9" s="48"/>
      <c r="J9" s="48"/>
      <c r="K9" s="48"/>
      <c r="L9" s="33"/>
      <c r="M9" s="33"/>
      <c r="N9" s="33"/>
      <c r="O9" s="33"/>
      <c r="P9" s="33"/>
      <c r="Q9" s="33"/>
      <c r="R9" s="33"/>
      <c r="S9" s="33"/>
      <c r="T9" s="33"/>
    </row>
    <row r="10" spans="1:20" x14ac:dyDescent="0.25">
      <c r="A10" s="33"/>
      <c r="B10" s="33" t="s">
        <v>229</v>
      </c>
      <c r="C10" s="33"/>
      <c r="D10" s="33"/>
      <c r="E10" s="48">
        <f>+Model!P49+Model!P51+Model!P52+Model!P42+Model!P43+Model!P44+Model!P45+Model!P46+Model!P47-Model!P58-Model!P59-Model!P60-Model!P64</f>
        <v>5893.1750000000002</v>
      </c>
      <c r="F10" s="48">
        <f>+Model!Q49+Model!Q51+Model!Q52+Model!Q42+Model!Q43+Model!Q44+Model!Q45+Model!Q46+Model!Q47-Model!Q58-Model!Q59-Model!Q60-Model!Q64</f>
        <v>6295.902000000001</v>
      </c>
      <c r="G10" s="48">
        <f>+Model!R49+Model!R51+Model!R52+Model!R42+Model!R43+Model!R44+Model!R45+Model!R46+Model!R47-Model!R58-Model!R59-Model!R60-Model!R64</f>
        <v>8906.84</v>
      </c>
      <c r="H10" s="48">
        <f>+Model!S49+Model!S51+Model!S52+Model!S42+Model!S43+Model!S44+Model!S45+Model!S46+Model!S47-Model!S58-Model!S59-Model!S60-Model!S64</f>
        <v>8199.5000000000018</v>
      </c>
      <c r="I10" s="48">
        <f>+Model!T49+Model!T51+Model!T52+Model!T42+Model!T43+Model!T44+Model!T45+Model!T46+Model!T47-Model!T58-Model!T59-Model!T60-Model!T64</f>
        <v>8594.973</v>
      </c>
      <c r="J10" s="33"/>
      <c r="K10" s="33"/>
      <c r="L10" s="70" t="s">
        <v>230</v>
      </c>
      <c r="M10" s="33"/>
      <c r="N10" s="33"/>
      <c r="O10" s="33"/>
      <c r="P10" s="33"/>
      <c r="Q10" s="33"/>
      <c r="R10" s="33"/>
      <c r="S10" s="33"/>
      <c r="T10" s="33"/>
    </row>
    <row r="11" spans="1:20" x14ac:dyDescent="0.25">
      <c r="A11" s="33"/>
      <c r="B11" s="33" t="s">
        <v>231</v>
      </c>
      <c r="C11" s="33"/>
      <c r="D11" s="33"/>
      <c r="E11" s="48">
        <f>+Model!P41+Model!P42+Model!P43+Model!P44+Model!P45+Model!P46+Model!P47+Model!P49+Model!P54-Model!P58-Model!P59-Model!P60-Model!P61-Model!P63-Model!P64-Model!P68+Model!P52+Model!P51</f>
        <v>4299.0969999999998</v>
      </c>
      <c r="F11" s="48">
        <f>+Model!Q41+Model!Q42+Model!Q43+Model!Q44+Model!Q45+Model!Q46+Model!Q47+Model!Q49+Model!Q54-Model!Q58-Model!Q59-Model!Q60-Model!Q61-Model!Q63-Model!Q64-Model!Q68+Model!Q52+Model!Q51</f>
        <v>4717.2849999999999</v>
      </c>
      <c r="G11" s="48">
        <f>+Model!R41+Model!R42+Model!R43+Model!R44+Model!R45+Model!R46+Model!R47+Model!R49+Model!R54-Model!R58-Model!R59-Model!R60-Model!R61-Model!R63-Model!R64-Model!R68+Model!R52+Model!R51</f>
        <v>9267.4179999999997</v>
      </c>
      <c r="H11" s="48">
        <f>+Model!S41+Model!S42+Model!S43+Model!S44+Model!S45+Model!S46+Model!S47+Model!S49+Model!S54-Model!S58-Model!S59-Model!S60-Model!S61-Model!S63-Model!S64-Model!S68+Model!S52+Model!S51</f>
        <v>8298.5349999999999</v>
      </c>
      <c r="I11" s="48">
        <f>+Model!T41+Model!T42+Model!T43+Model!T44+Model!T45+Model!T46+Model!T47+Model!T49+Model!T54-Model!T58-Model!T59-Model!T60-Model!T61-Model!T63-Model!T64-Model!T68+Model!T52+Model!T51</f>
        <v>8754.5760000000009</v>
      </c>
      <c r="J11" s="33"/>
      <c r="K11" s="33"/>
      <c r="L11" s="70" t="s">
        <v>232</v>
      </c>
      <c r="M11" s="33"/>
      <c r="N11" s="33"/>
      <c r="O11" s="33"/>
      <c r="P11" s="33"/>
      <c r="Q11" s="33"/>
      <c r="R11" s="33"/>
      <c r="S11" s="33"/>
      <c r="T11" s="33"/>
    </row>
    <row r="12" spans="1:20" x14ac:dyDescent="0.25">
      <c r="A12" s="33"/>
      <c r="B12" s="33" t="s">
        <v>233</v>
      </c>
      <c r="C12" s="33"/>
      <c r="D12" s="33"/>
      <c r="E12" s="48">
        <f>+Model!P41+Model!P42+Model!P43+Model!P44+Model!P45+Model!P46+Model!P47+Model!P49+Model!P54-Model!P58-Model!P59-Model!P60-Model!P61-Model!P63-Model!P64-Model!P68</f>
        <v>2695.6720000000005</v>
      </c>
      <c r="F12" s="48">
        <f>+Model!Q41+Model!Q42+Model!Q43+Model!Q44+Model!Q45+Model!Q46+Model!Q47+Model!Q49+Model!Q54-Model!Q58-Model!Q59-Model!Q60-Model!Q61-Model!Q63-Model!Q64-Model!Q68</f>
        <v>3182.0270000000005</v>
      </c>
      <c r="G12" s="48">
        <f>+Model!R41+Model!R42+Model!R43+Model!R44+Model!R45+Model!R46+Model!R47+Model!R49+Model!R54-Model!R58-Model!R59-Model!R60-Model!R61-Model!R63-Model!R64-Model!R68</f>
        <v>7797.0120000000006</v>
      </c>
      <c r="H12" s="48">
        <f>+Model!S41+Model!S42+Model!S43+Model!S44+Model!S45+Model!S46+Model!S47+Model!S49+Model!S54-Model!S58-Model!S59-Model!S60-Model!S61-Model!S63-Model!S64-Model!S68</f>
        <v>6892.0890000000009</v>
      </c>
      <c r="I12" s="48">
        <f>+Model!T41+Model!T42+Model!T43+Model!T44+Model!T45+Model!T46+Model!T47+Model!T49+Model!T54-Model!T58-Model!T59-Model!T60-Model!T61-Model!T63-Model!T64-Model!T68</f>
        <v>7402.4620000000014</v>
      </c>
      <c r="J12" s="33"/>
      <c r="K12" s="33"/>
      <c r="L12" s="70"/>
      <c r="M12" s="33"/>
      <c r="N12" s="33"/>
      <c r="O12" s="33"/>
      <c r="P12" s="33"/>
      <c r="Q12" s="33"/>
      <c r="R12" s="33"/>
      <c r="S12" s="33"/>
      <c r="T12" s="33"/>
    </row>
    <row r="13" spans="1:20" x14ac:dyDescent="0.25">
      <c r="A13" s="33"/>
      <c r="B13" s="33" t="s">
        <v>234</v>
      </c>
      <c r="C13" s="33"/>
      <c r="D13" s="33"/>
      <c r="E13" s="48">
        <f>+E11+Model!P40+Model!P41-Model!P57-Model!P67</f>
        <v>4926.076</v>
      </c>
      <c r="F13" s="48">
        <f>+F11+Model!Q40+Model!Q41-Model!Q57-Model!Q67</f>
        <v>5497.9829999999993</v>
      </c>
      <c r="G13" s="48">
        <f>+G11+Model!R40+Model!R41-Model!R57-Model!R67</f>
        <v>10305.66</v>
      </c>
      <c r="H13" s="48">
        <f>+H11+Model!S40+Model!S41-Model!S57-Model!S67</f>
        <v>7426.7899999999991</v>
      </c>
      <c r="I13" s="48">
        <f>+I11+Model!T40+Model!T41-Model!T57-Model!T67</f>
        <v>7889.5590000000011</v>
      </c>
      <c r="J13" s="33"/>
      <c r="K13" s="33"/>
      <c r="L13" s="70" t="s">
        <v>235</v>
      </c>
      <c r="M13" s="33"/>
      <c r="N13" s="33"/>
      <c r="O13" s="33"/>
      <c r="P13" s="33"/>
      <c r="Q13" s="33"/>
      <c r="R13" s="33"/>
      <c r="S13" s="33"/>
      <c r="T13" s="33"/>
    </row>
    <row r="14" spans="1:20" x14ac:dyDescent="0.25">
      <c r="A14" s="33"/>
      <c r="B14" s="33" t="s">
        <v>236</v>
      </c>
      <c r="C14" s="33"/>
      <c r="D14" s="33"/>
      <c r="E14" s="48">
        <f>+Model!P19*(1-Model!P38)</f>
        <v>1215.4390711002102</v>
      </c>
      <c r="F14" s="48">
        <f>+Model!Q19*(1-Model!Q38)</f>
        <v>899.06092396258839</v>
      </c>
      <c r="G14" s="48">
        <f>+Model!R19*(1-Model!R38)</f>
        <v>570.90195488489587</v>
      </c>
      <c r="H14" s="48">
        <f>+Model!S19*(1-Model!S38)</f>
        <v>351.28349888817473</v>
      </c>
      <c r="I14" s="48">
        <f>+Model!T19*(1-Model!T38)</f>
        <v>640.02230845620727</v>
      </c>
      <c r="J14" s="33"/>
      <c r="K14" s="33"/>
      <c r="L14" s="33" t="s">
        <v>237</v>
      </c>
      <c r="M14" s="33"/>
      <c r="N14" s="33"/>
      <c r="O14" s="33"/>
      <c r="P14" s="33"/>
      <c r="Q14" s="33"/>
      <c r="R14" s="33"/>
      <c r="S14" s="33"/>
      <c r="T14" s="33"/>
    </row>
    <row r="15" spans="1:20" x14ac:dyDescent="0.25">
      <c r="A15" s="33"/>
      <c r="B15" s="33" t="s">
        <v>238</v>
      </c>
      <c r="C15" s="33"/>
      <c r="D15" s="33"/>
      <c r="E15" s="33"/>
      <c r="F15" s="33"/>
      <c r="G15" s="33"/>
      <c r="H15" s="33"/>
      <c r="I15" s="33"/>
      <c r="J15" s="33"/>
      <c r="K15" s="33"/>
      <c r="L15" s="70" t="s">
        <v>239</v>
      </c>
      <c r="M15" s="33"/>
      <c r="N15" s="33"/>
      <c r="O15" s="33"/>
      <c r="P15" s="33"/>
      <c r="Q15" s="33"/>
      <c r="R15" s="33"/>
      <c r="S15" s="33"/>
      <c r="T15" s="33"/>
    </row>
    <row r="16" spans="1:20" x14ac:dyDescent="0.25">
      <c r="A16" s="33"/>
      <c r="B16" s="33" t="s">
        <v>137</v>
      </c>
      <c r="C16" s="33"/>
      <c r="D16" s="33"/>
      <c r="E16" s="33"/>
      <c r="F16" s="33"/>
      <c r="G16" s="33"/>
      <c r="H16" s="33"/>
      <c r="I16" s="33"/>
      <c r="J16" s="33"/>
      <c r="K16" s="33"/>
      <c r="L16" s="70" t="s">
        <v>240</v>
      </c>
      <c r="M16" s="33"/>
      <c r="N16" s="33"/>
      <c r="O16" s="33"/>
      <c r="P16" s="33"/>
      <c r="Q16" s="33"/>
      <c r="R16" s="33"/>
      <c r="S16" s="33"/>
      <c r="T16" s="33"/>
    </row>
    <row r="17" spans="1:20" x14ac:dyDescent="0.25">
      <c r="A17" s="33"/>
      <c r="B17" s="33" t="s">
        <v>241</v>
      </c>
      <c r="C17" s="33"/>
      <c r="D17" s="33"/>
      <c r="E17" s="33"/>
      <c r="F17" s="33"/>
      <c r="G17" s="33"/>
      <c r="H17" s="33"/>
      <c r="I17" s="33"/>
      <c r="J17" s="33"/>
      <c r="K17" s="33"/>
      <c r="L17" s="70" t="s">
        <v>242</v>
      </c>
      <c r="M17" s="33"/>
      <c r="N17" s="33"/>
      <c r="O17" s="33"/>
      <c r="P17" s="33"/>
      <c r="Q17" s="33"/>
      <c r="R17" s="33"/>
      <c r="S17" s="33"/>
      <c r="T17" s="33"/>
    </row>
    <row r="18" spans="1:20" x14ac:dyDescent="0.25">
      <c r="A18" s="33"/>
      <c r="B18" s="33" t="s">
        <v>243</v>
      </c>
      <c r="C18" s="33"/>
      <c r="D18" s="33"/>
      <c r="E18" s="33"/>
      <c r="F18" s="33"/>
      <c r="G18" s="33"/>
      <c r="H18" s="33"/>
      <c r="I18" s="33"/>
      <c r="J18" s="33"/>
      <c r="K18" s="33"/>
      <c r="L18" s="70" t="s">
        <v>244</v>
      </c>
      <c r="M18" s="33"/>
      <c r="N18" s="33"/>
      <c r="O18" s="33"/>
      <c r="P18" s="33"/>
      <c r="Q18" s="33"/>
      <c r="R18" s="33"/>
      <c r="S18" s="33"/>
      <c r="T18" s="33"/>
    </row>
    <row r="19" spans="1:20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 spans="1:20" x14ac:dyDescent="0.25">
      <c r="A20" s="85" t="s">
        <v>146</v>
      </c>
      <c r="B20" s="86" t="s">
        <v>245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</row>
    <row r="21" spans="1:20" x14ac:dyDescent="0.25">
      <c r="A21" s="33"/>
      <c r="B21" s="33" t="s">
        <v>246</v>
      </c>
      <c r="C21" s="33"/>
      <c r="D21" s="33"/>
      <c r="E21" s="33"/>
      <c r="F21" s="33"/>
      <c r="G21" s="33"/>
      <c r="H21" s="33"/>
      <c r="I21" s="33"/>
      <c r="J21" s="33"/>
      <c r="K21" s="33"/>
      <c r="L21" s="70" t="s">
        <v>247</v>
      </c>
      <c r="M21" s="33"/>
      <c r="N21" s="33"/>
      <c r="O21" s="33"/>
      <c r="P21" s="33"/>
      <c r="Q21" s="33"/>
      <c r="R21" s="33"/>
      <c r="S21" s="33"/>
      <c r="T21" s="33"/>
    </row>
    <row r="22" spans="1:20" x14ac:dyDescent="0.25">
      <c r="A22" s="33"/>
      <c r="B22" s="33" t="s">
        <v>248</v>
      </c>
      <c r="C22" s="33"/>
      <c r="D22" s="33"/>
      <c r="E22" s="33"/>
      <c r="F22" s="33"/>
      <c r="G22" s="33"/>
      <c r="H22" s="33"/>
      <c r="I22" s="33"/>
      <c r="J22" s="33"/>
      <c r="K22" s="33"/>
      <c r="L22" s="70" t="s">
        <v>249</v>
      </c>
      <c r="M22" s="33"/>
      <c r="N22" s="33"/>
      <c r="O22" s="33"/>
      <c r="P22" s="33"/>
      <c r="Q22" s="33"/>
      <c r="R22" s="33"/>
      <c r="S22" s="33"/>
      <c r="T22" s="33"/>
    </row>
    <row r="23" spans="1:20" x14ac:dyDescent="0.25">
      <c r="A23" s="33"/>
      <c r="B23" s="33" t="s">
        <v>250</v>
      </c>
      <c r="C23" s="33"/>
      <c r="D23" s="33"/>
      <c r="E23" s="33"/>
      <c r="F23" s="33"/>
      <c r="G23" s="33"/>
      <c r="H23" s="33"/>
      <c r="I23" s="33"/>
      <c r="J23" s="33"/>
      <c r="K23" s="33"/>
      <c r="L23" s="70" t="s">
        <v>251</v>
      </c>
      <c r="M23" s="33"/>
      <c r="N23" s="33"/>
      <c r="O23" s="33"/>
      <c r="P23" s="33"/>
      <c r="Q23" s="33"/>
      <c r="R23" s="33"/>
      <c r="S23" s="33"/>
      <c r="T23" s="33"/>
    </row>
    <row r="24" spans="1:20" x14ac:dyDescent="0.25">
      <c r="A24" s="33"/>
      <c r="B24" s="33" t="s">
        <v>252</v>
      </c>
      <c r="C24" s="53" t="e">
        <f t="shared" ref="C24:H24" si="3">+C14/C11</f>
        <v>#DIV/0!</v>
      </c>
      <c r="D24" s="53" t="e">
        <f t="shared" si="3"/>
        <v>#DIV/0!</v>
      </c>
      <c r="E24" s="53">
        <f t="shared" si="3"/>
        <v>0.28271962021331692</v>
      </c>
      <c r="F24" s="53">
        <f t="shared" si="3"/>
        <v>0.19058863815999849</v>
      </c>
      <c r="G24" s="53">
        <f t="shared" si="3"/>
        <v>6.1603129899276791E-2</v>
      </c>
      <c r="H24" s="53">
        <f t="shared" si="3"/>
        <v>4.2330784757571634E-2</v>
      </c>
      <c r="I24" s="53">
        <f>+I14/I11</f>
        <v>7.3107173717631466E-2</v>
      </c>
      <c r="J24" s="33"/>
      <c r="K24" s="33"/>
      <c r="L24" s="70" t="s">
        <v>253</v>
      </c>
      <c r="M24" s="33"/>
      <c r="N24" s="33"/>
      <c r="O24" s="33"/>
      <c r="P24" s="33"/>
      <c r="Q24" s="33"/>
      <c r="R24" s="33"/>
      <c r="S24" s="33"/>
      <c r="T24" s="33"/>
    </row>
    <row r="25" spans="1:20" x14ac:dyDescent="0.25">
      <c r="A25" s="33"/>
      <c r="B25" s="33" t="s">
        <v>254</v>
      </c>
      <c r="C25" s="53" t="e">
        <f t="shared" ref="C25:H25" si="4">+C14/C12</f>
        <v>#DIV/0!</v>
      </c>
      <c r="D25" s="53" t="e">
        <f t="shared" si="4"/>
        <v>#DIV/0!</v>
      </c>
      <c r="E25" s="53">
        <f t="shared" si="4"/>
        <v>0.45088537147702318</v>
      </c>
      <c r="F25" s="53">
        <f t="shared" si="4"/>
        <v>0.28254346175019518</v>
      </c>
      <c r="G25" s="53">
        <f t="shared" si="4"/>
        <v>7.3220607443581692E-2</v>
      </c>
      <c r="H25" s="53">
        <f t="shared" si="4"/>
        <v>5.0969089181549264E-2</v>
      </c>
      <c r="I25" s="53">
        <f>+I14/I12</f>
        <v>8.6460735422378004E-2</v>
      </c>
      <c r="J25" s="33"/>
      <c r="K25" s="33"/>
      <c r="L25" s="70" t="s">
        <v>255</v>
      </c>
      <c r="M25" s="33"/>
      <c r="N25" s="33"/>
      <c r="O25" s="33"/>
      <c r="P25" s="33"/>
      <c r="Q25" s="33"/>
      <c r="R25" s="33"/>
      <c r="S25" s="33"/>
      <c r="T25" s="33"/>
    </row>
    <row r="26" spans="1:20" x14ac:dyDescent="0.25">
      <c r="A26" s="33"/>
      <c r="B26" s="33" t="s">
        <v>256</v>
      </c>
      <c r="C26" s="33"/>
      <c r="D26" s="33"/>
      <c r="E26" s="33"/>
      <c r="F26" s="33"/>
      <c r="G26" s="33"/>
      <c r="H26" s="33"/>
      <c r="I26" s="33"/>
      <c r="J26" s="33"/>
      <c r="K26" s="33"/>
      <c r="L26" s="70" t="s">
        <v>257</v>
      </c>
      <c r="M26" s="33"/>
      <c r="N26" s="33"/>
      <c r="O26" s="33"/>
      <c r="P26" s="33"/>
      <c r="Q26" s="33"/>
      <c r="R26" s="33"/>
      <c r="S26" s="33"/>
      <c r="T26" s="33"/>
    </row>
    <row r="27" spans="1:20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 spans="1:20" x14ac:dyDescent="0.25">
      <c r="A28" s="33"/>
      <c r="B28" s="33" t="s">
        <v>258</v>
      </c>
      <c r="C28" s="33"/>
      <c r="D28" s="33"/>
      <c r="E28" s="33"/>
      <c r="F28" s="33"/>
      <c r="G28" s="33"/>
      <c r="H28" s="33"/>
      <c r="I28" s="33"/>
      <c r="J28" s="33"/>
      <c r="K28" s="33"/>
      <c r="L28" s="70" t="s">
        <v>259</v>
      </c>
      <c r="M28" s="33"/>
      <c r="N28" s="33"/>
      <c r="O28" s="33"/>
      <c r="P28" s="33"/>
      <c r="Q28" s="33"/>
      <c r="R28" s="33"/>
      <c r="S28" s="33"/>
      <c r="T28" s="33"/>
    </row>
    <row r="29" spans="1:20" x14ac:dyDescent="0.25">
      <c r="A29" s="33"/>
      <c r="B29" s="33" t="s">
        <v>260</v>
      </c>
      <c r="C29" s="33"/>
      <c r="D29" s="33"/>
      <c r="E29" s="33"/>
      <c r="F29" s="33"/>
      <c r="G29" s="33"/>
      <c r="H29" s="33"/>
      <c r="I29" s="33"/>
      <c r="J29" s="33"/>
      <c r="K29" s="33"/>
      <c r="L29" s="70" t="s">
        <v>261</v>
      </c>
      <c r="M29" s="33"/>
      <c r="N29" s="33"/>
      <c r="O29" s="33"/>
      <c r="P29" s="33"/>
      <c r="Q29" s="33"/>
      <c r="R29" s="33"/>
      <c r="S29" s="33"/>
      <c r="T29" s="33"/>
    </row>
    <row r="30" spans="1:20" x14ac:dyDescent="0.25">
      <c r="A30" s="33"/>
      <c r="B30" s="33" t="s">
        <v>262</v>
      </c>
      <c r="C30" s="33"/>
      <c r="D30" s="33"/>
      <c r="E30" s="33"/>
      <c r="F30" s="33"/>
      <c r="G30" s="33"/>
      <c r="H30" s="33"/>
      <c r="I30" s="33"/>
      <c r="J30" s="33"/>
      <c r="K30" s="33"/>
      <c r="L30" s="70" t="s">
        <v>263</v>
      </c>
      <c r="M30" s="33"/>
      <c r="N30" s="33"/>
      <c r="O30" s="33"/>
      <c r="P30" s="33"/>
      <c r="Q30" s="33"/>
      <c r="R30" s="33"/>
      <c r="S30" s="33"/>
      <c r="T30" s="33"/>
    </row>
    <row r="31" spans="1:20" x14ac:dyDescent="0.25">
      <c r="A31" s="33"/>
      <c r="B31" s="33" t="s">
        <v>264</v>
      </c>
      <c r="C31" s="33"/>
      <c r="D31" s="33"/>
      <c r="E31" s="33"/>
      <c r="F31" s="33"/>
      <c r="G31" s="33"/>
      <c r="H31" s="33"/>
      <c r="I31" s="33"/>
      <c r="J31" s="33"/>
      <c r="K31" s="33"/>
      <c r="L31" s="70" t="s">
        <v>265</v>
      </c>
      <c r="M31" s="33"/>
      <c r="N31" s="33"/>
      <c r="O31" s="33"/>
      <c r="P31" s="33"/>
      <c r="Q31" s="33"/>
      <c r="R31" s="33"/>
      <c r="S31" s="33"/>
      <c r="T31" s="33"/>
    </row>
    <row r="32" spans="1:20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 spans="1:20" x14ac:dyDescent="0.25">
      <c r="A33" s="85" t="s">
        <v>146</v>
      </c>
      <c r="B33" s="86" t="s">
        <v>266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25">
      <c r="A34" s="33"/>
      <c r="B34" s="33" t="s">
        <v>267</v>
      </c>
      <c r="C34" s="33"/>
      <c r="D34" s="33"/>
      <c r="E34" s="33"/>
      <c r="F34" s="33"/>
      <c r="G34" s="33"/>
      <c r="H34" s="33"/>
      <c r="I34" s="33"/>
      <c r="J34" s="33"/>
      <c r="K34" s="33"/>
      <c r="L34" s="70" t="s">
        <v>268</v>
      </c>
      <c r="M34" s="33"/>
      <c r="N34" s="33"/>
      <c r="O34" s="33"/>
      <c r="P34" s="33"/>
      <c r="Q34" s="33"/>
      <c r="R34" s="33"/>
      <c r="S34" s="33"/>
      <c r="T34" s="33"/>
    </row>
    <row r="35" spans="1:20" x14ac:dyDescent="0.25">
      <c r="A35" s="33"/>
      <c r="B35" s="33" t="s">
        <v>269</v>
      </c>
      <c r="C35" s="33"/>
      <c r="D35" s="33"/>
      <c r="E35" s="33"/>
      <c r="F35" s="33"/>
      <c r="G35" s="33"/>
      <c r="H35" s="33"/>
      <c r="I35" s="33"/>
      <c r="J35" s="33"/>
      <c r="K35" s="33"/>
      <c r="L35" s="70" t="s">
        <v>270</v>
      </c>
      <c r="M35" s="33"/>
      <c r="N35" s="33"/>
      <c r="O35" s="33"/>
      <c r="P35" s="33"/>
      <c r="Q35" s="33"/>
      <c r="R35" s="33"/>
      <c r="S35" s="33"/>
      <c r="T35" s="33"/>
    </row>
    <row r="36" spans="1:20" x14ac:dyDescent="0.25">
      <c r="A36" s="33"/>
      <c r="B36" s="33" t="s">
        <v>271</v>
      </c>
      <c r="C36" s="33"/>
      <c r="D36" s="33"/>
      <c r="E36" s="33"/>
      <c r="F36" s="33"/>
      <c r="G36" s="33"/>
      <c r="H36" s="33"/>
      <c r="I36" s="33"/>
      <c r="J36" s="33"/>
      <c r="K36" s="33"/>
      <c r="L36" s="70" t="s">
        <v>272</v>
      </c>
      <c r="M36" s="33"/>
      <c r="N36" s="33"/>
      <c r="O36" s="33"/>
      <c r="P36" s="33"/>
      <c r="Q36" s="33"/>
      <c r="R36" s="33"/>
      <c r="S36" s="33"/>
      <c r="T36" s="33"/>
    </row>
    <row r="37" spans="1:20" x14ac:dyDescent="0.25">
      <c r="A37" s="33"/>
      <c r="B37" s="33" t="s">
        <v>273</v>
      </c>
      <c r="C37" s="53"/>
      <c r="D37" s="53"/>
      <c r="E37" s="53"/>
      <c r="F37" s="53"/>
      <c r="G37" s="53"/>
      <c r="H37" s="33"/>
      <c r="I37" s="92"/>
      <c r="J37" s="92"/>
      <c r="K37" s="33"/>
      <c r="L37" s="70" t="s">
        <v>274</v>
      </c>
      <c r="M37" s="33"/>
      <c r="N37" s="33"/>
      <c r="O37" s="33"/>
      <c r="P37" s="33"/>
      <c r="Q37" s="33"/>
      <c r="R37" s="33"/>
      <c r="S37" s="33"/>
      <c r="T37" s="33"/>
    </row>
    <row r="38" spans="1:20" x14ac:dyDescent="0.25">
      <c r="A38" s="33"/>
      <c r="B38" s="33" t="s">
        <v>275</v>
      </c>
      <c r="C38" s="93"/>
      <c r="D38" s="94"/>
      <c r="E38" s="93"/>
      <c r="F38" s="93"/>
      <c r="G38" s="93"/>
      <c r="H38" s="33"/>
      <c r="I38" s="92"/>
      <c r="J38" s="92"/>
      <c r="K38" s="33"/>
      <c r="L38" s="70" t="s">
        <v>276</v>
      </c>
      <c r="M38" s="33"/>
      <c r="N38" s="33"/>
      <c r="O38" s="33"/>
      <c r="P38" s="33"/>
      <c r="Q38" s="33"/>
      <c r="R38" s="33"/>
      <c r="S38" s="33"/>
      <c r="T38" s="33"/>
    </row>
    <row r="39" spans="1:20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</row>
    <row r="40" spans="1:20" x14ac:dyDescent="0.25">
      <c r="A40" s="85" t="s">
        <v>146</v>
      </c>
      <c r="B40" s="86" t="s">
        <v>277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</row>
    <row r="41" spans="1:20" x14ac:dyDescent="0.25">
      <c r="A41" s="33"/>
      <c r="B41" s="33" t="s">
        <v>278</v>
      </c>
      <c r="C41" s="95"/>
      <c r="D41" s="95"/>
      <c r="E41" s="95"/>
      <c r="F41" s="95"/>
      <c r="G41" s="95"/>
      <c r="H41" s="33"/>
      <c r="I41" s="95"/>
      <c r="J41" s="95"/>
      <c r="K41" s="33"/>
      <c r="L41" s="70" t="s">
        <v>279</v>
      </c>
      <c r="M41" s="33"/>
      <c r="N41" s="33"/>
      <c r="O41" s="33"/>
      <c r="P41" s="33"/>
      <c r="Q41" s="33"/>
      <c r="R41" s="33"/>
      <c r="S41" s="33"/>
      <c r="T41" s="33"/>
    </row>
    <row r="42" spans="1:20" x14ac:dyDescent="0.25">
      <c r="A42" s="33"/>
      <c r="B42" s="33" t="s">
        <v>280</v>
      </c>
      <c r="C42" s="95"/>
      <c r="D42" s="95"/>
      <c r="E42" s="95"/>
      <c r="F42" s="95"/>
      <c r="G42" s="95"/>
      <c r="H42" s="33"/>
      <c r="I42" s="95"/>
      <c r="J42" s="95"/>
      <c r="K42" s="33"/>
      <c r="L42" s="70" t="s">
        <v>281</v>
      </c>
      <c r="M42" s="33"/>
      <c r="N42" s="33"/>
      <c r="O42" s="33"/>
      <c r="P42" s="33"/>
      <c r="Q42" s="33"/>
      <c r="R42" s="33"/>
      <c r="S42" s="33"/>
      <c r="T42" s="33"/>
    </row>
    <row r="43" spans="1:20" x14ac:dyDescent="0.25">
      <c r="A43" s="33"/>
      <c r="B43" s="33" t="s">
        <v>282</v>
      </c>
      <c r="C43" s="33"/>
      <c r="D43" s="33"/>
      <c r="E43" s="33"/>
      <c r="F43" s="33"/>
      <c r="G43" s="33"/>
      <c r="H43" s="33"/>
      <c r="I43" s="33"/>
      <c r="J43" s="33"/>
      <c r="K43" s="33"/>
      <c r="L43" s="70" t="s">
        <v>283</v>
      </c>
      <c r="M43" s="33"/>
      <c r="N43" s="33"/>
      <c r="O43" s="33"/>
      <c r="P43" s="33"/>
      <c r="Q43" s="33"/>
      <c r="R43" s="33"/>
      <c r="S43" s="33"/>
      <c r="T43" s="33"/>
    </row>
    <row r="44" spans="1:20" x14ac:dyDescent="0.25">
      <c r="A44" s="33"/>
      <c r="B44" s="33" t="s">
        <v>284</v>
      </c>
      <c r="C44" s="33"/>
      <c r="D44" s="33"/>
      <c r="E44" s="33"/>
      <c r="F44" s="33"/>
      <c r="G44" s="33"/>
      <c r="H44" s="33"/>
      <c r="I44" s="33"/>
      <c r="J44" s="33"/>
      <c r="K44" s="33"/>
      <c r="L44" s="70" t="s">
        <v>285</v>
      </c>
      <c r="M44" s="33"/>
      <c r="N44" s="33"/>
      <c r="O44" s="33"/>
      <c r="P44" s="33"/>
      <c r="Q44" s="33"/>
      <c r="R44" s="33"/>
      <c r="S44" s="33"/>
      <c r="T44" s="33"/>
    </row>
    <row r="45" spans="1:20" x14ac:dyDescent="0.25">
      <c r="A45" s="33"/>
      <c r="B45" s="33" t="s">
        <v>286</v>
      </c>
      <c r="C45" s="33"/>
      <c r="D45" s="33"/>
      <c r="E45" s="33"/>
      <c r="F45" s="33"/>
      <c r="G45" s="33"/>
      <c r="H45" s="33"/>
      <c r="I45" s="33"/>
      <c r="J45" s="33"/>
      <c r="K45" s="33"/>
      <c r="L45" s="70" t="s">
        <v>287</v>
      </c>
      <c r="M45" s="33"/>
      <c r="N45" s="33"/>
      <c r="O45" s="33"/>
      <c r="P45" s="33"/>
      <c r="Q45" s="33"/>
      <c r="R45" s="33"/>
      <c r="S45" s="33"/>
      <c r="T45" s="33"/>
    </row>
    <row r="46" spans="1:20" x14ac:dyDescent="0.25">
      <c r="A46" s="33"/>
      <c r="B46" s="33" t="s">
        <v>288</v>
      </c>
      <c r="C46" s="33"/>
      <c r="D46" s="33"/>
      <c r="E46" s="33"/>
      <c r="F46" s="33"/>
      <c r="G46" s="33"/>
      <c r="H46" s="33"/>
      <c r="I46" s="33"/>
      <c r="J46" s="33"/>
      <c r="K46" s="33"/>
      <c r="L46" s="70" t="s">
        <v>289</v>
      </c>
      <c r="M46" s="33"/>
      <c r="N46" s="33"/>
      <c r="O46" s="33"/>
      <c r="P46" s="33"/>
      <c r="Q46" s="33"/>
      <c r="R46" s="33"/>
      <c r="S46" s="33"/>
      <c r="T46" s="33"/>
    </row>
    <row r="47" spans="1:20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</row>
    <row r="48" spans="1:20" x14ac:dyDescent="0.25">
      <c r="A48" s="85" t="s">
        <v>146</v>
      </c>
      <c r="B48" s="86" t="s">
        <v>290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</row>
    <row r="49" spans="1:20" x14ac:dyDescent="0.25">
      <c r="A49" s="33"/>
      <c r="B49" s="86" t="s">
        <v>291</v>
      </c>
      <c r="C49" s="69"/>
      <c r="D49" s="69"/>
      <c r="E49" s="69"/>
      <c r="F49" s="69"/>
      <c r="G49" s="69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x14ac:dyDescent="0.25">
      <c r="A50" s="33"/>
      <c r="B50" s="33" t="s">
        <v>292</v>
      </c>
      <c r="C50" s="95"/>
      <c r="D50" s="95"/>
      <c r="E50" s="95"/>
      <c r="F50" s="95"/>
      <c r="G50" s="95"/>
      <c r="H50" s="33"/>
      <c r="I50" s="95"/>
      <c r="J50" s="95"/>
      <c r="K50" s="33"/>
      <c r="L50" s="70" t="s">
        <v>293</v>
      </c>
      <c r="M50" s="33"/>
      <c r="N50" s="33"/>
      <c r="O50" s="33"/>
      <c r="P50" s="33"/>
      <c r="Q50" s="33"/>
      <c r="R50" s="33"/>
      <c r="S50" s="33"/>
      <c r="T50" s="33"/>
    </row>
    <row r="51" spans="1:20" x14ac:dyDescent="0.25">
      <c r="A51" s="33"/>
      <c r="B51" s="33" t="s">
        <v>294</v>
      </c>
      <c r="C51" s="95"/>
      <c r="D51" s="95"/>
      <c r="E51" s="95"/>
      <c r="F51" s="95"/>
      <c r="G51" s="95"/>
      <c r="H51" s="33"/>
      <c r="I51" s="95"/>
      <c r="J51" s="95"/>
      <c r="K51" s="33"/>
      <c r="L51" s="70" t="s">
        <v>295</v>
      </c>
      <c r="M51" s="33"/>
      <c r="N51" s="33"/>
      <c r="O51" s="33"/>
      <c r="P51" s="33"/>
      <c r="Q51" s="33"/>
      <c r="R51" s="33"/>
      <c r="S51" s="33"/>
      <c r="T51" s="33"/>
    </row>
    <row r="52" spans="1:20" x14ac:dyDescent="0.25">
      <c r="A52" s="33"/>
      <c r="B52" s="33" t="s">
        <v>296</v>
      </c>
      <c r="C52" s="95"/>
      <c r="D52" s="95"/>
      <c r="E52" s="95"/>
      <c r="F52" s="95"/>
      <c r="G52" s="95"/>
      <c r="H52" s="33"/>
      <c r="I52" s="95"/>
      <c r="J52" s="95"/>
      <c r="K52" s="33"/>
      <c r="L52" s="70" t="s">
        <v>297</v>
      </c>
      <c r="M52" s="33"/>
      <c r="N52" s="33"/>
      <c r="O52" s="33"/>
      <c r="P52" s="33"/>
      <c r="Q52" s="33"/>
      <c r="R52" s="33"/>
      <c r="S52" s="33"/>
      <c r="T52" s="33"/>
    </row>
    <row r="53" spans="1:20" x14ac:dyDescent="0.25">
      <c r="A53" s="33"/>
      <c r="B53" s="33" t="s">
        <v>298</v>
      </c>
      <c r="C53" s="95"/>
      <c r="D53" s="95"/>
      <c r="E53" s="95"/>
      <c r="F53" s="95"/>
      <c r="G53" s="95"/>
      <c r="H53" s="33"/>
      <c r="I53" s="95"/>
      <c r="J53" s="95"/>
      <c r="K53" s="33"/>
      <c r="L53" s="70" t="s">
        <v>299</v>
      </c>
      <c r="M53" s="33"/>
      <c r="N53" s="33"/>
      <c r="O53" s="33"/>
      <c r="P53" s="33"/>
      <c r="Q53" s="33"/>
      <c r="R53" s="33"/>
      <c r="S53" s="33"/>
      <c r="T53" s="33"/>
    </row>
    <row r="54" spans="1:20" x14ac:dyDescent="0.25">
      <c r="A54" s="33"/>
      <c r="B54" s="33" t="s">
        <v>300</v>
      </c>
      <c r="C54" s="95"/>
      <c r="D54" s="95"/>
      <c r="E54" s="95"/>
      <c r="F54" s="95"/>
      <c r="G54" s="95"/>
      <c r="H54" s="33"/>
      <c r="I54" s="95"/>
      <c r="J54" s="95"/>
      <c r="K54" s="33"/>
      <c r="L54" s="70" t="s">
        <v>301</v>
      </c>
      <c r="M54" s="33"/>
      <c r="N54" s="33"/>
      <c r="O54" s="33"/>
      <c r="P54" s="33"/>
      <c r="Q54" s="33"/>
      <c r="R54" s="33"/>
      <c r="S54" s="33"/>
      <c r="T54" s="33"/>
    </row>
    <row r="55" spans="1:20" x14ac:dyDescent="0.25">
      <c r="A55" s="33"/>
      <c r="B55" s="33" t="s">
        <v>302</v>
      </c>
      <c r="C55" s="95"/>
      <c r="D55" s="95"/>
      <c r="E55" s="95"/>
      <c r="F55" s="95"/>
      <c r="G55" s="95"/>
      <c r="H55" s="33"/>
      <c r="I55" s="95"/>
      <c r="J55" s="95"/>
      <c r="K55" s="33"/>
      <c r="L55" s="70" t="s">
        <v>303</v>
      </c>
      <c r="M55" s="33"/>
      <c r="N55" s="33"/>
      <c r="O55" s="33"/>
      <c r="P55" s="33"/>
      <c r="Q55" s="33"/>
      <c r="R55" s="33"/>
      <c r="S55" s="33"/>
      <c r="T55" s="33"/>
    </row>
    <row r="56" spans="1:20" x14ac:dyDescent="0.25">
      <c r="A56" s="33"/>
      <c r="B56" s="86" t="s">
        <v>304</v>
      </c>
      <c r="C56" s="33"/>
      <c r="D56" s="33"/>
      <c r="E56" s="33"/>
      <c r="F56" s="33"/>
      <c r="G56" s="33"/>
      <c r="H56" s="33"/>
      <c r="I56" s="95"/>
      <c r="J56" s="95"/>
      <c r="K56" s="33"/>
      <c r="L56" s="33"/>
      <c r="M56" s="33"/>
      <c r="N56" s="33"/>
      <c r="O56" s="33"/>
      <c r="P56" s="33"/>
      <c r="Q56" s="33"/>
      <c r="R56" s="33"/>
      <c r="S56" s="33"/>
      <c r="T56" s="33"/>
    </row>
    <row r="57" spans="1:20" x14ac:dyDescent="0.25">
      <c r="A57" s="33"/>
      <c r="B57" s="33" t="s">
        <v>305</v>
      </c>
      <c r="C57" s="95"/>
      <c r="D57" s="95"/>
      <c r="E57" s="95"/>
      <c r="F57" s="95"/>
      <c r="G57" s="95"/>
      <c r="H57" s="33"/>
      <c r="I57" s="95"/>
      <c r="J57" s="95"/>
      <c r="K57" s="33"/>
      <c r="L57" s="70" t="s">
        <v>306</v>
      </c>
      <c r="M57" s="33"/>
      <c r="N57" s="33"/>
      <c r="O57" s="33"/>
      <c r="P57" s="33"/>
      <c r="Q57" s="33"/>
      <c r="R57" s="33"/>
      <c r="S57" s="33"/>
      <c r="T57" s="33"/>
    </row>
    <row r="58" spans="1:20" x14ac:dyDescent="0.25">
      <c r="A58" s="33"/>
      <c r="B58" s="33" t="s">
        <v>307</v>
      </c>
      <c r="C58" s="95"/>
      <c r="D58" s="95"/>
      <c r="E58" s="95"/>
      <c r="F58" s="95"/>
      <c r="G58" s="95"/>
      <c r="H58" s="33"/>
      <c r="I58" s="95"/>
      <c r="J58" s="95"/>
      <c r="K58" s="33"/>
      <c r="L58" s="70" t="s">
        <v>308</v>
      </c>
      <c r="M58" s="33"/>
      <c r="N58" s="33"/>
      <c r="O58" s="33"/>
      <c r="P58" s="33"/>
      <c r="Q58" s="33"/>
      <c r="R58" s="33"/>
      <c r="S58" s="33"/>
      <c r="T58" s="33"/>
    </row>
    <row r="59" spans="1:20" x14ac:dyDescent="0.25">
      <c r="A59" s="33"/>
      <c r="B59" s="33" t="s">
        <v>309</v>
      </c>
      <c r="C59" s="95"/>
      <c r="D59" s="95"/>
      <c r="E59" s="95"/>
      <c r="F59" s="95"/>
      <c r="G59" s="95"/>
      <c r="H59" s="33"/>
      <c r="I59" s="95"/>
      <c r="J59" s="95"/>
      <c r="K59" s="33"/>
      <c r="L59" s="70" t="s">
        <v>310</v>
      </c>
      <c r="M59" s="33"/>
      <c r="N59" s="33"/>
      <c r="O59" s="33"/>
      <c r="P59" s="33"/>
      <c r="Q59" s="33"/>
      <c r="R59" s="33"/>
      <c r="S59" s="33"/>
      <c r="T59" s="33"/>
    </row>
    <row r="60" spans="1:20" x14ac:dyDescent="0.25">
      <c r="A60" s="33"/>
      <c r="B60" s="33" t="s">
        <v>311</v>
      </c>
      <c r="C60" s="95"/>
      <c r="D60" s="95"/>
      <c r="E60" s="95"/>
      <c r="F60" s="95"/>
      <c r="G60" s="95"/>
      <c r="H60" s="33"/>
      <c r="I60" s="95"/>
      <c r="J60" s="95"/>
      <c r="K60" s="33"/>
      <c r="L60" s="70" t="s">
        <v>312</v>
      </c>
      <c r="M60" s="33"/>
      <c r="N60" s="33"/>
      <c r="O60" s="33"/>
      <c r="P60" s="33"/>
      <c r="Q60" s="33"/>
      <c r="R60" s="33"/>
      <c r="S60" s="33"/>
      <c r="T60" s="33"/>
    </row>
    <row r="61" spans="1:20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</row>
    <row r="62" spans="1:20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</row>
  </sheetData>
  <hyperlinks>
    <hyperlink ref="A1" location="Main!A1" display="Main" xr:uid="{5934CDAB-6576-4A28-8231-029B9362BCA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02E1-B98F-42F3-80EE-4B91701F1FE7}">
  <dimension ref="A1:AG253"/>
  <sheetViews>
    <sheetView showGridLines="0" workbookViewId="0"/>
  </sheetViews>
  <sheetFormatPr defaultRowHeight="13.5" x14ac:dyDescent="0.25"/>
  <cols>
    <col min="1" max="1" width="4.7109375" style="34" bestFit="1" customWidth="1"/>
    <col min="2" max="16384" width="9.140625" style="34"/>
  </cols>
  <sheetData>
    <row r="1" spans="1:33" x14ac:dyDescent="0.25">
      <c r="A1" s="84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 x14ac:dyDescent="0.25">
      <c r="A3" s="33"/>
      <c r="B3" s="43" t="s">
        <v>188</v>
      </c>
      <c r="C3" s="43"/>
      <c r="D3" s="43"/>
      <c r="E3" s="43"/>
      <c r="F3" s="4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 x14ac:dyDescent="0.25">
      <c r="A4" s="85" t="s">
        <v>146</v>
      </c>
      <c r="B4" s="86" t="s">
        <v>189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 x14ac:dyDescent="0.25">
      <c r="A5" s="33"/>
      <c r="B5" s="86" t="s">
        <v>190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x14ac:dyDescent="0.25">
      <c r="A6" s="33"/>
      <c r="B6" s="33" t="s">
        <v>191</v>
      </c>
      <c r="C6" s="33"/>
      <c r="D6" s="33"/>
      <c r="E6" s="33"/>
      <c r="F6" s="33"/>
      <c r="G6" s="33"/>
      <c r="H6" s="70" t="s">
        <v>192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 x14ac:dyDescent="0.25">
      <c r="A7" s="33"/>
      <c r="B7" s="33" t="s">
        <v>193</v>
      </c>
      <c r="C7" s="33"/>
      <c r="D7" s="33"/>
      <c r="E7" s="33"/>
      <c r="F7" s="33"/>
      <c r="G7" s="33"/>
      <c r="H7" s="70" t="s">
        <v>194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3" x14ac:dyDescent="0.25">
      <c r="A8" s="33"/>
      <c r="B8" s="33" t="s">
        <v>190</v>
      </c>
      <c r="C8" s="33"/>
      <c r="D8" s="33"/>
      <c r="E8" s="33"/>
      <c r="F8" s="33">
        <f>F6+F7</f>
        <v>0</v>
      </c>
      <c r="G8" s="33"/>
      <c r="H8" s="70" t="s">
        <v>195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3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1:33" x14ac:dyDescent="0.25">
      <c r="A10" s="85" t="s">
        <v>146</v>
      </c>
      <c r="B10" s="86" t="s">
        <v>196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 x14ac:dyDescent="0.25">
      <c r="A11" s="33"/>
      <c r="B11" s="33" t="s">
        <v>197</v>
      </c>
      <c r="C11" s="33"/>
      <c r="D11" s="33"/>
      <c r="E11" s="33"/>
      <c r="F11" s="33"/>
      <c r="G11" s="33"/>
      <c r="H11" s="70" t="s">
        <v>198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 x14ac:dyDescent="0.25">
      <c r="A12" s="33"/>
      <c r="B12" s="33" t="s">
        <v>199</v>
      </c>
      <c r="C12" s="33"/>
      <c r="D12" s="33"/>
      <c r="E12" s="33"/>
      <c r="F12" s="33"/>
      <c r="G12" s="33"/>
      <c r="H12" s="70" t="s">
        <v>200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 x14ac:dyDescent="0.25">
      <c r="A13" s="33"/>
      <c r="B13" s="33" t="s">
        <v>201</v>
      </c>
      <c r="C13" s="33"/>
      <c r="D13" s="33"/>
      <c r="E13" s="33"/>
      <c r="F13" s="33"/>
      <c r="G13" s="33"/>
      <c r="H13" s="70" t="s">
        <v>202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 x14ac:dyDescent="0.25">
      <c r="A14" s="33"/>
      <c r="B14" s="33" t="s">
        <v>203</v>
      </c>
      <c r="C14" s="33"/>
      <c r="D14" s="33"/>
      <c r="E14" s="33"/>
      <c r="F14" s="33"/>
      <c r="G14" s="33"/>
      <c r="H14" s="70" t="s">
        <v>204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 x14ac:dyDescent="0.25">
      <c r="A15" s="33"/>
      <c r="B15" s="33" t="s">
        <v>205</v>
      </c>
      <c r="C15" s="33"/>
      <c r="D15" s="33"/>
      <c r="E15" s="33"/>
      <c r="F15" s="33"/>
      <c r="G15" s="33"/>
      <c r="H15" s="70" t="s">
        <v>206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 x14ac:dyDescent="0.25">
      <c r="A17" s="85" t="s">
        <v>146</v>
      </c>
      <c r="B17" s="86" t="s">
        <v>207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 x14ac:dyDescent="0.25">
      <c r="A18" s="33"/>
      <c r="B18" s="33" t="s">
        <v>208</v>
      </c>
      <c r="C18" s="33"/>
      <c r="D18" s="33"/>
      <c r="E18" s="33"/>
      <c r="F18" s="33"/>
      <c r="G18" s="33"/>
      <c r="H18" s="70" t="s">
        <v>209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 x14ac:dyDescent="0.25">
      <c r="A19" s="33"/>
      <c r="B19" s="33" t="s">
        <v>190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 x14ac:dyDescent="0.25">
      <c r="A20" s="33"/>
      <c r="B20" s="33" t="s">
        <v>207</v>
      </c>
      <c r="C20" s="33"/>
      <c r="D20" s="33"/>
      <c r="E20" s="33"/>
      <c r="F20" s="33">
        <f>F18-F19</f>
        <v>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 x14ac:dyDescent="0.25">
      <c r="A22" s="85" t="s">
        <v>146</v>
      </c>
      <c r="B22" s="87" t="s">
        <v>189</v>
      </c>
      <c r="C22" s="73"/>
      <c r="D22" s="73"/>
      <c r="E22" s="73"/>
      <c r="F22" s="88">
        <f>F8+F15*F20</f>
        <v>0</v>
      </c>
      <c r="G22" s="33"/>
      <c r="H22" s="70" t="s">
        <v>210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x14ac:dyDescent="0.25">
      <c r="A25" s="85" t="s">
        <v>146</v>
      </c>
      <c r="B25" s="86" t="s">
        <v>211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x14ac:dyDescent="0.25">
      <c r="A26" s="33"/>
      <c r="B26" s="33" t="s">
        <v>212</v>
      </c>
      <c r="C26" s="33"/>
      <c r="D26" s="33"/>
      <c r="E26" s="33"/>
      <c r="F26" s="33"/>
      <c r="G26" s="33"/>
      <c r="H26" s="70" t="s">
        <v>213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x14ac:dyDescent="0.25">
      <c r="A27" s="33"/>
      <c r="B27" s="33" t="s">
        <v>214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x14ac:dyDescent="0.25">
      <c r="A28" s="33"/>
      <c r="B28" s="33" t="s">
        <v>190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x14ac:dyDescent="0.25">
      <c r="A29" s="33"/>
      <c r="B29" s="33" t="s">
        <v>215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 x14ac:dyDescent="0.25">
      <c r="A30" s="33"/>
      <c r="B30" s="33" t="s">
        <v>216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 x14ac:dyDescent="0.25">
      <c r="A32" s="85" t="s">
        <v>146</v>
      </c>
      <c r="B32" s="87" t="s">
        <v>211</v>
      </c>
      <c r="C32" s="73"/>
      <c r="D32" s="73"/>
      <c r="E32" s="73"/>
      <c r="F32" s="88">
        <f>F28+F29+F30</f>
        <v>0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 x14ac:dyDescent="0.25">
      <c r="A34" s="85" t="s">
        <v>146</v>
      </c>
      <c r="B34" s="86" t="s">
        <v>217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 x14ac:dyDescent="0.25">
      <c r="A35" s="33"/>
      <c r="B35" s="33" t="s">
        <v>218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 x14ac:dyDescent="0.25">
      <c r="A36" s="33"/>
      <c r="B36" s="33" t="s">
        <v>219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 x14ac:dyDescent="0.25">
      <c r="A37" s="33"/>
      <c r="B37" s="33" t="s">
        <v>220</v>
      </c>
      <c r="C37" s="33"/>
      <c r="D37" s="33"/>
      <c r="E37" s="33"/>
      <c r="F37" s="33">
        <f>F35+F36</f>
        <v>0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 x14ac:dyDescent="0.25">
      <c r="A39" s="33"/>
      <c r="B39" s="33" t="s">
        <v>221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spans="1:33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 x14ac:dyDescent="0.25">
      <c r="A41" s="85" t="s">
        <v>146</v>
      </c>
      <c r="B41" s="87" t="s">
        <v>156</v>
      </c>
      <c r="C41" s="73"/>
      <c r="D41" s="73"/>
      <c r="E41" s="73"/>
      <c r="F41" s="88" t="e">
        <f>(F32*(F35/F37)*(1-F39))+((F36/F38)*F22)</f>
        <v>#DIV/0!</v>
      </c>
      <c r="G41" s="33"/>
      <c r="H41" s="70" t="s">
        <v>222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spans="1:33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 x14ac:dyDescent="0.25">
      <c r="A47" s="33"/>
      <c r="B47" s="33"/>
      <c r="C47" s="33"/>
      <c r="D47" s="33"/>
      <c r="E47" s="33"/>
      <c r="F47" s="33"/>
      <c r="G47" s="33"/>
      <c r="H47" s="33"/>
      <c r="I47" s="33" t="e">
        <f>SLOPE(H48:H52,K48:K52)</f>
        <v>#DIV/0!</v>
      </c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 x14ac:dyDescent="0.25">
      <c r="A48" s="33"/>
      <c r="B48" s="33"/>
      <c r="C48" s="33"/>
      <c r="D48" s="33"/>
      <c r="E48" s="33"/>
      <c r="F48" s="33"/>
      <c r="G48" s="33"/>
      <c r="H48" s="33" t="s">
        <v>223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spans="1:33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3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spans="1:33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3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3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3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3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3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3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3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3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3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spans="1:33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3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spans="1:33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spans="1:33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spans="1:33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spans="1:33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spans="1:33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spans="1:33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spans="1:33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spans="1:33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spans="1:33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spans="1:33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spans="1:33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spans="1:33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spans="1:33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spans="1:33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spans="1:33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spans="1:33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spans="1:33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spans="1:33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spans="1:33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spans="1:33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spans="1:33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spans="1:33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spans="1:33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spans="1:33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spans="1:33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spans="1:33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spans="1:33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spans="1:33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spans="1:33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spans="1:33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spans="1:33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spans="1:33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spans="1:33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spans="1:33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spans="1:33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spans="1:33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spans="1:33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spans="1:33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spans="1:33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spans="1:33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spans="1:33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spans="1:33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spans="1:33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spans="1:33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spans="1:33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spans="1:33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spans="1:33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spans="1:33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spans="1:33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spans="1:33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spans="1:33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spans="1:33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spans="1:33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spans="1:33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spans="1:33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spans="1:33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spans="1:33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spans="1:33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spans="1:33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spans="1:33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spans="1:33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spans="1:33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spans="1:33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spans="1:33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spans="1:33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spans="1:33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spans="1:33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spans="1:33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spans="1:33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spans="1:33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spans="1:33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spans="1:33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spans="1:33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spans="1:33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spans="1:33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spans="1:33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spans="1:33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spans="1:33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spans="1:33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spans="1:33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spans="1:33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spans="1:33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spans="1:33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spans="1:33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spans="1:33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spans="1:33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spans="1:33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spans="1:33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spans="1:33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spans="1:33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spans="1:33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spans="1:33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spans="1:33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spans="1:33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spans="1:33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spans="1:33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spans="1:33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spans="1:33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spans="1:33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spans="1:33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spans="1:33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spans="1:33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spans="1:33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spans="1:33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spans="1:33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spans="1:33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spans="1:33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spans="1:33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spans="1:33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spans="1:33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spans="1:33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spans="1:33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spans="1:33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spans="1:33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spans="1:33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spans="1:33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spans="1:33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spans="1:33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spans="1:33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spans="1:33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spans="1:33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spans="1:33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spans="1:33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spans="1:33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spans="1:33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spans="1:33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spans="1:33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spans="1:33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spans="1:33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spans="1:33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spans="1:33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spans="1:33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spans="1:33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spans="1:33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3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3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spans="1:33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spans="1:33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spans="1:33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spans="1:33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spans="1:33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spans="1:33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spans="1:33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spans="1:33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spans="1:33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spans="1:33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spans="1:33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spans="1:33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spans="1:33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spans="1:33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spans="1:33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spans="1:33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spans="1:33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spans="1:33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spans="1:33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spans="1:33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spans="1:33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spans="1:33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spans="1:33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spans="1:33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spans="1:33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spans="1:33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spans="1:33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spans="1:33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spans="1:33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spans="1:33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spans="1:33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spans="1:33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spans="1:33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spans="1:33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spans="1:33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spans="1:33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spans="1:33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spans="1:33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spans="1:33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spans="1:33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spans="1:33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spans="1:33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spans="1:33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spans="1:33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spans="1:33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</sheetData>
  <hyperlinks>
    <hyperlink ref="A1" location="Main!A1" display="Main" xr:uid="{6CB2DF88-A285-4477-8E9A-8CF1CEAE37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4AF0-A9C6-4796-BADD-A75AD4DB9A87}">
  <dimension ref="A1:AQ360"/>
  <sheetViews>
    <sheetView showGridLines="0" workbookViewId="0">
      <selection activeCell="J19" sqref="J19"/>
    </sheetView>
  </sheetViews>
  <sheetFormatPr defaultRowHeight="13.5" x14ac:dyDescent="0.25"/>
  <cols>
    <col min="1" max="1" width="4.7109375" style="34" bestFit="1" customWidth="1"/>
    <col min="2" max="2" width="9.140625" style="34"/>
    <col min="3" max="3" width="9.28515625" style="34" bestFit="1" customWidth="1"/>
    <col min="4" max="4" width="9.140625" style="34"/>
    <col min="5" max="5" width="11.28515625" style="34" bestFit="1" customWidth="1"/>
    <col min="6" max="6" width="9.140625" style="34"/>
    <col min="7" max="22" width="9.28515625" style="34" bestFit="1" customWidth="1"/>
    <col min="23" max="16384" width="9.140625" style="34"/>
  </cols>
  <sheetData>
    <row r="1" spans="1:43" x14ac:dyDescent="0.25">
      <c r="A1" s="30" t="s">
        <v>8</v>
      </c>
      <c r="B1" s="31" t="s">
        <v>138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3"/>
      <c r="AQ1" s="33"/>
    </row>
    <row r="2" spans="1:43" x14ac:dyDescent="0.25">
      <c r="A2" s="33"/>
      <c r="B2" s="33"/>
      <c r="C2" s="33"/>
      <c r="D2" s="33"/>
      <c r="E2" s="3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</row>
    <row r="3" spans="1:43" x14ac:dyDescent="0.25">
      <c r="A3" s="33"/>
      <c r="B3" s="33" t="s">
        <v>139</v>
      </c>
      <c r="C3" s="33"/>
      <c r="D3" s="33"/>
      <c r="E3" s="96" t="s">
        <v>50</v>
      </c>
      <c r="F3" s="33"/>
      <c r="G3" s="33" t="s">
        <v>140</v>
      </c>
      <c r="H3" s="33"/>
      <c r="I3" s="33"/>
      <c r="J3" s="36">
        <f>+Main!H2</f>
        <v>59.96</v>
      </c>
      <c r="K3" s="33"/>
      <c r="L3" s="33" t="s">
        <v>140</v>
      </c>
      <c r="M3" s="33"/>
      <c r="N3" s="33"/>
      <c r="O3" s="36">
        <f>+J3</f>
        <v>59.96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</row>
    <row r="4" spans="1:43" x14ac:dyDescent="0.25">
      <c r="A4" s="33"/>
      <c r="B4" s="33" t="s">
        <v>141</v>
      </c>
      <c r="C4" s="33"/>
      <c r="D4" s="33"/>
      <c r="E4" s="37">
        <f ca="1">+TODAY()</f>
        <v>46227</v>
      </c>
      <c r="F4" s="33"/>
      <c r="G4" s="33" t="s">
        <v>142</v>
      </c>
      <c r="H4" s="33"/>
      <c r="I4" s="33"/>
      <c r="J4" s="38">
        <f ca="1">V62</f>
        <v>58.626233023309958</v>
      </c>
      <c r="K4" s="33"/>
      <c r="L4" s="33" t="s">
        <v>143</v>
      </c>
      <c r="M4" s="33"/>
      <c r="N4" s="33"/>
      <c r="O4" s="39">
        <f>+J15+O15+T15</f>
        <v>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</row>
    <row r="5" spans="1:43" x14ac:dyDescent="0.25">
      <c r="A5" s="33"/>
      <c r="B5" s="33" t="s">
        <v>144</v>
      </c>
      <c r="C5" s="33"/>
      <c r="D5" s="33"/>
      <c r="E5" s="97">
        <v>46022</v>
      </c>
      <c r="F5" s="33"/>
      <c r="G5" s="33" t="s">
        <v>145</v>
      </c>
      <c r="H5" s="33"/>
      <c r="I5" s="33"/>
      <c r="J5" s="41">
        <f ca="1">J4/J3-1</f>
        <v>-2.2244279130921307E-2</v>
      </c>
      <c r="K5" s="33"/>
      <c r="L5" s="33" t="s">
        <v>145</v>
      </c>
      <c r="M5" s="33"/>
      <c r="N5" s="33"/>
      <c r="O5" s="41">
        <f>O4/O3-1</f>
        <v>-1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</row>
    <row r="6" spans="1:43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</row>
    <row r="7" spans="1:43" x14ac:dyDescent="0.25">
      <c r="A7" s="42" t="s">
        <v>146</v>
      </c>
      <c r="B7" s="43" t="s">
        <v>147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43" ht="5.0999999999999996" customHeight="1" x14ac:dyDescent="0.25">
      <c r="A8" s="4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</row>
    <row r="9" spans="1:43" x14ac:dyDescent="0.25">
      <c r="A9" s="42"/>
      <c r="B9" s="44" t="s">
        <v>148</v>
      </c>
      <c r="C9" s="45"/>
      <c r="D9" s="45"/>
      <c r="E9" s="45"/>
      <c r="F9" s="33"/>
      <c r="G9" s="44" t="s">
        <v>149</v>
      </c>
      <c r="H9" s="44"/>
      <c r="I9" s="45"/>
      <c r="J9" s="45"/>
      <c r="K9" s="33"/>
      <c r="L9" s="44" t="s">
        <v>150</v>
      </c>
      <c r="M9" s="45"/>
      <c r="N9" s="45"/>
      <c r="O9" s="45"/>
      <c r="P9" s="33"/>
      <c r="Q9" s="44" t="s">
        <v>151</v>
      </c>
      <c r="R9" s="45"/>
      <c r="S9" s="45"/>
      <c r="T9" s="45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</row>
    <row r="10" spans="1:43" x14ac:dyDescent="0.25">
      <c r="A10" s="42"/>
      <c r="B10" s="29" t="s">
        <v>147</v>
      </c>
      <c r="C10" s="33"/>
      <c r="D10" s="33"/>
      <c r="E10" s="33"/>
      <c r="F10" s="33"/>
      <c r="G10" s="29" t="s">
        <v>147</v>
      </c>
      <c r="H10" s="29"/>
      <c r="I10" s="29" t="s">
        <v>152</v>
      </c>
      <c r="J10" s="29" t="s">
        <v>153</v>
      </c>
      <c r="K10" s="33"/>
      <c r="L10" s="29" t="s">
        <v>147</v>
      </c>
      <c r="M10" s="33"/>
      <c r="N10" s="29" t="s">
        <v>152</v>
      </c>
      <c r="O10" s="29" t="s">
        <v>153</v>
      </c>
      <c r="P10" s="33"/>
      <c r="Q10" s="29" t="s">
        <v>147</v>
      </c>
      <c r="R10" s="33"/>
      <c r="S10" s="29" t="s">
        <v>152</v>
      </c>
      <c r="T10" s="29" t="s">
        <v>153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</row>
    <row r="11" spans="1:43" x14ac:dyDescent="0.25">
      <c r="A11" s="33"/>
      <c r="B11" s="33" t="s">
        <v>21</v>
      </c>
      <c r="C11" s="33"/>
      <c r="D11" s="33"/>
      <c r="E11" s="40">
        <v>1</v>
      </c>
      <c r="F11" s="33"/>
      <c r="G11" s="33" t="s">
        <v>154</v>
      </c>
      <c r="H11" s="33"/>
      <c r="I11" s="33"/>
      <c r="J11" s="33"/>
      <c r="K11" s="5"/>
      <c r="L11" s="33" t="s">
        <v>154</v>
      </c>
      <c r="M11" s="33"/>
      <c r="N11" s="33"/>
      <c r="O11" s="33"/>
      <c r="P11" s="33"/>
      <c r="Q11" s="33" t="s">
        <v>154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</row>
    <row r="12" spans="1:43" x14ac:dyDescent="0.25">
      <c r="A12" s="33"/>
      <c r="B12" s="33" t="s">
        <v>155</v>
      </c>
      <c r="C12" s="33"/>
      <c r="D12" s="33"/>
      <c r="E12" s="40">
        <v>1</v>
      </c>
      <c r="F12" s="33"/>
      <c r="G12" s="33" t="s">
        <v>155</v>
      </c>
      <c r="H12" s="33"/>
      <c r="I12" s="33"/>
      <c r="J12" s="33"/>
      <c r="K12" s="33"/>
      <c r="L12" s="33" t="s">
        <v>155</v>
      </c>
      <c r="M12" s="33"/>
      <c r="N12" s="33"/>
      <c r="O12" s="33"/>
      <c r="P12" s="33"/>
      <c r="Q12" s="33" t="s">
        <v>155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</row>
    <row r="13" spans="1:43" x14ac:dyDescent="0.25">
      <c r="A13" s="33"/>
      <c r="B13" s="33" t="s">
        <v>156</v>
      </c>
      <c r="C13" s="33"/>
      <c r="D13" s="33"/>
      <c r="E13" s="40">
        <v>1</v>
      </c>
      <c r="F13" s="33"/>
      <c r="G13" s="33" t="s">
        <v>157</v>
      </c>
      <c r="H13" s="33"/>
      <c r="I13" s="33"/>
      <c r="J13" s="46"/>
      <c r="K13" s="33"/>
      <c r="L13" s="33"/>
      <c r="M13" s="33"/>
      <c r="N13" s="33"/>
      <c r="O13" s="46"/>
      <c r="P13" s="33"/>
      <c r="Q13" s="33"/>
      <c r="R13" s="33"/>
      <c r="S13" s="33"/>
      <c r="T13" s="46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</row>
    <row r="14" spans="1:43" x14ac:dyDescent="0.25">
      <c r="A14" s="33"/>
      <c r="B14" s="33" t="s">
        <v>158</v>
      </c>
      <c r="C14" s="33"/>
      <c r="D14" s="33"/>
      <c r="E14" s="40">
        <v>1</v>
      </c>
      <c r="F14" s="33"/>
      <c r="G14" s="33" t="s">
        <v>159</v>
      </c>
      <c r="H14" s="33"/>
      <c r="I14" s="33"/>
      <c r="J14" s="46"/>
      <c r="K14" s="33"/>
      <c r="L14" s="33" t="s">
        <v>159</v>
      </c>
      <c r="M14" s="33"/>
      <c r="N14" s="33"/>
      <c r="O14" s="46"/>
      <c r="P14" s="33"/>
      <c r="Q14" s="33" t="s">
        <v>159</v>
      </c>
      <c r="R14" s="33"/>
      <c r="S14" s="33"/>
      <c r="T14" s="46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</row>
    <row r="15" spans="1:43" x14ac:dyDescent="0.25">
      <c r="A15" s="33"/>
      <c r="B15" s="33" t="s">
        <v>160</v>
      </c>
      <c r="C15" s="33"/>
      <c r="D15" s="33"/>
      <c r="E15" s="40">
        <v>1</v>
      </c>
      <c r="F15" s="33"/>
      <c r="G15" s="33" t="s">
        <v>161</v>
      </c>
      <c r="H15" s="33"/>
      <c r="I15" s="33"/>
      <c r="J15" s="46"/>
      <c r="K15" s="33"/>
      <c r="L15" s="33" t="s">
        <v>161</v>
      </c>
      <c r="M15" s="33"/>
      <c r="N15" s="33"/>
      <c r="O15" s="46"/>
      <c r="P15" s="33"/>
      <c r="Q15" s="33" t="s">
        <v>161</v>
      </c>
      <c r="R15" s="33"/>
      <c r="S15" s="33"/>
      <c r="T15" s="46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</row>
    <row r="16" spans="1:43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</row>
    <row r="17" spans="1:43" x14ac:dyDescent="0.25">
      <c r="A17" s="33"/>
      <c r="B17" s="29" t="s">
        <v>162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x14ac:dyDescent="0.25">
      <c r="A18" s="33"/>
      <c r="B18" s="33" t="s">
        <v>156</v>
      </c>
      <c r="C18" s="33"/>
      <c r="D18" s="33"/>
      <c r="E18" s="46">
        <f>CHOOSE(E13,J18,O18,T18)</f>
        <v>0.1</v>
      </c>
      <c r="F18" s="33"/>
      <c r="G18" s="33" t="s">
        <v>156</v>
      </c>
      <c r="H18" s="33"/>
      <c r="I18" s="33"/>
      <c r="J18" s="46">
        <v>0.1</v>
      </c>
      <c r="K18" s="33"/>
      <c r="L18" s="33" t="s">
        <v>156</v>
      </c>
      <c r="M18" s="33"/>
      <c r="N18" s="33"/>
      <c r="O18" s="46">
        <v>0.09</v>
      </c>
      <c r="P18" s="33"/>
      <c r="Q18" s="33" t="s">
        <v>156</v>
      </c>
      <c r="R18" s="33"/>
      <c r="S18" s="33"/>
      <c r="T18" s="46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</row>
    <row r="19" spans="1:43" x14ac:dyDescent="0.25">
      <c r="A19" s="33"/>
      <c r="B19" s="33" t="s">
        <v>158</v>
      </c>
      <c r="C19" s="33"/>
      <c r="D19" s="33"/>
      <c r="E19" s="46">
        <f>CHOOSE(E14,J19,O19,T19)</f>
        <v>2.5000000000000001E-2</v>
      </c>
      <c r="F19" s="33"/>
      <c r="G19" s="33" t="s">
        <v>158</v>
      </c>
      <c r="H19" s="33"/>
      <c r="I19" s="33"/>
      <c r="J19" s="46">
        <v>2.5000000000000001E-2</v>
      </c>
      <c r="K19" s="33"/>
      <c r="L19" s="33" t="s">
        <v>158</v>
      </c>
      <c r="M19" s="33"/>
      <c r="N19" s="33"/>
      <c r="O19" s="46">
        <v>0.03</v>
      </c>
      <c r="P19" s="33"/>
      <c r="Q19" s="33" t="s">
        <v>158</v>
      </c>
      <c r="R19" s="33"/>
      <c r="S19" s="33"/>
      <c r="T19" s="46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</row>
    <row r="20" spans="1:43" x14ac:dyDescent="0.25">
      <c r="A20" s="33"/>
      <c r="B20" s="33" t="s">
        <v>163</v>
      </c>
      <c r="C20" s="33"/>
      <c r="D20" s="33"/>
      <c r="E20" s="46">
        <f>CHOOSE(E15,J20,O20,T20)</f>
        <v>0.11</v>
      </c>
      <c r="F20" s="33"/>
      <c r="G20" s="33" t="s">
        <v>163</v>
      </c>
      <c r="H20" s="33"/>
      <c r="I20" s="33"/>
      <c r="J20" s="46">
        <v>0.11</v>
      </c>
      <c r="K20" s="33"/>
      <c r="L20" s="33" t="s">
        <v>163</v>
      </c>
      <c r="M20" s="33"/>
      <c r="N20" s="33"/>
      <c r="O20" s="46">
        <v>0.12</v>
      </c>
      <c r="P20" s="33"/>
      <c r="Q20" s="33" t="s">
        <v>163</v>
      </c>
      <c r="R20" s="33"/>
      <c r="S20" s="33"/>
      <c r="T20" s="46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</row>
    <row r="21" spans="1:43" x14ac:dyDescent="0.2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</row>
    <row r="22" spans="1:43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</row>
    <row r="24" spans="1:43" x14ac:dyDescent="0.25">
      <c r="A24" s="42" t="s">
        <v>146</v>
      </c>
      <c r="B24" s="43" t="s">
        <v>164</v>
      </c>
      <c r="C24" s="43"/>
      <c r="D24" s="43"/>
      <c r="E24" s="43"/>
      <c r="F24" s="43"/>
      <c r="G24" s="47">
        <v>19</v>
      </c>
      <c r="H24" s="47">
        <f>G24+1</f>
        <v>20</v>
      </c>
      <c r="I24" s="47">
        <f t="shared" ref="I24:V24" si="0">H24+1</f>
        <v>21</v>
      </c>
      <c r="J24" s="47">
        <f t="shared" si="0"/>
        <v>22</v>
      </c>
      <c r="K24" s="47">
        <f t="shared" si="0"/>
        <v>23</v>
      </c>
      <c r="L24" s="47">
        <f t="shared" si="0"/>
        <v>24</v>
      </c>
      <c r="M24" s="47">
        <f t="shared" si="0"/>
        <v>25</v>
      </c>
      <c r="N24" s="47">
        <f t="shared" si="0"/>
        <v>26</v>
      </c>
      <c r="O24" s="47">
        <f t="shared" si="0"/>
        <v>27</v>
      </c>
      <c r="P24" s="47">
        <f t="shared" si="0"/>
        <v>28</v>
      </c>
      <c r="Q24" s="47">
        <f t="shared" si="0"/>
        <v>29</v>
      </c>
      <c r="R24" s="47">
        <f t="shared" si="0"/>
        <v>30</v>
      </c>
      <c r="S24" s="47">
        <f t="shared" si="0"/>
        <v>31</v>
      </c>
      <c r="T24" s="47">
        <f t="shared" si="0"/>
        <v>32</v>
      </c>
      <c r="U24" s="47">
        <f t="shared" si="0"/>
        <v>33</v>
      </c>
      <c r="V24" s="47">
        <f t="shared" si="0"/>
        <v>34</v>
      </c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</row>
    <row r="25" spans="1:43" x14ac:dyDescent="0.25">
      <c r="A25" s="33"/>
      <c r="B25" s="33" t="s">
        <v>154</v>
      </c>
      <c r="C25" s="33"/>
      <c r="D25" s="33"/>
      <c r="E25" s="33"/>
      <c r="F25" s="33"/>
      <c r="G25" s="48">
        <f>+Model!O10</f>
        <v>1517.492</v>
      </c>
      <c r="H25" s="48">
        <f>+Model!P10</f>
        <v>3239.3310000000006</v>
      </c>
      <c r="I25" s="48">
        <f>+Model!Q10</f>
        <v>2811.4850000000001</v>
      </c>
      <c r="J25" s="48">
        <f>+Model!R10</f>
        <v>2364.8120000000004</v>
      </c>
      <c r="K25" s="48">
        <f>+Model!S10</f>
        <v>2293.373</v>
      </c>
      <c r="L25" s="48">
        <f>+Model!T10</f>
        <v>2876.9490000000001</v>
      </c>
      <c r="M25" s="48">
        <f ca="1">L25*(1+M26)</f>
        <v>3020.7964500000003</v>
      </c>
      <c r="N25" s="48">
        <f t="shared" ref="N25:V25" ca="1" si="1">M25*(1+N26)</f>
        <v>3171.8362725000006</v>
      </c>
      <c r="O25" s="48">
        <f t="shared" ca="1" si="1"/>
        <v>3330.4280861250008</v>
      </c>
      <c r="P25" s="48">
        <f t="shared" ca="1" si="1"/>
        <v>3496.949490431251</v>
      </c>
      <c r="Q25" s="48">
        <f t="shared" ca="1" si="1"/>
        <v>3671.7969649528136</v>
      </c>
      <c r="R25" s="48">
        <f t="shared" ca="1" si="1"/>
        <v>3855.3868132004545</v>
      </c>
      <c r="S25" s="48">
        <f t="shared" ca="1" si="1"/>
        <v>4048.1561538604774</v>
      </c>
      <c r="T25" s="48">
        <f t="shared" ca="1" si="1"/>
        <v>4250.563961553501</v>
      </c>
      <c r="U25" s="48">
        <f t="shared" ca="1" si="1"/>
        <v>4463.0921596311764</v>
      </c>
      <c r="V25" s="48">
        <f t="shared" ca="1" si="1"/>
        <v>4686.2467676127353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</row>
    <row r="26" spans="1:43" x14ac:dyDescent="0.25">
      <c r="A26" s="33"/>
      <c r="B26" s="49" t="s">
        <v>165</v>
      </c>
      <c r="C26" s="50"/>
      <c r="D26" s="33"/>
      <c r="E26" s="33"/>
      <c r="F26" s="33"/>
      <c r="G26" s="51"/>
      <c r="H26" s="52">
        <f t="shared" ref="H26:L26" si="2">H25/G25-1</f>
        <v>1.1346610064501168</v>
      </c>
      <c r="I26" s="52">
        <f t="shared" si="2"/>
        <v>-0.132078506333561</v>
      </c>
      <c r="J26" s="52">
        <f t="shared" si="2"/>
        <v>-0.1588744026733202</v>
      </c>
      <c r="K26" s="52">
        <f t="shared" si="2"/>
        <v>-3.0209166732915849E-2</v>
      </c>
      <c r="L26" s="52">
        <f t="shared" si="2"/>
        <v>0.25446187776693985</v>
      </c>
      <c r="M26" s="52" cm="1">
        <f t="array" aca="1" ref="M26" ca="1">OFFSET(M26,$E$11,,)</f>
        <v>0.05</v>
      </c>
      <c r="N26" s="52" cm="1">
        <f t="array" aca="1" ref="N26" ca="1">OFFSET(N26,$E$11,,)</f>
        <v>0.05</v>
      </c>
      <c r="O26" s="52" cm="1">
        <f t="array" aca="1" ref="O26" ca="1">OFFSET(O26,$E$11,,)</f>
        <v>0.05</v>
      </c>
      <c r="P26" s="52" cm="1">
        <f t="array" aca="1" ref="P26" ca="1">OFFSET(P26,$E$11,,)</f>
        <v>0.05</v>
      </c>
      <c r="Q26" s="52" cm="1">
        <f t="array" aca="1" ref="Q26" ca="1">OFFSET(Q26,$E$11,,)</f>
        <v>0.05</v>
      </c>
      <c r="R26" s="52" cm="1">
        <f t="array" aca="1" ref="R26" ca="1">OFFSET(R26,$E$11,,)</f>
        <v>0.05</v>
      </c>
      <c r="S26" s="52" cm="1">
        <f t="array" aca="1" ref="S26" ca="1">OFFSET(S26,$E$11,,)</f>
        <v>0.05</v>
      </c>
      <c r="T26" s="52" cm="1">
        <f t="array" aca="1" ref="T26" ca="1">OFFSET(T26,$E$11,,)</f>
        <v>0.05</v>
      </c>
      <c r="U26" s="52" cm="1">
        <f t="array" aca="1" ref="U26" ca="1">OFFSET(U26,$E$11,,)</f>
        <v>0.05</v>
      </c>
      <c r="V26" s="52" cm="1">
        <f t="array" aca="1" ref="V26" ca="1">OFFSET(V26,$E$11,,)</f>
        <v>0.05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</row>
    <row r="27" spans="1:43" x14ac:dyDescent="0.25">
      <c r="A27" s="33"/>
      <c r="B27" s="49" t="s">
        <v>149</v>
      </c>
      <c r="C27" s="50"/>
      <c r="D27" s="33"/>
      <c r="E27" s="33"/>
      <c r="F27" s="33"/>
      <c r="G27" s="33"/>
      <c r="H27" s="33"/>
      <c r="I27" s="53"/>
      <c r="J27" s="53"/>
      <c r="K27" s="53"/>
      <c r="L27" s="53"/>
      <c r="M27" s="54">
        <v>0.05</v>
      </c>
      <c r="N27" s="54">
        <v>0.05</v>
      </c>
      <c r="O27" s="54">
        <v>0.05</v>
      </c>
      <c r="P27" s="54">
        <v>0.05</v>
      </c>
      <c r="Q27" s="54">
        <v>0.05</v>
      </c>
      <c r="R27" s="54">
        <v>0.05</v>
      </c>
      <c r="S27" s="54">
        <v>0.05</v>
      </c>
      <c r="T27" s="54">
        <v>0.05</v>
      </c>
      <c r="U27" s="54">
        <v>0.05</v>
      </c>
      <c r="V27" s="54">
        <v>0.05</v>
      </c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</row>
    <row r="28" spans="1:43" x14ac:dyDescent="0.25">
      <c r="A28" s="33"/>
      <c r="B28" s="49" t="s">
        <v>166</v>
      </c>
      <c r="C28" s="50"/>
      <c r="D28" s="33"/>
      <c r="E28" s="33"/>
      <c r="F28" s="33"/>
      <c r="G28" s="33"/>
      <c r="H28" s="33"/>
      <c r="I28" s="53"/>
      <c r="J28" s="53"/>
      <c r="K28" s="53"/>
      <c r="L28" s="53"/>
      <c r="M28" s="54">
        <v>0.44</v>
      </c>
      <c r="N28" s="54">
        <v>-0.1</v>
      </c>
      <c r="O28" s="54">
        <v>0.1</v>
      </c>
      <c r="P28" s="54">
        <v>0.1</v>
      </c>
      <c r="Q28" s="54">
        <v>0.1</v>
      </c>
      <c r="R28" s="54">
        <v>0.1</v>
      </c>
      <c r="S28" s="54">
        <v>0.1</v>
      </c>
      <c r="T28" s="54">
        <v>0.1</v>
      </c>
      <c r="U28" s="54">
        <v>0.1</v>
      </c>
      <c r="V28" s="54">
        <v>0.1</v>
      </c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</row>
    <row r="29" spans="1:43" x14ac:dyDescent="0.25">
      <c r="A29" s="33"/>
      <c r="B29" s="49" t="s">
        <v>167</v>
      </c>
      <c r="C29" s="50"/>
      <c r="D29" s="33"/>
      <c r="E29" s="33"/>
      <c r="F29" s="33"/>
      <c r="G29" s="33"/>
      <c r="H29" s="33"/>
      <c r="I29" s="53"/>
      <c r="J29" s="53"/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43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</row>
    <row r="31" spans="1:43" x14ac:dyDescent="0.25">
      <c r="A31" s="33"/>
      <c r="B31" s="33" t="s">
        <v>155</v>
      </c>
      <c r="C31" s="33"/>
      <c r="D31" s="33"/>
      <c r="E31" s="33"/>
      <c r="F31" s="33"/>
      <c r="G31" s="48">
        <f>+Model!O19</f>
        <v>47.009000000000015</v>
      </c>
      <c r="H31" s="48">
        <f>+Model!P19</f>
        <v>1499.4510000000009</v>
      </c>
      <c r="I31" s="48">
        <f>+Model!Q19</f>
        <v>1083.4630000000002</v>
      </c>
      <c r="J31" s="48">
        <f>+Model!R19</f>
        <v>678.74300000000039</v>
      </c>
      <c r="K31" s="48">
        <f>+Model!S19</f>
        <v>432.75200000000007</v>
      </c>
      <c r="L31" s="48">
        <f>+Model!T19</f>
        <v>772.25099999999998</v>
      </c>
      <c r="M31" s="48">
        <f ca="1">M32*M25</f>
        <v>876.03097049999997</v>
      </c>
      <c r="N31" s="48">
        <f t="shared" ref="N31:V31" ca="1" si="3">N32*N25</f>
        <v>919.83251902500012</v>
      </c>
      <c r="O31" s="48">
        <f t="shared" ca="1" si="3"/>
        <v>965.82414497625018</v>
      </c>
      <c r="P31" s="48">
        <f t="shared" ca="1" si="3"/>
        <v>1014.1153522250627</v>
      </c>
      <c r="Q31" s="48">
        <f t="shared" ca="1" si="3"/>
        <v>1064.8211198363158</v>
      </c>
      <c r="R31" s="48">
        <f t="shared" ca="1" si="3"/>
        <v>1118.0621758281318</v>
      </c>
      <c r="S31" s="48">
        <f t="shared" ca="1" si="3"/>
        <v>1173.9652846195384</v>
      </c>
      <c r="T31" s="48">
        <f t="shared" ca="1" si="3"/>
        <v>1232.6635488505153</v>
      </c>
      <c r="U31" s="48">
        <f t="shared" ca="1" si="3"/>
        <v>1294.296726293041</v>
      </c>
      <c r="V31" s="48">
        <f t="shared" ca="1" si="3"/>
        <v>1359.0115626076931</v>
      </c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</row>
    <row r="32" spans="1:43" x14ac:dyDescent="0.25">
      <c r="A32" s="33"/>
      <c r="B32" s="49" t="s">
        <v>168</v>
      </c>
      <c r="C32" s="33"/>
      <c r="D32" s="33"/>
      <c r="E32" s="33"/>
      <c r="F32" s="33"/>
      <c r="G32" s="52">
        <f>G31/G25</f>
        <v>3.0978087528632781E-2</v>
      </c>
      <c r="H32" s="52">
        <f t="shared" ref="H32:L32" si="4">H31/H25</f>
        <v>0.46288909654493493</v>
      </c>
      <c r="I32" s="52">
        <f t="shared" si="4"/>
        <v>0.3853703647716421</v>
      </c>
      <c r="J32" s="52">
        <f t="shared" si="4"/>
        <v>0.2870177417908909</v>
      </c>
      <c r="K32" s="52">
        <f t="shared" si="4"/>
        <v>0.18869673620470812</v>
      </c>
      <c r="L32" s="52">
        <f t="shared" si="4"/>
        <v>0.26842707326407245</v>
      </c>
      <c r="M32" s="52" cm="1">
        <f t="array" aca="1" ref="M32" ca="1">OFFSET(M32,$E$12,,)</f>
        <v>0.28999999999999998</v>
      </c>
      <c r="N32" s="52" cm="1">
        <f t="array" aca="1" ref="N32" ca="1">OFFSET(N32,$E$12,,)</f>
        <v>0.28999999999999998</v>
      </c>
      <c r="O32" s="52" cm="1">
        <f t="array" aca="1" ref="O32" ca="1">OFFSET(O32,$E$12,,)</f>
        <v>0.28999999999999998</v>
      </c>
      <c r="P32" s="52" cm="1">
        <f t="array" aca="1" ref="P32" ca="1">OFFSET(P32,$E$12,,)</f>
        <v>0.28999999999999998</v>
      </c>
      <c r="Q32" s="52" cm="1">
        <f t="array" aca="1" ref="Q32" ca="1">OFFSET(Q32,$E$12,,)</f>
        <v>0.28999999999999998</v>
      </c>
      <c r="R32" s="52" cm="1">
        <f t="array" aca="1" ref="R32" ca="1">OFFSET(R32,$E$12,,)</f>
        <v>0.28999999999999998</v>
      </c>
      <c r="S32" s="52" cm="1">
        <f t="array" aca="1" ref="S32" ca="1">OFFSET(S32,$E$12,,)</f>
        <v>0.28999999999999998</v>
      </c>
      <c r="T32" s="52" cm="1">
        <f t="array" aca="1" ref="T32" ca="1">OFFSET(T32,$E$12,,)</f>
        <v>0.28999999999999998</v>
      </c>
      <c r="U32" s="52" cm="1">
        <f t="array" aca="1" ref="U32" ca="1">OFFSET(U32,$E$12,,)</f>
        <v>0.28999999999999998</v>
      </c>
      <c r="V32" s="52" cm="1">
        <f t="array" aca="1" ref="V32" ca="1">OFFSET(V32,$E$12,,)</f>
        <v>0.28999999999999998</v>
      </c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43" x14ac:dyDescent="0.25">
      <c r="A33" s="33"/>
      <c r="B33" s="49" t="s">
        <v>149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54">
        <v>0.28999999999999998</v>
      </c>
      <c r="N33" s="54">
        <v>0.28999999999999998</v>
      </c>
      <c r="O33" s="54">
        <v>0.28999999999999998</v>
      </c>
      <c r="P33" s="54">
        <v>0.28999999999999998</v>
      </c>
      <c r="Q33" s="54">
        <v>0.28999999999999998</v>
      </c>
      <c r="R33" s="54">
        <v>0.28999999999999998</v>
      </c>
      <c r="S33" s="54">
        <v>0.28999999999999998</v>
      </c>
      <c r="T33" s="54">
        <v>0.28999999999999998</v>
      </c>
      <c r="U33" s="54">
        <v>0.28999999999999998</v>
      </c>
      <c r="V33" s="54">
        <v>0.28999999999999998</v>
      </c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</row>
    <row r="34" spans="1:43" x14ac:dyDescent="0.25">
      <c r="A34" s="33"/>
      <c r="B34" s="49" t="s">
        <v>166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54">
        <v>0.35</v>
      </c>
      <c r="N34" s="54">
        <v>0.3</v>
      </c>
      <c r="O34" s="54">
        <v>0.3</v>
      </c>
      <c r="P34" s="54">
        <v>0.3</v>
      </c>
      <c r="Q34" s="54">
        <v>0.3</v>
      </c>
      <c r="R34" s="54">
        <v>0.3</v>
      </c>
      <c r="S34" s="54">
        <v>0.3</v>
      </c>
      <c r="T34" s="54">
        <v>0.3</v>
      </c>
      <c r="U34" s="54">
        <v>0.3</v>
      </c>
      <c r="V34" s="54">
        <v>0.3</v>
      </c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</row>
    <row r="35" spans="1:43" x14ac:dyDescent="0.25">
      <c r="A35" s="33"/>
      <c r="B35" s="49" t="s">
        <v>167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</row>
    <row r="36" spans="1:43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</row>
    <row r="37" spans="1:43" x14ac:dyDescent="0.25">
      <c r="A37" s="33"/>
      <c r="B37" s="33" t="s">
        <v>169</v>
      </c>
      <c r="C37" s="33"/>
      <c r="D37" s="33"/>
      <c r="E37" s="33"/>
      <c r="F37" s="33"/>
      <c r="G37" s="48">
        <f>+Model!O23</f>
        <v>-12.276999999999999</v>
      </c>
      <c r="H37" s="48">
        <f>+Model!P23</f>
        <v>261.92399999999998</v>
      </c>
      <c r="I37" s="48">
        <f>+Model!Q23</f>
        <v>169.67</v>
      </c>
      <c r="J37" s="48">
        <f>+Model!R23</f>
        <v>88.465999999999994</v>
      </c>
      <c r="K37" s="48">
        <f>+Model!S23</f>
        <v>61.21</v>
      </c>
      <c r="L37" s="48">
        <f>+Model!T23</f>
        <v>110.435</v>
      </c>
      <c r="M37" s="48">
        <f ca="1">M38*M31</f>
        <v>131.40464557499999</v>
      </c>
      <c r="N37" s="48">
        <f t="shared" ref="N37:V37" ca="1" si="5">N38*N31</f>
        <v>142.57404044887502</v>
      </c>
      <c r="O37" s="48">
        <f t="shared" ca="1" si="5"/>
        <v>154.53186319620002</v>
      </c>
      <c r="P37" s="48">
        <f t="shared" ca="1" si="5"/>
        <v>167.32903311713534</v>
      </c>
      <c r="Q37" s="48">
        <f t="shared" ca="1" si="5"/>
        <v>181.0195903721737</v>
      </c>
      <c r="R37" s="48">
        <f t="shared" ca="1" si="5"/>
        <v>195.66088076992304</v>
      </c>
      <c r="S37" s="48">
        <f t="shared" ca="1" si="5"/>
        <v>211.3137512315169</v>
      </c>
      <c r="T37" s="48">
        <f t="shared" ca="1" si="5"/>
        <v>228.04275653734533</v>
      </c>
      <c r="U37" s="48">
        <f t="shared" ca="1" si="5"/>
        <v>245.91637799567781</v>
      </c>
      <c r="V37" s="48">
        <f t="shared" ca="1" si="5"/>
        <v>271.80231252153862</v>
      </c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</row>
    <row r="38" spans="1:43" x14ac:dyDescent="0.25">
      <c r="A38" s="33"/>
      <c r="B38" s="50" t="s">
        <v>170</v>
      </c>
      <c r="C38" s="33"/>
      <c r="D38" s="33"/>
      <c r="E38" s="33"/>
      <c r="F38" s="33"/>
      <c r="G38" s="52">
        <f t="shared" ref="G38:L38" si="6">G37/G31</f>
        <v>-0.26116275606798689</v>
      </c>
      <c r="H38" s="52">
        <f t="shared" si="6"/>
        <v>0.17467993285542496</v>
      </c>
      <c r="I38" s="52">
        <f t="shared" si="6"/>
        <v>0.15659971775685921</v>
      </c>
      <c r="J38" s="52">
        <f t="shared" si="6"/>
        <v>0.13033799243601768</v>
      </c>
      <c r="K38" s="52">
        <f t="shared" si="6"/>
        <v>0.14144359818094426</v>
      </c>
      <c r="L38" s="52">
        <f t="shared" si="6"/>
        <v>0.14300402330330425</v>
      </c>
      <c r="M38" s="52">
        <v>0.15</v>
      </c>
      <c r="N38" s="52">
        <v>0.155</v>
      </c>
      <c r="O38" s="52">
        <v>0.16</v>
      </c>
      <c r="P38" s="52">
        <v>0.16500000000000001</v>
      </c>
      <c r="Q38" s="52">
        <v>0.17</v>
      </c>
      <c r="R38" s="52">
        <v>0.17499999999999999</v>
      </c>
      <c r="S38" s="52">
        <v>0.18</v>
      </c>
      <c r="T38" s="52">
        <v>0.185</v>
      </c>
      <c r="U38" s="52">
        <v>0.19</v>
      </c>
      <c r="V38" s="52">
        <v>0.2</v>
      </c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</row>
    <row r="39" spans="1:43" x14ac:dyDescent="0.25">
      <c r="A39" s="33"/>
      <c r="B39" s="50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</row>
    <row r="40" spans="1:43" x14ac:dyDescent="0.25">
      <c r="A40" s="33"/>
      <c r="B40" s="55" t="s">
        <v>171</v>
      </c>
      <c r="C40" s="56"/>
      <c r="D40" s="56"/>
      <c r="E40" s="56"/>
      <c r="F40" s="56"/>
      <c r="G40" s="57">
        <f t="shared" ref="G40:V40" si="7">G31-G37</f>
        <v>59.286000000000016</v>
      </c>
      <c r="H40" s="57">
        <f t="shared" si="7"/>
        <v>1237.527000000001</v>
      </c>
      <c r="I40" s="57">
        <f t="shared" si="7"/>
        <v>913.79300000000023</v>
      </c>
      <c r="J40" s="57">
        <f t="shared" si="7"/>
        <v>590.27700000000038</v>
      </c>
      <c r="K40" s="57">
        <f t="shared" si="7"/>
        <v>371.54200000000009</v>
      </c>
      <c r="L40" s="57">
        <f t="shared" si="7"/>
        <v>661.81600000000003</v>
      </c>
      <c r="M40" s="57">
        <f t="shared" ca="1" si="7"/>
        <v>744.62632492499995</v>
      </c>
      <c r="N40" s="57">
        <f t="shared" ca="1" si="7"/>
        <v>777.25847857612507</v>
      </c>
      <c r="O40" s="57">
        <f t="shared" ca="1" si="7"/>
        <v>811.29228178005019</v>
      </c>
      <c r="P40" s="57">
        <f t="shared" ca="1" si="7"/>
        <v>846.78631910792728</v>
      </c>
      <c r="Q40" s="57">
        <f t="shared" ca="1" si="7"/>
        <v>883.80152946414205</v>
      </c>
      <c r="R40" s="57">
        <f t="shared" ca="1" si="7"/>
        <v>922.40129505820869</v>
      </c>
      <c r="S40" s="57">
        <f t="shared" ca="1" si="7"/>
        <v>962.65153338802145</v>
      </c>
      <c r="T40" s="57">
        <f t="shared" ca="1" si="7"/>
        <v>1004.62079231317</v>
      </c>
      <c r="U40" s="57">
        <f t="shared" ca="1" si="7"/>
        <v>1048.3803482973633</v>
      </c>
      <c r="V40" s="58">
        <f t="shared" ca="1" si="7"/>
        <v>1087.2092500861545</v>
      </c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</row>
    <row r="41" spans="1:43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</row>
    <row r="42" spans="1:43" x14ac:dyDescent="0.25">
      <c r="A42" s="33"/>
      <c r="B42" s="33" t="s">
        <v>172</v>
      </c>
      <c r="C42" s="33"/>
      <c r="D42" s="33"/>
      <c r="E42" s="33"/>
      <c r="F42" s="33"/>
      <c r="G42" s="48">
        <f>+Model!O75</f>
        <v>147.869</v>
      </c>
      <c r="H42" s="48">
        <f>+Model!P75</f>
        <v>167.143</v>
      </c>
      <c r="I42" s="48">
        <f>+Model!Q75</f>
        <v>144.423</v>
      </c>
      <c r="J42" s="48">
        <f>+Model!R75</f>
        <v>138.13300000000001</v>
      </c>
      <c r="K42" s="48">
        <f>+Model!S75</f>
        <v>138.654</v>
      </c>
      <c r="L42" s="48">
        <f>+Model!T75</f>
        <v>123.14800000000001</v>
      </c>
      <c r="M42" s="48">
        <f ca="1">M43*M25</f>
        <v>160.10221185</v>
      </c>
      <c r="N42" s="48">
        <f t="shared" ref="N42:V42" ca="1" si="8">N43*N25</f>
        <v>168.10732244250002</v>
      </c>
      <c r="O42" s="48">
        <f t="shared" ca="1" si="8"/>
        <v>176.51268856462505</v>
      </c>
      <c r="P42" s="48">
        <f t="shared" ca="1" si="8"/>
        <v>185.33832299285629</v>
      </c>
      <c r="Q42" s="48">
        <f t="shared" ca="1" si="8"/>
        <v>194.6052391424991</v>
      </c>
      <c r="R42" s="48">
        <f t="shared" ca="1" si="8"/>
        <v>204.33550109962408</v>
      </c>
      <c r="S42" s="48">
        <f t="shared" ca="1" si="8"/>
        <v>214.55227615460529</v>
      </c>
      <c r="T42" s="48">
        <f t="shared" ca="1" si="8"/>
        <v>225.27988996233555</v>
      </c>
      <c r="U42" s="48">
        <f t="shared" ca="1" si="8"/>
        <v>236.54388446045235</v>
      </c>
      <c r="V42" s="48">
        <f t="shared" ca="1" si="8"/>
        <v>248.37107868347496</v>
      </c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</row>
    <row r="43" spans="1:43" x14ac:dyDescent="0.25">
      <c r="A43" s="33"/>
      <c r="B43" s="49" t="s">
        <v>168</v>
      </c>
      <c r="C43" s="51"/>
      <c r="D43" s="51"/>
      <c r="E43" s="51"/>
      <c r="F43" s="51"/>
      <c r="G43" s="59">
        <f t="shared" ref="G43:L43" si="9">G42/G25</f>
        <v>9.7443017821510755E-2</v>
      </c>
      <c r="H43" s="59">
        <f t="shared" si="9"/>
        <v>5.159799971043403E-2</v>
      </c>
      <c r="I43" s="59">
        <f t="shared" si="9"/>
        <v>5.1368938479131133E-2</v>
      </c>
      <c r="J43" s="59">
        <f t="shared" si="9"/>
        <v>5.8411831469055465E-2</v>
      </c>
      <c r="K43" s="59">
        <f t="shared" si="9"/>
        <v>6.0458547301289411E-2</v>
      </c>
      <c r="L43" s="59">
        <f t="shared" si="9"/>
        <v>4.2805068842026749E-2</v>
      </c>
      <c r="M43" s="60">
        <v>5.2999999999999999E-2</v>
      </c>
      <c r="N43" s="60">
        <v>5.2999999999999999E-2</v>
      </c>
      <c r="O43" s="60">
        <v>5.2999999999999999E-2</v>
      </c>
      <c r="P43" s="60">
        <v>5.2999999999999999E-2</v>
      </c>
      <c r="Q43" s="60">
        <v>5.2999999999999999E-2</v>
      </c>
      <c r="R43" s="60">
        <v>5.2999999999999999E-2</v>
      </c>
      <c r="S43" s="60">
        <v>5.2999999999999999E-2</v>
      </c>
      <c r="T43" s="60">
        <v>5.2999999999999999E-2</v>
      </c>
      <c r="U43" s="60">
        <v>5.2999999999999999E-2</v>
      </c>
      <c r="V43" s="60">
        <v>5.2999999999999999E-2</v>
      </c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</row>
    <row r="44" spans="1:43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</row>
    <row r="45" spans="1:43" x14ac:dyDescent="0.25">
      <c r="A45" s="33"/>
      <c r="B45" s="33" t="s">
        <v>173</v>
      </c>
      <c r="C45" s="33"/>
      <c r="D45" s="33"/>
      <c r="E45" s="33"/>
      <c r="F45" s="33"/>
      <c r="G45" s="48">
        <f>+Model!O83+Model!O84+Model!O85</f>
        <v>-899.64300000000003</v>
      </c>
      <c r="H45" s="48">
        <f>+Model!P83+Model!P84+Model!P85</f>
        <v>-2.5589999999999975</v>
      </c>
      <c r="I45" s="48">
        <f>+Model!Q83+Model!Q84+Model!Q85</f>
        <v>-87.349000000000004</v>
      </c>
      <c r="J45" s="48">
        <f>+Model!R83+Model!R84+Model!R85</f>
        <v>-29.530000000000008</v>
      </c>
      <c r="K45" s="48">
        <f>+Model!S83+Model!S84+Model!S85</f>
        <v>-94.483999999999995</v>
      </c>
      <c r="L45" s="48">
        <f>+Model!T83+Model!T84+Model!T85</f>
        <v>-61.847000000000001</v>
      </c>
      <c r="M45" s="48">
        <f ca="1">M46*M25</f>
        <v>-63.436725450000012</v>
      </c>
      <c r="N45" s="48">
        <f t="shared" ref="N45:V45" ca="1" si="10">N46*N25</f>
        <v>-66.608561722500014</v>
      </c>
      <c r="O45" s="48">
        <f t="shared" ca="1" si="10"/>
        <v>-69.938989808625024</v>
      </c>
      <c r="P45" s="48">
        <f t="shared" ca="1" si="10"/>
        <v>-73.435939299056272</v>
      </c>
      <c r="Q45" s="48">
        <f t="shared" ca="1" si="10"/>
        <v>-77.107736264009091</v>
      </c>
      <c r="R45" s="48">
        <f t="shared" ca="1" si="10"/>
        <v>-80.963123077209545</v>
      </c>
      <c r="S45" s="48">
        <f t="shared" ca="1" si="10"/>
        <v>-85.011279231070034</v>
      </c>
      <c r="T45" s="48">
        <f t="shared" ca="1" si="10"/>
        <v>-89.26184319262353</v>
      </c>
      <c r="U45" s="48">
        <f t="shared" ca="1" si="10"/>
        <v>-93.724935352254704</v>
      </c>
      <c r="V45" s="48">
        <f t="shared" ca="1" si="10"/>
        <v>-98.411182119867448</v>
      </c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</row>
    <row r="46" spans="1:43" x14ac:dyDescent="0.25">
      <c r="A46" s="33"/>
      <c r="B46" s="49" t="s">
        <v>168</v>
      </c>
      <c r="C46" s="33"/>
      <c r="D46" s="33"/>
      <c r="E46" s="33"/>
      <c r="F46" s="33"/>
      <c r="G46" s="59">
        <f t="shared" ref="G46:L46" si="11">G45/G25</f>
        <v>-0.59284859491845765</v>
      </c>
      <c r="H46" s="59">
        <f t="shared" si="11"/>
        <v>-7.8997793062826767E-4</v>
      </c>
      <c r="I46" s="59">
        <f t="shared" si="11"/>
        <v>-3.1068634547223264E-2</v>
      </c>
      <c r="J46" s="59">
        <f t="shared" si="11"/>
        <v>-1.2487250572138505E-2</v>
      </c>
      <c r="K46" s="59">
        <f t="shared" si="11"/>
        <v>-4.1198706010753587E-2</v>
      </c>
      <c r="L46" s="59">
        <f t="shared" si="11"/>
        <v>-2.1497426614097086E-2</v>
      </c>
      <c r="M46" s="60">
        <v>-2.1000000000000001E-2</v>
      </c>
      <c r="N46" s="60">
        <v>-2.1000000000000001E-2</v>
      </c>
      <c r="O46" s="60">
        <v>-2.1000000000000001E-2</v>
      </c>
      <c r="P46" s="60">
        <v>-2.1000000000000001E-2</v>
      </c>
      <c r="Q46" s="60">
        <v>-2.1000000000000001E-2</v>
      </c>
      <c r="R46" s="60">
        <v>-2.1000000000000001E-2</v>
      </c>
      <c r="S46" s="60">
        <v>-2.1000000000000001E-2</v>
      </c>
      <c r="T46" s="60">
        <v>-2.1000000000000001E-2</v>
      </c>
      <c r="U46" s="60">
        <v>-2.1000000000000001E-2</v>
      </c>
      <c r="V46" s="60">
        <v>-2.1000000000000001E-2</v>
      </c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</row>
    <row r="47" spans="1:43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</row>
    <row r="48" spans="1:43" x14ac:dyDescent="0.25">
      <c r="A48" s="33"/>
      <c r="B48" s="33" t="s">
        <v>118</v>
      </c>
      <c r="C48" s="33"/>
      <c r="D48" s="33"/>
      <c r="E48" s="33"/>
      <c r="F48" s="33"/>
      <c r="G48" s="48">
        <f>+Model!O81</f>
        <v>-12.660000000000089</v>
      </c>
      <c r="H48" s="48">
        <f>+Model!P81</f>
        <v>-265.19600000000008</v>
      </c>
      <c r="I48" s="48">
        <f>+Model!Q81</f>
        <v>86.370000000000061</v>
      </c>
      <c r="J48" s="48">
        <f>+Model!R81</f>
        <v>-3.8279999999999754</v>
      </c>
      <c r="K48" s="48">
        <f>+Model!S81</f>
        <v>17.441999999999879</v>
      </c>
      <c r="L48" s="48">
        <f>+Model!T81</f>
        <v>-140.05599999999993</v>
      </c>
      <c r="M48" s="48">
        <f ca="1">M49*M25</f>
        <v>-60.415929000000006</v>
      </c>
      <c r="N48" s="48">
        <f t="shared" ref="N48:V48" ca="1" si="12">N49*N25</f>
        <v>-63.436725450000012</v>
      </c>
      <c r="O48" s="48">
        <f t="shared" ca="1" si="12"/>
        <v>-66.608561722500014</v>
      </c>
      <c r="P48" s="48">
        <f t="shared" ca="1" si="12"/>
        <v>-69.938989808625024</v>
      </c>
      <c r="Q48" s="48">
        <f t="shared" ca="1" si="12"/>
        <v>-73.435939299056272</v>
      </c>
      <c r="R48" s="48">
        <f t="shared" ca="1" si="12"/>
        <v>-77.107736264009091</v>
      </c>
      <c r="S48" s="48">
        <f t="shared" ca="1" si="12"/>
        <v>-80.963123077209545</v>
      </c>
      <c r="T48" s="48">
        <f t="shared" ca="1" si="12"/>
        <v>-85.01127923107002</v>
      </c>
      <c r="U48" s="48">
        <f t="shared" ca="1" si="12"/>
        <v>-89.26184319262353</v>
      </c>
      <c r="V48" s="48">
        <f t="shared" ca="1" si="12"/>
        <v>-93.724935352254704</v>
      </c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</row>
    <row r="49" spans="1:43" x14ac:dyDescent="0.25">
      <c r="A49" s="33"/>
      <c r="B49" s="49" t="s">
        <v>168</v>
      </c>
      <c r="C49" s="33"/>
      <c r="D49" s="33"/>
      <c r="E49" s="33"/>
      <c r="F49" s="33"/>
      <c r="G49" s="59">
        <f t="shared" ref="G49:L49" si="13">G48/G25</f>
        <v>-8.3427128446147258E-3</v>
      </c>
      <c r="H49" s="59">
        <f t="shared" si="13"/>
        <v>-8.1867521411056798E-2</v>
      </c>
      <c r="I49" s="59">
        <f t="shared" si="13"/>
        <v>3.0720419991570311E-2</v>
      </c>
      <c r="J49" s="59">
        <f t="shared" si="13"/>
        <v>-1.6187333284844523E-3</v>
      </c>
      <c r="K49" s="59">
        <f t="shared" si="13"/>
        <v>7.6053917090677702E-3</v>
      </c>
      <c r="L49" s="59">
        <f t="shared" si="13"/>
        <v>-4.868212818510162E-2</v>
      </c>
      <c r="M49" s="60">
        <v>-0.02</v>
      </c>
      <c r="N49" s="60">
        <v>-0.02</v>
      </c>
      <c r="O49" s="60">
        <v>-0.02</v>
      </c>
      <c r="P49" s="60">
        <v>-0.02</v>
      </c>
      <c r="Q49" s="60">
        <v>-0.02</v>
      </c>
      <c r="R49" s="60">
        <v>-0.02</v>
      </c>
      <c r="S49" s="60">
        <v>-0.02</v>
      </c>
      <c r="T49" s="60">
        <v>-0.02</v>
      </c>
      <c r="U49" s="60">
        <v>-0.02</v>
      </c>
      <c r="V49" s="60">
        <v>-0.02</v>
      </c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</row>
    <row r="50" spans="1:43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</row>
    <row r="51" spans="1:43" x14ac:dyDescent="0.25">
      <c r="A51" s="33"/>
      <c r="B51" s="61" t="s">
        <v>174</v>
      </c>
      <c r="C51" s="62"/>
      <c r="D51" s="62"/>
      <c r="E51" s="62"/>
      <c r="F51" s="62"/>
      <c r="G51" s="63">
        <f>G40+G42+G45+G48</f>
        <v>-705.14800000000014</v>
      </c>
      <c r="H51" s="63">
        <f t="shared" ref="H51:U51" si="14">H40+H42+H45+H48</f>
        <v>1136.9150000000009</v>
      </c>
      <c r="I51" s="63">
        <f t="shared" si="14"/>
        <v>1057.2370000000003</v>
      </c>
      <c r="J51" s="63">
        <f t="shared" si="14"/>
        <v>695.05200000000048</v>
      </c>
      <c r="K51" s="63">
        <f t="shared" si="14"/>
        <v>433.154</v>
      </c>
      <c r="L51" s="63">
        <f t="shared" si="14"/>
        <v>583.06100000000015</v>
      </c>
      <c r="M51" s="63">
        <f ca="1">M40+M42+M45+M48</f>
        <v>780.87588232499991</v>
      </c>
      <c r="N51" s="63">
        <f t="shared" ca="1" si="14"/>
        <v>815.3205138461251</v>
      </c>
      <c r="O51" s="63">
        <f t="shared" ca="1" si="14"/>
        <v>851.2574188135502</v>
      </c>
      <c r="P51" s="63">
        <f t="shared" ca="1" si="14"/>
        <v>888.74971299310232</v>
      </c>
      <c r="Q51" s="63">
        <f t="shared" ca="1" si="14"/>
        <v>927.86309304357587</v>
      </c>
      <c r="R51" s="63">
        <f t="shared" ca="1" si="14"/>
        <v>968.66593681661413</v>
      </c>
      <c r="S51" s="63">
        <f t="shared" ca="1" si="14"/>
        <v>1011.2294072343473</v>
      </c>
      <c r="T51" s="63">
        <f t="shared" ca="1" si="14"/>
        <v>1055.6275598518121</v>
      </c>
      <c r="U51" s="63">
        <f t="shared" ca="1" si="14"/>
        <v>1101.9374542129374</v>
      </c>
      <c r="V51" s="64">
        <f ca="1">V40+V42+V45+V48</f>
        <v>1143.4442112975073</v>
      </c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</row>
    <row r="52" spans="1:43" x14ac:dyDescent="0.25">
      <c r="A52" s="33"/>
      <c r="B52" s="65" t="s">
        <v>175</v>
      </c>
      <c r="C52" s="66"/>
      <c r="D52" s="66"/>
      <c r="E52" s="66"/>
      <c r="F52" s="66"/>
      <c r="G52" s="67"/>
      <c r="H52" s="67"/>
      <c r="I52" s="67"/>
      <c r="J52" s="67"/>
      <c r="K52" s="67"/>
      <c r="L52" s="67"/>
      <c r="M52" s="67">
        <f ca="1">(M51/(1+$E$18)^M53)*M53</f>
        <v>419.23141737907974</v>
      </c>
      <c r="N52" s="67">
        <f ca="1">N51/(1+$E$18)^N53</f>
        <v>702.23072826047292</v>
      </c>
      <c r="O52" s="67">
        <f t="shared" ref="O52:U52" ca="1" si="15">O51/(1+$E$18)^O53</f>
        <v>666.52997418452628</v>
      </c>
      <c r="P52" s="67">
        <f t="shared" ca="1" si="15"/>
        <v>632.62385327197046</v>
      </c>
      <c r="Q52" s="67">
        <f t="shared" ca="1" si="15"/>
        <v>600.42297894199294</v>
      </c>
      <c r="R52" s="67">
        <f t="shared" ca="1" si="15"/>
        <v>569.84238274682343</v>
      </c>
      <c r="S52" s="67">
        <f t="shared" ca="1" si="15"/>
        <v>540.80129740629332</v>
      </c>
      <c r="T52" s="67">
        <f t="shared" ca="1" si="15"/>
        <v>513.22295043815268</v>
      </c>
      <c r="U52" s="67">
        <f t="shared" ca="1" si="15"/>
        <v>487.03436786916882</v>
      </c>
      <c r="V52" s="68">
        <f ca="1">V51/(1+$E$18)^V53</f>
        <v>459.43593301697797</v>
      </c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</row>
    <row r="53" spans="1:43" x14ac:dyDescent="0.25">
      <c r="A53" s="33"/>
      <c r="B53" s="33" t="s">
        <v>176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95">
        <f ca="1">YEARFRAC(E4,E5)</f>
        <v>0.56666666666666665</v>
      </c>
      <c r="N53" s="95">
        <f ca="1">M53+1</f>
        <v>1.5666666666666667</v>
      </c>
      <c r="O53" s="95">
        <f ca="1">N53+1</f>
        <v>2.5666666666666664</v>
      </c>
      <c r="P53" s="95">
        <f t="shared" ref="P53:V53" ca="1" si="16">O53+1</f>
        <v>3.5666666666666664</v>
      </c>
      <c r="Q53" s="95">
        <f t="shared" ca="1" si="16"/>
        <v>4.5666666666666664</v>
      </c>
      <c r="R53" s="95">
        <f t="shared" ca="1" si="16"/>
        <v>5.5666666666666664</v>
      </c>
      <c r="S53" s="95">
        <f t="shared" ca="1" si="16"/>
        <v>6.5666666666666664</v>
      </c>
      <c r="T53" s="95">
        <f t="shared" ca="1" si="16"/>
        <v>7.5666666666666664</v>
      </c>
      <c r="U53" s="95">
        <f t="shared" ca="1" si="16"/>
        <v>8.5666666666666664</v>
      </c>
      <c r="V53" s="95">
        <f t="shared" ca="1" si="16"/>
        <v>9.5666666666666664</v>
      </c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</row>
    <row r="54" spans="1:43" x14ac:dyDescent="0.25">
      <c r="A54" s="33"/>
      <c r="B54" s="33" t="s">
        <v>177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69"/>
      <c r="O54" s="69"/>
      <c r="P54" s="69"/>
      <c r="Q54" s="69"/>
      <c r="R54" s="33"/>
      <c r="S54" s="33"/>
      <c r="T54" s="33"/>
      <c r="U54" s="33"/>
      <c r="V54" s="48">
        <f ca="1">SUM(M52:V52)</f>
        <v>5591.3758835154586</v>
      </c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</row>
    <row r="55" spans="1:43" x14ac:dyDescent="0.25">
      <c r="A55" s="33"/>
      <c r="B55" s="33" t="s">
        <v>178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69"/>
      <c r="O55" s="69"/>
      <c r="P55" s="69"/>
      <c r="Q55" s="69"/>
      <c r="R55" s="33"/>
      <c r="S55" s="33"/>
      <c r="T55" s="33"/>
      <c r="U55" s="33"/>
      <c r="V55" s="48">
        <f ca="1">+(V40*(1+E19))*(1-(E19/E20))/(E18-E19)</f>
        <v>11481.588595606812</v>
      </c>
      <c r="W55" s="33"/>
      <c r="X55" s="70" t="s">
        <v>179</v>
      </c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</row>
    <row r="56" spans="1:43" x14ac:dyDescent="0.25">
      <c r="A56" s="33"/>
      <c r="B56" s="32" t="s">
        <v>180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71"/>
      <c r="O56" s="71"/>
      <c r="P56" s="71"/>
      <c r="Q56" s="71"/>
      <c r="R56" s="71"/>
      <c r="S56" s="71"/>
      <c r="T56" s="71"/>
      <c r="U56" s="71"/>
      <c r="V56" s="72">
        <f ca="1">V55/(1+E18)^V53</f>
        <v>4613.3027889081841</v>
      </c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</row>
    <row r="57" spans="1:43" x14ac:dyDescent="0.25">
      <c r="A57" s="33"/>
      <c r="B57" s="73" t="s">
        <v>181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4"/>
      <c r="O57" s="74"/>
      <c r="P57" s="74"/>
      <c r="Q57" s="74"/>
      <c r="R57" s="74"/>
      <c r="S57" s="74"/>
      <c r="T57" s="74"/>
      <c r="U57" s="74"/>
      <c r="V57" s="75">
        <f ca="1">V54+V56</f>
        <v>10204.678672423643</v>
      </c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</row>
    <row r="58" spans="1:43" x14ac:dyDescent="0.25">
      <c r="A58" s="33"/>
      <c r="B58" s="33" t="s">
        <v>182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69"/>
      <c r="O58" s="69"/>
      <c r="P58" s="69"/>
      <c r="Q58" s="69"/>
      <c r="R58" s="33"/>
      <c r="S58" s="33"/>
      <c r="T58" s="33"/>
      <c r="U58" s="33"/>
      <c r="V58" s="76">
        <f>+Main!H5</f>
        <v>752.101</v>
      </c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</row>
    <row r="59" spans="1:43" x14ac:dyDescent="0.25">
      <c r="A59" s="33"/>
      <c r="B59" s="32" t="s">
        <v>183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71"/>
      <c r="O59" s="71"/>
      <c r="P59" s="71"/>
      <c r="Q59" s="71"/>
      <c r="R59" s="71"/>
      <c r="S59" s="71"/>
      <c r="T59" s="71"/>
      <c r="U59" s="71"/>
      <c r="V59" s="77">
        <f>+Main!H6</f>
        <v>1994.925</v>
      </c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</row>
    <row r="60" spans="1:43" x14ac:dyDescent="0.25">
      <c r="A60" s="33"/>
      <c r="B60" s="33" t="s">
        <v>184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69"/>
      <c r="O60" s="69"/>
      <c r="P60" s="69"/>
      <c r="Q60" s="69"/>
      <c r="R60" s="33"/>
      <c r="S60" s="33"/>
      <c r="T60" s="33"/>
      <c r="U60" s="33"/>
      <c r="V60" s="76">
        <f ca="1">V57+V58-V59</f>
        <v>8961.8546724236439</v>
      </c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</row>
    <row r="61" spans="1:43" x14ac:dyDescent="0.25">
      <c r="A61" s="33"/>
      <c r="B61" s="32" t="s">
        <v>185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71"/>
      <c r="O61" s="71"/>
      <c r="P61" s="71"/>
      <c r="Q61" s="71"/>
      <c r="R61" s="71"/>
      <c r="S61" s="71"/>
      <c r="T61" s="71"/>
      <c r="U61" s="71"/>
      <c r="V61" s="77">
        <f>+Main!H3</f>
        <v>152.86424199999999</v>
      </c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</row>
    <row r="62" spans="1:43" x14ac:dyDescent="0.25">
      <c r="A62" s="33"/>
      <c r="B62" s="33" t="s">
        <v>140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76">
        <f ca="1">V60/V61</f>
        <v>58.626233023309958</v>
      </c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</row>
    <row r="63" spans="1:4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</row>
    <row r="64" spans="1:43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</row>
    <row r="65" spans="1:43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</row>
    <row r="66" spans="1:43" x14ac:dyDescent="0.25">
      <c r="A66" s="42" t="s">
        <v>146</v>
      </c>
      <c r="B66" s="43" t="s">
        <v>186</v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</row>
    <row r="67" spans="1:43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</row>
    <row r="68" spans="1:43" x14ac:dyDescent="0.25">
      <c r="A68" s="33"/>
      <c r="B68" s="78"/>
      <c r="C68" s="99" t="s">
        <v>158</v>
      </c>
      <c r="D68" s="99"/>
      <c r="E68" s="99"/>
      <c r="F68" s="99"/>
      <c r="G68" s="99"/>
      <c r="H68" s="99"/>
      <c r="I68" s="99"/>
      <c r="J68" s="100"/>
      <c r="K68" s="33"/>
      <c r="L68" s="33"/>
      <c r="M68" s="78"/>
      <c r="N68" s="101" t="s">
        <v>187</v>
      </c>
      <c r="O68" s="101"/>
      <c r="P68" s="101"/>
      <c r="Q68" s="101"/>
      <c r="R68" s="101"/>
      <c r="S68" s="101"/>
      <c r="T68" s="101"/>
      <c r="U68" s="102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</row>
    <row r="69" spans="1:43" ht="14.45" customHeight="1" x14ac:dyDescent="0.25">
      <c r="A69" s="33"/>
      <c r="B69" s="103" t="s">
        <v>156</v>
      </c>
      <c r="C69" s="79">
        <f ca="1">+J4</f>
        <v>58.626233023309958</v>
      </c>
      <c r="D69" s="80"/>
      <c r="E69" s="80"/>
      <c r="F69" s="80"/>
      <c r="G69" s="80"/>
      <c r="H69" s="80"/>
      <c r="I69" s="80"/>
      <c r="J69" s="80"/>
      <c r="K69" s="33"/>
      <c r="L69" s="33"/>
      <c r="M69" s="103" t="s">
        <v>156</v>
      </c>
      <c r="N69" s="79">
        <f ca="1">+J4</f>
        <v>58.626233023309958</v>
      </c>
      <c r="O69" s="80"/>
      <c r="P69" s="80"/>
      <c r="Q69" s="80"/>
      <c r="R69" s="80"/>
      <c r="S69" s="80"/>
      <c r="T69" s="80"/>
      <c r="U69" s="80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</row>
    <row r="70" spans="1:43" x14ac:dyDescent="0.25">
      <c r="A70" s="33"/>
      <c r="B70" s="103"/>
      <c r="C70" s="81"/>
      <c r="D70" s="82"/>
      <c r="E70" s="82"/>
      <c r="F70" s="82"/>
      <c r="G70" s="83"/>
      <c r="H70" s="82"/>
      <c r="I70" s="82"/>
      <c r="J70" s="82"/>
      <c r="K70" s="33"/>
      <c r="L70" s="33"/>
      <c r="M70" s="103"/>
      <c r="N70" s="81"/>
      <c r="O70" s="82"/>
      <c r="P70" s="82"/>
      <c r="Q70" s="82"/>
      <c r="R70" s="83"/>
      <c r="S70" s="82"/>
      <c r="T70" s="82"/>
      <c r="U70" s="82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</row>
    <row r="71" spans="1:43" x14ac:dyDescent="0.25">
      <c r="A71" s="33"/>
      <c r="B71" s="103"/>
      <c r="C71" s="81"/>
      <c r="D71" s="82"/>
      <c r="E71" s="82"/>
      <c r="F71" s="82"/>
      <c r="G71" s="83"/>
      <c r="H71" s="82"/>
      <c r="I71" s="82"/>
      <c r="J71" s="82"/>
      <c r="K71" s="33"/>
      <c r="L71" s="33"/>
      <c r="M71" s="103"/>
      <c r="N71" s="81"/>
      <c r="O71" s="82"/>
      <c r="P71" s="82"/>
      <c r="Q71" s="82"/>
      <c r="R71" s="83"/>
      <c r="S71" s="82"/>
      <c r="T71" s="82"/>
      <c r="U71" s="82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</row>
    <row r="72" spans="1:43" x14ac:dyDescent="0.25">
      <c r="A72" s="33"/>
      <c r="B72" s="103"/>
      <c r="C72" s="81"/>
      <c r="D72" s="83"/>
      <c r="E72" s="83"/>
      <c r="F72" s="83"/>
      <c r="G72" s="83"/>
      <c r="H72" s="83"/>
      <c r="I72" s="83"/>
      <c r="J72" s="83"/>
      <c r="K72" s="33"/>
      <c r="L72" s="33"/>
      <c r="M72" s="103"/>
      <c r="N72" s="81"/>
      <c r="O72" s="83"/>
      <c r="P72" s="83"/>
      <c r="Q72" s="83"/>
      <c r="R72" s="83"/>
      <c r="S72" s="83"/>
      <c r="T72" s="83"/>
      <c r="U72" s="8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</row>
    <row r="73" spans="1:43" x14ac:dyDescent="0.25">
      <c r="A73" s="33"/>
      <c r="B73" s="103"/>
      <c r="C73" s="81"/>
      <c r="D73" s="82"/>
      <c r="E73" s="82"/>
      <c r="F73" s="82"/>
      <c r="G73" s="83"/>
      <c r="H73" s="82"/>
      <c r="I73" s="82"/>
      <c r="J73" s="82"/>
      <c r="K73" s="33"/>
      <c r="L73" s="33"/>
      <c r="M73" s="103"/>
      <c r="N73" s="81"/>
      <c r="O73" s="82"/>
      <c r="P73" s="82"/>
      <c r="Q73" s="82"/>
      <c r="R73" s="83"/>
      <c r="S73" s="82"/>
      <c r="T73" s="82"/>
      <c r="U73" s="82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</row>
    <row r="74" spans="1:43" x14ac:dyDescent="0.25">
      <c r="A74" s="33"/>
      <c r="B74" s="103"/>
      <c r="C74" s="81"/>
      <c r="D74" s="82"/>
      <c r="E74" s="82"/>
      <c r="F74" s="82"/>
      <c r="G74" s="83"/>
      <c r="H74" s="82"/>
      <c r="I74" s="82"/>
      <c r="J74" s="82"/>
      <c r="K74" s="33"/>
      <c r="L74" s="33"/>
      <c r="M74" s="103"/>
      <c r="N74" s="81"/>
      <c r="O74" s="82"/>
      <c r="P74" s="82"/>
      <c r="Q74" s="82"/>
      <c r="R74" s="83"/>
      <c r="S74" s="82"/>
      <c r="T74" s="82"/>
      <c r="U74" s="82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</row>
    <row r="75" spans="1:43" x14ac:dyDescent="0.25">
      <c r="A75" s="33"/>
      <c r="B75" s="103"/>
      <c r="C75" s="81"/>
      <c r="D75" s="82"/>
      <c r="E75" s="82"/>
      <c r="F75" s="82"/>
      <c r="G75" s="83"/>
      <c r="H75" s="82"/>
      <c r="I75" s="82"/>
      <c r="J75" s="82"/>
      <c r="K75" s="33"/>
      <c r="L75" s="33"/>
      <c r="M75" s="103"/>
      <c r="N75" s="81"/>
      <c r="O75" s="82"/>
      <c r="P75" s="82"/>
      <c r="Q75" s="82"/>
      <c r="R75" s="83"/>
      <c r="S75" s="82"/>
      <c r="T75" s="82"/>
      <c r="U75" s="82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</row>
    <row r="76" spans="1:43" x14ac:dyDescent="0.25">
      <c r="A76" s="33"/>
      <c r="B76" s="104"/>
      <c r="C76" s="81"/>
      <c r="D76" s="82"/>
      <c r="E76" s="82"/>
      <c r="F76" s="82"/>
      <c r="G76" s="83"/>
      <c r="H76" s="82"/>
      <c r="I76" s="82"/>
      <c r="J76" s="82"/>
      <c r="K76" s="33"/>
      <c r="L76" s="33"/>
      <c r="M76" s="104"/>
      <c r="N76" s="81"/>
      <c r="O76" s="82"/>
      <c r="P76" s="82"/>
      <c r="Q76" s="82"/>
      <c r="R76" s="83"/>
      <c r="S76" s="82"/>
      <c r="T76" s="82"/>
      <c r="U76" s="82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</row>
    <row r="77" spans="1:43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</row>
    <row r="78" spans="1:43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</row>
    <row r="79" spans="1:43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</row>
    <row r="80" spans="1:43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</row>
    <row r="81" spans="1:4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</row>
    <row r="82" spans="1:43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</row>
    <row r="83" spans="1:43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</row>
    <row r="84" spans="1:43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</row>
    <row r="85" spans="1:43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</row>
    <row r="86" spans="1:43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</row>
    <row r="87" spans="1:43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</row>
    <row r="88" spans="1:43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</row>
    <row r="89" spans="1:43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</row>
    <row r="90" spans="1:43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</row>
    <row r="91" spans="1:43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</row>
    <row r="92" spans="1:43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</row>
    <row r="93" spans="1:43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</row>
    <row r="94" spans="1:43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</row>
    <row r="95" spans="1:43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</row>
    <row r="96" spans="1:43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</row>
    <row r="97" spans="1:43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</row>
    <row r="98" spans="1:43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</row>
    <row r="99" spans="1:43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</row>
    <row r="100" spans="1:4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</row>
    <row r="101" spans="1:43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</row>
    <row r="102" spans="1:43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</row>
    <row r="103" spans="1:43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</row>
    <row r="104" spans="1:43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</row>
    <row r="105" spans="1:43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</row>
    <row r="106" spans="1:43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</row>
    <row r="107" spans="1:43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</row>
    <row r="108" spans="1:43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</row>
    <row r="109" spans="1:4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</row>
    <row r="110" spans="1:43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</row>
    <row r="111" spans="1:43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</row>
    <row r="112" spans="1:43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</row>
    <row r="113" spans="1:43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</row>
    <row r="114" spans="1:43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</row>
    <row r="115" spans="1:43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</row>
    <row r="116" spans="1:43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</row>
    <row r="117" spans="1:4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</row>
    <row r="118" spans="1:43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</row>
    <row r="119" spans="1:43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</row>
    <row r="120" spans="1:43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</row>
    <row r="121" spans="1:43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</row>
    <row r="122" spans="1:43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</row>
    <row r="123" spans="1:4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</row>
    <row r="124" spans="1:43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</row>
    <row r="125" spans="1:43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</row>
    <row r="126" spans="1:43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</row>
    <row r="127" spans="1:43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</row>
    <row r="128" spans="1:43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</row>
    <row r="129" spans="1:43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</row>
    <row r="130" spans="1:43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</row>
    <row r="131" spans="1:43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</row>
    <row r="132" spans="1:43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</row>
    <row r="133" spans="1:43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</row>
    <row r="134" spans="1:43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</row>
    <row r="135" spans="1:43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</row>
    <row r="136" spans="1:43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</row>
    <row r="137" spans="1:43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</row>
    <row r="138" spans="1:43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</row>
    <row r="139" spans="1:43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</row>
    <row r="140" spans="1:43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</row>
    <row r="141" spans="1:43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</row>
    <row r="142" spans="1:43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</row>
    <row r="143" spans="1:43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</row>
    <row r="144" spans="1:43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</row>
    <row r="145" spans="1:43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</row>
    <row r="146" spans="1:43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</row>
    <row r="147" spans="1:43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</row>
    <row r="148" spans="1:43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</row>
    <row r="149" spans="1:43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</row>
    <row r="150" spans="1:43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</row>
    <row r="151" spans="1:43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</row>
    <row r="152" spans="1:43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</row>
    <row r="153" spans="1:43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</row>
    <row r="154" spans="1:43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</row>
    <row r="155" spans="1:43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</row>
    <row r="156" spans="1:43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</row>
    <row r="157" spans="1:43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</row>
    <row r="158" spans="1:43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</row>
    <row r="159" spans="1:43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</row>
    <row r="160" spans="1:43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</row>
    <row r="161" spans="1:43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</row>
    <row r="162" spans="1:43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</row>
    <row r="163" spans="1:43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</row>
    <row r="164" spans="1:43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</row>
    <row r="165" spans="1:43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</row>
    <row r="166" spans="1:43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</row>
    <row r="167" spans="1:43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</row>
    <row r="168" spans="1:43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</row>
    <row r="169" spans="1:43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</row>
    <row r="170" spans="1:43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</row>
    <row r="171" spans="1:43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</row>
    <row r="172" spans="1:43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</row>
    <row r="173" spans="1:43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</row>
    <row r="174" spans="1:43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</row>
    <row r="175" spans="1:43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</row>
    <row r="176" spans="1:43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</row>
    <row r="177" spans="1:43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</row>
    <row r="178" spans="1:43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</row>
    <row r="179" spans="1:43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</row>
    <row r="180" spans="1:43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</row>
    <row r="181" spans="1:43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</row>
    <row r="182" spans="1:43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</row>
    <row r="183" spans="1:43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</row>
    <row r="184" spans="1:43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</row>
    <row r="185" spans="1:43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</row>
    <row r="186" spans="1:43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</row>
    <row r="187" spans="1:43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</row>
    <row r="188" spans="1:43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</row>
    <row r="189" spans="1:43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</row>
    <row r="190" spans="1:43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</row>
    <row r="191" spans="1:43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</row>
    <row r="192" spans="1:43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</row>
    <row r="193" spans="1:43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</row>
    <row r="194" spans="1:43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</row>
    <row r="195" spans="1:43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</row>
    <row r="196" spans="1:43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</row>
    <row r="197" spans="1:43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</row>
    <row r="198" spans="1:43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</row>
    <row r="199" spans="1:43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</row>
    <row r="200" spans="1:43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</row>
    <row r="201" spans="1:43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</row>
    <row r="202" spans="1:43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</row>
    <row r="203" spans="1:43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</row>
    <row r="204" spans="1:43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</row>
    <row r="205" spans="1:43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</row>
    <row r="206" spans="1:43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</row>
    <row r="207" spans="1:43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</row>
    <row r="208" spans="1:43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</row>
    <row r="209" spans="1:43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</row>
    <row r="210" spans="1:43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</row>
    <row r="211" spans="1:43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</row>
    <row r="212" spans="1:43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</row>
    <row r="213" spans="1:43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</row>
    <row r="214" spans="1:43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</row>
    <row r="215" spans="1:43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</row>
    <row r="216" spans="1:43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</row>
    <row r="217" spans="1:43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</row>
    <row r="218" spans="1:43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</row>
    <row r="219" spans="1:43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</row>
    <row r="220" spans="1:43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</row>
    <row r="221" spans="1:43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</row>
    <row r="222" spans="1:43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</row>
    <row r="223" spans="1:43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</row>
    <row r="224" spans="1:43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</row>
    <row r="225" spans="1:43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</row>
    <row r="226" spans="1:43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</row>
    <row r="227" spans="1:43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</row>
    <row r="228" spans="1:43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</row>
    <row r="229" spans="1:43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</row>
    <row r="230" spans="1:43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</row>
    <row r="231" spans="1:43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</row>
    <row r="232" spans="1:43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</row>
    <row r="233" spans="1:43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</row>
    <row r="234" spans="1:43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</row>
    <row r="235" spans="1:43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</row>
    <row r="236" spans="1:43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</row>
    <row r="237" spans="1:43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</row>
    <row r="238" spans="1:43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</row>
    <row r="239" spans="1:43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</row>
    <row r="240" spans="1:43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</row>
    <row r="241" spans="1:43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</row>
    <row r="242" spans="1:43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</row>
    <row r="243" spans="1:43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</row>
    <row r="244" spans="1:43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</row>
    <row r="245" spans="1:43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</row>
    <row r="246" spans="1:43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</row>
    <row r="247" spans="1:43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</row>
    <row r="248" spans="1:43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</row>
    <row r="249" spans="1:43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</row>
    <row r="250" spans="1:43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</row>
    <row r="251" spans="1:43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</row>
    <row r="252" spans="1:43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</row>
    <row r="253" spans="1:43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</row>
    <row r="254" spans="1:43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</row>
    <row r="255" spans="1:43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</row>
    <row r="256" spans="1:43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</row>
    <row r="257" spans="1:43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</row>
    <row r="258" spans="1:43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</row>
    <row r="259" spans="1:43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</row>
    <row r="260" spans="1:43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</row>
    <row r="261" spans="1:43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</row>
    <row r="262" spans="1:43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</row>
    <row r="263" spans="1:43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</row>
    <row r="264" spans="1:43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</row>
    <row r="265" spans="1:43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</row>
    <row r="266" spans="1:43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</row>
    <row r="267" spans="1:43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</row>
    <row r="268" spans="1:43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</row>
    <row r="269" spans="1:43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</row>
    <row r="270" spans="1:43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</row>
    <row r="271" spans="1:43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</row>
    <row r="272" spans="1:43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</row>
    <row r="273" spans="1:43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</row>
    <row r="274" spans="1:43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</row>
    <row r="275" spans="1:43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</row>
    <row r="276" spans="1:43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</row>
    <row r="277" spans="1:43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</row>
    <row r="278" spans="1:43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</row>
    <row r="279" spans="1:43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</row>
    <row r="280" spans="1:43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</row>
    <row r="281" spans="1:43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</row>
    <row r="282" spans="1:43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</row>
    <row r="283" spans="1:43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</row>
    <row r="284" spans="1:43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</row>
    <row r="285" spans="1:43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</row>
    <row r="286" spans="1:43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</row>
    <row r="287" spans="1:43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</row>
    <row r="288" spans="1:43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</row>
    <row r="289" spans="1:43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</row>
    <row r="290" spans="1:43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</row>
    <row r="291" spans="1:43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</row>
    <row r="292" spans="1:43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</row>
    <row r="293" spans="1:43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</row>
    <row r="294" spans="1:43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</row>
    <row r="295" spans="1:43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</row>
    <row r="296" spans="1:43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</row>
    <row r="297" spans="1:43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</row>
    <row r="298" spans="1:43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</row>
    <row r="299" spans="1:43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</row>
    <row r="300" spans="1:43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</row>
    <row r="301" spans="1:43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</row>
    <row r="302" spans="1:43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</row>
    <row r="303" spans="1:43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</row>
    <row r="304" spans="1:43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</row>
    <row r="305" spans="1:43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</row>
    <row r="306" spans="1:43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</row>
    <row r="307" spans="1:43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</row>
    <row r="308" spans="1:43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</row>
    <row r="309" spans="1:43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</row>
    <row r="310" spans="1:43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</row>
    <row r="311" spans="1:43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</row>
    <row r="312" spans="1:43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</row>
    <row r="313" spans="1:43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</row>
    <row r="314" spans="1:43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</row>
    <row r="315" spans="1:43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</row>
    <row r="316" spans="1:43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</row>
    <row r="317" spans="1:43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</row>
    <row r="318" spans="1:43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</row>
    <row r="319" spans="1:43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</row>
    <row r="320" spans="1:43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</row>
    <row r="321" spans="1:43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</row>
    <row r="322" spans="1:43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</row>
    <row r="323" spans="1:43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</row>
    <row r="324" spans="1:43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</row>
    <row r="325" spans="1:43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</row>
    <row r="326" spans="1:43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</row>
    <row r="327" spans="1:43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</row>
    <row r="328" spans="1:43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</row>
    <row r="329" spans="1:43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</row>
    <row r="330" spans="1:43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</row>
    <row r="331" spans="1:43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</row>
    <row r="332" spans="1:43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</row>
    <row r="333" spans="1:43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</row>
    <row r="334" spans="1:43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</row>
    <row r="335" spans="1:43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</row>
    <row r="336" spans="1:43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</row>
    <row r="337" spans="1:43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</row>
    <row r="338" spans="1:43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</row>
    <row r="339" spans="1:43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</row>
    <row r="340" spans="1:43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</row>
    <row r="341" spans="1:43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</row>
    <row r="342" spans="1:43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</row>
    <row r="343" spans="1:43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</row>
    <row r="344" spans="1:43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</row>
    <row r="345" spans="1:43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</row>
    <row r="346" spans="1:43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</row>
    <row r="347" spans="1:43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</row>
    <row r="348" spans="1:43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</row>
    <row r="349" spans="1:43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</row>
    <row r="350" spans="1:43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</row>
    <row r="351" spans="1:43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</row>
    <row r="352" spans="1:43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</row>
    <row r="353" spans="1:43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</row>
    <row r="354" spans="1:43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</row>
    <row r="355" spans="1:43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</row>
    <row r="356" spans="1:43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</row>
    <row r="357" spans="1:43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</row>
    <row r="358" spans="1:43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</row>
    <row r="359" spans="1:43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</row>
    <row r="360" spans="1:43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1" operator="lessThan">
      <formula>$J$3</formula>
    </cfRule>
    <cfRule type="cellIs" dxfId="2" priority="2" operator="greaterThan">
      <formula>$J$3</formula>
    </cfRule>
  </conditionalFormatting>
  <conditionalFormatting sqref="O70:U76">
    <cfRule type="cellIs" dxfId="1" priority="3" operator="lessThan">
      <formula>$J$3</formula>
    </cfRule>
    <cfRule type="cellIs" dxfId="0" priority="4" operator="greaterThan">
      <formula>$J$3</formula>
    </cfRule>
  </conditionalFormatting>
  <dataValidations count="1">
    <dataValidation type="list" allowBlank="1" showInputMessage="1" showErrorMessage="1" sqref="E11:E15" xr:uid="{37C1AD74-DC11-41B7-9C5B-F6BB91936382}">
      <formula1>"1,2,3"</formula1>
    </dataValidation>
  </dataValidations>
  <hyperlinks>
    <hyperlink ref="A1" location="Main!A1" display="Main" xr:uid="{EC4C6640-308D-4CCB-B56F-5714016067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Ratios</vt:lpstr>
      <vt:lpstr>CoC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2025-06-13T11:14:14Z</dcterms:created>
  <dcterms:modified xsi:type="dcterms:W3CDTF">2026-07-24T09:14:56Z</dcterms:modified>
</cp:coreProperties>
</file>