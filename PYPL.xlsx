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450CF116-8EB8-4934-B670-153E652B4C1E}" xr6:coauthVersionLast="47" xr6:coauthVersionMax="47" xr10:uidLastSave="{00000000-0000-0000-0000-000000000000}"/>
  <bookViews>
    <workbookView xWindow="19095" yWindow="0" windowWidth="19410" windowHeight="20985" activeTab="1" xr2:uid="{B690896D-DF4D-4BA1-A25A-CD8C19559281}"/>
  </bookViews>
  <sheets>
    <sheet name="Main" sheetId="1" r:id="rId1"/>
    <sheet name="Model" sheetId="2" r:id="rId2"/>
    <sheet name="KPIs" sheetId="5" r:id="rId3"/>
    <sheet name="CoC" sheetId="4" r:id="rId4"/>
    <sheet name="DCF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P10" i="2"/>
  <c r="P9" i="2"/>
  <c r="P34" i="2"/>
  <c r="P32" i="2"/>
  <c r="P30" i="2"/>
  <c r="P28" i="2"/>
  <c r="P22" i="2"/>
  <c r="I6" i="1"/>
  <c r="I5" i="1"/>
  <c r="P13" i="2"/>
  <c r="O10" i="2"/>
  <c r="O11" i="2"/>
  <c r="O13" i="2"/>
  <c r="O9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O34" i="2"/>
  <c r="O32" i="2"/>
  <c r="O30" i="2"/>
  <c r="O28" i="2"/>
  <c r="O22" i="2"/>
  <c r="V58" i="3"/>
  <c r="AC8" i="2"/>
  <c r="AC18" i="2"/>
  <c r="AC17" i="2"/>
  <c r="AC16" i="2"/>
  <c r="AC15" i="2"/>
  <c r="AC13" i="2"/>
  <c r="AC7" i="2"/>
  <c r="N11" i="2"/>
  <c r="N10" i="2"/>
  <c r="N9" i="2"/>
  <c r="N13" i="2"/>
  <c r="AC110" i="2"/>
  <c r="AC107" i="2"/>
  <c r="AC111" i="2" s="1"/>
  <c r="AC92" i="2"/>
  <c r="AC102" i="2" s="1"/>
  <c r="AC90" i="2"/>
  <c r="AC91" i="2" s="1"/>
  <c r="AC69" i="2"/>
  <c r="AC66" i="2"/>
  <c r="AC60" i="2"/>
  <c r="AC53" i="2"/>
  <c r="AC54" i="2" s="1"/>
  <c r="AC61" i="2" s="1"/>
  <c r="AC42" i="2"/>
  <c r="AC41" i="2"/>
  <c r="AC40" i="2"/>
  <c r="AC39" i="2"/>
  <c r="N22" i="2"/>
  <c r="N28" i="2" s="1"/>
  <c r="N30" i="2" s="1"/>
  <c r="N32" i="2" s="1"/>
  <c r="N34" i="2" s="1"/>
  <c r="AC22" i="2"/>
  <c r="AC4" i="2"/>
  <c r="AC5" i="2" s="1"/>
  <c r="M13" i="2"/>
  <c r="M11" i="2"/>
  <c r="M10" i="2"/>
  <c r="M9" i="2"/>
  <c r="M42" i="2"/>
  <c r="M41" i="2"/>
  <c r="M40" i="2"/>
  <c r="M39" i="2"/>
  <c r="M38" i="2"/>
  <c r="M37" i="2"/>
  <c r="M22" i="2"/>
  <c r="V35" i="3"/>
  <c r="U35" i="3"/>
  <c r="T35" i="3"/>
  <c r="S35" i="3"/>
  <c r="R35" i="3"/>
  <c r="Q35" i="3"/>
  <c r="P35" i="3"/>
  <c r="O35" i="3"/>
  <c r="N35" i="3"/>
  <c r="V33" i="3"/>
  <c r="U33" i="3"/>
  <c r="T33" i="3"/>
  <c r="S33" i="3"/>
  <c r="R33" i="3"/>
  <c r="Q33" i="3"/>
  <c r="P33" i="3"/>
  <c r="O33" i="3"/>
  <c r="N33" i="3"/>
  <c r="M35" i="3"/>
  <c r="M33" i="3"/>
  <c r="V29" i="3"/>
  <c r="U29" i="3"/>
  <c r="T29" i="3"/>
  <c r="S29" i="3"/>
  <c r="R29" i="3"/>
  <c r="Q29" i="3"/>
  <c r="P29" i="3"/>
  <c r="O29" i="3"/>
  <c r="N29" i="3"/>
  <c r="V27" i="3"/>
  <c r="U27" i="3"/>
  <c r="T27" i="3"/>
  <c r="S27" i="3"/>
  <c r="R27" i="3"/>
  <c r="Q27" i="3"/>
  <c r="P27" i="3"/>
  <c r="O27" i="3"/>
  <c r="N27" i="3"/>
  <c r="M29" i="3"/>
  <c r="M27" i="3"/>
  <c r="L11" i="2"/>
  <c r="L10" i="2"/>
  <c r="L42" i="2"/>
  <c r="L41" i="2"/>
  <c r="L40" i="2"/>
  <c r="L39" i="2"/>
  <c r="L38" i="2"/>
  <c r="L37" i="2"/>
  <c r="L22" i="2"/>
  <c r="L13" i="2"/>
  <c r="T16" i="2"/>
  <c r="U16" i="2"/>
  <c r="V16" i="2"/>
  <c r="W16" i="2"/>
  <c r="X16" i="2"/>
  <c r="Y16" i="2"/>
  <c r="J38" i="2"/>
  <c r="I38" i="2"/>
  <c r="H38" i="2"/>
  <c r="G38" i="2"/>
  <c r="J37" i="2"/>
  <c r="I37" i="2"/>
  <c r="H37" i="2"/>
  <c r="G37" i="2"/>
  <c r="K37" i="2"/>
  <c r="K38" i="2"/>
  <c r="K42" i="2"/>
  <c r="K41" i="2"/>
  <c r="K40" i="2"/>
  <c r="K39" i="2"/>
  <c r="AB37" i="2"/>
  <c r="K11" i="2"/>
  <c r="K10" i="2"/>
  <c r="K9" i="2"/>
  <c r="K13" i="2"/>
  <c r="K22" i="2"/>
  <c r="K28" i="2" s="1"/>
  <c r="K30" i="2" s="1"/>
  <c r="K32" i="2" s="1"/>
  <c r="K34" i="2" s="1"/>
  <c r="V61" i="3"/>
  <c r="V59" i="3"/>
  <c r="P34" i="3"/>
  <c r="O34" i="3"/>
  <c r="N34" i="3"/>
  <c r="J3" i="3"/>
  <c r="O3" i="3" s="1"/>
  <c r="N28" i="3"/>
  <c r="O28" i="3" s="1"/>
  <c r="O26" i="3" s="1" a="1"/>
  <c r="O26" i="3" s="1"/>
  <c r="L45" i="3"/>
  <c r="K45" i="3"/>
  <c r="J45" i="3"/>
  <c r="I45" i="3"/>
  <c r="H45" i="3"/>
  <c r="G45" i="3"/>
  <c r="L42" i="3"/>
  <c r="K42" i="3"/>
  <c r="J42" i="3"/>
  <c r="I42" i="3"/>
  <c r="H42" i="3"/>
  <c r="G42" i="3"/>
  <c r="L37" i="3"/>
  <c r="K37" i="3"/>
  <c r="J37" i="3"/>
  <c r="I37" i="3"/>
  <c r="H37" i="3"/>
  <c r="G37" i="3"/>
  <c r="L25" i="3"/>
  <c r="K25" i="3"/>
  <c r="J25" i="3"/>
  <c r="I25" i="3"/>
  <c r="H25" i="3"/>
  <c r="G25" i="3"/>
  <c r="D2" i="5"/>
  <c r="E2" i="5" s="1"/>
  <c r="F2" i="5" s="1"/>
  <c r="G2" i="5" s="1"/>
  <c r="H2" i="5" s="1"/>
  <c r="I2" i="5" s="1"/>
  <c r="J2" i="5" s="1"/>
  <c r="I47" i="4"/>
  <c r="F41" i="4"/>
  <c r="F37" i="4"/>
  <c r="F32" i="4"/>
  <c r="F22" i="4"/>
  <c r="F20" i="4"/>
  <c r="F8" i="4"/>
  <c r="P32" i="3" a="1"/>
  <c r="P32" i="3" s="1"/>
  <c r="O32" i="3" a="1"/>
  <c r="O32" i="3" s="1"/>
  <c r="N32" i="3" a="1"/>
  <c r="N32" i="3" s="1"/>
  <c r="M32" i="3" a="1"/>
  <c r="M32" i="3" s="1"/>
  <c r="M26" i="3" a="1"/>
  <c r="M26" i="3" s="1"/>
  <c r="H24" i="3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E20" i="3"/>
  <c r="E19" i="3"/>
  <c r="E18" i="3"/>
  <c r="O4" i="3"/>
  <c r="E4" i="3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AC70" i="2" l="1"/>
  <c r="AC72" i="2" s="1"/>
  <c r="AC113" i="2"/>
  <c r="AC115" i="2" s="1"/>
  <c r="AC38" i="2"/>
  <c r="AC11" i="2"/>
  <c r="AC9" i="2"/>
  <c r="AC37" i="2"/>
  <c r="AC10" i="2"/>
  <c r="AC28" i="2"/>
  <c r="AC43" i="2"/>
  <c r="M28" i="2"/>
  <c r="M43" i="2"/>
  <c r="L28" i="2"/>
  <c r="L43" i="2"/>
  <c r="M44" i="2"/>
  <c r="M30" i="2"/>
  <c r="L44" i="2"/>
  <c r="L30" i="2"/>
  <c r="K43" i="2"/>
  <c r="K44" i="2"/>
  <c r="K45" i="2"/>
  <c r="L43" i="3"/>
  <c r="K46" i="3"/>
  <c r="L46" i="3"/>
  <c r="N26" i="3" a="1"/>
  <c r="N26" i="3" s="1"/>
  <c r="J46" i="3"/>
  <c r="G43" i="3"/>
  <c r="I43" i="3"/>
  <c r="J43" i="3"/>
  <c r="K43" i="3"/>
  <c r="L26" i="3"/>
  <c r="H43" i="3"/>
  <c r="K26" i="3"/>
  <c r="M25" i="3"/>
  <c r="M48" i="3" s="1"/>
  <c r="H46" i="3"/>
  <c r="I46" i="3"/>
  <c r="H26" i="3"/>
  <c r="I26" i="3"/>
  <c r="J26" i="3"/>
  <c r="O5" i="3"/>
  <c r="Q32" i="3" a="1"/>
  <c r="Q32" i="3" s="1"/>
  <c r="P28" i="3"/>
  <c r="G46" i="3"/>
  <c r="AC44" i="2" l="1"/>
  <c r="AC30" i="2"/>
  <c r="L32" i="2"/>
  <c r="L34" i="2" s="1"/>
  <c r="L45" i="2"/>
  <c r="M45" i="2"/>
  <c r="M32" i="2"/>
  <c r="M34" i="2" s="1"/>
  <c r="M45" i="3"/>
  <c r="N25" i="3"/>
  <c r="O25" i="3" s="1"/>
  <c r="M31" i="3"/>
  <c r="M37" i="3" s="1"/>
  <c r="M40" i="3" s="1"/>
  <c r="M42" i="3"/>
  <c r="R32" i="3" a="1"/>
  <c r="R32" i="3" s="1"/>
  <c r="Q28" i="3"/>
  <c r="P26" i="3" a="1"/>
  <c r="P26" i="3" s="1"/>
  <c r="AC45" i="2" l="1"/>
  <c r="AC32" i="2"/>
  <c r="AC34" i="2" s="1"/>
  <c r="N31" i="3"/>
  <c r="N37" i="3" s="1"/>
  <c r="N40" i="3" s="1"/>
  <c r="N42" i="3"/>
  <c r="N48" i="3"/>
  <c r="N45" i="3"/>
  <c r="M51" i="3"/>
  <c r="M52" i="3" s="1"/>
  <c r="S32" i="3" a="1"/>
  <c r="S32" i="3" s="1"/>
  <c r="Q26" i="3" a="1"/>
  <c r="Q26" i="3" s="1"/>
  <c r="R28" i="3"/>
  <c r="O42" i="3"/>
  <c r="P25" i="3"/>
  <c r="O45" i="3"/>
  <c r="O48" i="3"/>
  <c r="O31" i="3"/>
  <c r="N51" i="3" l="1"/>
  <c r="N52" i="3" s="1"/>
  <c r="T32" i="3" a="1"/>
  <c r="T32" i="3" s="1"/>
  <c r="S28" i="3"/>
  <c r="R26" i="3" a="1"/>
  <c r="R26" i="3" s="1"/>
  <c r="O37" i="3"/>
  <c r="O40" i="3" s="1"/>
  <c r="O51" i="3" s="1"/>
  <c r="O52" i="3" s="1"/>
  <c r="P45" i="3"/>
  <c r="Q25" i="3"/>
  <c r="P48" i="3"/>
  <c r="P42" i="3"/>
  <c r="P31" i="3"/>
  <c r="U32" i="3" l="1" a="1"/>
  <c r="U32" i="3" s="1"/>
  <c r="V32" i="3" a="1"/>
  <c r="V32" i="3" s="1"/>
  <c r="T28" i="3"/>
  <c r="S26" i="3" a="1"/>
  <c r="S26" i="3" s="1"/>
  <c r="P37" i="3"/>
  <c r="P40" i="3" s="1"/>
  <c r="P51" i="3" s="1"/>
  <c r="P52" i="3" s="1"/>
  <c r="Q48" i="3"/>
  <c r="R25" i="3"/>
  <c r="Q45" i="3"/>
  <c r="Q42" i="3"/>
  <c r="Q31" i="3"/>
  <c r="U28" i="3" l="1"/>
  <c r="T26" i="3" a="1"/>
  <c r="T26" i="3" s="1"/>
  <c r="Q37" i="3"/>
  <c r="Q40" i="3" s="1"/>
  <c r="Q51" i="3" s="1"/>
  <c r="Q52" i="3" s="1"/>
  <c r="R45" i="3"/>
  <c r="R48" i="3"/>
  <c r="R42" i="3"/>
  <c r="S25" i="3"/>
  <c r="R31" i="3"/>
  <c r="V28" i="3" l="1"/>
  <c r="V26" i="3" s="1" a="1"/>
  <c r="V26" i="3" s="1"/>
  <c r="U26" i="3" a="1"/>
  <c r="U26" i="3" s="1"/>
  <c r="R37" i="3"/>
  <c r="R40" i="3" s="1"/>
  <c r="R51" i="3" s="1"/>
  <c r="R52" i="3" s="1"/>
  <c r="S45" i="3"/>
  <c r="S48" i="3"/>
  <c r="T25" i="3"/>
  <c r="S42" i="3"/>
  <c r="S31" i="3"/>
  <c r="S37" i="3" l="1"/>
  <c r="S40" i="3" s="1"/>
  <c r="S51" i="3" s="1"/>
  <c r="S52" i="3" s="1"/>
  <c r="T42" i="3"/>
  <c r="T48" i="3"/>
  <c r="U25" i="3"/>
  <c r="T45" i="3"/>
  <c r="T31" i="3"/>
  <c r="T37" i="3" l="1"/>
  <c r="T40" i="3" s="1"/>
  <c r="T51" i="3" s="1"/>
  <c r="T52" i="3" s="1"/>
  <c r="U48" i="3"/>
  <c r="U42" i="3"/>
  <c r="V25" i="3"/>
  <c r="U45" i="3"/>
  <c r="U31" i="3"/>
  <c r="V48" i="3" l="1"/>
  <c r="V42" i="3"/>
  <c r="V45" i="3"/>
  <c r="V31" i="3"/>
  <c r="U37" i="3"/>
  <c r="U40" i="3" s="1"/>
  <c r="U51" i="3" s="1"/>
  <c r="U52" i="3" s="1"/>
  <c r="V37" i="3" l="1"/>
  <c r="V40" i="3" s="1"/>
  <c r="V51" i="3" l="1"/>
  <c r="V52" i="3" s="1"/>
  <c r="V54" i="3" s="1"/>
  <c r="V55" i="3"/>
  <c r="V56" i="3" s="1"/>
  <c r="V57" i="3" l="1"/>
  <c r="V60" i="3" s="1"/>
  <c r="V62" i="3" s="1"/>
  <c r="J4" i="3" s="1"/>
  <c r="N69" i="3" l="1"/>
  <c r="J5" i="3"/>
  <c r="C69" i="3"/>
  <c r="AA5" i="2"/>
  <c r="Z5" i="2"/>
  <c r="Y5" i="2"/>
  <c r="X5" i="2"/>
  <c r="W5" i="2"/>
  <c r="V5" i="2"/>
  <c r="U5" i="2"/>
  <c r="T5" i="2"/>
  <c r="AB5" i="2"/>
  <c r="AB3" i="2"/>
  <c r="AC3" i="2" s="1"/>
  <c r="G22" i="2"/>
  <c r="G28" i="2" s="1"/>
  <c r="G30" i="2" s="1"/>
  <c r="I11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I9" i="2"/>
  <c r="H9" i="2"/>
  <c r="G9" i="2"/>
  <c r="F9" i="2"/>
  <c r="E9" i="2"/>
  <c r="D9" i="2"/>
  <c r="C9" i="2"/>
  <c r="J11" i="2"/>
  <c r="J10" i="2"/>
  <c r="J9" i="2"/>
  <c r="V13" i="2"/>
  <c r="U13" i="2"/>
  <c r="T13" i="2"/>
  <c r="T11" i="2"/>
  <c r="V10" i="2"/>
  <c r="U10" i="2"/>
  <c r="T10" i="2"/>
  <c r="V9" i="2"/>
  <c r="U9" i="2"/>
  <c r="T9" i="2"/>
  <c r="U111" i="2"/>
  <c r="T105" i="2"/>
  <c r="T111" i="2" s="1"/>
  <c r="U102" i="2"/>
  <c r="T102" i="2"/>
  <c r="V102" i="2"/>
  <c r="T89" i="2"/>
  <c r="T87" i="2"/>
  <c r="T82" i="2"/>
  <c r="U89" i="2"/>
  <c r="U87" i="2"/>
  <c r="U90" i="2" s="1"/>
  <c r="V87" i="2"/>
  <c r="V89" i="2"/>
  <c r="U65" i="2"/>
  <c r="U66" i="2" s="1"/>
  <c r="U69" i="2"/>
  <c r="V69" i="2"/>
  <c r="V65" i="2"/>
  <c r="V66" i="2" s="1"/>
  <c r="AB66" i="2"/>
  <c r="AA66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U60" i="2"/>
  <c r="V60" i="2"/>
  <c r="U51" i="2"/>
  <c r="U54" i="2" s="1"/>
  <c r="T20" i="2"/>
  <c r="T22" i="2" s="1"/>
  <c r="U20" i="2"/>
  <c r="U22" i="2" s="1"/>
  <c r="U43" i="2" s="1"/>
  <c r="V20" i="2"/>
  <c r="V22" i="2" s="1"/>
  <c r="V28" i="2" s="1"/>
  <c r="V30" i="2" s="1"/>
  <c r="V45" i="2" s="1"/>
  <c r="J22" i="2"/>
  <c r="J28" i="2" s="1"/>
  <c r="I22" i="2"/>
  <c r="I28" i="2" s="1"/>
  <c r="H22" i="2"/>
  <c r="H28" i="2" s="1"/>
  <c r="F22" i="2"/>
  <c r="F28" i="2" s="1"/>
  <c r="E22" i="2"/>
  <c r="E28" i="2" s="1"/>
  <c r="D22" i="2"/>
  <c r="D28" i="2" s="1"/>
  <c r="C22" i="2"/>
  <c r="C28" i="2" s="1"/>
  <c r="AA22" i="2"/>
  <c r="AA28" i="2" s="1"/>
  <c r="Z22" i="2"/>
  <c r="Z28" i="2" s="1"/>
  <c r="Y22" i="2"/>
  <c r="Y28" i="2" s="1"/>
  <c r="X22" i="2"/>
  <c r="X28" i="2" s="1"/>
  <c r="W22" i="2"/>
  <c r="W43" i="2" s="1"/>
  <c r="AB22" i="2"/>
  <c r="AB28" i="2" s="1"/>
  <c r="W65" i="2"/>
  <c r="W66" i="2" s="1"/>
  <c r="Z65" i="2"/>
  <c r="Z66" i="2" s="1"/>
  <c r="U11" i="2"/>
  <c r="W89" i="2"/>
  <c r="W90" i="2" s="1"/>
  <c r="G48" i="3" s="1"/>
  <c r="G49" i="3" s="1"/>
  <c r="X89" i="2"/>
  <c r="X90" i="2" s="1"/>
  <c r="H48" i="3" s="1"/>
  <c r="H49" i="3" s="1"/>
  <c r="Y89" i="2"/>
  <c r="Y90" i="2" s="1"/>
  <c r="I48" i="3" s="1"/>
  <c r="I49" i="3" s="1"/>
  <c r="Z69" i="2"/>
  <c r="Y69" i="2"/>
  <c r="X69" i="2"/>
  <c r="W69" i="2"/>
  <c r="X65" i="2"/>
  <c r="X66" i="2" s="1"/>
  <c r="Y65" i="2"/>
  <c r="Y66" i="2" s="1"/>
  <c r="Y42" i="2"/>
  <c r="X42" i="2"/>
  <c r="Y41" i="2"/>
  <c r="X41" i="2"/>
  <c r="Y40" i="2"/>
  <c r="X40" i="2"/>
  <c r="Y39" i="2"/>
  <c r="X39" i="2"/>
  <c r="Y38" i="2"/>
  <c r="X38" i="2"/>
  <c r="Y37" i="2"/>
  <c r="X37" i="2"/>
  <c r="AB13" i="2"/>
  <c r="AA13" i="2"/>
  <c r="Z13" i="2"/>
  <c r="Y13" i="2"/>
  <c r="X13" i="2"/>
  <c r="W13" i="2"/>
  <c r="Y11" i="2"/>
  <c r="X11" i="2"/>
  <c r="W11" i="2"/>
  <c r="V11" i="2"/>
  <c r="X10" i="2"/>
  <c r="Y10" i="2"/>
  <c r="W10" i="2"/>
  <c r="Y9" i="2"/>
  <c r="X9" i="2"/>
  <c r="W9" i="2"/>
  <c r="AA115" i="2"/>
  <c r="AA111" i="2"/>
  <c r="Z111" i="2"/>
  <c r="Y111" i="2"/>
  <c r="X111" i="2"/>
  <c r="W111" i="2"/>
  <c r="V111" i="2"/>
  <c r="AB110" i="2"/>
  <c r="AB111" i="2" s="1"/>
  <c r="AA102" i="2"/>
  <c r="Z102" i="2"/>
  <c r="Y102" i="2"/>
  <c r="X102" i="2"/>
  <c r="W102" i="2"/>
  <c r="AB101" i="2"/>
  <c r="AB102" i="2" s="1"/>
  <c r="AA82" i="2"/>
  <c r="AA79" i="2"/>
  <c r="AA90" i="2"/>
  <c r="K48" i="3" s="1"/>
  <c r="K49" i="3" s="1"/>
  <c r="Z90" i="2"/>
  <c r="J48" i="3" s="1"/>
  <c r="J49" i="3" s="1"/>
  <c r="AB90" i="2"/>
  <c r="L48" i="3" s="1"/>
  <c r="L49" i="3" s="1"/>
  <c r="AA69" i="2"/>
  <c r="AB69" i="2"/>
  <c r="AA51" i="2"/>
  <c r="AA54" i="2" s="1"/>
  <c r="Z54" i="2"/>
  <c r="Y54" i="2"/>
  <c r="X54" i="2"/>
  <c r="W54" i="2"/>
  <c r="V54" i="2"/>
  <c r="AA60" i="2"/>
  <c r="Z60" i="2"/>
  <c r="Y60" i="2"/>
  <c r="X60" i="2"/>
  <c r="W60" i="2"/>
  <c r="AB60" i="2"/>
  <c r="AB51" i="2"/>
  <c r="AB54" i="2" s="1"/>
  <c r="AA42" i="2"/>
  <c r="Z42" i="2"/>
  <c r="AA41" i="2"/>
  <c r="Z41" i="2"/>
  <c r="AA40" i="2"/>
  <c r="Z40" i="2"/>
  <c r="AB42" i="2"/>
  <c r="AB41" i="2"/>
  <c r="AB40" i="2"/>
  <c r="AA39" i="2"/>
  <c r="Z39" i="2"/>
  <c r="AB39" i="2"/>
  <c r="AA38" i="2"/>
  <c r="Z38" i="2"/>
  <c r="AB38" i="2"/>
  <c r="AA37" i="2"/>
  <c r="Z37" i="2"/>
  <c r="AA11" i="2"/>
  <c r="Z11" i="2"/>
  <c r="AB11" i="2"/>
  <c r="AA10" i="2"/>
  <c r="Z10" i="2"/>
  <c r="AB10" i="2"/>
  <c r="AA9" i="2"/>
  <c r="Z9" i="2"/>
  <c r="AB9" i="2"/>
  <c r="I39" i="2"/>
  <c r="H39" i="2"/>
  <c r="G39" i="2"/>
  <c r="J39" i="2"/>
  <c r="I42" i="2"/>
  <c r="H42" i="2"/>
  <c r="G42" i="2"/>
  <c r="I41" i="2"/>
  <c r="H41" i="2"/>
  <c r="G41" i="2"/>
  <c r="I40" i="2"/>
  <c r="H40" i="2"/>
  <c r="G40" i="2"/>
  <c r="J41" i="2"/>
  <c r="J40" i="2"/>
  <c r="J13" i="2"/>
  <c r="I13" i="2"/>
  <c r="H13" i="2"/>
  <c r="G13" i="2"/>
  <c r="F13" i="2"/>
  <c r="D13" i="2"/>
  <c r="C13" i="2"/>
  <c r="E13" i="2"/>
  <c r="J42" i="2"/>
  <c r="I4" i="1"/>
  <c r="T90" i="2" l="1"/>
  <c r="AB30" i="2"/>
  <c r="AB32" i="2" s="1"/>
  <c r="AB34" i="2" s="1"/>
  <c r="L31" i="3"/>
  <c r="Z30" i="2"/>
  <c r="Z32" i="2" s="1"/>
  <c r="Z34" i="2" s="1"/>
  <c r="J31" i="3"/>
  <c r="X30" i="2"/>
  <c r="H31" i="3"/>
  <c r="Y30" i="2"/>
  <c r="Y32" i="2" s="1"/>
  <c r="Y34" i="2" s="1"/>
  <c r="I31" i="3"/>
  <c r="AA30" i="2"/>
  <c r="AA32" i="2" s="1"/>
  <c r="AA34" i="2" s="1"/>
  <c r="K31" i="3"/>
  <c r="V90" i="2"/>
  <c r="V70" i="2"/>
  <c r="V72" i="2" s="1"/>
  <c r="Y70" i="2"/>
  <c r="Y72" i="2" s="1"/>
  <c r="X70" i="2"/>
  <c r="X72" i="2" s="1"/>
  <c r="E43" i="2"/>
  <c r="U70" i="2"/>
  <c r="U72" i="2" s="1"/>
  <c r="T28" i="2"/>
  <c r="T43" i="2"/>
  <c r="U28" i="2"/>
  <c r="U44" i="2" s="1"/>
  <c r="V61" i="2"/>
  <c r="V43" i="2"/>
  <c r="W28" i="2"/>
  <c r="V44" i="2"/>
  <c r="U61" i="2"/>
  <c r="V32" i="2"/>
  <c r="AB43" i="2"/>
  <c r="AA70" i="2"/>
  <c r="AA72" i="2" s="1"/>
  <c r="AB45" i="2"/>
  <c r="Y44" i="2"/>
  <c r="W70" i="2"/>
  <c r="W72" i="2" s="1"/>
  <c r="W61" i="2"/>
  <c r="AB74" i="2"/>
  <c r="AB91" i="2" s="1"/>
  <c r="AB113" i="2" s="1"/>
  <c r="AB115" i="2" s="1"/>
  <c r="Z61" i="2"/>
  <c r="X43" i="2"/>
  <c r="AB70" i="2"/>
  <c r="AB72" i="2" s="1"/>
  <c r="Z70" i="2"/>
  <c r="Z72" i="2" s="1"/>
  <c r="Y43" i="2"/>
  <c r="X44" i="2"/>
  <c r="X61" i="2"/>
  <c r="Y61" i="2"/>
  <c r="AB61" i="2"/>
  <c r="AA45" i="2"/>
  <c r="Z74" i="2"/>
  <c r="Z91" i="2" s="1"/>
  <c r="Z113" i="2" s="1"/>
  <c r="Z45" i="2"/>
  <c r="AA74" i="2"/>
  <c r="AA91" i="2" s="1"/>
  <c r="AA113" i="2" s="1"/>
  <c r="AA114" i="2" s="1"/>
  <c r="Z115" i="2" s="1"/>
  <c r="Z43" i="2"/>
  <c r="AA43" i="2"/>
  <c r="Z44" i="2"/>
  <c r="AA44" i="2"/>
  <c r="AB44" i="2"/>
  <c r="AA61" i="2"/>
  <c r="E30" i="2"/>
  <c r="E45" i="2" s="1"/>
  <c r="I7" i="1"/>
  <c r="I43" i="2"/>
  <c r="C43" i="2"/>
  <c r="D43" i="2"/>
  <c r="F43" i="2"/>
  <c r="G43" i="2"/>
  <c r="H43" i="2"/>
  <c r="J43" i="2"/>
  <c r="I30" i="2"/>
  <c r="I44" i="2"/>
  <c r="C30" i="2"/>
  <c r="C44" i="2"/>
  <c r="D30" i="2"/>
  <c r="D44" i="2"/>
  <c r="F44" i="2"/>
  <c r="F30" i="2"/>
  <c r="G44" i="2"/>
  <c r="H44" i="2"/>
  <c r="H30" i="2"/>
  <c r="J44" i="2"/>
  <c r="J30" i="2"/>
  <c r="X32" i="2" l="1"/>
  <c r="X45" i="2"/>
  <c r="Y74" i="2"/>
  <c r="Y91" i="2" s="1"/>
  <c r="Y113" i="2" s="1"/>
  <c r="K32" i="3"/>
  <c r="K40" i="3"/>
  <c r="K51" i="3" s="1"/>
  <c r="K38" i="3"/>
  <c r="Y45" i="2"/>
  <c r="W30" i="2"/>
  <c r="G31" i="3"/>
  <c r="I40" i="3"/>
  <c r="I51" i="3" s="1"/>
  <c r="I32" i="3"/>
  <c r="I38" i="3"/>
  <c r="H38" i="3"/>
  <c r="H40" i="3"/>
  <c r="H51" i="3" s="1"/>
  <c r="H32" i="3"/>
  <c r="J40" i="3"/>
  <c r="J51" i="3" s="1"/>
  <c r="J38" i="3"/>
  <c r="J32" i="3"/>
  <c r="U30" i="2"/>
  <c r="L38" i="3"/>
  <c r="L40" i="3"/>
  <c r="L51" i="3" s="1"/>
  <c r="L32" i="3"/>
  <c r="U32" i="2"/>
  <c r="U45" i="2"/>
  <c r="W44" i="2"/>
  <c r="T30" i="2"/>
  <c r="T44" i="2"/>
  <c r="V34" i="2"/>
  <c r="V74" i="2"/>
  <c r="V91" i="2" s="1"/>
  <c r="V113" i="2" s="1"/>
  <c r="Z114" i="2"/>
  <c r="Y115" i="2" s="1"/>
  <c r="Y114" i="2" s="1"/>
  <c r="X115" i="2" s="1"/>
  <c r="E32" i="2"/>
  <c r="E34" i="2" s="1"/>
  <c r="E44" i="2"/>
  <c r="J45" i="2"/>
  <c r="J32" i="2"/>
  <c r="J34" i="2" s="1"/>
  <c r="H45" i="2"/>
  <c r="H32" i="2"/>
  <c r="H34" i="2" s="1"/>
  <c r="G45" i="2"/>
  <c r="G32" i="2"/>
  <c r="G34" i="2" s="1"/>
  <c r="F45" i="2"/>
  <c r="F32" i="2"/>
  <c r="F34" i="2" s="1"/>
  <c r="D45" i="2"/>
  <c r="D32" i="2"/>
  <c r="D34" i="2" s="1"/>
  <c r="C45" i="2"/>
  <c r="C32" i="2"/>
  <c r="C34" i="2" s="1"/>
  <c r="I45" i="2"/>
  <c r="I32" i="2"/>
  <c r="I34" i="2" s="1"/>
  <c r="X34" i="2" l="1"/>
  <c r="X74" i="2"/>
  <c r="X91" i="2" s="1"/>
  <c r="X113" i="2" s="1"/>
  <c r="X114" i="2" s="1"/>
  <c r="W115" i="2" s="1"/>
  <c r="G38" i="3"/>
  <c r="G40" i="3"/>
  <c r="G51" i="3" s="1"/>
  <c r="G32" i="3"/>
  <c r="W32" i="2"/>
  <c r="W45" i="2"/>
  <c r="U34" i="2"/>
  <c r="U74" i="2"/>
  <c r="U91" i="2" s="1"/>
  <c r="U113" i="2" s="1"/>
  <c r="T32" i="2"/>
  <c r="T45" i="2"/>
  <c r="W34" i="2" l="1"/>
  <c r="W74" i="2"/>
  <c r="W91" i="2" s="1"/>
  <c r="W113" i="2" s="1"/>
  <c r="W114" i="2" s="1"/>
  <c r="V115" i="2" s="1"/>
  <c r="V114" i="2" s="1"/>
  <c r="U115" i="2" s="1"/>
  <c r="U114" i="2" s="1"/>
  <c r="T115" i="2" s="1"/>
  <c r="T34" i="2"/>
  <c r="T74" i="2"/>
  <c r="T91" i="2" s="1"/>
  <c r="T113" i="2" s="1"/>
  <c r="T1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<sst xmlns="http://schemas.openxmlformats.org/spreadsheetml/2006/main" count="430" uniqueCount="347">
  <si>
    <t>PYPL</t>
  </si>
  <si>
    <t>IR</t>
  </si>
  <si>
    <t>numbers in mio USD</t>
  </si>
  <si>
    <t>Price</t>
  </si>
  <si>
    <t>Shares</t>
  </si>
  <si>
    <t>MC</t>
  </si>
  <si>
    <t>Cash</t>
  </si>
  <si>
    <t>Debt</t>
  </si>
  <si>
    <t>EV</t>
  </si>
  <si>
    <t>Paypal Holding Inc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</si>
  <si>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</si>
  <si>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</si>
  <si>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</si>
  <si>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</si>
  <si>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</si>
  <si>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</si>
  <si>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</si>
  <si>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</si>
  <si>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</si>
  <si>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</si>
  <si>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</si>
  <si>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</si>
  <si>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</si>
  <si>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</si>
  <si>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</si>
  <si>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</si>
  <si>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</si>
  <si>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Transaction Expense</t>
  </si>
  <si>
    <t>Gross Profit</t>
  </si>
  <si>
    <t>Transaction &amp; Credit losses</t>
  </si>
  <si>
    <t>Customer Support</t>
  </si>
  <si>
    <t>S&amp;M</t>
  </si>
  <si>
    <t>Technology &amp; Development</t>
  </si>
  <si>
    <t>G&amp;A</t>
  </si>
  <si>
    <t>Restructuring</t>
  </si>
  <si>
    <t>Operating Income</t>
  </si>
  <si>
    <t>Other Income</t>
  </si>
  <si>
    <t>Pretax Income</t>
  </si>
  <si>
    <t>Tax Expense</t>
  </si>
  <si>
    <t>Net Income</t>
  </si>
  <si>
    <t>EPS</t>
  </si>
  <si>
    <t>Revenue Growth</t>
  </si>
  <si>
    <t xml:space="preserve">Gross Margin </t>
  </si>
  <si>
    <t xml:space="preserve">Operating Margin </t>
  </si>
  <si>
    <t>Tax Rate</t>
  </si>
  <si>
    <t>Transaction Revenue</t>
  </si>
  <si>
    <t>Other Services</t>
  </si>
  <si>
    <t>Total Payment Volume</t>
  </si>
  <si>
    <t>Fee in %</t>
  </si>
  <si>
    <t>Payment Volume Growth</t>
  </si>
  <si>
    <t>Transaction Rev Growth</t>
  </si>
  <si>
    <t>Other Services Growth</t>
  </si>
  <si>
    <t>Active Accounts</t>
  </si>
  <si>
    <t xml:space="preserve">Number of transaction </t>
  </si>
  <si>
    <t>ATPU</t>
  </si>
  <si>
    <t>Average Transaction Amount</t>
  </si>
  <si>
    <t>Transaction Amount per User</t>
  </si>
  <si>
    <t>User Growth</t>
  </si>
  <si>
    <t>Transaction Growth</t>
  </si>
  <si>
    <t>Cash &amp; Cash Equivalents</t>
  </si>
  <si>
    <t>Short-term investments</t>
  </si>
  <si>
    <t>Accounts Receivables</t>
  </si>
  <si>
    <t>Loans and interest reveivables</t>
  </si>
  <si>
    <t>Funds receivable and costumer accounts</t>
  </si>
  <si>
    <t>Current Assets</t>
  </si>
  <si>
    <t>Long-term investments</t>
  </si>
  <si>
    <t>PP&amp;E</t>
  </si>
  <si>
    <t>Goodwill</t>
  </si>
  <si>
    <t>Intangibles</t>
  </si>
  <si>
    <t>Other</t>
  </si>
  <si>
    <t>Non-Current Assets</t>
  </si>
  <si>
    <t>Total Assets</t>
  </si>
  <si>
    <t>Accounts Payables</t>
  </si>
  <si>
    <t>Funds payables</t>
  </si>
  <si>
    <t>Accrued Expenses</t>
  </si>
  <si>
    <t>Current Liabilities</t>
  </si>
  <si>
    <t>Non-Current Liabilities</t>
  </si>
  <si>
    <t>Total Liabilties</t>
  </si>
  <si>
    <t>Equity</t>
  </si>
  <si>
    <t>Liabilties &amp; Equity</t>
  </si>
  <si>
    <t>Transaction and credit losses</t>
  </si>
  <si>
    <t>D&amp;A</t>
  </si>
  <si>
    <t>SBCs</t>
  </si>
  <si>
    <t>Deferred Income Taxes</t>
  </si>
  <si>
    <t>Gains on strategic investments</t>
  </si>
  <si>
    <t>Accretion of discounts</t>
  </si>
  <si>
    <t>Adjustments to loans</t>
  </si>
  <si>
    <t>Originations of loans receivables</t>
  </si>
  <si>
    <t>Proceeds from repayments</t>
  </si>
  <si>
    <t>Change in Account Receivables</t>
  </si>
  <si>
    <t>Change in Transaction loss allowance</t>
  </si>
  <si>
    <t>Change in other assets</t>
  </si>
  <si>
    <t>Change in Accounts Payables</t>
  </si>
  <si>
    <t>Change in other liabilities</t>
  </si>
  <si>
    <t>Change in WC</t>
  </si>
  <si>
    <t>CFFO</t>
  </si>
  <si>
    <t>CapEx</t>
  </si>
  <si>
    <t>Disposal of PP&amp;E</t>
  </si>
  <si>
    <t>Purchase of loans receivables</t>
  </si>
  <si>
    <t>Disposal of loans receivables</t>
  </si>
  <si>
    <t>Purchase of Investments</t>
  </si>
  <si>
    <t>Maturities and sales of investments</t>
  </si>
  <si>
    <t>Proceeds from divestitures</t>
  </si>
  <si>
    <t>Funds receivables</t>
  </si>
  <si>
    <t>Colleteral posted</t>
  </si>
  <si>
    <t>CFFI</t>
  </si>
  <si>
    <t>Issuance of Stock</t>
  </si>
  <si>
    <t>Purchase of treassury stock</t>
  </si>
  <si>
    <t>Tax withholdings related to settlement</t>
  </si>
  <si>
    <t>Borrowings</t>
  </si>
  <si>
    <t>Repayment of Borrowings</t>
  </si>
  <si>
    <t>Funds payables and due to costumers</t>
  </si>
  <si>
    <t>Colleteral received</t>
  </si>
  <si>
    <t>CFFF</t>
  </si>
  <si>
    <t>FX Effect</t>
  </si>
  <si>
    <t>Change in Cash</t>
  </si>
  <si>
    <t>Cash &amp; Cashequivalents BoP</t>
  </si>
  <si>
    <t>Cash &amp; Cashequivalents EoP</t>
  </si>
  <si>
    <t xml:space="preserve">CEO: </t>
  </si>
  <si>
    <t>Isable Cruz</t>
  </si>
  <si>
    <t>CPO:</t>
  </si>
  <si>
    <t>CFO:</t>
  </si>
  <si>
    <t>Jamie Miller</t>
  </si>
  <si>
    <t>CTO:</t>
  </si>
  <si>
    <t>Srini Venkatesan</t>
  </si>
  <si>
    <t>FY17</t>
  </si>
  <si>
    <t>FY16</t>
  </si>
  <si>
    <t>Short-term debt</t>
  </si>
  <si>
    <t xml:space="preserve">Contribution Margin </t>
  </si>
  <si>
    <t>Management</t>
  </si>
  <si>
    <t>Founded:</t>
  </si>
  <si>
    <t>Founders: Peter Thiel, Max Levchin, Ken Howery, Luke Nosek, Yu Pan</t>
  </si>
  <si>
    <t>Notes</t>
  </si>
  <si>
    <t>Partnerships: adyen, prime, fiserv, global payment, shopify</t>
  </si>
  <si>
    <t>Businessmodel:</t>
  </si>
  <si>
    <t>payment solutions</t>
  </si>
  <si>
    <t>Paypal, Venmo</t>
  </si>
  <si>
    <t>value added services: partnerships, interest &amp; fees credit products etc.</t>
  </si>
  <si>
    <t>2000: merger with X.com by Elon Musk, 2002 aquired by Ebay for 1,5 billion USD, 2015 spin-off</t>
  </si>
  <si>
    <t>Global GDP</t>
  </si>
  <si>
    <t>Service GDP</t>
  </si>
  <si>
    <t>% of PayPal Payment Volume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</si>
  <si>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</si>
  <si>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</si>
  <si>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</si>
  <si>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</si>
  <si>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</si>
  <si>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</si>
  <si>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</si>
  <si>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x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</si>
  <si>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</si>
  <si>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</si>
  <si>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</si>
  <si>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</si>
  <si>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</si>
  <si>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</si>
  <si>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</si>
  <si>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</si>
  <si>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</si>
  <si>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</si>
  <si>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</si>
  <si>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</si>
  <si>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</si>
  <si>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</si>
  <si>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</si>
  <si>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</si>
  <si>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</si>
  <si>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</si>
  <si>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</si>
  <si>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</si>
  <si>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</si>
  <si>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</si>
  <si>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</si>
  <si>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</si>
  <si>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</si>
  <si>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</si>
  <si>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</si>
  <si>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</si>
  <si>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</si>
  <si>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</si>
  <si>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</si>
  <si>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</si>
  <si>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</si>
  <si>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</si>
  <si>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</si>
  <si>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</si>
  <si>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</si>
  <si>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</si>
  <si>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</si>
  <si>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</si>
  <si>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</si>
  <si>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</si>
  <si>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</si>
  <si>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</si>
  <si>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</si>
  <si>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</si>
  <si>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</si>
  <si>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</si>
  <si>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</si>
  <si>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</si>
  <si>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</si>
  <si>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</si>
  <si>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</si>
  <si>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</si>
  <si>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</si>
  <si>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</si>
  <si>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</si>
  <si>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</si>
  <si>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</si>
  <si>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</si>
  <si>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</si>
  <si>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</si>
  <si>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</si>
  <si>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</si>
  <si>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</si>
  <si>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</si>
  <si>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</si>
  <si>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</si>
  <si>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</si>
  <si>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</si>
  <si>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</si>
  <si>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</si>
  <si>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</si>
  <si>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</si>
  <si>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</si>
  <si>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</si>
  <si>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Change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</si>
  <si>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</si>
  <si>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</si>
  <si>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</si>
  <si>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</si>
  <si>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</si>
  <si>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</si>
  <si>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</si>
  <si>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</si>
  <si>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</si>
  <si>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</si>
  <si>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</si>
  <si>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</si>
  <si>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</si>
  <si>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</si>
  <si>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</si>
  <si>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</si>
  <si>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</si>
  <si>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</si>
  <si>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</si>
  <si>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</si>
  <si>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</si>
  <si>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</si>
  <si>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</si>
  <si>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</si>
  <si>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</si>
  <si>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</si>
  <si>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</si>
  <si>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</si>
  <si>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</si>
  <si>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</si>
  <si>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</si>
  <si>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</si>
  <si>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</si>
  <si>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</si>
  <si>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</si>
  <si>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</si>
  <si>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</si>
  <si>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</si>
  <si>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</si>
  <si>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</si>
  <si>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</si>
  <si>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</si>
  <si>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</si>
  <si>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</si>
  <si>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</si>
  <si>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</si>
  <si>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</si>
  <si>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</si>
  <si>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</si>
  <si>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</si>
  <si>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</si>
  <si>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</si>
  <si>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</si>
  <si>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</si>
  <si>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</si>
  <si>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</si>
  <si>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</si>
  <si>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</si>
  <si>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</si>
  <si>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</si>
  <si>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</si>
  <si>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</si>
  <si>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</si>
  <si>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</si>
  <si>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</si>
  <si>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</si>
  <si>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</si>
  <si>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</si>
  <si>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</si>
  <si>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</si>
  <si>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</si>
  <si>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</si>
  <si>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</si>
  <si>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</si>
  <si>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</si>
  <si>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</si>
  <si>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</si>
  <si>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</si>
  <si>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</si>
  <si>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</si>
  <si>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</si>
  <si>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</si>
  <si>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</si>
  <si>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</si>
  <si>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</si>
  <si>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</si>
  <si>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</si>
  <si>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</si>
  <si>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</si>
  <si>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</si>
  <si>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PayPal DCF</t>
  </si>
  <si>
    <t xml:space="preserve">Paypal stable coin PYUSD = 1 USD -&gt; aims to yield 3.7% </t>
  </si>
  <si>
    <t xml:space="preserve">MarketCap PYUSD: </t>
  </si>
  <si>
    <t>MarketCap Thether:</t>
  </si>
  <si>
    <t>Q125</t>
  </si>
  <si>
    <t>Q225</t>
  </si>
  <si>
    <t>Q325</t>
  </si>
  <si>
    <t>Q425</t>
  </si>
  <si>
    <t>US Revenue</t>
  </si>
  <si>
    <t>International Revenue</t>
  </si>
  <si>
    <t>PayPal Everywhere, Enhanced chekckout, Fastlane</t>
  </si>
  <si>
    <t xml:space="preserve">growth drivers: win checkout, scale omni and venmo, </t>
  </si>
  <si>
    <t>drive psp profitability, scale next-gen growth vectors (crypto, agentic commerce)</t>
  </si>
  <si>
    <t>Launch of Paypal virtual credit card in Germany -&gt; banking license in Luxembourg</t>
  </si>
  <si>
    <t>Competitors: Visa, Mastercard</t>
  </si>
  <si>
    <t>Revenue -&gt; primarily: charging feesfrom merchants  for completing transactions,</t>
  </si>
  <si>
    <t xml:space="preserve"> typical fee: 2,99% in the US, currency conversion fees, instant transfer; </t>
  </si>
  <si>
    <t>Deal with OpenAi</t>
  </si>
  <si>
    <t>Interim CEO</t>
  </si>
  <si>
    <t>FY25</t>
  </si>
  <si>
    <t>Prepaid Expenses &amp; other</t>
  </si>
  <si>
    <t>Enrique Lores</t>
  </si>
  <si>
    <t>Q425:</t>
  </si>
  <si>
    <t>Alex Chriss (CEO 2023 - 2025)</t>
  </si>
  <si>
    <t>Paypal potential candidate for Takeover (https://finance.yahoo.com/news/paypal-faces-takeover-talk-ai-221058219.html?guccounter=1&amp;guce_referrer=aHR0cHM6Ly93d3cuZ29vZ2xlLmNvbS8&amp;guce_referrer_sig=AQAAADvebTLk8diE1pdvprcTUyH1RRbW6aRvjvFzRUYfnIHXBL10fNG_DM_aensxTpeyxmAAKZUak8aw5PPdMSyGeC0dHMxttNiuqbya5St_2_xzQtHpAIH16cXnDjrJkyVOak4uLBUTq69Zy3mgw1wX8oVw4F7_zIewFOntMvGyy4vD)</t>
  </si>
  <si>
    <t>Q126</t>
  </si>
  <si>
    <t>Q226</t>
  </si>
  <si>
    <t>Q326</t>
  </si>
  <si>
    <t>Q426</t>
  </si>
  <si>
    <t>Q1 26: Turnaround plan: cut 20% of 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</si>
</sst>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%"/>
    <numFmt numFmtId="166" formatCode="&quot;FY&quot;0&quot;A&quot;"/>
    <numFmt numFmtId="167" formatCode="#,##0;\(#,##0\)"/>
    <numFmt numFmtId="168" formatCode="#,##0.0;[Red]#,##0.0"/>
    <numFmt numFmtId="169" formatCode="0.0"/>
    <numFmt numFmtId="170" formatCode="\F\Y#,##0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10" fillId="0" borderId="0" xfId="0" applyFont="1"/>
    <xf numFmtId="0" fontId="6" fillId="0" borderId="0" xfId="0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12" fillId="0" borderId="0" xfId="2" applyFont="1"/>
    <xf numFmtId="0" fontId="13" fillId="0" borderId="0" xfId="0" applyFont="1"/>
    <xf numFmtId="9" fontId="6" fillId="0" borderId="0" xfId="1" applyFont="1" applyAlignment="1">
      <alignment horizontal="right"/>
    </xf>
    <xf numFmtId="164" fontId="6" fillId="0" borderId="0" xfId="0" applyNumberFormat="1" applyFont="1"/>
    <xf numFmtId="3" fontId="10" fillId="0" borderId="0" xfId="0" applyNumberFormat="1" applyFont="1"/>
    <xf numFmtId="165" fontId="6" fillId="0" borderId="0" xfId="1" applyNumberFormat="1" applyFont="1"/>
    <xf numFmtId="9" fontId="6" fillId="0" borderId="0" xfId="1" applyFont="1"/>
    <xf numFmtId="4" fontId="6" fillId="0" borderId="0" xfId="0" applyNumberFormat="1" applyFont="1"/>
    <xf numFmtId="9" fontId="10" fillId="0" borderId="0" xfId="1" applyFont="1"/>
    <xf numFmtId="0" fontId="14" fillId="0" borderId="0" xfId="0" applyFont="1"/>
    <xf numFmtId="170" fontId="15" fillId="0" borderId="0" xfId="0" applyNumberFormat="1" applyFont="1" applyAlignment="1">
      <alignment horizontal="right"/>
    </xf>
    <xf numFmtId="0" fontId="15" fillId="0" borderId="0" xfId="0" applyFont="1"/>
    <xf numFmtId="167" fontId="6" fillId="0" borderId="0" xfId="0" applyNumberFormat="1" applyFont="1"/>
    <xf numFmtId="0" fontId="6" fillId="0" borderId="0" xfId="0" applyFont="1" applyAlignment="1">
      <alignment horizontal="center"/>
    </xf>
    <xf numFmtId="0" fontId="16" fillId="0" borderId="0" xfId="0" applyFont="1"/>
    <xf numFmtId="0" fontId="6" fillId="0" borderId="0" xfId="0" quotePrefix="1" applyFont="1"/>
    <xf numFmtId="9" fontId="6" fillId="0" borderId="0" xfId="0" applyNumberFormat="1" applyFont="1"/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168" fontId="6" fillId="0" borderId="0" xfId="0" applyNumberFormat="1" applyFont="1"/>
    <xf numFmtId="0" fontId="9" fillId="3" borderId="0" xfId="0" applyFont="1" applyFill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12" fillId="0" borderId="1" xfId="2" applyFont="1" applyBorder="1"/>
    <xf numFmtId="0" fontId="10" fillId="0" borderId="1" xfId="0" applyFont="1" applyBorder="1"/>
    <xf numFmtId="0" fontId="6" fillId="0" borderId="1" xfId="0" applyFont="1" applyBorder="1"/>
    <xf numFmtId="0" fontId="6" fillId="0" borderId="2" xfId="0" applyFont="1" applyBorder="1"/>
    <xf numFmtId="0" fontId="6" fillId="2" borderId="3" xfId="0" applyFont="1" applyFill="1" applyBorder="1" applyAlignment="1">
      <alignment horizontal="center"/>
    </xf>
    <xf numFmtId="16" fontId="6" fillId="2" borderId="4" xfId="0" applyNumberFormat="1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164" fontId="6" fillId="2" borderId="4" xfId="1" applyNumberFormat="1" applyFont="1" applyFill="1" applyBorder="1" applyAlignment="1">
      <alignment horizontal="center"/>
    </xf>
    <xf numFmtId="9" fontId="6" fillId="2" borderId="4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/>
    <xf numFmtId="0" fontId="11" fillId="4" borderId="0" xfId="0" applyFont="1" applyFill="1"/>
    <xf numFmtId="0" fontId="6" fillId="2" borderId="4" xfId="0" applyFont="1" applyFill="1" applyBorder="1" applyAlignment="1">
      <alignment horizontal="center"/>
    </xf>
    <xf numFmtId="165" fontId="6" fillId="2" borderId="4" xfId="1" applyNumberFormat="1" applyFont="1" applyFill="1" applyBorder="1" applyAlignment="1">
      <alignment horizontal="center"/>
    </xf>
    <xf numFmtId="166" fontId="9" fillId="3" borderId="0" xfId="0" applyNumberFormat="1" applyFont="1" applyFill="1"/>
    <xf numFmtId="0" fontId="1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7" fillId="0" borderId="0" xfId="0" applyFont="1"/>
    <xf numFmtId="9" fontId="17" fillId="0" borderId="0" xfId="1" applyFont="1"/>
    <xf numFmtId="165" fontId="6" fillId="2" borderId="4" xfId="1" applyNumberFormat="1" applyFont="1" applyFill="1" applyBorder="1" applyAlignment="1">
      <alignment horizontal="right"/>
    </xf>
    <xf numFmtId="0" fontId="10" fillId="5" borderId="5" xfId="0" applyFont="1" applyFill="1" applyBorder="1"/>
    <xf numFmtId="0" fontId="10" fillId="5" borderId="6" xfId="0" applyFont="1" applyFill="1" applyBorder="1"/>
    <xf numFmtId="167" fontId="10" fillId="5" borderId="6" xfId="0" applyNumberFormat="1" applyFont="1" applyFill="1" applyBorder="1"/>
    <xf numFmtId="167" fontId="10" fillId="5" borderId="7" xfId="0" applyNumberFormat="1" applyFont="1" applyFill="1" applyBorder="1"/>
    <xf numFmtId="165" fontId="17" fillId="0" borderId="0" xfId="1" applyNumberFormat="1" applyFont="1"/>
    <xf numFmtId="165" fontId="17" fillId="0" borderId="0" xfId="0" applyNumberFormat="1" applyFont="1"/>
    <xf numFmtId="168" fontId="10" fillId="5" borderId="8" xfId="0" applyNumberFormat="1" applyFont="1" applyFill="1" applyBorder="1"/>
    <xf numFmtId="168" fontId="10" fillId="5" borderId="9" xfId="0" applyNumberFormat="1" applyFont="1" applyFill="1" applyBorder="1"/>
    <xf numFmtId="167" fontId="10" fillId="5" borderId="9" xfId="0" applyNumberFormat="1" applyFont="1" applyFill="1" applyBorder="1"/>
    <xf numFmtId="167" fontId="10" fillId="5" borderId="10" xfId="0" applyNumberFormat="1" applyFont="1" applyFill="1" applyBorder="1"/>
    <xf numFmtId="168" fontId="10" fillId="5" borderId="11" xfId="0" applyNumberFormat="1" applyFont="1" applyFill="1" applyBorder="1"/>
    <xf numFmtId="168" fontId="10" fillId="5" borderId="1" xfId="0" applyNumberFormat="1" applyFont="1" applyFill="1" applyBorder="1"/>
    <xf numFmtId="167" fontId="10" fillId="5" borderId="1" xfId="0" applyNumberFormat="1" applyFont="1" applyFill="1" applyBorder="1"/>
    <xf numFmtId="167" fontId="10" fillId="5" borderId="12" xfId="0" applyNumberFormat="1" applyFont="1" applyFill="1" applyBorder="1"/>
    <xf numFmtId="168" fontId="6" fillId="0" borderId="1" xfId="0" applyNumberFormat="1" applyFont="1" applyBorder="1"/>
    <xf numFmtId="168" fontId="6" fillId="0" borderId="1" xfId="0" applyNumberFormat="1" applyFont="1" applyBorder="1" applyAlignment="1">
      <alignment horizontal="right"/>
    </xf>
    <xf numFmtId="168" fontId="6" fillId="0" borderId="6" xfId="0" applyNumberFormat="1" applyFont="1" applyBorder="1"/>
    <xf numFmtId="168" fontId="6" fillId="0" borderId="6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0" fontId="6" fillId="6" borderId="8" xfId="0" applyFont="1" applyFill="1" applyBorder="1"/>
    <xf numFmtId="2" fontId="18" fillId="6" borderId="9" xfId="0" applyNumberFormat="1" applyFont="1" applyFill="1" applyBorder="1"/>
    <xf numFmtId="165" fontId="9" fillId="6" borderId="9" xfId="0" applyNumberFormat="1" applyFont="1" applyFill="1" applyBorder="1"/>
    <xf numFmtId="165" fontId="9" fillId="6" borderId="0" xfId="0" applyNumberFormat="1" applyFont="1" applyFill="1"/>
    <xf numFmtId="169" fontId="6" fillId="0" borderId="0" xfId="0" applyNumberFormat="1" applyFont="1"/>
    <xf numFmtId="169" fontId="10" fillId="0" borderId="0" xfId="0" applyNumberFormat="1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7" fontId="10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 textRotation="90"/>
    </xf>
    <xf numFmtId="0" fontId="10" fillId="6" borderId="14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590550</xdr:colOff>
      <xdr:row>6</xdr:row>
      <xdr:rowOff>19050</xdr:rowOff>
    </xdr:from>
    <xdr:to>
      <xdr:col>16</xdr:col>
      <xdr:colOff>0</xdr:colOff>
      <xdr:row>35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776124-9778-B1B2-C5B1-EDBAD05A6873}"/>
            </a:ext>
          </a:extLst>
        </xdr:cNvPr>
        <xdr:cNvCxnSpPr/>
      </xdr:nvCxnSpPr>
      <xdr:spPr>
        <a:xfrm flipH="1">
          <a:off x="11506200" y="990600"/>
          <a:ext cx="19050" cy="4695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187325</xdr:rowOff>
    </xdr:from>
    <xdr:to>
      <xdr:col>9</xdr:col>
      <xdr:colOff>19050</xdr:colOff>
      <xdr:row>61</xdr:row>
      <xdr:rowOff>41275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2D1C92A-EBDD-4F31-A8EC-7FAC56049C15}"/>
            </a:ext>
          </a:extLst>
        </xdr:cNvPr>
        <xdr:cNvCxnSpPr/>
      </xdr:nvCxnSpPr>
      <xdr:spPr>
        <a:xfrm>
          <a:off x="6581775" y="187325"/>
          <a:ext cx="0" cy="11474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pypl.com/hom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AC37-A5A9-4DE4-95F6-ABC9256F2DCD}">
  <dimension ref="A1:M27"/>
  <sheetViews>
    <sheetView topLeftCell="B1" zoomScale="200" zoomScaleNormal="200" workbookViewId="0">
      <selection activeCell="I3" sqref="I3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13" x14ac:dyDescent="0.2">
      <c r="A1" s="1" t="s">
        <v>9</v>
      </c>
    </row>
    <row r="2" spans="1:13" x14ac:dyDescent="0.2">
      <c r="A2" s="2" t="s">
        <v>2</v>
      </c>
      <c r="H2" s="2" t="s">
        <v>3</v>
      </c>
      <c r="I2" s="2">
        <v>58.7</v>
      </c>
    </row>
    <row r="3" spans="1:13" x14ac:dyDescent="0.2">
      <c r="H3" s="2" t="s">
        <v>4</v>
      </c>
      <c r="I3" s="3">
        <v>887</v>
      </c>
      <c r="J3" s="87" t="s">
        <v>343</v>
      </c>
    </row>
    <row r="4" spans="1:13" x14ac:dyDescent="0.2">
      <c r="B4" s="2" t="s">
        <v>0</v>
      </c>
      <c r="H4" s="2" t="s">
        <v>5</v>
      </c>
      <c r="I4" s="3">
        <f>+I3*I2</f>
        <v>52066.9</v>
      </c>
    </row>
    <row r="5" spans="1:13" x14ac:dyDescent="0.2">
      <c r="B5" s="5" t="s">
        <v>1</v>
      </c>
      <c r="H5" s="2" t="s">
        <v>6</v>
      </c>
      <c r="I5" s="3">
        <f>8306+2950</f>
        <v>11256</v>
      </c>
      <c r="J5" s="87" t="s">
        <v>343</v>
      </c>
    </row>
    <row r="6" spans="1:13" x14ac:dyDescent="0.2">
      <c r="H6" s="2" t="s">
        <v>7</v>
      </c>
      <c r="I6" s="3">
        <f>10895+2505</f>
        <v>13400</v>
      </c>
      <c r="J6" s="87" t="s">
        <v>343</v>
      </c>
    </row>
    <row r="7" spans="1:13" x14ac:dyDescent="0.2">
      <c r="B7" s="6" t="s">
        <v>132</v>
      </c>
      <c r="H7" s="2" t="s">
        <v>8</v>
      </c>
      <c r="I7" s="3">
        <f>+I4-I5+I6</f>
        <v>54210.9</v>
      </c>
    </row>
    <row r="8" spans="1:13" x14ac:dyDescent="0.2">
      <c r="B8" s="2" t="s">
        <v>327</v>
      </c>
    </row>
    <row r="9" spans="1:13" x14ac:dyDescent="0.2">
      <c r="B9" s="2" t="s">
        <v>133</v>
      </c>
      <c r="H9" s="2" t="s">
        <v>130</v>
      </c>
      <c r="I9" s="2">
        <v>1998</v>
      </c>
      <c r="J9" s="2" t="s">
        <v>131</v>
      </c>
    </row>
    <row r="10" spans="1:13" x14ac:dyDescent="0.2">
      <c r="B10" s="2" t="s">
        <v>136</v>
      </c>
      <c r="K10" s="2" t="s">
        <v>138</v>
      </c>
    </row>
    <row r="11" spans="1:13" x14ac:dyDescent="0.2">
      <c r="B11" s="2" t="s">
        <v>134</v>
      </c>
    </row>
    <row r="12" spans="1:13" x14ac:dyDescent="0.2">
      <c r="B12" s="2" t="s">
        <v>135</v>
      </c>
      <c r="J12" s="1" t="s">
        <v>129</v>
      </c>
    </row>
    <row r="13" spans="1:13" x14ac:dyDescent="0.2">
      <c r="B13" s="2" t="s">
        <v>332</v>
      </c>
      <c r="J13" s="2" t="s">
        <v>118</v>
      </c>
      <c r="K13" s="75" t="s">
        <v>338</v>
      </c>
    </row>
    <row r="14" spans="1:13" x14ac:dyDescent="0.2">
      <c r="B14" s="2" t="s">
        <v>333</v>
      </c>
      <c r="J14" s="2" t="s">
        <v>120</v>
      </c>
      <c r="K14" s="2" t="s">
        <v>119</v>
      </c>
    </row>
    <row r="15" spans="1:13" x14ac:dyDescent="0.2">
      <c r="B15" s="2" t="s">
        <v>137</v>
      </c>
      <c r="J15" s="2" t="s">
        <v>121</v>
      </c>
      <c r="K15" s="2" t="s">
        <v>122</v>
      </c>
      <c r="M15" s="75" t="s">
        <v>335</v>
      </c>
    </row>
    <row r="16" spans="1:13" x14ac:dyDescent="0.2">
      <c r="B16" s="2" t="s">
        <v>328</v>
      </c>
      <c r="J16" s="2" t="s">
        <v>123</v>
      </c>
      <c r="K16" s="2" t="s">
        <v>124</v>
      </c>
    </row>
    <row r="17" spans="2:11" x14ac:dyDescent="0.2">
      <c r="B17" s="2" t="s">
        <v>329</v>
      </c>
    </row>
    <row r="18" spans="2:11" x14ac:dyDescent="0.2">
      <c r="B18" s="2" t="s">
        <v>330</v>
      </c>
      <c r="J18" s="75" t="s">
        <v>339</v>
      </c>
      <c r="K18" s="75" t="s">
        <v>340</v>
      </c>
    </row>
    <row r="19" spans="2:11" x14ac:dyDescent="0.2">
      <c r="B19" s="2" t="s">
        <v>318</v>
      </c>
    </row>
    <row r="20" spans="2:11" x14ac:dyDescent="0.2">
      <c r="B20" s="2" t="s">
        <v>319</v>
      </c>
      <c r="D20" s="2">
        <v>770</v>
      </c>
    </row>
    <row r="21" spans="2:11" x14ac:dyDescent="0.2">
      <c r="B21" s="2" t="s">
        <v>320</v>
      </c>
      <c r="D21" s="3">
        <v>128000</v>
      </c>
    </row>
    <row r="22" spans="2:11" x14ac:dyDescent="0.2">
      <c r="B22" s="74" t="s">
        <v>334</v>
      </c>
    </row>
    <row r="23" spans="2:11" x14ac:dyDescent="0.2">
      <c r="B23" s="78" t="s">
        <v>341</v>
      </c>
      <c r="I23" s="3"/>
    </row>
    <row r="24" spans="2:11" x14ac:dyDescent="0.2">
      <c r="B24" s="80" t="s">
        <v>346</v>
      </c>
    </row>
    <row r="27" spans="2:11" x14ac:dyDescent="0.2">
      <c r="B27" s="2" t="s">
        <v>331</v>
      </c>
    </row>
  </sheetData>
  <hyperlinks>
    <hyperlink ref="B5" r:id="rId1" xr:uid="{F2133DCE-B451-4551-8614-CD3340F659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573E-9756-42F4-98C2-02394799BD8E}">
  <dimension ref="A1:AV236"/>
  <sheetViews>
    <sheetView tabSelected="1"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7" sqref="P7"/>
    </sheetView>
  </sheetViews>
  <sheetFormatPr defaultRowHeight="12.75" x14ac:dyDescent="0.2"/>
  <cols>
    <col min="1" max="1" width="5.42578125" style="2" bestFit="1" customWidth="1"/>
    <col min="2" max="2" width="38" style="2" bestFit="1" customWidth="1"/>
    <col min="3" max="12" width="9.28515625" style="2" bestFit="1" customWidth="1"/>
    <col min="13" max="19" width="9.140625" style="2"/>
    <col min="20" max="28" width="12.42578125" style="17" bestFit="1" customWidth="1"/>
    <col min="29" max="29" width="12.7109375" style="17" bestFit="1" customWidth="1"/>
    <col min="30" max="16384" width="9.140625" style="17"/>
  </cols>
  <sheetData>
    <row r="1" spans="1:40" s="2" customFormat="1" x14ac:dyDescent="0.2">
      <c r="A1" s="5" t="s">
        <v>11</v>
      </c>
    </row>
    <row r="2" spans="1:40" s="2" customFormat="1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4" t="s">
        <v>321</v>
      </c>
      <c r="L2" s="4" t="s">
        <v>322</v>
      </c>
      <c r="M2" s="4" t="s">
        <v>323</v>
      </c>
      <c r="N2" s="4" t="s">
        <v>324</v>
      </c>
      <c r="O2" s="79" t="s">
        <v>342</v>
      </c>
      <c r="P2" s="79" t="s">
        <v>343</v>
      </c>
      <c r="Q2" s="79" t="s">
        <v>344</v>
      </c>
      <c r="R2" s="79" t="s">
        <v>345</v>
      </c>
      <c r="S2" s="4"/>
      <c r="T2" s="4" t="s">
        <v>126</v>
      </c>
      <c r="U2" s="4" t="s">
        <v>125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76" t="s">
        <v>336</v>
      </c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40" s="2" customFormat="1" x14ac:dyDescent="0.2">
      <c r="B3" s="2" t="s">
        <v>139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>
        <v>62542662.63460286</v>
      </c>
      <c r="U3" s="4">
        <v>62542662.63460286</v>
      </c>
      <c r="V3" s="4">
        <v>62542662.63460286</v>
      </c>
      <c r="W3" s="4">
        <v>62542662.63460286</v>
      </c>
      <c r="X3" s="4">
        <v>62542662.63460286</v>
      </c>
      <c r="Y3" s="4">
        <v>62542662.63460286</v>
      </c>
      <c r="Z3" s="4">
        <v>62542662.63460286</v>
      </c>
      <c r="AA3" s="4">
        <v>62542662.63460286</v>
      </c>
      <c r="AB3" s="4">
        <f>+AA3*(1+2%)</f>
        <v>63793515.887294918</v>
      </c>
      <c r="AC3" s="4">
        <f>+AB3*(1+2%)</f>
        <v>65069386.20504082</v>
      </c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40" s="2" customFormat="1" x14ac:dyDescent="0.2">
      <c r="B4" s="2" t="s">
        <v>140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40027304.086145833</v>
      </c>
      <c r="U4" s="4">
        <v>40027304.086145833</v>
      </c>
      <c r="V4" s="4">
        <v>40027304.086145833</v>
      </c>
      <c r="W4" s="4">
        <v>40027304.086145833</v>
      </c>
      <c r="X4" s="4">
        <v>40421322.860743828</v>
      </c>
      <c r="Y4" s="4">
        <v>40965444.025664873</v>
      </c>
      <c r="Z4" s="4">
        <v>39777133.435607418</v>
      </c>
      <c r="AA4" s="4">
        <v>38526280.18291536</v>
      </c>
      <c r="AB4" s="4">
        <v>39296805.786573671</v>
      </c>
      <c r="AC4" s="4">
        <f>+AB4*(1+2%)</f>
        <v>40082741.902305149</v>
      </c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0" s="2" customFormat="1" x14ac:dyDescent="0.2">
      <c r="B5" s="2" t="s">
        <v>141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7">
        <f t="shared" ref="T5:AA5" si="0">+T12/T4</f>
        <v>8.9920619991136885E-3</v>
      </c>
      <c r="U5" s="7">
        <f t="shared" si="0"/>
        <v>1.1396695591045107E-2</v>
      </c>
      <c r="V5" s="7">
        <f t="shared" si="0"/>
        <v>1.445061098182231E-2</v>
      </c>
      <c r="W5" s="7">
        <f t="shared" si="0"/>
        <v>1.7785984248847028E-2</v>
      </c>
      <c r="X5" s="7">
        <f t="shared" si="0"/>
        <v>2.3157629037150584E-2</v>
      </c>
      <c r="Y5" s="7">
        <f t="shared" si="0"/>
        <v>3.0412925567692033E-2</v>
      </c>
      <c r="Z5" s="7">
        <f t="shared" si="0"/>
        <v>3.4117893442395471E-2</v>
      </c>
      <c r="AA5" s="7">
        <f t="shared" si="0"/>
        <v>3.9676267543676709E-2</v>
      </c>
      <c r="AB5" s="7">
        <f>+AB12/AB4</f>
        <v>4.278083081690038E-2</v>
      </c>
      <c r="AC5" s="7">
        <f>+AC12/AC4</f>
        <v>4.4756893237805885E-2</v>
      </c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40" s="2" customForma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40" s="2" customFormat="1" x14ac:dyDescent="0.2">
      <c r="B7" s="2" t="s">
        <v>52</v>
      </c>
      <c r="C7" s="3">
        <v>433</v>
      </c>
      <c r="D7" s="3">
        <v>431</v>
      </c>
      <c r="E7" s="3">
        <v>428</v>
      </c>
      <c r="F7" s="3">
        <v>426</v>
      </c>
      <c r="G7" s="3">
        <v>427</v>
      </c>
      <c r="H7" s="3">
        <v>429</v>
      </c>
      <c r="I7" s="3">
        <v>432</v>
      </c>
      <c r="J7" s="3">
        <v>434</v>
      </c>
      <c r="K7" s="3">
        <v>436</v>
      </c>
      <c r="L7" s="3">
        <v>438</v>
      </c>
      <c r="M7" s="3">
        <v>438</v>
      </c>
      <c r="N7" s="3">
        <v>439</v>
      </c>
      <c r="O7" s="3">
        <v>439</v>
      </c>
      <c r="P7" s="3">
        <v>439</v>
      </c>
      <c r="Q7" s="3"/>
      <c r="R7" s="3"/>
      <c r="S7" s="3"/>
      <c r="T7" s="3">
        <v>199</v>
      </c>
      <c r="U7" s="3">
        <v>229</v>
      </c>
      <c r="V7" s="3">
        <v>267</v>
      </c>
      <c r="W7" s="3">
        <v>305</v>
      </c>
      <c r="X7" s="3">
        <v>377</v>
      </c>
      <c r="Y7" s="3">
        <v>426</v>
      </c>
      <c r="Z7" s="3">
        <v>435</v>
      </c>
      <c r="AA7" s="3">
        <v>426</v>
      </c>
      <c r="AB7" s="3">
        <v>434</v>
      </c>
      <c r="AC7" s="3">
        <f>+N7</f>
        <v>439</v>
      </c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40" s="2" customFormat="1" x14ac:dyDescent="0.2">
      <c r="B8" s="2" t="s">
        <v>53</v>
      </c>
      <c r="C8" s="3">
        <v>5835</v>
      </c>
      <c r="D8" s="3">
        <v>6074</v>
      </c>
      <c r="E8" s="3">
        <v>6275</v>
      </c>
      <c r="F8" s="3">
        <v>6798</v>
      </c>
      <c r="G8" s="3">
        <v>6505</v>
      </c>
      <c r="H8" s="3">
        <v>6580</v>
      </c>
      <c r="I8" s="3">
        <v>6631</v>
      </c>
      <c r="J8" s="3">
        <v>6619</v>
      </c>
      <c r="K8" s="3">
        <v>6045</v>
      </c>
      <c r="L8" s="3">
        <v>6226</v>
      </c>
      <c r="M8" s="3">
        <v>6331</v>
      </c>
      <c r="N8" s="3">
        <v>6754</v>
      </c>
      <c r="O8" s="3">
        <v>6475</v>
      </c>
      <c r="P8" s="3">
        <v>6750</v>
      </c>
      <c r="Q8" s="3"/>
      <c r="R8" s="3"/>
      <c r="S8" s="3"/>
      <c r="T8" s="3">
        <v>6295</v>
      </c>
      <c r="U8" s="3">
        <v>7769</v>
      </c>
      <c r="V8" s="3">
        <v>9871</v>
      </c>
      <c r="W8" s="3">
        <v>12361</v>
      </c>
      <c r="X8" s="3">
        <v>15423</v>
      </c>
      <c r="Y8" s="3">
        <v>19348</v>
      </c>
      <c r="Z8" s="3">
        <v>22349</v>
      </c>
      <c r="AA8" s="3">
        <v>24981</v>
      </c>
      <c r="AB8" s="3">
        <v>26334</v>
      </c>
      <c r="AC8" s="3">
        <f>+SUM(K8:N8)</f>
        <v>25356</v>
      </c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40" s="2" customFormat="1" x14ac:dyDescent="0.2">
      <c r="B9" s="2" t="s">
        <v>55</v>
      </c>
      <c r="C9" s="8">
        <f t="shared" ref="C9:I9" si="1">+C12/C8</f>
        <v>60.755441302485004</v>
      </c>
      <c r="D9" s="8">
        <f t="shared" si="1"/>
        <v>61.991768192295027</v>
      </c>
      <c r="E9" s="8">
        <f t="shared" si="1"/>
        <v>61.785019920318724</v>
      </c>
      <c r="F9" s="8">
        <f t="shared" si="1"/>
        <v>60.287143277434538</v>
      </c>
      <c r="G9" s="8">
        <f t="shared" si="1"/>
        <v>62.084550345887777</v>
      </c>
      <c r="H9" s="8">
        <f t="shared" si="1"/>
        <v>63.345592705167171</v>
      </c>
      <c r="I9" s="8">
        <f t="shared" si="1"/>
        <v>63.737143718896093</v>
      </c>
      <c r="J9" s="8">
        <f t="shared" ref="J9:P9" si="2">+J12/J8</f>
        <v>66.148360779573949</v>
      </c>
      <c r="K9" s="8">
        <f t="shared" si="2"/>
        <v>69.017038875103395</v>
      </c>
      <c r="L9" s="8">
        <v>58.3</v>
      </c>
      <c r="M9" s="8">
        <f t="shared" si="2"/>
        <v>72.356341810140577</v>
      </c>
      <c r="N9" s="8">
        <f t="shared" si="2"/>
        <v>70.348682262363042</v>
      </c>
      <c r="O9" s="8">
        <f t="shared" si="2"/>
        <v>71.653281853281854</v>
      </c>
      <c r="P9" s="8">
        <f t="shared" si="2"/>
        <v>72.066370370370365</v>
      </c>
      <c r="Q9" s="8"/>
      <c r="R9" s="8"/>
      <c r="S9" s="3"/>
      <c r="T9" s="8">
        <f t="shared" ref="T9:V9" si="3">+T12/T8</f>
        <v>57.176806989674347</v>
      </c>
      <c r="U9" s="8">
        <f t="shared" si="3"/>
        <v>58.71785300553482</v>
      </c>
      <c r="V9" s="8">
        <f t="shared" si="3"/>
        <v>58.597811771856954</v>
      </c>
      <c r="W9" s="8">
        <f t="shared" ref="W9:Y9" si="4">+W12/W8</f>
        <v>57.594450287193595</v>
      </c>
      <c r="X9" s="8">
        <f t="shared" si="4"/>
        <v>60.692601958114501</v>
      </c>
      <c r="Y9" s="8">
        <f t="shared" si="4"/>
        <v>64.393167252429194</v>
      </c>
      <c r="Z9" s="8">
        <f t="shared" ref="Z9:AA9" si="5">+Z12/Z8</f>
        <v>60.723611794711175</v>
      </c>
      <c r="AA9" s="8">
        <f t="shared" si="5"/>
        <v>61.189664144750012</v>
      </c>
      <c r="AB9" s="8">
        <f>+AB12/AB8</f>
        <v>63.839523050049365</v>
      </c>
      <c r="AC9" s="8">
        <f>+AC12/AC8</f>
        <v>70.751656412683388</v>
      </c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40" s="2" customFormat="1" x14ac:dyDescent="0.2">
      <c r="B10" s="2" t="s">
        <v>56</v>
      </c>
      <c r="C10" s="3">
        <f t="shared" ref="C10:I10" si="6">+C12/C7</f>
        <v>818.72517321016164</v>
      </c>
      <c r="D10" s="3">
        <f t="shared" si="6"/>
        <v>873.63805104408357</v>
      </c>
      <c r="E10" s="3">
        <f t="shared" si="6"/>
        <v>905.84345794392527</v>
      </c>
      <c r="F10" s="3">
        <f t="shared" si="6"/>
        <v>962.04694835680755</v>
      </c>
      <c r="G10" s="3">
        <f t="shared" si="6"/>
        <v>945.80796252927405</v>
      </c>
      <c r="H10" s="3">
        <f t="shared" si="6"/>
        <v>971.59440559440554</v>
      </c>
      <c r="I10" s="3">
        <f t="shared" si="6"/>
        <v>978.33564814814815</v>
      </c>
      <c r="J10" s="3">
        <f t="shared" ref="J10:K10" si="7">+J12/J7</f>
        <v>1008.8387096774194</v>
      </c>
      <c r="K10" s="3">
        <f t="shared" si="7"/>
        <v>956.89908256880733</v>
      </c>
      <c r="L10" s="3">
        <f t="shared" ref="L10:P10" si="8">+L12/L7</f>
        <v>1012.6643835616438</v>
      </c>
      <c r="M10" s="3">
        <f t="shared" si="8"/>
        <v>1045.8630136986301</v>
      </c>
      <c r="N10" s="3">
        <f t="shared" si="8"/>
        <v>1082.3120728929384</v>
      </c>
      <c r="O10" s="3">
        <f t="shared" si="8"/>
        <v>1056.8451025056947</v>
      </c>
      <c r="P10" s="3">
        <f t="shared" si="8"/>
        <v>1108.0820045558087</v>
      </c>
      <c r="Q10" s="3"/>
      <c r="R10" s="3"/>
      <c r="S10" s="3"/>
      <c r="T10" s="3">
        <f t="shared" ref="T10:V10" si="9">+T12/T7</f>
        <v>1808.6834170854272</v>
      </c>
      <c r="U10" s="3">
        <f t="shared" si="9"/>
        <v>1992.0480349344978</v>
      </c>
      <c r="V10" s="3">
        <f t="shared" si="9"/>
        <v>2166.36329588015</v>
      </c>
      <c r="W10" s="3">
        <f t="shared" ref="W10:Y10" si="10">+W12/W7</f>
        <v>2334.1803278688526</v>
      </c>
      <c r="X10" s="3">
        <f>+X12/X7</f>
        <v>2482.9230769230771</v>
      </c>
      <c r="Y10" s="3">
        <f t="shared" si="10"/>
        <v>2924.5985915492956</v>
      </c>
      <c r="Z10" s="3">
        <f t="shared" ref="Z10:AA10" si="11">+Z12/Z7</f>
        <v>3119.7977011494254</v>
      </c>
      <c r="AA10" s="3">
        <f t="shared" si="11"/>
        <v>3588.2136150234742</v>
      </c>
      <c r="AB10" s="3">
        <f>+AB12/AB7</f>
        <v>3873.6175115207375</v>
      </c>
      <c r="AC10" s="3">
        <f>+AC12/AC7</f>
        <v>4086.5125284738042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40" s="2" customFormat="1" x14ac:dyDescent="0.2">
      <c r="B11" s="2" t="s">
        <v>54</v>
      </c>
      <c r="C11" s="3">
        <f t="shared" ref="C11:I11" si="12">+C8/C7</f>
        <v>13.475750577367206</v>
      </c>
      <c r="D11" s="3">
        <f t="shared" si="12"/>
        <v>14.092807424593968</v>
      </c>
      <c r="E11" s="3">
        <f t="shared" si="12"/>
        <v>14.661214953271028</v>
      </c>
      <c r="F11" s="3">
        <f t="shared" si="12"/>
        <v>15.95774647887324</v>
      </c>
      <c r="G11" s="3">
        <f t="shared" si="12"/>
        <v>15.234192037470725</v>
      </c>
      <c r="H11" s="3">
        <f t="shared" si="12"/>
        <v>15.337995337995338</v>
      </c>
      <c r="I11" s="3">
        <f t="shared" si="12"/>
        <v>15.349537037037036</v>
      </c>
      <c r="J11" s="3">
        <f t="shared" ref="J11:K11" si="13">+J8/J7</f>
        <v>15.251152073732719</v>
      </c>
      <c r="K11" s="3">
        <f t="shared" si="13"/>
        <v>13.864678899082568</v>
      </c>
      <c r="L11" s="3">
        <f t="shared" ref="L11:P11" si="14">+L8/L7</f>
        <v>14.214611872146119</v>
      </c>
      <c r="M11" s="3">
        <f t="shared" si="14"/>
        <v>14.454337899543379</v>
      </c>
      <c r="N11" s="3">
        <f t="shared" si="14"/>
        <v>15.38496583143508</v>
      </c>
      <c r="O11" s="3">
        <f t="shared" si="14"/>
        <v>14.749430523917995</v>
      </c>
      <c r="P11" s="3">
        <f>+P8/P7</f>
        <v>15.375854214123008</v>
      </c>
      <c r="Q11" s="3"/>
      <c r="R11" s="3"/>
      <c r="S11" s="3"/>
      <c r="T11" s="3">
        <f t="shared" ref="T11:Y11" si="15">+T8/T7</f>
        <v>31.633165829145728</v>
      </c>
      <c r="U11" s="3">
        <f t="shared" si="15"/>
        <v>33.925764192139738</v>
      </c>
      <c r="V11" s="3">
        <f t="shared" si="15"/>
        <v>36.970037453183522</v>
      </c>
      <c r="W11" s="3">
        <f t="shared" si="15"/>
        <v>40.527868852459015</v>
      </c>
      <c r="X11" s="3">
        <f t="shared" si="15"/>
        <v>40.909814323607428</v>
      </c>
      <c r="Y11" s="3">
        <f t="shared" si="15"/>
        <v>45.417840375586856</v>
      </c>
      <c r="Z11" s="3">
        <f t="shared" ref="Z11:AA11" si="16">+Z8/Z7</f>
        <v>51.377011494252876</v>
      </c>
      <c r="AA11" s="3">
        <f t="shared" si="16"/>
        <v>58.640845070422536</v>
      </c>
      <c r="AB11" s="3">
        <f>+AB8/AB7</f>
        <v>60.677419354838712</v>
      </c>
      <c r="AC11" s="3">
        <f>+AC8/AC7</f>
        <v>57.758542141230066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40" s="2" customFormat="1" x14ac:dyDescent="0.2">
      <c r="B12" s="1" t="s">
        <v>47</v>
      </c>
      <c r="C12" s="9">
        <v>354508</v>
      </c>
      <c r="D12" s="9">
        <v>376538</v>
      </c>
      <c r="E12" s="9">
        <v>387701</v>
      </c>
      <c r="F12" s="9">
        <v>409832</v>
      </c>
      <c r="G12" s="9">
        <v>403860</v>
      </c>
      <c r="H12" s="9">
        <v>416814</v>
      </c>
      <c r="I12" s="9">
        <v>422641</v>
      </c>
      <c r="J12" s="9">
        <v>437836</v>
      </c>
      <c r="K12" s="9">
        <v>417208</v>
      </c>
      <c r="L12" s="9">
        <v>443547</v>
      </c>
      <c r="M12" s="9">
        <v>458088</v>
      </c>
      <c r="N12" s="9">
        <v>475135</v>
      </c>
      <c r="O12" s="9">
        <v>463955</v>
      </c>
      <c r="P12" s="9">
        <v>486448</v>
      </c>
      <c r="Q12" s="9"/>
      <c r="R12" s="9"/>
      <c r="S12" s="9"/>
      <c r="T12" s="9">
        <v>359928</v>
      </c>
      <c r="U12" s="9">
        <v>456179</v>
      </c>
      <c r="V12" s="9">
        <v>578419</v>
      </c>
      <c r="W12" s="9">
        <v>711925</v>
      </c>
      <c r="X12" s="9">
        <v>936062</v>
      </c>
      <c r="Y12" s="9">
        <v>1245879</v>
      </c>
      <c r="Z12" s="9">
        <v>1357112</v>
      </c>
      <c r="AA12" s="9">
        <v>1528579</v>
      </c>
      <c r="AB12" s="9">
        <v>1681150</v>
      </c>
      <c r="AC12" s="9">
        <v>1793979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3"/>
    </row>
    <row r="13" spans="1:40" s="2" customFormat="1" x14ac:dyDescent="0.2">
      <c r="B13" s="2" t="s">
        <v>48</v>
      </c>
      <c r="C13" s="10">
        <f t="shared" ref="C13:D13" si="17">+C19/C12</f>
        <v>1.9858508129576766E-2</v>
      </c>
      <c r="D13" s="10">
        <f t="shared" si="17"/>
        <v>1.9352628419973549E-2</v>
      </c>
      <c r="E13" s="10">
        <f>+E19/E12</f>
        <v>1.913330117796962E-2</v>
      </c>
      <c r="F13" s="10">
        <f t="shared" ref="F13:I13" si="18">+F19/F12</f>
        <v>1.9583634269651956E-2</v>
      </c>
      <c r="G13" s="10">
        <f t="shared" si="18"/>
        <v>1.9063536869212104E-2</v>
      </c>
      <c r="H13" s="10">
        <f t="shared" si="18"/>
        <v>1.8917310838887369E-2</v>
      </c>
      <c r="I13" s="10">
        <f t="shared" si="18"/>
        <v>1.8566584879365702E-2</v>
      </c>
      <c r="J13" s="10">
        <f t="shared" ref="J13:P13" si="19">+J19/J12</f>
        <v>1.9107611068984735E-2</v>
      </c>
      <c r="K13" s="10">
        <f t="shared" si="19"/>
        <v>1.8674138559183907E-2</v>
      </c>
      <c r="L13" s="10">
        <f t="shared" si="19"/>
        <v>1.8685731162650182E-2</v>
      </c>
      <c r="M13" s="10">
        <f t="shared" si="19"/>
        <v>1.8374198843890258E-2</v>
      </c>
      <c r="N13" s="10">
        <f t="shared" si="19"/>
        <v>1.826007345280815E-2</v>
      </c>
      <c r="O13" s="10">
        <f t="shared" si="19"/>
        <v>1.8003901240422025E-2</v>
      </c>
      <c r="P13" s="10">
        <f t="shared" si="19"/>
        <v>1.7847745288293918E-2</v>
      </c>
      <c r="Q13" s="10"/>
      <c r="R13" s="10"/>
      <c r="S13" s="11"/>
      <c r="T13" s="10">
        <f t="shared" ref="T13:V13" si="20">+T19/T12</f>
        <v>3.012269120490765E-2</v>
      </c>
      <c r="U13" s="10">
        <f t="shared" si="20"/>
        <v>2.8703644841169804E-2</v>
      </c>
      <c r="V13" s="10">
        <f t="shared" si="20"/>
        <v>2.6712469680283669E-2</v>
      </c>
      <c r="W13" s="10">
        <f t="shared" ref="W13:AC13" si="21">+W19/W12</f>
        <v>2.4963303718790603E-2</v>
      </c>
      <c r="X13" s="10">
        <f t="shared" si="21"/>
        <v>2.2919422004098019E-2</v>
      </c>
      <c r="Y13" s="10">
        <f t="shared" si="21"/>
        <v>2.0363935823623322E-2</v>
      </c>
      <c r="Z13" s="10">
        <f t="shared" si="21"/>
        <v>2.0276882084897932E-2</v>
      </c>
      <c r="AA13" s="10">
        <f t="shared" si="21"/>
        <v>1.9476258668999116E-2</v>
      </c>
      <c r="AB13" s="10">
        <f t="shared" si="21"/>
        <v>1.8913838741337775E-2</v>
      </c>
      <c r="AC13" s="10">
        <f t="shared" si="21"/>
        <v>1.8490740415579E-2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/>
    </row>
    <row r="14" spans="1:40" s="2" customFormat="1" x14ac:dyDescent="0.2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s="2" customFormat="1" x14ac:dyDescent="0.2">
      <c r="B15" s="2" t="s">
        <v>325</v>
      </c>
      <c r="C15" s="3">
        <v>4147</v>
      </c>
      <c r="D15" s="3">
        <v>4210</v>
      </c>
      <c r="E15" s="3">
        <v>4257</v>
      </c>
      <c r="F15" s="3">
        <v>4639</v>
      </c>
      <c r="G15" s="3">
        <v>4467</v>
      </c>
      <c r="H15" s="3">
        <v>4550</v>
      </c>
      <c r="I15" s="3">
        <v>4518</v>
      </c>
      <c r="J15" s="3">
        <v>4732</v>
      </c>
      <c r="K15" s="3">
        <v>4463</v>
      </c>
      <c r="L15" s="3">
        <v>4709</v>
      </c>
      <c r="M15" s="3">
        <v>4753</v>
      </c>
      <c r="N15" s="3">
        <v>4943</v>
      </c>
      <c r="O15" s="3">
        <v>4882</v>
      </c>
      <c r="P15" s="3">
        <v>5048</v>
      </c>
      <c r="Q15" s="3"/>
      <c r="R15" s="3"/>
      <c r="S15" s="3"/>
      <c r="T15" s="3">
        <v>5760</v>
      </c>
      <c r="U15" s="3">
        <v>7084</v>
      </c>
      <c r="V15" s="3">
        <v>8324</v>
      </c>
      <c r="W15" s="3">
        <v>9417</v>
      </c>
      <c r="X15" s="3">
        <v>11013</v>
      </c>
      <c r="Y15" s="3">
        <v>13712</v>
      </c>
      <c r="Z15" s="3">
        <v>15087</v>
      </c>
      <c r="AA15" s="3">
        <v>17253</v>
      </c>
      <c r="AB15" s="3">
        <v>18267</v>
      </c>
      <c r="AC15" s="3">
        <f>+SUM(K15:N15)</f>
        <v>18868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s="2" customFormat="1" x14ac:dyDescent="0.2">
      <c r="B16" s="2" t="s">
        <v>326</v>
      </c>
      <c r="C16" s="3">
        <v>2893</v>
      </c>
      <c r="D16" s="3">
        <v>3077</v>
      </c>
      <c r="E16" s="3">
        <v>3161</v>
      </c>
      <c r="F16" s="3">
        <v>3387</v>
      </c>
      <c r="G16" s="3">
        <v>3232</v>
      </c>
      <c r="H16" s="3">
        <v>3355</v>
      </c>
      <c r="I16" s="3">
        <v>3329</v>
      </c>
      <c r="J16" s="3">
        <v>3614</v>
      </c>
      <c r="K16" s="3">
        <v>3328</v>
      </c>
      <c r="L16" s="3">
        <v>3579</v>
      </c>
      <c r="M16" s="3">
        <v>3664</v>
      </c>
      <c r="N16" s="3">
        <v>3733</v>
      </c>
      <c r="O16" s="3">
        <v>3471</v>
      </c>
      <c r="P16" s="3">
        <v>3634</v>
      </c>
      <c r="Q16" s="3"/>
      <c r="R16" s="3"/>
      <c r="S16" s="3"/>
      <c r="T16" s="3">
        <f>1257+3825</f>
        <v>5082</v>
      </c>
      <c r="U16" s="3">
        <f>1402+4608</f>
        <v>6010</v>
      </c>
      <c r="V16" s="3">
        <f>1568+5469</f>
        <v>7037</v>
      </c>
      <c r="W16" s="3">
        <f>1872+6483</f>
        <v>8355</v>
      </c>
      <c r="X16" s="3">
        <f>2340+8101</f>
        <v>10441</v>
      </c>
      <c r="Y16" s="3">
        <f>2340+9319</f>
        <v>11659</v>
      </c>
      <c r="Z16" s="3">
        <v>11711</v>
      </c>
      <c r="AA16" s="3">
        <v>12518</v>
      </c>
      <c r="AB16" s="3">
        <v>13530</v>
      </c>
      <c r="AC16" s="3">
        <f t="shared" ref="AC16:AC18" si="22">+SUM(K16:N16)</f>
        <v>14304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2:48" s="2" customFormat="1" x14ac:dyDescent="0.2">
      <c r="B17" s="2" t="s">
        <v>45</v>
      </c>
      <c r="C17" s="3">
        <v>6364</v>
      </c>
      <c r="D17" s="3">
        <v>7034</v>
      </c>
      <c r="E17" s="3">
        <v>6654</v>
      </c>
      <c r="F17" s="3">
        <v>7283</v>
      </c>
      <c r="G17" s="3">
        <v>7034</v>
      </c>
      <c r="H17" s="3">
        <v>7153</v>
      </c>
      <c r="I17" s="3">
        <v>7067</v>
      </c>
      <c r="J17" s="3">
        <v>7588</v>
      </c>
      <c r="K17" s="3">
        <v>7016</v>
      </c>
      <c r="L17" s="3">
        <v>7441</v>
      </c>
      <c r="M17" s="3">
        <v>7522</v>
      </c>
      <c r="N17" s="3">
        <v>7819</v>
      </c>
      <c r="O17" s="3">
        <v>7501</v>
      </c>
      <c r="P17" s="3">
        <v>7832</v>
      </c>
      <c r="Q17" s="3"/>
      <c r="R17" s="3"/>
      <c r="S17" s="3"/>
      <c r="T17" s="3">
        <v>9585</v>
      </c>
      <c r="U17" s="3">
        <v>11501</v>
      </c>
      <c r="V17" s="3">
        <v>13709</v>
      </c>
      <c r="W17" s="3">
        <v>16099</v>
      </c>
      <c r="X17" s="3">
        <v>19918</v>
      </c>
      <c r="Y17" s="3">
        <v>23402</v>
      </c>
      <c r="Z17" s="3">
        <v>25206</v>
      </c>
      <c r="AA17" s="3">
        <v>26857</v>
      </c>
      <c r="AB17" s="3">
        <v>28842</v>
      </c>
      <c r="AC17" s="3">
        <f t="shared" si="22"/>
        <v>29798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2:48" s="2" customFormat="1" x14ac:dyDescent="0.2">
      <c r="B18" s="2" t="s">
        <v>46</v>
      </c>
      <c r="C18" s="3">
        <v>676</v>
      </c>
      <c r="D18" s="3">
        <v>665</v>
      </c>
      <c r="E18" s="3">
        <v>764</v>
      </c>
      <c r="F18" s="3">
        <v>743</v>
      </c>
      <c r="G18" s="3">
        <v>665</v>
      </c>
      <c r="H18" s="3">
        <v>732</v>
      </c>
      <c r="I18" s="3">
        <v>780</v>
      </c>
      <c r="J18" s="3">
        <v>778</v>
      </c>
      <c r="K18" s="3">
        <v>775</v>
      </c>
      <c r="L18" s="3">
        <v>847</v>
      </c>
      <c r="M18" s="3">
        <v>895</v>
      </c>
      <c r="N18" s="3">
        <v>857</v>
      </c>
      <c r="O18" s="3">
        <v>852</v>
      </c>
      <c r="P18" s="3">
        <v>850</v>
      </c>
      <c r="Q18" s="3"/>
      <c r="R18" s="3"/>
      <c r="S18" s="3"/>
      <c r="T18" s="3">
        <v>1257</v>
      </c>
      <c r="U18" s="3">
        <v>1593</v>
      </c>
      <c r="V18" s="3">
        <v>1742</v>
      </c>
      <c r="W18" s="3">
        <v>1673</v>
      </c>
      <c r="X18" s="3">
        <v>1536</v>
      </c>
      <c r="Y18" s="3">
        <v>1969</v>
      </c>
      <c r="Z18" s="3">
        <v>2312</v>
      </c>
      <c r="AA18" s="3">
        <v>2914</v>
      </c>
      <c r="AB18" s="3">
        <v>2955</v>
      </c>
      <c r="AC18" s="3">
        <f t="shared" si="22"/>
        <v>3374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2:48" s="2" customFormat="1" x14ac:dyDescent="0.2">
      <c r="B19" s="1" t="s">
        <v>26</v>
      </c>
      <c r="C19" s="9">
        <v>7040</v>
      </c>
      <c r="D19" s="9">
        <v>7287</v>
      </c>
      <c r="E19" s="9">
        <v>7418</v>
      </c>
      <c r="F19" s="9">
        <v>8026</v>
      </c>
      <c r="G19" s="9">
        <v>7699</v>
      </c>
      <c r="H19" s="9">
        <v>7885</v>
      </c>
      <c r="I19" s="9">
        <v>7847</v>
      </c>
      <c r="J19" s="9">
        <v>8366</v>
      </c>
      <c r="K19" s="9">
        <v>7791</v>
      </c>
      <c r="L19" s="9">
        <v>8288</v>
      </c>
      <c r="M19" s="9">
        <v>8417</v>
      </c>
      <c r="N19" s="9">
        <v>8676</v>
      </c>
      <c r="O19" s="9">
        <v>8353</v>
      </c>
      <c r="P19" s="9">
        <v>8682</v>
      </c>
      <c r="Q19" s="9"/>
      <c r="R19" s="9"/>
      <c r="S19" s="9"/>
      <c r="T19" s="9">
        <v>10842</v>
      </c>
      <c r="U19" s="9">
        <v>13094</v>
      </c>
      <c r="V19" s="9">
        <v>15451</v>
      </c>
      <c r="W19" s="9">
        <v>17772</v>
      </c>
      <c r="X19" s="9">
        <v>21454</v>
      </c>
      <c r="Y19" s="9">
        <v>25371</v>
      </c>
      <c r="Z19" s="9">
        <v>27518</v>
      </c>
      <c r="AA19" s="9">
        <v>29771</v>
      </c>
      <c r="AB19" s="9">
        <v>31797</v>
      </c>
      <c r="AC19" s="9">
        <v>33172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3"/>
      <c r="AO19" s="3"/>
      <c r="AP19" s="3"/>
      <c r="AQ19" s="3"/>
      <c r="AR19" s="3"/>
      <c r="AS19" s="3"/>
      <c r="AT19" s="3"/>
      <c r="AU19" s="3"/>
      <c r="AV19" s="3"/>
    </row>
    <row r="20" spans="2:48" s="2" customFormat="1" x14ac:dyDescent="0.2">
      <c r="B20" s="2" t="s">
        <v>27</v>
      </c>
      <c r="C20" s="3">
        <v>3283</v>
      </c>
      <c r="D20" s="3">
        <v>3541</v>
      </c>
      <c r="E20" s="3">
        <v>3603</v>
      </c>
      <c r="F20" s="3">
        <v>3958</v>
      </c>
      <c r="G20" s="3">
        <v>3917</v>
      </c>
      <c r="H20" s="3">
        <v>3942</v>
      </c>
      <c r="I20" s="3">
        <v>3841</v>
      </c>
      <c r="J20" s="3">
        <v>3997</v>
      </c>
      <c r="K20" s="3">
        <v>3704</v>
      </c>
      <c r="L20" s="3">
        <v>3968</v>
      </c>
      <c r="M20" s="3">
        <v>4063</v>
      </c>
      <c r="N20" s="3">
        <v>4252</v>
      </c>
      <c r="O20" s="3">
        <v>4165</v>
      </c>
      <c r="P20" s="3">
        <v>4385</v>
      </c>
      <c r="Q20" s="3"/>
      <c r="R20" s="3"/>
      <c r="S20" s="3"/>
      <c r="T20" s="3">
        <f>3346+724</f>
        <v>4070</v>
      </c>
      <c r="U20" s="3">
        <f>4419+805</f>
        <v>5224</v>
      </c>
      <c r="V20" s="3">
        <f>5581+776</f>
        <v>6357</v>
      </c>
      <c r="W20" s="3">
        <v>6790</v>
      </c>
      <c r="X20" s="3">
        <v>7934</v>
      </c>
      <c r="Y20" s="3">
        <v>10315</v>
      </c>
      <c r="Z20" s="3">
        <v>12173</v>
      </c>
      <c r="AA20" s="3">
        <v>14385</v>
      </c>
      <c r="AB20" s="3">
        <v>15697</v>
      </c>
      <c r="AC20" s="3">
        <v>15987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2:48" s="2" customFormat="1" x14ac:dyDescent="0.2">
      <c r="B21" s="2" t="s">
        <v>29</v>
      </c>
      <c r="C21" s="3">
        <v>442</v>
      </c>
      <c r="D21" s="3">
        <v>398</v>
      </c>
      <c r="E21" s="3">
        <v>446</v>
      </c>
      <c r="F21" s="3">
        <v>396</v>
      </c>
      <c r="G21" s="3">
        <v>321</v>
      </c>
      <c r="H21" s="3">
        <v>335</v>
      </c>
      <c r="I21" s="3">
        <v>352</v>
      </c>
      <c r="J21" s="3">
        <v>434</v>
      </c>
      <c r="K21" s="3">
        <v>371</v>
      </c>
      <c r="L21" s="3">
        <v>476</v>
      </c>
      <c r="M21" s="3">
        <v>483</v>
      </c>
      <c r="N21" s="3">
        <v>390</v>
      </c>
      <c r="O21" s="3">
        <v>378</v>
      </c>
      <c r="P21" s="3">
        <v>397</v>
      </c>
      <c r="Q21" s="3"/>
      <c r="R21" s="3"/>
      <c r="S21" s="3"/>
      <c r="T21" s="3">
        <v>1088</v>
      </c>
      <c r="U21" s="3">
        <v>1011</v>
      </c>
      <c r="V21" s="3">
        <v>1274</v>
      </c>
      <c r="W21" s="3">
        <v>1380</v>
      </c>
      <c r="X21" s="3">
        <v>1741</v>
      </c>
      <c r="Y21" s="3">
        <v>1060</v>
      </c>
      <c r="Z21" s="3">
        <v>1572</v>
      </c>
      <c r="AA21" s="3">
        <v>1682</v>
      </c>
      <c r="AB21" s="3">
        <v>1442</v>
      </c>
      <c r="AC21" s="3">
        <v>1720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2:48" s="2" customFormat="1" x14ac:dyDescent="0.2">
      <c r="B22" s="2" t="s">
        <v>28</v>
      </c>
      <c r="C22" s="3">
        <f t="shared" ref="C22" si="23">+C19-SUM(C20:C21)</f>
        <v>3315</v>
      </c>
      <c r="D22" s="3">
        <f t="shared" ref="D22" si="24">+D19-SUM(D20:D21)</f>
        <v>3348</v>
      </c>
      <c r="E22" s="3">
        <f t="shared" ref="E22" si="25">+E19-SUM(E20:E21)</f>
        <v>3369</v>
      </c>
      <c r="F22" s="3">
        <f t="shared" ref="F22" si="26">+F19-SUM(F20:F21)</f>
        <v>3672</v>
      </c>
      <c r="G22" s="3">
        <f t="shared" ref="G22" si="27">+G19-SUM(G20:G21)</f>
        <v>3461</v>
      </c>
      <c r="H22" s="3">
        <f t="shared" ref="H22" si="28">+H19-SUM(H20:H21)</f>
        <v>3608</v>
      </c>
      <c r="I22" s="3">
        <f t="shared" ref="I22" si="29">+I19-SUM(I20:I21)</f>
        <v>3654</v>
      </c>
      <c r="J22" s="3">
        <f t="shared" ref="J22:P22" si="30">+J19-SUM(J20:J21)</f>
        <v>3935</v>
      </c>
      <c r="K22" s="3">
        <f t="shared" si="30"/>
        <v>3716</v>
      </c>
      <c r="L22" s="3">
        <f t="shared" si="30"/>
        <v>3844</v>
      </c>
      <c r="M22" s="3">
        <f t="shared" si="30"/>
        <v>3871</v>
      </c>
      <c r="N22" s="3">
        <f t="shared" si="30"/>
        <v>4034</v>
      </c>
      <c r="O22" s="3">
        <f t="shared" si="30"/>
        <v>3810</v>
      </c>
      <c r="P22" s="3">
        <f t="shared" si="30"/>
        <v>3900</v>
      </c>
      <c r="Q22" s="3"/>
      <c r="R22" s="3"/>
      <c r="S22" s="3"/>
      <c r="T22" s="3">
        <f t="shared" ref="T22:U22" si="31">+T19-SUM(T20:T21)</f>
        <v>5684</v>
      </c>
      <c r="U22" s="3">
        <f t="shared" si="31"/>
        <v>6859</v>
      </c>
      <c r="V22" s="3">
        <f t="shared" ref="V22:AA22" si="32">+V19-SUM(V20:V21)</f>
        <v>7820</v>
      </c>
      <c r="W22" s="3">
        <f t="shared" si="32"/>
        <v>9602</v>
      </c>
      <c r="X22" s="3">
        <f t="shared" si="32"/>
        <v>11779</v>
      </c>
      <c r="Y22" s="3">
        <f t="shared" si="32"/>
        <v>13996</v>
      </c>
      <c r="Z22" s="3">
        <f t="shared" si="32"/>
        <v>13773</v>
      </c>
      <c r="AA22" s="3">
        <f t="shared" si="32"/>
        <v>13704</v>
      </c>
      <c r="AB22" s="3">
        <f>+AB19-SUM(AB20:AB21)</f>
        <v>14658</v>
      </c>
      <c r="AC22" s="3">
        <f>+AC19-SUM(AC20:AC21)</f>
        <v>15465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2:48" s="2" customFormat="1" x14ac:dyDescent="0.2">
      <c r="B23" s="2" t="s">
        <v>30</v>
      </c>
      <c r="C23" s="3">
        <v>488</v>
      </c>
      <c r="D23" s="3">
        <v>492</v>
      </c>
      <c r="E23" s="3">
        <v>474</v>
      </c>
      <c r="F23" s="3">
        <v>465</v>
      </c>
      <c r="G23" s="3">
        <v>454</v>
      </c>
      <c r="H23" s="3">
        <v>436</v>
      </c>
      <c r="I23" s="3">
        <v>427</v>
      </c>
      <c r="J23" s="3">
        <v>451</v>
      </c>
      <c r="K23" s="3">
        <v>398</v>
      </c>
      <c r="L23" s="3">
        <v>413</v>
      </c>
      <c r="M23" s="3">
        <v>447</v>
      </c>
      <c r="N23" s="3">
        <v>446</v>
      </c>
      <c r="O23" s="3">
        <v>446</v>
      </c>
      <c r="P23" s="3">
        <v>462</v>
      </c>
      <c r="Q23" s="3"/>
      <c r="R23" s="3"/>
      <c r="S23" s="3"/>
      <c r="T23" s="3">
        <v>1267</v>
      </c>
      <c r="U23" s="3">
        <v>1364</v>
      </c>
      <c r="V23" s="3">
        <v>1482</v>
      </c>
      <c r="W23" s="3">
        <v>1615</v>
      </c>
      <c r="X23" s="3">
        <v>1778</v>
      </c>
      <c r="Y23" s="3">
        <v>2075</v>
      </c>
      <c r="Z23" s="3">
        <v>2120</v>
      </c>
      <c r="AA23" s="3">
        <v>1919</v>
      </c>
      <c r="AB23" s="3">
        <v>1768</v>
      </c>
      <c r="AC23" s="3">
        <v>1704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2:48" s="2" customFormat="1" x14ac:dyDescent="0.2">
      <c r="B24" s="2" t="s">
        <v>31</v>
      </c>
      <c r="C24" s="3">
        <v>436</v>
      </c>
      <c r="D24" s="3">
        <v>465</v>
      </c>
      <c r="E24" s="3">
        <v>442</v>
      </c>
      <c r="F24" s="3">
        <v>466</v>
      </c>
      <c r="G24" s="3">
        <v>421</v>
      </c>
      <c r="H24" s="3">
        <v>446</v>
      </c>
      <c r="I24" s="3">
        <v>508</v>
      </c>
      <c r="J24" s="3">
        <v>626</v>
      </c>
      <c r="K24" s="3">
        <v>488</v>
      </c>
      <c r="L24" s="3">
        <v>583</v>
      </c>
      <c r="M24" s="3">
        <v>521</v>
      </c>
      <c r="N24" s="3">
        <v>691</v>
      </c>
      <c r="O24" s="3">
        <v>518</v>
      </c>
      <c r="P24" s="3">
        <v>546</v>
      </c>
      <c r="Q24" s="3"/>
      <c r="R24" s="3"/>
      <c r="S24" s="3"/>
      <c r="T24" s="3">
        <v>969</v>
      </c>
      <c r="U24" s="3">
        <v>1128</v>
      </c>
      <c r="V24" s="3">
        <v>1313</v>
      </c>
      <c r="W24" s="3">
        <v>1401</v>
      </c>
      <c r="X24" s="3">
        <v>1861</v>
      </c>
      <c r="Y24" s="3">
        <v>2445</v>
      </c>
      <c r="Z24" s="3">
        <v>2257</v>
      </c>
      <c r="AA24" s="3">
        <v>1809</v>
      </c>
      <c r="AB24" s="3">
        <v>2001</v>
      </c>
      <c r="AC24" s="3">
        <v>2283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2:48" s="2" customFormat="1" x14ac:dyDescent="0.2">
      <c r="B25" s="2" t="s">
        <v>32</v>
      </c>
      <c r="C25" s="3">
        <v>721</v>
      </c>
      <c r="D25" s="3">
        <v>743</v>
      </c>
      <c r="E25" s="3">
        <v>739</v>
      </c>
      <c r="F25" s="3">
        <v>770</v>
      </c>
      <c r="G25" s="3">
        <v>742</v>
      </c>
      <c r="H25" s="3">
        <v>718</v>
      </c>
      <c r="I25" s="3">
        <v>746</v>
      </c>
      <c r="J25" s="3">
        <v>773</v>
      </c>
      <c r="K25" s="3">
        <v>731</v>
      </c>
      <c r="L25" s="3">
        <v>767</v>
      </c>
      <c r="M25" s="3">
        <v>801</v>
      </c>
      <c r="N25" s="3">
        <v>804</v>
      </c>
      <c r="O25" s="3">
        <v>793</v>
      </c>
      <c r="P25" s="3">
        <v>849</v>
      </c>
      <c r="Q25" s="3"/>
      <c r="R25" s="3"/>
      <c r="S25" s="3"/>
      <c r="T25" s="3">
        <v>834</v>
      </c>
      <c r="U25" s="3">
        <v>953</v>
      </c>
      <c r="V25" s="3">
        <v>1071</v>
      </c>
      <c r="W25" s="3">
        <v>2085</v>
      </c>
      <c r="X25" s="3">
        <v>2642</v>
      </c>
      <c r="Y25" s="3">
        <v>3038</v>
      </c>
      <c r="Z25" s="3">
        <v>3253</v>
      </c>
      <c r="AA25" s="3">
        <v>2973</v>
      </c>
      <c r="AB25" s="3">
        <v>2979</v>
      </c>
      <c r="AC25" s="3">
        <v>3103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2:48" s="2" customFormat="1" x14ac:dyDescent="0.2">
      <c r="B26" s="2" t="s">
        <v>33</v>
      </c>
      <c r="C26" s="3">
        <v>507</v>
      </c>
      <c r="D26" s="3">
        <v>491</v>
      </c>
      <c r="E26" s="3">
        <v>507</v>
      </c>
      <c r="F26" s="3">
        <v>554</v>
      </c>
      <c r="G26" s="3">
        <v>464</v>
      </c>
      <c r="H26" s="3">
        <v>570</v>
      </c>
      <c r="I26" s="3">
        <v>519</v>
      </c>
      <c r="J26" s="3">
        <v>594</v>
      </c>
      <c r="K26" s="3">
        <v>503</v>
      </c>
      <c r="L26" s="3">
        <v>461</v>
      </c>
      <c r="M26" s="3">
        <v>513</v>
      </c>
      <c r="N26" s="3">
        <v>502</v>
      </c>
      <c r="O26" s="3">
        <v>491</v>
      </c>
      <c r="P26" s="3">
        <v>503</v>
      </c>
      <c r="Q26" s="3"/>
      <c r="R26" s="3"/>
      <c r="S26" s="3"/>
      <c r="T26" s="3">
        <v>1028</v>
      </c>
      <c r="U26" s="3">
        <v>1155</v>
      </c>
      <c r="V26" s="3">
        <v>1451</v>
      </c>
      <c r="W26" s="3">
        <v>1711</v>
      </c>
      <c r="X26" s="3">
        <v>2070</v>
      </c>
      <c r="Y26" s="3">
        <v>2114</v>
      </c>
      <c r="Z26" s="3">
        <v>2099</v>
      </c>
      <c r="AA26" s="3">
        <v>2059</v>
      </c>
      <c r="AB26" s="3">
        <v>2147</v>
      </c>
      <c r="AC26" s="3">
        <v>1979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2:48" s="2" customFormat="1" x14ac:dyDescent="0.2">
      <c r="B27" s="2" t="s">
        <v>34</v>
      </c>
      <c r="C27" s="3">
        <v>164</v>
      </c>
      <c r="D27" s="3">
        <v>24</v>
      </c>
      <c r="E27" s="3">
        <v>39</v>
      </c>
      <c r="F27" s="3">
        <v>-311</v>
      </c>
      <c r="G27" s="3">
        <v>212</v>
      </c>
      <c r="H27" s="3">
        <v>113</v>
      </c>
      <c r="I27" s="3">
        <v>63</v>
      </c>
      <c r="J27" s="3">
        <v>50</v>
      </c>
      <c r="K27" s="3">
        <v>66</v>
      </c>
      <c r="L27" s="3">
        <v>116</v>
      </c>
      <c r="M27" s="3">
        <v>69</v>
      </c>
      <c r="N27" s="3">
        <v>80</v>
      </c>
      <c r="O27" s="3">
        <v>74</v>
      </c>
      <c r="P27" s="3">
        <v>113</v>
      </c>
      <c r="Q27" s="3"/>
      <c r="R27" s="3"/>
      <c r="S27" s="3"/>
      <c r="T27" s="3">
        <v>0</v>
      </c>
      <c r="U27" s="3">
        <v>132</v>
      </c>
      <c r="V27" s="3">
        <v>309</v>
      </c>
      <c r="W27" s="3">
        <v>71</v>
      </c>
      <c r="X27" s="3">
        <v>139</v>
      </c>
      <c r="Y27" s="3">
        <v>62</v>
      </c>
      <c r="Z27" s="3">
        <v>207</v>
      </c>
      <c r="AA27" s="3">
        <v>-84</v>
      </c>
      <c r="AB27" s="3">
        <v>438</v>
      </c>
      <c r="AC27" s="3">
        <v>331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2:48" s="2" customFormat="1" x14ac:dyDescent="0.2">
      <c r="B28" s="2" t="s">
        <v>35</v>
      </c>
      <c r="C28" s="3">
        <f t="shared" ref="C28" si="33">+C22-SUM(C23:C27)</f>
        <v>999</v>
      </c>
      <c r="D28" s="3">
        <f t="shared" ref="D28" si="34">+D22-SUM(D23:D27)</f>
        <v>1133</v>
      </c>
      <c r="E28" s="3">
        <f t="shared" ref="E28" si="35">+E22-SUM(E23:E27)</f>
        <v>1168</v>
      </c>
      <c r="F28" s="3">
        <f t="shared" ref="F28" si="36">+F22-SUM(F23:F27)</f>
        <v>1728</v>
      </c>
      <c r="G28" s="3">
        <f t="shared" ref="G28" si="37">+G22-SUM(G23:G27)</f>
        <v>1168</v>
      </c>
      <c r="H28" s="3">
        <f t="shared" ref="H28" si="38">+H22-SUM(H23:H27)</f>
        <v>1325</v>
      </c>
      <c r="I28" s="3">
        <f t="shared" ref="I28" si="39">+I22-SUM(I23:I27)</f>
        <v>1391</v>
      </c>
      <c r="J28" s="3">
        <f t="shared" ref="J28" si="40">+J22-SUM(J23:J27)</f>
        <v>1441</v>
      </c>
      <c r="K28" s="3">
        <f>+K22-SUM(K23:K27)</f>
        <v>1530</v>
      </c>
      <c r="L28" s="3">
        <f>+L22-SUM(L23:L27)</f>
        <v>1504</v>
      </c>
      <c r="M28" s="3">
        <f>+M22-SUM(M23:M27)</f>
        <v>1520</v>
      </c>
      <c r="N28" s="3">
        <f>+N22-SUM(N23:N27)</f>
        <v>1511</v>
      </c>
      <c r="O28" s="3">
        <f>+O22-SUM(O23:O27)</f>
        <v>1488</v>
      </c>
      <c r="P28" s="3">
        <f>+P22-SUM(P23:P27)</f>
        <v>1427</v>
      </c>
      <c r="Q28" s="3"/>
      <c r="R28" s="3"/>
      <c r="S28" s="3"/>
      <c r="T28" s="3">
        <f t="shared" ref="T28:AA28" si="41">+T22-SUM(T23:T27)</f>
        <v>1586</v>
      </c>
      <c r="U28" s="3">
        <f>+U22-SUM(U23:U27)</f>
        <v>2127</v>
      </c>
      <c r="V28" s="3">
        <f t="shared" si="41"/>
        <v>2194</v>
      </c>
      <c r="W28" s="3">
        <f t="shared" si="41"/>
        <v>2719</v>
      </c>
      <c r="X28" s="3">
        <f t="shared" si="41"/>
        <v>3289</v>
      </c>
      <c r="Y28" s="3">
        <f t="shared" si="41"/>
        <v>4262</v>
      </c>
      <c r="Z28" s="3">
        <f t="shared" si="41"/>
        <v>3837</v>
      </c>
      <c r="AA28" s="3">
        <f t="shared" si="41"/>
        <v>5028</v>
      </c>
      <c r="AB28" s="3">
        <f>+AB22-SUM(AB23:AB27)</f>
        <v>5325</v>
      </c>
      <c r="AC28" s="3">
        <f>+AC22-SUM(AC23:AC27)</f>
        <v>6065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2:48" s="2" customFormat="1" x14ac:dyDescent="0.2">
      <c r="B29" s="2" t="s">
        <v>36</v>
      </c>
      <c r="C29" s="3">
        <v>75</v>
      </c>
      <c r="D29" s="3">
        <v>170</v>
      </c>
      <c r="E29" s="3">
        <v>73</v>
      </c>
      <c r="F29" s="3">
        <v>65</v>
      </c>
      <c r="G29" s="3">
        <v>41</v>
      </c>
      <c r="H29" s="3">
        <v>74</v>
      </c>
      <c r="I29" s="3">
        <v>-80</v>
      </c>
      <c r="J29" s="3">
        <v>-31</v>
      </c>
      <c r="K29" s="3">
        <v>73</v>
      </c>
      <c r="L29" s="3">
        <v>25</v>
      </c>
      <c r="M29" s="3">
        <v>13</v>
      </c>
      <c r="N29" s="3">
        <v>116</v>
      </c>
      <c r="O29" s="3">
        <v>-95</v>
      </c>
      <c r="P29" s="3">
        <v>-117</v>
      </c>
      <c r="Q29" s="3"/>
      <c r="R29" s="3"/>
      <c r="S29" s="3"/>
      <c r="T29" s="3">
        <v>45</v>
      </c>
      <c r="U29" s="3">
        <v>73</v>
      </c>
      <c r="V29" s="3">
        <v>182</v>
      </c>
      <c r="W29" s="3">
        <v>279</v>
      </c>
      <c r="X29" s="3">
        <v>1776</v>
      </c>
      <c r="Y29" s="3">
        <v>-163</v>
      </c>
      <c r="Z29" s="3">
        <v>-471</v>
      </c>
      <c r="AA29" s="3">
        <v>383</v>
      </c>
      <c r="AB29" s="3">
        <v>4</v>
      </c>
      <c r="AC29" s="3">
        <v>227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2:48" s="2" customFormat="1" x14ac:dyDescent="0.2">
      <c r="B30" s="2" t="s">
        <v>37</v>
      </c>
      <c r="C30" s="3">
        <f t="shared" ref="C30:H30" si="42">+C28+C29</f>
        <v>1074</v>
      </c>
      <c r="D30" s="3">
        <f t="shared" si="42"/>
        <v>1303</v>
      </c>
      <c r="E30" s="3">
        <f t="shared" si="42"/>
        <v>1241</v>
      </c>
      <c r="F30" s="3">
        <f t="shared" si="42"/>
        <v>1793</v>
      </c>
      <c r="G30" s="3">
        <f t="shared" si="42"/>
        <v>1209</v>
      </c>
      <c r="H30" s="3">
        <f t="shared" si="42"/>
        <v>1399</v>
      </c>
      <c r="I30" s="3">
        <f>+I28+I29</f>
        <v>1311</v>
      </c>
      <c r="J30" s="3">
        <f t="shared" ref="J30:AC30" si="43">+J28+J29</f>
        <v>1410</v>
      </c>
      <c r="K30" s="3">
        <f t="shared" si="43"/>
        <v>1603</v>
      </c>
      <c r="L30" s="3">
        <f t="shared" si="43"/>
        <v>1529</v>
      </c>
      <c r="M30" s="3">
        <f>+M28+M29</f>
        <v>1533</v>
      </c>
      <c r="N30" s="3">
        <f>+N28+N29</f>
        <v>1627</v>
      </c>
      <c r="O30" s="3">
        <f>+O28+O29</f>
        <v>1393</v>
      </c>
      <c r="P30" s="3">
        <f>+P28+P29</f>
        <v>1310</v>
      </c>
      <c r="Q30" s="3"/>
      <c r="R30" s="3"/>
      <c r="S30" s="3"/>
      <c r="T30" s="3">
        <f t="shared" si="43"/>
        <v>1631</v>
      </c>
      <c r="U30" s="3">
        <f t="shared" si="43"/>
        <v>2200</v>
      </c>
      <c r="V30" s="3">
        <f t="shared" si="43"/>
        <v>2376</v>
      </c>
      <c r="W30" s="3">
        <f t="shared" si="43"/>
        <v>2998</v>
      </c>
      <c r="X30" s="3">
        <f t="shared" si="43"/>
        <v>5065</v>
      </c>
      <c r="Y30" s="3">
        <f t="shared" si="43"/>
        <v>4099</v>
      </c>
      <c r="Z30" s="3">
        <f t="shared" si="43"/>
        <v>3366</v>
      </c>
      <c r="AA30" s="3">
        <f t="shared" si="43"/>
        <v>5411</v>
      </c>
      <c r="AB30" s="3">
        <f t="shared" si="43"/>
        <v>5329</v>
      </c>
      <c r="AC30" s="3">
        <f t="shared" si="43"/>
        <v>6292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2:48" s="2" customFormat="1" x14ac:dyDescent="0.2">
      <c r="B31" s="2" t="s">
        <v>38</v>
      </c>
      <c r="C31" s="3">
        <v>279</v>
      </c>
      <c r="D31" s="3">
        <v>274</v>
      </c>
      <c r="E31" s="3">
        <v>221</v>
      </c>
      <c r="F31" s="3">
        <v>391</v>
      </c>
      <c r="G31" s="3">
        <v>321</v>
      </c>
      <c r="H31" s="3">
        <v>271</v>
      </c>
      <c r="I31" s="3">
        <v>301</v>
      </c>
      <c r="J31" s="3">
        <v>289</v>
      </c>
      <c r="K31" s="3">
        <v>316</v>
      </c>
      <c r="L31" s="3">
        <v>269</v>
      </c>
      <c r="M31" s="3">
        <v>285</v>
      </c>
      <c r="N31" s="3">
        <v>190</v>
      </c>
      <c r="O31" s="3">
        <v>280</v>
      </c>
      <c r="P31" s="3">
        <v>206</v>
      </c>
      <c r="Q31" s="3"/>
      <c r="R31" s="3"/>
      <c r="S31" s="3"/>
      <c r="T31" s="3">
        <v>230</v>
      </c>
      <c r="U31" s="3">
        <v>405</v>
      </c>
      <c r="V31" s="3">
        <v>319</v>
      </c>
      <c r="W31" s="3">
        <v>539</v>
      </c>
      <c r="X31" s="3">
        <v>863</v>
      </c>
      <c r="Y31" s="3">
        <v>-70</v>
      </c>
      <c r="Z31" s="3">
        <v>947</v>
      </c>
      <c r="AA31" s="3">
        <v>1165</v>
      </c>
      <c r="AB31" s="3">
        <v>1182</v>
      </c>
      <c r="AC31" s="3">
        <v>1059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2:48" s="2" customFormat="1" x14ac:dyDescent="0.2">
      <c r="B32" s="2" t="s">
        <v>39</v>
      </c>
      <c r="C32" s="3">
        <f t="shared" ref="C32:H32" si="44">+C30-C31</f>
        <v>795</v>
      </c>
      <c r="D32" s="3">
        <f t="shared" si="44"/>
        <v>1029</v>
      </c>
      <c r="E32" s="3">
        <f t="shared" si="44"/>
        <v>1020</v>
      </c>
      <c r="F32" s="3">
        <f t="shared" si="44"/>
        <v>1402</v>
      </c>
      <c r="G32" s="3">
        <f t="shared" si="44"/>
        <v>888</v>
      </c>
      <c r="H32" s="3">
        <f t="shared" si="44"/>
        <v>1128</v>
      </c>
      <c r="I32" s="3">
        <f>+I30-I31</f>
        <v>1010</v>
      </c>
      <c r="J32" s="3">
        <f t="shared" ref="J32:L32" si="45">+J30-J31</f>
        <v>1121</v>
      </c>
      <c r="K32" s="3">
        <f t="shared" si="45"/>
        <v>1287</v>
      </c>
      <c r="L32" s="3">
        <f t="shared" si="45"/>
        <v>1260</v>
      </c>
      <c r="M32" s="3">
        <f>+M30-M31</f>
        <v>1248</v>
      </c>
      <c r="N32" s="3">
        <f>+N30-N31</f>
        <v>1437</v>
      </c>
      <c r="O32" s="3">
        <f>+O30-O31</f>
        <v>1113</v>
      </c>
      <c r="P32" s="3">
        <f>+P30-P31</f>
        <v>1104</v>
      </c>
      <c r="Q32" s="3"/>
      <c r="R32" s="3"/>
      <c r="S32" s="3"/>
      <c r="T32" s="3">
        <f t="shared" ref="T32:Y32" si="46">+T30-T31</f>
        <v>1401</v>
      </c>
      <c r="U32" s="3">
        <f t="shared" si="46"/>
        <v>1795</v>
      </c>
      <c r="V32" s="3">
        <f t="shared" si="46"/>
        <v>2057</v>
      </c>
      <c r="W32" s="3">
        <f t="shared" si="46"/>
        <v>2459</v>
      </c>
      <c r="X32" s="3">
        <f t="shared" si="46"/>
        <v>4202</v>
      </c>
      <c r="Y32" s="3">
        <f t="shared" si="46"/>
        <v>4169</v>
      </c>
      <c r="Z32" s="3">
        <f>+Z30-Z31</f>
        <v>2419</v>
      </c>
      <c r="AA32" s="3">
        <f t="shared" ref="AA32:AC32" si="47">+AA30-AA31</f>
        <v>4246</v>
      </c>
      <c r="AB32" s="3">
        <f t="shared" si="47"/>
        <v>4147</v>
      </c>
      <c r="AC32" s="3">
        <f t="shared" si="47"/>
        <v>5233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2:48" s="2" customFormat="1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2:48" s="2" customFormat="1" x14ac:dyDescent="0.2">
      <c r="B34" s="2" t="s">
        <v>40</v>
      </c>
      <c r="C34" s="12">
        <f t="shared" ref="C34:D34" si="48">+C32/C35</f>
        <v>0.70416297608503098</v>
      </c>
      <c r="D34" s="12">
        <f t="shared" si="48"/>
        <v>0.9261926192619262</v>
      </c>
      <c r="E34" s="12">
        <f>+E32/E35</f>
        <v>0.93235831809872027</v>
      </c>
      <c r="F34" s="12">
        <f>+F32/F35</f>
        <v>1.3017641597028784</v>
      </c>
      <c r="G34" s="12">
        <f t="shared" ref="G34:P34" si="49">+G32/G35</f>
        <v>0.83458646616541354</v>
      </c>
      <c r="H34" s="12">
        <f t="shared" si="49"/>
        <v>1</v>
      </c>
      <c r="I34" s="12">
        <f t="shared" si="49"/>
        <v>0.99507389162561577</v>
      </c>
      <c r="J34" s="12">
        <f t="shared" si="49"/>
        <v>1.1243731193580742</v>
      </c>
      <c r="K34" s="12">
        <f t="shared" si="49"/>
        <v>1.3052738336713996</v>
      </c>
      <c r="L34" s="12">
        <f t="shared" si="49"/>
        <v>1.3003095975232197</v>
      </c>
      <c r="M34" s="12">
        <f t="shared" si="49"/>
        <v>1.3136842105263158</v>
      </c>
      <c r="N34" s="12">
        <f t="shared" si="49"/>
        <v>1.543501611170784</v>
      </c>
      <c r="O34" s="12">
        <f t="shared" si="49"/>
        <v>1.2190580503833517</v>
      </c>
      <c r="P34" s="12">
        <f t="shared" si="49"/>
        <v>1.2446448703494928</v>
      </c>
      <c r="Q34" s="12"/>
      <c r="R34" s="12"/>
      <c r="S34" s="12"/>
      <c r="T34" s="12">
        <f t="shared" ref="T34:AA34" si="50">+T32/T35</f>
        <v>1.1578512396694214</v>
      </c>
      <c r="U34" s="12">
        <f t="shared" si="50"/>
        <v>1.4921030756442228</v>
      </c>
      <c r="V34" s="12">
        <f t="shared" si="50"/>
        <v>1.7373310810810811</v>
      </c>
      <c r="W34" s="12">
        <f t="shared" si="50"/>
        <v>2.094548551959114</v>
      </c>
      <c r="X34" s="12">
        <f t="shared" si="50"/>
        <v>3.5822676896845693</v>
      </c>
      <c r="Y34" s="12">
        <f t="shared" si="50"/>
        <v>3.5511073253833048</v>
      </c>
      <c r="Z34" s="12">
        <f t="shared" si="50"/>
        <v>2.0889464594127807</v>
      </c>
      <c r="AA34" s="12">
        <f t="shared" si="50"/>
        <v>3.8355916892502258</v>
      </c>
      <c r="AB34" s="12">
        <f>+AB32/AB35</f>
        <v>4.0301263362487854</v>
      </c>
      <c r="AC34" s="12">
        <f>+AC32/AC35</f>
        <v>5.4567257559958291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3"/>
      <c r="AO34" s="3"/>
      <c r="AP34" s="3"/>
      <c r="AQ34" s="3"/>
      <c r="AR34" s="3"/>
      <c r="AS34" s="3"/>
      <c r="AT34" s="3"/>
      <c r="AU34" s="3"/>
      <c r="AV34" s="3"/>
    </row>
    <row r="35" spans="2:48" s="2" customFormat="1" x14ac:dyDescent="0.2">
      <c r="B35" s="2" t="s">
        <v>4</v>
      </c>
      <c r="C35" s="3">
        <v>1129</v>
      </c>
      <c r="D35" s="3">
        <v>1111</v>
      </c>
      <c r="E35" s="3">
        <v>1094</v>
      </c>
      <c r="F35" s="3">
        <v>1077</v>
      </c>
      <c r="G35" s="3">
        <v>1064</v>
      </c>
      <c r="H35" s="3">
        <v>1128</v>
      </c>
      <c r="I35" s="3">
        <v>1015</v>
      </c>
      <c r="J35" s="3">
        <v>997</v>
      </c>
      <c r="K35" s="3">
        <v>986</v>
      </c>
      <c r="L35" s="3">
        <v>969</v>
      </c>
      <c r="M35" s="3">
        <v>950</v>
      </c>
      <c r="N35" s="3">
        <v>931</v>
      </c>
      <c r="O35" s="3">
        <v>913</v>
      </c>
      <c r="P35" s="3">
        <v>887</v>
      </c>
      <c r="Q35" s="3"/>
      <c r="R35" s="3"/>
      <c r="S35" s="3"/>
      <c r="T35" s="3">
        <v>1210</v>
      </c>
      <c r="U35" s="3">
        <v>1203</v>
      </c>
      <c r="V35" s="3">
        <v>1184</v>
      </c>
      <c r="W35" s="3">
        <v>1174</v>
      </c>
      <c r="X35" s="3">
        <v>1173</v>
      </c>
      <c r="Y35" s="3">
        <v>1174</v>
      </c>
      <c r="Z35" s="3">
        <v>1158</v>
      </c>
      <c r="AA35" s="3">
        <v>1107</v>
      </c>
      <c r="AB35" s="3">
        <v>1029</v>
      </c>
      <c r="AC35" s="3">
        <v>959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2:48" s="2" customFormat="1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2:48" s="2" customFormat="1" x14ac:dyDescent="0.2">
      <c r="B37" s="2" t="s">
        <v>57</v>
      </c>
      <c r="C37" s="3"/>
      <c r="D37" s="3"/>
      <c r="E37" s="3"/>
      <c r="F37" s="3"/>
      <c r="G37" s="11">
        <f t="shared" ref="G37:J37" si="51">+G7/C7-1</f>
        <v>-1.3856812933025431E-2</v>
      </c>
      <c r="H37" s="11">
        <f t="shared" si="51"/>
        <v>-4.6403712296984034E-3</v>
      </c>
      <c r="I37" s="11">
        <f t="shared" si="51"/>
        <v>9.3457943925232545E-3</v>
      </c>
      <c r="J37" s="11">
        <f t="shared" si="51"/>
        <v>1.8779342723004744E-2</v>
      </c>
      <c r="K37" s="11">
        <f t="shared" ref="K37:M38" si="52">+K7/G7-1</f>
        <v>2.1077283372365363E-2</v>
      </c>
      <c r="L37" s="11">
        <f t="shared" si="52"/>
        <v>2.0979020979021046E-2</v>
      </c>
      <c r="M37" s="11">
        <f t="shared" si="52"/>
        <v>1.388888888888884E-2</v>
      </c>
      <c r="N37" s="11">
        <f t="shared" ref="N37:N38" si="53">+N7/J7-1</f>
        <v>1.1520737327188835E-2</v>
      </c>
      <c r="O37" s="11">
        <f t="shared" ref="O37:O38" si="54">+O7/K7-1</f>
        <v>6.8807339449541427E-3</v>
      </c>
      <c r="P37" s="11">
        <f t="shared" ref="P37:P38" si="55">+P7/L7-1</f>
        <v>2.2831050228311334E-3</v>
      </c>
      <c r="Q37" s="3"/>
      <c r="R37" s="3"/>
      <c r="S37" s="3"/>
      <c r="T37" s="3"/>
      <c r="U37" s="11">
        <f t="shared" ref="U37:W37" si="56">+U7/T7-1</f>
        <v>0.15075376884422109</v>
      </c>
      <c r="V37" s="11">
        <f t="shared" si="56"/>
        <v>0.1659388646288209</v>
      </c>
      <c r="W37" s="11">
        <f t="shared" si="56"/>
        <v>0.14232209737827706</v>
      </c>
      <c r="X37" s="11">
        <f t="shared" ref="X37:AC38" si="57">+X7/W7-1</f>
        <v>0.23606557377049175</v>
      </c>
      <c r="Y37" s="11">
        <f t="shared" si="57"/>
        <v>0.12997347480106103</v>
      </c>
      <c r="Z37" s="11">
        <f t="shared" si="57"/>
        <v>2.1126760563380254E-2</v>
      </c>
      <c r="AA37" s="11">
        <f t="shared" si="57"/>
        <v>-2.0689655172413834E-2</v>
      </c>
      <c r="AB37" s="11">
        <f t="shared" si="57"/>
        <v>1.8779342723004744E-2</v>
      </c>
      <c r="AC37" s="11">
        <f t="shared" si="57"/>
        <v>1.1520737327188835E-2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2:48" s="2" customFormat="1" x14ac:dyDescent="0.2">
      <c r="B38" s="2" t="s">
        <v>58</v>
      </c>
      <c r="C38" s="3"/>
      <c r="D38" s="3"/>
      <c r="E38" s="3"/>
      <c r="F38" s="3"/>
      <c r="G38" s="11">
        <f t="shared" ref="G38:J38" si="58">+G8/C8-1</f>
        <v>0.11482433590402752</v>
      </c>
      <c r="H38" s="11">
        <f t="shared" si="58"/>
        <v>8.3305893974316758E-2</v>
      </c>
      <c r="I38" s="11">
        <f t="shared" si="58"/>
        <v>5.6733067729083597E-2</v>
      </c>
      <c r="J38" s="11">
        <f t="shared" si="58"/>
        <v>-2.6331273904089403E-2</v>
      </c>
      <c r="K38" s="11">
        <f t="shared" si="52"/>
        <v>-7.0714834742505728E-2</v>
      </c>
      <c r="L38" s="11">
        <f t="shared" si="52"/>
        <v>-5.3799392097264476E-2</v>
      </c>
      <c r="M38" s="11">
        <f t="shared" si="52"/>
        <v>-4.524204494043127E-2</v>
      </c>
      <c r="N38" s="11">
        <f t="shared" si="53"/>
        <v>2.0395830185828689E-2</v>
      </c>
      <c r="O38" s="11">
        <f t="shared" si="54"/>
        <v>7.1133167907361461E-2</v>
      </c>
      <c r="P38" s="11">
        <f t="shared" si="55"/>
        <v>8.4163186636684761E-2</v>
      </c>
      <c r="Q38" s="3"/>
      <c r="R38" s="3"/>
      <c r="S38" s="3"/>
      <c r="T38" s="3"/>
      <c r="U38" s="11">
        <f t="shared" ref="U38:W38" si="59">+U8/T8-1</f>
        <v>0.23415409054805392</v>
      </c>
      <c r="V38" s="11">
        <f t="shared" si="59"/>
        <v>0.27056249195520654</v>
      </c>
      <c r="W38" s="11">
        <f t="shared" si="59"/>
        <v>0.25225407760105356</v>
      </c>
      <c r="X38" s="11">
        <f t="shared" si="57"/>
        <v>0.24771458619852771</v>
      </c>
      <c r="Y38" s="11">
        <f t="shared" si="57"/>
        <v>0.25449004733190694</v>
      </c>
      <c r="Z38" s="11">
        <f t="shared" si="57"/>
        <v>0.15510647095307006</v>
      </c>
      <c r="AA38" s="11">
        <f t="shared" si="57"/>
        <v>0.11776813280236254</v>
      </c>
      <c r="AB38" s="11">
        <f t="shared" si="57"/>
        <v>5.4161162483487457E-2</v>
      </c>
      <c r="AC38" s="11">
        <f>+AC8/AB8-1</f>
        <v>-3.7138300296195026E-2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2:48" s="2" customFormat="1" x14ac:dyDescent="0.2">
      <c r="B39" s="2" t="s">
        <v>49</v>
      </c>
      <c r="C39" s="3"/>
      <c r="D39" s="3"/>
      <c r="E39" s="3"/>
      <c r="F39" s="3"/>
      <c r="G39" s="11">
        <f t="shared" ref="G39:M39" si="60">+G12/C12-1</f>
        <v>0.1392126552856352</v>
      </c>
      <c r="H39" s="11">
        <f t="shared" si="60"/>
        <v>0.10696397176380601</v>
      </c>
      <c r="I39" s="11">
        <f t="shared" si="60"/>
        <v>9.0120995303081486E-2</v>
      </c>
      <c r="J39" s="11">
        <f t="shared" si="60"/>
        <v>6.8330437837943458E-2</v>
      </c>
      <c r="K39" s="11">
        <f t="shared" si="60"/>
        <v>3.3051057297083242E-2</v>
      </c>
      <c r="L39" s="11">
        <f t="shared" si="60"/>
        <v>6.4136521326059182E-2</v>
      </c>
      <c r="M39" s="11">
        <f t="shared" si="60"/>
        <v>8.387023502215829E-2</v>
      </c>
      <c r="N39" s="11">
        <f t="shared" ref="N39" si="61">+N12/J12-1</f>
        <v>8.5189431659342674E-2</v>
      </c>
      <c r="O39" s="11">
        <f t="shared" ref="O39" si="62">+O12/K12-1</f>
        <v>0.11204722824106916</v>
      </c>
      <c r="P39" s="11">
        <f t="shared" ref="P39" si="63">+P12/L12-1</f>
        <v>9.6722557023269262E-2</v>
      </c>
      <c r="Q39" s="11"/>
      <c r="R39" s="11"/>
      <c r="S39" s="11"/>
      <c r="T39" s="11"/>
      <c r="U39" s="11">
        <f t="shared" ref="U39:W39" si="64">+U12/T12-1</f>
        <v>0.26741737236336149</v>
      </c>
      <c r="V39" s="11">
        <f t="shared" si="64"/>
        <v>0.26796498742818065</v>
      </c>
      <c r="W39" s="11">
        <f t="shared" si="64"/>
        <v>0.23081192007869733</v>
      </c>
      <c r="X39" s="11">
        <f t="shared" ref="X39:AC39" si="65">+X12/W12-1</f>
        <v>0.31483232082031121</v>
      </c>
      <c r="Y39" s="11">
        <f t="shared" si="65"/>
        <v>0.33097914454384436</v>
      </c>
      <c r="Z39" s="11">
        <f t="shared" si="65"/>
        <v>8.9280740746091825E-2</v>
      </c>
      <c r="AA39" s="11">
        <f t="shared" si="65"/>
        <v>0.12634697799444705</v>
      </c>
      <c r="AB39" s="11">
        <f t="shared" si="65"/>
        <v>9.9812309340897576E-2</v>
      </c>
      <c r="AC39" s="11">
        <f t="shared" si="65"/>
        <v>6.711417779496176E-2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/>
      <c r="AO39" s="3"/>
      <c r="AP39" s="3"/>
      <c r="AQ39" s="3"/>
      <c r="AR39" s="3"/>
      <c r="AS39" s="3"/>
      <c r="AT39" s="3"/>
      <c r="AU39" s="3"/>
      <c r="AV39" s="3"/>
    </row>
    <row r="40" spans="2:48" s="2" customFormat="1" x14ac:dyDescent="0.2">
      <c r="B40" s="2" t="s">
        <v>50</v>
      </c>
      <c r="C40" s="3"/>
      <c r="D40" s="3"/>
      <c r="E40" s="3"/>
      <c r="F40" s="3"/>
      <c r="G40" s="11">
        <f t="shared" ref="G40:M42" si="66">+G17/C17-1</f>
        <v>0.10527969830295403</v>
      </c>
      <c r="H40" s="11">
        <f t="shared" si="66"/>
        <v>1.6917827694057364E-2</v>
      </c>
      <c r="I40" s="11">
        <f t="shared" si="66"/>
        <v>6.2067929065223959E-2</v>
      </c>
      <c r="J40" s="11">
        <f t="shared" si="66"/>
        <v>4.1878346835095392E-2</v>
      </c>
      <c r="K40" s="11">
        <f t="shared" si="66"/>
        <v>-2.5589991470003071E-3</v>
      </c>
      <c r="L40" s="11">
        <f t="shared" si="66"/>
        <v>4.0262826785963934E-2</v>
      </c>
      <c r="M40" s="11">
        <f t="shared" si="66"/>
        <v>6.438375548323183E-2</v>
      </c>
      <c r="N40" s="11">
        <f t="shared" ref="N40:N42" si="67">+N17/J17-1</f>
        <v>3.0442804428044257E-2</v>
      </c>
      <c r="O40" s="11">
        <f t="shared" ref="O40:O42" si="68">+O17/K17-1</f>
        <v>6.912770809578106E-2</v>
      </c>
      <c r="P40" s="11">
        <f t="shared" ref="P40:P42" si="69">+P17/L17-1</f>
        <v>5.2546700712269967E-2</v>
      </c>
      <c r="Q40" s="11"/>
      <c r="R40" s="11"/>
      <c r="S40" s="11"/>
      <c r="T40" s="11"/>
      <c r="U40" s="11">
        <f t="shared" ref="U40:W40" si="70">+U17/T17-1</f>
        <v>0.19989567031820554</v>
      </c>
      <c r="V40" s="11">
        <f t="shared" si="70"/>
        <v>0.19198330579949574</v>
      </c>
      <c r="W40" s="11">
        <f t="shared" si="70"/>
        <v>0.17433802611423155</v>
      </c>
      <c r="X40" s="11">
        <f t="shared" ref="X40:AC42" si="71">+X17/W17-1</f>
        <v>0.23721970308714835</v>
      </c>
      <c r="Y40" s="11">
        <f t="shared" si="71"/>
        <v>0.17491716035746552</v>
      </c>
      <c r="Z40" s="11">
        <f t="shared" si="71"/>
        <v>7.7087428424921001E-2</v>
      </c>
      <c r="AA40" s="11">
        <f t="shared" si="71"/>
        <v>6.5500277711656008E-2</v>
      </c>
      <c r="AB40" s="11">
        <f t="shared" si="71"/>
        <v>7.3909967606210714E-2</v>
      </c>
      <c r="AC40" s="11">
        <f t="shared" si="71"/>
        <v>3.314610637265103E-2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/>
      <c r="AO40" s="3"/>
      <c r="AP40" s="3"/>
      <c r="AQ40" s="3"/>
      <c r="AR40" s="3"/>
      <c r="AS40" s="3"/>
      <c r="AT40" s="3"/>
      <c r="AU40" s="3"/>
      <c r="AV40" s="3"/>
    </row>
    <row r="41" spans="2:48" s="2" customFormat="1" x14ac:dyDescent="0.2">
      <c r="B41" s="2" t="s">
        <v>51</v>
      </c>
      <c r="C41" s="3"/>
      <c r="D41" s="3"/>
      <c r="E41" s="3"/>
      <c r="F41" s="3"/>
      <c r="G41" s="11">
        <f t="shared" si="66"/>
        <v>-1.6272189349112454E-2</v>
      </c>
      <c r="H41" s="11">
        <f t="shared" si="66"/>
        <v>0.10075187969924815</v>
      </c>
      <c r="I41" s="11">
        <f t="shared" si="66"/>
        <v>2.0942408376963373E-2</v>
      </c>
      <c r="J41" s="11">
        <f t="shared" si="66"/>
        <v>4.7106325706594898E-2</v>
      </c>
      <c r="K41" s="11">
        <f t="shared" si="66"/>
        <v>0.16541353383458657</v>
      </c>
      <c r="L41" s="11">
        <f t="shared" si="66"/>
        <v>0.15710382513661192</v>
      </c>
      <c r="M41" s="11">
        <f t="shared" si="66"/>
        <v>0.14743589743589736</v>
      </c>
      <c r="N41" s="11">
        <f t="shared" si="67"/>
        <v>0.10154241645244211</v>
      </c>
      <c r="O41" s="11">
        <f t="shared" si="68"/>
        <v>9.9354838709677429E-2</v>
      </c>
      <c r="P41" s="11">
        <f t="shared" si="69"/>
        <v>3.5419126328217754E-3</v>
      </c>
      <c r="Q41" s="11"/>
      <c r="R41" s="11"/>
      <c r="S41" s="11"/>
      <c r="T41" s="11"/>
      <c r="U41" s="11">
        <f t="shared" ref="U41:W41" si="72">+U18/T18-1</f>
        <v>0.26730310262529833</v>
      </c>
      <c r="V41" s="11">
        <f t="shared" si="72"/>
        <v>9.3534212178280063E-2</v>
      </c>
      <c r="W41" s="11">
        <f t="shared" si="72"/>
        <v>-3.960964408725598E-2</v>
      </c>
      <c r="X41" s="11">
        <f t="shared" si="71"/>
        <v>-8.1888822474596501E-2</v>
      </c>
      <c r="Y41" s="11">
        <f t="shared" si="71"/>
        <v>0.28190104166666674</v>
      </c>
      <c r="Z41" s="11">
        <f t="shared" si="71"/>
        <v>0.17420010157440324</v>
      </c>
      <c r="AA41" s="11">
        <f t="shared" si="71"/>
        <v>0.26038062283737018</v>
      </c>
      <c r="AB41" s="11">
        <f t="shared" si="71"/>
        <v>1.4070006863418083E-2</v>
      </c>
      <c r="AC41" s="11">
        <f t="shared" si="71"/>
        <v>0.14179357021996619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/>
      <c r="AO41" s="3"/>
      <c r="AP41" s="3"/>
      <c r="AQ41" s="3"/>
      <c r="AR41" s="3"/>
      <c r="AS41" s="3"/>
      <c r="AT41" s="3"/>
      <c r="AU41" s="3"/>
      <c r="AV41" s="3"/>
    </row>
    <row r="42" spans="2:48" s="2" customFormat="1" x14ac:dyDescent="0.2">
      <c r="B42" s="1" t="s">
        <v>41</v>
      </c>
      <c r="C42" s="9"/>
      <c r="D42" s="9"/>
      <c r="E42" s="9"/>
      <c r="F42" s="9"/>
      <c r="G42" s="13">
        <f t="shared" si="66"/>
        <v>9.3607954545454453E-2</v>
      </c>
      <c r="H42" s="13">
        <f t="shared" si="66"/>
        <v>8.2063949499108002E-2</v>
      </c>
      <c r="I42" s="13">
        <f t="shared" si="66"/>
        <v>5.7832299811269916E-2</v>
      </c>
      <c r="J42" s="13">
        <f t="shared" si="66"/>
        <v>4.2362322452030865E-2</v>
      </c>
      <c r="K42" s="13">
        <f t="shared" si="66"/>
        <v>1.1949603844655154E-2</v>
      </c>
      <c r="L42" s="13">
        <f t="shared" si="66"/>
        <v>5.1109701965757814E-2</v>
      </c>
      <c r="M42" s="13">
        <f t="shared" si="66"/>
        <v>7.2639225181598155E-2</v>
      </c>
      <c r="N42" s="13">
        <f t="shared" si="67"/>
        <v>3.7054745398039657E-2</v>
      </c>
      <c r="O42" s="13">
        <f t="shared" si="68"/>
        <v>7.2134514183031628E-2</v>
      </c>
      <c r="P42" s="13">
        <f t="shared" si="69"/>
        <v>4.753861003860993E-2</v>
      </c>
      <c r="Q42" s="13"/>
      <c r="R42" s="13"/>
      <c r="S42" s="11"/>
      <c r="T42" s="13"/>
      <c r="U42" s="13">
        <f t="shared" ref="U42:W42" si="73">+U19/T19-1</f>
        <v>0.20771075447334431</v>
      </c>
      <c r="V42" s="13">
        <f t="shared" si="73"/>
        <v>0.18000610966855057</v>
      </c>
      <c r="W42" s="13">
        <f t="shared" si="73"/>
        <v>0.15021681444566704</v>
      </c>
      <c r="X42" s="13">
        <f t="shared" si="71"/>
        <v>0.20717983344586988</v>
      </c>
      <c r="Y42" s="13">
        <f t="shared" si="71"/>
        <v>0.18257667567819524</v>
      </c>
      <c r="Z42" s="13">
        <f t="shared" si="71"/>
        <v>8.4624177210200546E-2</v>
      </c>
      <c r="AA42" s="13">
        <f t="shared" si="71"/>
        <v>8.1873682680427384E-2</v>
      </c>
      <c r="AB42" s="13">
        <f t="shared" si="71"/>
        <v>6.8052803063383793E-2</v>
      </c>
      <c r="AC42" s="13">
        <f t="shared" si="71"/>
        <v>4.3243073245903707E-2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3"/>
      <c r="AO42" s="3"/>
      <c r="AP42" s="3"/>
      <c r="AQ42" s="3"/>
      <c r="AR42" s="3"/>
      <c r="AS42" s="3"/>
      <c r="AT42" s="3"/>
      <c r="AU42" s="3"/>
      <c r="AV42" s="3"/>
    </row>
    <row r="43" spans="2:48" s="2" customFormat="1" x14ac:dyDescent="0.2">
      <c r="B43" s="2" t="s">
        <v>42</v>
      </c>
      <c r="C43" s="11">
        <f t="shared" ref="C43:J43" si="74">+C22/C19</f>
        <v>0.47088068181818182</v>
      </c>
      <c r="D43" s="11">
        <f t="shared" si="74"/>
        <v>0.45944833264717994</v>
      </c>
      <c r="E43" s="11">
        <f t="shared" si="74"/>
        <v>0.45416554327311942</v>
      </c>
      <c r="F43" s="11">
        <f t="shared" si="74"/>
        <v>0.45751308248193373</v>
      </c>
      <c r="G43" s="11">
        <f t="shared" si="74"/>
        <v>0.44953890115599426</v>
      </c>
      <c r="H43" s="11">
        <f t="shared" si="74"/>
        <v>0.45757767913760306</v>
      </c>
      <c r="I43" s="11">
        <f t="shared" si="74"/>
        <v>0.46565566458519181</v>
      </c>
      <c r="J43" s="11">
        <f t="shared" si="74"/>
        <v>0.47035620368156827</v>
      </c>
      <c r="K43" s="11">
        <f t="shared" ref="K43:L43" si="75">+K22/K19</f>
        <v>0.4769605955589783</v>
      </c>
      <c r="L43" s="11">
        <f t="shared" si="75"/>
        <v>0.46380308880308879</v>
      </c>
      <c r="M43" s="11">
        <f t="shared" ref="M43:P43" si="76">+M22/M19</f>
        <v>0.45990257811571816</v>
      </c>
      <c r="N43" s="11">
        <f t="shared" si="76"/>
        <v>0.46496081143384049</v>
      </c>
      <c r="O43" s="11">
        <f t="shared" si="76"/>
        <v>0.45612354842571529</v>
      </c>
      <c r="P43" s="11">
        <f t="shared" si="76"/>
        <v>0.44920525224602625</v>
      </c>
      <c r="Q43" s="11"/>
      <c r="R43" s="11"/>
      <c r="S43" s="11"/>
      <c r="T43" s="11">
        <f t="shared" ref="T43:W43" si="77">+T22/T19</f>
        <v>0.5242575170632725</v>
      </c>
      <c r="U43" s="11">
        <f t="shared" si="77"/>
        <v>0.52382770734687645</v>
      </c>
      <c r="V43" s="11">
        <f t="shared" si="77"/>
        <v>0.50611610898970938</v>
      </c>
      <c r="W43" s="11">
        <f t="shared" si="77"/>
        <v>0.54028809363042984</v>
      </c>
      <c r="X43" s="11">
        <f t="shared" ref="X43:AC43" si="78">+X22/X19</f>
        <v>0.54903514496131256</v>
      </c>
      <c r="Y43" s="11">
        <f t="shared" si="78"/>
        <v>0.55165346261479642</v>
      </c>
      <c r="Z43" s="11">
        <f t="shared" si="78"/>
        <v>0.50050875790391747</v>
      </c>
      <c r="AA43" s="11">
        <f t="shared" si="78"/>
        <v>0.46031372812468507</v>
      </c>
      <c r="AB43" s="11">
        <f t="shared" si="78"/>
        <v>0.46098688555524103</v>
      </c>
      <c r="AC43" s="11">
        <f t="shared" si="78"/>
        <v>0.46620643916556131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/>
      <c r="AO43" s="3"/>
      <c r="AP43" s="3"/>
      <c r="AQ43" s="3"/>
      <c r="AR43" s="3"/>
      <c r="AS43" s="3"/>
      <c r="AT43" s="3"/>
      <c r="AU43" s="3"/>
      <c r="AV43" s="3"/>
    </row>
    <row r="44" spans="2:48" s="2" customFormat="1" x14ac:dyDescent="0.2">
      <c r="B44" s="2" t="s">
        <v>43</v>
      </c>
      <c r="C44" s="11">
        <f t="shared" ref="C44:J44" si="79">+C28/C19</f>
        <v>0.14190340909090909</v>
      </c>
      <c r="D44" s="11">
        <f t="shared" si="79"/>
        <v>0.15548236585700562</v>
      </c>
      <c r="E44" s="11">
        <f t="shared" si="79"/>
        <v>0.15745483957940146</v>
      </c>
      <c r="F44" s="11">
        <f t="shared" si="79"/>
        <v>0.21530027410914529</v>
      </c>
      <c r="G44" s="11">
        <f t="shared" si="79"/>
        <v>0.15170801402779582</v>
      </c>
      <c r="H44" s="11">
        <f t="shared" si="79"/>
        <v>0.16804058338617628</v>
      </c>
      <c r="I44" s="11">
        <f t="shared" si="79"/>
        <v>0.17726519689053141</v>
      </c>
      <c r="J44" s="11">
        <f t="shared" si="79"/>
        <v>0.17224480038250059</v>
      </c>
      <c r="K44" s="11">
        <f t="shared" ref="K44:L44" si="80">+K28/K19</f>
        <v>0.19638043896804006</v>
      </c>
      <c r="L44" s="11">
        <f t="shared" si="80"/>
        <v>0.18146718146718147</v>
      </c>
      <c r="M44" s="11">
        <f t="shared" ref="M44:P44" si="81">+M28/M19</f>
        <v>0.18058690744920994</v>
      </c>
      <c r="N44" s="11">
        <f t="shared" si="81"/>
        <v>0.17415859843245735</v>
      </c>
      <c r="O44" s="11">
        <f t="shared" si="81"/>
        <v>0.17813959056626361</v>
      </c>
      <c r="P44" s="11">
        <f t="shared" si="81"/>
        <v>0.16436304998848192</v>
      </c>
      <c r="Q44" s="11"/>
      <c r="R44" s="11"/>
      <c r="S44" s="11"/>
      <c r="T44" s="11">
        <f t="shared" ref="T44:V44" si="82">+T28/T19</f>
        <v>0.14628297362110312</v>
      </c>
      <c r="U44" s="11">
        <f t="shared" si="82"/>
        <v>0.16244081258591722</v>
      </c>
      <c r="V44" s="11">
        <f t="shared" si="82"/>
        <v>0.1419972817293379</v>
      </c>
      <c r="W44" s="11">
        <f t="shared" ref="W44:AB44" si="83">+W28/W19</f>
        <v>0.15299347287868556</v>
      </c>
      <c r="X44" s="11">
        <f t="shared" si="83"/>
        <v>0.15330474503589075</v>
      </c>
      <c r="Y44" s="11">
        <f t="shared" si="83"/>
        <v>0.16798707185369122</v>
      </c>
      <c r="Z44" s="11">
        <f t="shared" si="83"/>
        <v>0.13943600552365723</v>
      </c>
      <c r="AA44" s="11">
        <f t="shared" si="83"/>
        <v>0.16888918746431092</v>
      </c>
      <c r="AB44" s="11">
        <f t="shared" si="83"/>
        <v>0.16746862911595434</v>
      </c>
      <c r="AC44" s="11">
        <f t="shared" ref="AC44" si="84">+AC28/AC19</f>
        <v>0.1828349210177258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/>
      <c r="AO44" s="3"/>
      <c r="AP44" s="3"/>
      <c r="AQ44" s="3"/>
      <c r="AR44" s="3"/>
      <c r="AS44" s="3"/>
      <c r="AT44" s="3"/>
      <c r="AU44" s="3"/>
      <c r="AV44" s="3"/>
    </row>
    <row r="45" spans="2:48" s="2" customFormat="1" x14ac:dyDescent="0.2">
      <c r="B45" s="2" t="s">
        <v>44</v>
      </c>
      <c r="C45" s="11">
        <f t="shared" ref="C45:H45" si="85">+C31/C30</f>
        <v>0.25977653631284914</v>
      </c>
      <c r="D45" s="11">
        <f t="shared" si="85"/>
        <v>0.21028396009209516</v>
      </c>
      <c r="E45" s="11">
        <f t="shared" si="85"/>
        <v>0.17808219178082191</v>
      </c>
      <c r="F45" s="11">
        <f t="shared" si="85"/>
        <v>0.2180702732849972</v>
      </c>
      <c r="G45" s="11">
        <f t="shared" si="85"/>
        <v>0.26550868486352358</v>
      </c>
      <c r="H45" s="11">
        <f t="shared" si="85"/>
        <v>0.1937097927090779</v>
      </c>
      <c r="I45" s="11">
        <f>+I31/I30</f>
        <v>0.2295957284515637</v>
      </c>
      <c r="J45" s="11">
        <f t="shared" ref="J45:AB45" si="86">+J31/J30</f>
        <v>0.20496453900709219</v>
      </c>
      <c r="K45" s="11">
        <f t="shared" ref="K45:L45" si="87">+K31/K30</f>
        <v>0.19713038053649407</v>
      </c>
      <c r="L45" s="11">
        <f t="shared" si="87"/>
        <v>0.17593198168737736</v>
      </c>
      <c r="M45" s="11">
        <f>+M31/M30</f>
        <v>0.18590998043052837</v>
      </c>
      <c r="N45" s="11">
        <f t="shared" ref="N45:P45" si="88">+N31/N30</f>
        <v>0.11677934849416104</v>
      </c>
      <c r="O45" s="11">
        <f t="shared" si="88"/>
        <v>0.20100502512562815</v>
      </c>
      <c r="P45" s="11">
        <f t="shared" si="88"/>
        <v>0.15725190839694655</v>
      </c>
      <c r="Q45" s="11"/>
      <c r="R45" s="11"/>
      <c r="S45" s="11"/>
      <c r="T45" s="11">
        <f t="shared" ref="T45:V45" si="89">+T31/T30</f>
        <v>0.14101778050275904</v>
      </c>
      <c r="U45" s="11">
        <f t="shared" si="89"/>
        <v>0.18409090909090908</v>
      </c>
      <c r="V45" s="11">
        <f t="shared" si="89"/>
        <v>0.13425925925925927</v>
      </c>
      <c r="W45" s="11">
        <f t="shared" si="86"/>
        <v>0.17978652434956638</v>
      </c>
      <c r="X45" s="11">
        <f t="shared" ref="X45:Y45" si="90">+X31/X30</f>
        <v>0.17038499506416585</v>
      </c>
      <c r="Y45" s="11">
        <f t="shared" si="90"/>
        <v>-1.7077335935594046E-2</v>
      </c>
      <c r="Z45" s="11">
        <f t="shared" si="86"/>
        <v>0.28134284016636957</v>
      </c>
      <c r="AA45" s="11">
        <f t="shared" si="86"/>
        <v>0.21530216226205878</v>
      </c>
      <c r="AB45" s="11">
        <f t="shared" si="86"/>
        <v>0.22180521673860012</v>
      </c>
      <c r="AC45" s="11">
        <f t="shared" ref="AC45" si="91">+AC31/AC30</f>
        <v>0.16830896376350921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/>
      <c r="AO45" s="3"/>
      <c r="AP45" s="3"/>
      <c r="AQ45" s="3"/>
      <c r="AR45" s="3"/>
      <c r="AS45" s="3"/>
      <c r="AT45" s="3"/>
      <c r="AU45" s="3"/>
      <c r="AV45" s="3"/>
    </row>
    <row r="46" spans="2:48" s="2" customFormat="1" x14ac:dyDescent="0.2">
      <c r="B46" s="2" t="s">
        <v>128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/>
      <c r="AO46" s="3"/>
      <c r="AP46" s="3"/>
      <c r="AQ46" s="3"/>
      <c r="AR46" s="3"/>
      <c r="AS46" s="3"/>
      <c r="AT46" s="3"/>
      <c r="AU46" s="3"/>
      <c r="AV46" s="3"/>
    </row>
    <row r="47" spans="2:4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2:48" x14ac:dyDescent="0.2">
      <c r="B48" s="2" t="s">
        <v>59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U48" s="17">
        <v>2883</v>
      </c>
      <c r="V48" s="17">
        <v>7575</v>
      </c>
      <c r="W48" s="17">
        <v>7349</v>
      </c>
      <c r="X48" s="17">
        <v>4794</v>
      </c>
      <c r="Y48" s="17">
        <v>5197</v>
      </c>
      <c r="Z48" s="17">
        <v>7776</v>
      </c>
      <c r="AA48" s="17">
        <v>9081</v>
      </c>
      <c r="AB48" s="17">
        <v>6561</v>
      </c>
      <c r="AC48" s="17">
        <v>8049</v>
      </c>
    </row>
    <row r="49" spans="2:29" x14ac:dyDescent="0.2">
      <c r="B49" s="2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U49" s="17">
        <v>2812</v>
      </c>
      <c r="V49" s="17">
        <v>1534</v>
      </c>
      <c r="W49" s="17">
        <v>3412</v>
      </c>
      <c r="X49" s="17">
        <v>8289</v>
      </c>
      <c r="Y49" s="17">
        <v>4303</v>
      </c>
      <c r="Z49" s="17">
        <v>3092</v>
      </c>
      <c r="AA49" s="17">
        <v>4979</v>
      </c>
      <c r="AB49" s="17">
        <v>4262</v>
      </c>
      <c r="AC49" s="17">
        <v>2373</v>
      </c>
    </row>
    <row r="50" spans="2:29" x14ac:dyDescent="0.2">
      <c r="B50" s="2" t="s">
        <v>61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U50" s="17">
        <v>283</v>
      </c>
      <c r="V50" s="17">
        <v>313</v>
      </c>
      <c r="W50" s="17">
        <v>435</v>
      </c>
      <c r="X50" s="17">
        <v>577</v>
      </c>
      <c r="Y50" s="17">
        <v>800</v>
      </c>
      <c r="Z50" s="17">
        <v>963</v>
      </c>
      <c r="AA50" s="17">
        <v>1069</v>
      </c>
      <c r="AB50" s="17">
        <v>984</v>
      </c>
      <c r="AC50" s="17">
        <v>840</v>
      </c>
    </row>
    <row r="51" spans="2:29" x14ac:dyDescent="0.2">
      <c r="B51" s="2" t="s">
        <v>62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U51" s="17">
        <f>1314+6398</f>
        <v>7712</v>
      </c>
      <c r="V51" s="17">
        <v>2532</v>
      </c>
      <c r="W51" s="17">
        <v>3972</v>
      </c>
      <c r="X51" s="17">
        <v>2769</v>
      </c>
      <c r="Y51" s="17">
        <v>4846</v>
      </c>
      <c r="Z51" s="17">
        <v>7431</v>
      </c>
      <c r="AA51" s="17">
        <f>563+5433</f>
        <v>5996</v>
      </c>
      <c r="AB51" s="17">
        <f>541+6422</f>
        <v>6963</v>
      </c>
      <c r="AC51" s="17">
        <v>6746</v>
      </c>
    </row>
    <row r="52" spans="2:29" x14ac:dyDescent="0.2">
      <c r="B52" s="2" t="s">
        <v>63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U52" s="17">
        <v>18242</v>
      </c>
      <c r="V52" s="17">
        <v>20062</v>
      </c>
      <c r="W52" s="17">
        <v>22527</v>
      </c>
      <c r="X52" s="17">
        <v>33418</v>
      </c>
      <c r="Y52" s="17">
        <v>36141</v>
      </c>
      <c r="Z52" s="17">
        <v>36357</v>
      </c>
      <c r="AA52" s="17">
        <v>38935</v>
      </c>
      <c r="AB52" s="17">
        <v>37671</v>
      </c>
      <c r="AC52" s="17">
        <v>38198</v>
      </c>
    </row>
    <row r="53" spans="2:29" x14ac:dyDescent="0.2">
      <c r="B53" s="75" t="s">
        <v>337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U53" s="17">
        <v>713</v>
      </c>
      <c r="V53" s="17">
        <v>947</v>
      </c>
      <c r="W53" s="17">
        <v>800</v>
      </c>
      <c r="X53" s="17">
        <v>1148</v>
      </c>
      <c r="Y53" s="17">
        <v>1287</v>
      </c>
      <c r="Z53" s="17">
        <v>1898</v>
      </c>
      <c r="AA53" s="17">
        <v>2509</v>
      </c>
      <c r="AB53" s="17">
        <v>4651</v>
      </c>
      <c r="AC53" s="17">
        <f>1827+1726</f>
        <v>3553</v>
      </c>
    </row>
    <row r="54" spans="2:29" x14ac:dyDescent="0.2">
      <c r="B54" s="2" t="s">
        <v>64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U54" s="17">
        <f t="shared" ref="U54:AA54" si="92">+SUM(U48:U53)</f>
        <v>32645</v>
      </c>
      <c r="V54" s="17">
        <f t="shared" si="92"/>
        <v>32963</v>
      </c>
      <c r="W54" s="17">
        <f t="shared" si="92"/>
        <v>38495</v>
      </c>
      <c r="X54" s="17">
        <f t="shared" si="92"/>
        <v>50995</v>
      </c>
      <c r="Y54" s="17">
        <f t="shared" si="92"/>
        <v>52574</v>
      </c>
      <c r="Z54" s="17">
        <f t="shared" si="92"/>
        <v>57517</v>
      </c>
      <c r="AA54" s="17">
        <f t="shared" si="92"/>
        <v>62569</v>
      </c>
      <c r="AB54" s="17">
        <f>+SUM(AB48:AB53)</f>
        <v>61092</v>
      </c>
      <c r="AC54" s="17">
        <f>+SUM(AC48:AC53)</f>
        <v>59759</v>
      </c>
    </row>
    <row r="55" spans="2:29" x14ac:dyDescent="0.2">
      <c r="B55" s="2" t="s">
        <v>65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U55" s="17">
        <v>1961</v>
      </c>
      <c r="V55" s="17">
        <v>971</v>
      </c>
      <c r="W55" s="17">
        <v>2863</v>
      </c>
      <c r="X55" s="17">
        <v>6089</v>
      </c>
      <c r="Y55" s="17">
        <v>6797</v>
      </c>
      <c r="Z55" s="17">
        <v>5018</v>
      </c>
      <c r="AA55" s="17">
        <v>3273</v>
      </c>
      <c r="AB55" s="17">
        <v>4583</v>
      </c>
      <c r="AC55" s="17">
        <v>4330</v>
      </c>
    </row>
    <row r="56" spans="2:29" x14ac:dyDescent="0.2">
      <c r="B56" s="2" t="s">
        <v>66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U56" s="17">
        <v>1528</v>
      </c>
      <c r="V56" s="17">
        <v>1724</v>
      </c>
      <c r="W56" s="17">
        <v>1693</v>
      </c>
      <c r="X56" s="17">
        <v>1807</v>
      </c>
      <c r="Y56" s="17">
        <v>1909</v>
      </c>
      <c r="Z56" s="17">
        <v>1730</v>
      </c>
      <c r="AA56" s="17">
        <v>1488</v>
      </c>
      <c r="AB56" s="17">
        <v>1508</v>
      </c>
      <c r="AC56" s="17">
        <v>1700</v>
      </c>
    </row>
    <row r="57" spans="2:29" x14ac:dyDescent="0.2">
      <c r="B57" s="2" t="s">
        <v>67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U57" s="17">
        <v>4339</v>
      </c>
      <c r="V57" s="17">
        <v>6284</v>
      </c>
      <c r="W57" s="17">
        <v>6212</v>
      </c>
      <c r="X57" s="17">
        <v>9135</v>
      </c>
      <c r="Y57" s="17">
        <v>11454</v>
      </c>
      <c r="Z57" s="17">
        <v>11209</v>
      </c>
      <c r="AA57" s="17">
        <v>11026</v>
      </c>
      <c r="AB57" s="17">
        <v>10837</v>
      </c>
      <c r="AC57" s="17">
        <v>10864</v>
      </c>
    </row>
    <row r="58" spans="2:29" x14ac:dyDescent="0.2">
      <c r="B58" s="2" t="s">
        <v>68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U58" s="17">
        <v>168</v>
      </c>
      <c r="V58" s="17">
        <v>825</v>
      </c>
      <c r="W58" s="17">
        <v>778</v>
      </c>
      <c r="X58" s="17">
        <v>1048</v>
      </c>
      <c r="Y58" s="17">
        <v>1332</v>
      </c>
      <c r="Z58" s="17">
        <v>788</v>
      </c>
      <c r="AA58" s="17">
        <v>537</v>
      </c>
      <c r="AB58" s="17">
        <v>326</v>
      </c>
      <c r="AC58" s="17">
        <v>208</v>
      </c>
    </row>
    <row r="59" spans="2:29" x14ac:dyDescent="0.2">
      <c r="B59" s="2" t="s">
        <v>69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U59" s="17">
        <v>133</v>
      </c>
      <c r="V59" s="17">
        <v>565</v>
      </c>
      <c r="W59" s="17">
        <v>1292</v>
      </c>
      <c r="X59" s="17">
        <v>1305</v>
      </c>
      <c r="Y59" s="17">
        <v>1737</v>
      </c>
      <c r="Z59" s="17">
        <v>2455</v>
      </c>
      <c r="AA59" s="17">
        <v>3273</v>
      </c>
      <c r="AB59" s="17">
        <v>3265</v>
      </c>
      <c r="AC59" s="17">
        <v>3312</v>
      </c>
    </row>
    <row r="60" spans="2:29" x14ac:dyDescent="0.2">
      <c r="B60" s="2" t="s">
        <v>70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U60" s="17">
        <f>+SUM(U55:U59)</f>
        <v>8129</v>
      </c>
      <c r="V60" s="17">
        <f>+SUM(V55:V59)</f>
        <v>10369</v>
      </c>
      <c r="W60" s="17">
        <f t="shared" ref="W60:AA60" si="93">+SUM(W55:W59)</f>
        <v>12838</v>
      </c>
      <c r="X60" s="17">
        <f t="shared" si="93"/>
        <v>19384</v>
      </c>
      <c r="Y60" s="17">
        <f t="shared" si="93"/>
        <v>23229</v>
      </c>
      <c r="Z60" s="17">
        <f t="shared" si="93"/>
        <v>21200</v>
      </c>
      <c r="AA60" s="17">
        <f t="shared" si="93"/>
        <v>19597</v>
      </c>
      <c r="AB60" s="17">
        <f>+SUM(AB55:AB59)</f>
        <v>20519</v>
      </c>
      <c r="AC60" s="17">
        <f>+SUM(AC55:AC59)</f>
        <v>20414</v>
      </c>
    </row>
    <row r="61" spans="2:29" x14ac:dyDescent="0.2">
      <c r="B61" s="1" t="s">
        <v>71</v>
      </c>
      <c r="C61" s="3"/>
      <c r="D61" s="3"/>
      <c r="E61" s="3"/>
      <c r="F61" s="3"/>
      <c r="G61" s="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77"/>
      <c r="U61" s="77">
        <f>+U60+U54</f>
        <v>40774</v>
      </c>
      <c r="V61" s="77">
        <f>+V60+V54</f>
        <v>43332</v>
      </c>
      <c r="W61" s="77">
        <f t="shared" ref="W61:AA61" si="94">+W60+W54</f>
        <v>51333</v>
      </c>
      <c r="X61" s="77">
        <f t="shared" si="94"/>
        <v>70379</v>
      </c>
      <c r="Y61" s="77">
        <f t="shared" si="94"/>
        <v>75803</v>
      </c>
      <c r="Z61" s="77">
        <f t="shared" si="94"/>
        <v>78717</v>
      </c>
      <c r="AA61" s="77">
        <f t="shared" si="94"/>
        <v>82166</v>
      </c>
      <c r="AB61" s="77">
        <f>+AB60+AB54</f>
        <v>81611</v>
      </c>
      <c r="AC61" s="77">
        <f>+AC60+AC54</f>
        <v>80173</v>
      </c>
    </row>
    <row r="62" spans="2:29" x14ac:dyDescent="0.2">
      <c r="B62" s="2" t="s">
        <v>72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U62" s="17">
        <v>257</v>
      </c>
      <c r="V62" s="17">
        <v>281</v>
      </c>
      <c r="W62" s="17">
        <v>232</v>
      </c>
      <c r="X62" s="17">
        <v>252</v>
      </c>
      <c r="Y62" s="17">
        <v>197</v>
      </c>
      <c r="Z62" s="17">
        <v>126</v>
      </c>
      <c r="AA62" s="17">
        <v>139</v>
      </c>
      <c r="AB62" s="17">
        <v>227</v>
      </c>
      <c r="AC62" s="17">
        <v>240</v>
      </c>
    </row>
    <row r="63" spans="2:29" x14ac:dyDescent="0.2">
      <c r="B63" s="2" t="s">
        <v>127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U63" s="17">
        <v>1000</v>
      </c>
      <c r="V63" s="17">
        <v>1998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</row>
    <row r="64" spans="2:29" x14ac:dyDescent="0.2">
      <c r="B64" s="2" t="s">
        <v>73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U64" s="17">
        <v>19742</v>
      </c>
      <c r="V64" s="17">
        <v>21562</v>
      </c>
      <c r="W64" s="17">
        <v>24527</v>
      </c>
      <c r="X64" s="17">
        <v>35418</v>
      </c>
      <c r="Y64" s="17">
        <v>38841</v>
      </c>
      <c r="Z64" s="17">
        <v>40107</v>
      </c>
      <c r="AA64" s="17">
        <v>41935</v>
      </c>
      <c r="AB64" s="17">
        <v>39671</v>
      </c>
      <c r="AC64" s="17">
        <v>40198</v>
      </c>
    </row>
    <row r="65" spans="2:29" x14ac:dyDescent="0.2">
      <c r="B65" s="2" t="s">
        <v>74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U65" s="17">
        <f>1781+83</f>
        <v>1864</v>
      </c>
      <c r="V65" s="17">
        <f>2002+61</f>
        <v>2063</v>
      </c>
      <c r="W65" s="17">
        <f>2087+73</f>
        <v>2160</v>
      </c>
      <c r="X65" s="17">
        <f>2648+129</f>
        <v>2777</v>
      </c>
      <c r="Y65" s="17">
        <f>3755+236</f>
        <v>3991</v>
      </c>
      <c r="Z65" s="17">
        <f>4055+813</f>
        <v>4868</v>
      </c>
      <c r="AA65" s="17">
        <v>6392</v>
      </c>
      <c r="AB65" s="17">
        <v>8478</v>
      </c>
      <c r="AC65" s="17">
        <v>6005</v>
      </c>
    </row>
    <row r="66" spans="2:29" x14ac:dyDescent="0.2">
      <c r="B66" s="2" t="s">
        <v>75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U66" s="17">
        <f>+SUM(U62:U65)</f>
        <v>22863</v>
      </c>
      <c r="V66" s="17">
        <f t="shared" ref="V66:AC66" si="95">+SUM(V62:V65)</f>
        <v>25904</v>
      </c>
      <c r="W66" s="17">
        <f t="shared" si="95"/>
        <v>26919</v>
      </c>
      <c r="X66" s="17">
        <f t="shared" si="95"/>
        <v>38447</v>
      </c>
      <c r="Y66" s="17">
        <f t="shared" si="95"/>
        <v>43029</v>
      </c>
      <c r="Z66" s="17">
        <f t="shared" si="95"/>
        <v>45101</v>
      </c>
      <c r="AA66" s="17">
        <f t="shared" si="95"/>
        <v>48466</v>
      </c>
      <c r="AB66" s="17">
        <f t="shared" si="95"/>
        <v>48376</v>
      </c>
      <c r="AC66" s="17">
        <f t="shared" si="95"/>
        <v>46443</v>
      </c>
    </row>
    <row r="67" spans="2:29" x14ac:dyDescent="0.2">
      <c r="B67" s="2" t="s">
        <v>69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U67" s="17">
        <v>1917</v>
      </c>
      <c r="V67" s="17">
        <v>2042</v>
      </c>
      <c r="W67" s="17">
        <v>2520</v>
      </c>
      <c r="X67" s="17">
        <v>2930</v>
      </c>
      <c r="Y67" s="17">
        <v>2998</v>
      </c>
      <c r="Z67" s="17">
        <v>2925</v>
      </c>
      <c r="AA67" s="17">
        <v>2973</v>
      </c>
      <c r="AB67" s="17">
        <v>2939</v>
      </c>
      <c r="AC67" s="17">
        <v>3487</v>
      </c>
    </row>
    <row r="68" spans="2:29" x14ac:dyDescent="0.2">
      <c r="B68" s="2" t="s">
        <v>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U68" s="17">
        <v>0</v>
      </c>
      <c r="V68" s="17">
        <v>0</v>
      </c>
      <c r="W68" s="17">
        <v>4965</v>
      </c>
      <c r="X68" s="17">
        <v>8939</v>
      </c>
      <c r="Y68" s="17">
        <v>8049</v>
      </c>
      <c r="Z68" s="17">
        <v>10417</v>
      </c>
      <c r="AA68" s="17">
        <v>9676</v>
      </c>
      <c r="AB68" s="17">
        <v>9879</v>
      </c>
      <c r="AC68" s="17">
        <v>9987</v>
      </c>
    </row>
    <row r="69" spans="2:29" x14ac:dyDescent="0.2">
      <c r="B69" s="2" t="s">
        <v>76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U69" s="17">
        <f t="shared" ref="U69:Z69" si="96">+SUM(U67:U68)</f>
        <v>1917</v>
      </c>
      <c r="V69" s="17">
        <f t="shared" si="96"/>
        <v>2042</v>
      </c>
      <c r="W69" s="17">
        <f t="shared" si="96"/>
        <v>7485</v>
      </c>
      <c r="X69" s="17">
        <f t="shared" si="96"/>
        <v>11869</v>
      </c>
      <c r="Y69" s="17">
        <f t="shared" si="96"/>
        <v>11047</v>
      </c>
      <c r="Z69" s="17">
        <f t="shared" si="96"/>
        <v>13342</v>
      </c>
      <c r="AA69" s="17">
        <f>+SUM(AA67:AA68)</f>
        <v>12649</v>
      </c>
      <c r="AB69" s="17">
        <f>+SUM(AB67:AB68)</f>
        <v>12818</v>
      </c>
      <c r="AC69" s="17">
        <f>+SUM(AC67:AC68)</f>
        <v>13474</v>
      </c>
    </row>
    <row r="70" spans="2:29" x14ac:dyDescent="0.2">
      <c r="B70" s="1" t="s">
        <v>77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77"/>
      <c r="U70" s="77">
        <f t="shared" ref="U70:AA70" si="97">+U69+U66</f>
        <v>24780</v>
      </c>
      <c r="V70" s="77">
        <f t="shared" si="97"/>
        <v>27946</v>
      </c>
      <c r="W70" s="77">
        <f t="shared" si="97"/>
        <v>34404</v>
      </c>
      <c r="X70" s="77">
        <f t="shared" si="97"/>
        <v>50316</v>
      </c>
      <c r="Y70" s="77">
        <f t="shared" si="97"/>
        <v>54076</v>
      </c>
      <c r="Z70" s="77">
        <f t="shared" si="97"/>
        <v>58443</v>
      </c>
      <c r="AA70" s="77">
        <f t="shared" si="97"/>
        <v>61115</v>
      </c>
      <c r="AB70" s="77">
        <f>+AB69+AB66</f>
        <v>61194</v>
      </c>
      <c r="AC70" s="77">
        <f>+AC69+AC66</f>
        <v>59917</v>
      </c>
    </row>
    <row r="71" spans="2:29" x14ac:dyDescent="0.2">
      <c r="B71" s="2" t="s">
        <v>78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U71" s="17">
        <v>15994</v>
      </c>
      <c r="V71" s="17">
        <v>15386</v>
      </c>
      <c r="W71" s="17">
        <v>16929</v>
      </c>
      <c r="X71" s="17">
        <v>20063</v>
      </c>
      <c r="Y71" s="17">
        <v>21727</v>
      </c>
      <c r="Z71" s="17">
        <v>20274</v>
      </c>
      <c r="AA71" s="17">
        <v>21051</v>
      </c>
      <c r="AB71" s="17">
        <v>20417</v>
      </c>
      <c r="AC71" s="17">
        <v>20256</v>
      </c>
    </row>
    <row r="72" spans="2:29" x14ac:dyDescent="0.2">
      <c r="B72" s="1" t="s">
        <v>79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77"/>
      <c r="U72" s="77">
        <f t="shared" ref="U72:AA72" si="98">+U70+U71</f>
        <v>40774</v>
      </c>
      <c r="V72" s="77">
        <f t="shared" si="98"/>
        <v>43332</v>
      </c>
      <c r="W72" s="77">
        <f t="shared" si="98"/>
        <v>51333</v>
      </c>
      <c r="X72" s="77">
        <f t="shared" si="98"/>
        <v>70379</v>
      </c>
      <c r="Y72" s="77">
        <f t="shared" si="98"/>
        <v>75803</v>
      </c>
      <c r="Z72" s="77">
        <f t="shared" si="98"/>
        <v>78717</v>
      </c>
      <c r="AA72" s="77">
        <f t="shared" si="98"/>
        <v>82166</v>
      </c>
      <c r="AB72" s="77">
        <f>+AB70+AB71</f>
        <v>81611</v>
      </c>
      <c r="AC72" s="77">
        <f>+AC70+AC71</f>
        <v>80173</v>
      </c>
    </row>
    <row r="73" spans="2:29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2:29" x14ac:dyDescent="0.2">
      <c r="B74" s="2" t="s">
        <v>39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7">
        <f t="shared" ref="T74:AA74" si="99">+T32</f>
        <v>1401</v>
      </c>
      <c r="U74" s="17">
        <f t="shared" si="99"/>
        <v>1795</v>
      </c>
      <c r="V74" s="17">
        <f t="shared" si="99"/>
        <v>2057</v>
      </c>
      <c r="W74" s="17">
        <f t="shared" si="99"/>
        <v>2459</v>
      </c>
      <c r="X74" s="17">
        <f t="shared" si="99"/>
        <v>4202</v>
      </c>
      <c r="Y74" s="17">
        <f t="shared" si="99"/>
        <v>4169</v>
      </c>
      <c r="Z74" s="17">
        <f t="shared" si="99"/>
        <v>2419</v>
      </c>
      <c r="AA74" s="17">
        <f t="shared" si="99"/>
        <v>4246</v>
      </c>
      <c r="AB74" s="17">
        <f>+AB32</f>
        <v>4147</v>
      </c>
      <c r="AC74" s="17">
        <v>5233</v>
      </c>
    </row>
    <row r="75" spans="2:29" x14ac:dyDescent="0.2">
      <c r="B75" s="2" t="s">
        <v>80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7">
        <v>1088</v>
      </c>
      <c r="U75" s="17">
        <v>1011</v>
      </c>
      <c r="V75" s="17">
        <v>1274</v>
      </c>
      <c r="W75" s="17">
        <v>1380</v>
      </c>
      <c r="X75" s="17">
        <v>1741</v>
      </c>
      <c r="Y75" s="17">
        <v>1060</v>
      </c>
      <c r="Z75" s="17">
        <v>1572</v>
      </c>
      <c r="AA75" s="17">
        <v>1682</v>
      </c>
      <c r="AB75" s="17">
        <v>1442</v>
      </c>
      <c r="AC75" s="17">
        <v>1720</v>
      </c>
    </row>
    <row r="76" spans="2:29" x14ac:dyDescent="0.2">
      <c r="B76" s="2" t="s">
        <v>81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17">
        <v>724</v>
      </c>
      <c r="U76" s="17">
        <v>805</v>
      </c>
      <c r="V76" s="17">
        <v>776</v>
      </c>
      <c r="W76" s="17">
        <v>912</v>
      </c>
      <c r="X76" s="17">
        <v>1189</v>
      </c>
      <c r="Y76" s="17">
        <v>1265</v>
      </c>
      <c r="Z76" s="17">
        <v>1317</v>
      </c>
      <c r="AA76" s="17">
        <v>1072</v>
      </c>
      <c r="AB76" s="17">
        <v>1032</v>
      </c>
      <c r="AC76" s="17">
        <v>963</v>
      </c>
    </row>
    <row r="77" spans="2:29" x14ac:dyDescent="0.2">
      <c r="B77" s="2" t="s">
        <v>82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7">
        <v>438</v>
      </c>
      <c r="U77" s="17">
        <v>733</v>
      </c>
      <c r="V77" s="17">
        <v>853</v>
      </c>
      <c r="W77" s="17">
        <v>1021</v>
      </c>
      <c r="X77" s="17">
        <v>1376</v>
      </c>
      <c r="Y77" s="17">
        <v>1376</v>
      </c>
      <c r="Z77" s="17">
        <v>1261</v>
      </c>
      <c r="AA77" s="17">
        <v>1475</v>
      </c>
      <c r="AB77" s="17">
        <v>1230</v>
      </c>
      <c r="AC77" s="17">
        <v>1002</v>
      </c>
    </row>
    <row r="78" spans="2:29" x14ac:dyDescent="0.2">
      <c r="B78" s="2" t="s">
        <v>83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7">
        <v>52</v>
      </c>
      <c r="U78" s="17">
        <v>-1299</v>
      </c>
      <c r="V78" s="17">
        <v>-171</v>
      </c>
      <c r="W78" s="17">
        <v>-269</v>
      </c>
      <c r="X78" s="17">
        <v>165</v>
      </c>
      <c r="Y78" s="17">
        <v>-482</v>
      </c>
      <c r="Z78" s="17">
        <v>-811</v>
      </c>
      <c r="AA78" s="17">
        <v>-668</v>
      </c>
      <c r="AB78" s="17">
        <v>231</v>
      </c>
      <c r="AC78" s="17">
        <v>217</v>
      </c>
    </row>
    <row r="79" spans="2:29" x14ac:dyDescent="0.2">
      <c r="B79" s="2" t="s">
        <v>84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7">
        <v>0</v>
      </c>
      <c r="U79" s="17">
        <v>0</v>
      </c>
      <c r="V79" s="17">
        <v>0</v>
      </c>
      <c r="W79" s="17">
        <v>-208</v>
      </c>
      <c r="X79" s="17">
        <v>-1914</v>
      </c>
      <c r="Y79" s="17">
        <v>-46</v>
      </c>
      <c r="Z79" s="17">
        <v>304</v>
      </c>
      <c r="AA79" s="17">
        <f>-201</f>
        <v>-201</v>
      </c>
      <c r="AB79" s="17">
        <v>285</v>
      </c>
      <c r="AC79" s="17">
        <v>-162</v>
      </c>
    </row>
    <row r="80" spans="2:29" x14ac:dyDescent="0.2">
      <c r="B80" s="2" t="s">
        <v>85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-70</v>
      </c>
      <c r="AA80" s="17">
        <v>-367</v>
      </c>
      <c r="AB80" s="17">
        <v>-335</v>
      </c>
      <c r="AC80" s="17">
        <v>-83</v>
      </c>
    </row>
    <row r="81" spans="2:29" x14ac:dyDescent="0.2">
      <c r="B81" s="2" t="s">
        <v>86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7">
        <v>0</v>
      </c>
      <c r="U81" s="17">
        <v>92</v>
      </c>
      <c r="V81" s="17">
        <v>244</v>
      </c>
      <c r="W81" s="17">
        <v>0</v>
      </c>
      <c r="X81" s="17">
        <v>0</v>
      </c>
      <c r="Y81" s="17">
        <v>0</v>
      </c>
      <c r="Z81" s="17">
        <v>0</v>
      </c>
      <c r="AA81" s="17">
        <v>53</v>
      </c>
      <c r="AB81" s="17">
        <v>125</v>
      </c>
      <c r="AC81" s="17">
        <v>193</v>
      </c>
    </row>
    <row r="82" spans="2:29" x14ac:dyDescent="0.2">
      <c r="B82" s="2" t="s">
        <v>69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7">
        <f>-24-40</f>
        <v>-64</v>
      </c>
      <c r="U82" s="17">
        <v>-25</v>
      </c>
      <c r="V82" s="17">
        <v>-172</v>
      </c>
      <c r="W82" s="17">
        <v>-149</v>
      </c>
      <c r="X82" s="17">
        <v>47</v>
      </c>
      <c r="Y82" s="17">
        <v>100</v>
      </c>
      <c r="Z82" s="17">
        <v>275</v>
      </c>
      <c r="AA82" s="17">
        <f>-104-356</f>
        <v>-460</v>
      </c>
      <c r="AB82" s="17">
        <v>-3</v>
      </c>
      <c r="AC82" s="17">
        <v>-287</v>
      </c>
    </row>
    <row r="83" spans="2:29" x14ac:dyDescent="0.2">
      <c r="B83" s="2" t="s">
        <v>87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-11470</v>
      </c>
      <c r="AB83" s="17">
        <v>-24498</v>
      </c>
      <c r="AC83" s="17">
        <v>-36730</v>
      </c>
    </row>
    <row r="84" spans="2:29" x14ac:dyDescent="0.2">
      <c r="B84" s="2" t="s">
        <v>88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10795</v>
      </c>
      <c r="AB84" s="17">
        <v>24352</v>
      </c>
      <c r="AC84" s="17">
        <v>35414</v>
      </c>
    </row>
    <row r="85" spans="2:29" x14ac:dyDescent="0.2">
      <c r="B85" s="2" t="s">
        <v>89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7">
        <v>-77</v>
      </c>
      <c r="U85" s="17">
        <v>12</v>
      </c>
      <c r="V85" s="17">
        <v>-59</v>
      </c>
      <c r="W85" s="17">
        <v>-120</v>
      </c>
      <c r="X85" s="17">
        <v>-100</v>
      </c>
      <c r="Y85" s="17">
        <v>-222</v>
      </c>
      <c r="Z85" s="17">
        <v>-163</v>
      </c>
      <c r="AA85" s="17">
        <v>-114</v>
      </c>
      <c r="AB85" s="17">
        <v>85</v>
      </c>
      <c r="AC85" s="17">
        <v>144</v>
      </c>
    </row>
    <row r="86" spans="2:29" x14ac:dyDescent="0.2">
      <c r="B86" s="2" t="s">
        <v>90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7">
        <v>-643</v>
      </c>
      <c r="U86" s="17">
        <v>-817</v>
      </c>
      <c r="V86" s="17">
        <v>-1046</v>
      </c>
      <c r="W86" s="17">
        <v>4</v>
      </c>
      <c r="X86" s="17">
        <v>0</v>
      </c>
      <c r="Y86" s="17">
        <v>0</v>
      </c>
      <c r="Z86" s="17">
        <v>-1230</v>
      </c>
      <c r="AA86" s="17">
        <v>-1188</v>
      </c>
      <c r="AB86" s="17">
        <v>-1131</v>
      </c>
      <c r="AC86" s="17">
        <v>-1318</v>
      </c>
    </row>
    <row r="87" spans="2:29" x14ac:dyDescent="0.2">
      <c r="B87" s="2" t="s">
        <v>91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7">
        <f>24-145</f>
        <v>-121</v>
      </c>
      <c r="U87" s="17">
        <f>-1308-188</f>
        <v>-1496</v>
      </c>
      <c r="V87" s="17">
        <f>1407-112</f>
        <v>1295</v>
      </c>
      <c r="W87" s="17">
        <v>-1079</v>
      </c>
      <c r="X87" s="17">
        <v>-1120</v>
      </c>
      <c r="Y87" s="17">
        <v>-1178</v>
      </c>
      <c r="Z87" s="17">
        <v>118</v>
      </c>
      <c r="AA87" s="17">
        <v>203</v>
      </c>
      <c r="AB87" s="17">
        <v>-8</v>
      </c>
      <c r="AC87" s="17">
        <v>-493</v>
      </c>
    </row>
    <row r="88" spans="2:29" x14ac:dyDescent="0.2">
      <c r="B88" s="2" t="s">
        <v>92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7">
        <v>11</v>
      </c>
      <c r="U88" s="17">
        <v>62</v>
      </c>
      <c r="V88" s="17">
        <v>26</v>
      </c>
      <c r="W88" s="17">
        <v>-566</v>
      </c>
      <c r="X88" s="17">
        <v>-498</v>
      </c>
      <c r="Y88" s="17">
        <v>-150</v>
      </c>
      <c r="Z88" s="17">
        <v>-35</v>
      </c>
      <c r="AA88" s="17">
        <v>7</v>
      </c>
      <c r="AB88" s="17">
        <v>83</v>
      </c>
      <c r="AC88" s="17">
        <v>4</v>
      </c>
    </row>
    <row r="89" spans="2:29" x14ac:dyDescent="0.2">
      <c r="B89" s="2" t="s">
        <v>93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7">
        <f>69+280</f>
        <v>349</v>
      </c>
      <c r="U89" s="17">
        <f>19+1639</f>
        <v>1658</v>
      </c>
      <c r="V89" s="17">
        <f>450-44</f>
        <v>406</v>
      </c>
      <c r="W89" s="17">
        <f>4-40+722</f>
        <v>686</v>
      </c>
      <c r="X89" s="17">
        <f>-4-230+1000</f>
        <v>766</v>
      </c>
      <c r="Y89" s="17">
        <f>-31+73+406</f>
        <v>448</v>
      </c>
      <c r="Z89" s="17">
        <v>856</v>
      </c>
      <c r="AA89" s="17">
        <v>-222</v>
      </c>
      <c r="AB89" s="17">
        <v>413</v>
      </c>
      <c r="AC89" s="17">
        <v>599</v>
      </c>
    </row>
    <row r="90" spans="2:29" x14ac:dyDescent="0.2">
      <c r="B90" s="2" t="s">
        <v>94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7">
        <f t="shared" ref="T90:W90" si="100">+SUM(T85:T89)</f>
        <v>-481</v>
      </c>
      <c r="U90" s="17">
        <f t="shared" si="100"/>
        <v>-581</v>
      </c>
      <c r="V90" s="17">
        <f t="shared" si="100"/>
        <v>622</v>
      </c>
      <c r="W90" s="17">
        <f t="shared" si="100"/>
        <v>-1075</v>
      </c>
      <c r="X90" s="17">
        <f t="shared" ref="X90" si="101">+SUM(X85:X89)</f>
        <v>-952</v>
      </c>
      <c r="Y90" s="17">
        <f t="shared" ref="Y90:AA90" si="102">+SUM(Y85:Y89)</f>
        <v>-1102</v>
      </c>
      <c r="Z90" s="17">
        <f t="shared" si="102"/>
        <v>-454</v>
      </c>
      <c r="AA90" s="17">
        <f t="shared" si="102"/>
        <v>-1314</v>
      </c>
      <c r="AB90" s="17">
        <f>+SUM(AB85:AB89)</f>
        <v>-558</v>
      </c>
      <c r="AC90" s="17">
        <f>+SUM(AC85:AC89)</f>
        <v>-1064</v>
      </c>
    </row>
    <row r="91" spans="2:29" x14ac:dyDescent="0.2">
      <c r="B91" s="1" t="s">
        <v>95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77">
        <f t="shared" ref="T91:AA91" si="103">+SUM(T74:T84)+T90</f>
        <v>3158</v>
      </c>
      <c r="U91" s="77">
        <f t="shared" si="103"/>
        <v>2531</v>
      </c>
      <c r="V91" s="77">
        <f t="shared" si="103"/>
        <v>5483</v>
      </c>
      <c r="W91" s="77">
        <f t="shared" si="103"/>
        <v>4071</v>
      </c>
      <c r="X91" s="77">
        <f t="shared" si="103"/>
        <v>5854</v>
      </c>
      <c r="Y91" s="77">
        <f t="shared" si="103"/>
        <v>6340</v>
      </c>
      <c r="Z91" s="77">
        <f t="shared" si="103"/>
        <v>5813</v>
      </c>
      <c r="AA91" s="77">
        <f t="shared" si="103"/>
        <v>4843</v>
      </c>
      <c r="AB91" s="77">
        <f>+SUM(AB74:AB84)+AB90</f>
        <v>7450</v>
      </c>
      <c r="AC91" s="77">
        <f>+SUM(AC74:AC84)+AC90</f>
        <v>6416</v>
      </c>
    </row>
    <row r="92" spans="2:29" x14ac:dyDescent="0.2">
      <c r="B92" s="2" t="s">
        <v>96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7">
        <v>-669</v>
      </c>
      <c r="U92" s="17">
        <v>-667</v>
      </c>
      <c r="V92" s="17">
        <v>-823</v>
      </c>
      <c r="W92" s="17">
        <v>-704</v>
      </c>
      <c r="X92" s="17">
        <v>-866</v>
      </c>
      <c r="Y92" s="17">
        <v>-908</v>
      </c>
      <c r="Z92" s="17">
        <v>-706</v>
      </c>
      <c r="AA92" s="17">
        <v>-623</v>
      </c>
      <c r="AB92" s="17">
        <v>-683</v>
      </c>
      <c r="AC92" s="17">
        <f>-201+288-852</f>
        <v>-765</v>
      </c>
    </row>
    <row r="93" spans="2:29" x14ac:dyDescent="0.2">
      <c r="B93" s="2" t="s">
        <v>97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7">
        <v>0</v>
      </c>
      <c r="U93" s="17">
        <v>0</v>
      </c>
      <c r="V93" s="17">
        <v>3</v>
      </c>
      <c r="W93" s="17">
        <v>17</v>
      </c>
      <c r="X93" s="17">
        <v>120</v>
      </c>
      <c r="Y93" s="17">
        <v>5</v>
      </c>
      <c r="Z93" s="17">
        <v>5</v>
      </c>
      <c r="AA93" s="17">
        <v>45</v>
      </c>
      <c r="AB93" s="17">
        <v>1</v>
      </c>
      <c r="AC93" s="17">
        <v>3</v>
      </c>
    </row>
    <row r="94" spans="2:29" x14ac:dyDescent="0.2">
      <c r="B94" s="2" t="s">
        <v>98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7">
        <v>-1523</v>
      </c>
      <c r="U94" s="17">
        <v>-920</v>
      </c>
      <c r="V94" s="17">
        <v>3121</v>
      </c>
      <c r="W94" s="17">
        <v>-1631</v>
      </c>
      <c r="X94" s="17">
        <v>294</v>
      </c>
      <c r="Y94" s="17">
        <v>-1594</v>
      </c>
      <c r="Z94" s="17">
        <v>-28170</v>
      </c>
      <c r="AA94" s="17">
        <v>-25198</v>
      </c>
      <c r="AB94" s="17">
        <v>-21807</v>
      </c>
      <c r="AC94" s="17">
        <v>-20190</v>
      </c>
    </row>
    <row r="95" spans="2:29" x14ac:dyDescent="0.2">
      <c r="B95" s="2" t="s">
        <v>99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24903</v>
      </c>
      <c r="AA95" s="17">
        <v>26660</v>
      </c>
      <c r="AB95" s="17">
        <v>20272</v>
      </c>
      <c r="AC95" s="17">
        <v>19688</v>
      </c>
    </row>
    <row r="96" spans="2:29" x14ac:dyDescent="0.2">
      <c r="B96" s="2" t="s">
        <v>100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7">
        <v>-21041</v>
      </c>
      <c r="U96" s="17">
        <v>-19418</v>
      </c>
      <c r="V96" s="17">
        <v>-22381</v>
      </c>
      <c r="W96" s="17">
        <v>-27881</v>
      </c>
      <c r="X96" s="17">
        <v>-41513</v>
      </c>
      <c r="Y96" s="17">
        <v>-40116</v>
      </c>
      <c r="Z96" s="17">
        <v>-20219</v>
      </c>
      <c r="AA96" s="17">
        <v>-21980</v>
      </c>
      <c r="AB96" s="17">
        <v>-26209</v>
      </c>
      <c r="AC96" s="17">
        <v>-20399</v>
      </c>
    </row>
    <row r="97" spans="2:29" x14ac:dyDescent="0.2">
      <c r="B97" s="2" t="s">
        <v>101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7">
        <v>18429</v>
      </c>
      <c r="U97" s="17">
        <v>18448</v>
      </c>
      <c r="V97" s="17">
        <v>21898</v>
      </c>
      <c r="W97" s="17">
        <v>24878</v>
      </c>
      <c r="X97" s="17">
        <v>30908</v>
      </c>
      <c r="Y97" s="17">
        <v>39698</v>
      </c>
      <c r="Z97" s="17">
        <v>23411</v>
      </c>
      <c r="AA97" s="17">
        <v>24295</v>
      </c>
      <c r="AB97" s="17">
        <v>26962</v>
      </c>
      <c r="AC97" s="17">
        <v>22933</v>
      </c>
    </row>
    <row r="98" spans="2:29" x14ac:dyDescent="0.2">
      <c r="B98" s="2" t="s">
        <v>102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466</v>
      </c>
      <c r="AB98" s="17">
        <v>0</v>
      </c>
      <c r="AC98" s="17">
        <v>0</v>
      </c>
    </row>
    <row r="99" spans="2:29" x14ac:dyDescent="0.2">
      <c r="B99" s="2" t="s">
        <v>103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7">
        <v>-1081</v>
      </c>
      <c r="U99" s="17">
        <v>-1605</v>
      </c>
      <c r="V99" s="17">
        <v>1146</v>
      </c>
      <c r="W99" s="17">
        <v>-351</v>
      </c>
      <c r="X99" s="17">
        <v>-1552</v>
      </c>
      <c r="Y99" s="17">
        <v>193</v>
      </c>
      <c r="Z99" s="17">
        <v>-2720</v>
      </c>
      <c r="AA99" s="17">
        <v>-2943</v>
      </c>
      <c r="AB99" s="17">
        <v>2908</v>
      </c>
      <c r="AC99" s="17">
        <v>-303</v>
      </c>
    </row>
    <row r="100" spans="2:29" x14ac:dyDescent="0.2">
      <c r="B100" s="2" t="s">
        <v>104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-19</v>
      </c>
      <c r="AA100" s="17">
        <v>-56</v>
      </c>
      <c r="AB100" s="17">
        <v>73</v>
      </c>
      <c r="AC100" s="17">
        <v>-149</v>
      </c>
    </row>
    <row r="101" spans="2:29" x14ac:dyDescent="0.2">
      <c r="B101" s="2" t="s">
        <v>69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7">
        <v>-19</v>
      </c>
      <c r="U101" s="17">
        <v>-323</v>
      </c>
      <c r="V101" s="17">
        <v>-2124</v>
      </c>
      <c r="W101" s="17">
        <v>-70</v>
      </c>
      <c r="X101" s="17">
        <v>-3609</v>
      </c>
      <c r="Y101" s="17">
        <v>-2763</v>
      </c>
      <c r="Z101" s="17">
        <v>187</v>
      </c>
      <c r="AA101" s="17">
        <v>86</v>
      </c>
      <c r="AB101" s="17">
        <f>159+337-424</f>
        <v>72</v>
      </c>
      <c r="AC101" s="17">
        <v>-21</v>
      </c>
    </row>
    <row r="102" spans="2:29" x14ac:dyDescent="0.2">
      <c r="B102" s="1" t="s">
        <v>105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77">
        <f t="shared" ref="T102:AA102" si="104">+SUM(T92:T101)</f>
        <v>-5904</v>
      </c>
      <c r="U102" s="77">
        <f t="shared" si="104"/>
        <v>-4485</v>
      </c>
      <c r="V102" s="77">
        <f t="shared" si="104"/>
        <v>840</v>
      </c>
      <c r="W102" s="77">
        <f t="shared" si="104"/>
        <v>-5742</v>
      </c>
      <c r="X102" s="77">
        <f t="shared" si="104"/>
        <v>-16218</v>
      </c>
      <c r="Y102" s="77">
        <f t="shared" si="104"/>
        <v>-5485</v>
      </c>
      <c r="Z102" s="77">
        <f t="shared" si="104"/>
        <v>-3328</v>
      </c>
      <c r="AA102" s="77">
        <f t="shared" si="104"/>
        <v>752</v>
      </c>
      <c r="AB102" s="77">
        <f>+SUM(AB92:AB101)</f>
        <v>1589</v>
      </c>
      <c r="AC102" s="77">
        <f>+SUM(AC92:AC101)</f>
        <v>797</v>
      </c>
    </row>
    <row r="103" spans="2:29" x14ac:dyDescent="0.2">
      <c r="B103" s="2" t="s">
        <v>106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7">
        <v>109</v>
      </c>
      <c r="U103" s="17">
        <v>144</v>
      </c>
      <c r="V103" s="17">
        <v>144</v>
      </c>
      <c r="W103" s="17">
        <v>138</v>
      </c>
      <c r="X103" s="17">
        <v>137</v>
      </c>
      <c r="Y103" s="17">
        <v>162</v>
      </c>
      <c r="Z103" s="17">
        <v>143</v>
      </c>
      <c r="AA103" s="17">
        <v>127</v>
      </c>
      <c r="AB103" s="17">
        <v>95</v>
      </c>
      <c r="AC103" s="17">
        <v>117</v>
      </c>
    </row>
    <row r="104" spans="2:29" x14ac:dyDescent="0.2">
      <c r="B104" s="2" t="s">
        <v>107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7">
        <v>-995</v>
      </c>
      <c r="U104" s="17">
        <v>-1006</v>
      </c>
      <c r="V104" s="17">
        <v>-3520</v>
      </c>
      <c r="W104" s="17">
        <v>-1411</v>
      </c>
      <c r="X104" s="17">
        <v>-1635</v>
      </c>
      <c r="Y104" s="17">
        <v>-3373</v>
      </c>
      <c r="Z104" s="17">
        <v>-4199</v>
      </c>
      <c r="AA104" s="17">
        <v>-5002</v>
      </c>
      <c r="AB104" s="17">
        <v>-6047</v>
      </c>
      <c r="AC104" s="17">
        <v>-6052</v>
      </c>
    </row>
    <row r="105" spans="2:29" x14ac:dyDescent="0.2">
      <c r="B105" s="2" t="s">
        <v>108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7">
        <f>-118+40</f>
        <v>-78</v>
      </c>
      <c r="U105" s="17">
        <v>-166</v>
      </c>
      <c r="V105" s="17">
        <v>-419</v>
      </c>
      <c r="W105" s="17">
        <v>-504</v>
      </c>
      <c r="X105" s="17">
        <v>-521</v>
      </c>
      <c r="Y105" s="17">
        <v>-1036</v>
      </c>
      <c r="Z105" s="17">
        <v>-336</v>
      </c>
      <c r="AA105" s="17">
        <v>-257</v>
      </c>
      <c r="AB105" s="17">
        <v>-351</v>
      </c>
      <c r="AC105" s="17">
        <v>-383</v>
      </c>
    </row>
    <row r="106" spans="2:29" x14ac:dyDescent="0.2">
      <c r="B106" s="2" t="s">
        <v>109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7">
        <v>0</v>
      </c>
      <c r="U106" s="17">
        <v>1800</v>
      </c>
      <c r="V106" s="17">
        <v>2075</v>
      </c>
      <c r="W106" s="17">
        <v>5471</v>
      </c>
      <c r="X106" s="17">
        <v>6966</v>
      </c>
      <c r="Y106" s="17">
        <v>272</v>
      </c>
      <c r="Z106" s="17">
        <v>3475</v>
      </c>
      <c r="AA106" s="17">
        <v>1528</v>
      </c>
      <c r="AB106" s="17">
        <v>1546</v>
      </c>
      <c r="AC106" s="17">
        <v>2637</v>
      </c>
    </row>
    <row r="107" spans="2:29" x14ac:dyDescent="0.2">
      <c r="B107" s="2" t="s">
        <v>110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7">
        <v>-21</v>
      </c>
      <c r="U107" s="17">
        <v>-980</v>
      </c>
      <c r="V107" s="17">
        <v>-1115</v>
      </c>
      <c r="W107" s="17">
        <v>-2516</v>
      </c>
      <c r="X107" s="17">
        <v>-3000</v>
      </c>
      <c r="Y107" s="17">
        <v>-361</v>
      </c>
      <c r="Z107" s="17">
        <v>-1686</v>
      </c>
      <c r="AA107" s="17">
        <v>-1053</v>
      </c>
      <c r="AB107" s="17">
        <v>-1661</v>
      </c>
      <c r="AC107" s="17">
        <f>-2949+2949-2155</f>
        <v>-2155</v>
      </c>
    </row>
    <row r="108" spans="2:29" x14ac:dyDescent="0.2">
      <c r="B108" s="2" t="s">
        <v>111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7">
        <v>3023</v>
      </c>
      <c r="U108" s="17">
        <v>4292</v>
      </c>
      <c r="V108" s="17">
        <v>1573</v>
      </c>
      <c r="W108" s="17">
        <v>3009</v>
      </c>
      <c r="X108" s="17">
        <v>10597</v>
      </c>
      <c r="Y108" s="17">
        <v>3572</v>
      </c>
      <c r="Z108" s="17">
        <v>1405</v>
      </c>
      <c r="AA108" s="17">
        <v>1861</v>
      </c>
      <c r="AB108" s="17">
        <v>-1954</v>
      </c>
      <c r="AC108" s="17">
        <v>174</v>
      </c>
    </row>
    <row r="109" spans="2:29" x14ac:dyDescent="0.2">
      <c r="B109" s="2" t="s">
        <v>112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-6</v>
      </c>
      <c r="AA109" s="17">
        <v>-197</v>
      </c>
      <c r="AB109" s="17">
        <v>156</v>
      </c>
      <c r="AC109" s="17">
        <v>-160</v>
      </c>
    </row>
    <row r="110" spans="2:29" x14ac:dyDescent="0.2">
      <c r="B110" s="2" t="s">
        <v>69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7">
        <v>0</v>
      </c>
      <c r="U110" s="17">
        <v>0</v>
      </c>
      <c r="V110" s="17">
        <v>0</v>
      </c>
      <c r="W110" s="17">
        <v>0</v>
      </c>
      <c r="X110" s="17">
        <v>-52</v>
      </c>
      <c r="Y110" s="17">
        <v>0</v>
      </c>
      <c r="Z110" s="17">
        <v>1</v>
      </c>
      <c r="AA110" s="17">
        <v>0</v>
      </c>
      <c r="AB110" s="17">
        <f>-60+656-656</f>
        <v>-60</v>
      </c>
      <c r="AC110" s="17">
        <f>-130-6</f>
        <v>-136</v>
      </c>
    </row>
    <row r="111" spans="2:29" x14ac:dyDescent="0.2">
      <c r="B111" s="1" t="s">
        <v>113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9"/>
      <c r="T111" s="77">
        <f t="shared" ref="T111:AA111" si="105">+SUM(T103:T110)</f>
        <v>2038</v>
      </c>
      <c r="U111" s="77">
        <f t="shared" si="105"/>
        <v>4084</v>
      </c>
      <c r="V111" s="77">
        <f t="shared" si="105"/>
        <v>-1262</v>
      </c>
      <c r="W111" s="77">
        <f t="shared" si="105"/>
        <v>4187</v>
      </c>
      <c r="X111" s="77">
        <f t="shared" si="105"/>
        <v>12492</v>
      </c>
      <c r="Y111" s="77">
        <f t="shared" si="105"/>
        <v>-764</v>
      </c>
      <c r="Z111" s="77">
        <f t="shared" si="105"/>
        <v>-1203</v>
      </c>
      <c r="AA111" s="77">
        <f t="shared" si="105"/>
        <v>-2993</v>
      </c>
      <c r="AB111" s="77">
        <f>+SUM(AB103:AB110)</f>
        <v>-8276</v>
      </c>
      <c r="AC111" s="77">
        <f>+SUM(AC103:AC110)</f>
        <v>-5958</v>
      </c>
    </row>
    <row r="112" spans="2:29" x14ac:dyDescent="0.2">
      <c r="B112" s="2" t="s">
        <v>114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7">
        <v>0</v>
      </c>
      <c r="U112" s="17">
        <v>36</v>
      </c>
      <c r="V112" s="17">
        <v>-113</v>
      </c>
      <c r="W112" s="17">
        <v>-6</v>
      </c>
      <c r="X112" s="17">
        <v>169</v>
      </c>
      <c r="Y112" s="17">
        <v>-102</v>
      </c>
      <c r="Z112" s="17">
        <v>-155</v>
      </c>
      <c r="AA112" s="17">
        <v>76</v>
      </c>
      <c r="AB112" s="17">
        <v>-207</v>
      </c>
      <c r="AC112" s="17">
        <v>273</v>
      </c>
    </row>
    <row r="113" spans="2:29" x14ac:dyDescent="0.2">
      <c r="B113" s="1" t="s">
        <v>115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77">
        <f t="shared" ref="T113" si="106">+SUM(T112,T111,T102,T91)</f>
        <v>-708</v>
      </c>
      <c r="U113" s="77">
        <f t="shared" ref="U113" si="107">+SUM(U112,U111,U102,U91)</f>
        <v>2166</v>
      </c>
      <c r="V113" s="77">
        <f t="shared" ref="V113" si="108">+SUM(V112,V111,V102,V91)</f>
        <v>4948</v>
      </c>
      <c r="W113" s="77">
        <f t="shared" ref="W113:AC113" si="109">+SUM(W112,W111,W102,W91)</f>
        <v>2510</v>
      </c>
      <c r="X113" s="77">
        <f t="shared" si="109"/>
        <v>2297</v>
      </c>
      <c r="Y113" s="77">
        <f t="shared" si="109"/>
        <v>-11</v>
      </c>
      <c r="Z113" s="77">
        <f t="shared" si="109"/>
        <v>1127</v>
      </c>
      <c r="AA113" s="77">
        <f t="shared" si="109"/>
        <v>2678</v>
      </c>
      <c r="AB113" s="77">
        <f t="shared" si="109"/>
        <v>556</v>
      </c>
      <c r="AC113" s="77">
        <f t="shared" si="109"/>
        <v>1528</v>
      </c>
    </row>
    <row r="114" spans="2:29" x14ac:dyDescent="0.2">
      <c r="B114" s="2" t="s">
        <v>116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7">
        <f t="shared" ref="T114:AA114" si="110">+T115-T113</f>
        <v>6827</v>
      </c>
      <c r="U114" s="17">
        <f t="shared" si="110"/>
        <v>6119</v>
      </c>
      <c r="V114" s="17">
        <f t="shared" si="110"/>
        <v>8285</v>
      </c>
      <c r="W114" s="17">
        <f t="shared" si="110"/>
        <v>13233</v>
      </c>
      <c r="X114" s="17">
        <f t="shared" si="110"/>
        <v>15743</v>
      </c>
      <c r="Y114" s="17">
        <f t="shared" si="110"/>
        <v>18040</v>
      </c>
      <c r="Z114" s="17">
        <f t="shared" si="110"/>
        <v>18029</v>
      </c>
      <c r="AA114" s="17">
        <f t="shared" si="110"/>
        <v>19156</v>
      </c>
      <c r="AB114" s="17">
        <v>21834</v>
      </c>
      <c r="AC114" s="17">
        <v>22490</v>
      </c>
    </row>
    <row r="115" spans="2:29" x14ac:dyDescent="0.2">
      <c r="B115" s="1" t="s">
        <v>117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7">
        <f t="shared" ref="T115:AA115" si="111">+U114</f>
        <v>6119</v>
      </c>
      <c r="U115" s="17">
        <f t="shared" si="111"/>
        <v>8285</v>
      </c>
      <c r="V115" s="17">
        <f t="shared" si="111"/>
        <v>13233</v>
      </c>
      <c r="W115" s="17">
        <f t="shared" si="111"/>
        <v>15743</v>
      </c>
      <c r="X115" s="17">
        <f t="shared" si="111"/>
        <v>18040</v>
      </c>
      <c r="Y115" s="17">
        <f t="shared" si="111"/>
        <v>18029</v>
      </c>
      <c r="Z115" s="17">
        <f t="shared" si="111"/>
        <v>19156</v>
      </c>
      <c r="AA115" s="17">
        <f t="shared" si="111"/>
        <v>21834</v>
      </c>
      <c r="AB115" s="17">
        <f>+AB113+AB114</f>
        <v>22390</v>
      </c>
      <c r="AC115" s="17">
        <f>+AC113+AC114</f>
        <v>24018</v>
      </c>
    </row>
    <row r="116" spans="2:29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2:29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2:29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2:29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2:29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2:29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2:29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2:29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2:29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2:29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2:29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2:29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2:29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3:19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3:19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3:19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3:19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3:19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3:19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3:19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3:19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3:19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3:19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3:19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3:19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3:19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3:19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3:19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3:19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3:19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3:19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3:19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3:19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3:19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3:19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3:19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3:19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3:19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3:19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3:19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3:19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3:19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3:19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3:19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3:19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3:19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3:19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3:19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3:19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3:19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3:19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3:19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3:19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3:19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3:19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3:19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3:19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3:19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3:19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3:19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3:19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3:19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3:19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3:19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3:19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3:19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3:19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3:19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3:19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3:19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3:19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3:19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3:19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3:19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3:19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3:19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3:19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3:19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3:19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3:19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3:19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3:19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3:19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3:19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3:19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3:19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3:19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3:19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3:19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3:19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3:19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3:19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3:19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3:19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3:19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3:19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3:19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3:19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3:19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3:19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3:19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3:19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3:19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3:19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3:19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3:19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3:19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3:19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3:19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3:19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3:19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3:19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3:19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3:19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3:19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3:19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3:19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3:19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3:19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3:19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3:19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</sheetData>
  <hyperlinks>
    <hyperlink ref="A1" location="Main!A1" display="Main" xr:uid="{CA44E9E1-3CA1-452F-AF24-49FEDDA8650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14F9-641F-47BD-94C1-73C2B4B90278}">
  <dimension ref="A1:L60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3" sqref="C13"/>
    </sheetView>
  </sheetViews>
  <sheetFormatPr defaultRowHeight="12.75" x14ac:dyDescent="0.2"/>
  <cols>
    <col min="1" max="1" width="4.42578125" style="2" customWidth="1"/>
    <col min="2" max="2" width="32.42578125" style="2" bestFit="1" customWidth="1"/>
    <col min="3" max="16384" width="9.140625" style="2"/>
  </cols>
  <sheetData>
    <row r="1" spans="1:12" x14ac:dyDescent="0.2">
      <c r="A1" s="5" t="s">
        <v>11</v>
      </c>
    </row>
    <row r="2" spans="1:12" x14ac:dyDescent="0.2">
      <c r="B2" s="14" t="s">
        <v>227</v>
      </c>
      <c r="C2" s="15">
        <v>18</v>
      </c>
      <c r="D2" s="15">
        <f>+C2+1</f>
        <v>19</v>
      </c>
      <c r="E2" s="15">
        <f t="shared" ref="E2:J2" si="0">+D2+1</f>
        <v>20</v>
      </c>
      <c r="F2" s="15">
        <f t="shared" si="0"/>
        <v>21</v>
      </c>
      <c r="G2" s="15">
        <f t="shared" si="0"/>
        <v>22</v>
      </c>
      <c r="H2" s="15">
        <f t="shared" si="0"/>
        <v>23</v>
      </c>
      <c r="I2" s="15">
        <f t="shared" si="0"/>
        <v>24</v>
      </c>
      <c r="J2" s="15">
        <f t="shared" si="0"/>
        <v>25</v>
      </c>
      <c r="K2" s="16"/>
    </row>
    <row r="3" spans="1:12" x14ac:dyDescent="0.2">
      <c r="B3" s="2" t="s">
        <v>3</v>
      </c>
      <c r="C3" s="17"/>
      <c r="D3" s="17"/>
      <c r="E3" s="17"/>
      <c r="F3" s="17"/>
      <c r="G3" s="17"/>
      <c r="H3" s="17"/>
      <c r="I3" s="17"/>
      <c r="J3" s="17"/>
      <c r="K3" s="17"/>
    </row>
    <row r="4" spans="1:12" x14ac:dyDescent="0.2">
      <c r="B4" s="2" t="s">
        <v>228</v>
      </c>
      <c r="C4" s="17"/>
      <c r="D4" s="17"/>
      <c r="E4" s="17"/>
      <c r="F4" s="17"/>
      <c r="G4" s="17"/>
      <c r="H4" s="17"/>
      <c r="I4" s="17"/>
      <c r="J4" s="17"/>
      <c r="K4" s="17"/>
    </row>
    <row r="5" spans="1:12" x14ac:dyDescent="0.2">
      <c r="B5" s="2" t="s">
        <v>229</v>
      </c>
      <c r="C5" s="17"/>
      <c r="D5" s="17"/>
      <c r="E5" s="17"/>
      <c r="F5" s="17"/>
      <c r="G5" s="17"/>
      <c r="H5" s="17"/>
      <c r="I5" s="17"/>
      <c r="J5" s="17"/>
      <c r="K5" s="17"/>
    </row>
    <row r="6" spans="1:12" x14ac:dyDescent="0.2">
      <c r="B6" s="2" t="s">
        <v>230</v>
      </c>
      <c r="C6" s="17"/>
      <c r="D6" s="17"/>
      <c r="E6" s="17"/>
      <c r="F6" s="17"/>
      <c r="G6" s="17"/>
      <c r="H6" s="17"/>
      <c r="I6" s="17"/>
      <c r="J6" s="17"/>
      <c r="K6" s="17"/>
    </row>
    <row r="7" spans="1:12" x14ac:dyDescent="0.2">
      <c r="B7" s="2" t="s">
        <v>8</v>
      </c>
      <c r="C7" s="17"/>
      <c r="D7" s="17"/>
      <c r="E7" s="17"/>
      <c r="F7" s="17"/>
      <c r="G7" s="17"/>
      <c r="H7" s="17"/>
      <c r="I7" s="17"/>
      <c r="J7" s="17"/>
      <c r="K7" s="17"/>
    </row>
    <row r="8" spans="1:12" x14ac:dyDescent="0.2">
      <c r="C8" s="17"/>
      <c r="D8" s="17"/>
      <c r="E8" s="17"/>
      <c r="F8" s="17"/>
      <c r="G8" s="17"/>
      <c r="H8" s="17"/>
      <c r="I8" s="17"/>
      <c r="J8" s="17"/>
      <c r="K8" s="17"/>
    </row>
    <row r="9" spans="1:12" x14ac:dyDescent="0.2">
      <c r="A9" s="18" t="s">
        <v>149</v>
      </c>
      <c r="B9" s="19" t="s">
        <v>231</v>
      </c>
      <c r="C9" s="17"/>
      <c r="D9" s="17"/>
      <c r="E9" s="17"/>
      <c r="F9" s="17"/>
      <c r="G9" s="17"/>
      <c r="H9" s="17"/>
      <c r="I9" s="17"/>
      <c r="J9" s="17"/>
      <c r="K9" s="17"/>
    </row>
    <row r="10" spans="1:12" x14ac:dyDescent="0.2">
      <c r="B10" s="2" t="s">
        <v>232</v>
      </c>
      <c r="L10" s="20" t="s">
        <v>233</v>
      </c>
    </row>
    <row r="11" spans="1:12" x14ac:dyDescent="0.2">
      <c r="B11" s="2" t="s">
        <v>234</v>
      </c>
      <c r="L11" s="20" t="s">
        <v>235</v>
      </c>
    </row>
    <row r="12" spans="1:12" x14ac:dyDescent="0.2">
      <c r="B12" s="2" t="s">
        <v>236</v>
      </c>
      <c r="L12" s="20"/>
    </row>
    <row r="13" spans="1:12" x14ac:dyDescent="0.2">
      <c r="B13" s="2" t="s">
        <v>237</v>
      </c>
      <c r="L13" s="20" t="s">
        <v>238</v>
      </c>
    </row>
    <row r="14" spans="1:12" x14ac:dyDescent="0.2">
      <c r="B14" s="2" t="s">
        <v>239</v>
      </c>
      <c r="L14" s="2" t="s">
        <v>240</v>
      </c>
    </row>
    <row r="15" spans="1:12" x14ac:dyDescent="0.2">
      <c r="B15" s="2" t="s">
        <v>241</v>
      </c>
      <c r="L15" s="20" t="s">
        <v>242</v>
      </c>
    </row>
    <row r="16" spans="1:12" x14ac:dyDescent="0.2">
      <c r="B16" s="2" t="s">
        <v>243</v>
      </c>
      <c r="L16" s="20" t="s">
        <v>244</v>
      </c>
    </row>
    <row r="17" spans="1:12" x14ac:dyDescent="0.2">
      <c r="B17" s="2" t="s">
        <v>245</v>
      </c>
      <c r="L17" s="20" t="s">
        <v>246</v>
      </c>
    </row>
    <row r="18" spans="1:12" x14ac:dyDescent="0.2">
      <c r="B18" s="2" t="s">
        <v>247</v>
      </c>
      <c r="L18" s="20" t="s">
        <v>248</v>
      </c>
    </row>
    <row r="20" spans="1:12" x14ac:dyDescent="0.2">
      <c r="A20" s="18" t="s">
        <v>149</v>
      </c>
      <c r="B20" s="19" t="s">
        <v>249</v>
      </c>
    </row>
    <row r="21" spans="1:12" x14ac:dyDescent="0.2">
      <c r="B21" s="2" t="s">
        <v>250</v>
      </c>
      <c r="L21" s="20" t="s">
        <v>251</v>
      </c>
    </row>
    <row r="22" spans="1:12" x14ac:dyDescent="0.2">
      <c r="B22" s="2" t="s">
        <v>252</v>
      </c>
      <c r="L22" s="20" t="s">
        <v>253</v>
      </c>
    </row>
    <row r="23" spans="1:12" x14ac:dyDescent="0.2">
      <c r="B23" s="2" t="s">
        <v>254</v>
      </c>
      <c r="L23" s="20" t="s">
        <v>255</v>
      </c>
    </row>
    <row r="24" spans="1:12" x14ac:dyDescent="0.2">
      <c r="B24" s="2" t="s">
        <v>256</v>
      </c>
      <c r="L24" s="20" t="s">
        <v>257</v>
      </c>
    </row>
    <row r="25" spans="1:12" x14ac:dyDescent="0.2">
      <c r="B25" s="2" t="s">
        <v>258</v>
      </c>
      <c r="L25" s="20" t="s">
        <v>259</v>
      </c>
    </row>
    <row r="26" spans="1:12" x14ac:dyDescent="0.2">
      <c r="B26" s="2" t="s">
        <v>260</v>
      </c>
      <c r="L26" s="20" t="s">
        <v>261</v>
      </c>
    </row>
    <row r="28" spans="1:12" x14ac:dyDescent="0.2">
      <c r="B28" s="2" t="s">
        <v>262</v>
      </c>
      <c r="L28" s="20" t="s">
        <v>263</v>
      </c>
    </row>
    <row r="29" spans="1:12" x14ac:dyDescent="0.2">
      <c r="B29" s="2" t="s">
        <v>264</v>
      </c>
      <c r="L29" s="20" t="s">
        <v>265</v>
      </c>
    </row>
    <row r="30" spans="1:12" x14ac:dyDescent="0.2">
      <c r="B30" s="2" t="s">
        <v>266</v>
      </c>
      <c r="L30" s="20" t="s">
        <v>267</v>
      </c>
    </row>
    <row r="31" spans="1:12" x14ac:dyDescent="0.2">
      <c r="B31" s="2" t="s">
        <v>268</v>
      </c>
      <c r="L31" s="20" t="s">
        <v>269</v>
      </c>
    </row>
    <row r="33" spans="1:12" x14ac:dyDescent="0.2">
      <c r="A33" s="18" t="s">
        <v>149</v>
      </c>
      <c r="B33" s="19" t="s">
        <v>270</v>
      </c>
    </row>
    <row r="34" spans="1:12" x14ac:dyDescent="0.2">
      <c r="B34" s="2" t="s">
        <v>271</v>
      </c>
      <c r="L34" s="20" t="s">
        <v>272</v>
      </c>
    </row>
    <row r="35" spans="1:12" x14ac:dyDescent="0.2">
      <c r="B35" s="2" t="s">
        <v>273</v>
      </c>
      <c r="L35" s="20" t="s">
        <v>274</v>
      </c>
    </row>
    <row r="36" spans="1:12" x14ac:dyDescent="0.2">
      <c r="B36" s="2" t="s">
        <v>275</v>
      </c>
      <c r="L36" s="20" t="s">
        <v>276</v>
      </c>
    </row>
    <row r="37" spans="1:12" x14ac:dyDescent="0.2">
      <c r="B37" s="2" t="s">
        <v>277</v>
      </c>
      <c r="C37" s="11"/>
      <c r="D37" s="11"/>
      <c r="E37" s="11"/>
      <c r="F37" s="11"/>
      <c r="G37" s="11"/>
      <c r="I37" s="21"/>
      <c r="J37" s="21"/>
      <c r="L37" s="20" t="s">
        <v>278</v>
      </c>
    </row>
    <row r="38" spans="1:12" x14ac:dyDescent="0.2">
      <c r="B38" s="2" t="s">
        <v>279</v>
      </c>
      <c r="C38" s="4"/>
      <c r="D38" s="22"/>
      <c r="E38" s="4"/>
      <c r="F38" s="4"/>
      <c r="G38" s="4"/>
      <c r="I38" s="21"/>
      <c r="J38" s="21"/>
      <c r="L38" s="20" t="s">
        <v>280</v>
      </c>
    </row>
    <row r="40" spans="1:12" x14ac:dyDescent="0.2">
      <c r="A40" s="18" t="s">
        <v>149</v>
      </c>
      <c r="B40" s="19" t="s">
        <v>281</v>
      </c>
    </row>
    <row r="41" spans="1:12" x14ac:dyDescent="0.2">
      <c r="B41" s="2" t="s">
        <v>282</v>
      </c>
      <c r="C41" s="23"/>
      <c r="D41" s="23"/>
      <c r="E41" s="23"/>
      <c r="F41" s="23"/>
      <c r="G41" s="23"/>
      <c r="I41" s="23"/>
      <c r="J41" s="23"/>
      <c r="L41" s="20" t="s">
        <v>283</v>
      </c>
    </row>
    <row r="42" spans="1:12" x14ac:dyDescent="0.2">
      <c r="B42" s="2" t="s">
        <v>284</v>
      </c>
      <c r="C42" s="23"/>
      <c r="D42" s="23"/>
      <c r="E42" s="23"/>
      <c r="F42" s="23"/>
      <c r="G42" s="23"/>
      <c r="I42" s="23"/>
      <c r="J42" s="23"/>
      <c r="L42" s="20" t="s">
        <v>285</v>
      </c>
    </row>
    <row r="43" spans="1:12" x14ac:dyDescent="0.2">
      <c r="B43" s="2" t="s">
        <v>286</v>
      </c>
      <c r="L43" s="20" t="s">
        <v>287</v>
      </c>
    </row>
    <row r="44" spans="1:12" x14ac:dyDescent="0.2">
      <c r="B44" s="2" t="s">
        <v>288</v>
      </c>
      <c r="L44" s="20" t="s">
        <v>289</v>
      </c>
    </row>
    <row r="45" spans="1:12" x14ac:dyDescent="0.2">
      <c r="B45" s="2" t="s">
        <v>290</v>
      </c>
      <c r="L45" s="20" t="s">
        <v>291</v>
      </c>
    </row>
    <row r="46" spans="1:12" x14ac:dyDescent="0.2">
      <c r="B46" s="2" t="s">
        <v>292</v>
      </c>
      <c r="L46" s="20" t="s">
        <v>293</v>
      </c>
    </row>
    <row r="48" spans="1:12" x14ac:dyDescent="0.2">
      <c r="A48" s="18" t="s">
        <v>149</v>
      </c>
      <c r="B48" s="19" t="s">
        <v>294</v>
      </c>
    </row>
    <row r="49" spans="2:12" x14ac:dyDescent="0.2">
      <c r="B49" s="19" t="s">
        <v>295</v>
      </c>
      <c r="C49" s="24"/>
      <c r="D49" s="24"/>
      <c r="E49" s="24"/>
      <c r="F49" s="24"/>
      <c r="G49" s="24"/>
    </row>
    <row r="50" spans="2:12" x14ac:dyDescent="0.2">
      <c r="B50" s="2" t="s">
        <v>296</v>
      </c>
      <c r="C50" s="23"/>
      <c r="D50" s="23"/>
      <c r="E50" s="23"/>
      <c r="F50" s="23"/>
      <c r="G50" s="23"/>
      <c r="I50" s="23"/>
      <c r="J50" s="23"/>
      <c r="L50" s="20" t="s">
        <v>297</v>
      </c>
    </row>
    <row r="51" spans="2:12" x14ac:dyDescent="0.2">
      <c r="B51" s="2" t="s">
        <v>298</v>
      </c>
      <c r="C51" s="23"/>
      <c r="D51" s="23"/>
      <c r="E51" s="23"/>
      <c r="F51" s="23"/>
      <c r="G51" s="23"/>
      <c r="I51" s="23"/>
      <c r="J51" s="23"/>
      <c r="L51" s="20" t="s">
        <v>299</v>
      </c>
    </row>
    <row r="52" spans="2:12" x14ac:dyDescent="0.2">
      <c r="B52" s="2" t="s">
        <v>300</v>
      </c>
      <c r="C52" s="23"/>
      <c r="D52" s="23"/>
      <c r="E52" s="23"/>
      <c r="F52" s="23"/>
      <c r="G52" s="23"/>
      <c r="I52" s="23"/>
      <c r="J52" s="23"/>
      <c r="L52" s="20" t="s">
        <v>301</v>
      </c>
    </row>
    <row r="53" spans="2:12" x14ac:dyDescent="0.2">
      <c r="B53" s="2" t="s">
        <v>302</v>
      </c>
      <c r="C53" s="23"/>
      <c r="D53" s="23"/>
      <c r="E53" s="23"/>
      <c r="F53" s="23"/>
      <c r="G53" s="23"/>
      <c r="I53" s="23"/>
      <c r="J53" s="23"/>
      <c r="L53" s="20" t="s">
        <v>303</v>
      </c>
    </row>
    <row r="54" spans="2:12" x14ac:dyDescent="0.2">
      <c r="B54" s="2" t="s">
        <v>304</v>
      </c>
      <c r="C54" s="23"/>
      <c r="D54" s="23"/>
      <c r="E54" s="23"/>
      <c r="F54" s="23"/>
      <c r="G54" s="23"/>
      <c r="I54" s="23"/>
      <c r="J54" s="23"/>
      <c r="L54" s="20" t="s">
        <v>305</v>
      </c>
    </row>
    <row r="55" spans="2:12" x14ac:dyDescent="0.2">
      <c r="B55" s="2" t="s">
        <v>306</v>
      </c>
      <c r="C55" s="23"/>
      <c r="D55" s="23"/>
      <c r="E55" s="23"/>
      <c r="F55" s="23"/>
      <c r="G55" s="23"/>
      <c r="I55" s="23"/>
      <c r="J55" s="23"/>
      <c r="L55" s="20" t="s">
        <v>307</v>
      </c>
    </row>
    <row r="56" spans="2:12" x14ac:dyDescent="0.2">
      <c r="B56" s="19" t="s">
        <v>308</v>
      </c>
      <c r="I56" s="23"/>
      <c r="J56" s="23"/>
    </row>
    <row r="57" spans="2:12" x14ac:dyDescent="0.2">
      <c r="B57" s="2" t="s">
        <v>309</v>
      </c>
      <c r="C57" s="23"/>
      <c r="D57" s="23"/>
      <c r="E57" s="23"/>
      <c r="F57" s="23"/>
      <c r="G57" s="23"/>
      <c r="I57" s="23"/>
      <c r="J57" s="23"/>
      <c r="L57" s="20" t="s">
        <v>310</v>
      </c>
    </row>
    <row r="58" spans="2:12" x14ac:dyDescent="0.2">
      <c r="B58" s="2" t="s">
        <v>311</v>
      </c>
      <c r="C58" s="23"/>
      <c r="D58" s="23"/>
      <c r="E58" s="23"/>
      <c r="F58" s="23"/>
      <c r="G58" s="23"/>
      <c r="I58" s="23"/>
      <c r="J58" s="23"/>
      <c r="L58" s="20" t="s">
        <v>312</v>
      </c>
    </row>
    <row r="59" spans="2:12" x14ac:dyDescent="0.2">
      <c r="B59" s="2" t="s">
        <v>313</v>
      </c>
      <c r="C59" s="23"/>
      <c r="D59" s="23"/>
      <c r="E59" s="23"/>
      <c r="F59" s="23"/>
      <c r="G59" s="23"/>
      <c r="I59" s="23"/>
      <c r="J59" s="23"/>
      <c r="L59" s="20" t="s">
        <v>314</v>
      </c>
    </row>
    <row r="60" spans="2:12" x14ac:dyDescent="0.2">
      <c r="B60" s="2" t="s">
        <v>315</v>
      </c>
      <c r="C60" s="23"/>
      <c r="D60" s="23"/>
      <c r="E60" s="23"/>
      <c r="F60" s="23"/>
      <c r="G60" s="23"/>
      <c r="I60" s="23"/>
      <c r="J60" s="23"/>
      <c r="L60" s="20" t="s">
        <v>316</v>
      </c>
    </row>
  </sheetData>
  <hyperlinks>
    <hyperlink ref="A1" location="Main!A1" display="Main" xr:uid="{E12458A1-52FC-424F-998C-A36A789CBC15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D299-C064-4DF4-9D81-D723CC708295}">
  <dimension ref="A1:I48"/>
  <sheetViews>
    <sheetView showGridLines="0" zoomScale="200" zoomScaleNormal="200" workbookViewId="0">
      <selection activeCell="A2" sqref="A2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8" x14ac:dyDescent="0.2">
      <c r="A1" s="5" t="s">
        <v>11</v>
      </c>
    </row>
    <row r="3" spans="1:8" x14ac:dyDescent="0.2">
      <c r="B3" s="25" t="s">
        <v>191</v>
      </c>
      <c r="C3" s="25"/>
      <c r="D3" s="25"/>
      <c r="E3" s="25"/>
      <c r="F3" s="25"/>
    </row>
    <row r="4" spans="1:8" x14ac:dyDescent="0.2">
      <c r="A4" s="18" t="s">
        <v>149</v>
      </c>
      <c r="B4" s="19" t="s">
        <v>192</v>
      </c>
    </row>
    <row r="5" spans="1:8" x14ac:dyDescent="0.2">
      <c r="B5" s="19" t="s">
        <v>193</v>
      </c>
    </row>
    <row r="6" spans="1:8" x14ac:dyDescent="0.2">
      <c r="B6" s="2" t="s">
        <v>194</v>
      </c>
      <c r="H6" s="20" t="s">
        <v>195</v>
      </c>
    </row>
    <row r="7" spans="1:8" x14ac:dyDescent="0.2">
      <c r="B7" s="2" t="s">
        <v>196</v>
      </c>
      <c r="H7" s="20" t="s">
        <v>197</v>
      </c>
    </row>
    <row r="8" spans="1:8" x14ac:dyDescent="0.2">
      <c r="B8" s="2" t="s">
        <v>193</v>
      </c>
      <c r="F8" s="2">
        <f>F6+F7</f>
        <v>0</v>
      </c>
      <c r="H8" s="20" t="s">
        <v>198</v>
      </c>
    </row>
    <row r="10" spans="1:8" x14ac:dyDescent="0.2">
      <c r="A10" s="18" t="s">
        <v>149</v>
      </c>
      <c r="B10" s="19" t="s">
        <v>199</v>
      </c>
    </row>
    <row r="11" spans="1:8" x14ac:dyDescent="0.2">
      <c r="B11" s="2" t="s">
        <v>200</v>
      </c>
      <c r="H11" s="20" t="s">
        <v>201</v>
      </c>
    </row>
    <row r="12" spans="1:8" x14ac:dyDescent="0.2">
      <c r="B12" s="2" t="s">
        <v>202</v>
      </c>
      <c r="H12" s="20" t="s">
        <v>203</v>
      </c>
    </row>
    <row r="13" spans="1:8" x14ac:dyDescent="0.2">
      <c r="B13" s="2" t="s">
        <v>204</v>
      </c>
      <c r="H13" s="20" t="s">
        <v>205</v>
      </c>
    </row>
    <row r="14" spans="1:8" x14ac:dyDescent="0.2">
      <c r="B14" s="2" t="s">
        <v>206</v>
      </c>
      <c r="H14" s="20" t="s">
        <v>207</v>
      </c>
    </row>
    <row r="15" spans="1:8" x14ac:dyDescent="0.2">
      <c r="B15" s="2" t="s">
        <v>208</v>
      </c>
      <c r="H15" s="20" t="s">
        <v>209</v>
      </c>
    </row>
    <row r="17" spans="1:8" x14ac:dyDescent="0.2">
      <c r="A17" s="18" t="s">
        <v>149</v>
      </c>
      <c r="B17" s="19" t="s">
        <v>210</v>
      </c>
    </row>
    <row r="18" spans="1:8" x14ac:dyDescent="0.2">
      <c r="B18" s="2" t="s">
        <v>211</v>
      </c>
      <c r="H18" s="20" t="s">
        <v>212</v>
      </c>
    </row>
    <row r="19" spans="1:8" x14ac:dyDescent="0.2">
      <c r="B19" s="2" t="s">
        <v>193</v>
      </c>
    </row>
    <row r="20" spans="1:8" x14ac:dyDescent="0.2">
      <c r="B20" s="2" t="s">
        <v>210</v>
      </c>
      <c r="F20" s="2">
        <f>F18-F19</f>
        <v>0</v>
      </c>
    </row>
    <row r="22" spans="1:8" x14ac:dyDescent="0.2">
      <c r="A22" s="18" t="s">
        <v>149</v>
      </c>
      <c r="B22" s="26" t="s">
        <v>192</v>
      </c>
      <c r="C22" s="27"/>
      <c r="D22" s="27"/>
      <c r="E22" s="27"/>
      <c r="F22" s="28">
        <f>F8+F15*F20</f>
        <v>0</v>
      </c>
      <c r="H22" s="20" t="s">
        <v>213</v>
      </c>
    </row>
    <row r="25" spans="1:8" x14ac:dyDescent="0.2">
      <c r="A25" s="18" t="s">
        <v>149</v>
      </c>
      <c r="B25" s="19" t="s">
        <v>214</v>
      </c>
    </row>
    <row r="26" spans="1:8" x14ac:dyDescent="0.2">
      <c r="B26" s="2" t="s">
        <v>215</v>
      </c>
      <c r="H26" s="20" t="s">
        <v>216</v>
      </c>
    </row>
    <row r="27" spans="1:8" x14ac:dyDescent="0.2">
      <c r="B27" s="2" t="s">
        <v>217</v>
      </c>
    </row>
    <row r="28" spans="1:8" x14ac:dyDescent="0.2">
      <c r="B28" s="2" t="s">
        <v>193</v>
      </c>
    </row>
    <row r="29" spans="1:8" x14ac:dyDescent="0.2">
      <c r="B29" s="2" t="s">
        <v>218</v>
      </c>
    </row>
    <row r="30" spans="1:8" x14ac:dyDescent="0.2">
      <c r="B30" s="2" t="s">
        <v>219</v>
      </c>
    </row>
    <row r="32" spans="1:8" x14ac:dyDescent="0.2">
      <c r="A32" s="18" t="s">
        <v>149</v>
      </c>
      <c r="B32" s="26" t="s">
        <v>214</v>
      </c>
      <c r="C32" s="27"/>
      <c r="D32" s="27"/>
      <c r="E32" s="27"/>
      <c r="F32" s="28">
        <f>F28+F29+F30</f>
        <v>0</v>
      </c>
    </row>
    <row r="34" spans="1:9" x14ac:dyDescent="0.2">
      <c r="A34" s="18" t="s">
        <v>149</v>
      </c>
      <c r="B34" s="19" t="s">
        <v>220</v>
      </c>
    </row>
    <row r="35" spans="1:9" x14ac:dyDescent="0.2">
      <c r="B35" s="2" t="s">
        <v>221</v>
      </c>
    </row>
    <row r="36" spans="1:9" x14ac:dyDescent="0.2">
      <c r="B36" s="2" t="s">
        <v>222</v>
      </c>
    </row>
    <row r="37" spans="1:9" x14ac:dyDescent="0.2">
      <c r="B37" s="2" t="s">
        <v>223</v>
      </c>
      <c r="F37" s="2">
        <f>F35+F36</f>
        <v>0</v>
      </c>
    </row>
    <row r="39" spans="1:9" x14ac:dyDescent="0.2">
      <c r="B39" s="2" t="s">
        <v>224</v>
      </c>
    </row>
    <row r="41" spans="1:9" x14ac:dyDescent="0.2">
      <c r="A41" s="18" t="s">
        <v>149</v>
      </c>
      <c r="B41" s="26" t="s">
        <v>160</v>
      </c>
      <c r="C41" s="27"/>
      <c r="D41" s="27"/>
      <c r="E41" s="27"/>
      <c r="F41" s="28" t="e">
        <f>(F32*(F35/F37)*(1-F39))+((F36/F38)*F22)</f>
        <v>#DIV/0!</v>
      </c>
      <c r="H41" s="20" t="s">
        <v>225</v>
      </c>
    </row>
    <row r="47" spans="1:9" x14ac:dyDescent="0.2">
      <c r="I47" s="2" t="e">
        <f>SLOPE(H48:H52,K48:K52)</f>
        <v>#DIV/0!</v>
      </c>
    </row>
    <row r="48" spans="1:9" x14ac:dyDescent="0.2">
      <c r="H48" s="2" t="s">
        <v>226</v>
      </c>
    </row>
  </sheetData>
  <hyperlinks>
    <hyperlink ref="A1" location="Main!A1" display="Main" xr:uid="{7F17A37F-8B78-4095-9F08-E45728F8A5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7FC4-14A4-4CF0-A935-78EC686188C2}">
  <dimension ref="A1:AA76"/>
  <sheetViews>
    <sheetView showGridLines="0" zoomScaleNormal="100" workbookViewId="0">
      <selection activeCell="M16" sqref="M16"/>
    </sheetView>
  </sheetViews>
  <sheetFormatPr defaultRowHeight="12.75" x14ac:dyDescent="0.2"/>
  <cols>
    <col min="1" max="1" width="4.7109375" style="2" customWidth="1"/>
    <col min="2" max="16384" width="9.140625" style="2"/>
  </cols>
  <sheetData>
    <row r="1" spans="1:27" x14ac:dyDescent="0.2">
      <c r="A1" s="29" t="s">
        <v>11</v>
      </c>
      <c r="B1" s="30" t="s">
        <v>317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x14ac:dyDescent="0.2">
      <c r="E2" s="32"/>
    </row>
    <row r="3" spans="1:27" x14ac:dyDescent="0.2">
      <c r="B3" s="2" t="s">
        <v>142</v>
      </c>
      <c r="E3" s="33" t="s">
        <v>0</v>
      </c>
      <c r="G3" s="2" t="s">
        <v>143</v>
      </c>
      <c r="J3" s="33">
        <f>+Main!I2</f>
        <v>58.7</v>
      </c>
      <c r="L3" s="2" t="s">
        <v>143</v>
      </c>
      <c r="O3" s="33">
        <f>+J3</f>
        <v>58.7</v>
      </c>
    </row>
    <row r="4" spans="1:27" x14ac:dyDescent="0.2">
      <c r="B4" s="2" t="s">
        <v>144</v>
      </c>
      <c r="E4" s="34">
        <f ca="1">+TODAY()</f>
        <v>46231</v>
      </c>
      <c r="G4" s="2" t="s">
        <v>145</v>
      </c>
      <c r="J4" s="35">
        <f ca="1">V62</f>
        <v>90.720141570568231</v>
      </c>
      <c r="L4" s="2" t="s">
        <v>146</v>
      </c>
      <c r="O4" s="36">
        <f>+J15+O15+T15</f>
        <v>0</v>
      </c>
    </row>
    <row r="5" spans="1:27" x14ac:dyDescent="0.2">
      <c r="B5" s="2" t="s">
        <v>147</v>
      </c>
      <c r="E5" s="34">
        <v>46022</v>
      </c>
      <c r="G5" s="2" t="s">
        <v>148</v>
      </c>
      <c r="J5" s="37">
        <f ca="1">J4/J3-1</f>
        <v>0.54548793135550633</v>
      </c>
      <c r="L5" s="2" t="s">
        <v>148</v>
      </c>
      <c r="O5" s="37">
        <f>O4/O3-1</f>
        <v>-1</v>
      </c>
    </row>
    <row r="7" spans="1:27" x14ac:dyDescent="0.2">
      <c r="A7" s="38" t="s">
        <v>149</v>
      </c>
      <c r="B7" s="25" t="s">
        <v>150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7" x14ac:dyDescent="0.2">
      <c r="A8" s="38"/>
    </row>
    <row r="9" spans="1:27" x14ac:dyDescent="0.2">
      <c r="A9" s="38"/>
      <c r="B9" s="39" t="s">
        <v>151</v>
      </c>
      <c r="C9" s="40"/>
      <c r="D9" s="40"/>
      <c r="E9" s="40"/>
      <c r="G9" s="39" t="s">
        <v>152</v>
      </c>
      <c r="H9" s="39"/>
      <c r="I9" s="40"/>
      <c r="J9" s="40"/>
      <c r="L9" s="39" t="s">
        <v>153</v>
      </c>
      <c r="M9" s="40"/>
      <c r="N9" s="40"/>
      <c r="O9" s="40"/>
      <c r="Q9" s="39" t="s">
        <v>154</v>
      </c>
      <c r="R9" s="40"/>
      <c r="S9" s="40"/>
      <c r="T9" s="40"/>
    </row>
    <row r="10" spans="1:27" x14ac:dyDescent="0.2">
      <c r="A10" s="38"/>
      <c r="B10" s="6" t="s">
        <v>155</v>
      </c>
      <c r="G10" s="6" t="s">
        <v>155</v>
      </c>
      <c r="H10" s="6"/>
      <c r="I10" s="6" t="s">
        <v>156</v>
      </c>
      <c r="J10" s="6" t="s">
        <v>157</v>
      </c>
      <c r="L10" s="6" t="s">
        <v>155</v>
      </c>
      <c r="N10" s="6" t="s">
        <v>156</v>
      </c>
      <c r="O10" s="6" t="s">
        <v>157</v>
      </c>
      <c r="Q10" s="6" t="s">
        <v>155</v>
      </c>
      <c r="S10" s="6" t="s">
        <v>156</v>
      </c>
      <c r="T10" s="6" t="s">
        <v>157</v>
      </c>
    </row>
    <row r="11" spans="1:27" x14ac:dyDescent="0.2">
      <c r="B11" s="2" t="s">
        <v>26</v>
      </c>
      <c r="E11" s="41">
        <v>2</v>
      </c>
      <c r="G11" s="2" t="s">
        <v>158</v>
      </c>
      <c r="K11" s="1"/>
      <c r="L11" s="2" t="s">
        <v>158</v>
      </c>
      <c r="Q11" s="2" t="s">
        <v>158</v>
      </c>
    </row>
    <row r="12" spans="1:27" x14ac:dyDescent="0.2">
      <c r="B12" s="2" t="s">
        <v>159</v>
      </c>
      <c r="E12" s="41">
        <v>2</v>
      </c>
      <c r="G12" s="2" t="s">
        <v>159</v>
      </c>
      <c r="L12" s="2" t="s">
        <v>159</v>
      </c>
      <c r="Q12" s="2" t="s">
        <v>159</v>
      </c>
    </row>
    <row r="13" spans="1:27" x14ac:dyDescent="0.2">
      <c r="B13" s="2" t="s">
        <v>160</v>
      </c>
      <c r="E13" s="41">
        <v>2</v>
      </c>
      <c r="G13" s="2" t="s">
        <v>161</v>
      </c>
      <c r="J13" s="42"/>
      <c r="O13" s="42"/>
      <c r="T13" s="42"/>
    </row>
    <row r="14" spans="1:27" x14ac:dyDescent="0.2">
      <c r="B14" s="2" t="s">
        <v>162</v>
      </c>
      <c r="E14" s="41">
        <v>2</v>
      </c>
      <c r="G14" s="2" t="s">
        <v>163</v>
      </c>
      <c r="J14" s="42"/>
      <c r="L14" s="2" t="s">
        <v>163</v>
      </c>
      <c r="O14" s="42"/>
      <c r="Q14" s="2" t="s">
        <v>163</v>
      </c>
      <c r="T14" s="42"/>
    </row>
    <row r="15" spans="1:27" x14ac:dyDescent="0.2">
      <c r="B15" s="2" t="s">
        <v>164</v>
      </c>
      <c r="E15" s="41">
        <v>2</v>
      </c>
      <c r="G15" s="2" t="s">
        <v>165</v>
      </c>
      <c r="J15" s="42"/>
      <c r="L15" s="2" t="s">
        <v>165</v>
      </c>
      <c r="O15" s="42"/>
      <c r="Q15" s="2" t="s">
        <v>165</v>
      </c>
      <c r="T15" s="42"/>
    </row>
    <row r="17" spans="1:22" x14ac:dyDescent="0.2">
      <c r="B17" s="6" t="s">
        <v>166</v>
      </c>
    </row>
    <row r="18" spans="1:22" x14ac:dyDescent="0.2">
      <c r="B18" s="2" t="s">
        <v>160</v>
      </c>
      <c r="E18" s="42">
        <f>CHOOSE(E13,J18,O18,T18)</f>
        <v>0.09</v>
      </c>
      <c r="G18" s="2" t="s">
        <v>160</v>
      </c>
      <c r="J18" s="42">
        <v>0.11</v>
      </c>
      <c r="L18" s="2" t="s">
        <v>160</v>
      </c>
      <c r="O18" s="42">
        <v>0.09</v>
      </c>
      <c r="Q18" s="2" t="s">
        <v>160</v>
      </c>
      <c r="T18" s="42">
        <v>7.0000000000000007E-2</v>
      </c>
    </row>
    <row r="19" spans="1:22" x14ac:dyDescent="0.2">
      <c r="B19" s="2" t="s">
        <v>162</v>
      </c>
      <c r="E19" s="42">
        <f>CHOOSE(E14,J19,O19,T19)</f>
        <v>2.5000000000000001E-2</v>
      </c>
      <c r="G19" s="2" t="s">
        <v>162</v>
      </c>
      <c r="J19" s="42">
        <v>1.4999999999999999E-2</v>
      </c>
      <c r="L19" s="2" t="s">
        <v>162</v>
      </c>
      <c r="O19" s="42">
        <v>2.5000000000000001E-2</v>
      </c>
      <c r="Q19" s="2" t="s">
        <v>162</v>
      </c>
      <c r="T19" s="42">
        <v>3.5000000000000003E-2</v>
      </c>
    </row>
    <row r="20" spans="1:22" x14ac:dyDescent="0.2">
      <c r="B20" s="2" t="s">
        <v>167</v>
      </c>
      <c r="E20" s="42">
        <f>CHOOSE(E15,J20,O20,T20)</f>
        <v>0.1</v>
      </c>
      <c r="G20" s="2" t="s">
        <v>167</v>
      </c>
      <c r="J20" s="42">
        <v>0.09</v>
      </c>
      <c r="L20" s="2" t="s">
        <v>167</v>
      </c>
      <c r="O20" s="42">
        <v>0.1</v>
      </c>
      <c r="Q20" s="2" t="s">
        <v>167</v>
      </c>
      <c r="T20" s="42">
        <v>0.11</v>
      </c>
    </row>
    <row r="24" spans="1:22" x14ac:dyDescent="0.2">
      <c r="A24" s="38" t="s">
        <v>149</v>
      </c>
      <c r="B24" s="25" t="s">
        <v>168</v>
      </c>
      <c r="C24" s="25"/>
      <c r="D24" s="25"/>
      <c r="E24" s="25"/>
      <c r="F24" s="25"/>
      <c r="G24" s="43">
        <v>19</v>
      </c>
      <c r="H24" s="43">
        <f>G24+1</f>
        <v>20</v>
      </c>
      <c r="I24" s="43">
        <f t="shared" ref="I24:V24" si="0">H24+1</f>
        <v>21</v>
      </c>
      <c r="J24" s="43">
        <f t="shared" si="0"/>
        <v>22</v>
      </c>
      <c r="K24" s="43">
        <f t="shared" si="0"/>
        <v>23</v>
      </c>
      <c r="L24" s="43">
        <f t="shared" si="0"/>
        <v>24</v>
      </c>
      <c r="M24" s="43">
        <f t="shared" si="0"/>
        <v>25</v>
      </c>
      <c r="N24" s="43">
        <f t="shared" si="0"/>
        <v>26</v>
      </c>
      <c r="O24" s="43">
        <f t="shared" si="0"/>
        <v>27</v>
      </c>
      <c r="P24" s="43">
        <f t="shared" si="0"/>
        <v>28</v>
      </c>
      <c r="Q24" s="43">
        <f t="shared" si="0"/>
        <v>29</v>
      </c>
      <c r="R24" s="43">
        <f t="shared" si="0"/>
        <v>30</v>
      </c>
      <c r="S24" s="43">
        <f t="shared" si="0"/>
        <v>31</v>
      </c>
      <c r="T24" s="43">
        <f t="shared" si="0"/>
        <v>32</v>
      </c>
      <c r="U24" s="43">
        <f t="shared" si="0"/>
        <v>33</v>
      </c>
      <c r="V24" s="43">
        <f t="shared" si="0"/>
        <v>34</v>
      </c>
    </row>
    <row r="25" spans="1:22" x14ac:dyDescent="0.2">
      <c r="B25" s="2" t="s">
        <v>158</v>
      </c>
      <c r="G25" s="17">
        <f>+Model!W19</f>
        <v>17772</v>
      </c>
      <c r="H25" s="17">
        <f>+Model!X19</f>
        <v>21454</v>
      </c>
      <c r="I25" s="17">
        <f>+Model!Y19</f>
        <v>25371</v>
      </c>
      <c r="J25" s="17">
        <f>+Model!Z19</f>
        <v>27518</v>
      </c>
      <c r="K25" s="17">
        <f>+Model!AA19</f>
        <v>29771</v>
      </c>
      <c r="L25" s="17">
        <f>+Model!AB19</f>
        <v>31797</v>
      </c>
      <c r="M25" s="17">
        <f ca="1">L25*(1+M26)</f>
        <v>34022.79</v>
      </c>
      <c r="N25" s="17">
        <f t="shared" ref="N25:V25" ca="1" si="1">M25*(1+N26)</f>
        <v>36285.305535</v>
      </c>
      <c r="O25" s="17">
        <f t="shared" ca="1" si="1"/>
        <v>38577.629712173621</v>
      </c>
      <c r="P25" s="17">
        <f t="shared" ca="1" si="1"/>
        <v>40892.914381386858</v>
      </c>
      <c r="Q25" s="17">
        <f t="shared" ca="1" si="1"/>
        <v>43224.441785491676</v>
      </c>
      <c r="R25" s="17">
        <f t="shared" ca="1" si="1"/>
        <v>45565.679221630104</v>
      </c>
      <c r="S25" s="17">
        <f t="shared" ca="1" si="1"/>
        <v>47910.326511694933</v>
      </c>
      <c r="T25" s="17">
        <f t="shared" ca="1" si="1"/>
        <v>50252.35626267513</v>
      </c>
      <c r="U25" s="17">
        <f t="shared" ca="1" si="1"/>
        <v>52586.047053230424</v>
      </c>
      <c r="V25" s="17">
        <f t="shared" ca="1" si="1"/>
        <v>54906.00981128386</v>
      </c>
    </row>
    <row r="26" spans="1:22" x14ac:dyDescent="0.2">
      <c r="B26" s="44" t="s">
        <v>169</v>
      </c>
      <c r="C26" s="45"/>
      <c r="G26" s="46"/>
      <c r="H26" s="47">
        <f t="shared" ref="H26:L26" si="2">H25/G25-1</f>
        <v>0.20717983344586988</v>
      </c>
      <c r="I26" s="47">
        <f t="shared" si="2"/>
        <v>0.18257667567819524</v>
      </c>
      <c r="J26" s="47">
        <f t="shared" si="2"/>
        <v>8.4624177210200546E-2</v>
      </c>
      <c r="K26" s="47">
        <f t="shared" si="2"/>
        <v>8.1873682680427384E-2</v>
      </c>
      <c r="L26" s="47">
        <f t="shared" si="2"/>
        <v>6.8052803063383793E-2</v>
      </c>
      <c r="M26" s="47" cm="1">
        <f t="array" aca="1" ref="M26" ca="1">OFFSET(M26,$E$11,,)</f>
        <v>7.0000000000000007E-2</v>
      </c>
      <c r="N26" s="47" cm="1">
        <f t="array" aca="1" ref="N26" ca="1">OFFSET(N26,$E$11,,)</f>
        <v>6.6500000000000004E-2</v>
      </c>
      <c r="O26" s="47" cm="1">
        <f t="array" aca="1" ref="O26" ca="1">OFFSET(O26,$E$11,,)</f>
        <v>6.3174999999999995E-2</v>
      </c>
      <c r="P26" s="47" cm="1">
        <f t="array" aca="1" ref="P26" ca="1">OFFSET(P26,$E$11,,)</f>
        <v>6.0016249999999993E-2</v>
      </c>
      <c r="Q26" s="47" cm="1">
        <f t="array" aca="1" ref="Q26" ca="1">OFFSET(Q26,$E$11,,)</f>
        <v>5.7015437499999988E-2</v>
      </c>
      <c r="R26" s="47" cm="1">
        <f t="array" aca="1" ref="R26" ca="1">OFFSET(R26,$E$11,,)</f>
        <v>5.4164665624999983E-2</v>
      </c>
      <c r="S26" s="47" cm="1">
        <f t="array" aca="1" ref="S26" ca="1">OFFSET(S26,$E$11,,)</f>
        <v>5.1456432343749983E-2</v>
      </c>
      <c r="T26" s="47" cm="1">
        <f t="array" aca="1" ref="T26" ca="1">OFFSET(T26,$E$11,,)</f>
        <v>4.8883610726562485E-2</v>
      </c>
      <c r="U26" s="47" cm="1">
        <f t="array" aca="1" ref="U26" ca="1">OFFSET(U26,$E$11,,)</f>
        <v>4.643943019023436E-2</v>
      </c>
      <c r="V26" s="47" cm="1">
        <f t="array" aca="1" ref="V26" ca="1">OFFSET(V26,$E$11,,)</f>
        <v>4.4117458680722643E-2</v>
      </c>
    </row>
    <row r="27" spans="1:22" x14ac:dyDescent="0.2">
      <c r="B27" s="44" t="s">
        <v>152</v>
      </c>
      <c r="C27" s="45"/>
      <c r="I27" s="11"/>
      <c r="J27" s="11"/>
      <c r="K27" s="11"/>
      <c r="L27" s="11"/>
      <c r="M27" s="48">
        <f>+M28-2%</f>
        <v>0.05</v>
      </c>
      <c r="N27" s="48">
        <f t="shared" ref="N27:V27" si="3">+N28-2%</f>
        <v>4.65E-2</v>
      </c>
      <c r="O27" s="48">
        <f t="shared" si="3"/>
        <v>4.3174999999999991E-2</v>
      </c>
      <c r="P27" s="48">
        <f t="shared" si="3"/>
        <v>4.0016249999999989E-2</v>
      </c>
      <c r="Q27" s="48">
        <f t="shared" si="3"/>
        <v>3.7015437499999984E-2</v>
      </c>
      <c r="R27" s="48">
        <f t="shared" si="3"/>
        <v>3.4164665624999979E-2</v>
      </c>
      <c r="S27" s="48">
        <f t="shared" si="3"/>
        <v>3.1456432343749979E-2</v>
      </c>
      <c r="T27" s="48">
        <f t="shared" si="3"/>
        <v>2.8883610726562484E-2</v>
      </c>
      <c r="U27" s="48">
        <f t="shared" si="3"/>
        <v>2.6439430190234359E-2</v>
      </c>
      <c r="V27" s="48">
        <f t="shared" si="3"/>
        <v>2.4117458680722643E-2</v>
      </c>
    </row>
    <row r="28" spans="1:22" x14ac:dyDescent="0.2">
      <c r="B28" s="44" t="s">
        <v>170</v>
      </c>
      <c r="C28" s="45"/>
      <c r="I28" s="11"/>
      <c r="J28" s="11"/>
      <c r="K28" s="11"/>
      <c r="L28" s="11"/>
      <c r="M28" s="48">
        <v>7.0000000000000007E-2</v>
      </c>
      <c r="N28" s="48">
        <f>+M28*(1-5%)</f>
        <v>6.6500000000000004E-2</v>
      </c>
      <c r="O28" s="48">
        <f t="shared" ref="O28:V28" si="4">+N28*(1-5%)</f>
        <v>6.3174999999999995E-2</v>
      </c>
      <c r="P28" s="48">
        <f t="shared" si="4"/>
        <v>6.0016249999999993E-2</v>
      </c>
      <c r="Q28" s="48">
        <f t="shared" si="4"/>
        <v>5.7015437499999988E-2</v>
      </c>
      <c r="R28" s="48">
        <f t="shared" si="4"/>
        <v>5.4164665624999983E-2</v>
      </c>
      <c r="S28" s="48">
        <f t="shared" si="4"/>
        <v>5.1456432343749983E-2</v>
      </c>
      <c r="T28" s="48">
        <f t="shared" si="4"/>
        <v>4.8883610726562485E-2</v>
      </c>
      <c r="U28" s="48">
        <f t="shared" si="4"/>
        <v>4.643943019023436E-2</v>
      </c>
      <c r="V28" s="48">
        <f t="shared" si="4"/>
        <v>4.4117458680722643E-2</v>
      </c>
    </row>
    <row r="29" spans="1:22" x14ac:dyDescent="0.2">
      <c r="B29" s="44" t="s">
        <v>171</v>
      </c>
      <c r="C29" s="45"/>
      <c r="I29" s="11"/>
      <c r="J29" s="11"/>
      <c r="K29" s="11"/>
      <c r="L29" s="11"/>
      <c r="M29" s="48">
        <f>+M28+2%</f>
        <v>9.0000000000000011E-2</v>
      </c>
      <c r="N29" s="48">
        <f t="shared" ref="N29:V29" si="5">+N28+2%</f>
        <v>8.6500000000000007E-2</v>
      </c>
      <c r="O29" s="48">
        <f t="shared" si="5"/>
        <v>8.3174999999999999E-2</v>
      </c>
      <c r="P29" s="48">
        <f t="shared" si="5"/>
        <v>8.0016249999999997E-2</v>
      </c>
      <c r="Q29" s="48">
        <f t="shared" si="5"/>
        <v>7.7015437499999992E-2</v>
      </c>
      <c r="R29" s="48">
        <f t="shared" si="5"/>
        <v>7.4164665624999987E-2</v>
      </c>
      <c r="S29" s="48">
        <f t="shared" si="5"/>
        <v>7.1456432343749987E-2</v>
      </c>
      <c r="T29" s="48">
        <f t="shared" si="5"/>
        <v>6.8883610726562489E-2</v>
      </c>
      <c r="U29" s="48">
        <f t="shared" si="5"/>
        <v>6.6439430190234364E-2</v>
      </c>
      <c r="V29" s="48">
        <f t="shared" si="5"/>
        <v>6.4117458680722647E-2</v>
      </c>
    </row>
    <row r="31" spans="1:22" x14ac:dyDescent="0.2">
      <c r="B31" s="2" t="s">
        <v>159</v>
      </c>
      <c r="G31" s="17">
        <f>+Model!W28</f>
        <v>2719</v>
      </c>
      <c r="H31" s="17">
        <f>+Model!X28</f>
        <v>3289</v>
      </c>
      <c r="I31" s="17">
        <f>+Model!Y28</f>
        <v>4262</v>
      </c>
      <c r="J31" s="17">
        <f>+Model!Z28</f>
        <v>3837</v>
      </c>
      <c r="K31" s="17">
        <f>+Model!AA28</f>
        <v>5028</v>
      </c>
      <c r="L31" s="17">
        <f>+Model!AB28</f>
        <v>5325</v>
      </c>
      <c r="M31" s="17">
        <f ca="1">M32*M25</f>
        <v>5783.8743000000004</v>
      </c>
      <c r="N31" s="17">
        <f t="shared" ref="N31:V31" ca="1" si="6">N32*N25</f>
        <v>6476.9270379975005</v>
      </c>
      <c r="O31" s="17">
        <f t="shared" ca="1" si="6"/>
        <v>7230.4122488041421</v>
      </c>
      <c r="P31" s="17">
        <f t="shared" ca="1" si="6"/>
        <v>8047.5722018280048</v>
      </c>
      <c r="Q31" s="17">
        <f t="shared" ca="1" si="6"/>
        <v>8644.8883570983362</v>
      </c>
      <c r="R31" s="17">
        <f t="shared" ca="1" si="6"/>
        <v>9113.1358443260215</v>
      </c>
      <c r="S31" s="17">
        <f t="shared" ca="1" si="6"/>
        <v>9582.0653023389877</v>
      </c>
      <c r="T31" s="17">
        <f t="shared" ca="1" si="6"/>
        <v>10050.471252535026</v>
      </c>
      <c r="U31" s="17">
        <f t="shared" ca="1" si="6"/>
        <v>10517.209410646086</v>
      </c>
      <c r="V31" s="17">
        <f t="shared" ca="1" si="6"/>
        <v>10981.201962256773</v>
      </c>
    </row>
    <row r="32" spans="1:22" x14ac:dyDescent="0.2">
      <c r="B32" s="44" t="s">
        <v>172</v>
      </c>
      <c r="G32" s="47">
        <f>G31/G25</f>
        <v>0.15299347287868556</v>
      </c>
      <c r="H32" s="47">
        <f t="shared" ref="H32:L32" si="7">H31/H25</f>
        <v>0.15330474503589075</v>
      </c>
      <c r="I32" s="47">
        <f t="shared" si="7"/>
        <v>0.16798707185369122</v>
      </c>
      <c r="J32" s="47">
        <f t="shared" si="7"/>
        <v>0.13943600552365723</v>
      </c>
      <c r="K32" s="47">
        <f t="shared" si="7"/>
        <v>0.16888918746431092</v>
      </c>
      <c r="L32" s="47">
        <f t="shared" si="7"/>
        <v>0.16746862911595434</v>
      </c>
      <c r="M32" s="47" cm="1">
        <f t="array" aca="1" ref="M32" ca="1">OFFSET(M32,$E$12,,)</f>
        <v>0.17</v>
      </c>
      <c r="N32" s="47" cm="1">
        <f t="array" aca="1" ref="N32" ca="1">OFFSET(N32,$E$12,,)</f>
        <v>0.17850000000000002</v>
      </c>
      <c r="O32" s="47" cm="1">
        <f t="array" aca="1" ref="O32" ca="1">OFFSET(O32,$E$12,,)</f>
        <v>0.18742500000000004</v>
      </c>
      <c r="P32" s="47" cm="1">
        <f t="array" aca="1" ref="P32" ca="1">OFFSET(P32,$E$12,,)</f>
        <v>0.19679625000000003</v>
      </c>
      <c r="Q32" s="47" cm="1">
        <f t="array" aca="1" ref="Q32" ca="1">OFFSET(Q32,$E$12,,)</f>
        <v>0.2</v>
      </c>
      <c r="R32" s="47" cm="1">
        <f t="array" aca="1" ref="R32" ca="1">OFFSET(R32,$E$12,,)</f>
        <v>0.2</v>
      </c>
      <c r="S32" s="47" cm="1">
        <f t="array" aca="1" ref="S32" ca="1">OFFSET(S32,$E$12,,)</f>
        <v>0.2</v>
      </c>
      <c r="T32" s="47" cm="1">
        <f t="array" aca="1" ref="T32" ca="1">OFFSET(T32,$E$12,,)</f>
        <v>0.2</v>
      </c>
      <c r="U32" s="47" cm="1">
        <f t="array" aca="1" ref="U32" ca="1">OFFSET(U32,$E$12,,)</f>
        <v>0.2</v>
      </c>
      <c r="V32" s="47" cm="1">
        <f t="array" aca="1" ref="V32" ca="1">OFFSET(V32,$E$12,,)</f>
        <v>0.2</v>
      </c>
    </row>
    <row r="33" spans="2:22" x14ac:dyDescent="0.2">
      <c r="B33" s="44" t="s">
        <v>152</v>
      </c>
      <c r="M33" s="48">
        <f>+M34-2%</f>
        <v>0.15000000000000002</v>
      </c>
      <c r="N33" s="48">
        <f t="shared" ref="N33:V33" si="8">+N34-2%</f>
        <v>0.15850000000000003</v>
      </c>
      <c r="O33" s="48">
        <f t="shared" si="8"/>
        <v>0.16742500000000005</v>
      </c>
      <c r="P33" s="48">
        <f t="shared" si="8"/>
        <v>0.17679625000000004</v>
      </c>
      <c r="Q33" s="48">
        <f t="shared" si="8"/>
        <v>0.18000000000000002</v>
      </c>
      <c r="R33" s="48">
        <f t="shared" si="8"/>
        <v>0.18000000000000002</v>
      </c>
      <c r="S33" s="48">
        <f t="shared" si="8"/>
        <v>0.18000000000000002</v>
      </c>
      <c r="T33" s="48">
        <f t="shared" si="8"/>
        <v>0.18000000000000002</v>
      </c>
      <c r="U33" s="48">
        <f t="shared" si="8"/>
        <v>0.18000000000000002</v>
      </c>
      <c r="V33" s="48">
        <f t="shared" si="8"/>
        <v>0.18000000000000002</v>
      </c>
    </row>
    <row r="34" spans="2:22" x14ac:dyDescent="0.2">
      <c r="B34" s="44" t="s">
        <v>170</v>
      </c>
      <c r="M34" s="48">
        <v>0.17</v>
      </c>
      <c r="N34" s="48">
        <f>+M34*(1+5%)</f>
        <v>0.17850000000000002</v>
      </c>
      <c r="O34" s="48">
        <f t="shared" ref="O34:P34" si="9">+N34*(1+5%)</f>
        <v>0.18742500000000004</v>
      </c>
      <c r="P34" s="48">
        <f t="shared" si="9"/>
        <v>0.19679625000000003</v>
      </c>
      <c r="Q34" s="48">
        <v>0.2</v>
      </c>
      <c r="R34" s="48">
        <v>0.2</v>
      </c>
      <c r="S34" s="48">
        <v>0.2</v>
      </c>
      <c r="T34" s="48">
        <v>0.2</v>
      </c>
      <c r="U34" s="48">
        <v>0.2</v>
      </c>
      <c r="V34" s="48">
        <v>0.2</v>
      </c>
    </row>
    <row r="35" spans="2:22" x14ac:dyDescent="0.2">
      <c r="B35" s="44" t="s">
        <v>171</v>
      </c>
      <c r="M35" s="48">
        <f>+M34+2%</f>
        <v>0.19</v>
      </c>
      <c r="N35" s="48">
        <f t="shared" ref="N35:V35" si="10">+N34+2%</f>
        <v>0.19850000000000001</v>
      </c>
      <c r="O35" s="48">
        <f t="shared" si="10"/>
        <v>0.20742500000000003</v>
      </c>
      <c r="P35" s="48">
        <f t="shared" si="10"/>
        <v>0.21679625000000002</v>
      </c>
      <c r="Q35" s="48">
        <f t="shared" si="10"/>
        <v>0.22</v>
      </c>
      <c r="R35" s="48">
        <f t="shared" si="10"/>
        <v>0.22</v>
      </c>
      <c r="S35" s="48">
        <f t="shared" si="10"/>
        <v>0.22</v>
      </c>
      <c r="T35" s="48">
        <f t="shared" si="10"/>
        <v>0.22</v>
      </c>
      <c r="U35" s="48">
        <f t="shared" si="10"/>
        <v>0.22</v>
      </c>
      <c r="V35" s="48">
        <f t="shared" si="10"/>
        <v>0.22</v>
      </c>
    </row>
    <row r="37" spans="2:22" x14ac:dyDescent="0.2">
      <c r="B37" s="2" t="s">
        <v>173</v>
      </c>
      <c r="G37" s="17">
        <f>+Model!W31</f>
        <v>539</v>
      </c>
      <c r="H37" s="17">
        <f>+Model!X31</f>
        <v>863</v>
      </c>
      <c r="I37" s="17">
        <f>+Model!Y31</f>
        <v>-70</v>
      </c>
      <c r="J37" s="17">
        <f>+Model!Z31</f>
        <v>947</v>
      </c>
      <c r="K37" s="17">
        <f>+Model!AA31</f>
        <v>1165</v>
      </c>
      <c r="L37" s="17">
        <f>+Model!AB31</f>
        <v>1182</v>
      </c>
      <c r="M37" s="17">
        <f ca="1">M38*M31</f>
        <v>1272.452346</v>
      </c>
      <c r="N37" s="17">
        <f t="shared" ref="N37:V37" ca="1" si="11">N38*N31</f>
        <v>1424.9239483594502</v>
      </c>
      <c r="O37" s="17">
        <f t="shared" ca="1" si="11"/>
        <v>1590.6906947369114</v>
      </c>
      <c r="P37" s="17">
        <f t="shared" ca="1" si="11"/>
        <v>1770.465884402161</v>
      </c>
      <c r="Q37" s="17">
        <f t="shared" ca="1" si="11"/>
        <v>1901.8754385616339</v>
      </c>
      <c r="R37" s="17">
        <f t="shared" ca="1" si="11"/>
        <v>2004.8898857517247</v>
      </c>
      <c r="S37" s="17">
        <f t="shared" ca="1" si="11"/>
        <v>2108.0543665145774</v>
      </c>
      <c r="T37" s="17">
        <f t="shared" ca="1" si="11"/>
        <v>2211.1036755577056</v>
      </c>
      <c r="U37" s="17">
        <f t="shared" ca="1" si="11"/>
        <v>2313.7860703421388</v>
      </c>
      <c r="V37" s="17">
        <f t="shared" ca="1" si="11"/>
        <v>2415.8644316964901</v>
      </c>
    </row>
    <row r="38" spans="2:22" x14ac:dyDescent="0.2">
      <c r="B38" s="45" t="s">
        <v>174</v>
      </c>
      <c r="G38" s="47">
        <f t="shared" ref="G38:L38" si="12">G37/G31</f>
        <v>0.19823464509010666</v>
      </c>
      <c r="H38" s="47">
        <f t="shared" si="12"/>
        <v>0.26238978412891456</v>
      </c>
      <c r="I38" s="47">
        <f t="shared" si="12"/>
        <v>-1.642421398404505E-2</v>
      </c>
      <c r="J38" s="47">
        <f t="shared" si="12"/>
        <v>0.24680740161584572</v>
      </c>
      <c r="K38" s="47">
        <f t="shared" si="12"/>
        <v>0.23170246618933971</v>
      </c>
      <c r="L38" s="47">
        <f t="shared" si="12"/>
        <v>0.2219718309859155</v>
      </c>
      <c r="M38" s="47">
        <v>0.22</v>
      </c>
      <c r="N38" s="47">
        <v>0.22</v>
      </c>
      <c r="O38" s="47">
        <v>0.22</v>
      </c>
      <c r="P38" s="47">
        <v>0.22</v>
      </c>
      <c r="Q38" s="47">
        <v>0.22</v>
      </c>
      <c r="R38" s="47">
        <v>0.22</v>
      </c>
      <c r="S38" s="47">
        <v>0.22</v>
      </c>
      <c r="T38" s="47">
        <v>0.22</v>
      </c>
      <c r="U38" s="47">
        <v>0.22</v>
      </c>
      <c r="V38" s="47">
        <v>0.22</v>
      </c>
    </row>
    <row r="39" spans="2:22" x14ac:dyDescent="0.2">
      <c r="B39" s="45"/>
    </row>
    <row r="40" spans="2:22" x14ac:dyDescent="0.2">
      <c r="B40" s="49" t="s">
        <v>175</v>
      </c>
      <c r="C40" s="50"/>
      <c r="D40" s="50"/>
      <c r="E40" s="50"/>
      <c r="F40" s="50"/>
      <c r="G40" s="51">
        <f t="shared" ref="G40:V40" si="13">G31-G37</f>
        <v>2180</v>
      </c>
      <c r="H40" s="51">
        <f t="shared" si="13"/>
        <v>2426</v>
      </c>
      <c r="I40" s="51">
        <f t="shared" si="13"/>
        <v>4332</v>
      </c>
      <c r="J40" s="51">
        <f t="shared" si="13"/>
        <v>2890</v>
      </c>
      <c r="K40" s="51">
        <f t="shared" si="13"/>
        <v>3863</v>
      </c>
      <c r="L40" s="51">
        <f t="shared" si="13"/>
        <v>4143</v>
      </c>
      <c r="M40" s="51">
        <f t="shared" ca="1" si="13"/>
        <v>4511.4219540000004</v>
      </c>
      <c r="N40" s="51">
        <f t="shared" ca="1" si="13"/>
        <v>5052.0030896380504</v>
      </c>
      <c r="O40" s="51">
        <f t="shared" ca="1" si="13"/>
        <v>5639.7215540672305</v>
      </c>
      <c r="P40" s="51">
        <f t="shared" ca="1" si="13"/>
        <v>6277.1063174258434</v>
      </c>
      <c r="Q40" s="51">
        <f t="shared" ca="1" si="13"/>
        <v>6743.0129185367023</v>
      </c>
      <c r="R40" s="51">
        <f t="shared" ca="1" si="13"/>
        <v>7108.2459585742963</v>
      </c>
      <c r="S40" s="51">
        <f t="shared" ca="1" si="13"/>
        <v>7474.0109358244099</v>
      </c>
      <c r="T40" s="51">
        <f t="shared" ca="1" si="13"/>
        <v>7839.3675769773199</v>
      </c>
      <c r="U40" s="51">
        <f t="shared" ca="1" si="13"/>
        <v>8203.423340303947</v>
      </c>
      <c r="V40" s="52">
        <f t="shared" ca="1" si="13"/>
        <v>8565.3375305602822</v>
      </c>
    </row>
    <row r="42" spans="2:22" x14ac:dyDescent="0.2">
      <c r="B42" s="2" t="s">
        <v>176</v>
      </c>
      <c r="G42" s="17">
        <f>+Model!W76</f>
        <v>912</v>
      </c>
      <c r="H42" s="17">
        <f>+Model!X76</f>
        <v>1189</v>
      </c>
      <c r="I42" s="17">
        <f>+Model!Y76</f>
        <v>1265</v>
      </c>
      <c r="J42" s="17">
        <f>+Model!Z76</f>
        <v>1317</v>
      </c>
      <c r="K42" s="17">
        <f>+Model!AA76</f>
        <v>1072</v>
      </c>
      <c r="L42" s="17">
        <f>+Model!AB76</f>
        <v>1032</v>
      </c>
      <c r="M42" s="17">
        <f ca="1">M43*M25</f>
        <v>1360.9116000000001</v>
      </c>
      <c r="N42" s="17">
        <f t="shared" ref="N42:V42" ca="1" si="14">N43*N25</f>
        <v>1451.4122213999999</v>
      </c>
      <c r="O42" s="17">
        <f t="shared" ca="1" si="14"/>
        <v>1543.1051884869448</v>
      </c>
      <c r="P42" s="17">
        <f t="shared" ca="1" si="14"/>
        <v>1635.7165752554743</v>
      </c>
      <c r="Q42" s="17">
        <f t="shared" ca="1" si="14"/>
        <v>1728.9776714196671</v>
      </c>
      <c r="R42" s="17">
        <f t="shared" ca="1" si="14"/>
        <v>1822.6271688652041</v>
      </c>
      <c r="S42" s="17">
        <f t="shared" ca="1" si="14"/>
        <v>1916.4130604677973</v>
      </c>
      <c r="T42" s="17">
        <f t="shared" ca="1" si="14"/>
        <v>2010.0942505070052</v>
      </c>
      <c r="U42" s="17">
        <f t="shared" ca="1" si="14"/>
        <v>2103.441882129217</v>
      </c>
      <c r="V42" s="17">
        <f t="shared" ca="1" si="14"/>
        <v>2196.2403924513546</v>
      </c>
    </row>
    <row r="43" spans="2:22" x14ac:dyDescent="0.2">
      <c r="B43" s="44" t="s">
        <v>172</v>
      </c>
      <c r="C43" s="46"/>
      <c r="D43" s="46"/>
      <c r="E43" s="46"/>
      <c r="F43" s="46"/>
      <c r="G43" s="53">
        <f t="shared" ref="G43:L43" si="15">G42/G25</f>
        <v>5.1316677920324107E-2</v>
      </c>
      <c r="H43" s="53">
        <f t="shared" si="15"/>
        <v>5.5420900531369444E-2</v>
      </c>
      <c r="I43" s="53">
        <f t="shared" si="15"/>
        <v>4.9860076465255608E-2</v>
      </c>
      <c r="J43" s="53">
        <f t="shared" si="15"/>
        <v>4.7859582818518785E-2</v>
      </c>
      <c r="K43" s="53">
        <f t="shared" si="15"/>
        <v>3.6008195895334383E-2</v>
      </c>
      <c r="L43" s="53">
        <f t="shared" si="15"/>
        <v>3.2455892065289177E-2</v>
      </c>
      <c r="M43" s="54">
        <v>0.04</v>
      </c>
      <c r="N43" s="54">
        <v>0.04</v>
      </c>
      <c r="O43" s="54">
        <v>0.04</v>
      </c>
      <c r="P43" s="54">
        <v>0.04</v>
      </c>
      <c r="Q43" s="54">
        <v>0.04</v>
      </c>
      <c r="R43" s="54">
        <v>0.04</v>
      </c>
      <c r="S43" s="54">
        <v>0.04</v>
      </c>
      <c r="T43" s="54">
        <v>0.04</v>
      </c>
      <c r="U43" s="54">
        <v>0.04</v>
      </c>
      <c r="V43" s="54">
        <v>0.04</v>
      </c>
    </row>
    <row r="45" spans="2:22" x14ac:dyDescent="0.2">
      <c r="B45" s="2" t="s">
        <v>96</v>
      </c>
      <c r="G45" s="17">
        <f>+Model!W92</f>
        <v>-704</v>
      </c>
      <c r="H45" s="17">
        <f>+Model!X92</f>
        <v>-866</v>
      </c>
      <c r="I45" s="17">
        <f>+Model!Y92</f>
        <v>-908</v>
      </c>
      <c r="J45" s="17">
        <f>+Model!Z92</f>
        <v>-706</v>
      </c>
      <c r="K45" s="17">
        <f>+Model!AA92</f>
        <v>-623</v>
      </c>
      <c r="L45" s="17">
        <f>+Model!AB92</f>
        <v>-683</v>
      </c>
      <c r="M45" s="17">
        <f ca="1">M46*M25</f>
        <v>-1020.6837</v>
      </c>
      <c r="N45" s="17">
        <f t="shared" ref="N45:V45" ca="1" si="16">N46*N25</f>
        <v>-1088.5591660499999</v>
      </c>
      <c r="O45" s="17">
        <f t="shared" ca="1" si="16"/>
        <v>-1157.3288913652086</v>
      </c>
      <c r="P45" s="17">
        <f t="shared" ca="1" si="16"/>
        <v>-1226.7874314416056</v>
      </c>
      <c r="Q45" s="17">
        <f t="shared" ca="1" si="16"/>
        <v>-1296.7332535647502</v>
      </c>
      <c r="R45" s="17">
        <f t="shared" ca="1" si="16"/>
        <v>-1366.9703766489031</v>
      </c>
      <c r="S45" s="17">
        <f t="shared" ca="1" si="16"/>
        <v>-1437.3097953508479</v>
      </c>
      <c r="T45" s="17">
        <f t="shared" ca="1" si="16"/>
        <v>-1507.5706878802539</v>
      </c>
      <c r="U45" s="17">
        <f t="shared" ca="1" si="16"/>
        <v>-1577.5814115969126</v>
      </c>
      <c r="V45" s="17">
        <f t="shared" ca="1" si="16"/>
        <v>-1647.1802943385158</v>
      </c>
    </row>
    <row r="46" spans="2:22" x14ac:dyDescent="0.2">
      <c r="B46" s="44" t="s">
        <v>172</v>
      </c>
      <c r="G46" s="53">
        <f t="shared" ref="G46:L46" si="17">G45/G25</f>
        <v>-3.9612874184109838E-2</v>
      </c>
      <c r="H46" s="53">
        <f t="shared" si="17"/>
        <v>-4.0365433019483546E-2</v>
      </c>
      <c r="I46" s="53">
        <f t="shared" si="17"/>
        <v>-3.5788892830396907E-2</v>
      </c>
      <c r="J46" s="53">
        <f t="shared" si="17"/>
        <v>-2.5655934297550694E-2</v>
      </c>
      <c r="K46" s="53">
        <f t="shared" si="17"/>
        <v>-2.0926404890665412E-2</v>
      </c>
      <c r="L46" s="53">
        <f t="shared" si="17"/>
        <v>-2.1480013837783439E-2</v>
      </c>
      <c r="M46" s="54">
        <v>-0.03</v>
      </c>
      <c r="N46" s="54">
        <v>-0.03</v>
      </c>
      <c r="O46" s="54">
        <v>-0.03</v>
      </c>
      <c r="P46" s="54">
        <v>-0.03</v>
      </c>
      <c r="Q46" s="54">
        <v>-0.03</v>
      </c>
      <c r="R46" s="54">
        <v>-0.03</v>
      </c>
      <c r="S46" s="54">
        <v>-0.03</v>
      </c>
      <c r="T46" s="54">
        <v>-0.03</v>
      </c>
      <c r="U46" s="54">
        <v>-0.03</v>
      </c>
      <c r="V46" s="54">
        <v>-0.03</v>
      </c>
    </row>
    <row r="48" spans="2:22" x14ac:dyDescent="0.2">
      <c r="B48" s="2" t="s">
        <v>94</v>
      </c>
      <c r="G48" s="17">
        <f>+Model!W90</f>
        <v>-1075</v>
      </c>
      <c r="H48" s="17">
        <f>+Model!X90</f>
        <v>-952</v>
      </c>
      <c r="I48" s="17">
        <f>+Model!Y90</f>
        <v>-1102</v>
      </c>
      <c r="J48" s="17">
        <f>+Model!Z90</f>
        <v>-454</v>
      </c>
      <c r="K48" s="17">
        <f>+Model!AA90</f>
        <v>-1314</v>
      </c>
      <c r="L48" s="17">
        <f>+Model!AB90</f>
        <v>-558</v>
      </c>
      <c r="M48" s="17">
        <f ca="1">M49*M25</f>
        <v>-680.45580000000007</v>
      </c>
      <c r="N48" s="17">
        <f t="shared" ref="N48:V48" ca="1" si="18">N49*N25</f>
        <v>-725.70611069999995</v>
      </c>
      <c r="O48" s="17">
        <f t="shared" ca="1" si="18"/>
        <v>-771.55259424347241</v>
      </c>
      <c r="P48" s="17">
        <f t="shared" ca="1" si="18"/>
        <v>-817.85828762773713</v>
      </c>
      <c r="Q48" s="17">
        <f t="shared" ca="1" si="18"/>
        <v>-864.48883570983355</v>
      </c>
      <c r="R48" s="17">
        <f t="shared" ca="1" si="18"/>
        <v>-911.31358443260206</v>
      </c>
      <c r="S48" s="17">
        <f t="shared" ca="1" si="18"/>
        <v>-958.20653023389866</v>
      </c>
      <c r="T48" s="17">
        <f t="shared" ca="1" si="18"/>
        <v>-1005.0471252535026</v>
      </c>
      <c r="U48" s="17">
        <f t="shared" ca="1" si="18"/>
        <v>-1051.7209410646085</v>
      </c>
      <c r="V48" s="17">
        <f t="shared" ca="1" si="18"/>
        <v>-1098.1201962256773</v>
      </c>
    </row>
    <row r="49" spans="2:24" x14ac:dyDescent="0.2">
      <c r="B49" s="44" t="s">
        <v>172</v>
      </c>
      <c r="G49" s="53">
        <f t="shared" ref="G49:L49" si="19">G48/G25</f>
        <v>-6.0488408732838173E-2</v>
      </c>
      <c r="H49" s="53">
        <f t="shared" si="19"/>
        <v>-4.4374009508716325E-2</v>
      </c>
      <c r="I49" s="53">
        <f t="shared" si="19"/>
        <v>-4.3435418391076425E-2</v>
      </c>
      <c r="J49" s="53">
        <f t="shared" si="19"/>
        <v>-1.649829202703685E-2</v>
      </c>
      <c r="K49" s="53">
        <f t="shared" si="19"/>
        <v>-4.4136911759766216E-2</v>
      </c>
      <c r="L49" s="53">
        <f t="shared" si="19"/>
        <v>-1.7548825360883102E-2</v>
      </c>
      <c r="M49" s="54">
        <v>-0.02</v>
      </c>
      <c r="N49" s="54">
        <v>-0.02</v>
      </c>
      <c r="O49" s="54">
        <v>-0.02</v>
      </c>
      <c r="P49" s="54">
        <v>-0.02</v>
      </c>
      <c r="Q49" s="54">
        <v>-0.02</v>
      </c>
      <c r="R49" s="54">
        <v>-0.02</v>
      </c>
      <c r="S49" s="54">
        <v>-0.02</v>
      </c>
      <c r="T49" s="54">
        <v>-0.02</v>
      </c>
      <c r="U49" s="54">
        <v>-0.02</v>
      </c>
      <c r="V49" s="54">
        <v>-0.02</v>
      </c>
    </row>
    <row r="51" spans="2:24" x14ac:dyDescent="0.2">
      <c r="B51" s="55" t="s">
        <v>177</v>
      </c>
      <c r="C51" s="56"/>
      <c r="D51" s="56"/>
      <c r="E51" s="56"/>
      <c r="F51" s="56"/>
      <c r="G51" s="57">
        <f>G40+G42+G45+G48</f>
        <v>1313</v>
      </c>
      <c r="H51" s="57">
        <f t="shared" ref="H51:U51" si="20">H40+H42+H45+H48</f>
        <v>1797</v>
      </c>
      <c r="I51" s="57">
        <f t="shared" si="20"/>
        <v>3587</v>
      </c>
      <c r="J51" s="57">
        <f t="shared" si="20"/>
        <v>3047</v>
      </c>
      <c r="K51" s="57">
        <f t="shared" si="20"/>
        <v>2998</v>
      </c>
      <c r="L51" s="57">
        <f t="shared" si="20"/>
        <v>3934</v>
      </c>
      <c r="M51" s="57">
        <f ca="1">M40+M42+M45+M48</f>
        <v>4171.1940540000014</v>
      </c>
      <c r="N51" s="57">
        <f t="shared" ca="1" si="20"/>
        <v>4689.1500342880508</v>
      </c>
      <c r="O51" s="57">
        <f t="shared" ca="1" si="20"/>
        <v>5253.9452569454943</v>
      </c>
      <c r="P51" s="57">
        <f t="shared" ca="1" si="20"/>
        <v>5868.1771736119745</v>
      </c>
      <c r="Q51" s="57">
        <f t="shared" ca="1" si="20"/>
        <v>6310.7685006817856</v>
      </c>
      <c r="R51" s="57">
        <f t="shared" ca="1" si="20"/>
        <v>6652.5891663579951</v>
      </c>
      <c r="S51" s="57">
        <f t="shared" ca="1" si="20"/>
        <v>6994.907670707461</v>
      </c>
      <c r="T51" s="57">
        <f t="shared" ca="1" si="20"/>
        <v>7336.8440143505686</v>
      </c>
      <c r="U51" s="57">
        <f t="shared" ca="1" si="20"/>
        <v>7677.562869771642</v>
      </c>
      <c r="V51" s="58">
        <f ca="1">V40+V42+V45+V48</f>
        <v>8016.277432447444</v>
      </c>
    </row>
    <row r="52" spans="2:24" x14ac:dyDescent="0.2">
      <c r="B52" s="59" t="s">
        <v>178</v>
      </c>
      <c r="C52" s="60"/>
      <c r="D52" s="60"/>
      <c r="E52" s="60"/>
      <c r="F52" s="60"/>
      <c r="G52" s="61"/>
      <c r="H52" s="61"/>
      <c r="I52" s="61"/>
      <c r="J52" s="61"/>
      <c r="K52" s="61"/>
      <c r="L52" s="61"/>
      <c r="M52" s="61">
        <f ca="1">(M51/(1+$E$18)^M53)*M53</f>
        <v>2292.9629116079386</v>
      </c>
      <c r="N52" s="61">
        <f ca="1">N51/(1+$E$18)^N53</f>
        <v>4093.015901711593</v>
      </c>
      <c r="O52" s="61">
        <f t="shared" ref="O52:U52" ca="1" si="21">O51/(1+$E$18)^O53</f>
        <v>4207.3471632600258</v>
      </c>
      <c r="P52" s="61">
        <f t="shared" ca="1" si="21"/>
        <v>4311.2134458858036</v>
      </c>
      <c r="Q52" s="61">
        <f t="shared" ca="1" si="21"/>
        <v>4253.5550569258476</v>
      </c>
      <c r="R52" s="61">
        <f t="shared" ca="1" si="21"/>
        <v>4113.7132516529928</v>
      </c>
      <c r="S52" s="61">
        <f t="shared" ca="1" si="21"/>
        <v>3968.2479442828103</v>
      </c>
      <c r="T52" s="61">
        <f t="shared" ca="1" si="21"/>
        <v>3818.5598459244143</v>
      </c>
      <c r="U52" s="61">
        <f t="shared" ca="1" si="21"/>
        <v>3665.9555865288567</v>
      </c>
      <c r="V52" s="62">
        <f ca="1">V51/(1+$E$18)^V53</f>
        <v>3511.6405785714746</v>
      </c>
    </row>
    <row r="53" spans="2:24" x14ac:dyDescent="0.2">
      <c r="B53" s="2" t="s">
        <v>179</v>
      </c>
      <c r="M53" s="23">
        <f ca="1">YEARFRAC(E4,E5)</f>
        <v>0.57777777777777772</v>
      </c>
      <c r="N53" s="23">
        <f ca="1">M53+1</f>
        <v>1.5777777777777777</v>
      </c>
      <c r="O53" s="23">
        <f ca="1">N53+1</f>
        <v>2.5777777777777775</v>
      </c>
      <c r="P53" s="23">
        <f t="shared" ref="P53:V53" ca="1" si="22">O53+1</f>
        <v>3.5777777777777775</v>
      </c>
      <c r="Q53" s="23">
        <f t="shared" ca="1" si="22"/>
        <v>4.5777777777777775</v>
      </c>
      <c r="R53" s="23">
        <f t="shared" ca="1" si="22"/>
        <v>5.5777777777777775</v>
      </c>
      <c r="S53" s="23">
        <f t="shared" ca="1" si="22"/>
        <v>6.5777777777777775</v>
      </c>
      <c r="T53" s="23">
        <f t="shared" ca="1" si="22"/>
        <v>7.5777777777777775</v>
      </c>
      <c r="U53" s="23">
        <f t="shared" ca="1" si="22"/>
        <v>8.5777777777777775</v>
      </c>
      <c r="V53" s="23">
        <f t="shared" ca="1" si="22"/>
        <v>9.5777777777777775</v>
      </c>
    </row>
    <row r="54" spans="2:24" x14ac:dyDescent="0.2">
      <c r="B54" s="2" t="s">
        <v>180</v>
      </c>
      <c r="N54" s="24"/>
      <c r="O54" s="24"/>
      <c r="P54" s="24"/>
      <c r="Q54" s="24"/>
      <c r="V54" s="17">
        <f ca="1">SUM(M52:V52)</f>
        <v>38236.211686351759</v>
      </c>
    </row>
    <row r="55" spans="2:24" x14ac:dyDescent="0.2">
      <c r="B55" s="2" t="s">
        <v>181</v>
      </c>
      <c r="N55" s="24"/>
      <c r="O55" s="24"/>
      <c r="P55" s="24"/>
      <c r="Q55" s="24"/>
      <c r="V55" s="17">
        <f ca="1">+(V40*(1+E19))*(1-(E19/E20))/(E18-E19)</f>
        <v>101301.58810181872</v>
      </c>
      <c r="X55" s="20" t="s">
        <v>182</v>
      </c>
    </row>
    <row r="56" spans="2:24" x14ac:dyDescent="0.2">
      <c r="B56" s="31" t="s">
        <v>183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63"/>
      <c r="O56" s="63"/>
      <c r="P56" s="63"/>
      <c r="Q56" s="63"/>
      <c r="R56" s="63"/>
      <c r="S56" s="63"/>
      <c r="T56" s="63"/>
      <c r="U56" s="63"/>
      <c r="V56" s="64">
        <f ca="1">V55/(1+E18)^V53</f>
        <v>44376.553886742266</v>
      </c>
    </row>
    <row r="57" spans="2:24" x14ac:dyDescent="0.2">
      <c r="B57" s="27" t="s">
        <v>184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65"/>
      <c r="O57" s="65"/>
      <c r="P57" s="65"/>
      <c r="Q57" s="65"/>
      <c r="R57" s="65"/>
      <c r="S57" s="65"/>
      <c r="T57" s="65"/>
      <c r="U57" s="65"/>
      <c r="V57" s="66">
        <f ca="1">V54+V56</f>
        <v>82612.765573094017</v>
      </c>
    </row>
    <row r="58" spans="2:24" x14ac:dyDescent="0.2">
      <c r="B58" s="2" t="s">
        <v>185</v>
      </c>
      <c r="N58" s="24"/>
      <c r="O58" s="24"/>
      <c r="P58" s="24"/>
      <c r="Q58" s="24"/>
      <c r="V58" s="67">
        <f>+Main!I5</f>
        <v>11256</v>
      </c>
    </row>
    <row r="59" spans="2:24" x14ac:dyDescent="0.2">
      <c r="B59" s="31" t="s">
        <v>186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63"/>
      <c r="O59" s="63"/>
      <c r="P59" s="63"/>
      <c r="Q59" s="63"/>
      <c r="R59" s="63"/>
      <c r="S59" s="63"/>
      <c r="T59" s="63"/>
      <c r="U59" s="63"/>
      <c r="V59" s="64">
        <f>+Main!I6</f>
        <v>13400</v>
      </c>
    </row>
    <row r="60" spans="2:24" x14ac:dyDescent="0.2">
      <c r="B60" s="2" t="s">
        <v>187</v>
      </c>
      <c r="N60" s="24"/>
      <c r="O60" s="24"/>
      <c r="P60" s="24"/>
      <c r="Q60" s="24"/>
      <c r="V60" s="67">
        <f ca="1">V57+V58-V59</f>
        <v>80468.765573094017</v>
      </c>
    </row>
    <row r="61" spans="2:24" x14ac:dyDescent="0.2">
      <c r="B61" s="31" t="s">
        <v>188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63"/>
      <c r="O61" s="63"/>
      <c r="P61" s="63"/>
      <c r="Q61" s="63"/>
      <c r="R61" s="63"/>
      <c r="S61" s="63"/>
      <c r="T61" s="63"/>
      <c r="U61" s="63"/>
      <c r="V61" s="64">
        <f>+Main!I3</f>
        <v>887</v>
      </c>
    </row>
    <row r="62" spans="2:24" x14ac:dyDescent="0.2">
      <c r="B62" s="2" t="s">
        <v>143</v>
      </c>
      <c r="V62" s="67">
        <f ca="1">V60/V61</f>
        <v>90.720141570568231</v>
      </c>
    </row>
    <row r="66" spans="1:22" x14ac:dyDescent="0.2">
      <c r="A66" s="38" t="s">
        <v>149</v>
      </c>
      <c r="B66" s="25" t="s">
        <v>189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8" spans="1:22" x14ac:dyDescent="0.2">
      <c r="B68" s="68"/>
      <c r="C68" s="81" t="s">
        <v>162</v>
      </c>
      <c r="D68" s="81"/>
      <c r="E68" s="81"/>
      <c r="F68" s="81"/>
      <c r="G68" s="81"/>
      <c r="H68" s="81"/>
      <c r="I68" s="81"/>
      <c r="J68" s="82"/>
      <c r="M68" s="68"/>
      <c r="N68" s="83" t="s">
        <v>190</v>
      </c>
      <c r="O68" s="83"/>
      <c r="P68" s="83"/>
      <c r="Q68" s="83"/>
      <c r="R68" s="83"/>
      <c r="S68" s="83"/>
      <c r="T68" s="83"/>
      <c r="U68" s="84"/>
    </row>
    <row r="69" spans="1:22" x14ac:dyDescent="0.2">
      <c r="B69" s="85" t="s">
        <v>160</v>
      </c>
      <c r="C69" s="69">
        <f ca="1">+J4</f>
        <v>90.720141570568231</v>
      </c>
      <c r="D69" s="70">
        <v>0.01</v>
      </c>
      <c r="E69" s="70">
        <v>1.4999999999999999E-2</v>
      </c>
      <c r="F69" s="70">
        <v>0.02</v>
      </c>
      <c r="G69" s="70">
        <v>2.5000000000000001E-2</v>
      </c>
      <c r="H69" s="70">
        <v>0.03</v>
      </c>
      <c r="I69" s="70">
        <v>3.5000000000000003E-2</v>
      </c>
      <c r="J69" s="70">
        <v>0.04</v>
      </c>
      <c r="M69" s="85" t="s">
        <v>160</v>
      </c>
      <c r="N69" s="69">
        <f ca="1">+J4</f>
        <v>90.720141570568231</v>
      </c>
      <c r="O69" s="70">
        <v>7.0000000000000007E-2</v>
      </c>
      <c r="P69" s="70">
        <v>0.08</v>
      </c>
      <c r="Q69" s="70">
        <v>0.09</v>
      </c>
      <c r="R69" s="70">
        <v>0.1</v>
      </c>
      <c r="S69" s="70">
        <v>0.11</v>
      </c>
      <c r="T69" s="70">
        <v>0.12</v>
      </c>
      <c r="U69" s="70">
        <v>0.13</v>
      </c>
    </row>
    <row r="70" spans="1:22" x14ac:dyDescent="0.2">
      <c r="B70" s="85"/>
      <c r="C70" s="71">
        <v>7.4999999999999997E-2</v>
      </c>
      <c r="D70" s="72">
        <f t="dataTable" ref="D70:J76" dt2D="1" dtr="1" r1="E19" r2="E18" ca="1"/>
        <v>111.45991333062521</v>
      </c>
      <c r="E70" s="72">
        <v>113.36581736706754</v>
      </c>
      <c r="F70" s="72">
        <v>115.57433521920673</v>
      </c>
      <c r="G70" s="73">
        <v>118.17625103175182</v>
      </c>
      <c r="H70" s="72">
        <v>121.30269745817139</v>
      </c>
      <c r="I70" s="72">
        <v>125.15037347866848</v>
      </c>
      <c r="J70" s="72">
        <v>130.02837749070488</v>
      </c>
      <c r="M70" s="85"/>
      <c r="N70" s="71">
        <v>7.4999999999999997E-2</v>
      </c>
      <c r="O70" s="72">
        <f t="dataTable" ref="O70:U76" dt2D="1" dtr="1" r1="E20" r2="E18" ca="1"/>
        <v>107.56626883050558</v>
      </c>
      <c r="P70" s="72">
        <v>111.9870947476915</v>
      </c>
      <c r="Q70" s="72">
        <v>115.42551490550278</v>
      </c>
      <c r="R70" s="73">
        <v>118.17625103175182</v>
      </c>
      <c r="S70" s="72">
        <v>120.42685331686462</v>
      </c>
      <c r="T70" s="72">
        <v>122.30235522112532</v>
      </c>
      <c r="U70" s="72">
        <v>123.88931837088437</v>
      </c>
    </row>
    <row r="71" spans="1:22" x14ac:dyDescent="0.2">
      <c r="B71" s="85"/>
      <c r="C71" s="71">
        <v>0.08</v>
      </c>
      <c r="D71" s="72">
        <v>102.79772052766505</v>
      </c>
      <c r="E71" s="72">
        <v>104.12549972510112</v>
      </c>
      <c r="F71" s="72">
        <v>105.63607070497582</v>
      </c>
      <c r="G71" s="73">
        <v>107.37928577159057</v>
      </c>
      <c r="H71" s="72">
        <v>109.42493815096741</v>
      </c>
      <c r="I71" s="72">
        <v>111.87384028069367</v>
      </c>
      <c r="J71" s="72">
        <v>114.87721081715046</v>
      </c>
      <c r="M71" s="85"/>
      <c r="N71" s="71">
        <v>0.08</v>
      </c>
      <c r="O71" s="72">
        <v>98.153147510247408</v>
      </c>
      <c r="P71" s="72">
        <v>101.99737178580706</v>
      </c>
      <c r="Q71" s="72">
        <v>104.98732400013124</v>
      </c>
      <c r="R71" s="73">
        <v>107.37928577159057</v>
      </c>
      <c r="S71" s="72">
        <v>109.33634540278457</v>
      </c>
      <c r="T71" s="72">
        <v>110.96722842877959</v>
      </c>
      <c r="U71" s="72">
        <v>112.34720637385227</v>
      </c>
    </row>
    <row r="72" spans="1:22" x14ac:dyDescent="0.2">
      <c r="B72" s="85"/>
      <c r="C72" s="71">
        <v>8.5000000000000006E-2</v>
      </c>
      <c r="D72" s="73">
        <v>95.302658267723658</v>
      </c>
      <c r="E72" s="73">
        <v>96.208884363190052</v>
      </c>
      <c r="F72" s="73">
        <v>97.220525126421776</v>
      </c>
      <c r="G72" s="73">
        <v>98.363934224360122</v>
      </c>
      <c r="H72" s="73">
        <v>99.675048475561496</v>
      </c>
      <c r="I72" s="73">
        <v>101.20417942600479</v>
      </c>
      <c r="J72" s="73">
        <v>103.02399930877064</v>
      </c>
      <c r="M72" s="85"/>
      <c r="N72" s="71">
        <v>8.5000000000000006E-2</v>
      </c>
      <c r="O72" s="73">
        <v>90.272629800553062</v>
      </c>
      <c r="P72" s="73">
        <v>93.644006643806009</v>
      </c>
      <c r="Q72" s="73">
        <v>96.266188633002741</v>
      </c>
      <c r="R72" s="73">
        <v>98.363934224360122</v>
      </c>
      <c r="S72" s="73">
        <v>100.0802715263798</v>
      </c>
      <c r="T72" s="73">
        <v>101.51055261139621</v>
      </c>
      <c r="U72" s="73">
        <v>102.72079045256393</v>
      </c>
    </row>
    <row r="73" spans="1:22" x14ac:dyDescent="0.2">
      <c r="B73" s="85"/>
      <c r="C73" s="71">
        <v>0.09</v>
      </c>
      <c r="D73" s="72">
        <v>88.755551371826101</v>
      </c>
      <c r="E73" s="72">
        <v>89.351300808214859</v>
      </c>
      <c r="F73" s="72">
        <v>90.001941781853276</v>
      </c>
      <c r="G73" s="73">
        <v>90.720141570568231</v>
      </c>
      <c r="H73" s="72">
        <v>91.522789878128847</v>
      </c>
      <c r="I73" s="72">
        <v>92.432918118765784</v>
      </c>
      <c r="J73" s="72">
        <v>93.482770272401893</v>
      </c>
      <c r="M73" s="85"/>
      <c r="N73" s="71">
        <v>0.09</v>
      </c>
      <c r="O73" s="72">
        <v>83.573007750832005</v>
      </c>
      <c r="P73" s="72">
        <v>86.550980175722088</v>
      </c>
      <c r="Q73" s="72">
        <v>88.867180950636609</v>
      </c>
      <c r="R73" s="73">
        <v>90.720141570568231</v>
      </c>
      <c r="S73" s="72">
        <v>92.236200259603194</v>
      </c>
      <c r="T73" s="72">
        <v>93.49958250046565</v>
      </c>
      <c r="U73" s="72">
        <v>94.568598242733884</v>
      </c>
    </row>
    <row r="74" spans="1:22" x14ac:dyDescent="0.2">
      <c r="B74" s="85"/>
      <c r="C74" s="71">
        <v>9.5000000000000001E-2</v>
      </c>
      <c r="D74" s="72">
        <v>82.988806052119301</v>
      </c>
      <c r="E74" s="72">
        <v>83.354235700060997</v>
      </c>
      <c r="F74" s="72">
        <v>83.741397620344671</v>
      </c>
      <c r="G74" s="73">
        <v>84.154948728472121</v>
      </c>
      <c r="H74" s="72">
        <v>84.600978837022708</v>
      </c>
      <c r="I74" s="72">
        <v>85.087607696102211</v>
      </c>
      <c r="J74" s="72">
        <v>85.625907692218533</v>
      </c>
      <c r="M74" s="85"/>
      <c r="N74" s="71">
        <v>9.5000000000000001E-2</v>
      </c>
      <c r="O74" s="72">
        <v>77.802952437303645</v>
      </c>
      <c r="P74" s="72">
        <v>80.449617558623842</v>
      </c>
      <c r="Q74" s="72">
        <v>82.50813487520621</v>
      </c>
      <c r="R74" s="73">
        <v>84.154948728472121</v>
      </c>
      <c r="S74" s="72">
        <v>85.502341881144218</v>
      </c>
      <c r="T74" s="72">
        <v>86.625169508370959</v>
      </c>
      <c r="U74" s="72">
        <v>87.575254423716672</v>
      </c>
    </row>
    <row r="75" spans="1:22" x14ac:dyDescent="0.2">
      <c r="B75" s="85"/>
      <c r="C75" s="71">
        <v>0.1</v>
      </c>
      <c r="D75" s="72">
        <v>77.872081384146128</v>
      </c>
      <c r="E75" s="72">
        <v>78.065875651556993</v>
      </c>
      <c r="F75" s="72">
        <v>78.259669918967873</v>
      </c>
      <c r="G75" s="73">
        <v>78.453464186378724</v>
      </c>
      <c r="H75" s="72">
        <v>78.64725845378959</v>
      </c>
      <c r="I75" s="72">
        <v>78.841052721200455</v>
      </c>
      <c r="J75" s="72">
        <v>79.034846988611349</v>
      </c>
      <c r="M75" s="85"/>
      <c r="N75" s="71">
        <v>0.1</v>
      </c>
      <c r="O75" s="72">
        <v>72.778060640774683</v>
      </c>
      <c r="P75" s="72">
        <v>75.142812118109703</v>
      </c>
      <c r="Q75" s="72">
        <v>76.98206326714805</v>
      </c>
      <c r="R75" s="73">
        <v>78.453464186378724</v>
      </c>
      <c r="S75" s="72">
        <v>79.657337665749282</v>
      </c>
      <c r="T75" s="72">
        <v>80.660565565224744</v>
      </c>
      <c r="U75" s="72">
        <v>81.509450710934743</v>
      </c>
    </row>
    <row r="76" spans="1:22" x14ac:dyDescent="0.2">
      <c r="B76" s="86"/>
      <c r="C76" s="71">
        <v>0.105</v>
      </c>
      <c r="D76" s="72">
        <v>73.302485589193836</v>
      </c>
      <c r="E76" s="72">
        <v>73.36813576109985</v>
      </c>
      <c r="F76" s="72">
        <v>73.41967928449715</v>
      </c>
      <c r="G76" s="73">
        <v>73.454471162790327</v>
      </c>
      <c r="H76" s="72">
        <v>73.469161066958534</v>
      </c>
      <c r="I76" s="72">
        <v>73.459441431117895</v>
      </c>
      <c r="J76" s="72">
        <v>73.41967928449715</v>
      </c>
      <c r="M76" s="86"/>
      <c r="N76" s="71">
        <v>0.105</v>
      </c>
      <c r="O76" s="72">
        <v>68.359946127004619</v>
      </c>
      <c r="P76" s="72">
        <v>70.482664891915306</v>
      </c>
      <c r="Q76" s="72">
        <v>72.133668375734757</v>
      </c>
      <c r="R76" s="73">
        <v>73.454471162790327</v>
      </c>
      <c r="S76" s="72">
        <v>74.535127988563033</v>
      </c>
      <c r="T76" s="72">
        <v>75.435675343373646</v>
      </c>
      <c r="U76" s="72">
        <v>76.197676951290305</v>
      </c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FF57D403-FFB8-4E37-ADF1-8DC04D365971}">
      <formula1>"1,2,3"</formula1>
    </dataValidation>
  </dataValidations>
  <hyperlinks>
    <hyperlink ref="A1" location="Main!A1" display="Main" xr:uid="{68978D45-C290-4F80-AC5B-EB369BB87F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KPIs</vt:lpstr>
      <vt:lpstr>CoC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2025-01-15T13:20:32Z</dcterms:created>
  <dcterms:modified xsi:type="dcterms:W3CDTF">2026-07-28T18:00:39Z</dcterms:modified>
</cp:coreProperties>
</file>