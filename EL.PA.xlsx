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94388B7-6EF7-4FC2-A97B-02E9B0A4C81F}" xr6:coauthVersionLast="47" xr6:coauthVersionMax="47" xr10:uidLastSave="{00000000-0000-0000-0000-000000000000}"/>
  <bookViews>
    <workbookView xWindow="225" yWindow="1170" windowWidth="38175" windowHeight="15240" activeTab="1" xr2:uid="{A2E33467-68B7-409E-87D2-4F11440EDC79}"/>
  </bookViews>
  <sheets>
    <sheet name="Main" sheetId="1" r:id="rId1"/>
    <sheet name="Model" sheetId="2" r:id="rId2"/>
    <sheet name="Quar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P33" i="2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G23" i="3"/>
  <c r="G22" i="3"/>
  <c r="G21" i="3"/>
  <c r="G20" i="3"/>
  <c r="G19" i="3"/>
  <c r="G18" i="3"/>
  <c r="J16" i="3"/>
  <c r="I16" i="3"/>
  <c r="H16" i="3"/>
  <c r="F16" i="3"/>
  <c r="E16" i="3"/>
  <c r="D16" i="3"/>
  <c r="C16" i="3"/>
  <c r="G16" i="3"/>
  <c r="J8" i="3"/>
  <c r="I8" i="3"/>
  <c r="H8" i="3"/>
  <c r="F8" i="3"/>
  <c r="E8" i="3"/>
  <c r="D8" i="3"/>
  <c r="C8" i="3"/>
  <c r="G8" i="3"/>
  <c r="F32" i="2"/>
  <c r="F30" i="2"/>
  <c r="F28" i="2"/>
  <c r="F27" i="2"/>
  <c r="F26" i="2"/>
  <c r="F24" i="2"/>
  <c r="F23" i="2"/>
  <c r="F22" i="2"/>
  <c r="F21" i="2"/>
  <c r="F20" i="2"/>
  <c r="F19" i="2"/>
  <c r="F17" i="2"/>
  <c r="F15" i="2"/>
  <c r="F14" i="2"/>
  <c r="H42" i="2" s="1"/>
  <c r="F13" i="2"/>
  <c r="F12" i="2"/>
  <c r="F11" i="2"/>
  <c r="F10" i="2"/>
  <c r="O47" i="2"/>
  <c r="N47" i="2"/>
  <c r="K47" i="2"/>
  <c r="O46" i="2"/>
  <c r="N46" i="2"/>
  <c r="K46" i="2"/>
  <c r="P45" i="2"/>
  <c r="O45" i="2"/>
  <c r="N45" i="2"/>
  <c r="K45" i="2"/>
  <c r="P44" i="2"/>
  <c r="P43" i="2"/>
  <c r="P42" i="2"/>
  <c r="P41" i="2"/>
  <c r="P40" i="2"/>
  <c r="P39" i="2"/>
  <c r="P38" i="2"/>
  <c r="N44" i="2"/>
  <c r="M44" i="2"/>
  <c r="L44" i="2"/>
  <c r="K44" i="2"/>
  <c r="N43" i="2"/>
  <c r="M43" i="2"/>
  <c r="L43" i="2"/>
  <c r="K43" i="2"/>
  <c r="N42" i="2"/>
  <c r="M42" i="2"/>
  <c r="L42" i="2"/>
  <c r="K42" i="2"/>
  <c r="N41" i="2"/>
  <c r="M41" i="2"/>
  <c r="L41" i="2"/>
  <c r="K41" i="2"/>
  <c r="N40" i="2"/>
  <c r="M40" i="2"/>
  <c r="L40" i="2"/>
  <c r="K40" i="2"/>
  <c r="N39" i="2"/>
  <c r="M39" i="2"/>
  <c r="L39" i="2"/>
  <c r="K39" i="2"/>
  <c r="N38" i="2"/>
  <c r="M38" i="2"/>
  <c r="L38" i="2"/>
  <c r="K38" i="2"/>
  <c r="O44" i="2"/>
  <c r="O43" i="2"/>
  <c r="O42" i="2"/>
  <c r="O41" i="2"/>
  <c r="O40" i="2"/>
  <c r="O39" i="2"/>
  <c r="O38" i="2"/>
  <c r="P8" i="2"/>
  <c r="N8" i="2"/>
  <c r="M8" i="2"/>
  <c r="L8" i="2"/>
  <c r="K8" i="2"/>
  <c r="J8" i="2"/>
  <c r="O8" i="2"/>
  <c r="P35" i="2"/>
  <c r="N18" i="2"/>
  <c r="N25" i="2" s="1"/>
  <c r="N29" i="2" s="1"/>
  <c r="N31" i="2" s="1"/>
  <c r="N33" i="2" s="1"/>
  <c r="N35" i="2" s="1"/>
  <c r="M18" i="2"/>
  <c r="M25" i="2" s="1"/>
  <c r="M29" i="2" s="1"/>
  <c r="M31" i="2" s="1"/>
  <c r="M33" i="2" s="1"/>
  <c r="M35" i="2" s="1"/>
  <c r="L18" i="2"/>
  <c r="L45" i="2" s="1"/>
  <c r="K18" i="2"/>
  <c r="J18" i="2"/>
  <c r="P18" i="2"/>
  <c r="P25" i="2" s="1"/>
  <c r="P29" i="2" s="1"/>
  <c r="P31" i="2" s="1"/>
  <c r="O18" i="2"/>
  <c r="O25" i="2" s="1"/>
  <c r="O29" i="2" s="1"/>
  <c r="O31" i="2" s="1"/>
  <c r="O33" i="2" s="1"/>
  <c r="O35" i="2" s="1"/>
  <c r="K25" i="2"/>
  <c r="K29" i="2" s="1"/>
  <c r="K31" i="2" s="1"/>
  <c r="K33" i="2" s="1"/>
  <c r="K35" i="2" s="1"/>
  <c r="J25" i="2"/>
  <c r="J29" i="2" s="1"/>
  <c r="J31" i="2" s="1"/>
  <c r="J33" i="2" s="1"/>
  <c r="J35" i="2" s="1"/>
  <c r="H43" i="2"/>
  <c r="H41" i="2"/>
  <c r="H40" i="2"/>
  <c r="H39" i="2"/>
  <c r="H38" i="2"/>
  <c r="F43" i="2"/>
  <c r="E43" i="2"/>
  <c r="E42" i="2"/>
  <c r="F41" i="2"/>
  <c r="E41" i="2"/>
  <c r="F40" i="2"/>
  <c r="E40" i="2"/>
  <c r="F39" i="2"/>
  <c r="E39" i="2"/>
  <c r="F38" i="2"/>
  <c r="E38" i="2"/>
  <c r="G43" i="2"/>
  <c r="G42" i="2"/>
  <c r="G41" i="2"/>
  <c r="G40" i="2"/>
  <c r="G39" i="2"/>
  <c r="G38" i="2"/>
  <c r="I4" i="1"/>
  <c r="H16" i="2"/>
  <c r="E16" i="2"/>
  <c r="D16" i="2"/>
  <c r="D18" i="2" s="1"/>
  <c r="D45" i="2" s="1"/>
  <c r="C16" i="2"/>
  <c r="C18" i="2" s="1"/>
  <c r="C25" i="2" s="1"/>
  <c r="G16" i="2"/>
  <c r="G18" i="2" s="1"/>
  <c r="I7" i="1" l="1"/>
  <c r="P46" i="2"/>
  <c r="P47" i="2"/>
  <c r="F16" i="2"/>
  <c r="F42" i="2"/>
  <c r="L25" i="2"/>
  <c r="L29" i="2" s="1"/>
  <c r="L31" i="2" s="1"/>
  <c r="L33" i="2" s="1"/>
  <c r="L35" i="2" s="1"/>
  <c r="M45" i="2"/>
  <c r="M46" i="2"/>
  <c r="M47" i="2"/>
  <c r="H44" i="2"/>
  <c r="G44" i="2"/>
  <c r="E44" i="2"/>
  <c r="F44" i="2"/>
  <c r="E18" i="2"/>
  <c r="E45" i="2" s="1"/>
  <c r="F18" i="2"/>
  <c r="F45" i="2" s="1"/>
  <c r="H18" i="2"/>
  <c r="H25" i="2" s="1"/>
  <c r="H29" i="2" s="1"/>
  <c r="G45" i="2"/>
  <c r="G25" i="2"/>
  <c r="C46" i="2"/>
  <c r="C29" i="2"/>
  <c r="H46" i="2"/>
  <c r="D25" i="2"/>
  <c r="C45" i="2"/>
  <c r="L46" i="2" l="1"/>
  <c r="L47" i="2"/>
  <c r="E25" i="2"/>
  <c r="E29" i="2" s="1"/>
  <c r="H45" i="2"/>
  <c r="F25" i="2"/>
  <c r="F46" i="2" s="1"/>
  <c r="H47" i="2"/>
  <c r="H31" i="2"/>
  <c r="H33" i="2" s="1"/>
  <c r="H35" i="2" s="1"/>
  <c r="D46" i="2"/>
  <c r="D29" i="2"/>
  <c r="C47" i="2"/>
  <c r="C31" i="2"/>
  <c r="C33" i="2" s="1"/>
  <c r="C35" i="2" s="1"/>
  <c r="G29" i="2"/>
  <c r="G46" i="2"/>
  <c r="E46" i="2" l="1"/>
  <c r="F29" i="2"/>
  <c r="F31" i="2" s="1"/>
  <c r="F33" i="2" s="1"/>
  <c r="F35" i="2" s="1"/>
  <c r="G31" i="2"/>
  <c r="G33" i="2" s="1"/>
  <c r="G35" i="2" s="1"/>
  <c r="G47" i="2"/>
  <c r="E47" i="2"/>
  <c r="E31" i="2"/>
  <c r="E33" i="2" s="1"/>
  <c r="E35" i="2" s="1"/>
  <c r="D47" i="2"/>
  <c r="D31" i="2"/>
  <c r="D33" i="2" s="1"/>
  <c r="D35" i="2" s="1"/>
  <c r="F4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8" authorId="0" shapeId="0" xr:uid="{BBB7AA5F-E80E-49F4-8685-8C75DF48462A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Owned Brands</t>
        </r>
      </text>
    </comment>
    <comment ref="B9" authorId="0" shapeId="0" xr:uid="{5F68362B-45E3-4BF9-9067-677F2DBF1A1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Licenses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14" authorId="0" shapeId="0" xr:uid="{07A1D0EA-17C8-4DED-8953-E66CE2721E07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License Revenue</t>
        </r>
      </text>
    </comment>
    <comment ref="B15" authorId="0" shapeId="0" xr:uid="{D43B036A-CB18-4746-AE95-AB074FF903D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Own Brands Revenue</t>
        </r>
      </text>
    </comment>
  </commentList>
</comments>
</file>

<file path=xl/sharedStrings.xml><?xml version="1.0" encoding="utf-8"?>
<sst xmlns="http://schemas.openxmlformats.org/spreadsheetml/2006/main" count="107" uniqueCount="94">
  <si>
    <t>EL.PA</t>
  </si>
  <si>
    <t>Essilor Luxotica</t>
  </si>
  <si>
    <t>numbers in mio EUR</t>
  </si>
  <si>
    <t>IR</t>
  </si>
  <si>
    <t>Price</t>
  </si>
  <si>
    <t>Shares</t>
  </si>
  <si>
    <t>MC</t>
  </si>
  <si>
    <t>Cash</t>
  </si>
  <si>
    <t>Debt</t>
  </si>
  <si>
    <t>EV</t>
  </si>
  <si>
    <t>Main</t>
  </si>
  <si>
    <t>H122</t>
  </si>
  <si>
    <t>H222</t>
  </si>
  <si>
    <t>H123</t>
  </si>
  <si>
    <t>H223</t>
  </si>
  <si>
    <t>H124</t>
  </si>
  <si>
    <t>H224</t>
  </si>
  <si>
    <t>Professional Solutions</t>
  </si>
  <si>
    <t xml:space="preserve">DTC </t>
  </si>
  <si>
    <t>Revenue</t>
  </si>
  <si>
    <t>North America</t>
  </si>
  <si>
    <t>EMEA</t>
  </si>
  <si>
    <t>Asia Pacific</t>
  </si>
  <si>
    <t>Latin America</t>
  </si>
  <si>
    <t>COGS</t>
  </si>
  <si>
    <t>Gross Profit</t>
  </si>
  <si>
    <t>R&amp;D</t>
  </si>
  <si>
    <t>Selling</t>
  </si>
  <si>
    <t>Roaylties</t>
  </si>
  <si>
    <t>Advertising &amp; Marketing</t>
  </si>
  <si>
    <t>G&amp;A</t>
  </si>
  <si>
    <t>Other Expenses</t>
  </si>
  <si>
    <t>Operating Income</t>
  </si>
  <si>
    <t>Finance Cost</t>
  </si>
  <si>
    <t>Other Financial Income</t>
  </si>
  <si>
    <t>Share of profits of associates</t>
  </si>
  <si>
    <t>Pretax Income</t>
  </si>
  <si>
    <t>Tax Expense</t>
  </si>
  <si>
    <t>Net Income</t>
  </si>
  <si>
    <t>Minority Interest</t>
  </si>
  <si>
    <t>Net Income to Company</t>
  </si>
  <si>
    <t>EPS</t>
  </si>
  <si>
    <t>North America Growth</t>
  </si>
  <si>
    <t>EMEA Growth</t>
  </si>
  <si>
    <t>Asia Pacific Growth</t>
  </si>
  <si>
    <t>Latin America Growth</t>
  </si>
  <si>
    <t>Professional Solutions Growth</t>
  </si>
  <si>
    <t>DTC Growth</t>
  </si>
  <si>
    <t>Revenue Growth</t>
  </si>
  <si>
    <t xml:space="preserve">Gross Margin </t>
  </si>
  <si>
    <t xml:space="preserve">Operating Margin </t>
  </si>
  <si>
    <t>Tax Rate</t>
  </si>
  <si>
    <t>Q424</t>
  </si>
  <si>
    <t>FY19</t>
  </si>
  <si>
    <t>FY20</t>
  </si>
  <si>
    <t>FY21</t>
  </si>
  <si>
    <t>FY22</t>
  </si>
  <si>
    <t>FY23</t>
  </si>
  <si>
    <t>FY24</t>
  </si>
  <si>
    <t>FY25</t>
  </si>
  <si>
    <t>North America Stores</t>
  </si>
  <si>
    <t>EMEA Stores</t>
  </si>
  <si>
    <t>Asia Pacific Stores</t>
  </si>
  <si>
    <t>Latin America Stores</t>
  </si>
  <si>
    <t>Franchising and other Stores</t>
  </si>
  <si>
    <t>Total Stores</t>
  </si>
  <si>
    <t>Segments:</t>
  </si>
  <si>
    <t>Eyecare</t>
  </si>
  <si>
    <t>Eyewear</t>
  </si>
  <si>
    <t>DTC</t>
  </si>
  <si>
    <t>Notes</t>
  </si>
  <si>
    <t>150 Brands</t>
  </si>
  <si>
    <t>Appolo, Koch Optik, Vision express etc.</t>
  </si>
  <si>
    <t>Incoperated in 2018 through the merger of Essilor (French) and Luxotica (Italian)</t>
  </si>
  <si>
    <t>Armani, RL, Burberry, Prada, MiuMiu, Chanel, Tiffany, Versace etc.</t>
  </si>
  <si>
    <t>Ray-Ban, Oakley, Persol, Oliver Peoples, Vogue Eyewear etc.</t>
  </si>
  <si>
    <t>Q125</t>
  </si>
  <si>
    <t>Q124</t>
  </si>
  <si>
    <t>Q224</t>
  </si>
  <si>
    <t>Q324</t>
  </si>
  <si>
    <t>Q225</t>
  </si>
  <si>
    <t>Q325</t>
  </si>
  <si>
    <t>Q425</t>
  </si>
  <si>
    <t>Store Count</t>
  </si>
  <si>
    <t>NA Stores</t>
  </si>
  <si>
    <t>APAC Stores</t>
  </si>
  <si>
    <t>Latin Stores</t>
  </si>
  <si>
    <t>Franchising &amp; Other</t>
  </si>
  <si>
    <t xml:space="preserve">APAC </t>
  </si>
  <si>
    <t>Latin-America</t>
  </si>
  <si>
    <t>Store Growth</t>
  </si>
  <si>
    <t>NA Growth</t>
  </si>
  <si>
    <t>APAC Growth</t>
  </si>
  <si>
    <t>Latin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</si>
</sst>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4" fillId="0" borderId="0" xfId="0" applyFont="1"/>
    <xf numFmtId="3" fontId="0" fillId="0" borderId="0" xfId="0" applyNumberFormat="1"/>
    <xf numFmtId="0" fontId="5" fillId="0" borderId="0" xfId="2"/>
    <xf numFmtId="0" fontId="0" fillId="0" borderId="0" xfId="0" applyAlignment="1">
      <alignment horizontal="right"/>
    </xf>
    <xf numFmtId="3" fontId="4" fillId="0" borderId="0" xfId="0" applyNumberFormat="1" applyFont="1"/>
    <xf numFmtId="164" fontId="0" fillId="0" borderId="0" xfId="1" applyNumberFormat="1" applyFont="1"/>
    <xf numFmtId="0" fontId="8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2" applyFont="1"/>
    <xf numFmtId="0" fontId="10" fillId="0" borderId="0" xfId="0" applyFont="1"/>
    <xf numFmtId="3" fontId="8" fillId="0" borderId="0" xfId="0" applyNumberFormat="1" applyFont="1"/>
    <xf numFmtId="4" fontId="2" fillId="0" borderId="0" xfId="0" applyNumberFormat="1" applyFont="1"/>
    <xf numFmtId="9" fontId="2" fillId="0" borderId="0" xfId="1" applyFont="1"/>
    <xf numFmtId="0" fontId="1" fillId="0" borderId="0" xfId="0" applyFont="1" applyAlignment="1">
      <alignment horizontal="right"/>
    </xf>
    <xf numFmtId="9" fontId="8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essilorluxottica.com/en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92BFC-8C90-463C-89A5-18CD20B35071}">
  <dimension ref="A1:J14"/>
  <sheetViews>
    <sheetView zoomScale="200" zoomScaleNormal="200" workbookViewId="0">
      <selection activeCell="I3" sqref="I3"/>
    </sheetView>
  </sheetViews>
  <sheetFormatPr defaultRowHeight="12.75" x14ac:dyDescent="0.2"/>
  <cols>
    <col min="1" max="1" width="3.42578125" style="8" customWidth="1"/>
    <col min="2" max="16384" width="9.140625" style="8"/>
  </cols>
  <sheetData>
    <row r="1" spans="1:10" x14ac:dyDescent="0.2">
      <c r="A1" s="7" t="s">
        <v>1</v>
      </c>
    </row>
    <row r="2" spans="1:10" x14ac:dyDescent="0.2">
      <c r="A2" s="8" t="s">
        <v>2</v>
      </c>
      <c r="H2" s="8" t="s">
        <v>4</v>
      </c>
      <c r="I2" s="8">
        <v>173.25</v>
      </c>
    </row>
    <row r="3" spans="1:10" x14ac:dyDescent="0.2">
      <c r="H3" s="8" t="s">
        <v>5</v>
      </c>
      <c r="I3" s="9">
        <v>459.01887599999998</v>
      </c>
      <c r="J3" s="16" t="s">
        <v>82</v>
      </c>
    </row>
    <row r="4" spans="1:10" x14ac:dyDescent="0.2">
      <c r="B4" s="8" t="s">
        <v>0</v>
      </c>
      <c r="H4" s="8" t="s">
        <v>6</v>
      </c>
      <c r="I4" s="9">
        <f>+I2*I3</f>
        <v>79525.020267</v>
      </c>
    </row>
    <row r="5" spans="1:10" x14ac:dyDescent="0.2">
      <c r="B5" s="11" t="s">
        <v>3</v>
      </c>
      <c r="H5" s="8" t="s">
        <v>7</v>
      </c>
      <c r="I5" s="9">
        <v>3544</v>
      </c>
      <c r="J5" s="16" t="s">
        <v>82</v>
      </c>
    </row>
    <row r="6" spans="1:10" x14ac:dyDescent="0.2">
      <c r="H6" s="8" t="s">
        <v>8</v>
      </c>
      <c r="I6" s="9">
        <f>4027+6812</f>
        <v>10839</v>
      </c>
      <c r="J6" s="16" t="s">
        <v>82</v>
      </c>
    </row>
    <row r="7" spans="1:10" x14ac:dyDescent="0.2">
      <c r="B7" s="12" t="s">
        <v>66</v>
      </c>
      <c r="H7" s="8" t="s">
        <v>9</v>
      </c>
      <c r="I7" s="9">
        <f>+I4-I5+I6</f>
        <v>86820.020267</v>
      </c>
    </row>
    <row r="8" spans="1:10" x14ac:dyDescent="0.2">
      <c r="B8" s="8" t="s">
        <v>67</v>
      </c>
      <c r="C8" s="8" t="s">
        <v>75</v>
      </c>
    </row>
    <row r="9" spans="1:10" x14ac:dyDescent="0.2">
      <c r="B9" s="8" t="s">
        <v>68</v>
      </c>
      <c r="C9" s="8" t="s">
        <v>74</v>
      </c>
    </row>
    <row r="10" spans="1:10" x14ac:dyDescent="0.2">
      <c r="B10" s="8" t="s">
        <v>69</v>
      </c>
      <c r="C10" s="8" t="s">
        <v>72</v>
      </c>
    </row>
    <row r="12" spans="1:10" x14ac:dyDescent="0.2">
      <c r="B12" s="12" t="s">
        <v>70</v>
      </c>
    </row>
    <row r="13" spans="1:10" x14ac:dyDescent="0.2">
      <c r="B13" s="8" t="s">
        <v>71</v>
      </c>
    </row>
    <row r="14" spans="1:10" x14ac:dyDescent="0.2">
      <c r="B14" s="8" t="s">
        <v>73</v>
      </c>
    </row>
  </sheetData>
  <hyperlinks>
    <hyperlink ref="B5" r:id="rId1" xr:uid="{FF3C8DD4-D26B-44FF-B7E6-F71B54FBBFFD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F413D-26C4-4D59-9969-29E40D251F6C}">
  <dimension ref="A1:FJ390"/>
  <sheetViews>
    <sheetView tabSelected="1"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9" sqref="A19"/>
    </sheetView>
  </sheetViews>
  <sheetFormatPr defaultRowHeight="12.75" x14ac:dyDescent="0.2"/>
  <cols>
    <col min="1" max="1" width="5.42578125" style="8" bestFit="1" customWidth="1"/>
    <col min="2" max="2" width="28.42578125" style="8" customWidth="1"/>
    <col min="3" max="16384" width="9.140625" style="8"/>
  </cols>
  <sheetData>
    <row r="1" spans="1:166" x14ac:dyDescent="0.2">
      <c r="A1" s="11" t="s">
        <v>10</v>
      </c>
    </row>
    <row r="2" spans="1:166" x14ac:dyDescent="0.2">
      <c r="C2" s="10" t="s">
        <v>11</v>
      </c>
      <c r="D2" s="10" t="s">
        <v>12</v>
      </c>
      <c r="E2" s="10" t="s">
        <v>13</v>
      </c>
      <c r="F2" s="10" t="s">
        <v>14</v>
      </c>
      <c r="G2" s="10" t="s">
        <v>15</v>
      </c>
      <c r="H2" s="10" t="s">
        <v>16</v>
      </c>
      <c r="J2" s="10" t="s">
        <v>53</v>
      </c>
      <c r="K2" s="10" t="s">
        <v>54</v>
      </c>
      <c r="L2" s="10" t="s">
        <v>55</v>
      </c>
      <c r="M2" s="10" t="s">
        <v>56</v>
      </c>
      <c r="N2" s="10" t="s">
        <v>57</v>
      </c>
      <c r="O2" s="10" t="s">
        <v>58</v>
      </c>
      <c r="P2" s="10" t="s">
        <v>59</v>
      </c>
    </row>
    <row r="3" spans="1:166" x14ac:dyDescent="0.2">
      <c r="B3" s="8" t="s">
        <v>60</v>
      </c>
      <c r="C3" s="9"/>
      <c r="D3" s="9"/>
      <c r="E3" s="9"/>
      <c r="F3" s="9"/>
      <c r="G3" s="9"/>
      <c r="H3" s="9"/>
      <c r="I3" s="9"/>
      <c r="J3" s="9"/>
      <c r="K3" s="9"/>
      <c r="L3" s="9"/>
      <c r="M3" s="9">
        <v>3834</v>
      </c>
      <c r="N3" s="9">
        <v>3832</v>
      </c>
      <c r="O3" s="9">
        <v>3835</v>
      </c>
      <c r="P3" s="9">
        <v>3814</v>
      </c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</row>
    <row r="4" spans="1:166" x14ac:dyDescent="0.2">
      <c r="B4" s="8" t="s">
        <v>61</v>
      </c>
      <c r="C4" s="9"/>
      <c r="D4" s="9"/>
      <c r="E4" s="9"/>
      <c r="F4" s="9"/>
      <c r="G4" s="9"/>
      <c r="H4" s="9"/>
      <c r="I4" s="9"/>
      <c r="J4" s="9"/>
      <c r="K4" s="9"/>
      <c r="L4" s="9"/>
      <c r="M4" s="9">
        <v>6044</v>
      </c>
      <c r="N4" s="9">
        <v>5984</v>
      </c>
      <c r="O4" s="9">
        <v>5972</v>
      </c>
      <c r="P4" s="9">
        <v>6046</v>
      </c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</row>
    <row r="5" spans="1:166" x14ac:dyDescent="0.2">
      <c r="B5" s="8" t="s">
        <v>62</v>
      </c>
      <c r="C5" s="9"/>
      <c r="D5" s="9"/>
      <c r="E5" s="9"/>
      <c r="F5" s="9"/>
      <c r="G5" s="9"/>
      <c r="H5" s="9"/>
      <c r="I5" s="9"/>
      <c r="J5" s="9"/>
      <c r="K5" s="9"/>
      <c r="L5" s="9"/>
      <c r="M5" s="9">
        <v>1366</v>
      </c>
      <c r="N5" s="9">
        <v>1444</v>
      </c>
      <c r="O5" s="9">
        <v>1598</v>
      </c>
      <c r="P5" s="9">
        <v>1682</v>
      </c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</row>
    <row r="6" spans="1:166" x14ac:dyDescent="0.2">
      <c r="B6" s="8" t="s">
        <v>63</v>
      </c>
      <c r="C6" s="9"/>
      <c r="D6" s="9"/>
      <c r="E6" s="9"/>
      <c r="F6" s="9"/>
      <c r="G6" s="9"/>
      <c r="H6" s="9"/>
      <c r="I6" s="9"/>
      <c r="J6" s="9"/>
      <c r="K6" s="9"/>
      <c r="L6" s="9"/>
      <c r="M6" s="9">
        <v>2139</v>
      </c>
      <c r="N6" s="9">
        <v>2106</v>
      </c>
      <c r="O6" s="9">
        <v>2132</v>
      </c>
      <c r="P6" s="9">
        <v>2142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166" x14ac:dyDescent="0.2">
      <c r="B7" s="8" t="s">
        <v>64</v>
      </c>
      <c r="C7" s="9"/>
      <c r="D7" s="9"/>
      <c r="E7" s="9"/>
      <c r="F7" s="9"/>
      <c r="G7" s="9"/>
      <c r="H7" s="9"/>
      <c r="I7" s="9"/>
      <c r="J7" s="9"/>
      <c r="K7" s="9"/>
      <c r="L7" s="9"/>
      <c r="M7" s="9">
        <v>4304</v>
      </c>
      <c r="N7" s="9">
        <v>4223</v>
      </c>
      <c r="O7" s="9">
        <v>4101</v>
      </c>
      <c r="P7" s="9">
        <v>4066</v>
      </c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</row>
    <row r="8" spans="1:166" x14ac:dyDescent="0.2">
      <c r="B8" s="7" t="s">
        <v>65</v>
      </c>
      <c r="C8" s="9"/>
      <c r="D8" s="9"/>
      <c r="E8" s="9"/>
      <c r="F8" s="9"/>
      <c r="G8" s="9"/>
      <c r="H8" s="9"/>
      <c r="I8" s="9"/>
      <c r="J8" s="13">
        <f t="shared" ref="J8:N8" si="0">+SUM(J3:J7)</f>
        <v>0</v>
      </c>
      <c r="K8" s="13">
        <f t="shared" si="0"/>
        <v>0</v>
      </c>
      <c r="L8" s="13">
        <f t="shared" si="0"/>
        <v>0</v>
      </c>
      <c r="M8" s="13">
        <f t="shared" si="0"/>
        <v>17687</v>
      </c>
      <c r="N8" s="13">
        <f t="shared" si="0"/>
        <v>17589</v>
      </c>
      <c r="O8" s="13">
        <f>+SUM(O3:O7)</f>
        <v>17638</v>
      </c>
      <c r="P8" s="13">
        <f t="shared" ref="P8" si="1">+SUM(P3:P7)</f>
        <v>17750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</row>
    <row r="9" spans="1:166" x14ac:dyDescent="0.2"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</row>
    <row r="10" spans="1:166" x14ac:dyDescent="0.2">
      <c r="B10" s="8" t="s">
        <v>20</v>
      </c>
      <c r="C10" s="9"/>
      <c r="D10" s="9"/>
      <c r="E10" s="9">
        <v>5888</v>
      </c>
      <c r="F10" s="9">
        <f>+N10-E10</f>
        <v>5749</v>
      </c>
      <c r="G10" s="9">
        <v>5973</v>
      </c>
      <c r="H10" s="9"/>
      <c r="I10" s="9"/>
      <c r="J10" s="9"/>
      <c r="K10" s="9"/>
      <c r="L10" s="9">
        <v>9868</v>
      </c>
      <c r="M10" s="9">
        <v>11492</v>
      </c>
      <c r="N10" s="9">
        <v>11637</v>
      </c>
      <c r="O10" s="9">
        <v>11979</v>
      </c>
      <c r="P10" s="9">
        <v>12787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</row>
    <row r="11" spans="1:166" x14ac:dyDescent="0.2">
      <c r="B11" s="8" t="s">
        <v>21</v>
      </c>
      <c r="C11" s="9"/>
      <c r="D11" s="9"/>
      <c r="E11" s="9">
        <v>4717</v>
      </c>
      <c r="F11" s="9">
        <f t="shared" ref="F11:F15" si="2">+N11-E11</f>
        <v>4467</v>
      </c>
      <c r="G11" s="9">
        <v>4969</v>
      </c>
      <c r="H11" s="9"/>
      <c r="I11" s="9"/>
      <c r="J11" s="9"/>
      <c r="K11" s="9"/>
      <c r="L11" s="9">
        <v>7953</v>
      </c>
      <c r="M11" s="9">
        <v>8749</v>
      </c>
      <c r="N11" s="9">
        <v>9184</v>
      </c>
      <c r="O11" s="9">
        <v>9759</v>
      </c>
      <c r="P11" s="9">
        <v>10779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</row>
    <row r="12" spans="1:166" x14ac:dyDescent="0.2">
      <c r="B12" s="8" t="s">
        <v>22</v>
      </c>
      <c r="C12" s="9"/>
      <c r="D12" s="9"/>
      <c r="E12" s="9">
        <v>1519</v>
      </c>
      <c r="F12" s="9">
        <f t="shared" si="2"/>
        <v>1517</v>
      </c>
      <c r="G12" s="9">
        <v>1589</v>
      </c>
      <c r="H12" s="9"/>
      <c r="I12" s="9"/>
      <c r="J12" s="9"/>
      <c r="K12" s="9"/>
      <c r="L12" s="9">
        <v>2542</v>
      </c>
      <c r="M12" s="9">
        <v>2842</v>
      </c>
      <c r="N12" s="9">
        <v>3036</v>
      </c>
      <c r="O12" s="9">
        <v>3247</v>
      </c>
      <c r="P12" s="9">
        <v>3410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</row>
    <row r="13" spans="1:166" x14ac:dyDescent="0.2">
      <c r="B13" s="8" t="s">
        <v>23</v>
      </c>
      <c r="C13" s="9"/>
      <c r="D13" s="9"/>
      <c r="E13" s="9">
        <v>727</v>
      </c>
      <c r="F13" s="9">
        <f t="shared" si="2"/>
        <v>810</v>
      </c>
      <c r="G13" s="9">
        <v>759</v>
      </c>
      <c r="H13" s="9"/>
      <c r="I13" s="9"/>
      <c r="J13" s="9"/>
      <c r="K13" s="9"/>
      <c r="L13" s="9">
        <v>1136</v>
      </c>
      <c r="M13" s="9">
        <v>1410</v>
      </c>
      <c r="N13" s="9">
        <v>1537</v>
      </c>
      <c r="O13" s="9">
        <v>1523</v>
      </c>
      <c r="P13" s="9">
        <v>1515</v>
      </c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</row>
    <row r="14" spans="1:166" x14ac:dyDescent="0.2">
      <c r="B14" s="8" t="s">
        <v>17</v>
      </c>
      <c r="C14" s="9"/>
      <c r="D14" s="9"/>
      <c r="E14" s="9">
        <v>6234</v>
      </c>
      <c r="F14" s="9">
        <f t="shared" si="2"/>
        <v>5965</v>
      </c>
      <c r="G14" s="9">
        <v>6414</v>
      </c>
      <c r="H14" s="9"/>
      <c r="I14" s="9"/>
      <c r="J14" s="9"/>
      <c r="K14" s="9"/>
      <c r="L14" s="9">
        <v>10399</v>
      </c>
      <c r="M14" s="9">
        <v>11770</v>
      </c>
      <c r="N14" s="9">
        <v>12199</v>
      </c>
      <c r="O14" s="9">
        <v>12547</v>
      </c>
      <c r="P14" s="9">
        <v>13600</v>
      </c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</row>
    <row r="15" spans="1:166" x14ac:dyDescent="0.2">
      <c r="B15" s="8" t="s">
        <v>18</v>
      </c>
      <c r="C15" s="9"/>
      <c r="D15" s="9"/>
      <c r="E15" s="9">
        <v>6616</v>
      </c>
      <c r="F15" s="9">
        <f t="shared" si="2"/>
        <v>6579</v>
      </c>
      <c r="G15" s="9">
        <v>6876</v>
      </c>
      <c r="H15" s="9"/>
      <c r="I15" s="9"/>
      <c r="J15" s="9"/>
      <c r="K15" s="9"/>
      <c r="L15" s="9">
        <v>11099</v>
      </c>
      <c r="M15" s="9">
        <v>12724</v>
      </c>
      <c r="N15" s="9">
        <v>13195</v>
      </c>
      <c r="O15" s="9">
        <v>13960</v>
      </c>
      <c r="P15" s="9">
        <v>14891</v>
      </c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</row>
    <row r="16" spans="1:166" x14ac:dyDescent="0.2">
      <c r="B16" s="7" t="s">
        <v>19</v>
      </c>
      <c r="C16" s="13">
        <f t="shared" ref="C16:F16" si="3">+SUM(C14:C15)</f>
        <v>0</v>
      </c>
      <c r="D16" s="13">
        <f t="shared" si="3"/>
        <v>0</v>
      </c>
      <c r="E16" s="13">
        <f t="shared" si="3"/>
        <v>12850</v>
      </c>
      <c r="F16" s="13">
        <f t="shared" si="3"/>
        <v>12544</v>
      </c>
      <c r="G16" s="13">
        <f>+SUM(G14:G15)</f>
        <v>13290</v>
      </c>
      <c r="H16" s="13">
        <f t="shared" ref="H16" si="4">+SUM(H14:H15)</f>
        <v>0</v>
      </c>
      <c r="I16" s="13"/>
      <c r="J16" s="13"/>
      <c r="K16" s="13"/>
      <c r="L16" s="13">
        <v>21498</v>
      </c>
      <c r="M16" s="13">
        <v>24494</v>
      </c>
      <c r="N16" s="13">
        <v>25395</v>
      </c>
      <c r="O16" s="13">
        <v>26508</v>
      </c>
      <c r="P16" s="13">
        <v>28491</v>
      </c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</row>
    <row r="17" spans="2:166" x14ac:dyDescent="0.2">
      <c r="B17" s="8" t="s">
        <v>24</v>
      </c>
      <c r="C17" s="9"/>
      <c r="D17" s="9"/>
      <c r="E17" s="9">
        <v>4629</v>
      </c>
      <c r="F17" s="9">
        <f>+N17-E17</f>
        <v>4718</v>
      </c>
      <c r="G17" s="9">
        <v>4761</v>
      </c>
      <c r="H17" s="9"/>
      <c r="I17" s="9"/>
      <c r="J17" s="9"/>
      <c r="K17" s="9"/>
      <c r="L17" s="9">
        <v>7869</v>
      </c>
      <c r="M17" s="9">
        <v>8888</v>
      </c>
      <c r="N17" s="9">
        <v>9347</v>
      </c>
      <c r="O17" s="9">
        <v>9702</v>
      </c>
      <c r="P17" s="9">
        <v>11237</v>
      </c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</row>
    <row r="18" spans="2:166" x14ac:dyDescent="0.2">
      <c r="B18" s="8" t="s">
        <v>25</v>
      </c>
      <c r="C18" s="9">
        <f t="shared" ref="C18:F18" si="5">+C16-C17</f>
        <v>0</v>
      </c>
      <c r="D18" s="9">
        <f t="shared" si="5"/>
        <v>0</v>
      </c>
      <c r="E18" s="9">
        <f t="shared" si="5"/>
        <v>8221</v>
      </c>
      <c r="F18" s="9">
        <f t="shared" si="5"/>
        <v>7826</v>
      </c>
      <c r="G18" s="9">
        <f>+G16-G17</f>
        <v>8529</v>
      </c>
      <c r="H18" s="9">
        <f t="shared" ref="H18" si="6">+H16-H17</f>
        <v>0</v>
      </c>
      <c r="I18" s="9"/>
      <c r="J18" s="9">
        <f t="shared" ref="J18:N18" si="7">+J16-J17</f>
        <v>0</v>
      </c>
      <c r="K18" s="9">
        <f t="shared" si="7"/>
        <v>0</v>
      </c>
      <c r="L18" s="9">
        <f t="shared" si="7"/>
        <v>13629</v>
      </c>
      <c r="M18" s="9">
        <f t="shared" si="7"/>
        <v>15606</v>
      </c>
      <c r="N18" s="9">
        <f t="shared" si="7"/>
        <v>16048</v>
      </c>
      <c r="O18" s="9">
        <f>+O16-O17</f>
        <v>16806</v>
      </c>
      <c r="P18" s="9">
        <f>+P16-P17</f>
        <v>17254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</row>
    <row r="19" spans="2:166" x14ac:dyDescent="0.2">
      <c r="B19" s="8" t="s">
        <v>26</v>
      </c>
      <c r="C19" s="9"/>
      <c r="D19" s="9"/>
      <c r="E19" s="9">
        <v>300</v>
      </c>
      <c r="F19" s="9">
        <f t="shared" ref="F19:F24" si="8">+N19-E19</f>
        <v>293</v>
      </c>
      <c r="G19" s="9">
        <v>309</v>
      </c>
      <c r="H19" s="9"/>
      <c r="I19" s="9"/>
      <c r="J19" s="9"/>
      <c r="K19" s="9"/>
      <c r="L19" s="9">
        <v>321</v>
      </c>
      <c r="M19" s="9">
        <v>343</v>
      </c>
      <c r="N19" s="9">
        <v>593</v>
      </c>
      <c r="O19" s="9">
        <v>630</v>
      </c>
      <c r="P19" s="9">
        <v>664</v>
      </c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</row>
    <row r="20" spans="2:166" x14ac:dyDescent="0.2">
      <c r="B20" s="8" t="s">
        <v>27</v>
      </c>
      <c r="C20" s="9"/>
      <c r="D20" s="9"/>
      <c r="E20" s="9">
        <v>3987</v>
      </c>
      <c r="F20" s="9">
        <f t="shared" si="8"/>
        <v>4054</v>
      </c>
      <c r="G20" s="9">
        <v>4202</v>
      </c>
      <c r="H20" s="9"/>
      <c r="I20" s="9"/>
      <c r="J20" s="9"/>
      <c r="K20" s="9"/>
      <c r="L20" s="9">
        <v>6105</v>
      </c>
      <c r="M20" s="9">
        <v>7190</v>
      </c>
      <c r="N20" s="9">
        <v>8041</v>
      </c>
      <c r="O20" s="9">
        <v>8518</v>
      </c>
      <c r="P20" s="9">
        <v>8784</v>
      </c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</row>
    <row r="21" spans="2:166" x14ac:dyDescent="0.2">
      <c r="B21" s="8" t="s">
        <v>28</v>
      </c>
      <c r="C21" s="9"/>
      <c r="D21" s="9"/>
      <c r="E21" s="9">
        <v>127</v>
      </c>
      <c r="F21" s="9">
        <f t="shared" si="8"/>
        <v>119</v>
      </c>
      <c r="G21" s="9">
        <v>130</v>
      </c>
      <c r="H21" s="9"/>
      <c r="I21" s="9"/>
      <c r="J21" s="9"/>
      <c r="K21" s="9"/>
      <c r="L21" s="9">
        <v>174</v>
      </c>
      <c r="M21" s="9">
        <v>219</v>
      </c>
      <c r="N21" s="9">
        <v>246</v>
      </c>
      <c r="O21" s="9">
        <v>252</v>
      </c>
      <c r="P21" s="9">
        <v>249</v>
      </c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</row>
    <row r="22" spans="2:166" x14ac:dyDescent="0.2">
      <c r="B22" s="8" t="s">
        <v>29</v>
      </c>
      <c r="C22" s="9"/>
      <c r="D22" s="9"/>
      <c r="E22" s="9">
        <v>881</v>
      </c>
      <c r="F22" s="9">
        <f t="shared" si="8"/>
        <v>918</v>
      </c>
      <c r="G22" s="9">
        <v>867</v>
      </c>
      <c r="H22" s="9"/>
      <c r="I22" s="9"/>
      <c r="J22" s="9"/>
      <c r="K22" s="9"/>
      <c r="L22" s="9">
        <v>1560</v>
      </c>
      <c r="M22" s="9">
        <v>1692</v>
      </c>
      <c r="N22" s="9">
        <v>1799</v>
      </c>
      <c r="O22" s="9">
        <v>1820</v>
      </c>
      <c r="P22" s="9">
        <v>1866</v>
      </c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  <c r="EW22" s="9"/>
      <c r="EX22" s="9"/>
      <c r="EY22" s="9"/>
      <c r="EZ22" s="9"/>
      <c r="FA22" s="9"/>
      <c r="FB22" s="9"/>
      <c r="FC22" s="9"/>
      <c r="FD22" s="9"/>
      <c r="FE22" s="9"/>
      <c r="FF22" s="9"/>
      <c r="FG22" s="9"/>
      <c r="FH22" s="9"/>
      <c r="FI22" s="9"/>
      <c r="FJ22" s="9"/>
    </row>
    <row r="23" spans="2:166" x14ac:dyDescent="0.2">
      <c r="B23" s="8" t="s">
        <v>30</v>
      </c>
      <c r="C23" s="9"/>
      <c r="D23" s="9"/>
      <c r="E23" s="9">
        <v>1110</v>
      </c>
      <c r="F23" s="9">
        <f t="shared" si="8"/>
        <v>1101</v>
      </c>
      <c r="G23" s="9">
        <v>1076</v>
      </c>
      <c r="H23" s="9"/>
      <c r="I23" s="9"/>
      <c r="J23" s="9"/>
      <c r="K23" s="9"/>
      <c r="L23" s="9">
        <v>2000</v>
      </c>
      <c r="M23" s="9">
        <v>2045</v>
      </c>
      <c r="N23" s="9">
        <v>2211</v>
      </c>
      <c r="O23" s="9">
        <v>2193</v>
      </c>
      <c r="P23" s="9">
        <v>2330</v>
      </c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</row>
    <row r="24" spans="2:166" x14ac:dyDescent="0.2">
      <c r="B24" s="8" t="s">
        <v>31</v>
      </c>
      <c r="C24" s="9"/>
      <c r="D24" s="9"/>
      <c r="E24" s="9">
        <v>-15</v>
      </c>
      <c r="F24" s="9">
        <f t="shared" si="8"/>
        <v>-4</v>
      </c>
      <c r="G24" s="9">
        <v>1</v>
      </c>
      <c r="H24" s="9"/>
      <c r="I24" s="9"/>
      <c r="J24" s="9"/>
      <c r="K24" s="9"/>
      <c r="L24" s="9">
        <v>-3</v>
      </c>
      <c r="M24" s="9">
        <v>3</v>
      </c>
      <c r="N24" s="9">
        <v>-19</v>
      </c>
      <c r="O24" s="9">
        <v>-55</v>
      </c>
      <c r="P24" s="9">
        <v>-19</v>
      </c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</row>
    <row r="25" spans="2:166" x14ac:dyDescent="0.2">
      <c r="B25" s="8" t="s">
        <v>32</v>
      </c>
      <c r="C25" s="9">
        <f t="shared" ref="C25:F25" si="9">+C18-SUM(C19:C24)</f>
        <v>0</v>
      </c>
      <c r="D25" s="9">
        <f t="shared" si="9"/>
        <v>0</v>
      </c>
      <c r="E25" s="9">
        <f t="shared" si="9"/>
        <v>1831</v>
      </c>
      <c r="F25" s="9">
        <f t="shared" si="9"/>
        <v>1345</v>
      </c>
      <c r="G25" s="9">
        <f>+G18-SUM(G19:G24)</f>
        <v>1944</v>
      </c>
      <c r="H25" s="9">
        <f t="shared" ref="H25:P25" si="10">+H18-SUM(H19:H24)</f>
        <v>0</v>
      </c>
      <c r="I25" s="9"/>
      <c r="J25" s="9">
        <f t="shared" si="10"/>
        <v>0</v>
      </c>
      <c r="K25" s="9">
        <f t="shared" si="10"/>
        <v>0</v>
      </c>
      <c r="L25" s="9">
        <f t="shared" si="10"/>
        <v>3472</v>
      </c>
      <c r="M25" s="9">
        <f t="shared" si="10"/>
        <v>4114</v>
      </c>
      <c r="N25" s="9">
        <f t="shared" si="10"/>
        <v>3177</v>
      </c>
      <c r="O25" s="9">
        <f t="shared" ref="O25" si="11">+O18-SUM(O19:O24)</f>
        <v>3448</v>
      </c>
      <c r="P25" s="9">
        <f t="shared" si="10"/>
        <v>3380</v>
      </c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</row>
    <row r="26" spans="2:166" x14ac:dyDescent="0.2">
      <c r="B26" s="8" t="s">
        <v>33</v>
      </c>
      <c r="C26" s="9"/>
      <c r="D26" s="9"/>
      <c r="E26" s="9">
        <v>60</v>
      </c>
      <c r="F26" s="9">
        <f>+N26-E26</f>
        <v>56</v>
      </c>
      <c r="G26" s="9">
        <v>79</v>
      </c>
      <c r="H26" s="9"/>
      <c r="I26" s="9"/>
      <c r="J26" s="9"/>
      <c r="K26" s="9"/>
      <c r="L26" s="9">
        <v>144</v>
      </c>
      <c r="M26" s="9">
        <v>129</v>
      </c>
      <c r="N26" s="9">
        <v>116</v>
      </c>
      <c r="O26" s="9">
        <v>165</v>
      </c>
      <c r="P26" s="9">
        <v>239</v>
      </c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</row>
    <row r="27" spans="2:166" x14ac:dyDescent="0.2">
      <c r="B27" s="8" t="s">
        <v>34</v>
      </c>
      <c r="C27" s="9"/>
      <c r="D27" s="9"/>
      <c r="E27" s="9">
        <v>-12</v>
      </c>
      <c r="F27" s="9">
        <f>+N27-E27</f>
        <v>-12</v>
      </c>
      <c r="G27" s="9">
        <v>-2</v>
      </c>
      <c r="H27" s="9"/>
      <c r="I27" s="9"/>
      <c r="J27" s="9"/>
      <c r="K27" s="9"/>
      <c r="L27" s="9">
        <v>0</v>
      </c>
      <c r="M27" s="9">
        <v>0</v>
      </c>
      <c r="N27" s="9">
        <v>-24</v>
      </c>
      <c r="O27" s="9">
        <v>5</v>
      </c>
      <c r="P27" s="9">
        <v>54</v>
      </c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</row>
    <row r="28" spans="2:166" x14ac:dyDescent="0.2">
      <c r="B28" s="8" t="s">
        <v>35</v>
      </c>
      <c r="C28" s="9"/>
      <c r="D28" s="9"/>
      <c r="E28" s="9">
        <v>-1</v>
      </c>
      <c r="F28" s="9">
        <f>+N28-E28</f>
        <v>0</v>
      </c>
      <c r="G28" s="9">
        <v>-1</v>
      </c>
      <c r="H28" s="9"/>
      <c r="I28" s="9"/>
      <c r="J28" s="9"/>
      <c r="K28" s="9"/>
      <c r="L28" s="9">
        <v>0</v>
      </c>
      <c r="M28" s="9">
        <v>0</v>
      </c>
      <c r="N28" s="9">
        <v>-1</v>
      </c>
      <c r="O28" s="9">
        <v>3</v>
      </c>
      <c r="P28" s="9">
        <v>0</v>
      </c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</row>
    <row r="29" spans="2:166" x14ac:dyDescent="0.2">
      <c r="B29" s="8" t="s">
        <v>36</v>
      </c>
      <c r="C29" s="9">
        <f t="shared" ref="C29:F29" si="12">+C25-C26+SUM(C27:C28)</f>
        <v>0</v>
      </c>
      <c r="D29" s="9">
        <f t="shared" si="12"/>
        <v>0</v>
      </c>
      <c r="E29" s="9">
        <f t="shared" si="12"/>
        <v>1758</v>
      </c>
      <c r="F29" s="9">
        <f t="shared" si="12"/>
        <v>1277</v>
      </c>
      <c r="G29" s="9">
        <f>+G25-G26+SUM(G27:G28)</f>
        <v>1862</v>
      </c>
      <c r="H29" s="9">
        <f t="shared" ref="H29:P29" si="13">+H25-H26+SUM(H27:H28)</f>
        <v>0</v>
      </c>
      <c r="I29" s="9"/>
      <c r="J29" s="9">
        <f t="shared" si="13"/>
        <v>0</v>
      </c>
      <c r="K29" s="9">
        <f t="shared" si="13"/>
        <v>0</v>
      </c>
      <c r="L29" s="9">
        <f t="shared" si="13"/>
        <v>3328</v>
      </c>
      <c r="M29" s="9">
        <f t="shared" si="13"/>
        <v>3985</v>
      </c>
      <c r="N29" s="9">
        <f t="shared" si="13"/>
        <v>3036</v>
      </c>
      <c r="O29" s="9">
        <f t="shared" si="13"/>
        <v>3291</v>
      </c>
      <c r="P29" s="9">
        <f t="shared" si="13"/>
        <v>3195</v>
      </c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</row>
    <row r="30" spans="2:166" x14ac:dyDescent="0.2">
      <c r="B30" s="8" t="s">
        <v>37</v>
      </c>
      <c r="C30" s="9"/>
      <c r="D30" s="9"/>
      <c r="E30" s="9">
        <v>322</v>
      </c>
      <c r="F30" s="9">
        <f>+N30-E30</f>
        <v>287</v>
      </c>
      <c r="G30" s="9">
        <v>428</v>
      </c>
      <c r="H30" s="9"/>
      <c r="I30" s="9"/>
      <c r="J30" s="9"/>
      <c r="K30" s="9"/>
      <c r="L30" s="9">
        <v>840</v>
      </c>
      <c r="M30" s="9">
        <v>978</v>
      </c>
      <c r="N30" s="9">
        <v>609</v>
      </c>
      <c r="O30" s="9">
        <v>800</v>
      </c>
      <c r="P30" s="9">
        <v>752</v>
      </c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</row>
    <row r="31" spans="2:166" x14ac:dyDescent="0.2">
      <c r="B31" s="8" t="s">
        <v>38</v>
      </c>
      <c r="C31" s="9">
        <f t="shared" ref="C31:F31" si="14">+C29-C30</f>
        <v>0</v>
      </c>
      <c r="D31" s="9">
        <f t="shared" si="14"/>
        <v>0</v>
      </c>
      <c r="E31" s="9">
        <f t="shared" si="14"/>
        <v>1436</v>
      </c>
      <c r="F31" s="9">
        <f t="shared" si="14"/>
        <v>990</v>
      </c>
      <c r="G31" s="9">
        <f>+G29-G30</f>
        <v>1434</v>
      </c>
      <c r="H31" s="9">
        <f t="shared" ref="H31:P31" si="15">+H29-H30</f>
        <v>0</v>
      </c>
      <c r="I31" s="9"/>
      <c r="J31" s="9">
        <f t="shared" si="15"/>
        <v>0</v>
      </c>
      <c r="K31" s="9">
        <f t="shared" si="15"/>
        <v>0</v>
      </c>
      <c r="L31" s="9">
        <f t="shared" si="15"/>
        <v>2488</v>
      </c>
      <c r="M31" s="9">
        <f t="shared" si="15"/>
        <v>3007</v>
      </c>
      <c r="N31" s="9">
        <f t="shared" si="15"/>
        <v>2427</v>
      </c>
      <c r="O31" s="9">
        <f t="shared" si="15"/>
        <v>2491</v>
      </c>
      <c r="P31" s="9">
        <f t="shared" si="15"/>
        <v>2443</v>
      </c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</row>
    <row r="32" spans="2:166" x14ac:dyDescent="0.2">
      <c r="B32" s="8" t="s">
        <v>39</v>
      </c>
      <c r="C32" s="9"/>
      <c r="D32" s="9"/>
      <c r="E32" s="9">
        <v>77</v>
      </c>
      <c r="F32" s="9">
        <f>+N32-E32</f>
        <v>60</v>
      </c>
      <c r="G32" s="9">
        <v>67</v>
      </c>
      <c r="H32" s="9"/>
      <c r="I32" s="9"/>
      <c r="J32" s="9"/>
      <c r="K32" s="9"/>
      <c r="L32" s="9">
        <v>169</v>
      </c>
      <c r="M32" s="9">
        <v>147</v>
      </c>
      <c r="N32" s="9">
        <v>137</v>
      </c>
      <c r="O32" s="9">
        <v>132</v>
      </c>
      <c r="P32" s="9">
        <v>128</v>
      </c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</row>
    <row r="33" spans="2:166" x14ac:dyDescent="0.2">
      <c r="B33" s="8" t="s">
        <v>40</v>
      </c>
      <c r="C33" s="9">
        <f t="shared" ref="C33:F33" si="16">+C31-C32</f>
        <v>0</v>
      </c>
      <c r="D33" s="9">
        <f t="shared" si="16"/>
        <v>0</v>
      </c>
      <c r="E33" s="9">
        <f t="shared" si="16"/>
        <v>1359</v>
      </c>
      <c r="F33" s="9">
        <f t="shared" si="16"/>
        <v>930</v>
      </c>
      <c r="G33" s="9">
        <f>+G31-G32</f>
        <v>1367</v>
      </c>
      <c r="H33" s="9">
        <f t="shared" ref="H33" si="17">+H31-H32</f>
        <v>0</v>
      </c>
      <c r="I33" s="9"/>
      <c r="J33" s="9">
        <f t="shared" ref="J33:N33" si="18">+J31-J32</f>
        <v>0</v>
      </c>
      <c r="K33" s="9">
        <f t="shared" si="18"/>
        <v>0</v>
      </c>
      <c r="L33" s="9">
        <f t="shared" si="18"/>
        <v>2319</v>
      </c>
      <c r="M33" s="9">
        <f t="shared" si="18"/>
        <v>2860</v>
      </c>
      <c r="N33" s="9">
        <f t="shared" si="18"/>
        <v>2290</v>
      </c>
      <c r="O33" s="9">
        <f>+O31-O32</f>
        <v>2359</v>
      </c>
      <c r="P33" s="9">
        <f>+P31-P32</f>
        <v>2315</v>
      </c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</row>
    <row r="34" spans="2:166" x14ac:dyDescent="0.2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</row>
    <row r="35" spans="2:166" x14ac:dyDescent="0.2">
      <c r="B35" s="8" t="s">
        <v>41</v>
      </c>
      <c r="C35" s="14" t="e">
        <f t="shared" ref="C35:F35" si="19">+C33/C36</f>
        <v>#DIV/0!</v>
      </c>
      <c r="D35" s="14" t="e">
        <f t="shared" si="19"/>
        <v>#DIV/0!</v>
      </c>
      <c r="E35" s="14">
        <f t="shared" si="19"/>
        <v>3.0519219095331476</v>
      </c>
      <c r="F35" s="14">
        <f t="shared" si="19"/>
        <v>2.07558270578425</v>
      </c>
      <c r="G35" s="14">
        <f>+G33/G36</f>
        <v>3.0237860611593845</v>
      </c>
      <c r="H35" s="14" t="e">
        <f t="shared" ref="H35" si="20">+H33/H36</f>
        <v>#DIV/0!</v>
      </c>
      <c r="I35" s="9"/>
      <c r="J35" s="14" t="e">
        <f t="shared" ref="J35:P35" si="21">+J33/J36</f>
        <v>#DIV/0!</v>
      </c>
      <c r="K35" s="14" t="e">
        <f t="shared" si="21"/>
        <v>#DIV/0!</v>
      </c>
      <c r="L35" s="14">
        <f t="shared" si="21"/>
        <v>5.2846758002029208</v>
      </c>
      <c r="M35" s="14">
        <f t="shared" si="21"/>
        <v>6.4698589563056084</v>
      </c>
      <c r="N35" s="14">
        <f t="shared" si="21"/>
        <v>5.1108434368235836</v>
      </c>
      <c r="O35" s="14">
        <f t="shared" si="21"/>
        <v>5.1968735987345767</v>
      </c>
      <c r="P35" s="14">
        <f t="shared" si="21"/>
        <v>5.0433655804603559</v>
      </c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</row>
    <row r="36" spans="2:166" x14ac:dyDescent="0.2">
      <c r="B36" s="8" t="s">
        <v>5</v>
      </c>
      <c r="C36" s="9"/>
      <c r="D36" s="9"/>
      <c r="E36" s="9">
        <v>445.29317600000002</v>
      </c>
      <c r="F36" s="9">
        <v>448.06694399999998</v>
      </c>
      <c r="G36" s="9">
        <v>452.08224799999999</v>
      </c>
      <c r="H36" s="9"/>
      <c r="I36" s="9"/>
      <c r="J36" s="9"/>
      <c r="K36" s="9"/>
      <c r="L36" s="9">
        <v>438.815944</v>
      </c>
      <c r="M36" s="9">
        <v>442.04982200000001</v>
      </c>
      <c r="N36" s="9">
        <v>448.06694399999998</v>
      </c>
      <c r="O36" s="9">
        <v>453.926761</v>
      </c>
      <c r="P36" s="9">
        <v>459.01887599999998</v>
      </c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</row>
    <row r="37" spans="2:166" x14ac:dyDescent="0.2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</row>
    <row r="38" spans="2:166" x14ac:dyDescent="0.2">
      <c r="B38" s="8" t="s">
        <v>42</v>
      </c>
      <c r="C38" s="9"/>
      <c r="D38" s="9"/>
      <c r="E38" s="15" t="e">
        <f t="shared" ref="E38:F44" si="22">+E10/C10-1</f>
        <v>#DIV/0!</v>
      </c>
      <c r="F38" s="15" t="e">
        <f t="shared" si="22"/>
        <v>#DIV/0!</v>
      </c>
      <c r="G38" s="15">
        <f>+G10/E10-1</f>
        <v>1.4436141304347894E-2</v>
      </c>
      <c r="H38" s="15">
        <f>+H10/F10-1</f>
        <v>-1</v>
      </c>
      <c r="I38" s="9"/>
      <c r="J38" s="9"/>
      <c r="K38" s="15" t="e">
        <f t="shared" ref="K38:N44" si="23">+K10/J10-1</f>
        <v>#DIV/0!</v>
      </c>
      <c r="L38" s="15" t="e">
        <f t="shared" si="23"/>
        <v>#DIV/0!</v>
      </c>
      <c r="M38" s="15">
        <f t="shared" si="23"/>
        <v>0.16457235508715029</v>
      </c>
      <c r="N38" s="15">
        <f t="shared" si="23"/>
        <v>1.2617473024712833E-2</v>
      </c>
      <c r="O38" s="15">
        <f>+O10/N10-1</f>
        <v>2.9389017788089777E-2</v>
      </c>
      <c r="P38" s="15">
        <f>+P10/O10-1</f>
        <v>6.7451373236497192E-2</v>
      </c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</row>
    <row r="39" spans="2:166" x14ac:dyDescent="0.2">
      <c r="B39" s="8" t="s">
        <v>43</v>
      </c>
      <c r="C39" s="9"/>
      <c r="D39" s="9"/>
      <c r="E39" s="15" t="e">
        <f t="shared" si="22"/>
        <v>#DIV/0!</v>
      </c>
      <c r="F39" s="15" t="e">
        <f t="shared" si="22"/>
        <v>#DIV/0!</v>
      </c>
      <c r="G39" s="15">
        <f t="shared" ref="G39:H44" si="24">+G11/E11-1</f>
        <v>5.3423786304854781E-2</v>
      </c>
      <c r="H39" s="15">
        <f t="shared" si="24"/>
        <v>-1</v>
      </c>
      <c r="I39" s="9"/>
      <c r="J39" s="9"/>
      <c r="K39" s="15" t="e">
        <f t="shared" si="23"/>
        <v>#DIV/0!</v>
      </c>
      <c r="L39" s="15" t="e">
        <f t="shared" si="23"/>
        <v>#DIV/0!</v>
      </c>
      <c r="M39" s="15">
        <f t="shared" si="23"/>
        <v>0.10008801710046522</v>
      </c>
      <c r="N39" s="15">
        <f t="shared" si="23"/>
        <v>4.9719967996342485E-2</v>
      </c>
      <c r="O39" s="15">
        <f t="shared" ref="O39:P44" si="25">+O11/N11-1</f>
        <v>6.2608885017421567E-2</v>
      </c>
      <c r="P39" s="15">
        <f t="shared" si="25"/>
        <v>0.10451890562557642</v>
      </c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</row>
    <row r="40" spans="2:166" x14ac:dyDescent="0.2">
      <c r="B40" s="8" t="s">
        <v>44</v>
      </c>
      <c r="C40" s="9"/>
      <c r="D40" s="9"/>
      <c r="E40" s="15" t="e">
        <f t="shared" si="22"/>
        <v>#DIV/0!</v>
      </c>
      <c r="F40" s="15" t="e">
        <f t="shared" si="22"/>
        <v>#DIV/0!</v>
      </c>
      <c r="G40" s="15">
        <f t="shared" si="24"/>
        <v>4.6082949308755783E-2</v>
      </c>
      <c r="H40" s="15">
        <f t="shared" si="24"/>
        <v>-1</v>
      </c>
      <c r="I40" s="9"/>
      <c r="J40" s="9"/>
      <c r="K40" s="15" t="e">
        <f t="shared" si="23"/>
        <v>#DIV/0!</v>
      </c>
      <c r="L40" s="15" t="e">
        <f t="shared" si="23"/>
        <v>#DIV/0!</v>
      </c>
      <c r="M40" s="15">
        <f t="shared" si="23"/>
        <v>0.11801730920535003</v>
      </c>
      <c r="N40" s="15">
        <f t="shared" si="23"/>
        <v>6.8261787473610225E-2</v>
      </c>
      <c r="O40" s="15">
        <f t="shared" si="25"/>
        <v>6.9499341238471679E-2</v>
      </c>
      <c r="P40" s="15">
        <f t="shared" si="25"/>
        <v>5.0200184785956337E-2</v>
      </c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</row>
    <row r="41" spans="2:166" x14ac:dyDescent="0.2">
      <c r="B41" s="8" t="s">
        <v>45</v>
      </c>
      <c r="C41" s="9"/>
      <c r="D41" s="9"/>
      <c r="E41" s="15" t="e">
        <f t="shared" si="22"/>
        <v>#DIV/0!</v>
      </c>
      <c r="F41" s="15" t="e">
        <f t="shared" si="22"/>
        <v>#DIV/0!</v>
      </c>
      <c r="G41" s="15">
        <f t="shared" si="24"/>
        <v>4.4016506189821225E-2</v>
      </c>
      <c r="H41" s="15">
        <f t="shared" si="24"/>
        <v>-1</v>
      </c>
      <c r="I41" s="9"/>
      <c r="J41" s="9"/>
      <c r="K41" s="15" t="e">
        <f t="shared" si="23"/>
        <v>#DIV/0!</v>
      </c>
      <c r="L41" s="15" t="e">
        <f t="shared" si="23"/>
        <v>#DIV/0!</v>
      </c>
      <c r="M41" s="15">
        <f t="shared" si="23"/>
        <v>0.24119718309859151</v>
      </c>
      <c r="N41" s="15">
        <f t="shared" si="23"/>
        <v>9.0070921985815566E-2</v>
      </c>
      <c r="O41" s="15">
        <f t="shared" si="25"/>
        <v>-9.1086532205595372E-3</v>
      </c>
      <c r="P41" s="15">
        <f t="shared" si="25"/>
        <v>-5.2527905449770707E-3</v>
      </c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</row>
    <row r="42" spans="2:166" x14ac:dyDescent="0.2">
      <c r="B42" s="8" t="s">
        <v>46</v>
      </c>
      <c r="C42" s="9"/>
      <c r="D42" s="9"/>
      <c r="E42" s="15" t="e">
        <f t="shared" si="22"/>
        <v>#DIV/0!</v>
      </c>
      <c r="F42" s="15" t="e">
        <f t="shared" si="22"/>
        <v>#DIV/0!</v>
      </c>
      <c r="G42" s="15">
        <f t="shared" si="24"/>
        <v>2.887391722810384E-2</v>
      </c>
      <c r="H42" s="15">
        <f t="shared" si="24"/>
        <v>-1</v>
      </c>
      <c r="I42" s="9"/>
      <c r="J42" s="9"/>
      <c r="K42" s="15" t="e">
        <f t="shared" si="23"/>
        <v>#DIV/0!</v>
      </c>
      <c r="L42" s="15" t="e">
        <f t="shared" si="23"/>
        <v>#DIV/0!</v>
      </c>
      <c r="M42" s="15">
        <f t="shared" si="23"/>
        <v>0.13183959996153471</v>
      </c>
      <c r="N42" s="15">
        <f t="shared" si="23"/>
        <v>3.6448598130841114E-2</v>
      </c>
      <c r="O42" s="15">
        <f t="shared" si="25"/>
        <v>2.8526928436757082E-2</v>
      </c>
      <c r="P42" s="15">
        <f t="shared" si="25"/>
        <v>8.3924444090220707E-2</v>
      </c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</row>
    <row r="43" spans="2:166" x14ac:dyDescent="0.2">
      <c r="B43" s="8" t="s">
        <v>47</v>
      </c>
      <c r="C43" s="9"/>
      <c r="D43" s="9"/>
      <c r="E43" s="15" t="e">
        <f t="shared" si="22"/>
        <v>#DIV/0!</v>
      </c>
      <c r="F43" s="15" t="e">
        <f t="shared" si="22"/>
        <v>#DIV/0!</v>
      </c>
      <c r="G43" s="15">
        <f t="shared" si="24"/>
        <v>3.9298669891172811E-2</v>
      </c>
      <c r="H43" s="15">
        <f t="shared" si="24"/>
        <v>-1</v>
      </c>
      <c r="I43" s="9"/>
      <c r="J43" s="9"/>
      <c r="K43" s="15" t="e">
        <f t="shared" si="23"/>
        <v>#DIV/0!</v>
      </c>
      <c r="L43" s="15" t="e">
        <f t="shared" si="23"/>
        <v>#DIV/0!</v>
      </c>
      <c r="M43" s="15">
        <f t="shared" si="23"/>
        <v>0.14640958644922963</v>
      </c>
      <c r="N43" s="15">
        <f t="shared" si="23"/>
        <v>3.701666142722404E-2</v>
      </c>
      <c r="O43" s="15">
        <f t="shared" si="25"/>
        <v>5.7976506252368276E-2</v>
      </c>
      <c r="P43" s="15">
        <f t="shared" si="25"/>
        <v>6.6690544412607355E-2</v>
      </c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</row>
    <row r="44" spans="2:166" x14ac:dyDescent="0.2">
      <c r="B44" s="8" t="s">
        <v>48</v>
      </c>
      <c r="C44" s="9"/>
      <c r="D44" s="9"/>
      <c r="E44" s="17" t="e">
        <f t="shared" si="22"/>
        <v>#DIV/0!</v>
      </c>
      <c r="F44" s="17" t="e">
        <f t="shared" si="22"/>
        <v>#DIV/0!</v>
      </c>
      <c r="G44" s="17">
        <f t="shared" si="24"/>
        <v>3.4241245136186871E-2</v>
      </c>
      <c r="H44" s="17">
        <f t="shared" si="24"/>
        <v>-1</v>
      </c>
      <c r="I44" s="13"/>
      <c r="J44" s="13"/>
      <c r="K44" s="17" t="e">
        <f t="shared" si="23"/>
        <v>#DIV/0!</v>
      </c>
      <c r="L44" s="17" t="e">
        <f t="shared" si="23"/>
        <v>#DIV/0!</v>
      </c>
      <c r="M44" s="17">
        <f t="shared" si="23"/>
        <v>0.13936180109777663</v>
      </c>
      <c r="N44" s="17">
        <f t="shared" si="23"/>
        <v>3.6784518657630549E-2</v>
      </c>
      <c r="O44" s="17">
        <f t="shared" si="25"/>
        <v>4.3827525103366849E-2</v>
      </c>
      <c r="P44" s="17">
        <f t="shared" si="25"/>
        <v>7.4807605251244969E-2</v>
      </c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</row>
    <row r="45" spans="2:166" x14ac:dyDescent="0.2">
      <c r="B45" s="8" t="s">
        <v>49</v>
      </c>
      <c r="C45" s="15" t="e">
        <f t="shared" ref="C45:F45" si="26">+C18/C16</f>
        <v>#DIV/0!</v>
      </c>
      <c r="D45" s="15" t="e">
        <f t="shared" si="26"/>
        <v>#DIV/0!</v>
      </c>
      <c r="E45" s="15">
        <f t="shared" si="26"/>
        <v>0.63976653696498054</v>
      </c>
      <c r="F45" s="15">
        <f t="shared" si="26"/>
        <v>0.6238839285714286</v>
      </c>
      <c r="G45" s="15">
        <f>+G18/G16</f>
        <v>0.64176072234762982</v>
      </c>
      <c r="H45" s="15" t="e">
        <f>+H18/H16</f>
        <v>#DIV/0!</v>
      </c>
      <c r="I45" s="9"/>
      <c r="J45" s="9"/>
      <c r="K45" s="15" t="e">
        <f t="shared" ref="K45:P45" si="27">+K18/K16</f>
        <v>#DIV/0!</v>
      </c>
      <c r="L45" s="15">
        <f t="shared" si="27"/>
        <v>0.63396595032096004</v>
      </c>
      <c r="M45" s="15">
        <f t="shared" si="27"/>
        <v>0.63713562505103294</v>
      </c>
      <c r="N45" s="15">
        <f t="shared" si="27"/>
        <v>0.63193542035833827</v>
      </c>
      <c r="O45" s="15">
        <f t="shared" si="27"/>
        <v>0.63399728383884113</v>
      </c>
      <c r="P45" s="15">
        <f t="shared" si="27"/>
        <v>0.60559474921905165</v>
      </c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</row>
    <row r="46" spans="2:166" x14ac:dyDescent="0.2">
      <c r="B46" s="8" t="s">
        <v>50</v>
      </c>
      <c r="C46" s="15" t="e">
        <f t="shared" ref="C46:F46" si="28">+C25/C16</f>
        <v>#DIV/0!</v>
      </c>
      <c r="D46" s="15" t="e">
        <f t="shared" si="28"/>
        <v>#DIV/0!</v>
      </c>
      <c r="E46" s="15">
        <f t="shared" si="28"/>
        <v>0.14249027237354087</v>
      </c>
      <c r="F46" s="15">
        <f t="shared" si="28"/>
        <v>0.10722257653061225</v>
      </c>
      <c r="G46" s="15">
        <f>+G25/G16</f>
        <v>0.14627539503386006</v>
      </c>
      <c r="H46" s="15" t="e">
        <f>+H25/H16</f>
        <v>#DIV/0!</v>
      </c>
      <c r="I46" s="9"/>
      <c r="J46" s="9"/>
      <c r="K46" s="15" t="e">
        <f t="shared" ref="K46:P46" si="29">+K25/K16</f>
        <v>#DIV/0!</v>
      </c>
      <c r="L46" s="15">
        <f t="shared" si="29"/>
        <v>0.161503395664713</v>
      </c>
      <c r="M46" s="15">
        <f t="shared" si="29"/>
        <v>0.16795950028578427</v>
      </c>
      <c r="N46" s="15">
        <f t="shared" si="29"/>
        <v>0.12510336680448908</v>
      </c>
      <c r="O46" s="15">
        <f t="shared" si="29"/>
        <v>0.13007393994265881</v>
      </c>
      <c r="P46" s="15">
        <f t="shared" si="29"/>
        <v>0.11863395458214875</v>
      </c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</row>
    <row r="47" spans="2:166" x14ac:dyDescent="0.2">
      <c r="B47" s="8" t="s">
        <v>51</v>
      </c>
      <c r="C47" s="15" t="e">
        <f t="shared" ref="C47:F47" si="30">+C30/C29</f>
        <v>#DIV/0!</v>
      </c>
      <c r="D47" s="15" t="e">
        <f t="shared" si="30"/>
        <v>#DIV/0!</v>
      </c>
      <c r="E47" s="15">
        <f t="shared" si="30"/>
        <v>0.18316268486916951</v>
      </c>
      <c r="F47" s="15">
        <f t="shared" si="30"/>
        <v>0.22474549725920126</v>
      </c>
      <c r="G47" s="15">
        <f>+G30/G29</f>
        <v>0.22986036519871106</v>
      </c>
      <c r="H47" s="15" t="e">
        <f>+H30/H29</f>
        <v>#DIV/0!</v>
      </c>
      <c r="I47" s="9"/>
      <c r="J47" s="9"/>
      <c r="K47" s="15" t="e">
        <f t="shared" ref="K47:P47" si="31">+K30/K29</f>
        <v>#DIV/0!</v>
      </c>
      <c r="L47" s="15">
        <f t="shared" si="31"/>
        <v>0.25240384615384615</v>
      </c>
      <c r="M47" s="15">
        <f t="shared" si="31"/>
        <v>0.24542032622333751</v>
      </c>
      <c r="N47" s="15">
        <f t="shared" si="31"/>
        <v>0.20059288537549408</v>
      </c>
      <c r="O47" s="15">
        <f t="shared" si="31"/>
        <v>0.24308720753570343</v>
      </c>
      <c r="P47" s="15">
        <f t="shared" si="31"/>
        <v>0.2353677621283255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</row>
    <row r="48" spans="2:166" x14ac:dyDescent="0.2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</row>
    <row r="49" spans="3:166" x14ac:dyDescent="0.2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</row>
    <row r="50" spans="3:166" x14ac:dyDescent="0.2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</row>
    <row r="51" spans="3:166" x14ac:dyDescent="0.2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</row>
    <row r="52" spans="3:166" x14ac:dyDescent="0.2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</row>
    <row r="53" spans="3:166" x14ac:dyDescent="0.2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</row>
    <row r="54" spans="3:166" x14ac:dyDescent="0.2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</row>
    <row r="55" spans="3:166" x14ac:dyDescent="0.2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</row>
    <row r="56" spans="3:166" x14ac:dyDescent="0.2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</row>
    <row r="57" spans="3:166" x14ac:dyDescent="0.2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</row>
    <row r="58" spans="3:166" x14ac:dyDescent="0.2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</row>
    <row r="59" spans="3:166" x14ac:dyDescent="0.2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</row>
    <row r="60" spans="3:166" x14ac:dyDescent="0.2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</row>
    <row r="61" spans="3:166" x14ac:dyDescent="0.2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</row>
    <row r="62" spans="3:166" x14ac:dyDescent="0.2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</row>
    <row r="63" spans="3:166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</row>
    <row r="64" spans="3:166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</row>
    <row r="65" spans="3:166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</row>
    <row r="66" spans="3:166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</row>
    <row r="67" spans="3:166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</row>
    <row r="68" spans="3:166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</row>
    <row r="69" spans="3:166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</row>
    <row r="70" spans="3:166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</row>
    <row r="71" spans="3:166" x14ac:dyDescent="0.2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</row>
    <row r="72" spans="3:166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</row>
    <row r="73" spans="3:166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</row>
    <row r="74" spans="3:166" x14ac:dyDescent="0.2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</row>
    <row r="75" spans="3:166" x14ac:dyDescent="0.2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</row>
    <row r="76" spans="3:166" x14ac:dyDescent="0.2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</row>
    <row r="77" spans="3:166" x14ac:dyDescent="0.2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</row>
    <row r="78" spans="3:166" x14ac:dyDescent="0.2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</row>
    <row r="79" spans="3:166" x14ac:dyDescent="0.2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</row>
    <row r="80" spans="3:166" x14ac:dyDescent="0.2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</row>
    <row r="81" spans="3:166" x14ac:dyDescent="0.2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</row>
    <row r="82" spans="3:166" x14ac:dyDescent="0.2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</row>
    <row r="83" spans="3:166" x14ac:dyDescent="0.2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</row>
    <row r="84" spans="3:166" x14ac:dyDescent="0.2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</row>
    <row r="85" spans="3:166" x14ac:dyDescent="0.2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</row>
    <row r="86" spans="3:166" x14ac:dyDescent="0.2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</row>
    <row r="87" spans="3:166" x14ac:dyDescent="0.2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</row>
    <row r="88" spans="3:166" x14ac:dyDescent="0.2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</row>
    <row r="89" spans="3:166" x14ac:dyDescent="0.2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</row>
    <row r="90" spans="3:166" x14ac:dyDescent="0.2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</row>
    <row r="91" spans="3:166" x14ac:dyDescent="0.2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  <c r="EK91" s="9"/>
      <c r="EL91" s="9"/>
      <c r="EM91" s="9"/>
      <c r="EN91" s="9"/>
      <c r="EO91" s="9"/>
      <c r="EP91" s="9"/>
      <c r="EQ91" s="9"/>
      <c r="ER91" s="9"/>
      <c r="ES91" s="9"/>
      <c r="ET91" s="9"/>
      <c r="EU91" s="9"/>
      <c r="EV91" s="9"/>
      <c r="EW91" s="9"/>
      <c r="EX91" s="9"/>
      <c r="EY91" s="9"/>
      <c r="EZ91" s="9"/>
      <c r="FA91" s="9"/>
      <c r="FB91" s="9"/>
      <c r="FC91" s="9"/>
      <c r="FD91" s="9"/>
      <c r="FE91" s="9"/>
      <c r="FF91" s="9"/>
      <c r="FG91" s="9"/>
      <c r="FH91" s="9"/>
      <c r="FI91" s="9"/>
      <c r="FJ91" s="9"/>
    </row>
    <row r="92" spans="3:166" x14ac:dyDescent="0.2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</row>
    <row r="93" spans="3:166" x14ac:dyDescent="0.2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</row>
    <row r="94" spans="3:166" x14ac:dyDescent="0.2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</row>
    <row r="95" spans="3:166" x14ac:dyDescent="0.2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</row>
    <row r="96" spans="3:166" x14ac:dyDescent="0.2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  <c r="ER96" s="9"/>
      <c r="ES96" s="9"/>
      <c r="ET96" s="9"/>
      <c r="EU96" s="9"/>
      <c r="EV96" s="9"/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</row>
    <row r="97" spans="3:166" x14ac:dyDescent="0.2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  <c r="ER97" s="9"/>
      <c r="ES97" s="9"/>
      <c r="ET97" s="9"/>
      <c r="EU97" s="9"/>
      <c r="EV97" s="9"/>
      <c r="EW97" s="9"/>
      <c r="EX97" s="9"/>
      <c r="EY97" s="9"/>
      <c r="EZ97" s="9"/>
      <c r="FA97" s="9"/>
      <c r="FB97" s="9"/>
      <c r="FC97" s="9"/>
      <c r="FD97" s="9"/>
      <c r="FE97" s="9"/>
      <c r="FF97" s="9"/>
      <c r="FG97" s="9"/>
      <c r="FH97" s="9"/>
      <c r="FI97" s="9"/>
      <c r="FJ97" s="9"/>
    </row>
    <row r="98" spans="3:166" x14ac:dyDescent="0.2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  <c r="ER98" s="9"/>
      <c r="ES98" s="9"/>
      <c r="ET98" s="9"/>
      <c r="EU98" s="9"/>
      <c r="EV98" s="9"/>
      <c r="EW98" s="9"/>
      <c r="EX98" s="9"/>
      <c r="EY98" s="9"/>
      <c r="EZ98" s="9"/>
      <c r="FA98" s="9"/>
      <c r="FB98" s="9"/>
      <c r="FC98" s="9"/>
      <c r="FD98" s="9"/>
      <c r="FE98" s="9"/>
      <c r="FF98" s="9"/>
      <c r="FG98" s="9"/>
      <c r="FH98" s="9"/>
      <c r="FI98" s="9"/>
      <c r="FJ98" s="9"/>
    </row>
    <row r="99" spans="3:166" x14ac:dyDescent="0.2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9"/>
      <c r="EL99" s="9"/>
      <c r="EM99" s="9"/>
      <c r="EN99" s="9"/>
      <c r="EO99" s="9"/>
      <c r="EP99" s="9"/>
      <c r="EQ99" s="9"/>
      <c r="ER99" s="9"/>
      <c r="ES99" s="9"/>
      <c r="ET99" s="9"/>
      <c r="EU99" s="9"/>
      <c r="EV99" s="9"/>
      <c r="EW99" s="9"/>
      <c r="EX99" s="9"/>
      <c r="EY99" s="9"/>
      <c r="EZ99" s="9"/>
      <c r="FA99" s="9"/>
      <c r="FB99" s="9"/>
      <c r="FC99" s="9"/>
      <c r="FD99" s="9"/>
      <c r="FE99" s="9"/>
      <c r="FF99" s="9"/>
      <c r="FG99" s="9"/>
      <c r="FH99" s="9"/>
      <c r="FI99" s="9"/>
      <c r="FJ99" s="9"/>
    </row>
    <row r="100" spans="3:166" x14ac:dyDescent="0.2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9"/>
      <c r="EL100" s="9"/>
      <c r="EM100" s="9"/>
      <c r="EN100" s="9"/>
      <c r="EO100" s="9"/>
      <c r="EP100" s="9"/>
      <c r="EQ100" s="9"/>
      <c r="ER100" s="9"/>
      <c r="ES100" s="9"/>
      <c r="ET100" s="9"/>
      <c r="EU100" s="9"/>
      <c r="EV100" s="9"/>
      <c r="EW100" s="9"/>
      <c r="EX100" s="9"/>
      <c r="EY100" s="9"/>
      <c r="EZ100" s="9"/>
      <c r="FA100" s="9"/>
      <c r="FB100" s="9"/>
      <c r="FC100" s="9"/>
      <c r="FD100" s="9"/>
      <c r="FE100" s="9"/>
      <c r="FF100" s="9"/>
      <c r="FG100" s="9"/>
      <c r="FH100" s="9"/>
      <c r="FI100" s="9"/>
      <c r="FJ100" s="9"/>
    </row>
    <row r="101" spans="3:166" x14ac:dyDescent="0.2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</row>
    <row r="102" spans="3:166" x14ac:dyDescent="0.2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9"/>
      <c r="EL102" s="9"/>
      <c r="EM102" s="9"/>
      <c r="EN102" s="9"/>
      <c r="EO102" s="9"/>
      <c r="EP102" s="9"/>
      <c r="EQ102" s="9"/>
      <c r="ER102" s="9"/>
      <c r="ES102" s="9"/>
      <c r="ET102" s="9"/>
      <c r="EU102" s="9"/>
      <c r="EV102" s="9"/>
      <c r="EW102" s="9"/>
      <c r="EX102" s="9"/>
      <c r="EY102" s="9"/>
      <c r="EZ102" s="9"/>
      <c r="FA102" s="9"/>
      <c r="FB102" s="9"/>
      <c r="FC102" s="9"/>
      <c r="FD102" s="9"/>
      <c r="FE102" s="9"/>
      <c r="FF102" s="9"/>
      <c r="FG102" s="9"/>
      <c r="FH102" s="9"/>
      <c r="FI102" s="9"/>
      <c r="FJ102" s="9"/>
    </row>
    <row r="103" spans="3:166" x14ac:dyDescent="0.2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9"/>
      <c r="EL103" s="9"/>
      <c r="EM103" s="9"/>
      <c r="EN103" s="9"/>
      <c r="EO103" s="9"/>
      <c r="EP103" s="9"/>
      <c r="EQ103" s="9"/>
      <c r="ER103" s="9"/>
      <c r="ES103" s="9"/>
      <c r="ET103" s="9"/>
      <c r="EU103" s="9"/>
      <c r="EV103" s="9"/>
      <c r="EW103" s="9"/>
      <c r="EX103" s="9"/>
      <c r="EY103" s="9"/>
      <c r="EZ103" s="9"/>
      <c r="FA103" s="9"/>
      <c r="FB103" s="9"/>
      <c r="FC103" s="9"/>
      <c r="FD103" s="9"/>
      <c r="FE103" s="9"/>
      <c r="FF103" s="9"/>
      <c r="FG103" s="9"/>
      <c r="FH103" s="9"/>
      <c r="FI103" s="9"/>
      <c r="FJ103" s="9"/>
    </row>
    <row r="104" spans="3:166" x14ac:dyDescent="0.2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9"/>
      <c r="EL104" s="9"/>
      <c r="EM104" s="9"/>
      <c r="EN104" s="9"/>
      <c r="EO104" s="9"/>
      <c r="EP104" s="9"/>
      <c r="EQ104" s="9"/>
      <c r="ER104" s="9"/>
      <c r="ES104" s="9"/>
      <c r="ET104" s="9"/>
      <c r="EU104" s="9"/>
      <c r="EV104" s="9"/>
      <c r="EW104" s="9"/>
      <c r="EX104" s="9"/>
      <c r="EY104" s="9"/>
      <c r="EZ104" s="9"/>
      <c r="FA104" s="9"/>
      <c r="FB104" s="9"/>
      <c r="FC104" s="9"/>
      <c r="FD104" s="9"/>
      <c r="FE104" s="9"/>
      <c r="FF104" s="9"/>
      <c r="FG104" s="9"/>
      <c r="FH104" s="9"/>
      <c r="FI104" s="9"/>
      <c r="FJ104" s="9"/>
    </row>
    <row r="105" spans="3:166" x14ac:dyDescent="0.2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  <c r="ER105" s="9"/>
      <c r="ES105" s="9"/>
      <c r="ET105" s="9"/>
      <c r="EU105" s="9"/>
      <c r="EV105" s="9"/>
      <c r="EW105" s="9"/>
      <c r="EX105" s="9"/>
      <c r="EY105" s="9"/>
      <c r="EZ105" s="9"/>
      <c r="FA105" s="9"/>
      <c r="FB105" s="9"/>
      <c r="FC105" s="9"/>
      <c r="FD105" s="9"/>
      <c r="FE105" s="9"/>
      <c r="FF105" s="9"/>
      <c r="FG105" s="9"/>
      <c r="FH105" s="9"/>
      <c r="FI105" s="9"/>
      <c r="FJ105" s="9"/>
    </row>
    <row r="106" spans="3:166" x14ac:dyDescent="0.2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9"/>
      <c r="EU106" s="9"/>
      <c r="EV106" s="9"/>
      <c r="EW106" s="9"/>
      <c r="EX106" s="9"/>
      <c r="EY106" s="9"/>
      <c r="EZ106" s="9"/>
      <c r="FA106" s="9"/>
      <c r="FB106" s="9"/>
      <c r="FC106" s="9"/>
      <c r="FD106" s="9"/>
      <c r="FE106" s="9"/>
      <c r="FF106" s="9"/>
      <c r="FG106" s="9"/>
      <c r="FH106" s="9"/>
      <c r="FI106" s="9"/>
      <c r="FJ106" s="9"/>
    </row>
    <row r="107" spans="3:166" x14ac:dyDescent="0.2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</row>
    <row r="108" spans="3:166" x14ac:dyDescent="0.2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  <c r="ER108" s="9"/>
      <c r="ES108" s="9"/>
      <c r="ET108" s="9"/>
      <c r="EU108" s="9"/>
      <c r="EV108" s="9"/>
      <c r="EW108" s="9"/>
      <c r="EX108" s="9"/>
      <c r="EY108" s="9"/>
      <c r="EZ108" s="9"/>
      <c r="FA108" s="9"/>
      <c r="FB108" s="9"/>
      <c r="FC108" s="9"/>
      <c r="FD108" s="9"/>
      <c r="FE108" s="9"/>
      <c r="FF108" s="9"/>
      <c r="FG108" s="9"/>
      <c r="FH108" s="9"/>
      <c r="FI108" s="9"/>
      <c r="FJ108" s="9"/>
    </row>
    <row r="109" spans="3:166" x14ac:dyDescent="0.2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  <c r="ER109" s="9"/>
      <c r="ES109" s="9"/>
      <c r="ET109" s="9"/>
      <c r="EU109" s="9"/>
      <c r="EV109" s="9"/>
      <c r="EW109" s="9"/>
      <c r="EX109" s="9"/>
      <c r="EY109" s="9"/>
      <c r="EZ109" s="9"/>
      <c r="FA109" s="9"/>
      <c r="FB109" s="9"/>
      <c r="FC109" s="9"/>
      <c r="FD109" s="9"/>
      <c r="FE109" s="9"/>
      <c r="FF109" s="9"/>
      <c r="FG109" s="9"/>
      <c r="FH109" s="9"/>
      <c r="FI109" s="9"/>
      <c r="FJ109" s="9"/>
    </row>
    <row r="110" spans="3:166" x14ac:dyDescent="0.2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  <c r="ER110" s="9"/>
      <c r="ES110" s="9"/>
      <c r="ET110" s="9"/>
      <c r="EU110" s="9"/>
      <c r="EV110" s="9"/>
      <c r="EW110" s="9"/>
      <c r="EX110" s="9"/>
      <c r="EY110" s="9"/>
      <c r="EZ110" s="9"/>
      <c r="FA110" s="9"/>
      <c r="FB110" s="9"/>
      <c r="FC110" s="9"/>
      <c r="FD110" s="9"/>
      <c r="FE110" s="9"/>
      <c r="FF110" s="9"/>
      <c r="FG110" s="9"/>
      <c r="FH110" s="9"/>
      <c r="FI110" s="9"/>
      <c r="FJ110" s="9"/>
    </row>
    <row r="111" spans="3:166" x14ac:dyDescent="0.2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  <c r="ER111" s="9"/>
      <c r="ES111" s="9"/>
      <c r="ET111" s="9"/>
      <c r="EU111" s="9"/>
      <c r="EV111" s="9"/>
      <c r="EW111" s="9"/>
      <c r="EX111" s="9"/>
      <c r="EY111" s="9"/>
      <c r="EZ111" s="9"/>
      <c r="FA111" s="9"/>
      <c r="FB111" s="9"/>
      <c r="FC111" s="9"/>
      <c r="FD111" s="9"/>
      <c r="FE111" s="9"/>
      <c r="FF111" s="9"/>
      <c r="FG111" s="9"/>
      <c r="FH111" s="9"/>
      <c r="FI111" s="9"/>
      <c r="FJ111" s="9"/>
    </row>
    <row r="112" spans="3:166" x14ac:dyDescent="0.2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  <c r="ER112" s="9"/>
      <c r="ES112" s="9"/>
      <c r="ET112" s="9"/>
      <c r="EU112" s="9"/>
      <c r="EV112" s="9"/>
      <c r="EW112" s="9"/>
      <c r="EX112" s="9"/>
      <c r="EY112" s="9"/>
      <c r="EZ112" s="9"/>
      <c r="FA112" s="9"/>
      <c r="FB112" s="9"/>
      <c r="FC112" s="9"/>
      <c r="FD112" s="9"/>
      <c r="FE112" s="9"/>
      <c r="FF112" s="9"/>
      <c r="FG112" s="9"/>
      <c r="FH112" s="9"/>
      <c r="FI112" s="9"/>
      <c r="FJ112" s="9"/>
    </row>
    <row r="113" spans="3:166" x14ac:dyDescent="0.2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  <c r="ER113" s="9"/>
      <c r="ES113" s="9"/>
      <c r="ET113" s="9"/>
      <c r="EU113" s="9"/>
      <c r="EV113" s="9"/>
      <c r="EW113" s="9"/>
      <c r="EX113" s="9"/>
      <c r="EY113" s="9"/>
      <c r="EZ113" s="9"/>
      <c r="FA113" s="9"/>
      <c r="FB113" s="9"/>
      <c r="FC113" s="9"/>
      <c r="FD113" s="9"/>
      <c r="FE113" s="9"/>
      <c r="FF113" s="9"/>
      <c r="FG113" s="9"/>
      <c r="FH113" s="9"/>
      <c r="FI113" s="9"/>
      <c r="FJ113" s="9"/>
    </row>
    <row r="114" spans="3:166" x14ac:dyDescent="0.2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  <c r="ER114" s="9"/>
      <c r="ES114" s="9"/>
      <c r="ET114" s="9"/>
      <c r="EU114" s="9"/>
      <c r="EV114" s="9"/>
      <c r="EW114" s="9"/>
      <c r="EX114" s="9"/>
      <c r="EY114" s="9"/>
      <c r="EZ114" s="9"/>
      <c r="FA114" s="9"/>
      <c r="FB114" s="9"/>
      <c r="FC114" s="9"/>
      <c r="FD114" s="9"/>
      <c r="FE114" s="9"/>
      <c r="FF114" s="9"/>
      <c r="FG114" s="9"/>
      <c r="FH114" s="9"/>
      <c r="FI114" s="9"/>
      <c r="FJ114" s="9"/>
    </row>
    <row r="115" spans="3:166" x14ac:dyDescent="0.2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  <c r="ER115" s="9"/>
      <c r="ES115" s="9"/>
      <c r="ET115" s="9"/>
      <c r="EU115" s="9"/>
      <c r="EV115" s="9"/>
      <c r="EW115" s="9"/>
      <c r="EX115" s="9"/>
      <c r="EY115" s="9"/>
      <c r="EZ115" s="9"/>
      <c r="FA115" s="9"/>
      <c r="FB115" s="9"/>
      <c r="FC115" s="9"/>
      <c r="FD115" s="9"/>
      <c r="FE115" s="9"/>
      <c r="FF115" s="9"/>
      <c r="FG115" s="9"/>
      <c r="FH115" s="9"/>
      <c r="FI115" s="9"/>
      <c r="FJ115" s="9"/>
    </row>
    <row r="116" spans="3:166" x14ac:dyDescent="0.2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  <c r="ER116" s="9"/>
      <c r="ES116" s="9"/>
      <c r="ET116" s="9"/>
      <c r="EU116" s="9"/>
      <c r="EV116" s="9"/>
      <c r="EW116" s="9"/>
      <c r="EX116" s="9"/>
      <c r="EY116" s="9"/>
      <c r="EZ116" s="9"/>
      <c r="FA116" s="9"/>
      <c r="FB116" s="9"/>
      <c r="FC116" s="9"/>
      <c r="FD116" s="9"/>
      <c r="FE116" s="9"/>
      <c r="FF116" s="9"/>
      <c r="FG116" s="9"/>
      <c r="FH116" s="9"/>
      <c r="FI116" s="9"/>
      <c r="FJ116" s="9"/>
    </row>
    <row r="117" spans="3:166" x14ac:dyDescent="0.2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  <c r="ER117" s="9"/>
      <c r="ES117" s="9"/>
      <c r="ET117" s="9"/>
      <c r="EU117" s="9"/>
      <c r="EV117" s="9"/>
      <c r="EW117" s="9"/>
      <c r="EX117" s="9"/>
      <c r="EY117" s="9"/>
      <c r="EZ117" s="9"/>
      <c r="FA117" s="9"/>
      <c r="FB117" s="9"/>
      <c r="FC117" s="9"/>
      <c r="FD117" s="9"/>
      <c r="FE117" s="9"/>
      <c r="FF117" s="9"/>
      <c r="FG117" s="9"/>
      <c r="FH117" s="9"/>
      <c r="FI117" s="9"/>
      <c r="FJ117" s="9"/>
    </row>
    <row r="118" spans="3:166" x14ac:dyDescent="0.2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  <c r="ER118" s="9"/>
      <c r="ES118" s="9"/>
      <c r="ET118" s="9"/>
      <c r="EU118" s="9"/>
      <c r="EV118" s="9"/>
      <c r="EW118" s="9"/>
      <c r="EX118" s="9"/>
      <c r="EY118" s="9"/>
      <c r="EZ118" s="9"/>
      <c r="FA118" s="9"/>
      <c r="FB118" s="9"/>
      <c r="FC118" s="9"/>
      <c r="FD118" s="9"/>
      <c r="FE118" s="9"/>
      <c r="FF118" s="9"/>
      <c r="FG118" s="9"/>
      <c r="FH118" s="9"/>
      <c r="FI118" s="9"/>
      <c r="FJ118" s="9"/>
    </row>
    <row r="119" spans="3:166" x14ac:dyDescent="0.2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  <c r="ER119" s="9"/>
      <c r="ES119" s="9"/>
      <c r="ET119" s="9"/>
      <c r="EU119" s="9"/>
      <c r="EV119" s="9"/>
      <c r="EW119" s="9"/>
      <c r="EX119" s="9"/>
      <c r="EY119" s="9"/>
      <c r="EZ119" s="9"/>
      <c r="FA119" s="9"/>
      <c r="FB119" s="9"/>
      <c r="FC119" s="9"/>
      <c r="FD119" s="9"/>
      <c r="FE119" s="9"/>
      <c r="FF119" s="9"/>
      <c r="FG119" s="9"/>
      <c r="FH119" s="9"/>
      <c r="FI119" s="9"/>
      <c r="FJ119" s="9"/>
    </row>
    <row r="120" spans="3:166" x14ac:dyDescent="0.2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  <c r="EC120" s="9"/>
      <c r="ED120" s="9"/>
      <c r="EE120" s="9"/>
      <c r="EF120" s="9"/>
      <c r="EG120" s="9"/>
      <c r="EH120" s="9"/>
      <c r="EI120" s="9"/>
      <c r="EJ120" s="9"/>
      <c r="EK120" s="9"/>
      <c r="EL120" s="9"/>
      <c r="EM120" s="9"/>
      <c r="EN120" s="9"/>
      <c r="EO120" s="9"/>
      <c r="EP120" s="9"/>
      <c r="EQ120" s="9"/>
      <c r="ER120" s="9"/>
      <c r="ES120" s="9"/>
      <c r="ET120" s="9"/>
      <c r="EU120" s="9"/>
      <c r="EV120" s="9"/>
      <c r="EW120" s="9"/>
      <c r="EX120" s="9"/>
      <c r="EY120" s="9"/>
      <c r="EZ120" s="9"/>
      <c r="FA120" s="9"/>
      <c r="FB120" s="9"/>
      <c r="FC120" s="9"/>
      <c r="FD120" s="9"/>
      <c r="FE120" s="9"/>
      <c r="FF120" s="9"/>
      <c r="FG120" s="9"/>
      <c r="FH120" s="9"/>
      <c r="FI120" s="9"/>
      <c r="FJ120" s="9"/>
    </row>
    <row r="121" spans="3:166" x14ac:dyDescent="0.2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  <c r="EC121" s="9"/>
      <c r="ED121" s="9"/>
      <c r="EE121" s="9"/>
      <c r="EF121" s="9"/>
      <c r="EG121" s="9"/>
      <c r="EH121" s="9"/>
      <c r="EI121" s="9"/>
      <c r="EJ121" s="9"/>
      <c r="EK121" s="9"/>
      <c r="EL121" s="9"/>
      <c r="EM121" s="9"/>
      <c r="EN121" s="9"/>
      <c r="EO121" s="9"/>
      <c r="EP121" s="9"/>
      <c r="EQ121" s="9"/>
      <c r="ER121" s="9"/>
      <c r="ES121" s="9"/>
      <c r="ET121" s="9"/>
      <c r="EU121" s="9"/>
      <c r="EV121" s="9"/>
      <c r="EW121" s="9"/>
      <c r="EX121" s="9"/>
      <c r="EY121" s="9"/>
      <c r="EZ121" s="9"/>
      <c r="FA121" s="9"/>
      <c r="FB121" s="9"/>
      <c r="FC121" s="9"/>
      <c r="FD121" s="9"/>
      <c r="FE121" s="9"/>
      <c r="FF121" s="9"/>
      <c r="FG121" s="9"/>
      <c r="FH121" s="9"/>
      <c r="FI121" s="9"/>
      <c r="FJ121" s="9"/>
    </row>
    <row r="122" spans="3:166" x14ac:dyDescent="0.2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  <c r="ER122" s="9"/>
      <c r="ES122" s="9"/>
      <c r="ET122" s="9"/>
      <c r="EU122" s="9"/>
      <c r="EV122" s="9"/>
      <c r="EW122" s="9"/>
      <c r="EX122" s="9"/>
      <c r="EY122" s="9"/>
      <c r="EZ122" s="9"/>
      <c r="FA122" s="9"/>
      <c r="FB122" s="9"/>
      <c r="FC122" s="9"/>
      <c r="FD122" s="9"/>
      <c r="FE122" s="9"/>
      <c r="FF122" s="9"/>
      <c r="FG122" s="9"/>
      <c r="FH122" s="9"/>
      <c r="FI122" s="9"/>
      <c r="FJ122" s="9"/>
    </row>
    <row r="123" spans="3:166" x14ac:dyDescent="0.2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  <c r="ER123" s="9"/>
      <c r="ES123" s="9"/>
      <c r="ET123" s="9"/>
      <c r="EU123" s="9"/>
      <c r="EV123" s="9"/>
      <c r="EW123" s="9"/>
      <c r="EX123" s="9"/>
      <c r="EY123" s="9"/>
      <c r="EZ123" s="9"/>
      <c r="FA123" s="9"/>
      <c r="FB123" s="9"/>
      <c r="FC123" s="9"/>
      <c r="FD123" s="9"/>
      <c r="FE123" s="9"/>
      <c r="FF123" s="9"/>
      <c r="FG123" s="9"/>
      <c r="FH123" s="9"/>
      <c r="FI123" s="9"/>
      <c r="FJ123" s="9"/>
    </row>
    <row r="124" spans="3:166" x14ac:dyDescent="0.2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  <c r="EF124" s="9"/>
      <c r="EG124" s="9"/>
      <c r="EH124" s="9"/>
      <c r="EI124" s="9"/>
      <c r="EJ124" s="9"/>
      <c r="EK124" s="9"/>
      <c r="EL124" s="9"/>
      <c r="EM124" s="9"/>
      <c r="EN124" s="9"/>
      <c r="EO124" s="9"/>
      <c r="EP124" s="9"/>
      <c r="EQ124" s="9"/>
      <c r="ER124" s="9"/>
      <c r="ES124" s="9"/>
      <c r="ET124" s="9"/>
      <c r="EU124" s="9"/>
      <c r="EV124" s="9"/>
      <c r="EW124" s="9"/>
      <c r="EX124" s="9"/>
      <c r="EY124" s="9"/>
      <c r="EZ124" s="9"/>
      <c r="FA124" s="9"/>
      <c r="FB124" s="9"/>
      <c r="FC124" s="9"/>
      <c r="FD124" s="9"/>
      <c r="FE124" s="9"/>
      <c r="FF124" s="9"/>
      <c r="FG124" s="9"/>
      <c r="FH124" s="9"/>
      <c r="FI124" s="9"/>
      <c r="FJ124" s="9"/>
    </row>
    <row r="125" spans="3:166" x14ac:dyDescent="0.2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  <c r="EF125" s="9"/>
      <c r="EG125" s="9"/>
      <c r="EH125" s="9"/>
      <c r="EI125" s="9"/>
      <c r="EJ125" s="9"/>
      <c r="EK125" s="9"/>
      <c r="EL125" s="9"/>
      <c r="EM125" s="9"/>
      <c r="EN125" s="9"/>
      <c r="EO125" s="9"/>
      <c r="EP125" s="9"/>
      <c r="EQ125" s="9"/>
      <c r="ER125" s="9"/>
      <c r="ES125" s="9"/>
      <c r="ET125" s="9"/>
      <c r="EU125" s="9"/>
      <c r="EV125" s="9"/>
      <c r="EW125" s="9"/>
      <c r="EX125" s="9"/>
      <c r="EY125" s="9"/>
      <c r="EZ125" s="9"/>
      <c r="FA125" s="9"/>
      <c r="FB125" s="9"/>
      <c r="FC125" s="9"/>
      <c r="FD125" s="9"/>
      <c r="FE125" s="9"/>
      <c r="FF125" s="9"/>
      <c r="FG125" s="9"/>
      <c r="FH125" s="9"/>
      <c r="FI125" s="9"/>
      <c r="FJ125" s="9"/>
    </row>
    <row r="126" spans="3:166" x14ac:dyDescent="0.2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  <c r="EF126" s="9"/>
      <c r="EG126" s="9"/>
      <c r="EH126" s="9"/>
      <c r="EI126" s="9"/>
      <c r="EJ126" s="9"/>
      <c r="EK126" s="9"/>
      <c r="EL126" s="9"/>
      <c r="EM126" s="9"/>
      <c r="EN126" s="9"/>
      <c r="EO126" s="9"/>
      <c r="EP126" s="9"/>
      <c r="EQ126" s="9"/>
      <c r="ER126" s="9"/>
      <c r="ES126" s="9"/>
      <c r="ET126" s="9"/>
      <c r="EU126" s="9"/>
      <c r="EV126" s="9"/>
      <c r="EW126" s="9"/>
      <c r="EX126" s="9"/>
      <c r="EY126" s="9"/>
      <c r="EZ126" s="9"/>
      <c r="FA126" s="9"/>
      <c r="FB126" s="9"/>
      <c r="FC126" s="9"/>
      <c r="FD126" s="9"/>
      <c r="FE126" s="9"/>
      <c r="FF126" s="9"/>
      <c r="FG126" s="9"/>
      <c r="FH126" s="9"/>
      <c r="FI126" s="9"/>
      <c r="FJ126" s="9"/>
    </row>
    <row r="127" spans="3:166" x14ac:dyDescent="0.2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  <c r="EC127" s="9"/>
      <c r="ED127" s="9"/>
      <c r="EE127" s="9"/>
      <c r="EF127" s="9"/>
      <c r="EG127" s="9"/>
      <c r="EH127" s="9"/>
      <c r="EI127" s="9"/>
      <c r="EJ127" s="9"/>
      <c r="EK127" s="9"/>
      <c r="EL127" s="9"/>
      <c r="EM127" s="9"/>
      <c r="EN127" s="9"/>
      <c r="EO127" s="9"/>
      <c r="EP127" s="9"/>
      <c r="EQ127" s="9"/>
      <c r="ER127" s="9"/>
      <c r="ES127" s="9"/>
      <c r="ET127" s="9"/>
      <c r="EU127" s="9"/>
      <c r="EV127" s="9"/>
      <c r="EW127" s="9"/>
      <c r="EX127" s="9"/>
      <c r="EY127" s="9"/>
      <c r="EZ127" s="9"/>
      <c r="FA127" s="9"/>
      <c r="FB127" s="9"/>
      <c r="FC127" s="9"/>
      <c r="FD127" s="9"/>
      <c r="FE127" s="9"/>
      <c r="FF127" s="9"/>
      <c r="FG127" s="9"/>
      <c r="FH127" s="9"/>
      <c r="FI127" s="9"/>
      <c r="FJ127" s="9"/>
    </row>
    <row r="128" spans="3:166" x14ac:dyDescent="0.2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  <c r="EC128" s="9"/>
      <c r="ED128" s="9"/>
      <c r="EE128" s="9"/>
      <c r="EF128" s="9"/>
      <c r="EG128" s="9"/>
      <c r="EH128" s="9"/>
      <c r="EI128" s="9"/>
      <c r="EJ128" s="9"/>
      <c r="EK128" s="9"/>
      <c r="EL128" s="9"/>
      <c r="EM128" s="9"/>
      <c r="EN128" s="9"/>
      <c r="EO128" s="9"/>
      <c r="EP128" s="9"/>
      <c r="EQ128" s="9"/>
      <c r="ER128" s="9"/>
      <c r="ES128" s="9"/>
      <c r="ET128" s="9"/>
      <c r="EU128" s="9"/>
      <c r="EV128" s="9"/>
      <c r="EW128" s="9"/>
      <c r="EX128" s="9"/>
      <c r="EY128" s="9"/>
      <c r="EZ128" s="9"/>
      <c r="FA128" s="9"/>
      <c r="FB128" s="9"/>
      <c r="FC128" s="9"/>
      <c r="FD128" s="9"/>
      <c r="FE128" s="9"/>
      <c r="FF128" s="9"/>
      <c r="FG128" s="9"/>
      <c r="FH128" s="9"/>
      <c r="FI128" s="9"/>
      <c r="FJ128" s="9"/>
    </row>
    <row r="129" spans="3:166" x14ac:dyDescent="0.2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  <c r="EC129" s="9"/>
      <c r="ED129" s="9"/>
      <c r="EE129" s="9"/>
      <c r="EF129" s="9"/>
      <c r="EG129" s="9"/>
      <c r="EH129" s="9"/>
      <c r="EI129" s="9"/>
      <c r="EJ129" s="9"/>
      <c r="EK129" s="9"/>
      <c r="EL129" s="9"/>
      <c r="EM129" s="9"/>
      <c r="EN129" s="9"/>
      <c r="EO129" s="9"/>
      <c r="EP129" s="9"/>
      <c r="EQ129" s="9"/>
      <c r="ER129" s="9"/>
      <c r="ES129" s="9"/>
      <c r="ET129" s="9"/>
      <c r="EU129" s="9"/>
      <c r="EV129" s="9"/>
      <c r="EW129" s="9"/>
      <c r="EX129" s="9"/>
      <c r="EY129" s="9"/>
      <c r="EZ129" s="9"/>
      <c r="FA129" s="9"/>
      <c r="FB129" s="9"/>
      <c r="FC129" s="9"/>
      <c r="FD129" s="9"/>
      <c r="FE129" s="9"/>
      <c r="FF129" s="9"/>
      <c r="FG129" s="9"/>
      <c r="FH129" s="9"/>
      <c r="FI129" s="9"/>
      <c r="FJ129" s="9"/>
    </row>
    <row r="130" spans="3:166" x14ac:dyDescent="0.2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  <c r="EC130" s="9"/>
      <c r="ED130" s="9"/>
      <c r="EE130" s="9"/>
      <c r="EF130" s="9"/>
      <c r="EG130" s="9"/>
      <c r="EH130" s="9"/>
      <c r="EI130" s="9"/>
      <c r="EJ130" s="9"/>
      <c r="EK130" s="9"/>
      <c r="EL130" s="9"/>
      <c r="EM130" s="9"/>
      <c r="EN130" s="9"/>
      <c r="EO130" s="9"/>
      <c r="EP130" s="9"/>
      <c r="EQ130" s="9"/>
      <c r="ER130" s="9"/>
      <c r="ES130" s="9"/>
      <c r="ET130" s="9"/>
      <c r="EU130" s="9"/>
      <c r="EV130" s="9"/>
      <c r="EW130" s="9"/>
      <c r="EX130" s="9"/>
      <c r="EY130" s="9"/>
      <c r="EZ130" s="9"/>
      <c r="FA130" s="9"/>
      <c r="FB130" s="9"/>
      <c r="FC130" s="9"/>
      <c r="FD130" s="9"/>
      <c r="FE130" s="9"/>
      <c r="FF130" s="9"/>
      <c r="FG130" s="9"/>
      <c r="FH130" s="9"/>
      <c r="FI130" s="9"/>
      <c r="FJ130" s="9"/>
    </row>
    <row r="131" spans="3:166" x14ac:dyDescent="0.2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  <c r="EC131" s="9"/>
      <c r="ED131" s="9"/>
      <c r="EE131" s="9"/>
      <c r="EF131" s="9"/>
      <c r="EG131" s="9"/>
      <c r="EH131" s="9"/>
      <c r="EI131" s="9"/>
      <c r="EJ131" s="9"/>
      <c r="EK131" s="9"/>
      <c r="EL131" s="9"/>
      <c r="EM131" s="9"/>
      <c r="EN131" s="9"/>
      <c r="EO131" s="9"/>
      <c r="EP131" s="9"/>
      <c r="EQ131" s="9"/>
      <c r="ER131" s="9"/>
      <c r="ES131" s="9"/>
      <c r="ET131" s="9"/>
      <c r="EU131" s="9"/>
      <c r="EV131" s="9"/>
      <c r="EW131" s="9"/>
      <c r="EX131" s="9"/>
      <c r="EY131" s="9"/>
      <c r="EZ131" s="9"/>
      <c r="FA131" s="9"/>
      <c r="FB131" s="9"/>
      <c r="FC131" s="9"/>
      <c r="FD131" s="9"/>
      <c r="FE131" s="9"/>
      <c r="FF131" s="9"/>
      <c r="FG131" s="9"/>
      <c r="FH131" s="9"/>
      <c r="FI131" s="9"/>
      <c r="FJ131" s="9"/>
    </row>
    <row r="132" spans="3:166" x14ac:dyDescent="0.2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  <c r="EC132" s="9"/>
      <c r="ED132" s="9"/>
      <c r="EE132" s="9"/>
      <c r="EF132" s="9"/>
      <c r="EG132" s="9"/>
      <c r="EH132" s="9"/>
      <c r="EI132" s="9"/>
      <c r="EJ132" s="9"/>
      <c r="EK132" s="9"/>
      <c r="EL132" s="9"/>
      <c r="EM132" s="9"/>
      <c r="EN132" s="9"/>
      <c r="EO132" s="9"/>
      <c r="EP132" s="9"/>
      <c r="EQ132" s="9"/>
      <c r="ER132" s="9"/>
      <c r="ES132" s="9"/>
      <c r="ET132" s="9"/>
      <c r="EU132" s="9"/>
      <c r="EV132" s="9"/>
      <c r="EW132" s="9"/>
      <c r="EX132" s="9"/>
      <c r="EY132" s="9"/>
      <c r="EZ132" s="9"/>
      <c r="FA132" s="9"/>
      <c r="FB132" s="9"/>
      <c r="FC132" s="9"/>
      <c r="FD132" s="9"/>
      <c r="FE132" s="9"/>
      <c r="FF132" s="9"/>
      <c r="FG132" s="9"/>
      <c r="FH132" s="9"/>
      <c r="FI132" s="9"/>
      <c r="FJ132" s="9"/>
    </row>
    <row r="133" spans="3:166" x14ac:dyDescent="0.2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  <c r="EC133" s="9"/>
      <c r="ED133" s="9"/>
      <c r="EE133" s="9"/>
      <c r="EF133" s="9"/>
      <c r="EG133" s="9"/>
      <c r="EH133" s="9"/>
      <c r="EI133" s="9"/>
      <c r="EJ133" s="9"/>
      <c r="EK133" s="9"/>
      <c r="EL133" s="9"/>
      <c r="EM133" s="9"/>
      <c r="EN133" s="9"/>
      <c r="EO133" s="9"/>
      <c r="EP133" s="9"/>
      <c r="EQ133" s="9"/>
      <c r="ER133" s="9"/>
      <c r="ES133" s="9"/>
      <c r="ET133" s="9"/>
      <c r="EU133" s="9"/>
      <c r="EV133" s="9"/>
      <c r="EW133" s="9"/>
      <c r="EX133" s="9"/>
      <c r="EY133" s="9"/>
      <c r="EZ133" s="9"/>
      <c r="FA133" s="9"/>
      <c r="FB133" s="9"/>
      <c r="FC133" s="9"/>
      <c r="FD133" s="9"/>
      <c r="FE133" s="9"/>
      <c r="FF133" s="9"/>
      <c r="FG133" s="9"/>
      <c r="FH133" s="9"/>
      <c r="FI133" s="9"/>
      <c r="FJ133" s="9"/>
    </row>
    <row r="134" spans="3:166" x14ac:dyDescent="0.2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  <c r="EC134" s="9"/>
      <c r="ED134" s="9"/>
      <c r="EE134" s="9"/>
      <c r="EF134" s="9"/>
      <c r="EG134" s="9"/>
      <c r="EH134" s="9"/>
      <c r="EI134" s="9"/>
      <c r="EJ134" s="9"/>
      <c r="EK134" s="9"/>
      <c r="EL134" s="9"/>
      <c r="EM134" s="9"/>
      <c r="EN134" s="9"/>
      <c r="EO134" s="9"/>
      <c r="EP134" s="9"/>
      <c r="EQ134" s="9"/>
      <c r="ER134" s="9"/>
      <c r="ES134" s="9"/>
      <c r="ET134" s="9"/>
      <c r="EU134" s="9"/>
      <c r="EV134" s="9"/>
      <c r="EW134" s="9"/>
      <c r="EX134" s="9"/>
      <c r="EY134" s="9"/>
      <c r="EZ134" s="9"/>
      <c r="FA134" s="9"/>
      <c r="FB134" s="9"/>
      <c r="FC134" s="9"/>
      <c r="FD134" s="9"/>
      <c r="FE134" s="9"/>
      <c r="FF134" s="9"/>
      <c r="FG134" s="9"/>
      <c r="FH134" s="9"/>
      <c r="FI134" s="9"/>
      <c r="FJ134" s="9"/>
    </row>
    <row r="135" spans="3:166" x14ac:dyDescent="0.2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  <c r="ER135" s="9"/>
      <c r="ES135" s="9"/>
      <c r="ET135" s="9"/>
      <c r="EU135" s="9"/>
      <c r="EV135" s="9"/>
      <c r="EW135" s="9"/>
      <c r="EX135" s="9"/>
      <c r="EY135" s="9"/>
      <c r="EZ135" s="9"/>
      <c r="FA135" s="9"/>
      <c r="FB135" s="9"/>
      <c r="FC135" s="9"/>
      <c r="FD135" s="9"/>
      <c r="FE135" s="9"/>
      <c r="FF135" s="9"/>
      <c r="FG135" s="9"/>
      <c r="FH135" s="9"/>
      <c r="FI135" s="9"/>
      <c r="FJ135" s="9"/>
    </row>
    <row r="136" spans="3:166" x14ac:dyDescent="0.2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  <c r="ER136" s="9"/>
      <c r="ES136" s="9"/>
      <c r="ET136" s="9"/>
      <c r="EU136" s="9"/>
      <c r="EV136" s="9"/>
      <c r="EW136" s="9"/>
      <c r="EX136" s="9"/>
      <c r="EY136" s="9"/>
      <c r="EZ136" s="9"/>
      <c r="FA136" s="9"/>
      <c r="FB136" s="9"/>
      <c r="FC136" s="9"/>
      <c r="FD136" s="9"/>
      <c r="FE136" s="9"/>
      <c r="FF136" s="9"/>
      <c r="FG136" s="9"/>
      <c r="FH136" s="9"/>
      <c r="FI136" s="9"/>
      <c r="FJ136" s="9"/>
    </row>
    <row r="137" spans="3:166" x14ac:dyDescent="0.2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  <c r="ER137" s="9"/>
      <c r="ES137" s="9"/>
      <c r="ET137" s="9"/>
      <c r="EU137" s="9"/>
      <c r="EV137" s="9"/>
      <c r="EW137" s="9"/>
      <c r="EX137" s="9"/>
      <c r="EY137" s="9"/>
      <c r="EZ137" s="9"/>
      <c r="FA137" s="9"/>
      <c r="FB137" s="9"/>
      <c r="FC137" s="9"/>
      <c r="FD137" s="9"/>
      <c r="FE137" s="9"/>
      <c r="FF137" s="9"/>
      <c r="FG137" s="9"/>
      <c r="FH137" s="9"/>
      <c r="FI137" s="9"/>
      <c r="FJ137" s="9"/>
    </row>
    <row r="138" spans="3:166" x14ac:dyDescent="0.2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  <c r="ER138" s="9"/>
      <c r="ES138" s="9"/>
      <c r="ET138" s="9"/>
      <c r="EU138" s="9"/>
      <c r="EV138" s="9"/>
      <c r="EW138" s="9"/>
      <c r="EX138" s="9"/>
      <c r="EY138" s="9"/>
      <c r="EZ138" s="9"/>
      <c r="FA138" s="9"/>
      <c r="FB138" s="9"/>
      <c r="FC138" s="9"/>
      <c r="FD138" s="9"/>
      <c r="FE138" s="9"/>
      <c r="FF138" s="9"/>
      <c r="FG138" s="9"/>
      <c r="FH138" s="9"/>
      <c r="FI138" s="9"/>
      <c r="FJ138" s="9"/>
    </row>
    <row r="139" spans="3:166" x14ac:dyDescent="0.2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  <c r="ER139" s="9"/>
      <c r="ES139" s="9"/>
      <c r="ET139" s="9"/>
      <c r="EU139" s="9"/>
      <c r="EV139" s="9"/>
      <c r="EW139" s="9"/>
      <c r="EX139" s="9"/>
      <c r="EY139" s="9"/>
      <c r="EZ139" s="9"/>
      <c r="FA139" s="9"/>
      <c r="FB139" s="9"/>
      <c r="FC139" s="9"/>
      <c r="FD139" s="9"/>
      <c r="FE139" s="9"/>
      <c r="FF139" s="9"/>
      <c r="FG139" s="9"/>
      <c r="FH139" s="9"/>
      <c r="FI139" s="9"/>
      <c r="FJ139" s="9"/>
    </row>
    <row r="140" spans="3:166" x14ac:dyDescent="0.2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  <c r="ER140" s="9"/>
      <c r="ES140" s="9"/>
      <c r="ET140" s="9"/>
      <c r="EU140" s="9"/>
      <c r="EV140" s="9"/>
      <c r="EW140" s="9"/>
      <c r="EX140" s="9"/>
      <c r="EY140" s="9"/>
      <c r="EZ140" s="9"/>
      <c r="FA140" s="9"/>
      <c r="FB140" s="9"/>
      <c r="FC140" s="9"/>
      <c r="FD140" s="9"/>
      <c r="FE140" s="9"/>
      <c r="FF140" s="9"/>
      <c r="FG140" s="9"/>
      <c r="FH140" s="9"/>
      <c r="FI140" s="9"/>
      <c r="FJ140" s="9"/>
    </row>
    <row r="141" spans="3:166" x14ac:dyDescent="0.2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  <c r="ER141" s="9"/>
      <c r="ES141" s="9"/>
      <c r="ET141" s="9"/>
      <c r="EU141" s="9"/>
      <c r="EV141" s="9"/>
      <c r="EW141" s="9"/>
      <c r="EX141" s="9"/>
      <c r="EY141" s="9"/>
      <c r="EZ141" s="9"/>
      <c r="FA141" s="9"/>
      <c r="FB141" s="9"/>
      <c r="FC141" s="9"/>
      <c r="FD141" s="9"/>
      <c r="FE141" s="9"/>
      <c r="FF141" s="9"/>
      <c r="FG141" s="9"/>
      <c r="FH141" s="9"/>
      <c r="FI141" s="9"/>
      <c r="FJ141" s="9"/>
    </row>
    <row r="142" spans="3:166" x14ac:dyDescent="0.2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  <c r="ER142" s="9"/>
      <c r="ES142" s="9"/>
      <c r="ET142" s="9"/>
      <c r="EU142" s="9"/>
      <c r="EV142" s="9"/>
      <c r="EW142" s="9"/>
      <c r="EX142" s="9"/>
      <c r="EY142" s="9"/>
      <c r="EZ142" s="9"/>
      <c r="FA142" s="9"/>
      <c r="FB142" s="9"/>
      <c r="FC142" s="9"/>
      <c r="FD142" s="9"/>
      <c r="FE142" s="9"/>
      <c r="FF142" s="9"/>
      <c r="FG142" s="9"/>
      <c r="FH142" s="9"/>
      <c r="FI142" s="9"/>
      <c r="FJ142" s="9"/>
    </row>
    <row r="143" spans="3:166" x14ac:dyDescent="0.2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  <c r="ER143" s="9"/>
      <c r="ES143" s="9"/>
      <c r="ET143" s="9"/>
      <c r="EU143" s="9"/>
      <c r="EV143" s="9"/>
      <c r="EW143" s="9"/>
      <c r="EX143" s="9"/>
      <c r="EY143" s="9"/>
      <c r="EZ143" s="9"/>
      <c r="FA143" s="9"/>
      <c r="FB143" s="9"/>
      <c r="FC143" s="9"/>
      <c r="FD143" s="9"/>
      <c r="FE143" s="9"/>
      <c r="FF143" s="9"/>
      <c r="FG143" s="9"/>
      <c r="FH143" s="9"/>
      <c r="FI143" s="9"/>
      <c r="FJ143" s="9"/>
    </row>
    <row r="144" spans="3:166" x14ac:dyDescent="0.2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  <c r="ER144" s="9"/>
      <c r="ES144" s="9"/>
      <c r="ET144" s="9"/>
      <c r="EU144" s="9"/>
      <c r="EV144" s="9"/>
      <c r="EW144" s="9"/>
      <c r="EX144" s="9"/>
      <c r="EY144" s="9"/>
      <c r="EZ144" s="9"/>
      <c r="FA144" s="9"/>
      <c r="FB144" s="9"/>
      <c r="FC144" s="9"/>
      <c r="FD144" s="9"/>
      <c r="FE144" s="9"/>
      <c r="FF144" s="9"/>
      <c r="FG144" s="9"/>
      <c r="FH144" s="9"/>
      <c r="FI144" s="9"/>
      <c r="FJ144" s="9"/>
    </row>
    <row r="145" spans="3:166" x14ac:dyDescent="0.2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  <c r="ER145" s="9"/>
      <c r="ES145" s="9"/>
      <c r="ET145" s="9"/>
      <c r="EU145" s="9"/>
      <c r="EV145" s="9"/>
      <c r="EW145" s="9"/>
      <c r="EX145" s="9"/>
      <c r="EY145" s="9"/>
      <c r="EZ145" s="9"/>
      <c r="FA145" s="9"/>
      <c r="FB145" s="9"/>
      <c r="FC145" s="9"/>
      <c r="FD145" s="9"/>
      <c r="FE145" s="9"/>
      <c r="FF145" s="9"/>
      <c r="FG145" s="9"/>
      <c r="FH145" s="9"/>
      <c r="FI145" s="9"/>
      <c r="FJ145" s="9"/>
    </row>
    <row r="146" spans="3:166" x14ac:dyDescent="0.2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9"/>
      <c r="FH146" s="9"/>
      <c r="FI146" s="9"/>
      <c r="FJ146" s="9"/>
    </row>
    <row r="147" spans="3:166" x14ac:dyDescent="0.2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  <c r="ER147" s="9"/>
      <c r="ES147" s="9"/>
      <c r="ET147" s="9"/>
      <c r="EU147" s="9"/>
      <c r="EV147" s="9"/>
      <c r="EW147" s="9"/>
      <c r="EX147" s="9"/>
      <c r="EY147" s="9"/>
      <c r="EZ147" s="9"/>
      <c r="FA147" s="9"/>
      <c r="FB147" s="9"/>
      <c r="FC147" s="9"/>
      <c r="FD147" s="9"/>
      <c r="FE147" s="9"/>
      <c r="FF147" s="9"/>
      <c r="FG147" s="9"/>
      <c r="FH147" s="9"/>
      <c r="FI147" s="9"/>
      <c r="FJ147" s="9"/>
    </row>
    <row r="148" spans="3:166" x14ac:dyDescent="0.2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  <c r="EC148" s="9"/>
      <c r="ED148" s="9"/>
      <c r="EE148" s="9"/>
      <c r="EF148" s="9"/>
      <c r="EG148" s="9"/>
      <c r="EH148" s="9"/>
      <c r="EI148" s="9"/>
      <c r="EJ148" s="9"/>
      <c r="EK148" s="9"/>
      <c r="EL148" s="9"/>
      <c r="EM148" s="9"/>
      <c r="EN148" s="9"/>
      <c r="EO148" s="9"/>
      <c r="EP148" s="9"/>
      <c r="EQ148" s="9"/>
      <c r="ER148" s="9"/>
      <c r="ES148" s="9"/>
      <c r="ET148" s="9"/>
      <c r="EU148" s="9"/>
      <c r="EV148" s="9"/>
      <c r="EW148" s="9"/>
      <c r="EX148" s="9"/>
      <c r="EY148" s="9"/>
      <c r="EZ148" s="9"/>
      <c r="FA148" s="9"/>
      <c r="FB148" s="9"/>
      <c r="FC148" s="9"/>
      <c r="FD148" s="9"/>
      <c r="FE148" s="9"/>
      <c r="FF148" s="9"/>
      <c r="FG148" s="9"/>
      <c r="FH148" s="9"/>
      <c r="FI148" s="9"/>
      <c r="FJ148" s="9"/>
    </row>
    <row r="149" spans="3:166" x14ac:dyDescent="0.2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  <c r="EC149" s="9"/>
      <c r="ED149" s="9"/>
      <c r="EE149" s="9"/>
      <c r="EF149" s="9"/>
      <c r="EG149" s="9"/>
      <c r="EH149" s="9"/>
      <c r="EI149" s="9"/>
      <c r="EJ149" s="9"/>
      <c r="EK149" s="9"/>
      <c r="EL149" s="9"/>
      <c r="EM149" s="9"/>
      <c r="EN149" s="9"/>
      <c r="EO149" s="9"/>
      <c r="EP149" s="9"/>
      <c r="EQ149" s="9"/>
      <c r="ER149" s="9"/>
      <c r="ES149" s="9"/>
      <c r="ET149" s="9"/>
      <c r="EU149" s="9"/>
      <c r="EV149" s="9"/>
      <c r="EW149" s="9"/>
      <c r="EX149" s="9"/>
      <c r="EY149" s="9"/>
      <c r="EZ149" s="9"/>
      <c r="FA149" s="9"/>
      <c r="FB149" s="9"/>
      <c r="FC149" s="9"/>
      <c r="FD149" s="9"/>
      <c r="FE149" s="9"/>
      <c r="FF149" s="9"/>
      <c r="FG149" s="9"/>
      <c r="FH149" s="9"/>
      <c r="FI149" s="9"/>
      <c r="FJ149" s="9"/>
    </row>
    <row r="150" spans="3:166" x14ac:dyDescent="0.2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  <c r="EC150" s="9"/>
      <c r="ED150" s="9"/>
      <c r="EE150" s="9"/>
      <c r="EF150" s="9"/>
      <c r="EG150" s="9"/>
      <c r="EH150" s="9"/>
      <c r="EI150" s="9"/>
      <c r="EJ150" s="9"/>
      <c r="EK150" s="9"/>
      <c r="EL150" s="9"/>
      <c r="EM150" s="9"/>
      <c r="EN150" s="9"/>
      <c r="EO150" s="9"/>
      <c r="EP150" s="9"/>
      <c r="EQ150" s="9"/>
      <c r="ER150" s="9"/>
      <c r="ES150" s="9"/>
      <c r="ET150" s="9"/>
      <c r="EU150" s="9"/>
      <c r="EV150" s="9"/>
      <c r="EW150" s="9"/>
      <c r="EX150" s="9"/>
      <c r="EY150" s="9"/>
      <c r="EZ150" s="9"/>
      <c r="FA150" s="9"/>
      <c r="FB150" s="9"/>
      <c r="FC150" s="9"/>
      <c r="FD150" s="9"/>
      <c r="FE150" s="9"/>
      <c r="FF150" s="9"/>
      <c r="FG150" s="9"/>
      <c r="FH150" s="9"/>
      <c r="FI150" s="9"/>
      <c r="FJ150" s="9"/>
    </row>
    <row r="151" spans="3:166" x14ac:dyDescent="0.2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  <c r="EC151" s="9"/>
      <c r="ED151" s="9"/>
      <c r="EE151" s="9"/>
      <c r="EF151" s="9"/>
      <c r="EG151" s="9"/>
      <c r="EH151" s="9"/>
      <c r="EI151" s="9"/>
      <c r="EJ151" s="9"/>
      <c r="EK151" s="9"/>
      <c r="EL151" s="9"/>
      <c r="EM151" s="9"/>
      <c r="EN151" s="9"/>
      <c r="EO151" s="9"/>
      <c r="EP151" s="9"/>
      <c r="EQ151" s="9"/>
      <c r="ER151" s="9"/>
      <c r="ES151" s="9"/>
      <c r="ET151" s="9"/>
      <c r="EU151" s="9"/>
      <c r="EV151" s="9"/>
      <c r="EW151" s="9"/>
      <c r="EX151" s="9"/>
      <c r="EY151" s="9"/>
      <c r="EZ151" s="9"/>
      <c r="FA151" s="9"/>
      <c r="FB151" s="9"/>
      <c r="FC151" s="9"/>
      <c r="FD151" s="9"/>
      <c r="FE151" s="9"/>
      <c r="FF151" s="9"/>
      <c r="FG151" s="9"/>
      <c r="FH151" s="9"/>
      <c r="FI151" s="9"/>
      <c r="FJ151" s="9"/>
    </row>
    <row r="152" spans="3:166" x14ac:dyDescent="0.2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  <c r="EC152" s="9"/>
      <c r="ED152" s="9"/>
      <c r="EE152" s="9"/>
      <c r="EF152" s="9"/>
      <c r="EG152" s="9"/>
      <c r="EH152" s="9"/>
      <c r="EI152" s="9"/>
      <c r="EJ152" s="9"/>
      <c r="EK152" s="9"/>
      <c r="EL152" s="9"/>
      <c r="EM152" s="9"/>
      <c r="EN152" s="9"/>
      <c r="EO152" s="9"/>
      <c r="EP152" s="9"/>
      <c r="EQ152" s="9"/>
      <c r="ER152" s="9"/>
      <c r="ES152" s="9"/>
      <c r="ET152" s="9"/>
      <c r="EU152" s="9"/>
      <c r="EV152" s="9"/>
      <c r="EW152" s="9"/>
      <c r="EX152" s="9"/>
      <c r="EY152" s="9"/>
      <c r="EZ152" s="9"/>
      <c r="FA152" s="9"/>
      <c r="FB152" s="9"/>
      <c r="FC152" s="9"/>
      <c r="FD152" s="9"/>
      <c r="FE152" s="9"/>
      <c r="FF152" s="9"/>
      <c r="FG152" s="9"/>
      <c r="FH152" s="9"/>
      <c r="FI152" s="9"/>
      <c r="FJ152" s="9"/>
    </row>
    <row r="153" spans="3:166" x14ac:dyDescent="0.2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  <c r="ER153" s="9"/>
      <c r="ES153" s="9"/>
      <c r="ET153" s="9"/>
      <c r="EU153" s="9"/>
      <c r="EV153" s="9"/>
      <c r="EW153" s="9"/>
      <c r="EX153" s="9"/>
      <c r="EY153" s="9"/>
      <c r="EZ153" s="9"/>
      <c r="FA153" s="9"/>
      <c r="FB153" s="9"/>
      <c r="FC153" s="9"/>
      <c r="FD153" s="9"/>
      <c r="FE153" s="9"/>
      <c r="FF153" s="9"/>
      <c r="FG153" s="9"/>
      <c r="FH153" s="9"/>
      <c r="FI153" s="9"/>
      <c r="FJ153" s="9"/>
    </row>
    <row r="154" spans="3:166" x14ac:dyDescent="0.2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  <c r="ER154" s="9"/>
      <c r="ES154" s="9"/>
      <c r="ET154" s="9"/>
      <c r="EU154" s="9"/>
      <c r="EV154" s="9"/>
      <c r="EW154" s="9"/>
      <c r="EX154" s="9"/>
      <c r="EY154" s="9"/>
      <c r="EZ154" s="9"/>
      <c r="FA154" s="9"/>
      <c r="FB154" s="9"/>
      <c r="FC154" s="9"/>
      <c r="FD154" s="9"/>
      <c r="FE154" s="9"/>
      <c r="FF154" s="9"/>
      <c r="FG154" s="9"/>
      <c r="FH154" s="9"/>
      <c r="FI154" s="9"/>
      <c r="FJ154" s="9"/>
    </row>
    <row r="155" spans="3:166" x14ac:dyDescent="0.2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  <c r="ER155" s="9"/>
      <c r="ES155" s="9"/>
      <c r="ET155" s="9"/>
      <c r="EU155" s="9"/>
      <c r="EV155" s="9"/>
      <c r="EW155" s="9"/>
      <c r="EX155" s="9"/>
      <c r="EY155" s="9"/>
      <c r="EZ155" s="9"/>
      <c r="FA155" s="9"/>
      <c r="FB155" s="9"/>
      <c r="FC155" s="9"/>
      <c r="FD155" s="9"/>
      <c r="FE155" s="9"/>
      <c r="FF155" s="9"/>
      <c r="FG155" s="9"/>
      <c r="FH155" s="9"/>
      <c r="FI155" s="9"/>
      <c r="FJ155" s="9"/>
    </row>
    <row r="156" spans="3:166" x14ac:dyDescent="0.2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  <c r="ER156" s="9"/>
      <c r="ES156" s="9"/>
      <c r="ET156" s="9"/>
      <c r="EU156" s="9"/>
      <c r="EV156" s="9"/>
      <c r="EW156" s="9"/>
      <c r="EX156" s="9"/>
      <c r="EY156" s="9"/>
      <c r="EZ156" s="9"/>
      <c r="FA156" s="9"/>
      <c r="FB156" s="9"/>
      <c r="FC156" s="9"/>
      <c r="FD156" s="9"/>
      <c r="FE156" s="9"/>
      <c r="FF156" s="9"/>
      <c r="FG156" s="9"/>
      <c r="FH156" s="9"/>
      <c r="FI156" s="9"/>
      <c r="FJ156" s="9"/>
    </row>
    <row r="157" spans="3:166" x14ac:dyDescent="0.2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  <c r="ER157" s="9"/>
      <c r="ES157" s="9"/>
      <c r="ET157" s="9"/>
      <c r="EU157" s="9"/>
      <c r="EV157" s="9"/>
      <c r="EW157" s="9"/>
      <c r="EX157" s="9"/>
      <c r="EY157" s="9"/>
      <c r="EZ157" s="9"/>
      <c r="FA157" s="9"/>
      <c r="FB157" s="9"/>
      <c r="FC157" s="9"/>
      <c r="FD157" s="9"/>
      <c r="FE157" s="9"/>
      <c r="FF157" s="9"/>
      <c r="FG157" s="9"/>
      <c r="FH157" s="9"/>
      <c r="FI157" s="9"/>
      <c r="FJ157" s="9"/>
    </row>
    <row r="158" spans="3:166" x14ac:dyDescent="0.2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  <c r="ER158" s="9"/>
      <c r="ES158" s="9"/>
      <c r="ET158" s="9"/>
      <c r="EU158" s="9"/>
      <c r="EV158" s="9"/>
      <c r="EW158" s="9"/>
      <c r="EX158" s="9"/>
      <c r="EY158" s="9"/>
      <c r="EZ158" s="9"/>
      <c r="FA158" s="9"/>
      <c r="FB158" s="9"/>
      <c r="FC158" s="9"/>
      <c r="FD158" s="9"/>
      <c r="FE158" s="9"/>
      <c r="FF158" s="9"/>
      <c r="FG158" s="9"/>
      <c r="FH158" s="9"/>
      <c r="FI158" s="9"/>
      <c r="FJ158" s="9"/>
    </row>
    <row r="159" spans="3:166" x14ac:dyDescent="0.2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  <c r="ER159" s="9"/>
      <c r="ES159" s="9"/>
      <c r="ET159" s="9"/>
      <c r="EU159" s="9"/>
      <c r="EV159" s="9"/>
      <c r="EW159" s="9"/>
      <c r="EX159" s="9"/>
      <c r="EY159" s="9"/>
      <c r="EZ159" s="9"/>
      <c r="FA159" s="9"/>
      <c r="FB159" s="9"/>
      <c r="FC159" s="9"/>
      <c r="FD159" s="9"/>
      <c r="FE159" s="9"/>
      <c r="FF159" s="9"/>
      <c r="FG159" s="9"/>
      <c r="FH159" s="9"/>
      <c r="FI159" s="9"/>
      <c r="FJ159" s="9"/>
    </row>
    <row r="160" spans="3:166" x14ac:dyDescent="0.2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  <c r="ER160" s="9"/>
      <c r="ES160" s="9"/>
      <c r="ET160" s="9"/>
      <c r="EU160" s="9"/>
      <c r="EV160" s="9"/>
      <c r="EW160" s="9"/>
      <c r="EX160" s="9"/>
      <c r="EY160" s="9"/>
      <c r="EZ160" s="9"/>
      <c r="FA160" s="9"/>
      <c r="FB160" s="9"/>
      <c r="FC160" s="9"/>
      <c r="FD160" s="9"/>
      <c r="FE160" s="9"/>
      <c r="FF160" s="9"/>
      <c r="FG160" s="9"/>
      <c r="FH160" s="9"/>
      <c r="FI160" s="9"/>
      <c r="FJ160" s="9"/>
    </row>
    <row r="161" spans="3:166" x14ac:dyDescent="0.2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  <c r="EC161" s="9"/>
      <c r="ED161" s="9"/>
      <c r="EE161" s="9"/>
      <c r="EF161" s="9"/>
      <c r="EG161" s="9"/>
      <c r="EH161" s="9"/>
      <c r="EI161" s="9"/>
      <c r="EJ161" s="9"/>
      <c r="EK161" s="9"/>
      <c r="EL161" s="9"/>
      <c r="EM161" s="9"/>
      <c r="EN161" s="9"/>
      <c r="EO161" s="9"/>
      <c r="EP161" s="9"/>
      <c r="EQ161" s="9"/>
      <c r="ER161" s="9"/>
      <c r="ES161" s="9"/>
      <c r="ET161" s="9"/>
      <c r="EU161" s="9"/>
      <c r="EV161" s="9"/>
      <c r="EW161" s="9"/>
      <c r="EX161" s="9"/>
      <c r="EY161" s="9"/>
      <c r="EZ161" s="9"/>
      <c r="FA161" s="9"/>
      <c r="FB161" s="9"/>
      <c r="FC161" s="9"/>
      <c r="FD161" s="9"/>
      <c r="FE161" s="9"/>
      <c r="FF161" s="9"/>
      <c r="FG161" s="9"/>
      <c r="FH161" s="9"/>
      <c r="FI161" s="9"/>
      <c r="FJ161" s="9"/>
    </row>
    <row r="162" spans="3:166" x14ac:dyDescent="0.2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  <c r="EC162" s="9"/>
      <c r="ED162" s="9"/>
      <c r="EE162" s="9"/>
      <c r="EF162" s="9"/>
      <c r="EG162" s="9"/>
      <c r="EH162" s="9"/>
      <c r="EI162" s="9"/>
      <c r="EJ162" s="9"/>
      <c r="EK162" s="9"/>
      <c r="EL162" s="9"/>
      <c r="EM162" s="9"/>
      <c r="EN162" s="9"/>
      <c r="EO162" s="9"/>
      <c r="EP162" s="9"/>
      <c r="EQ162" s="9"/>
      <c r="ER162" s="9"/>
      <c r="ES162" s="9"/>
      <c r="ET162" s="9"/>
      <c r="EU162" s="9"/>
      <c r="EV162" s="9"/>
      <c r="EW162" s="9"/>
      <c r="EX162" s="9"/>
      <c r="EY162" s="9"/>
      <c r="EZ162" s="9"/>
      <c r="FA162" s="9"/>
      <c r="FB162" s="9"/>
      <c r="FC162" s="9"/>
      <c r="FD162" s="9"/>
      <c r="FE162" s="9"/>
      <c r="FF162" s="9"/>
      <c r="FG162" s="9"/>
      <c r="FH162" s="9"/>
      <c r="FI162" s="9"/>
      <c r="FJ162" s="9"/>
    </row>
    <row r="163" spans="3:166" x14ac:dyDescent="0.2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  <c r="ER163" s="9"/>
      <c r="ES163" s="9"/>
      <c r="ET163" s="9"/>
      <c r="EU163" s="9"/>
      <c r="EV163" s="9"/>
      <c r="EW163" s="9"/>
      <c r="EX163" s="9"/>
      <c r="EY163" s="9"/>
      <c r="EZ163" s="9"/>
      <c r="FA163" s="9"/>
      <c r="FB163" s="9"/>
      <c r="FC163" s="9"/>
      <c r="FD163" s="9"/>
      <c r="FE163" s="9"/>
      <c r="FF163" s="9"/>
      <c r="FG163" s="9"/>
      <c r="FH163" s="9"/>
      <c r="FI163" s="9"/>
      <c r="FJ163" s="9"/>
    </row>
    <row r="164" spans="3:166" x14ac:dyDescent="0.2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  <c r="EW164" s="9"/>
      <c r="EX164" s="9"/>
      <c r="EY164" s="9"/>
      <c r="EZ164" s="9"/>
      <c r="FA164" s="9"/>
      <c r="FB164" s="9"/>
      <c r="FC164" s="9"/>
      <c r="FD164" s="9"/>
      <c r="FE164" s="9"/>
      <c r="FF164" s="9"/>
      <c r="FG164" s="9"/>
      <c r="FH164" s="9"/>
      <c r="FI164" s="9"/>
      <c r="FJ164" s="9"/>
    </row>
    <row r="165" spans="3:166" x14ac:dyDescent="0.2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  <c r="EC165" s="9"/>
      <c r="ED165" s="9"/>
      <c r="EE165" s="9"/>
      <c r="EF165" s="9"/>
      <c r="EG165" s="9"/>
      <c r="EH165" s="9"/>
      <c r="EI165" s="9"/>
      <c r="EJ165" s="9"/>
      <c r="EK165" s="9"/>
      <c r="EL165" s="9"/>
      <c r="EM165" s="9"/>
      <c r="EN165" s="9"/>
      <c r="EO165" s="9"/>
      <c r="EP165" s="9"/>
      <c r="EQ165" s="9"/>
      <c r="ER165" s="9"/>
      <c r="ES165" s="9"/>
      <c r="ET165" s="9"/>
      <c r="EU165" s="9"/>
      <c r="EV165" s="9"/>
      <c r="EW165" s="9"/>
      <c r="EX165" s="9"/>
      <c r="EY165" s="9"/>
      <c r="EZ165" s="9"/>
      <c r="FA165" s="9"/>
      <c r="FB165" s="9"/>
      <c r="FC165" s="9"/>
      <c r="FD165" s="9"/>
      <c r="FE165" s="9"/>
      <c r="FF165" s="9"/>
      <c r="FG165" s="9"/>
      <c r="FH165" s="9"/>
      <c r="FI165" s="9"/>
      <c r="FJ165" s="9"/>
    </row>
    <row r="166" spans="3:166" x14ac:dyDescent="0.2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  <c r="EC166" s="9"/>
      <c r="ED166" s="9"/>
      <c r="EE166" s="9"/>
      <c r="EF166" s="9"/>
      <c r="EG166" s="9"/>
      <c r="EH166" s="9"/>
      <c r="EI166" s="9"/>
      <c r="EJ166" s="9"/>
      <c r="EK166" s="9"/>
      <c r="EL166" s="9"/>
      <c r="EM166" s="9"/>
      <c r="EN166" s="9"/>
      <c r="EO166" s="9"/>
      <c r="EP166" s="9"/>
      <c r="EQ166" s="9"/>
      <c r="ER166" s="9"/>
      <c r="ES166" s="9"/>
      <c r="ET166" s="9"/>
      <c r="EU166" s="9"/>
      <c r="EV166" s="9"/>
      <c r="EW166" s="9"/>
      <c r="EX166" s="9"/>
      <c r="EY166" s="9"/>
      <c r="EZ166" s="9"/>
      <c r="FA166" s="9"/>
      <c r="FB166" s="9"/>
      <c r="FC166" s="9"/>
      <c r="FD166" s="9"/>
      <c r="FE166" s="9"/>
      <c r="FF166" s="9"/>
      <c r="FG166" s="9"/>
      <c r="FH166" s="9"/>
      <c r="FI166" s="9"/>
      <c r="FJ166" s="9"/>
    </row>
    <row r="167" spans="3:166" x14ac:dyDescent="0.2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  <c r="EC167" s="9"/>
      <c r="ED167" s="9"/>
      <c r="EE167" s="9"/>
      <c r="EF167" s="9"/>
      <c r="EG167" s="9"/>
      <c r="EH167" s="9"/>
      <c r="EI167" s="9"/>
      <c r="EJ167" s="9"/>
      <c r="EK167" s="9"/>
      <c r="EL167" s="9"/>
      <c r="EM167" s="9"/>
      <c r="EN167" s="9"/>
      <c r="EO167" s="9"/>
      <c r="EP167" s="9"/>
      <c r="EQ167" s="9"/>
      <c r="ER167" s="9"/>
      <c r="ES167" s="9"/>
      <c r="ET167" s="9"/>
      <c r="EU167" s="9"/>
      <c r="EV167" s="9"/>
      <c r="EW167" s="9"/>
      <c r="EX167" s="9"/>
      <c r="EY167" s="9"/>
      <c r="EZ167" s="9"/>
      <c r="FA167" s="9"/>
      <c r="FB167" s="9"/>
      <c r="FC167" s="9"/>
      <c r="FD167" s="9"/>
      <c r="FE167" s="9"/>
      <c r="FF167" s="9"/>
      <c r="FG167" s="9"/>
      <c r="FH167" s="9"/>
      <c r="FI167" s="9"/>
      <c r="FJ167" s="9"/>
    </row>
    <row r="168" spans="3:166" x14ac:dyDescent="0.2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  <c r="EC168" s="9"/>
      <c r="ED168" s="9"/>
      <c r="EE168" s="9"/>
      <c r="EF168" s="9"/>
      <c r="EG168" s="9"/>
      <c r="EH168" s="9"/>
      <c r="EI168" s="9"/>
      <c r="EJ168" s="9"/>
      <c r="EK168" s="9"/>
      <c r="EL168" s="9"/>
      <c r="EM168" s="9"/>
      <c r="EN168" s="9"/>
      <c r="EO168" s="9"/>
      <c r="EP168" s="9"/>
      <c r="EQ168" s="9"/>
      <c r="ER168" s="9"/>
      <c r="ES168" s="9"/>
      <c r="ET168" s="9"/>
      <c r="EU168" s="9"/>
      <c r="EV168" s="9"/>
      <c r="EW168" s="9"/>
      <c r="EX168" s="9"/>
      <c r="EY168" s="9"/>
      <c r="EZ168" s="9"/>
      <c r="FA168" s="9"/>
      <c r="FB168" s="9"/>
      <c r="FC168" s="9"/>
      <c r="FD168" s="9"/>
      <c r="FE168" s="9"/>
      <c r="FF168" s="9"/>
      <c r="FG168" s="9"/>
      <c r="FH168" s="9"/>
      <c r="FI168" s="9"/>
      <c r="FJ168" s="9"/>
    </row>
    <row r="169" spans="3:166" x14ac:dyDescent="0.2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  <c r="EC169" s="9"/>
      <c r="ED169" s="9"/>
      <c r="EE169" s="9"/>
      <c r="EF169" s="9"/>
      <c r="EG169" s="9"/>
      <c r="EH169" s="9"/>
      <c r="EI169" s="9"/>
      <c r="EJ169" s="9"/>
      <c r="EK169" s="9"/>
      <c r="EL169" s="9"/>
      <c r="EM169" s="9"/>
      <c r="EN169" s="9"/>
      <c r="EO169" s="9"/>
      <c r="EP169" s="9"/>
      <c r="EQ169" s="9"/>
      <c r="ER169" s="9"/>
      <c r="ES169" s="9"/>
      <c r="ET169" s="9"/>
      <c r="EU169" s="9"/>
      <c r="EV169" s="9"/>
      <c r="EW169" s="9"/>
      <c r="EX169" s="9"/>
      <c r="EY169" s="9"/>
      <c r="EZ169" s="9"/>
      <c r="FA169" s="9"/>
      <c r="FB169" s="9"/>
      <c r="FC169" s="9"/>
      <c r="FD169" s="9"/>
      <c r="FE169" s="9"/>
      <c r="FF169" s="9"/>
      <c r="FG169" s="9"/>
      <c r="FH169" s="9"/>
      <c r="FI169" s="9"/>
      <c r="FJ169" s="9"/>
    </row>
    <row r="170" spans="3:166" x14ac:dyDescent="0.2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  <c r="EC170" s="9"/>
      <c r="ED170" s="9"/>
      <c r="EE170" s="9"/>
      <c r="EF170" s="9"/>
      <c r="EG170" s="9"/>
      <c r="EH170" s="9"/>
      <c r="EI170" s="9"/>
      <c r="EJ170" s="9"/>
      <c r="EK170" s="9"/>
      <c r="EL170" s="9"/>
      <c r="EM170" s="9"/>
      <c r="EN170" s="9"/>
      <c r="EO170" s="9"/>
      <c r="EP170" s="9"/>
      <c r="EQ170" s="9"/>
      <c r="ER170" s="9"/>
      <c r="ES170" s="9"/>
      <c r="ET170" s="9"/>
      <c r="EU170" s="9"/>
      <c r="EV170" s="9"/>
      <c r="EW170" s="9"/>
      <c r="EX170" s="9"/>
      <c r="EY170" s="9"/>
      <c r="EZ170" s="9"/>
      <c r="FA170" s="9"/>
      <c r="FB170" s="9"/>
      <c r="FC170" s="9"/>
      <c r="FD170" s="9"/>
      <c r="FE170" s="9"/>
      <c r="FF170" s="9"/>
      <c r="FG170" s="9"/>
      <c r="FH170" s="9"/>
      <c r="FI170" s="9"/>
      <c r="FJ170" s="9"/>
    </row>
    <row r="171" spans="3:166" x14ac:dyDescent="0.2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  <c r="EC171" s="9"/>
      <c r="ED171" s="9"/>
      <c r="EE171" s="9"/>
      <c r="EF171" s="9"/>
      <c r="EG171" s="9"/>
      <c r="EH171" s="9"/>
      <c r="EI171" s="9"/>
      <c r="EJ171" s="9"/>
      <c r="EK171" s="9"/>
      <c r="EL171" s="9"/>
      <c r="EM171" s="9"/>
      <c r="EN171" s="9"/>
      <c r="EO171" s="9"/>
      <c r="EP171" s="9"/>
      <c r="EQ171" s="9"/>
      <c r="ER171" s="9"/>
      <c r="ES171" s="9"/>
      <c r="ET171" s="9"/>
      <c r="EU171" s="9"/>
      <c r="EV171" s="9"/>
      <c r="EW171" s="9"/>
      <c r="EX171" s="9"/>
      <c r="EY171" s="9"/>
      <c r="EZ171" s="9"/>
      <c r="FA171" s="9"/>
      <c r="FB171" s="9"/>
      <c r="FC171" s="9"/>
      <c r="FD171" s="9"/>
      <c r="FE171" s="9"/>
      <c r="FF171" s="9"/>
      <c r="FG171" s="9"/>
      <c r="FH171" s="9"/>
      <c r="FI171" s="9"/>
      <c r="FJ171" s="9"/>
    </row>
    <row r="172" spans="3:166" x14ac:dyDescent="0.2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  <c r="EC172" s="9"/>
      <c r="ED172" s="9"/>
      <c r="EE172" s="9"/>
      <c r="EF172" s="9"/>
      <c r="EG172" s="9"/>
      <c r="EH172" s="9"/>
      <c r="EI172" s="9"/>
      <c r="EJ172" s="9"/>
      <c r="EK172" s="9"/>
      <c r="EL172" s="9"/>
      <c r="EM172" s="9"/>
      <c r="EN172" s="9"/>
      <c r="EO172" s="9"/>
      <c r="EP172" s="9"/>
      <c r="EQ172" s="9"/>
      <c r="ER172" s="9"/>
      <c r="ES172" s="9"/>
      <c r="ET172" s="9"/>
      <c r="EU172" s="9"/>
      <c r="EV172" s="9"/>
      <c r="EW172" s="9"/>
      <c r="EX172" s="9"/>
      <c r="EY172" s="9"/>
      <c r="EZ172" s="9"/>
      <c r="FA172" s="9"/>
      <c r="FB172" s="9"/>
      <c r="FC172" s="9"/>
      <c r="FD172" s="9"/>
      <c r="FE172" s="9"/>
      <c r="FF172" s="9"/>
      <c r="FG172" s="9"/>
      <c r="FH172" s="9"/>
      <c r="FI172" s="9"/>
      <c r="FJ172" s="9"/>
    </row>
    <row r="173" spans="3:166" x14ac:dyDescent="0.2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  <c r="EC173" s="9"/>
      <c r="ED173" s="9"/>
      <c r="EE173" s="9"/>
      <c r="EF173" s="9"/>
      <c r="EG173" s="9"/>
      <c r="EH173" s="9"/>
      <c r="EI173" s="9"/>
      <c r="EJ173" s="9"/>
      <c r="EK173" s="9"/>
      <c r="EL173" s="9"/>
      <c r="EM173" s="9"/>
      <c r="EN173" s="9"/>
      <c r="EO173" s="9"/>
      <c r="EP173" s="9"/>
      <c r="EQ173" s="9"/>
      <c r="ER173" s="9"/>
      <c r="ES173" s="9"/>
      <c r="ET173" s="9"/>
      <c r="EU173" s="9"/>
      <c r="EV173" s="9"/>
      <c r="EW173" s="9"/>
      <c r="EX173" s="9"/>
      <c r="EY173" s="9"/>
      <c r="EZ173" s="9"/>
      <c r="FA173" s="9"/>
      <c r="FB173" s="9"/>
      <c r="FC173" s="9"/>
      <c r="FD173" s="9"/>
      <c r="FE173" s="9"/>
      <c r="FF173" s="9"/>
      <c r="FG173" s="9"/>
      <c r="FH173" s="9"/>
      <c r="FI173" s="9"/>
      <c r="FJ173" s="9"/>
    </row>
    <row r="174" spans="3:166" x14ac:dyDescent="0.2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  <c r="EC174" s="9"/>
      <c r="ED174" s="9"/>
      <c r="EE174" s="9"/>
      <c r="EF174" s="9"/>
      <c r="EG174" s="9"/>
      <c r="EH174" s="9"/>
      <c r="EI174" s="9"/>
      <c r="EJ174" s="9"/>
      <c r="EK174" s="9"/>
      <c r="EL174" s="9"/>
      <c r="EM174" s="9"/>
      <c r="EN174" s="9"/>
      <c r="EO174" s="9"/>
      <c r="EP174" s="9"/>
      <c r="EQ174" s="9"/>
      <c r="ER174" s="9"/>
      <c r="ES174" s="9"/>
      <c r="ET174" s="9"/>
      <c r="EU174" s="9"/>
      <c r="EV174" s="9"/>
      <c r="EW174" s="9"/>
      <c r="EX174" s="9"/>
      <c r="EY174" s="9"/>
      <c r="EZ174" s="9"/>
      <c r="FA174" s="9"/>
      <c r="FB174" s="9"/>
      <c r="FC174" s="9"/>
      <c r="FD174" s="9"/>
      <c r="FE174" s="9"/>
      <c r="FF174" s="9"/>
      <c r="FG174" s="9"/>
      <c r="FH174" s="9"/>
      <c r="FI174" s="9"/>
      <c r="FJ174" s="9"/>
    </row>
    <row r="175" spans="3:166" x14ac:dyDescent="0.2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  <c r="EW175" s="9"/>
      <c r="EX175" s="9"/>
      <c r="EY175" s="9"/>
      <c r="EZ175" s="9"/>
      <c r="FA175" s="9"/>
      <c r="FB175" s="9"/>
      <c r="FC175" s="9"/>
      <c r="FD175" s="9"/>
      <c r="FE175" s="9"/>
      <c r="FF175" s="9"/>
      <c r="FG175" s="9"/>
      <c r="FH175" s="9"/>
      <c r="FI175" s="9"/>
      <c r="FJ175" s="9"/>
    </row>
    <row r="176" spans="3:166" x14ac:dyDescent="0.2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  <c r="EW176" s="9"/>
      <c r="EX176" s="9"/>
      <c r="EY176" s="9"/>
      <c r="EZ176" s="9"/>
      <c r="FA176" s="9"/>
      <c r="FB176" s="9"/>
      <c r="FC176" s="9"/>
      <c r="FD176" s="9"/>
      <c r="FE176" s="9"/>
      <c r="FF176" s="9"/>
      <c r="FG176" s="9"/>
      <c r="FH176" s="9"/>
      <c r="FI176" s="9"/>
      <c r="FJ176" s="9"/>
    </row>
    <row r="177" spans="3:166" x14ac:dyDescent="0.2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  <c r="EW177" s="9"/>
      <c r="EX177" s="9"/>
      <c r="EY177" s="9"/>
      <c r="EZ177" s="9"/>
      <c r="FA177" s="9"/>
      <c r="FB177" s="9"/>
      <c r="FC177" s="9"/>
      <c r="FD177" s="9"/>
      <c r="FE177" s="9"/>
      <c r="FF177" s="9"/>
      <c r="FG177" s="9"/>
      <c r="FH177" s="9"/>
      <c r="FI177" s="9"/>
      <c r="FJ177" s="9"/>
    </row>
    <row r="178" spans="3:166" x14ac:dyDescent="0.2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  <c r="EW178" s="9"/>
      <c r="EX178" s="9"/>
      <c r="EY178" s="9"/>
      <c r="EZ178" s="9"/>
      <c r="FA178" s="9"/>
      <c r="FB178" s="9"/>
      <c r="FC178" s="9"/>
      <c r="FD178" s="9"/>
      <c r="FE178" s="9"/>
      <c r="FF178" s="9"/>
      <c r="FG178" s="9"/>
      <c r="FH178" s="9"/>
      <c r="FI178" s="9"/>
      <c r="FJ178" s="9"/>
    </row>
    <row r="179" spans="3:166" x14ac:dyDescent="0.2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  <c r="EW179" s="9"/>
      <c r="EX179" s="9"/>
      <c r="EY179" s="9"/>
      <c r="EZ179" s="9"/>
      <c r="FA179" s="9"/>
      <c r="FB179" s="9"/>
      <c r="FC179" s="9"/>
      <c r="FD179" s="9"/>
      <c r="FE179" s="9"/>
      <c r="FF179" s="9"/>
      <c r="FG179" s="9"/>
      <c r="FH179" s="9"/>
      <c r="FI179" s="9"/>
      <c r="FJ179" s="9"/>
    </row>
    <row r="180" spans="3:166" x14ac:dyDescent="0.2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  <c r="EW180" s="9"/>
      <c r="EX180" s="9"/>
      <c r="EY180" s="9"/>
      <c r="EZ180" s="9"/>
      <c r="FA180" s="9"/>
      <c r="FB180" s="9"/>
      <c r="FC180" s="9"/>
      <c r="FD180" s="9"/>
      <c r="FE180" s="9"/>
      <c r="FF180" s="9"/>
      <c r="FG180" s="9"/>
      <c r="FH180" s="9"/>
      <c r="FI180" s="9"/>
      <c r="FJ180" s="9"/>
    </row>
    <row r="181" spans="3:166" x14ac:dyDescent="0.2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  <c r="EW181" s="9"/>
      <c r="EX181" s="9"/>
      <c r="EY181" s="9"/>
      <c r="EZ181" s="9"/>
      <c r="FA181" s="9"/>
      <c r="FB181" s="9"/>
      <c r="FC181" s="9"/>
      <c r="FD181" s="9"/>
      <c r="FE181" s="9"/>
      <c r="FF181" s="9"/>
      <c r="FG181" s="9"/>
      <c r="FH181" s="9"/>
      <c r="FI181" s="9"/>
      <c r="FJ181" s="9"/>
    </row>
    <row r="182" spans="3:166" x14ac:dyDescent="0.2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  <c r="EW182" s="9"/>
      <c r="EX182" s="9"/>
      <c r="EY182" s="9"/>
      <c r="EZ182" s="9"/>
      <c r="FA182" s="9"/>
      <c r="FB182" s="9"/>
      <c r="FC182" s="9"/>
      <c r="FD182" s="9"/>
      <c r="FE182" s="9"/>
      <c r="FF182" s="9"/>
      <c r="FG182" s="9"/>
      <c r="FH182" s="9"/>
      <c r="FI182" s="9"/>
      <c r="FJ182" s="9"/>
    </row>
    <row r="183" spans="3:166" x14ac:dyDescent="0.2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  <c r="EW183" s="9"/>
      <c r="EX183" s="9"/>
      <c r="EY183" s="9"/>
      <c r="EZ183" s="9"/>
      <c r="FA183" s="9"/>
      <c r="FB183" s="9"/>
      <c r="FC183" s="9"/>
      <c r="FD183" s="9"/>
      <c r="FE183" s="9"/>
      <c r="FF183" s="9"/>
      <c r="FG183" s="9"/>
      <c r="FH183" s="9"/>
      <c r="FI183" s="9"/>
      <c r="FJ183" s="9"/>
    </row>
    <row r="184" spans="3:166" x14ac:dyDescent="0.2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  <c r="EW184" s="9"/>
      <c r="EX184" s="9"/>
      <c r="EY184" s="9"/>
      <c r="EZ184" s="9"/>
      <c r="FA184" s="9"/>
      <c r="FB184" s="9"/>
      <c r="FC184" s="9"/>
      <c r="FD184" s="9"/>
      <c r="FE184" s="9"/>
      <c r="FF184" s="9"/>
      <c r="FG184" s="9"/>
      <c r="FH184" s="9"/>
      <c r="FI184" s="9"/>
      <c r="FJ184" s="9"/>
    </row>
    <row r="185" spans="3:166" x14ac:dyDescent="0.2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  <c r="EW185" s="9"/>
      <c r="EX185" s="9"/>
      <c r="EY185" s="9"/>
      <c r="EZ185" s="9"/>
      <c r="FA185" s="9"/>
      <c r="FB185" s="9"/>
      <c r="FC185" s="9"/>
      <c r="FD185" s="9"/>
      <c r="FE185" s="9"/>
      <c r="FF185" s="9"/>
      <c r="FG185" s="9"/>
      <c r="FH185" s="9"/>
      <c r="FI185" s="9"/>
      <c r="FJ185" s="9"/>
    </row>
    <row r="186" spans="3:166" x14ac:dyDescent="0.2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  <c r="EW186" s="9"/>
      <c r="EX186" s="9"/>
      <c r="EY186" s="9"/>
      <c r="EZ186" s="9"/>
      <c r="FA186" s="9"/>
      <c r="FB186" s="9"/>
      <c r="FC186" s="9"/>
      <c r="FD186" s="9"/>
      <c r="FE186" s="9"/>
      <c r="FF186" s="9"/>
      <c r="FG186" s="9"/>
      <c r="FH186" s="9"/>
      <c r="FI186" s="9"/>
      <c r="FJ186" s="9"/>
    </row>
    <row r="187" spans="3:166" x14ac:dyDescent="0.2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  <c r="EW187" s="9"/>
      <c r="EX187" s="9"/>
      <c r="EY187" s="9"/>
      <c r="EZ187" s="9"/>
      <c r="FA187" s="9"/>
      <c r="FB187" s="9"/>
      <c r="FC187" s="9"/>
      <c r="FD187" s="9"/>
      <c r="FE187" s="9"/>
      <c r="FF187" s="9"/>
      <c r="FG187" s="9"/>
      <c r="FH187" s="9"/>
      <c r="FI187" s="9"/>
      <c r="FJ187" s="9"/>
    </row>
    <row r="188" spans="3:166" x14ac:dyDescent="0.2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  <c r="EW188" s="9"/>
      <c r="EX188" s="9"/>
      <c r="EY188" s="9"/>
      <c r="EZ188" s="9"/>
      <c r="FA188" s="9"/>
      <c r="FB188" s="9"/>
      <c r="FC188" s="9"/>
      <c r="FD188" s="9"/>
      <c r="FE188" s="9"/>
      <c r="FF188" s="9"/>
      <c r="FG188" s="9"/>
      <c r="FH188" s="9"/>
      <c r="FI188" s="9"/>
      <c r="FJ188" s="9"/>
    </row>
    <row r="189" spans="3:166" x14ac:dyDescent="0.2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  <c r="EW189" s="9"/>
      <c r="EX189" s="9"/>
      <c r="EY189" s="9"/>
      <c r="EZ189" s="9"/>
      <c r="FA189" s="9"/>
      <c r="FB189" s="9"/>
      <c r="FC189" s="9"/>
      <c r="FD189" s="9"/>
      <c r="FE189" s="9"/>
      <c r="FF189" s="9"/>
      <c r="FG189" s="9"/>
      <c r="FH189" s="9"/>
      <c r="FI189" s="9"/>
      <c r="FJ189" s="9"/>
    </row>
    <row r="190" spans="3:166" x14ac:dyDescent="0.2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  <c r="EW190" s="9"/>
      <c r="EX190" s="9"/>
      <c r="EY190" s="9"/>
      <c r="EZ190" s="9"/>
      <c r="FA190" s="9"/>
      <c r="FB190" s="9"/>
      <c r="FC190" s="9"/>
      <c r="FD190" s="9"/>
      <c r="FE190" s="9"/>
      <c r="FF190" s="9"/>
      <c r="FG190" s="9"/>
      <c r="FH190" s="9"/>
      <c r="FI190" s="9"/>
      <c r="FJ190" s="9"/>
    </row>
    <row r="191" spans="3:166" x14ac:dyDescent="0.2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  <c r="EW191" s="9"/>
      <c r="EX191" s="9"/>
      <c r="EY191" s="9"/>
      <c r="EZ191" s="9"/>
      <c r="FA191" s="9"/>
      <c r="FB191" s="9"/>
      <c r="FC191" s="9"/>
      <c r="FD191" s="9"/>
      <c r="FE191" s="9"/>
      <c r="FF191" s="9"/>
      <c r="FG191" s="9"/>
      <c r="FH191" s="9"/>
      <c r="FI191" s="9"/>
      <c r="FJ191" s="9"/>
    </row>
    <row r="192" spans="3:166" x14ac:dyDescent="0.2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  <c r="EW192" s="9"/>
      <c r="EX192" s="9"/>
      <c r="EY192" s="9"/>
      <c r="EZ192" s="9"/>
      <c r="FA192" s="9"/>
      <c r="FB192" s="9"/>
      <c r="FC192" s="9"/>
      <c r="FD192" s="9"/>
      <c r="FE192" s="9"/>
      <c r="FF192" s="9"/>
      <c r="FG192" s="9"/>
      <c r="FH192" s="9"/>
      <c r="FI192" s="9"/>
      <c r="FJ192" s="9"/>
    </row>
    <row r="193" spans="3:166" x14ac:dyDescent="0.2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  <c r="EC193" s="9"/>
      <c r="ED193" s="9"/>
      <c r="EE193" s="9"/>
      <c r="EF193" s="9"/>
      <c r="EG193" s="9"/>
      <c r="EH193" s="9"/>
      <c r="EI193" s="9"/>
      <c r="EJ193" s="9"/>
      <c r="EK193" s="9"/>
      <c r="EL193" s="9"/>
      <c r="EM193" s="9"/>
      <c r="EN193" s="9"/>
      <c r="EO193" s="9"/>
      <c r="EP193" s="9"/>
      <c r="EQ193" s="9"/>
      <c r="ER193" s="9"/>
      <c r="ES193" s="9"/>
      <c r="ET193" s="9"/>
      <c r="EU193" s="9"/>
      <c r="EV193" s="9"/>
      <c r="EW193" s="9"/>
      <c r="EX193" s="9"/>
      <c r="EY193" s="9"/>
      <c r="EZ193" s="9"/>
      <c r="FA193" s="9"/>
      <c r="FB193" s="9"/>
      <c r="FC193" s="9"/>
      <c r="FD193" s="9"/>
      <c r="FE193" s="9"/>
      <c r="FF193" s="9"/>
      <c r="FG193" s="9"/>
      <c r="FH193" s="9"/>
      <c r="FI193" s="9"/>
      <c r="FJ193" s="9"/>
    </row>
    <row r="194" spans="3:166" x14ac:dyDescent="0.2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  <c r="EW194" s="9"/>
      <c r="EX194" s="9"/>
      <c r="EY194" s="9"/>
      <c r="EZ194" s="9"/>
      <c r="FA194" s="9"/>
      <c r="FB194" s="9"/>
      <c r="FC194" s="9"/>
      <c r="FD194" s="9"/>
      <c r="FE194" s="9"/>
      <c r="FF194" s="9"/>
      <c r="FG194" s="9"/>
      <c r="FH194" s="9"/>
      <c r="FI194" s="9"/>
      <c r="FJ194" s="9"/>
    </row>
    <row r="195" spans="3:166" x14ac:dyDescent="0.2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  <c r="EW195" s="9"/>
      <c r="EX195" s="9"/>
      <c r="EY195" s="9"/>
      <c r="EZ195" s="9"/>
      <c r="FA195" s="9"/>
      <c r="FB195" s="9"/>
      <c r="FC195" s="9"/>
      <c r="FD195" s="9"/>
      <c r="FE195" s="9"/>
      <c r="FF195" s="9"/>
      <c r="FG195" s="9"/>
      <c r="FH195" s="9"/>
      <c r="FI195" s="9"/>
      <c r="FJ195" s="9"/>
    </row>
    <row r="196" spans="3:166" x14ac:dyDescent="0.2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  <c r="EW196" s="9"/>
      <c r="EX196" s="9"/>
      <c r="EY196" s="9"/>
      <c r="EZ196" s="9"/>
      <c r="FA196" s="9"/>
      <c r="FB196" s="9"/>
      <c r="FC196" s="9"/>
      <c r="FD196" s="9"/>
      <c r="FE196" s="9"/>
      <c r="FF196" s="9"/>
      <c r="FG196" s="9"/>
      <c r="FH196" s="9"/>
      <c r="FI196" s="9"/>
      <c r="FJ196" s="9"/>
    </row>
    <row r="197" spans="3:166" x14ac:dyDescent="0.2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  <c r="EC197" s="9"/>
      <c r="ED197" s="9"/>
      <c r="EE197" s="9"/>
      <c r="EF197" s="9"/>
      <c r="EG197" s="9"/>
      <c r="EH197" s="9"/>
      <c r="EI197" s="9"/>
      <c r="EJ197" s="9"/>
      <c r="EK197" s="9"/>
      <c r="EL197" s="9"/>
      <c r="EM197" s="9"/>
      <c r="EN197" s="9"/>
      <c r="EO197" s="9"/>
      <c r="EP197" s="9"/>
      <c r="EQ197" s="9"/>
      <c r="ER197" s="9"/>
      <c r="ES197" s="9"/>
      <c r="ET197" s="9"/>
      <c r="EU197" s="9"/>
      <c r="EV197" s="9"/>
      <c r="EW197" s="9"/>
      <c r="EX197" s="9"/>
      <c r="EY197" s="9"/>
      <c r="EZ197" s="9"/>
      <c r="FA197" s="9"/>
      <c r="FB197" s="9"/>
      <c r="FC197" s="9"/>
      <c r="FD197" s="9"/>
      <c r="FE197" s="9"/>
      <c r="FF197" s="9"/>
      <c r="FG197" s="9"/>
      <c r="FH197" s="9"/>
      <c r="FI197" s="9"/>
      <c r="FJ197" s="9"/>
    </row>
    <row r="198" spans="3:166" x14ac:dyDescent="0.2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  <c r="EC198" s="9"/>
      <c r="ED198" s="9"/>
      <c r="EE198" s="9"/>
      <c r="EF198" s="9"/>
      <c r="EG198" s="9"/>
      <c r="EH198" s="9"/>
      <c r="EI198" s="9"/>
      <c r="EJ198" s="9"/>
      <c r="EK198" s="9"/>
      <c r="EL198" s="9"/>
      <c r="EM198" s="9"/>
      <c r="EN198" s="9"/>
      <c r="EO198" s="9"/>
      <c r="EP198" s="9"/>
      <c r="EQ198" s="9"/>
      <c r="ER198" s="9"/>
      <c r="ES198" s="9"/>
      <c r="ET198" s="9"/>
      <c r="EU198" s="9"/>
      <c r="EV198" s="9"/>
      <c r="EW198" s="9"/>
      <c r="EX198" s="9"/>
      <c r="EY198" s="9"/>
      <c r="EZ198" s="9"/>
      <c r="FA198" s="9"/>
      <c r="FB198" s="9"/>
      <c r="FC198" s="9"/>
      <c r="FD198" s="9"/>
      <c r="FE198" s="9"/>
      <c r="FF198" s="9"/>
      <c r="FG198" s="9"/>
      <c r="FH198" s="9"/>
      <c r="FI198" s="9"/>
      <c r="FJ198" s="9"/>
    </row>
    <row r="199" spans="3:166" x14ac:dyDescent="0.2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  <c r="EW199" s="9"/>
      <c r="EX199" s="9"/>
      <c r="EY199" s="9"/>
      <c r="EZ199" s="9"/>
      <c r="FA199" s="9"/>
      <c r="FB199" s="9"/>
      <c r="FC199" s="9"/>
      <c r="FD199" s="9"/>
      <c r="FE199" s="9"/>
      <c r="FF199" s="9"/>
      <c r="FG199" s="9"/>
      <c r="FH199" s="9"/>
      <c r="FI199" s="9"/>
      <c r="FJ199" s="9"/>
    </row>
    <row r="200" spans="3:166" x14ac:dyDescent="0.2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  <c r="EW200" s="9"/>
      <c r="EX200" s="9"/>
      <c r="EY200" s="9"/>
      <c r="EZ200" s="9"/>
      <c r="FA200" s="9"/>
      <c r="FB200" s="9"/>
      <c r="FC200" s="9"/>
      <c r="FD200" s="9"/>
      <c r="FE200" s="9"/>
      <c r="FF200" s="9"/>
      <c r="FG200" s="9"/>
      <c r="FH200" s="9"/>
      <c r="FI200" s="9"/>
      <c r="FJ200" s="9"/>
    </row>
    <row r="201" spans="3:166" x14ac:dyDescent="0.2"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  <c r="EC201" s="9"/>
      <c r="ED201" s="9"/>
      <c r="EE201" s="9"/>
      <c r="EF201" s="9"/>
      <c r="EG201" s="9"/>
      <c r="EH201" s="9"/>
      <c r="EI201" s="9"/>
      <c r="EJ201" s="9"/>
      <c r="EK201" s="9"/>
      <c r="EL201" s="9"/>
      <c r="EM201" s="9"/>
      <c r="EN201" s="9"/>
      <c r="EO201" s="9"/>
      <c r="EP201" s="9"/>
      <c r="EQ201" s="9"/>
      <c r="ER201" s="9"/>
      <c r="ES201" s="9"/>
      <c r="ET201" s="9"/>
      <c r="EU201" s="9"/>
      <c r="EV201" s="9"/>
      <c r="EW201" s="9"/>
      <c r="EX201" s="9"/>
      <c r="EY201" s="9"/>
      <c r="EZ201" s="9"/>
      <c r="FA201" s="9"/>
      <c r="FB201" s="9"/>
      <c r="FC201" s="9"/>
      <c r="FD201" s="9"/>
      <c r="FE201" s="9"/>
      <c r="FF201" s="9"/>
      <c r="FG201" s="9"/>
      <c r="FH201" s="9"/>
      <c r="FI201" s="9"/>
      <c r="FJ201" s="9"/>
    </row>
    <row r="202" spans="3:166" x14ac:dyDescent="0.2"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  <c r="DN202" s="9"/>
      <c r="DO202" s="9"/>
      <c r="DP202" s="9"/>
      <c r="DQ202" s="9"/>
      <c r="DR202" s="9"/>
      <c r="DS202" s="9"/>
      <c r="DT202" s="9"/>
      <c r="DU202" s="9"/>
      <c r="DV202" s="9"/>
      <c r="DW202" s="9"/>
      <c r="DX202" s="9"/>
      <c r="DY202" s="9"/>
      <c r="DZ202" s="9"/>
      <c r="EA202" s="9"/>
      <c r="EB202" s="9"/>
      <c r="EC202" s="9"/>
      <c r="ED202" s="9"/>
      <c r="EE202" s="9"/>
      <c r="EF202" s="9"/>
      <c r="EG202" s="9"/>
      <c r="EH202" s="9"/>
      <c r="EI202" s="9"/>
      <c r="EJ202" s="9"/>
      <c r="EK202" s="9"/>
      <c r="EL202" s="9"/>
      <c r="EM202" s="9"/>
      <c r="EN202" s="9"/>
      <c r="EO202" s="9"/>
      <c r="EP202" s="9"/>
      <c r="EQ202" s="9"/>
      <c r="ER202" s="9"/>
      <c r="ES202" s="9"/>
      <c r="ET202" s="9"/>
      <c r="EU202" s="9"/>
      <c r="EV202" s="9"/>
      <c r="EW202" s="9"/>
      <c r="EX202" s="9"/>
      <c r="EY202" s="9"/>
      <c r="EZ202" s="9"/>
      <c r="FA202" s="9"/>
      <c r="FB202" s="9"/>
      <c r="FC202" s="9"/>
      <c r="FD202" s="9"/>
      <c r="FE202" s="9"/>
      <c r="FF202" s="9"/>
      <c r="FG202" s="9"/>
      <c r="FH202" s="9"/>
      <c r="FI202" s="9"/>
      <c r="FJ202" s="9"/>
    </row>
    <row r="203" spans="3:166" x14ac:dyDescent="0.2"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  <c r="EW203" s="9"/>
      <c r="EX203" s="9"/>
      <c r="EY203" s="9"/>
      <c r="EZ203" s="9"/>
      <c r="FA203" s="9"/>
      <c r="FB203" s="9"/>
      <c r="FC203" s="9"/>
      <c r="FD203" s="9"/>
      <c r="FE203" s="9"/>
      <c r="FF203" s="9"/>
      <c r="FG203" s="9"/>
      <c r="FH203" s="9"/>
      <c r="FI203" s="9"/>
      <c r="FJ203" s="9"/>
    </row>
    <row r="204" spans="3:166" x14ac:dyDescent="0.2"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  <c r="EW204" s="9"/>
      <c r="EX204" s="9"/>
      <c r="EY204" s="9"/>
      <c r="EZ204" s="9"/>
      <c r="FA204" s="9"/>
      <c r="FB204" s="9"/>
      <c r="FC204" s="9"/>
      <c r="FD204" s="9"/>
      <c r="FE204" s="9"/>
      <c r="FF204" s="9"/>
      <c r="FG204" s="9"/>
      <c r="FH204" s="9"/>
      <c r="FI204" s="9"/>
      <c r="FJ204" s="9"/>
    </row>
    <row r="205" spans="3:166" x14ac:dyDescent="0.2"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  <c r="DN205" s="9"/>
      <c r="DO205" s="9"/>
      <c r="DP205" s="9"/>
      <c r="DQ205" s="9"/>
      <c r="DR205" s="9"/>
      <c r="DS205" s="9"/>
      <c r="DT205" s="9"/>
      <c r="DU205" s="9"/>
      <c r="DV205" s="9"/>
      <c r="DW205" s="9"/>
      <c r="DX205" s="9"/>
      <c r="DY205" s="9"/>
      <c r="DZ205" s="9"/>
      <c r="EA205" s="9"/>
      <c r="EB205" s="9"/>
      <c r="EC205" s="9"/>
      <c r="ED205" s="9"/>
      <c r="EE205" s="9"/>
      <c r="EF205" s="9"/>
      <c r="EG205" s="9"/>
      <c r="EH205" s="9"/>
      <c r="EI205" s="9"/>
      <c r="EJ205" s="9"/>
      <c r="EK205" s="9"/>
      <c r="EL205" s="9"/>
      <c r="EM205" s="9"/>
      <c r="EN205" s="9"/>
      <c r="EO205" s="9"/>
      <c r="EP205" s="9"/>
      <c r="EQ205" s="9"/>
      <c r="ER205" s="9"/>
      <c r="ES205" s="9"/>
      <c r="ET205" s="9"/>
      <c r="EU205" s="9"/>
      <c r="EV205" s="9"/>
      <c r="EW205" s="9"/>
      <c r="EX205" s="9"/>
      <c r="EY205" s="9"/>
      <c r="EZ205" s="9"/>
      <c r="FA205" s="9"/>
      <c r="FB205" s="9"/>
      <c r="FC205" s="9"/>
      <c r="FD205" s="9"/>
      <c r="FE205" s="9"/>
      <c r="FF205" s="9"/>
      <c r="FG205" s="9"/>
      <c r="FH205" s="9"/>
      <c r="FI205" s="9"/>
      <c r="FJ205" s="9"/>
    </row>
    <row r="206" spans="3:166" x14ac:dyDescent="0.2"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  <c r="DN206" s="9"/>
      <c r="DO206" s="9"/>
      <c r="DP206" s="9"/>
      <c r="DQ206" s="9"/>
      <c r="DR206" s="9"/>
      <c r="DS206" s="9"/>
      <c r="DT206" s="9"/>
      <c r="DU206" s="9"/>
      <c r="DV206" s="9"/>
      <c r="DW206" s="9"/>
      <c r="DX206" s="9"/>
      <c r="DY206" s="9"/>
      <c r="DZ206" s="9"/>
      <c r="EA206" s="9"/>
      <c r="EB206" s="9"/>
      <c r="EC206" s="9"/>
      <c r="ED206" s="9"/>
      <c r="EE206" s="9"/>
      <c r="EF206" s="9"/>
      <c r="EG206" s="9"/>
      <c r="EH206" s="9"/>
      <c r="EI206" s="9"/>
      <c r="EJ206" s="9"/>
      <c r="EK206" s="9"/>
      <c r="EL206" s="9"/>
      <c r="EM206" s="9"/>
      <c r="EN206" s="9"/>
      <c r="EO206" s="9"/>
      <c r="EP206" s="9"/>
      <c r="EQ206" s="9"/>
      <c r="ER206" s="9"/>
      <c r="ES206" s="9"/>
      <c r="ET206" s="9"/>
      <c r="EU206" s="9"/>
      <c r="EV206" s="9"/>
      <c r="EW206" s="9"/>
      <c r="EX206" s="9"/>
      <c r="EY206" s="9"/>
      <c r="EZ206" s="9"/>
      <c r="FA206" s="9"/>
      <c r="FB206" s="9"/>
      <c r="FC206" s="9"/>
      <c r="FD206" s="9"/>
      <c r="FE206" s="9"/>
      <c r="FF206" s="9"/>
      <c r="FG206" s="9"/>
      <c r="FH206" s="9"/>
      <c r="FI206" s="9"/>
      <c r="FJ206" s="9"/>
    </row>
    <row r="207" spans="3:166" x14ac:dyDescent="0.2"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  <c r="EF207" s="9"/>
      <c r="EG207" s="9"/>
      <c r="EH207" s="9"/>
      <c r="EI207" s="9"/>
      <c r="EJ207" s="9"/>
      <c r="EK207" s="9"/>
      <c r="EL207" s="9"/>
      <c r="EM207" s="9"/>
      <c r="EN207" s="9"/>
      <c r="EO207" s="9"/>
      <c r="EP207" s="9"/>
      <c r="EQ207" s="9"/>
      <c r="ER207" s="9"/>
      <c r="ES207" s="9"/>
      <c r="ET207" s="9"/>
      <c r="EU207" s="9"/>
      <c r="EV207" s="9"/>
      <c r="EW207" s="9"/>
      <c r="EX207" s="9"/>
      <c r="EY207" s="9"/>
      <c r="EZ207" s="9"/>
      <c r="FA207" s="9"/>
      <c r="FB207" s="9"/>
      <c r="FC207" s="9"/>
      <c r="FD207" s="9"/>
      <c r="FE207" s="9"/>
      <c r="FF207" s="9"/>
      <c r="FG207" s="9"/>
      <c r="FH207" s="9"/>
      <c r="FI207" s="9"/>
      <c r="FJ207" s="9"/>
    </row>
    <row r="208" spans="3:166" x14ac:dyDescent="0.2"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  <c r="EF208" s="9"/>
      <c r="EG208" s="9"/>
      <c r="EH208" s="9"/>
      <c r="EI208" s="9"/>
      <c r="EJ208" s="9"/>
      <c r="EK208" s="9"/>
      <c r="EL208" s="9"/>
      <c r="EM208" s="9"/>
      <c r="EN208" s="9"/>
      <c r="EO208" s="9"/>
      <c r="EP208" s="9"/>
      <c r="EQ208" s="9"/>
      <c r="ER208" s="9"/>
      <c r="ES208" s="9"/>
      <c r="ET208" s="9"/>
      <c r="EU208" s="9"/>
      <c r="EV208" s="9"/>
      <c r="EW208" s="9"/>
      <c r="EX208" s="9"/>
      <c r="EY208" s="9"/>
      <c r="EZ208" s="9"/>
      <c r="FA208" s="9"/>
      <c r="FB208" s="9"/>
      <c r="FC208" s="9"/>
      <c r="FD208" s="9"/>
      <c r="FE208" s="9"/>
      <c r="FF208" s="9"/>
      <c r="FG208" s="9"/>
      <c r="FH208" s="9"/>
      <c r="FI208" s="9"/>
      <c r="FJ208" s="9"/>
    </row>
    <row r="209" spans="3:166" x14ac:dyDescent="0.2"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  <c r="EF209" s="9"/>
      <c r="EG209" s="9"/>
      <c r="EH209" s="9"/>
      <c r="EI209" s="9"/>
      <c r="EJ209" s="9"/>
      <c r="EK209" s="9"/>
      <c r="EL209" s="9"/>
      <c r="EM209" s="9"/>
      <c r="EN209" s="9"/>
      <c r="EO209" s="9"/>
      <c r="EP209" s="9"/>
      <c r="EQ209" s="9"/>
      <c r="ER209" s="9"/>
      <c r="ES209" s="9"/>
      <c r="ET209" s="9"/>
      <c r="EU209" s="9"/>
      <c r="EV209" s="9"/>
      <c r="EW209" s="9"/>
      <c r="EX209" s="9"/>
      <c r="EY209" s="9"/>
      <c r="EZ209" s="9"/>
      <c r="FA209" s="9"/>
      <c r="FB209" s="9"/>
      <c r="FC209" s="9"/>
      <c r="FD209" s="9"/>
      <c r="FE209" s="9"/>
      <c r="FF209" s="9"/>
      <c r="FG209" s="9"/>
      <c r="FH209" s="9"/>
      <c r="FI209" s="9"/>
      <c r="FJ209" s="9"/>
    </row>
    <row r="210" spans="3:166" x14ac:dyDescent="0.2"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  <c r="EF210" s="9"/>
      <c r="EG210" s="9"/>
      <c r="EH210" s="9"/>
      <c r="EI210" s="9"/>
      <c r="EJ210" s="9"/>
      <c r="EK210" s="9"/>
      <c r="EL210" s="9"/>
      <c r="EM210" s="9"/>
      <c r="EN210" s="9"/>
      <c r="EO210" s="9"/>
      <c r="EP210" s="9"/>
      <c r="EQ210" s="9"/>
      <c r="ER210" s="9"/>
      <c r="ES210" s="9"/>
      <c r="ET210" s="9"/>
      <c r="EU210" s="9"/>
      <c r="EV210" s="9"/>
      <c r="EW210" s="9"/>
      <c r="EX210" s="9"/>
      <c r="EY210" s="9"/>
      <c r="EZ210" s="9"/>
      <c r="FA210" s="9"/>
      <c r="FB210" s="9"/>
      <c r="FC210" s="9"/>
      <c r="FD210" s="9"/>
      <c r="FE210" s="9"/>
      <c r="FF210" s="9"/>
      <c r="FG210" s="9"/>
      <c r="FH210" s="9"/>
      <c r="FI210" s="9"/>
      <c r="FJ210" s="9"/>
    </row>
    <row r="211" spans="3:166" x14ac:dyDescent="0.2"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  <c r="EF211" s="9"/>
      <c r="EG211" s="9"/>
      <c r="EH211" s="9"/>
      <c r="EI211" s="9"/>
      <c r="EJ211" s="9"/>
      <c r="EK211" s="9"/>
      <c r="EL211" s="9"/>
      <c r="EM211" s="9"/>
      <c r="EN211" s="9"/>
      <c r="EO211" s="9"/>
      <c r="EP211" s="9"/>
      <c r="EQ211" s="9"/>
      <c r="ER211" s="9"/>
      <c r="ES211" s="9"/>
      <c r="ET211" s="9"/>
      <c r="EU211" s="9"/>
      <c r="EV211" s="9"/>
      <c r="EW211" s="9"/>
      <c r="EX211" s="9"/>
      <c r="EY211" s="9"/>
      <c r="EZ211" s="9"/>
      <c r="FA211" s="9"/>
      <c r="FB211" s="9"/>
      <c r="FC211" s="9"/>
      <c r="FD211" s="9"/>
      <c r="FE211" s="9"/>
      <c r="FF211" s="9"/>
      <c r="FG211" s="9"/>
      <c r="FH211" s="9"/>
      <c r="FI211" s="9"/>
      <c r="FJ211" s="9"/>
    </row>
    <row r="212" spans="3:166" x14ac:dyDescent="0.2"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  <c r="EF212" s="9"/>
      <c r="EG212" s="9"/>
      <c r="EH212" s="9"/>
      <c r="EI212" s="9"/>
      <c r="EJ212" s="9"/>
      <c r="EK212" s="9"/>
      <c r="EL212" s="9"/>
      <c r="EM212" s="9"/>
      <c r="EN212" s="9"/>
      <c r="EO212" s="9"/>
      <c r="EP212" s="9"/>
      <c r="EQ212" s="9"/>
      <c r="ER212" s="9"/>
      <c r="ES212" s="9"/>
      <c r="ET212" s="9"/>
      <c r="EU212" s="9"/>
      <c r="EV212" s="9"/>
      <c r="EW212" s="9"/>
      <c r="EX212" s="9"/>
      <c r="EY212" s="9"/>
      <c r="EZ212" s="9"/>
      <c r="FA212" s="9"/>
      <c r="FB212" s="9"/>
      <c r="FC212" s="9"/>
      <c r="FD212" s="9"/>
      <c r="FE212" s="9"/>
      <c r="FF212" s="9"/>
      <c r="FG212" s="9"/>
      <c r="FH212" s="9"/>
      <c r="FI212" s="9"/>
      <c r="FJ212" s="9"/>
    </row>
    <row r="213" spans="3:166" x14ac:dyDescent="0.2"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  <c r="EF213" s="9"/>
      <c r="EG213" s="9"/>
      <c r="EH213" s="9"/>
      <c r="EI213" s="9"/>
      <c r="EJ213" s="9"/>
      <c r="EK213" s="9"/>
      <c r="EL213" s="9"/>
      <c r="EM213" s="9"/>
      <c r="EN213" s="9"/>
      <c r="EO213" s="9"/>
      <c r="EP213" s="9"/>
      <c r="EQ213" s="9"/>
      <c r="ER213" s="9"/>
      <c r="ES213" s="9"/>
      <c r="ET213" s="9"/>
      <c r="EU213" s="9"/>
      <c r="EV213" s="9"/>
      <c r="EW213" s="9"/>
      <c r="EX213" s="9"/>
      <c r="EY213" s="9"/>
      <c r="EZ213" s="9"/>
      <c r="FA213" s="9"/>
      <c r="FB213" s="9"/>
      <c r="FC213" s="9"/>
      <c r="FD213" s="9"/>
      <c r="FE213" s="9"/>
      <c r="FF213" s="9"/>
      <c r="FG213" s="9"/>
      <c r="FH213" s="9"/>
      <c r="FI213" s="9"/>
      <c r="FJ213" s="9"/>
    </row>
    <row r="214" spans="3:166" x14ac:dyDescent="0.2"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  <c r="EF214" s="9"/>
      <c r="EG214" s="9"/>
      <c r="EH214" s="9"/>
      <c r="EI214" s="9"/>
      <c r="EJ214" s="9"/>
      <c r="EK214" s="9"/>
      <c r="EL214" s="9"/>
      <c r="EM214" s="9"/>
      <c r="EN214" s="9"/>
      <c r="EO214" s="9"/>
      <c r="EP214" s="9"/>
      <c r="EQ214" s="9"/>
      <c r="ER214" s="9"/>
      <c r="ES214" s="9"/>
      <c r="ET214" s="9"/>
      <c r="EU214" s="9"/>
      <c r="EV214" s="9"/>
      <c r="EW214" s="9"/>
      <c r="EX214" s="9"/>
      <c r="EY214" s="9"/>
      <c r="EZ214" s="9"/>
      <c r="FA214" s="9"/>
      <c r="FB214" s="9"/>
      <c r="FC214" s="9"/>
      <c r="FD214" s="9"/>
      <c r="FE214" s="9"/>
      <c r="FF214" s="9"/>
      <c r="FG214" s="9"/>
      <c r="FH214" s="9"/>
      <c r="FI214" s="9"/>
      <c r="FJ214" s="9"/>
    </row>
    <row r="215" spans="3:166" x14ac:dyDescent="0.2"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  <c r="EF215" s="9"/>
      <c r="EG215" s="9"/>
      <c r="EH215" s="9"/>
      <c r="EI215" s="9"/>
      <c r="EJ215" s="9"/>
      <c r="EK215" s="9"/>
      <c r="EL215" s="9"/>
      <c r="EM215" s="9"/>
      <c r="EN215" s="9"/>
      <c r="EO215" s="9"/>
      <c r="EP215" s="9"/>
      <c r="EQ215" s="9"/>
      <c r="ER215" s="9"/>
      <c r="ES215" s="9"/>
      <c r="ET215" s="9"/>
      <c r="EU215" s="9"/>
      <c r="EV215" s="9"/>
      <c r="EW215" s="9"/>
      <c r="EX215" s="9"/>
      <c r="EY215" s="9"/>
      <c r="EZ215" s="9"/>
      <c r="FA215" s="9"/>
      <c r="FB215" s="9"/>
      <c r="FC215" s="9"/>
      <c r="FD215" s="9"/>
      <c r="FE215" s="9"/>
      <c r="FF215" s="9"/>
      <c r="FG215" s="9"/>
      <c r="FH215" s="9"/>
      <c r="FI215" s="9"/>
      <c r="FJ215" s="9"/>
    </row>
    <row r="216" spans="3:166" x14ac:dyDescent="0.2"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  <c r="EW216" s="9"/>
      <c r="EX216" s="9"/>
      <c r="EY216" s="9"/>
      <c r="EZ216" s="9"/>
      <c r="FA216" s="9"/>
      <c r="FB216" s="9"/>
      <c r="FC216" s="9"/>
      <c r="FD216" s="9"/>
      <c r="FE216" s="9"/>
      <c r="FF216" s="9"/>
      <c r="FG216" s="9"/>
      <c r="FH216" s="9"/>
      <c r="FI216" s="9"/>
      <c r="FJ216" s="9"/>
    </row>
    <row r="217" spans="3:166" x14ac:dyDescent="0.2"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  <c r="EW217" s="9"/>
      <c r="EX217" s="9"/>
      <c r="EY217" s="9"/>
      <c r="EZ217" s="9"/>
      <c r="FA217" s="9"/>
      <c r="FB217" s="9"/>
      <c r="FC217" s="9"/>
      <c r="FD217" s="9"/>
      <c r="FE217" s="9"/>
      <c r="FF217" s="9"/>
      <c r="FG217" s="9"/>
      <c r="FH217" s="9"/>
      <c r="FI217" s="9"/>
      <c r="FJ217" s="9"/>
    </row>
    <row r="218" spans="3:166" x14ac:dyDescent="0.2"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  <c r="EW218" s="9"/>
      <c r="EX218" s="9"/>
      <c r="EY218" s="9"/>
      <c r="EZ218" s="9"/>
      <c r="FA218" s="9"/>
      <c r="FB218" s="9"/>
      <c r="FC218" s="9"/>
      <c r="FD218" s="9"/>
      <c r="FE218" s="9"/>
      <c r="FF218" s="9"/>
      <c r="FG218" s="9"/>
      <c r="FH218" s="9"/>
      <c r="FI218" s="9"/>
      <c r="FJ218" s="9"/>
    </row>
    <row r="219" spans="3:166" x14ac:dyDescent="0.2"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  <c r="EW219" s="9"/>
      <c r="EX219" s="9"/>
      <c r="EY219" s="9"/>
      <c r="EZ219" s="9"/>
      <c r="FA219" s="9"/>
      <c r="FB219" s="9"/>
      <c r="FC219" s="9"/>
      <c r="FD219" s="9"/>
      <c r="FE219" s="9"/>
      <c r="FF219" s="9"/>
      <c r="FG219" s="9"/>
      <c r="FH219" s="9"/>
      <c r="FI219" s="9"/>
      <c r="FJ219" s="9"/>
    </row>
    <row r="220" spans="3:166" x14ac:dyDescent="0.2"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  <c r="EW220" s="9"/>
      <c r="EX220" s="9"/>
      <c r="EY220" s="9"/>
      <c r="EZ220" s="9"/>
      <c r="FA220" s="9"/>
      <c r="FB220" s="9"/>
      <c r="FC220" s="9"/>
      <c r="FD220" s="9"/>
      <c r="FE220" s="9"/>
      <c r="FF220" s="9"/>
      <c r="FG220" s="9"/>
      <c r="FH220" s="9"/>
      <c r="FI220" s="9"/>
      <c r="FJ220" s="9"/>
    </row>
    <row r="221" spans="3:166" x14ac:dyDescent="0.2"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  <c r="EW221" s="9"/>
      <c r="EX221" s="9"/>
      <c r="EY221" s="9"/>
      <c r="EZ221" s="9"/>
      <c r="FA221" s="9"/>
      <c r="FB221" s="9"/>
      <c r="FC221" s="9"/>
      <c r="FD221" s="9"/>
      <c r="FE221" s="9"/>
      <c r="FF221" s="9"/>
      <c r="FG221" s="9"/>
      <c r="FH221" s="9"/>
      <c r="FI221" s="9"/>
      <c r="FJ221" s="9"/>
    </row>
    <row r="222" spans="3:166" x14ac:dyDescent="0.2"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  <c r="EW222" s="9"/>
      <c r="EX222" s="9"/>
      <c r="EY222" s="9"/>
      <c r="EZ222" s="9"/>
      <c r="FA222" s="9"/>
      <c r="FB222" s="9"/>
      <c r="FC222" s="9"/>
      <c r="FD222" s="9"/>
      <c r="FE222" s="9"/>
      <c r="FF222" s="9"/>
      <c r="FG222" s="9"/>
      <c r="FH222" s="9"/>
      <c r="FI222" s="9"/>
      <c r="FJ222" s="9"/>
    </row>
    <row r="223" spans="3:166" x14ac:dyDescent="0.2"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  <c r="EW223" s="9"/>
      <c r="EX223" s="9"/>
      <c r="EY223" s="9"/>
      <c r="EZ223" s="9"/>
      <c r="FA223" s="9"/>
      <c r="FB223" s="9"/>
      <c r="FC223" s="9"/>
      <c r="FD223" s="9"/>
      <c r="FE223" s="9"/>
      <c r="FF223" s="9"/>
      <c r="FG223" s="9"/>
      <c r="FH223" s="9"/>
      <c r="FI223" s="9"/>
      <c r="FJ223" s="9"/>
    </row>
    <row r="224" spans="3:166" x14ac:dyDescent="0.2"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  <c r="EW224" s="9"/>
      <c r="EX224" s="9"/>
      <c r="EY224" s="9"/>
      <c r="EZ224" s="9"/>
      <c r="FA224" s="9"/>
      <c r="FB224" s="9"/>
      <c r="FC224" s="9"/>
      <c r="FD224" s="9"/>
      <c r="FE224" s="9"/>
      <c r="FF224" s="9"/>
      <c r="FG224" s="9"/>
      <c r="FH224" s="9"/>
      <c r="FI224" s="9"/>
      <c r="FJ224" s="9"/>
    </row>
    <row r="225" spans="3:166" x14ac:dyDescent="0.2"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  <c r="EW225" s="9"/>
      <c r="EX225" s="9"/>
      <c r="EY225" s="9"/>
      <c r="EZ225" s="9"/>
      <c r="FA225" s="9"/>
      <c r="FB225" s="9"/>
      <c r="FC225" s="9"/>
      <c r="FD225" s="9"/>
      <c r="FE225" s="9"/>
      <c r="FF225" s="9"/>
      <c r="FG225" s="9"/>
      <c r="FH225" s="9"/>
      <c r="FI225" s="9"/>
      <c r="FJ225" s="9"/>
    </row>
    <row r="226" spans="3:166" x14ac:dyDescent="0.2"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  <c r="EW226" s="9"/>
      <c r="EX226" s="9"/>
      <c r="EY226" s="9"/>
      <c r="EZ226" s="9"/>
      <c r="FA226" s="9"/>
      <c r="FB226" s="9"/>
      <c r="FC226" s="9"/>
      <c r="FD226" s="9"/>
      <c r="FE226" s="9"/>
      <c r="FF226" s="9"/>
      <c r="FG226" s="9"/>
      <c r="FH226" s="9"/>
      <c r="FI226" s="9"/>
      <c r="FJ226" s="9"/>
    </row>
    <row r="227" spans="3:166" x14ac:dyDescent="0.2"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  <c r="EW227" s="9"/>
      <c r="EX227" s="9"/>
      <c r="EY227" s="9"/>
      <c r="EZ227" s="9"/>
      <c r="FA227" s="9"/>
      <c r="FB227" s="9"/>
      <c r="FC227" s="9"/>
      <c r="FD227" s="9"/>
      <c r="FE227" s="9"/>
      <c r="FF227" s="9"/>
      <c r="FG227" s="9"/>
      <c r="FH227" s="9"/>
      <c r="FI227" s="9"/>
      <c r="FJ227" s="9"/>
    </row>
    <row r="228" spans="3:166" x14ac:dyDescent="0.2"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  <c r="EW228" s="9"/>
      <c r="EX228" s="9"/>
      <c r="EY228" s="9"/>
      <c r="EZ228" s="9"/>
      <c r="FA228" s="9"/>
      <c r="FB228" s="9"/>
      <c r="FC228" s="9"/>
      <c r="FD228" s="9"/>
      <c r="FE228" s="9"/>
      <c r="FF228" s="9"/>
      <c r="FG228" s="9"/>
      <c r="FH228" s="9"/>
      <c r="FI228" s="9"/>
      <c r="FJ228" s="9"/>
    </row>
    <row r="229" spans="3:166" x14ac:dyDescent="0.2"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  <c r="EW229" s="9"/>
      <c r="EX229" s="9"/>
      <c r="EY229" s="9"/>
      <c r="EZ229" s="9"/>
      <c r="FA229" s="9"/>
      <c r="FB229" s="9"/>
      <c r="FC229" s="9"/>
      <c r="FD229" s="9"/>
      <c r="FE229" s="9"/>
      <c r="FF229" s="9"/>
      <c r="FG229" s="9"/>
      <c r="FH229" s="9"/>
      <c r="FI229" s="9"/>
      <c r="FJ229" s="9"/>
    </row>
    <row r="230" spans="3:166" x14ac:dyDescent="0.2"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  <c r="EW230" s="9"/>
      <c r="EX230" s="9"/>
      <c r="EY230" s="9"/>
      <c r="EZ230" s="9"/>
      <c r="FA230" s="9"/>
      <c r="FB230" s="9"/>
      <c r="FC230" s="9"/>
      <c r="FD230" s="9"/>
      <c r="FE230" s="9"/>
      <c r="FF230" s="9"/>
      <c r="FG230" s="9"/>
      <c r="FH230" s="9"/>
      <c r="FI230" s="9"/>
      <c r="FJ230" s="9"/>
    </row>
    <row r="231" spans="3:166" x14ac:dyDescent="0.2"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  <c r="EW231" s="9"/>
      <c r="EX231" s="9"/>
      <c r="EY231" s="9"/>
      <c r="EZ231" s="9"/>
      <c r="FA231" s="9"/>
      <c r="FB231" s="9"/>
      <c r="FC231" s="9"/>
      <c r="FD231" s="9"/>
      <c r="FE231" s="9"/>
      <c r="FF231" s="9"/>
      <c r="FG231" s="9"/>
      <c r="FH231" s="9"/>
      <c r="FI231" s="9"/>
      <c r="FJ231" s="9"/>
    </row>
    <row r="232" spans="3:166" x14ac:dyDescent="0.2"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  <c r="EW232" s="9"/>
      <c r="EX232" s="9"/>
      <c r="EY232" s="9"/>
      <c r="EZ232" s="9"/>
      <c r="FA232" s="9"/>
      <c r="FB232" s="9"/>
      <c r="FC232" s="9"/>
      <c r="FD232" s="9"/>
      <c r="FE232" s="9"/>
      <c r="FF232" s="9"/>
      <c r="FG232" s="9"/>
      <c r="FH232" s="9"/>
      <c r="FI232" s="9"/>
      <c r="FJ232" s="9"/>
    </row>
    <row r="233" spans="3:166" x14ac:dyDescent="0.2"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  <c r="EW233" s="9"/>
      <c r="EX233" s="9"/>
      <c r="EY233" s="9"/>
      <c r="EZ233" s="9"/>
      <c r="FA233" s="9"/>
      <c r="FB233" s="9"/>
      <c r="FC233" s="9"/>
      <c r="FD233" s="9"/>
      <c r="FE233" s="9"/>
      <c r="FF233" s="9"/>
      <c r="FG233" s="9"/>
      <c r="FH233" s="9"/>
      <c r="FI233" s="9"/>
      <c r="FJ233" s="9"/>
    </row>
    <row r="234" spans="3:166" x14ac:dyDescent="0.2"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  <c r="EW234" s="9"/>
      <c r="EX234" s="9"/>
      <c r="EY234" s="9"/>
      <c r="EZ234" s="9"/>
      <c r="FA234" s="9"/>
      <c r="FB234" s="9"/>
      <c r="FC234" s="9"/>
      <c r="FD234" s="9"/>
      <c r="FE234" s="9"/>
      <c r="FF234" s="9"/>
      <c r="FG234" s="9"/>
      <c r="FH234" s="9"/>
      <c r="FI234" s="9"/>
      <c r="FJ234" s="9"/>
    </row>
    <row r="235" spans="3:166" x14ac:dyDescent="0.2"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  <c r="EW235" s="9"/>
      <c r="EX235" s="9"/>
      <c r="EY235" s="9"/>
      <c r="EZ235" s="9"/>
      <c r="FA235" s="9"/>
      <c r="FB235" s="9"/>
      <c r="FC235" s="9"/>
      <c r="FD235" s="9"/>
      <c r="FE235" s="9"/>
      <c r="FF235" s="9"/>
      <c r="FG235" s="9"/>
      <c r="FH235" s="9"/>
      <c r="FI235" s="9"/>
      <c r="FJ235" s="9"/>
    </row>
    <row r="236" spans="3:166" x14ac:dyDescent="0.2"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  <c r="EW236" s="9"/>
      <c r="EX236" s="9"/>
      <c r="EY236" s="9"/>
      <c r="EZ236" s="9"/>
      <c r="FA236" s="9"/>
      <c r="FB236" s="9"/>
      <c r="FC236" s="9"/>
      <c r="FD236" s="9"/>
      <c r="FE236" s="9"/>
      <c r="FF236" s="9"/>
      <c r="FG236" s="9"/>
      <c r="FH236" s="9"/>
      <c r="FI236" s="9"/>
      <c r="FJ236" s="9"/>
    </row>
    <row r="237" spans="3:166" x14ac:dyDescent="0.2"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  <c r="EW237" s="9"/>
      <c r="EX237" s="9"/>
      <c r="EY237" s="9"/>
      <c r="EZ237" s="9"/>
      <c r="FA237" s="9"/>
      <c r="FB237" s="9"/>
      <c r="FC237" s="9"/>
      <c r="FD237" s="9"/>
      <c r="FE237" s="9"/>
      <c r="FF237" s="9"/>
      <c r="FG237" s="9"/>
      <c r="FH237" s="9"/>
      <c r="FI237" s="9"/>
      <c r="FJ237" s="9"/>
    </row>
    <row r="238" spans="3:166" x14ac:dyDescent="0.2"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  <c r="EW238" s="9"/>
      <c r="EX238" s="9"/>
      <c r="EY238" s="9"/>
      <c r="EZ238" s="9"/>
      <c r="FA238" s="9"/>
      <c r="FB238" s="9"/>
      <c r="FC238" s="9"/>
      <c r="FD238" s="9"/>
      <c r="FE238" s="9"/>
      <c r="FF238" s="9"/>
      <c r="FG238" s="9"/>
      <c r="FH238" s="9"/>
      <c r="FI238" s="9"/>
      <c r="FJ238" s="9"/>
    </row>
    <row r="239" spans="3:166" x14ac:dyDescent="0.2"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  <c r="EW239" s="9"/>
      <c r="EX239" s="9"/>
      <c r="EY239" s="9"/>
      <c r="EZ239" s="9"/>
      <c r="FA239" s="9"/>
      <c r="FB239" s="9"/>
      <c r="FC239" s="9"/>
      <c r="FD239" s="9"/>
      <c r="FE239" s="9"/>
      <c r="FF239" s="9"/>
      <c r="FG239" s="9"/>
      <c r="FH239" s="9"/>
      <c r="FI239" s="9"/>
      <c r="FJ239" s="9"/>
    </row>
    <row r="240" spans="3:166" x14ac:dyDescent="0.2"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  <c r="EW240" s="9"/>
      <c r="EX240" s="9"/>
      <c r="EY240" s="9"/>
      <c r="EZ240" s="9"/>
      <c r="FA240" s="9"/>
      <c r="FB240" s="9"/>
      <c r="FC240" s="9"/>
      <c r="FD240" s="9"/>
      <c r="FE240" s="9"/>
      <c r="FF240" s="9"/>
      <c r="FG240" s="9"/>
      <c r="FH240" s="9"/>
      <c r="FI240" s="9"/>
      <c r="FJ240" s="9"/>
    </row>
    <row r="241" spans="3:166" x14ac:dyDescent="0.2"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  <c r="EF241" s="9"/>
      <c r="EG241" s="9"/>
      <c r="EH241" s="9"/>
      <c r="EI241" s="9"/>
      <c r="EJ241" s="9"/>
      <c r="EK241" s="9"/>
      <c r="EL241" s="9"/>
      <c r="EM241" s="9"/>
      <c r="EN241" s="9"/>
      <c r="EO241" s="9"/>
      <c r="EP241" s="9"/>
      <c r="EQ241" s="9"/>
      <c r="ER241" s="9"/>
      <c r="ES241" s="9"/>
      <c r="ET241" s="9"/>
      <c r="EU241" s="9"/>
      <c r="EV241" s="9"/>
      <c r="EW241" s="9"/>
      <c r="EX241" s="9"/>
      <c r="EY241" s="9"/>
      <c r="EZ241" s="9"/>
      <c r="FA241" s="9"/>
      <c r="FB241" s="9"/>
      <c r="FC241" s="9"/>
      <c r="FD241" s="9"/>
      <c r="FE241" s="9"/>
      <c r="FF241" s="9"/>
      <c r="FG241" s="9"/>
      <c r="FH241" s="9"/>
      <c r="FI241" s="9"/>
      <c r="FJ241" s="9"/>
    </row>
    <row r="242" spans="3:166" x14ac:dyDescent="0.2"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  <c r="EF242" s="9"/>
      <c r="EG242" s="9"/>
      <c r="EH242" s="9"/>
      <c r="EI242" s="9"/>
      <c r="EJ242" s="9"/>
      <c r="EK242" s="9"/>
      <c r="EL242" s="9"/>
      <c r="EM242" s="9"/>
      <c r="EN242" s="9"/>
      <c r="EO242" s="9"/>
      <c r="EP242" s="9"/>
      <c r="EQ242" s="9"/>
      <c r="ER242" s="9"/>
      <c r="ES242" s="9"/>
      <c r="ET242" s="9"/>
      <c r="EU242" s="9"/>
      <c r="EV242" s="9"/>
      <c r="EW242" s="9"/>
      <c r="EX242" s="9"/>
      <c r="EY242" s="9"/>
      <c r="EZ242" s="9"/>
      <c r="FA242" s="9"/>
      <c r="FB242" s="9"/>
      <c r="FC242" s="9"/>
      <c r="FD242" s="9"/>
      <c r="FE242" s="9"/>
      <c r="FF242" s="9"/>
      <c r="FG242" s="9"/>
      <c r="FH242" s="9"/>
      <c r="FI242" s="9"/>
      <c r="FJ242" s="9"/>
    </row>
    <row r="243" spans="3:166" x14ac:dyDescent="0.2"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  <c r="EF243" s="9"/>
      <c r="EG243" s="9"/>
      <c r="EH243" s="9"/>
      <c r="EI243" s="9"/>
      <c r="EJ243" s="9"/>
      <c r="EK243" s="9"/>
      <c r="EL243" s="9"/>
      <c r="EM243" s="9"/>
      <c r="EN243" s="9"/>
      <c r="EO243" s="9"/>
      <c r="EP243" s="9"/>
      <c r="EQ243" s="9"/>
      <c r="ER243" s="9"/>
      <c r="ES243" s="9"/>
      <c r="ET243" s="9"/>
      <c r="EU243" s="9"/>
      <c r="EV243" s="9"/>
      <c r="EW243" s="9"/>
      <c r="EX243" s="9"/>
      <c r="EY243" s="9"/>
      <c r="EZ243" s="9"/>
      <c r="FA243" s="9"/>
      <c r="FB243" s="9"/>
      <c r="FC243" s="9"/>
      <c r="FD243" s="9"/>
      <c r="FE243" s="9"/>
      <c r="FF243" s="9"/>
      <c r="FG243" s="9"/>
      <c r="FH243" s="9"/>
      <c r="FI243" s="9"/>
      <c r="FJ243" s="9"/>
    </row>
    <row r="244" spans="3:166" x14ac:dyDescent="0.2"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  <c r="EF244" s="9"/>
      <c r="EG244" s="9"/>
      <c r="EH244" s="9"/>
      <c r="EI244" s="9"/>
      <c r="EJ244" s="9"/>
      <c r="EK244" s="9"/>
      <c r="EL244" s="9"/>
      <c r="EM244" s="9"/>
      <c r="EN244" s="9"/>
      <c r="EO244" s="9"/>
      <c r="EP244" s="9"/>
      <c r="EQ244" s="9"/>
      <c r="ER244" s="9"/>
      <c r="ES244" s="9"/>
      <c r="ET244" s="9"/>
      <c r="EU244" s="9"/>
      <c r="EV244" s="9"/>
      <c r="EW244" s="9"/>
      <c r="EX244" s="9"/>
      <c r="EY244" s="9"/>
      <c r="EZ244" s="9"/>
      <c r="FA244" s="9"/>
      <c r="FB244" s="9"/>
      <c r="FC244" s="9"/>
      <c r="FD244" s="9"/>
      <c r="FE244" s="9"/>
      <c r="FF244" s="9"/>
      <c r="FG244" s="9"/>
      <c r="FH244" s="9"/>
      <c r="FI244" s="9"/>
      <c r="FJ244" s="9"/>
    </row>
    <row r="245" spans="3:166" x14ac:dyDescent="0.2"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  <c r="EI245" s="9"/>
      <c r="EJ245" s="9"/>
      <c r="EK245" s="9"/>
      <c r="EL245" s="9"/>
      <c r="EM245" s="9"/>
      <c r="EN245" s="9"/>
      <c r="EO245" s="9"/>
      <c r="EP245" s="9"/>
      <c r="EQ245" s="9"/>
      <c r="ER245" s="9"/>
      <c r="ES245" s="9"/>
      <c r="ET245" s="9"/>
      <c r="EU245" s="9"/>
      <c r="EV245" s="9"/>
      <c r="EW245" s="9"/>
      <c r="EX245" s="9"/>
      <c r="EY245" s="9"/>
      <c r="EZ245" s="9"/>
      <c r="FA245" s="9"/>
      <c r="FB245" s="9"/>
      <c r="FC245" s="9"/>
      <c r="FD245" s="9"/>
      <c r="FE245" s="9"/>
      <c r="FF245" s="9"/>
      <c r="FG245" s="9"/>
      <c r="FH245" s="9"/>
      <c r="FI245" s="9"/>
      <c r="FJ245" s="9"/>
    </row>
    <row r="246" spans="3:166" x14ac:dyDescent="0.2"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  <c r="EF246" s="9"/>
      <c r="EG246" s="9"/>
      <c r="EH246" s="9"/>
      <c r="EI246" s="9"/>
      <c r="EJ246" s="9"/>
      <c r="EK246" s="9"/>
      <c r="EL246" s="9"/>
      <c r="EM246" s="9"/>
      <c r="EN246" s="9"/>
      <c r="EO246" s="9"/>
      <c r="EP246" s="9"/>
      <c r="EQ246" s="9"/>
      <c r="ER246" s="9"/>
      <c r="ES246" s="9"/>
      <c r="ET246" s="9"/>
      <c r="EU246" s="9"/>
      <c r="EV246" s="9"/>
      <c r="EW246" s="9"/>
      <c r="EX246" s="9"/>
      <c r="EY246" s="9"/>
      <c r="EZ246" s="9"/>
      <c r="FA246" s="9"/>
      <c r="FB246" s="9"/>
      <c r="FC246" s="9"/>
      <c r="FD246" s="9"/>
      <c r="FE246" s="9"/>
      <c r="FF246" s="9"/>
      <c r="FG246" s="9"/>
      <c r="FH246" s="9"/>
      <c r="FI246" s="9"/>
      <c r="FJ246" s="9"/>
    </row>
    <row r="247" spans="3:166" x14ac:dyDescent="0.2"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  <c r="EF247" s="9"/>
      <c r="EG247" s="9"/>
      <c r="EH247" s="9"/>
      <c r="EI247" s="9"/>
      <c r="EJ247" s="9"/>
      <c r="EK247" s="9"/>
      <c r="EL247" s="9"/>
      <c r="EM247" s="9"/>
      <c r="EN247" s="9"/>
      <c r="EO247" s="9"/>
      <c r="EP247" s="9"/>
      <c r="EQ247" s="9"/>
      <c r="ER247" s="9"/>
      <c r="ES247" s="9"/>
      <c r="ET247" s="9"/>
      <c r="EU247" s="9"/>
      <c r="EV247" s="9"/>
      <c r="EW247" s="9"/>
      <c r="EX247" s="9"/>
      <c r="EY247" s="9"/>
      <c r="EZ247" s="9"/>
      <c r="FA247" s="9"/>
      <c r="FB247" s="9"/>
      <c r="FC247" s="9"/>
      <c r="FD247" s="9"/>
      <c r="FE247" s="9"/>
      <c r="FF247" s="9"/>
      <c r="FG247" s="9"/>
      <c r="FH247" s="9"/>
      <c r="FI247" s="9"/>
      <c r="FJ247" s="9"/>
    </row>
    <row r="248" spans="3:166" x14ac:dyDescent="0.2"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  <c r="EF248" s="9"/>
      <c r="EG248" s="9"/>
      <c r="EH248" s="9"/>
      <c r="EI248" s="9"/>
      <c r="EJ248" s="9"/>
      <c r="EK248" s="9"/>
      <c r="EL248" s="9"/>
      <c r="EM248" s="9"/>
      <c r="EN248" s="9"/>
      <c r="EO248" s="9"/>
      <c r="EP248" s="9"/>
      <c r="EQ248" s="9"/>
      <c r="ER248" s="9"/>
      <c r="ES248" s="9"/>
      <c r="ET248" s="9"/>
      <c r="EU248" s="9"/>
      <c r="EV248" s="9"/>
      <c r="EW248" s="9"/>
      <c r="EX248" s="9"/>
      <c r="EY248" s="9"/>
      <c r="EZ248" s="9"/>
      <c r="FA248" s="9"/>
      <c r="FB248" s="9"/>
      <c r="FC248" s="9"/>
      <c r="FD248" s="9"/>
      <c r="FE248" s="9"/>
      <c r="FF248" s="9"/>
      <c r="FG248" s="9"/>
      <c r="FH248" s="9"/>
      <c r="FI248" s="9"/>
      <c r="FJ248" s="9"/>
    </row>
    <row r="249" spans="3:166" x14ac:dyDescent="0.2"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  <c r="EF249" s="9"/>
      <c r="EG249" s="9"/>
      <c r="EH249" s="9"/>
      <c r="EI249" s="9"/>
      <c r="EJ249" s="9"/>
      <c r="EK249" s="9"/>
      <c r="EL249" s="9"/>
      <c r="EM249" s="9"/>
      <c r="EN249" s="9"/>
      <c r="EO249" s="9"/>
      <c r="EP249" s="9"/>
      <c r="EQ249" s="9"/>
      <c r="ER249" s="9"/>
      <c r="ES249" s="9"/>
      <c r="ET249" s="9"/>
      <c r="EU249" s="9"/>
      <c r="EV249" s="9"/>
      <c r="EW249" s="9"/>
      <c r="EX249" s="9"/>
      <c r="EY249" s="9"/>
      <c r="EZ249" s="9"/>
      <c r="FA249" s="9"/>
      <c r="FB249" s="9"/>
      <c r="FC249" s="9"/>
      <c r="FD249" s="9"/>
      <c r="FE249" s="9"/>
      <c r="FF249" s="9"/>
      <c r="FG249" s="9"/>
      <c r="FH249" s="9"/>
      <c r="FI249" s="9"/>
      <c r="FJ249" s="9"/>
    </row>
    <row r="250" spans="3:166" x14ac:dyDescent="0.2"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  <c r="EF250" s="9"/>
      <c r="EG250" s="9"/>
      <c r="EH250" s="9"/>
      <c r="EI250" s="9"/>
      <c r="EJ250" s="9"/>
      <c r="EK250" s="9"/>
      <c r="EL250" s="9"/>
      <c r="EM250" s="9"/>
      <c r="EN250" s="9"/>
      <c r="EO250" s="9"/>
      <c r="EP250" s="9"/>
      <c r="EQ250" s="9"/>
      <c r="ER250" s="9"/>
      <c r="ES250" s="9"/>
      <c r="ET250" s="9"/>
      <c r="EU250" s="9"/>
      <c r="EV250" s="9"/>
      <c r="EW250" s="9"/>
      <c r="EX250" s="9"/>
      <c r="EY250" s="9"/>
      <c r="EZ250" s="9"/>
      <c r="FA250" s="9"/>
      <c r="FB250" s="9"/>
      <c r="FC250" s="9"/>
      <c r="FD250" s="9"/>
      <c r="FE250" s="9"/>
      <c r="FF250" s="9"/>
      <c r="FG250" s="9"/>
      <c r="FH250" s="9"/>
      <c r="FI250" s="9"/>
      <c r="FJ250" s="9"/>
    </row>
    <row r="251" spans="3:166" x14ac:dyDescent="0.2"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  <c r="EF251" s="9"/>
      <c r="EG251" s="9"/>
      <c r="EH251" s="9"/>
      <c r="EI251" s="9"/>
      <c r="EJ251" s="9"/>
      <c r="EK251" s="9"/>
      <c r="EL251" s="9"/>
      <c r="EM251" s="9"/>
      <c r="EN251" s="9"/>
      <c r="EO251" s="9"/>
      <c r="EP251" s="9"/>
      <c r="EQ251" s="9"/>
      <c r="ER251" s="9"/>
      <c r="ES251" s="9"/>
      <c r="ET251" s="9"/>
      <c r="EU251" s="9"/>
      <c r="EV251" s="9"/>
      <c r="EW251" s="9"/>
      <c r="EX251" s="9"/>
      <c r="EY251" s="9"/>
      <c r="EZ251" s="9"/>
      <c r="FA251" s="9"/>
      <c r="FB251" s="9"/>
      <c r="FC251" s="9"/>
      <c r="FD251" s="9"/>
      <c r="FE251" s="9"/>
      <c r="FF251" s="9"/>
      <c r="FG251" s="9"/>
      <c r="FH251" s="9"/>
      <c r="FI251" s="9"/>
      <c r="FJ251" s="9"/>
    </row>
    <row r="252" spans="3:166" x14ac:dyDescent="0.2"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  <c r="EF252" s="9"/>
      <c r="EG252" s="9"/>
      <c r="EH252" s="9"/>
      <c r="EI252" s="9"/>
      <c r="EJ252" s="9"/>
      <c r="EK252" s="9"/>
      <c r="EL252" s="9"/>
      <c r="EM252" s="9"/>
      <c r="EN252" s="9"/>
      <c r="EO252" s="9"/>
      <c r="EP252" s="9"/>
      <c r="EQ252" s="9"/>
      <c r="ER252" s="9"/>
      <c r="ES252" s="9"/>
      <c r="ET252" s="9"/>
      <c r="EU252" s="9"/>
      <c r="EV252" s="9"/>
      <c r="EW252" s="9"/>
      <c r="EX252" s="9"/>
      <c r="EY252" s="9"/>
      <c r="EZ252" s="9"/>
      <c r="FA252" s="9"/>
      <c r="FB252" s="9"/>
      <c r="FC252" s="9"/>
      <c r="FD252" s="9"/>
      <c r="FE252" s="9"/>
      <c r="FF252" s="9"/>
      <c r="FG252" s="9"/>
      <c r="FH252" s="9"/>
      <c r="FI252" s="9"/>
      <c r="FJ252" s="9"/>
    </row>
    <row r="253" spans="3:166" x14ac:dyDescent="0.2"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  <c r="EF253" s="9"/>
      <c r="EG253" s="9"/>
      <c r="EH253" s="9"/>
      <c r="EI253" s="9"/>
      <c r="EJ253" s="9"/>
      <c r="EK253" s="9"/>
      <c r="EL253" s="9"/>
      <c r="EM253" s="9"/>
      <c r="EN253" s="9"/>
      <c r="EO253" s="9"/>
      <c r="EP253" s="9"/>
      <c r="EQ253" s="9"/>
      <c r="ER253" s="9"/>
      <c r="ES253" s="9"/>
      <c r="ET253" s="9"/>
      <c r="EU253" s="9"/>
      <c r="EV253" s="9"/>
      <c r="EW253" s="9"/>
      <c r="EX253" s="9"/>
      <c r="EY253" s="9"/>
      <c r="EZ253" s="9"/>
      <c r="FA253" s="9"/>
      <c r="FB253" s="9"/>
      <c r="FC253" s="9"/>
      <c r="FD253" s="9"/>
      <c r="FE253" s="9"/>
      <c r="FF253" s="9"/>
      <c r="FG253" s="9"/>
      <c r="FH253" s="9"/>
      <c r="FI253" s="9"/>
      <c r="FJ253" s="9"/>
    </row>
    <row r="254" spans="3:166" x14ac:dyDescent="0.2"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  <c r="EF254" s="9"/>
      <c r="EG254" s="9"/>
      <c r="EH254" s="9"/>
      <c r="EI254" s="9"/>
      <c r="EJ254" s="9"/>
      <c r="EK254" s="9"/>
      <c r="EL254" s="9"/>
      <c r="EM254" s="9"/>
      <c r="EN254" s="9"/>
      <c r="EO254" s="9"/>
      <c r="EP254" s="9"/>
      <c r="EQ254" s="9"/>
      <c r="ER254" s="9"/>
      <c r="ES254" s="9"/>
      <c r="ET254" s="9"/>
      <c r="EU254" s="9"/>
      <c r="EV254" s="9"/>
      <c r="EW254" s="9"/>
      <c r="EX254" s="9"/>
      <c r="EY254" s="9"/>
      <c r="EZ254" s="9"/>
      <c r="FA254" s="9"/>
      <c r="FB254" s="9"/>
      <c r="FC254" s="9"/>
      <c r="FD254" s="9"/>
      <c r="FE254" s="9"/>
      <c r="FF254" s="9"/>
      <c r="FG254" s="9"/>
      <c r="FH254" s="9"/>
      <c r="FI254" s="9"/>
      <c r="FJ254" s="9"/>
    </row>
    <row r="255" spans="3:166" x14ac:dyDescent="0.2"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  <c r="EF255" s="9"/>
      <c r="EG255" s="9"/>
      <c r="EH255" s="9"/>
      <c r="EI255" s="9"/>
      <c r="EJ255" s="9"/>
      <c r="EK255" s="9"/>
      <c r="EL255" s="9"/>
      <c r="EM255" s="9"/>
      <c r="EN255" s="9"/>
      <c r="EO255" s="9"/>
      <c r="EP255" s="9"/>
      <c r="EQ255" s="9"/>
      <c r="ER255" s="9"/>
      <c r="ES255" s="9"/>
      <c r="ET255" s="9"/>
      <c r="EU255" s="9"/>
      <c r="EV255" s="9"/>
      <c r="EW255" s="9"/>
      <c r="EX255" s="9"/>
      <c r="EY255" s="9"/>
      <c r="EZ255" s="9"/>
      <c r="FA255" s="9"/>
      <c r="FB255" s="9"/>
      <c r="FC255" s="9"/>
      <c r="FD255" s="9"/>
      <c r="FE255" s="9"/>
      <c r="FF255" s="9"/>
      <c r="FG255" s="9"/>
      <c r="FH255" s="9"/>
      <c r="FI255" s="9"/>
      <c r="FJ255" s="9"/>
    </row>
    <row r="256" spans="3:166" x14ac:dyDescent="0.2"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  <c r="EF256" s="9"/>
      <c r="EG256" s="9"/>
      <c r="EH256" s="9"/>
      <c r="EI256" s="9"/>
      <c r="EJ256" s="9"/>
      <c r="EK256" s="9"/>
      <c r="EL256" s="9"/>
      <c r="EM256" s="9"/>
      <c r="EN256" s="9"/>
      <c r="EO256" s="9"/>
      <c r="EP256" s="9"/>
      <c r="EQ256" s="9"/>
      <c r="ER256" s="9"/>
      <c r="ES256" s="9"/>
      <c r="ET256" s="9"/>
      <c r="EU256" s="9"/>
      <c r="EV256" s="9"/>
      <c r="EW256" s="9"/>
      <c r="EX256" s="9"/>
      <c r="EY256" s="9"/>
      <c r="EZ256" s="9"/>
      <c r="FA256" s="9"/>
      <c r="FB256" s="9"/>
      <c r="FC256" s="9"/>
      <c r="FD256" s="9"/>
      <c r="FE256" s="9"/>
      <c r="FF256" s="9"/>
      <c r="FG256" s="9"/>
      <c r="FH256" s="9"/>
      <c r="FI256" s="9"/>
      <c r="FJ256" s="9"/>
    </row>
    <row r="257" spans="3:166" x14ac:dyDescent="0.2"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  <c r="EW257" s="9"/>
      <c r="EX257" s="9"/>
      <c r="EY257" s="9"/>
      <c r="EZ257" s="9"/>
      <c r="FA257" s="9"/>
      <c r="FB257" s="9"/>
      <c r="FC257" s="9"/>
      <c r="FD257" s="9"/>
      <c r="FE257" s="9"/>
      <c r="FF257" s="9"/>
      <c r="FG257" s="9"/>
      <c r="FH257" s="9"/>
      <c r="FI257" s="9"/>
      <c r="FJ257" s="9"/>
    </row>
    <row r="258" spans="3:166" x14ac:dyDescent="0.2"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  <c r="EW258" s="9"/>
      <c r="EX258" s="9"/>
      <c r="EY258" s="9"/>
      <c r="EZ258" s="9"/>
      <c r="FA258" s="9"/>
      <c r="FB258" s="9"/>
      <c r="FC258" s="9"/>
      <c r="FD258" s="9"/>
      <c r="FE258" s="9"/>
      <c r="FF258" s="9"/>
      <c r="FG258" s="9"/>
      <c r="FH258" s="9"/>
      <c r="FI258" s="9"/>
      <c r="FJ258" s="9"/>
    </row>
    <row r="259" spans="3:166" x14ac:dyDescent="0.2"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  <c r="EW259" s="9"/>
      <c r="EX259" s="9"/>
      <c r="EY259" s="9"/>
      <c r="EZ259" s="9"/>
      <c r="FA259" s="9"/>
      <c r="FB259" s="9"/>
      <c r="FC259" s="9"/>
      <c r="FD259" s="9"/>
      <c r="FE259" s="9"/>
      <c r="FF259" s="9"/>
      <c r="FG259" s="9"/>
      <c r="FH259" s="9"/>
      <c r="FI259" s="9"/>
      <c r="FJ259" s="9"/>
    </row>
    <row r="260" spans="3:166" x14ac:dyDescent="0.2"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  <c r="EW260" s="9"/>
      <c r="EX260" s="9"/>
      <c r="EY260" s="9"/>
      <c r="EZ260" s="9"/>
      <c r="FA260" s="9"/>
      <c r="FB260" s="9"/>
      <c r="FC260" s="9"/>
      <c r="FD260" s="9"/>
      <c r="FE260" s="9"/>
      <c r="FF260" s="9"/>
      <c r="FG260" s="9"/>
      <c r="FH260" s="9"/>
      <c r="FI260" s="9"/>
      <c r="FJ260" s="9"/>
    </row>
    <row r="261" spans="3:166" x14ac:dyDescent="0.2"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  <c r="EW261" s="9"/>
      <c r="EX261" s="9"/>
      <c r="EY261" s="9"/>
      <c r="EZ261" s="9"/>
      <c r="FA261" s="9"/>
      <c r="FB261" s="9"/>
      <c r="FC261" s="9"/>
      <c r="FD261" s="9"/>
      <c r="FE261" s="9"/>
      <c r="FF261" s="9"/>
      <c r="FG261" s="9"/>
      <c r="FH261" s="9"/>
      <c r="FI261" s="9"/>
      <c r="FJ261" s="9"/>
    </row>
    <row r="262" spans="3:166" x14ac:dyDescent="0.2"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  <c r="EW262" s="9"/>
      <c r="EX262" s="9"/>
      <c r="EY262" s="9"/>
      <c r="EZ262" s="9"/>
      <c r="FA262" s="9"/>
      <c r="FB262" s="9"/>
      <c r="FC262" s="9"/>
      <c r="FD262" s="9"/>
      <c r="FE262" s="9"/>
      <c r="FF262" s="9"/>
      <c r="FG262" s="9"/>
      <c r="FH262" s="9"/>
      <c r="FI262" s="9"/>
      <c r="FJ262" s="9"/>
    </row>
    <row r="263" spans="3:166" x14ac:dyDescent="0.2"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  <c r="EW263" s="9"/>
      <c r="EX263" s="9"/>
      <c r="EY263" s="9"/>
      <c r="EZ263" s="9"/>
      <c r="FA263" s="9"/>
      <c r="FB263" s="9"/>
      <c r="FC263" s="9"/>
      <c r="FD263" s="9"/>
      <c r="FE263" s="9"/>
      <c r="FF263" s="9"/>
      <c r="FG263" s="9"/>
      <c r="FH263" s="9"/>
      <c r="FI263" s="9"/>
      <c r="FJ263" s="9"/>
    </row>
    <row r="264" spans="3:166" x14ac:dyDescent="0.2"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  <c r="EW264" s="9"/>
      <c r="EX264" s="9"/>
      <c r="EY264" s="9"/>
      <c r="EZ264" s="9"/>
      <c r="FA264" s="9"/>
      <c r="FB264" s="9"/>
      <c r="FC264" s="9"/>
      <c r="FD264" s="9"/>
      <c r="FE264" s="9"/>
      <c r="FF264" s="9"/>
      <c r="FG264" s="9"/>
      <c r="FH264" s="9"/>
      <c r="FI264" s="9"/>
      <c r="FJ264" s="9"/>
    </row>
    <row r="265" spans="3:166" x14ac:dyDescent="0.2"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  <c r="EW265" s="9"/>
      <c r="EX265" s="9"/>
      <c r="EY265" s="9"/>
      <c r="EZ265" s="9"/>
      <c r="FA265" s="9"/>
      <c r="FB265" s="9"/>
      <c r="FC265" s="9"/>
      <c r="FD265" s="9"/>
      <c r="FE265" s="9"/>
      <c r="FF265" s="9"/>
      <c r="FG265" s="9"/>
      <c r="FH265" s="9"/>
      <c r="FI265" s="9"/>
      <c r="FJ265" s="9"/>
    </row>
    <row r="266" spans="3:166" x14ac:dyDescent="0.2"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  <c r="EW266" s="9"/>
      <c r="EX266" s="9"/>
      <c r="EY266" s="9"/>
      <c r="EZ266" s="9"/>
      <c r="FA266" s="9"/>
      <c r="FB266" s="9"/>
      <c r="FC266" s="9"/>
      <c r="FD266" s="9"/>
      <c r="FE266" s="9"/>
      <c r="FF266" s="9"/>
      <c r="FG266" s="9"/>
      <c r="FH266" s="9"/>
      <c r="FI266" s="9"/>
      <c r="FJ266" s="9"/>
    </row>
    <row r="267" spans="3:166" x14ac:dyDescent="0.2"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  <c r="EW267" s="9"/>
      <c r="EX267" s="9"/>
      <c r="EY267" s="9"/>
      <c r="EZ267" s="9"/>
      <c r="FA267" s="9"/>
      <c r="FB267" s="9"/>
      <c r="FC267" s="9"/>
      <c r="FD267" s="9"/>
      <c r="FE267" s="9"/>
      <c r="FF267" s="9"/>
      <c r="FG267" s="9"/>
      <c r="FH267" s="9"/>
      <c r="FI267" s="9"/>
      <c r="FJ267" s="9"/>
    </row>
    <row r="268" spans="3:166" x14ac:dyDescent="0.2"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  <c r="EW268" s="9"/>
      <c r="EX268" s="9"/>
      <c r="EY268" s="9"/>
      <c r="EZ268" s="9"/>
      <c r="FA268" s="9"/>
      <c r="FB268" s="9"/>
      <c r="FC268" s="9"/>
      <c r="FD268" s="9"/>
      <c r="FE268" s="9"/>
      <c r="FF268" s="9"/>
      <c r="FG268" s="9"/>
      <c r="FH268" s="9"/>
      <c r="FI268" s="9"/>
      <c r="FJ268" s="9"/>
    </row>
    <row r="269" spans="3:166" x14ac:dyDescent="0.2"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  <c r="EW269" s="9"/>
      <c r="EX269" s="9"/>
      <c r="EY269" s="9"/>
      <c r="EZ269" s="9"/>
      <c r="FA269" s="9"/>
      <c r="FB269" s="9"/>
      <c r="FC269" s="9"/>
      <c r="FD269" s="9"/>
      <c r="FE269" s="9"/>
      <c r="FF269" s="9"/>
      <c r="FG269" s="9"/>
      <c r="FH269" s="9"/>
      <c r="FI269" s="9"/>
      <c r="FJ269" s="9"/>
    </row>
    <row r="270" spans="3:166" x14ac:dyDescent="0.2"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  <c r="EW270" s="9"/>
      <c r="EX270" s="9"/>
      <c r="EY270" s="9"/>
      <c r="EZ270" s="9"/>
      <c r="FA270" s="9"/>
      <c r="FB270" s="9"/>
      <c r="FC270" s="9"/>
      <c r="FD270" s="9"/>
      <c r="FE270" s="9"/>
      <c r="FF270" s="9"/>
      <c r="FG270" s="9"/>
      <c r="FH270" s="9"/>
      <c r="FI270" s="9"/>
      <c r="FJ270" s="9"/>
    </row>
    <row r="271" spans="3:166" x14ac:dyDescent="0.2"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  <c r="EW271" s="9"/>
      <c r="EX271" s="9"/>
      <c r="EY271" s="9"/>
      <c r="EZ271" s="9"/>
      <c r="FA271" s="9"/>
      <c r="FB271" s="9"/>
      <c r="FC271" s="9"/>
      <c r="FD271" s="9"/>
      <c r="FE271" s="9"/>
      <c r="FF271" s="9"/>
      <c r="FG271" s="9"/>
      <c r="FH271" s="9"/>
      <c r="FI271" s="9"/>
      <c r="FJ271" s="9"/>
    </row>
    <row r="272" spans="3:166" x14ac:dyDescent="0.2"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  <c r="EW272" s="9"/>
      <c r="EX272" s="9"/>
      <c r="EY272" s="9"/>
      <c r="EZ272" s="9"/>
      <c r="FA272" s="9"/>
      <c r="FB272" s="9"/>
      <c r="FC272" s="9"/>
      <c r="FD272" s="9"/>
      <c r="FE272" s="9"/>
      <c r="FF272" s="9"/>
      <c r="FG272" s="9"/>
      <c r="FH272" s="9"/>
      <c r="FI272" s="9"/>
      <c r="FJ272" s="9"/>
    </row>
    <row r="273" spans="3:166" x14ac:dyDescent="0.2"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  <c r="EW273" s="9"/>
      <c r="EX273" s="9"/>
      <c r="EY273" s="9"/>
      <c r="EZ273" s="9"/>
      <c r="FA273" s="9"/>
      <c r="FB273" s="9"/>
      <c r="FC273" s="9"/>
      <c r="FD273" s="9"/>
      <c r="FE273" s="9"/>
      <c r="FF273" s="9"/>
      <c r="FG273" s="9"/>
      <c r="FH273" s="9"/>
      <c r="FI273" s="9"/>
      <c r="FJ273" s="9"/>
    </row>
    <row r="274" spans="3:166" x14ac:dyDescent="0.2"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  <c r="EW274" s="9"/>
      <c r="EX274" s="9"/>
      <c r="EY274" s="9"/>
      <c r="EZ274" s="9"/>
      <c r="FA274" s="9"/>
      <c r="FB274" s="9"/>
      <c r="FC274" s="9"/>
      <c r="FD274" s="9"/>
      <c r="FE274" s="9"/>
      <c r="FF274" s="9"/>
      <c r="FG274" s="9"/>
      <c r="FH274" s="9"/>
      <c r="FI274" s="9"/>
      <c r="FJ274" s="9"/>
    </row>
    <row r="275" spans="3:166" x14ac:dyDescent="0.2"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  <c r="EW275" s="9"/>
      <c r="EX275" s="9"/>
      <c r="EY275" s="9"/>
      <c r="EZ275" s="9"/>
      <c r="FA275" s="9"/>
      <c r="FB275" s="9"/>
      <c r="FC275" s="9"/>
      <c r="FD275" s="9"/>
      <c r="FE275" s="9"/>
      <c r="FF275" s="9"/>
      <c r="FG275" s="9"/>
      <c r="FH275" s="9"/>
      <c r="FI275" s="9"/>
      <c r="FJ275" s="9"/>
    </row>
    <row r="276" spans="3:166" x14ac:dyDescent="0.2"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  <c r="EW276" s="9"/>
      <c r="EX276" s="9"/>
      <c r="EY276" s="9"/>
      <c r="EZ276" s="9"/>
      <c r="FA276" s="9"/>
      <c r="FB276" s="9"/>
      <c r="FC276" s="9"/>
      <c r="FD276" s="9"/>
      <c r="FE276" s="9"/>
      <c r="FF276" s="9"/>
      <c r="FG276" s="9"/>
      <c r="FH276" s="9"/>
      <c r="FI276" s="9"/>
      <c r="FJ276" s="9"/>
    </row>
    <row r="277" spans="3:166" x14ac:dyDescent="0.2"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  <c r="EW277" s="9"/>
      <c r="EX277" s="9"/>
      <c r="EY277" s="9"/>
      <c r="EZ277" s="9"/>
      <c r="FA277" s="9"/>
      <c r="FB277" s="9"/>
      <c r="FC277" s="9"/>
      <c r="FD277" s="9"/>
      <c r="FE277" s="9"/>
      <c r="FF277" s="9"/>
      <c r="FG277" s="9"/>
      <c r="FH277" s="9"/>
      <c r="FI277" s="9"/>
      <c r="FJ277" s="9"/>
    </row>
    <row r="278" spans="3:166" x14ac:dyDescent="0.2"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  <c r="EW278" s="9"/>
      <c r="EX278" s="9"/>
      <c r="EY278" s="9"/>
      <c r="EZ278" s="9"/>
      <c r="FA278" s="9"/>
      <c r="FB278" s="9"/>
      <c r="FC278" s="9"/>
      <c r="FD278" s="9"/>
      <c r="FE278" s="9"/>
      <c r="FF278" s="9"/>
      <c r="FG278" s="9"/>
      <c r="FH278" s="9"/>
      <c r="FI278" s="9"/>
      <c r="FJ278" s="9"/>
    </row>
    <row r="279" spans="3:166" x14ac:dyDescent="0.2"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  <c r="EW279" s="9"/>
      <c r="EX279" s="9"/>
      <c r="EY279" s="9"/>
      <c r="EZ279" s="9"/>
      <c r="FA279" s="9"/>
      <c r="FB279" s="9"/>
      <c r="FC279" s="9"/>
      <c r="FD279" s="9"/>
      <c r="FE279" s="9"/>
      <c r="FF279" s="9"/>
      <c r="FG279" s="9"/>
      <c r="FH279" s="9"/>
      <c r="FI279" s="9"/>
      <c r="FJ279" s="9"/>
    </row>
    <row r="280" spans="3:166" x14ac:dyDescent="0.2"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  <c r="EW280" s="9"/>
      <c r="EX280" s="9"/>
      <c r="EY280" s="9"/>
      <c r="EZ280" s="9"/>
      <c r="FA280" s="9"/>
      <c r="FB280" s="9"/>
      <c r="FC280" s="9"/>
      <c r="FD280" s="9"/>
      <c r="FE280" s="9"/>
      <c r="FF280" s="9"/>
      <c r="FG280" s="9"/>
      <c r="FH280" s="9"/>
      <c r="FI280" s="9"/>
      <c r="FJ280" s="9"/>
    </row>
    <row r="281" spans="3:166" x14ac:dyDescent="0.2"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  <c r="EW281" s="9"/>
      <c r="EX281" s="9"/>
      <c r="EY281" s="9"/>
      <c r="EZ281" s="9"/>
      <c r="FA281" s="9"/>
      <c r="FB281" s="9"/>
      <c r="FC281" s="9"/>
      <c r="FD281" s="9"/>
      <c r="FE281" s="9"/>
      <c r="FF281" s="9"/>
      <c r="FG281" s="9"/>
      <c r="FH281" s="9"/>
      <c r="FI281" s="9"/>
      <c r="FJ281" s="9"/>
    </row>
    <row r="282" spans="3:166" x14ac:dyDescent="0.2"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  <c r="EW282" s="9"/>
      <c r="EX282" s="9"/>
      <c r="EY282" s="9"/>
      <c r="EZ282" s="9"/>
      <c r="FA282" s="9"/>
      <c r="FB282" s="9"/>
      <c r="FC282" s="9"/>
      <c r="FD282" s="9"/>
      <c r="FE282" s="9"/>
      <c r="FF282" s="9"/>
      <c r="FG282" s="9"/>
      <c r="FH282" s="9"/>
      <c r="FI282" s="9"/>
      <c r="FJ282" s="9"/>
    </row>
    <row r="283" spans="3:166" x14ac:dyDescent="0.2"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  <c r="EF283" s="9"/>
      <c r="EG283" s="9"/>
      <c r="EH283" s="9"/>
      <c r="EI283" s="9"/>
      <c r="EJ283" s="9"/>
      <c r="EK283" s="9"/>
      <c r="EL283" s="9"/>
      <c r="EM283" s="9"/>
      <c r="EN283" s="9"/>
      <c r="EO283" s="9"/>
      <c r="EP283" s="9"/>
      <c r="EQ283" s="9"/>
      <c r="ER283" s="9"/>
      <c r="ES283" s="9"/>
      <c r="ET283" s="9"/>
      <c r="EU283" s="9"/>
      <c r="EV283" s="9"/>
      <c r="EW283" s="9"/>
      <c r="EX283" s="9"/>
      <c r="EY283" s="9"/>
      <c r="EZ283" s="9"/>
      <c r="FA283" s="9"/>
      <c r="FB283" s="9"/>
      <c r="FC283" s="9"/>
      <c r="FD283" s="9"/>
      <c r="FE283" s="9"/>
      <c r="FF283" s="9"/>
      <c r="FG283" s="9"/>
      <c r="FH283" s="9"/>
      <c r="FI283" s="9"/>
      <c r="FJ283" s="9"/>
    </row>
    <row r="284" spans="3:166" x14ac:dyDescent="0.2"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  <c r="EF284" s="9"/>
      <c r="EG284" s="9"/>
      <c r="EH284" s="9"/>
      <c r="EI284" s="9"/>
      <c r="EJ284" s="9"/>
      <c r="EK284" s="9"/>
      <c r="EL284" s="9"/>
      <c r="EM284" s="9"/>
      <c r="EN284" s="9"/>
      <c r="EO284" s="9"/>
      <c r="EP284" s="9"/>
      <c r="EQ284" s="9"/>
      <c r="ER284" s="9"/>
      <c r="ES284" s="9"/>
      <c r="ET284" s="9"/>
      <c r="EU284" s="9"/>
      <c r="EV284" s="9"/>
      <c r="EW284" s="9"/>
      <c r="EX284" s="9"/>
      <c r="EY284" s="9"/>
      <c r="EZ284" s="9"/>
      <c r="FA284" s="9"/>
      <c r="FB284" s="9"/>
      <c r="FC284" s="9"/>
      <c r="FD284" s="9"/>
      <c r="FE284" s="9"/>
      <c r="FF284" s="9"/>
      <c r="FG284" s="9"/>
      <c r="FH284" s="9"/>
      <c r="FI284" s="9"/>
      <c r="FJ284" s="9"/>
    </row>
    <row r="285" spans="3:166" x14ac:dyDescent="0.2"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  <c r="EF285" s="9"/>
      <c r="EG285" s="9"/>
      <c r="EH285" s="9"/>
      <c r="EI285" s="9"/>
      <c r="EJ285" s="9"/>
      <c r="EK285" s="9"/>
      <c r="EL285" s="9"/>
      <c r="EM285" s="9"/>
      <c r="EN285" s="9"/>
      <c r="EO285" s="9"/>
      <c r="EP285" s="9"/>
      <c r="EQ285" s="9"/>
      <c r="ER285" s="9"/>
      <c r="ES285" s="9"/>
      <c r="ET285" s="9"/>
      <c r="EU285" s="9"/>
      <c r="EV285" s="9"/>
      <c r="EW285" s="9"/>
      <c r="EX285" s="9"/>
      <c r="EY285" s="9"/>
      <c r="EZ285" s="9"/>
      <c r="FA285" s="9"/>
      <c r="FB285" s="9"/>
      <c r="FC285" s="9"/>
      <c r="FD285" s="9"/>
      <c r="FE285" s="9"/>
      <c r="FF285" s="9"/>
      <c r="FG285" s="9"/>
      <c r="FH285" s="9"/>
      <c r="FI285" s="9"/>
      <c r="FJ285" s="9"/>
    </row>
    <row r="286" spans="3:166" x14ac:dyDescent="0.2"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  <c r="EF286" s="9"/>
      <c r="EG286" s="9"/>
      <c r="EH286" s="9"/>
      <c r="EI286" s="9"/>
      <c r="EJ286" s="9"/>
      <c r="EK286" s="9"/>
      <c r="EL286" s="9"/>
      <c r="EM286" s="9"/>
      <c r="EN286" s="9"/>
      <c r="EO286" s="9"/>
      <c r="EP286" s="9"/>
      <c r="EQ286" s="9"/>
      <c r="ER286" s="9"/>
      <c r="ES286" s="9"/>
      <c r="ET286" s="9"/>
      <c r="EU286" s="9"/>
      <c r="EV286" s="9"/>
      <c r="EW286" s="9"/>
      <c r="EX286" s="9"/>
      <c r="EY286" s="9"/>
      <c r="EZ286" s="9"/>
      <c r="FA286" s="9"/>
      <c r="FB286" s="9"/>
      <c r="FC286" s="9"/>
      <c r="FD286" s="9"/>
      <c r="FE286" s="9"/>
      <c r="FF286" s="9"/>
      <c r="FG286" s="9"/>
      <c r="FH286" s="9"/>
      <c r="FI286" s="9"/>
      <c r="FJ286" s="9"/>
    </row>
    <row r="287" spans="3:166" x14ac:dyDescent="0.2"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  <c r="EF287" s="9"/>
      <c r="EG287" s="9"/>
      <c r="EH287" s="9"/>
      <c r="EI287" s="9"/>
      <c r="EJ287" s="9"/>
      <c r="EK287" s="9"/>
      <c r="EL287" s="9"/>
      <c r="EM287" s="9"/>
      <c r="EN287" s="9"/>
      <c r="EO287" s="9"/>
      <c r="EP287" s="9"/>
      <c r="EQ287" s="9"/>
      <c r="ER287" s="9"/>
      <c r="ES287" s="9"/>
      <c r="ET287" s="9"/>
      <c r="EU287" s="9"/>
      <c r="EV287" s="9"/>
      <c r="EW287" s="9"/>
      <c r="EX287" s="9"/>
      <c r="EY287" s="9"/>
      <c r="EZ287" s="9"/>
      <c r="FA287" s="9"/>
      <c r="FB287" s="9"/>
      <c r="FC287" s="9"/>
      <c r="FD287" s="9"/>
      <c r="FE287" s="9"/>
      <c r="FF287" s="9"/>
      <c r="FG287" s="9"/>
      <c r="FH287" s="9"/>
      <c r="FI287" s="9"/>
      <c r="FJ287" s="9"/>
    </row>
    <row r="288" spans="3:166" x14ac:dyDescent="0.2"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  <c r="EF288" s="9"/>
      <c r="EG288" s="9"/>
      <c r="EH288" s="9"/>
      <c r="EI288" s="9"/>
      <c r="EJ288" s="9"/>
      <c r="EK288" s="9"/>
      <c r="EL288" s="9"/>
      <c r="EM288" s="9"/>
      <c r="EN288" s="9"/>
      <c r="EO288" s="9"/>
      <c r="EP288" s="9"/>
      <c r="EQ288" s="9"/>
      <c r="ER288" s="9"/>
      <c r="ES288" s="9"/>
      <c r="ET288" s="9"/>
      <c r="EU288" s="9"/>
      <c r="EV288" s="9"/>
      <c r="EW288" s="9"/>
      <c r="EX288" s="9"/>
      <c r="EY288" s="9"/>
      <c r="EZ288" s="9"/>
      <c r="FA288" s="9"/>
      <c r="FB288" s="9"/>
      <c r="FC288" s="9"/>
      <c r="FD288" s="9"/>
      <c r="FE288" s="9"/>
      <c r="FF288" s="9"/>
      <c r="FG288" s="9"/>
      <c r="FH288" s="9"/>
      <c r="FI288" s="9"/>
      <c r="FJ288" s="9"/>
    </row>
    <row r="289" spans="3:166" x14ac:dyDescent="0.2"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  <c r="EF289" s="9"/>
      <c r="EG289" s="9"/>
      <c r="EH289" s="9"/>
      <c r="EI289" s="9"/>
      <c r="EJ289" s="9"/>
      <c r="EK289" s="9"/>
      <c r="EL289" s="9"/>
      <c r="EM289" s="9"/>
      <c r="EN289" s="9"/>
      <c r="EO289" s="9"/>
      <c r="EP289" s="9"/>
      <c r="EQ289" s="9"/>
      <c r="ER289" s="9"/>
      <c r="ES289" s="9"/>
      <c r="ET289" s="9"/>
      <c r="EU289" s="9"/>
      <c r="EV289" s="9"/>
      <c r="EW289" s="9"/>
      <c r="EX289" s="9"/>
      <c r="EY289" s="9"/>
      <c r="EZ289" s="9"/>
      <c r="FA289" s="9"/>
      <c r="FB289" s="9"/>
      <c r="FC289" s="9"/>
      <c r="FD289" s="9"/>
      <c r="FE289" s="9"/>
      <c r="FF289" s="9"/>
      <c r="FG289" s="9"/>
      <c r="FH289" s="9"/>
      <c r="FI289" s="9"/>
      <c r="FJ289" s="9"/>
    </row>
    <row r="290" spans="3:166" x14ac:dyDescent="0.2"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  <c r="EF290" s="9"/>
      <c r="EG290" s="9"/>
      <c r="EH290" s="9"/>
      <c r="EI290" s="9"/>
      <c r="EJ290" s="9"/>
      <c r="EK290" s="9"/>
      <c r="EL290" s="9"/>
      <c r="EM290" s="9"/>
      <c r="EN290" s="9"/>
      <c r="EO290" s="9"/>
      <c r="EP290" s="9"/>
      <c r="EQ290" s="9"/>
      <c r="ER290" s="9"/>
      <c r="ES290" s="9"/>
      <c r="ET290" s="9"/>
      <c r="EU290" s="9"/>
      <c r="EV290" s="9"/>
      <c r="EW290" s="9"/>
      <c r="EX290" s="9"/>
      <c r="EY290" s="9"/>
      <c r="EZ290" s="9"/>
      <c r="FA290" s="9"/>
      <c r="FB290" s="9"/>
      <c r="FC290" s="9"/>
      <c r="FD290" s="9"/>
      <c r="FE290" s="9"/>
      <c r="FF290" s="9"/>
      <c r="FG290" s="9"/>
      <c r="FH290" s="9"/>
      <c r="FI290" s="9"/>
      <c r="FJ290" s="9"/>
    </row>
    <row r="291" spans="3:166" x14ac:dyDescent="0.2"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  <c r="EF291" s="9"/>
      <c r="EG291" s="9"/>
      <c r="EH291" s="9"/>
      <c r="EI291" s="9"/>
      <c r="EJ291" s="9"/>
      <c r="EK291" s="9"/>
      <c r="EL291" s="9"/>
      <c r="EM291" s="9"/>
      <c r="EN291" s="9"/>
      <c r="EO291" s="9"/>
      <c r="EP291" s="9"/>
      <c r="EQ291" s="9"/>
      <c r="ER291" s="9"/>
      <c r="ES291" s="9"/>
      <c r="ET291" s="9"/>
      <c r="EU291" s="9"/>
      <c r="EV291" s="9"/>
      <c r="EW291" s="9"/>
      <c r="EX291" s="9"/>
      <c r="EY291" s="9"/>
      <c r="EZ291" s="9"/>
      <c r="FA291" s="9"/>
      <c r="FB291" s="9"/>
      <c r="FC291" s="9"/>
      <c r="FD291" s="9"/>
      <c r="FE291" s="9"/>
      <c r="FF291" s="9"/>
      <c r="FG291" s="9"/>
      <c r="FH291" s="9"/>
      <c r="FI291" s="9"/>
      <c r="FJ291" s="9"/>
    </row>
    <row r="292" spans="3:166" x14ac:dyDescent="0.2"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  <c r="EF292" s="9"/>
      <c r="EG292" s="9"/>
      <c r="EH292" s="9"/>
      <c r="EI292" s="9"/>
      <c r="EJ292" s="9"/>
      <c r="EK292" s="9"/>
      <c r="EL292" s="9"/>
      <c r="EM292" s="9"/>
      <c r="EN292" s="9"/>
      <c r="EO292" s="9"/>
      <c r="EP292" s="9"/>
      <c r="EQ292" s="9"/>
      <c r="ER292" s="9"/>
      <c r="ES292" s="9"/>
      <c r="ET292" s="9"/>
      <c r="EU292" s="9"/>
      <c r="EV292" s="9"/>
      <c r="EW292" s="9"/>
      <c r="EX292" s="9"/>
      <c r="EY292" s="9"/>
      <c r="EZ292" s="9"/>
      <c r="FA292" s="9"/>
      <c r="FB292" s="9"/>
      <c r="FC292" s="9"/>
      <c r="FD292" s="9"/>
      <c r="FE292" s="9"/>
      <c r="FF292" s="9"/>
      <c r="FG292" s="9"/>
      <c r="FH292" s="9"/>
      <c r="FI292" s="9"/>
      <c r="FJ292" s="9"/>
    </row>
    <row r="293" spans="3:166" x14ac:dyDescent="0.2"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  <c r="EF293" s="9"/>
      <c r="EG293" s="9"/>
      <c r="EH293" s="9"/>
      <c r="EI293" s="9"/>
      <c r="EJ293" s="9"/>
      <c r="EK293" s="9"/>
      <c r="EL293" s="9"/>
      <c r="EM293" s="9"/>
      <c r="EN293" s="9"/>
      <c r="EO293" s="9"/>
      <c r="EP293" s="9"/>
      <c r="EQ293" s="9"/>
      <c r="ER293" s="9"/>
      <c r="ES293" s="9"/>
      <c r="ET293" s="9"/>
      <c r="EU293" s="9"/>
      <c r="EV293" s="9"/>
      <c r="EW293" s="9"/>
      <c r="EX293" s="9"/>
      <c r="EY293" s="9"/>
      <c r="EZ293" s="9"/>
      <c r="FA293" s="9"/>
      <c r="FB293" s="9"/>
      <c r="FC293" s="9"/>
      <c r="FD293" s="9"/>
      <c r="FE293" s="9"/>
      <c r="FF293" s="9"/>
      <c r="FG293" s="9"/>
      <c r="FH293" s="9"/>
      <c r="FI293" s="9"/>
      <c r="FJ293" s="9"/>
    </row>
    <row r="294" spans="3:166" x14ac:dyDescent="0.2"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  <c r="EF294" s="9"/>
      <c r="EG294" s="9"/>
      <c r="EH294" s="9"/>
      <c r="EI294" s="9"/>
      <c r="EJ294" s="9"/>
      <c r="EK294" s="9"/>
      <c r="EL294" s="9"/>
      <c r="EM294" s="9"/>
      <c r="EN294" s="9"/>
      <c r="EO294" s="9"/>
      <c r="EP294" s="9"/>
      <c r="EQ294" s="9"/>
      <c r="ER294" s="9"/>
      <c r="ES294" s="9"/>
      <c r="ET294" s="9"/>
      <c r="EU294" s="9"/>
      <c r="EV294" s="9"/>
      <c r="EW294" s="9"/>
      <c r="EX294" s="9"/>
      <c r="EY294" s="9"/>
      <c r="EZ294" s="9"/>
      <c r="FA294" s="9"/>
      <c r="FB294" s="9"/>
      <c r="FC294" s="9"/>
      <c r="FD294" s="9"/>
      <c r="FE294" s="9"/>
      <c r="FF294" s="9"/>
      <c r="FG294" s="9"/>
      <c r="FH294" s="9"/>
      <c r="FI294" s="9"/>
      <c r="FJ294" s="9"/>
    </row>
    <row r="295" spans="3:166" x14ac:dyDescent="0.2"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  <c r="EF295" s="9"/>
      <c r="EG295" s="9"/>
      <c r="EH295" s="9"/>
      <c r="EI295" s="9"/>
      <c r="EJ295" s="9"/>
      <c r="EK295" s="9"/>
      <c r="EL295" s="9"/>
      <c r="EM295" s="9"/>
      <c r="EN295" s="9"/>
      <c r="EO295" s="9"/>
      <c r="EP295" s="9"/>
      <c r="EQ295" s="9"/>
      <c r="ER295" s="9"/>
      <c r="ES295" s="9"/>
      <c r="ET295" s="9"/>
      <c r="EU295" s="9"/>
      <c r="EV295" s="9"/>
      <c r="EW295" s="9"/>
      <c r="EX295" s="9"/>
      <c r="EY295" s="9"/>
      <c r="EZ295" s="9"/>
      <c r="FA295" s="9"/>
      <c r="FB295" s="9"/>
      <c r="FC295" s="9"/>
      <c r="FD295" s="9"/>
      <c r="FE295" s="9"/>
      <c r="FF295" s="9"/>
      <c r="FG295" s="9"/>
      <c r="FH295" s="9"/>
      <c r="FI295" s="9"/>
      <c r="FJ295" s="9"/>
    </row>
    <row r="296" spans="3:166" x14ac:dyDescent="0.2"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  <c r="EF296" s="9"/>
      <c r="EG296" s="9"/>
      <c r="EH296" s="9"/>
      <c r="EI296" s="9"/>
      <c r="EJ296" s="9"/>
      <c r="EK296" s="9"/>
      <c r="EL296" s="9"/>
      <c r="EM296" s="9"/>
      <c r="EN296" s="9"/>
      <c r="EO296" s="9"/>
      <c r="EP296" s="9"/>
      <c r="EQ296" s="9"/>
      <c r="ER296" s="9"/>
      <c r="ES296" s="9"/>
      <c r="ET296" s="9"/>
      <c r="EU296" s="9"/>
      <c r="EV296" s="9"/>
      <c r="EW296" s="9"/>
      <c r="EX296" s="9"/>
      <c r="EY296" s="9"/>
      <c r="EZ296" s="9"/>
      <c r="FA296" s="9"/>
      <c r="FB296" s="9"/>
      <c r="FC296" s="9"/>
      <c r="FD296" s="9"/>
      <c r="FE296" s="9"/>
      <c r="FF296" s="9"/>
      <c r="FG296" s="9"/>
      <c r="FH296" s="9"/>
      <c r="FI296" s="9"/>
      <c r="FJ296" s="9"/>
    </row>
    <row r="297" spans="3:166" x14ac:dyDescent="0.2"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  <c r="EF297" s="9"/>
      <c r="EG297" s="9"/>
      <c r="EH297" s="9"/>
      <c r="EI297" s="9"/>
      <c r="EJ297" s="9"/>
      <c r="EK297" s="9"/>
      <c r="EL297" s="9"/>
      <c r="EM297" s="9"/>
      <c r="EN297" s="9"/>
      <c r="EO297" s="9"/>
      <c r="EP297" s="9"/>
      <c r="EQ297" s="9"/>
      <c r="ER297" s="9"/>
      <c r="ES297" s="9"/>
      <c r="ET297" s="9"/>
      <c r="EU297" s="9"/>
      <c r="EV297" s="9"/>
      <c r="EW297" s="9"/>
      <c r="EX297" s="9"/>
      <c r="EY297" s="9"/>
      <c r="EZ297" s="9"/>
      <c r="FA297" s="9"/>
      <c r="FB297" s="9"/>
      <c r="FC297" s="9"/>
      <c r="FD297" s="9"/>
      <c r="FE297" s="9"/>
      <c r="FF297" s="9"/>
      <c r="FG297" s="9"/>
      <c r="FH297" s="9"/>
      <c r="FI297" s="9"/>
      <c r="FJ297" s="9"/>
    </row>
    <row r="298" spans="3:166" x14ac:dyDescent="0.2"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  <c r="EF298" s="9"/>
      <c r="EG298" s="9"/>
      <c r="EH298" s="9"/>
      <c r="EI298" s="9"/>
      <c r="EJ298" s="9"/>
      <c r="EK298" s="9"/>
      <c r="EL298" s="9"/>
      <c r="EM298" s="9"/>
      <c r="EN298" s="9"/>
      <c r="EO298" s="9"/>
      <c r="EP298" s="9"/>
      <c r="EQ298" s="9"/>
      <c r="ER298" s="9"/>
      <c r="ES298" s="9"/>
      <c r="ET298" s="9"/>
      <c r="EU298" s="9"/>
      <c r="EV298" s="9"/>
      <c r="EW298" s="9"/>
      <c r="EX298" s="9"/>
      <c r="EY298" s="9"/>
      <c r="EZ298" s="9"/>
      <c r="FA298" s="9"/>
      <c r="FB298" s="9"/>
      <c r="FC298" s="9"/>
      <c r="FD298" s="9"/>
      <c r="FE298" s="9"/>
      <c r="FF298" s="9"/>
      <c r="FG298" s="9"/>
      <c r="FH298" s="9"/>
      <c r="FI298" s="9"/>
      <c r="FJ298" s="9"/>
    </row>
    <row r="299" spans="3:166" x14ac:dyDescent="0.2"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  <c r="EF299" s="9"/>
      <c r="EG299" s="9"/>
      <c r="EH299" s="9"/>
      <c r="EI299" s="9"/>
      <c r="EJ299" s="9"/>
      <c r="EK299" s="9"/>
      <c r="EL299" s="9"/>
      <c r="EM299" s="9"/>
      <c r="EN299" s="9"/>
      <c r="EO299" s="9"/>
      <c r="EP299" s="9"/>
      <c r="EQ299" s="9"/>
      <c r="ER299" s="9"/>
      <c r="ES299" s="9"/>
      <c r="ET299" s="9"/>
      <c r="EU299" s="9"/>
      <c r="EV299" s="9"/>
      <c r="EW299" s="9"/>
      <c r="EX299" s="9"/>
      <c r="EY299" s="9"/>
      <c r="EZ299" s="9"/>
      <c r="FA299" s="9"/>
      <c r="FB299" s="9"/>
      <c r="FC299" s="9"/>
      <c r="FD299" s="9"/>
      <c r="FE299" s="9"/>
      <c r="FF299" s="9"/>
      <c r="FG299" s="9"/>
      <c r="FH299" s="9"/>
      <c r="FI299" s="9"/>
      <c r="FJ299" s="9"/>
    </row>
    <row r="300" spans="3:166" x14ac:dyDescent="0.2"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  <c r="EF300" s="9"/>
      <c r="EG300" s="9"/>
      <c r="EH300" s="9"/>
      <c r="EI300" s="9"/>
      <c r="EJ300" s="9"/>
      <c r="EK300" s="9"/>
      <c r="EL300" s="9"/>
      <c r="EM300" s="9"/>
      <c r="EN300" s="9"/>
      <c r="EO300" s="9"/>
      <c r="EP300" s="9"/>
      <c r="EQ300" s="9"/>
      <c r="ER300" s="9"/>
      <c r="ES300" s="9"/>
      <c r="ET300" s="9"/>
      <c r="EU300" s="9"/>
      <c r="EV300" s="9"/>
      <c r="EW300" s="9"/>
      <c r="EX300" s="9"/>
      <c r="EY300" s="9"/>
      <c r="EZ300" s="9"/>
      <c r="FA300" s="9"/>
      <c r="FB300" s="9"/>
      <c r="FC300" s="9"/>
      <c r="FD300" s="9"/>
      <c r="FE300" s="9"/>
      <c r="FF300" s="9"/>
      <c r="FG300" s="9"/>
      <c r="FH300" s="9"/>
      <c r="FI300" s="9"/>
      <c r="FJ300" s="9"/>
    </row>
    <row r="301" spans="3:166" x14ac:dyDescent="0.2"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  <c r="EF301" s="9"/>
      <c r="EG301" s="9"/>
      <c r="EH301" s="9"/>
      <c r="EI301" s="9"/>
      <c r="EJ301" s="9"/>
      <c r="EK301" s="9"/>
      <c r="EL301" s="9"/>
      <c r="EM301" s="9"/>
      <c r="EN301" s="9"/>
      <c r="EO301" s="9"/>
      <c r="EP301" s="9"/>
      <c r="EQ301" s="9"/>
      <c r="ER301" s="9"/>
      <c r="ES301" s="9"/>
      <c r="ET301" s="9"/>
      <c r="EU301" s="9"/>
      <c r="EV301" s="9"/>
      <c r="EW301" s="9"/>
      <c r="EX301" s="9"/>
      <c r="EY301" s="9"/>
      <c r="EZ301" s="9"/>
      <c r="FA301" s="9"/>
      <c r="FB301" s="9"/>
      <c r="FC301" s="9"/>
      <c r="FD301" s="9"/>
      <c r="FE301" s="9"/>
      <c r="FF301" s="9"/>
      <c r="FG301" s="9"/>
      <c r="FH301" s="9"/>
      <c r="FI301" s="9"/>
      <c r="FJ301" s="9"/>
    </row>
    <row r="302" spans="3:166" x14ac:dyDescent="0.2"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  <c r="EF302" s="9"/>
      <c r="EG302" s="9"/>
      <c r="EH302" s="9"/>
      <c r="EI302" s="9"/>
      <c r="EJ302" s="9"/>
      <c r="EK302" s="9"/>
      <c r="EL302" s="9"/>
      <c r="EM302" s="9"/>
      <c r="EN302" s="9"/>
      <c r="EO302" s="9"/>
      <c r="EP302" s="9"/>
      <c r="EQ302" s="9"/>
      <c r="ER302" s="9"/>
      <c r="ES302" s="9"/>
      <c r="ET302" s="9"/>
      <c r="EU302" s="9"/>
      <c r="EV302" s="9"/>
      <c r="EW302" s="9"/>
      <c r="EX302" s="9"/>
      <c r="EY302" s="9"/>
      <c r="EZ302" s="9"/>
      <c r="FA302" s="9"/>
      <c r="FB302" s="9"/>
      <c r="FC302" s="9"/>
      <c r="FD302" s="9"/>
      <c r="FE302" s="9"/>
      <c r="FF302" s="9"/>
      <c r="FG302" s="9"/>
      <c r="FH302" s="9"/>
      <c r="FI302" s="9"/>
      <c r="FJ302" s="9"/>
    </row>
    <row r="303" spans="3:166" x14ac:dyDescent="0.2"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  <c r="EF303" s="9"/>
      <c r="EG303" s="9"/>
      <c r="EH303" s="9"/>
      <c r="EI303" s="9"/>
      <c r="EJ303" s="9"/>
      <c r="EK303" s="9"/>
      <c r="EL303" s="9"/>
      <c r="EM303" s="9"/>
      <c r="EN303" s="9"/>
      <c r="EO303" s="9"/>
      <c r="EP303" s="9"/>
      <c r="EQ303" s="9"/>
      <c r="ER303" s="9"/>
      <c r="ES303" s="9"/>
      <c r="ET303" s="9"/>
      <c r="EU303" s="9"/>
      <c r="EV303" s="9"/>
      <c r="EW303" s="9"/>
      <c r="EX303" s="9"/>
      <c r="EY303" s="9"/>
      <c r="EZ303" s="9"/>
      <c r="FA303" s="9"/>
      <c r="FB303" s="9"/>
      <c r="FC303" s="9"/>
      <c r="FD303" s="9"/>
      <c r="FE303" s="9"/>
      <c r="FF303" s="9"/>
      <c r="FG303" s="9"/>
      <c r="FH303" s="9"/>
      <c r="FI303" s="9"/>
      <c r="FJ303" s="9"/>
    </row>
    <row r="304" spans="3:166" x14ac:dyDescent="0.2"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  <c r="EF304" s="9"/>
      <c r="EG304" s="9"/>
      <c r="EH304" s="9"/>
      <c r="EI304" s="9"/>
      <c r="EJ304" s="9"/>
      <c r="EK304" s="9"/>
      <c r="EL304" s="9"/>
      <c r="EM304" s="9"/>
      <c r="EN304" s="9"/>
      <c r="EO304" s="9"/>
      <c r="EP304" s="9"/>
      <c r="EQ304" s="9"/>
      <c r="ER304" s="9"/>
      <c r="ES304" s="9"/>
      <c r="ET304" s="9"/>
      <c r="EU304" s="9"/>
      <c r="EV304" s="9"/>
      <c r="EW304" s="9"/>
      <c r="EX304" s="9"/>
      <c r="EY304" s="9"/>
      <c r="EZ304" s="9"/>
      <c r="FA304" s="9"/>
      <c r="FB304" s="9"/>
      <c r="FC304" s="9"/>
      <c r="FD304" s="9"/>
      <c r="FE304" s="9"/>
      <c r="FF304" s="9"/>
      <c r="FG304" s="9"/>
      <c r="FH304" s="9"/>
      <c r="FI304" s="9"/>
      <c r="FJ304" s="9"/>
    </row>
    <row r="305" spans="3:166" x14ac:dyDescent="0.2"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</row>
    <row r="306" spans="3:166" x14ac:dyDescent="0.2"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  <c r="EF306" s="9"/>
      <c r="EG306" s="9"/>
      <c r="EH306" s="9"/>
      <c r="EI306" s="9"/>
      <c r="EJ306" s="9"/>
      <c r="EK306" s="9"/>
      <c r="EL306" s="9"/>
      <c r="EM306" s="9"/>
      <c r="EN306" s="9"/>
      <c r="EO306" s="9"/>
      <c r="EP306" s="9"/>
      <c r="EQ306" s="9"/>
      <c r="ER306" s="9"/>
      <c r="ES306" s="9"/>
      <c r="ET306" s="9"/>
      <c r="EU306" s="9"/>
      <c r="EV306" s="9"/>
      <c r="EW306" s="9"/>
      <c r="EX306" s="9"/>
      <c r="EY306" s="9"/>
      <c r="EZ306" s="9"/>
      <c r="FA306" s="9"/>
      <c r="FB306" s="9"/>
      <c r="FC306" s="9"/>
      <c r="FD306" s="9"/>
      <c r="FE306" s="9"/>
      <c r="FF306" s="9"/>
      <c r="FG306" s="9"/>
      <c r="FH306" s="9"/>
      <c r="FI306" s="9"/>
      <c r="FJ306" s="9"/>
    </row>
    <row r="307" spans="3:166" x14ac:dyDescent="0.2"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  <c r="EF307" s="9"/>
      <c r="EG307" s="9"/>
      <c r="EH307" s="9"/>
      <c r="EI307" s="9"/>
      <c r="EJ307" s="9"/>
      <c r="EK307" s="9"/>
      <c r="EL307" s="9"/>
      <c r="EM307" s="9"/>
      <c r="EN307" s="9"/>
      <c r="EO307" s="9"/>
      <c r="EP307" s="9"/>
      <c r="EQ307" s="9"/>
      <c r="ER307" s="9"/>
      <c r="ES307" s="9"/>
      <c r="ET307" s="9"/>
      <c r="EU307" s="9"/>
      <c r="EV307" s="9"/>
      <c r="EW307" s="9"/>
      <c r="EX307" s="9"/>
      <c r="EY307" s="9"/>
      <c r="EZ307" s="9"/>
      <c r="FA307" s="9"/>
      <c r="FB307" s="9"/>
      <c r="FC307" s="9"/>
      <c r="FD307" s="9"/>
      <c r="FE307" s="9"/>
      <c r="FF307" s="9"/>
      <c r="FG307" s="9"/>
      <c r="FH307" s="9"/>
      <c r="FI307" s="9"/>
      <c r="FJ307" s="9"/>
    </row>
    <row r="308" spans="3:166" x14ac:dyDescent="0.2"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  <c r="EF308" s="9"/>
      <c r="EG308" s="9"/>
      <c r="EH308" s="9"/>
      <c r="EI308" s="9"/>
      <c r="EJ308" s="9"/>
      <c r="EK308" s="9"/>
      <c r="EL308" s="9"/>
      <c r="EM308" s="9"/>
      <c r="EN308" s="9"/>
      <c r="EO308" s="9"/>
      <c r="EP308" s="9"/>
      <c r="EQ308" s="9"/>
      <c r="ER308" s="9"/>
      <c r="ES308" s="9"/>
      <c r="ET308" s="9"/>
      <c r="EU308" s="9"/>
      <c r="EV308" s="9"/>
      <c r="EW308" s="9"/>
      <c r="EX308" s="9"/>
      <c r="EY308" s="9"/>
      <c r="EZ308" s="9"/>
      <c r="FA308" s="9"/>
      <c r="FB308" s="9"/>
      <c r="FC308" s="9"/>
      <c r="FD308" s="9"/>
      <c r="FE308" s="9"/>
      <c r="FF308" s="9"/>
      <c r="FG308" s="9"/>
      <c r="FH308" s="9"/>
      <c r="FI308" s="9"/>
      <c r="FJ308" s="9"/>
    </row>
    <row r="309" spans="3:166" x14ac:dyDescent="0.2"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  <c r="EF309" s="9"/>
      <c r="EG309" s="9"/>
      <c r="EH309" s="9"/>
      <c r="EI309" s="9"/>
      <c r="EJ309" s="9"/>
      <c r="EK309" s="9"/>
      <c r="EL309" s="9"/>
      <c r="EM309" s="9"/>
      <c r="EN309" s="9"/>
      <c r="EO309" s="9"/>
      <c r="EP309" s="9"/>
      <c r="EQ309" s="9"/>
      <c r="ER309" s="9"/>
      <c r="ES309" s="9"/>
      <c r="ET309" s="9"/>
      <c r="EU309" s="9"/>
      <c r="EV309" s="9"/>
      <c r="EW309" s="9"/>
      <c r="EX309" s="9"/>
      <c r="EY309" s="9"/>
      <c r="EZ309" s="9"/>
      <c r="FA309" s="9"/>
      <c r="FB309" s="9"/>
      <c r="FC309" s="9"/>
      <c r="FD309" s="9"/>
      <c r="FE309" s="9"/>
      <c r="FF309" s="9"/>
      <c r="FG309" s="9"/>
      <c r="FH309" s="9"/>
      <c r="FI309" s="9"/>
      <c r="FJ309" s="9"/>
    </row>
    <row r="310" spans="3:166" x14ac:dyDescent="0.2"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  <c r="EF310" s="9"/>
      <c r="EG310" s="9"/>
      <c r="EH310" s="9"/>
      <c r="EI310" s="9"/>
      <c r="EJ310" s="9"/>
      <c r="EK310" s="9"/>
      <c r="EL310" s="9"/>
      <c r="EM310" s="9"/>
      <c r="EN310" s="9"/>
      <c r="EO310" s="9"/>
      <c r="EP310" s="9"/>
      <c r="EQ310" s="9"/>
      <c r="ER310" s="9"/>
      <c r="ES310" s="9"/>
      <c r="ET310" s="9"/>
      <c r="EU310" s="9"/>
      <c r="EV310" s="9"/>
      <c r="EW310" s="9"/>
      <c r="EX310" s="9"/>
      <c r="EY310" s="9"/>
      <c r="EZ310" s="9"/>
      <c r="FA310" s="9"/>
      <c r="FB310" s="9"/>
      <c r="FC310" s="9"/>
      <c r="FD310" s="9"/>
      <c r="FE310" s="9"/>
      <c r="FF310" s="9"/>
      <c r="FG310" s="9"/>
      <c r="FH310" s="9"/>
      <c r="FI310" s="9"/>
      <c r="FJ310" s="9"/>
    </row>
    <row r="311" spans="3:166" x14ac:dyDescent="0.2"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  <c r="EF311" s="9"/>
      <c r="EG311" s="9"/>
      <c r="EH311" s="9"/>
      <c r="EI311" s="9"/>
      <c r="EJ311" s="9"/>
      <c r="EK311" s="9"/>
      <c r="EL311" s="9"/>
      <c r="EM311" s="9"/>
      <c r="EN311" s="9"/>
      <c r="EO311" s="9"/>
      <c r="EP311" s="9"/>
      <c r="EQ311" s="9"/>
      <c r="ER311" s="9"/>
      <c r="ES311" s="9"/>
      <c r="ET311" s="9"/>
      <c r="EU311" s="9"/>
      <c r="EV311" s="9"/>
      <c r="EW311" s="9"/>
      <c r="EX311" s="9"/>
      <c r="EY311" s="9"/>
      <c r="EZ311" s="9"/>
      <c r="FA311" s="9"/>
      <c r="FB311" s="9"/>
      <c r="FC311" s="9"/>
      <c r="FD311" s="9"/>
      <c r="FE311" s="9"/>
      <c r="FF311" s="9"/>
      <c r="FG311" s="9"/>
      <c r="FH311" s="9"/>
      <c r="FI311" s="9"/>
      <c r="FJ311" s="9"/>
    </row>
    <row r="312" spans="3:166" x14ac:dyDescent="0.2"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  <c r="EF312" s="9"/>
      <c r="EG312" s="9"/>
      <c r="EH312" s="9"/>
      <c r="EI312" s="9"/>
      <c r="EJ312" s="9"/>
      <c r="EK312" s="9"/>
      <c r="EL312" s="9"/>
      <c r="EM312" s="9"/>
      <c r="EN312" s="9"/>
      <c r="EO312" s="9"/>
      <c r="EP312" s="9"/>
      <c r="EQ312" s="9"/>
      <c r="ER312" s="9"/>
      <c r="ES312" s="9"/>
      <c r="ET312" s="9"/>
      <c r="EU312" s="9"/>
      <c r="EV312" s="9"/>
      <c r="EW312" s="9"/>
      <c r="EX312" s="9"/>
      <c r="EY312" s="9"/>
      <c r="EZ312" s="9"/>
      <c r="FA312" s="9"/>
      <c r="FB312" s="9"/>
      <c r="FC312" s="9"/>
      <c r="FD312" s="9"/>
      <c r="FE312" s="9"/>
      <c r="FF312" s="9"/>
      <c r="FG312" s="9"/>
      <c r="FH312" s="9"/>
      <c r="FI312" s="9"/>
      <c r="FJ312" s="9"/>
    </row>
    <row r="313" spans="3:166" x14ac:dyDescent="0.2"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  <c r="EF313" s="9"/>
      <c r="EG313" s="9"/>
      <c r="EH313" s="9"/>
      <c r="EI313" s="9"/>
      <c r="EJ313" s="9"/>
      <c r="EK313" s="9"/>
      <c r="EL313" s="9"/>
      <c r="EM313" s="9"/>
      <c r="EN313" s="9"/>
      <c r="EO313" s="9"/>
      <c r="EP313" s="9"/>
      <c r="EQ313" s="9"/>
      <c r="ER313" s="9"/>
      <c r="ES313" s="9"/>
      <c r="ET313" s="9"/>
      <c r="EU313" s="9"/>
      <c r="EV313" s="9"/>
      <c r="EW313" s="9"/>
      <c r="EX313" s="9"/>
      <c r="EY313" s="9"/>
      <c r="EZ313" s="9"/>
      <c r="FA313" s="9"/>
      <c r="FB313" s="9"/>
      <c r="FC313" s="9"/>
      <c r="FD313" s="9"/>
      <c r="FE313" s="9"/>
      <c r="FF313" s="9"/>
      <c r="FG313" s="9"/>
      <c r="FH313" s="9"/>
      <c r="FI313" s="9"/>
      <c r="FJ313" s="9"/>
    </row>
    <row r="314" spans="3:166" x14ac:dyDescent="0.2"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  <c r="EF314" s="9"/>
      <c r="EG314" s="9"/>
      <c r="EH314" s="9"/>
      <c r="EI314" s="9"/>
      <c r="EJ314" s="9"/>
      <c r="EK314" s="9"/>
      <c r="EL314" s="9"/>
      <c r="EM314" s="9"/>
      <c r="EN314" s="9"/>
      <c r="EO314" s="9"/>
      <c r="EP314" s="9"/>
      <c r="EQ314" s="9"/>
      <c r="ER314" s="9"/>
      <c r="ES314" s="9"/>
      <c r="ET314" s="9"/>
      <c r="EU314" s="9"/>
      <c r="EV314" s="9"/>
      <c r="EW314" s="9"/>
      <c r="EX314" s="9"/>
      <c r="EY314" s="9"/>
      <c r="EZ314" s="9"/>
      <c r="FA314" s="9"/>
      <c r="FB314" s="9"/>
      <c r="FC314" s="9"/>
      <c r="FD314" s="9"/>
      <c r="FE314" s="9"/>
      <c r="FF314" s="9"/>
      <c r="FG314" s="9"/>
      <c r="FH314" s="9"/>
      <c r="FI314" s="9"/>
      <c r="FJ314" s="9"/>
    </row>
    <row r="315" spans="3:166" x14ac:dyDescent="0.2"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  <c r="EF315" s="9"/>
      <c r="EG315" s="9"/>
      <c r="EH315" s="9"/>
      <c r="EI315" s="9"/>
      <c r="EJ315" s="9"/>
      <c r="EK315" s="9"/>
      <c r="EL315" s="9"/>
      <c r="EM315" s="9"/>
      <c r="EN315" s="9"/>
      <c r="EO315" s="9"/>
      <c r="EP315" s="9"/>
      <c r="EQ315" s="9"/>
      <c r="ER315" s="9"/>
      <c r="ES315" s="9"/>
      <c r="ET315" s="9"/>
      <c r="EU315" s="9"/>
      <c r="EV315" s="9"/>
      <c r="EW315" s="9"/>
      <c r="EX315" s="9"/>
      <c r="EY315" s="9"/>
      <c r="EZ315" s="9"/>
      <c r="FA315" s="9"/>
      <c r="FB315" s="9"/>
      <c r="FC315" s="9"/>
      <c r="FD315" s="9"/>
      <c r="FE315" s="9"/>
      <c r="FF315" s="9"/>
      <c r="FG315" s="9"/>
      <c r="FH315" s="9"/>
      <c r="FI315" s="9"/>
      <c r="FJ315" s="9"/>
    </row>
    <row r="316" spans="3:166" x14ac:dyDescent="0.2"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  <c r="EF316" s="9"/>
      <c r="EG316" s="9"/>
      <c r="EH316" s="9"/>
      <c r="EI316" s="9"/>
      <c r="EJ316" s="9"/>
      <c r="EK316" s="9"/>
      <c r="EL316" s="9"/>
      <c r="EM316" s="9"/>
      <c r="EN316" s="9"/>
      <c r="EO316" s="9"/>
      <c r="EP316" s="9"/>
      <c r="EQ316" s="9"/>
      <c r="ER316" s="9"/>
      <c r="ES316" s="9"/>
      <c r="ET316" s="9"/>
      <c r="EU316" s="9"/>
      <c r="EV316" s="9"/>
      <c r="EW316" s="9"/>
      <c r="EX316" s="9"/>
      <c r="EY316" s="9"/>
      <c r="EZ316" s="9"/>
      <c r="FA316" s="9"/>
      <c r="FB316" s="9"/>
      <c r="FC316" s="9"/>
      <c r="FD316" s="9"/>
      <c r="FE316" s="9"/>
      <c r="FF316" s="9"/>
      <c r="FG316" s="9"/>
      <c r="FH316" s="9"/>
      <c r="FI316" s="9"/>
      <c r="FJ316" s="9"/>
    </row>
    <row r="317" spans="3:166" x14ac:dyDescent="0.2"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  <c r="EF317" s="9"/>
      <c r="EG317" s="9"/>
      <c r="EH317" s="9"/>
      <c r="EI317" s="9"/>
      <c r="EJ317" s="9"/>
      <c r="EK317" s="9"/>
      <c r="EL317" s="9"/>
      <c r="EM317" s="9"/>
      <c r="EN317" s="9"/>
      <c r="EO317" s="9"/>
      <c r="EP317" s="9"/>
      <c r="EQ317" s="9"/>
      <c r="ER317" s="9"/>
      <c r="ES317" s="9"/>
      <c r="ET317" s="9"/>
      <c r="EU317" s="9"/>
      <c r="EV317" s="9"/>
      <c r="EW317" s="9"/>
      <c r="EX317" s="9"/>
      <c r="EY317" s="9"/>
      <c r="EZ317" s="9"/>
      <c r="FA317" s="9"/>
      <c r="FB317" s="9"/>
      <c r="FC317" s="9"/>
      <c r="FD317" s="9"/>
      <c r="FE317" s="9"/>
      <c r="FF317" s="9"/>
      <c r="FG317" s="9"/>
      <c r="FH317" s="9"/>
      <c r="FI317" s="9"/>
      <c r="FJ317" s="9"/>
    </row>
    <row r="318" spans="3:166" x14ac:dyDescent="0.2"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  <c r="EF318" s="9"/>
      <c r="EG318" s="9"/>
      <c r="EH318" s="9"/>
      <c r="EI318" s="9"/>
      <c r="EJ318" s="9"/>
      <c r="EK318" s="9"/>
      <c r="EL318" s="9"/>
      <c r="EM318" s="9"/>
      <c r="EN318" s="9"/>
      <c r="EO318" s="9"/>
      <c r="EP318" s="9"/>
      <c r="EQ318" s="9"/>
      <c r="ER318" s="9"/>
      <c r="ES318" s="9"/>
      <c r="ET318" s="9"/>
      <c r="EU318" s="9"/>
      <c r="EV318" s="9"/>
      <c r="EW318" s="9"/>
      <c r="EX318" s="9"/>
      <c r="EY318" s="9"/>
      <c r="EZ318" s="9"/>
      <c r="FA318" s="9"/>
      <c r="FB318" s="9"/>
      <c r="FC318" s="9"/>
      <c r="FD318" s="9"/>
      <c r="FE318" s="9"/>
      <c r="FF318" s="9"/>
      <c r="FG318" s="9"/>
      <c r="FH318" s="9"/>
      <c r="FI318" s="9"/>
      <c r="FJ318" s="9"/>
    </row>
    <row r="319" spans="3:166" x14ac:dyDescent="0.2"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  <c r="EF319" s="9"/>
      <c r="EG319" s="9"/>
      <c r="EH319" s="9"/>
      <c r="EI319" s="9"/>
      <c r="EJ319" s="9"/>
      <c r="EK319" s="9"/>
      <c r="EL319" s="9"/>
      <c r="EM319" s="9"/>
      <c r="EN319" s="9"/>
      <c r="EO319" s="9"/>
      <c r="EP319" s="9"/>
      <c r="EQ319" s="9"/>
      <c r="ER319" s="9"/>
      <c r="ES319" s="9"/>
      <c r="ET319" s="9"/>
      <c r="EU319" s="9"/>
      <c r="EV319" s="9"/>
      <c r="EW319" s="9"/>
      <c r="EX319" s="9"/>
      <c r="EY319" s="9"/>
      <c r="EZ319" s="9"/>
      <c r="FA319" s="9"/>
      <c r="FB319" s="9"/>
      <c r="FC319" s="9"/>
      <c r="FD319" s="9"/>
      <c r="FE319" s="9"/>
      <c r="FF319" s="9"/>
      <c r="FG319" s="9"/>
      <c r="FH319" s="9"/>
      <c r="FI319" s="9"/>
      <c r="FJ319" s="9"/>
    </row>
    <row r="320" spans="3:166" x14ac:dyDescent="0.2"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  <c r="EF320" s="9"/>
      <c r="EG320" s="9"/>
      <c r="EH320" s="9"/>
      <c r="EI320" s="9"/>
      <c r="EJ320" s="9"/>
      <c r="EK320" s="9"/>
      <c r="EL320" s="9"/>
      <c r="EM320" s="9"/>
      <c r="EN320" s="9"/>
      <c r="EO320" s="9"/>
      <c r="EP320" s="9"/>
      <c r="EQ320" s="9"/>
      <c r="ER320" s="9"/>
      <c r="ES320" s="9"/>
      <c r="ET320" s="9"/>
      <c r="EU320" s="9"/>
      <c r="EV320" s="9"/>
      <c r="EW320" s="9"/>
      <c r="EX320" s="9"/>
      <c r="EY320" s="9"/>
      <c r="EZ320" s="9"/>
      <c r="FA320" s="9"/>
      <c r="FB320" s="9"/>
      <c r="FC320" s="9"/>
      <c r="FD320" s="9"/>
      <c r="FE320" s="9"/>
      <c r="FF320" s="9"/>
      <c r="FG320" s="9"/>
      <c r="FH320" s="9"/>
      <c r="FI320" s="9"/>
      <c r="FJ320" s="9"/>
    </row>
    <row r="321" spans="3:166" x14ac:dyDescent="0.2"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  <c r="EF321" s="9"/>
      <c r="EG321" s="9"/>
      <c r="EH321" s="9"/>
      <c r="EI321" s="9"/>
      <c r="EJ321" s="9"/>
      <c r="EK321" s="9"/>
      <c r="EL321" s="9"/>
      <c r="EM321" s="9"/>
      <c r="EN321" s="9"/>
      <c r="EO321" s="9"/>
      <c r="EP321" s="9"/>
      <c r="EQ321" s="9"/>
      <c r="ER321" s="9"/>
      <c r="ES321" s="9"/>
      <c r="ET321" s="9"/>
      <c r="EU321" s="9"/>
      <c r="EV321" s="9"/>
      <c r="EW321" s="9"/>
      <c r="EX321" s="9"/>
      <c r="EY321" s="9"/>
      <c r="EZ321" s="9"/>
      <c r="FA321" s="9"/>
      <c r="FB321" s="9"/>
      <c r="FC321" s="9"/>
      <c r="FD321" s="9"/>
      <c r="FE321" s="9"/>
      <c r="FF321" s="9"/>
      <c r="FG321" s="9"/>
      <c r="FH321" s="9"/>
      <c r="FI321" s="9"/>
      <c r="FJ321" s="9"/>
    </row>
    <row r="322" spans="3:166" x14ac:dyDescent="0.2"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  <c r="EF322" s="9"/>
      <c r="EG322" s="9"/>
      <c r="EH322" s="9"/>
      <c r="EI322" s="9"/>
      <c r="EJ322" s="9"/>
      <c r="EK322" s="9"/>
      <c r="EL322" s="9"/>
      <c r="EM322" s="9"/>
      <c r="EN322" s="9"/>
      <c r="EO322" s="9"/>
      <c r="EP322" s="9"/>
      <c r="EQ322" s="9"/>
      <c r="ER322" s="9"/>
      <c r="ES322" s="9"/>
      <c r="ET322" s="9"/>
      <c r="EU322" s="9"/>
      <c r="EV322" s="9"/>
      <c r="EW322" s="9"/>
      <c r="EX322" s="9"/>
      <c r="EY322" s="9"/>
      <c r="EZ322" s="9"/>
      <c r="FA322" s="9"/>
      <c r="FB322" s="9"/>
      <c r="FC322" s="9"/>
      <c r="FD322" s="9"/>
      <c r="FE322" s="9"/>
      <c r="FF322" s="9"/>
      <c r="FG322" s="9"/>
      <c r="FH322" s="9"/>
      <c r="FI322" s="9"/>
      <c r="FJ322" s="9"/>
    </row>
    <row r="323" spans="3:166" x14ac:dyDescent="0.2"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  <c r="EF323" s="9"/>
      <c r="EG323" s="9"/>
      <c r="EH323" s="9"/>
      <c r="EI323" s="9"/>
      <c r="EJ323" s="9"/>
      <c r="EK323" s="9"/>
      <c r="EL323" s="9"/>
      <c r="EM323" s="9"/>
      <c r="EN323" s="9"/>
      <c r="EO323" s="9"/>
      <c r="EP323" s="9"/>
      <c r="EQ323" s="9"/>
      <c r="ER323" s="9"/>
      <c r="ES323" s="9"/>
      <c r="ET323" s="9"/>
      <c r="EU323" s="9"/>
      <c r="EV323" s="9"/>
      <c r="EW323" s="9"/>
      <c r="EX323" s="9"/>
      <c r="EY323" s="9"/>
      <c r="EZ323" s="9"/>
      <c r="FA323" s="9"/>
      <c r="FB323" s="9"/>
      <c r="FC323" s="9"/>
      <c r="FD323" s="9"/>
      <c r="FE323" s="9"/>
      <c r="FF323" s="9"/>
      <c r="FG323" s="9"/>
      <c r="FH323" s="9"/>
      <c r="FI323" s="9"/>
      <c r="FJ323" s="9"/>
    </row>
    <row r="324" spans="3:166" x14ac:dyDescent="0.2"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  <c r="EF324" s="9"/>
      <c r="EG324" s="9"/>
      <c r="EH324" s="9"/>
      <c r="EI324" s="9"/>
      <c r="EJ324" s="9"/>
      <c r="EK324" s="9"/>
      <c r="EL324" s="9"/>
      <c r="EM324" s="9"/>
      <c r="EN324" s="9"/>
      <c r="EO324" s="9"/>
      <c r="EP324" s="9"/>
      <c r="EQ324" s="9"/>
      <c r="ER324" s="9"/>
      <c r="ES324" s="9"/>
      <c r="ET324" s="9"/>
      <c r="EU324" s="9"/>
      <c r="EV324" s="9"/>
      <c r="EW324" s="9"/>
      <c r="EX324" s="9"/>
      <c r="EY324" s="9"/>
      <c r="EZ324" s="9"/>
      <c r="FA324" s="9"/>
      <c r="FB324" s="9"/>
      <c r="FC324" s="9"/>
      <c r="FD324" s="9"/>
      <c r="FE324" s="9"/>
      <c r="FF324" s="9"/>
      <c r="FG324" s="9"/>
      <c r="FH324" s="9"/>
      <c r="FI324" s="9"/>
      <c r="FJ324" s="9"/>
    </row>
    <row r="325" spans="3:166" x14ac:dyDescent="0.2"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  <c r="EF325" s="9"/>
      <c r="EG325" s="9"/>
      <c r="EH325" s="9"/>
      <c r="EI325" s="9"/>
      <c r="EJ325" s="9"/>
      <c r="EK325" s="9"/>
      <c r="EL325" s="9"/>
      <c r="EM325" s="9"/>
      <c r="EN325" s="9"/>
      <c r="EO325" s="9"/>
      <c r="EP325" s="9"/>
      <c r="EQ325" s="9"/>
      <c r="ER325" s="9"/>
      <c r="ES325" s="9"/>
      <c r="ET325" s="9"/>
      <c r="EU325" s="9"/>
      <c r="EV325" s="9"/>
      <c r="EW325" s="9"/>
      <c r="EX325" s="9"/>
      <c r="EY325" s="9"/>
      <c r="EZ325" s="9"/>
      <c r="FA325" s="9"/>
      <c r="FB325" s="9"/>
      <c r="FC325" s="9"/>
      <c r="FD325" s="9"/>
      <c r="FE325" s="9"/>
      <c r="FF325" s="9"/>
      <c r="FG325" s="9"/>
      <c r="FH325" s="9"/>
      <c r="FI325" s="9"/>
      <c r="FJ325" s="9"/>
    </row>
    <row r="326" spans="3:166" x14ac:dyDescent="0.2"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  <c r="EF326" s="9"/>
      <c r="EG326" s="9"/>
      <c r="EH326" s="9"/>
      <c r="EI326" s="9"/>
      <c r="EJ326" s="9"/>
      <c r="EK326" s="9"/>
      <c r="EL326" s="9"/>
      <c r="EM326" s="9"/>
      <c r="EN326" s="9"/>
      <c r="EO326" s="9"/>
      <c r="EP326" s="9"/>
      <c r="EQ326" s="9"/>
      <c r="ER326" s="9"/>
      <c r="ES326" s="9"/>
      <c r="ET326" s="9"/>
      <c r="EU326" s="9"/>
      <c r="EV326" s="9"/>
      <c r="EW326" s="9"/>
      <c r="EX326" s="9"/>
      <c r="EY326" s="9"/>
      <c r="EZ326" s="9"/>
      <c r="FA326" s="9"/>
      <c r="FB326" s="9"/>
      <c r="FC326" s="9"/>
      <c r="FD326" s="9"/>
      <c r="FE326" s="9"/>
      <c r="FF326" s="9"/>
      <c r="FG326" s="9"/>
      <c r="FH326" s="9"/>
      <c r="FI326" s="9"/>
      <c r="FJ326" s="9"/>
    </row>
    <row r="327" spans="3:166" x14ac:dyDescent="0.2"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  <c r="EF327" s="9"/>
      <c r="EG327" s="9"/>
      <c r="EH327" s="9"/>
      <c r="EI327" s="9"/>
      <c r="EJ327" s="9"/>
      <c r="EK327" s="9"/>
      <c r="EL327" s="9"/>
      <c r="EM327" s="9"/>
      <c r="EN327" s="9"/>
      <c r="EO327" s="9"/>
      <c r="EP327" s="9"/>
      <c r="EQ327" s="9"/>
      <c r="ER327" s="9"/>
      <c r="ES327" s="9"/>
      <c r="ET327" s="9"/>
      <c r="EU327" s="9"/>
      <c r="EV327" s="9"/>
      <c r="EW327" s="9"/>
      <c r="EX327" s="9"/>
      <c r="EY327" s="9"/>
      <c r="EZ327" s="9"/>
      <c r="FA327" s="9"/>
      <c r="FB327" s="9"/>
      <c r="FC327" s="9"/>
      <c r="FD327" s="9"/>
      <c r="FE327" s="9"/>
      <c r="FF327" s="9"/>
      <c r="FG327" s="9"/>
      <c r="FH327" s="9"/>
      <c r="FI327" s="9"/>
      <c r="FJ327" s="9"/>
    </row>
    <row r="328" spans="3:166" x14ac:dyDescent="0.2"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  <c r="EF328" s="9"/>
      <c r="EG328" s="9"/>
      <c r="EH328" s="9"/>
      <c r="EI328" s="9"/>
      <c r="EJ328" s="9"/>
      <c r="EK328" s="9"/>
      <c r="EL328" s="9"/>
      <c r="EM328" s="9"/>
      <c r="EN328" s="9"/>
      <c r="EO328" s="9"/>
      <c r="EP328" s="9"/>
      <c r="EQ328" s="9"/>
      <c r="ER328" s="9"/>
      <c r="ES328" s="9"/>
      <c r="ET328" s="9"/>
      <c r="EU328" s="9"/>
      <c r="EV328" s="9"/>
      <c r="EW328" s="9"/>
      <c r="EX328" s="9"/>
      <c r="EY328" s="9"/>
      <c r="EZ328" s="9"/>
      <c r="FA328" s="9"/>
      <c r="FB328" s="9"/>
      <c r="FC328" s="9"/>
      <c r="FD328" s="9"/>
      <c r="FE328" s="9"/>
      <c r="FF328" s="9"/>
      <c r="FG328" s="9"/>
      <c r="FH328" s="9"/>
      <c r="FI328" s="9"/>
      <c r="FJ328" s="9"/>
    </row>
    <row r="329" spans="3:166" x14ac:dyDescent="0.2"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  <c r="EF329" s="9"/>
      <c r="EG329" s="9"/>
      <c r="EH329" s="9"/>
      <c r="EI329" s="9"/>
      <c r="EJ329" s="9"/>
      <c r="EK329" s="9"/>
      <c r="EL329" s="9"/>
      <c r="EM329" s="9"/>
      <c r="EN329" s="9"/>
      <c r="EO329" s="9"/>
      <c r="EP329" s="9"/>
      <c r="EQ329" s="9"/>
      <c r="ER329" s="9"/>
      <c r="ES329" s="9"/>
      <c r="ET329" s="9"/>
      <c r="EU329" s="9"/>
      <c r="EV329" s="9"/>
      <c r="EW329" s="9"/>
      <c r="EX329" s="9"/>
      <c r="EY329" s="9"/>
      <c r="EZ329" s="9"/>
      <c r="FA329" s="9"/>
      <c r="FB329" s="9"/>
      <c r="FC329" s="9"/>
      <c r="FD329" s="9"/>
      <c r="FE329" s="9"/>
      <c r="FF329" s="9"/>
      <c r="FG329" s="9"/>
      <c r="FH329" s="9"/>
      <c r="FI329" s="9"/>
      <c r="FJ329" s="9"/>
    </row>
    <row r="330" spans="3:166" x14ac:dyDescent="0.2"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  <c r="EF330" s="9"/>
      <c r="EG330" s="9"/>
      <c r="EH330" s="9"/>
      <c r="EI330" s="9"/>
      <c r="EJ330" s="9"/>
      <c r="EK330" s="9"/>
      <c r="EL330" s="9"/>
      <c r="EM330" s="9"/>
      <c r="EN330" s="9"/>
      <c r="EO330" s="9"/>
      <c r="EP330" s="9"/>
      <c r="EQ330" s="9"/>
      <c r="ER330" s="9"/>
      <c r="ES330" s="9"/>
      <c r="ET330" s="9"/>
      <c r="EU330" s="9"/>
      <c r="EV330" s="9"/>
      <c r="EW330" s="9"/>
      <c r="EX330" s="9"/>
      <c r="EY330" s="9"/>
      <c r="EZ330" s="9"/>
      <c r="FA330" s="9"/>
      <c r="FB330" s="9"/>
      <c r="FC330" s="9"/>
      <c r="FD330" s="9"/>
      <c r="FE330" s="9"/>
      <c r="FF330" s="9"/>
      <c r="FG330" s="9"/>
      <c r="FH330" s="9"/>
      <c r="FI330" s="9"/>
      <c r="FJ330" s="9"/>
    </row>
    <row r="331" spans="3:166" x14ac:dyDescent="0.2"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  <c r="EF331" s="9"/>
      <c r="EG331" s="9"/>
      <c r="EH331" s="9"/>
      <c r="EI331" s="9"/>
      <c r="EJ331" s="9"/>
      <c r="EK331" s="9"/>
      <c r="EL331" s="9"/>
      <c r="EM331" s="9"/>
      <c r="EN331" s="9"/>
      <c r="EO331" s="9"/>
      <c r="EP331" s="9"/>
      <c r="EQ331" s="9"/>
      <c r="ER331" s="9"/>
      <c r="ES331" s="9"/>
      <c r="ET331" s="9"/>
      <c r="EU331" s="9"/>
      <c r="EV331" s="9"/>
      <c r="EW331" s="9"/>
      <c r="EX331" s="9"/>
      <c r="EY331" s="9"/>
      <c r="EZ331" s="9"/>
      <c r="FA331" s="9"/>
      <c r="FB331" s="9"/>
      <c r="FC331" s="9"/>
      <c r="FD331" s="9"/>
      <c r="FE331" s="9"/>
      <c r="FF331" s="9"/>
      <c r="FG331" s="9"/>
      <c r="FH331" s="9"/>
      <c r="FI331" s="9"/>
      <c r="FJ331" s="9"/>
    </row>
    <row r="332" spans="3:166" x14ac:dyDescent="0.2"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  <c r="EF332" s="9"/>
      <c r="EG332" s="9"/>
      <c r="EH332" s="9"/>
      <c r="EI332" s="9"/>
      <c r="EJ332" s="9"/>
      <c r="EK332" s="9"/>
      <c r="EL332" s="9"/>
      <c r="EM332" s="9"/>
      <c r="EN332" s="9"/>
      <c r="EO332" s="9"/>
      <c r="EP332" s="9"/>
      <c r="EQ332" s="9"/>
      <c r="ER332" s="9"/>
      <c r="ES332" s="9"/>
      <c r="ET332" s="9"/>
      <c r="EU332" s="9"/>
      <c r="EV332" s="9"/>
      <c r="EW332" s="9"/>
      <c r="EX332" s="9"/>
      <c r="EY332" s="9"/>
      <c r="EZ332" s="9"/>
      <c r="FA332" s="9"/>
      <c r="FB332" s="9"/>
      <c r="FC332" s="9"/>
      <c r="FD332" s="9"/>
      <c r="FE332" s="9"/>
      <c r="FF332" s="9"/>
      <c r="FG332" s="9"/>
      <c r="FH332" s="9"/>
      <c r="FI332" s="9"/>
      <c r="FJ332" s="9"/>
    </row>
    <row r="333" spans="3:166" x14ac:dyDescent="0.2"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  <c r="EF333" s="9"/>
      <c r="EG333" s="9"/>
      <c r="EH333" s="9"/>
      <c r="EI333" s="9"/>
      <c r="EJ333" s="9"/>
      <c r="EK333" s="9"/>
      <c r="EL333" s="9"/>
      <c r="EM333" s="9"/>
      <c r="EN333" s="9"/>
      <c r="EO333" s="9"/>
      <c r="EP333" s="9"/>
      <c r="EQ333" s="9"/>
      <c r="ER333" s="9"/>
      <c r="ES333" s="9"/>
      <c r="ET333" s="9"/>
      <c r="EU333" s="9"/>
      <c r="EV333" s="9"/>
      <c r="EW333" s="9"/>
      <c r="EX333" s="9"/>
      <c r="EY333" s="9"/>
      <c r="EZ333" s="9"/>
      <c r="FA333" s="9"/>
      <c r="FB333" s="9"/>
      <c r="FC333" s="9"/>
      <c r="FD333" s="9"/>
      <c r="FE333" s="9"/>
      <c r="FF333" s="9"/>
      <c r="FG333" s="9"/>
      <c r="FH333" s="9"/>
      <c r="FI333" s="9"/>
      <c r="FJ333" s="9"/>
    </row>
    <row r="334" spans="3:166" x14ac:dyDescent="0.2"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  <c r="EF334" s="9"/>
      <c r="EG334" s="9"/>
      <c r="EH334" s="9"/>
      <c r="EI334" s="9"/>
      <c r="EJ334" s="9"/>
      <c r="EK334" s="9"/>
      <c r="EL334" s="9"/>
      <c r="EM334" s="9"/>
      <c r="EN334" s="9"/>
      <c r="EO334" s="9"/>
      <c r="EP334" s="9"/>
      <c r="EQ334" s="9"/>
      <c r="ER334" s="9"/>
      <c r="ES334" s="9"/>
      <c r="ET334" s="9"/>
      <c r="EU334" s="9"/>
      <c r="EV334" s="9"/>
      <c r="EW334" s="9"/>
      <c r="EX334" s="9"/>
      <c r="EY334" s="9"/>
      <c r="EZ334" s="9"/>
      <c r="FA334" s="9"/>
      <c r="FB334" s="9"/>
      <c r="FC334" s="9"/>
      <c r="FD334" s="9"/>
      <c r="FE334" s="9"/>
      <c r="FF334" s="9"/>
      <c r="FG334" s="9"/>
      <c r="FH334" s="9"/>
      <c r="FI334" s="9"/>
      <c r="FJ334" s="9"/>
    </row>
    <row r="335" spans="3:166" x14ac:dyDescent="0.2"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  <c r="EF335" s="9"/>
      <c r="EG335" s="9"/>
      <c r="EH335" s="9"/>
      <c r="EI335" s="9"/>
      <c r="EJ335" s="9"/>
      <c r="EK335" s="9"/>
      <c r="EL335" s="9"/>
      <c r="EM335" s="9"/>
      <c r="EN335" s="9"/>
      <c r="EO335" s="9"/>
      <c r="EP335" s="9"/>
      <c r="EQ335" s="9"/>
      <c r="ER335" s="9"/>
      <c r="ES335" s="9"/>
      <c r="ET335" s="9"/>
      <c r="EU335" s="9"/>
      <c r="EV335" s="9"/>
      <c r="EW335" s="9"/>
      <c r="EX335" s="9"/>
      <c r="EY335" s="9"/>
      <c r="EZ335" s="9"/>
      <c r="FA335" s="9"/>
      <c r="FB335" s="9"/>
      <c r="FC335" s="9"/>
      <c r="FD335" s="9"/>
      <c r="FE335" s="9"/>
      <c r="FF335" s="9"/>
      <c r="FG335" s="9"/>
      <c r="FH335" s="9"/>
      <c r="FI335" s="9"/>
      <c r="FJ335" s="9"/>
    </row>
    <row r="336" spans="3:166" x14ac:dyDescent="0.2"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  <c r="EF336" s="9"/>
      <c r="EG336" s="9"/>
      <c r="EH336" s="9"/>
      <c r="EI336" s="9"/>
      <c r="EJ336" s="9"/>
      <c r="EK336" s="9"/>
      <c r="EL336" s="9"/>
      <c r="EM336" s="9"/>
      <c r="EN336" s="9"/>
      <c r="EO336" s="9"/>
      <c r="EP336" s="9"/>
      <c r="EQ336" s="9"/>
      <c r="ER336" s="9"/>
      <c r="ES336" s="9"/>
      <c r="ET336" s="9"/>
      <c r="EU336" s="9"/>
      <c r="EV336" s="9"/>
      <c r="EW336" s="9"/>
      <c r="EX336" s="9"/>
      <c r="EY336" s="9"/>
      <c r="EZ336" s="9"/>
      <c r="FA336" s="9"/>
      <c r="FB336" s="9"/>
      <c r="FC336" s="9"/>
      <c r="FD336" s="9"/>
      <c r="FE336" s="9"/>
      <c r="FF336" s="9"/>
      <c r="FG336" s="9"/>
      <c r="FH336" s="9"/>
      <c r="FI336" s="9"/>
      <c r="FJ336" s="9"/>
    </row>
    <row r="337" spans="3:166" x14ac:dyDescent="0.2"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  <c r="EF337" s="9"/>
      <c r="EG337" s="9"/>
      <c r="EH337" s="9"/>
      <c r="EI337" s="9"/>
      <c r="EJ337" s="9"/>
      <c r="EK337" s="9"/>
      <c r="EL337" s="9"/>
      <c r="EM337" s="9"/>
      <c r="EN337" s="9"/>
      <c r="EO337" s="9"/>
      <c r="EP337" s="9"/>
      <c r="EQ337" s="9"/>
      <c r="ER337" s="9"/>
      <c r="ES337" s="9"/>
      <c r="ET337" s="9"/>
      <c r="EU337" s="9"/>
      <c r="EV337" s="9"/>
      <c r="EW337" s="9"/>
      <c r="EX337" s="9"/>
      <c r="EY337" s="9"/>
      <c r="EZ337" s="9"/>
      <c r="FA337" s="9"/>
      <c r="FB337" s="9"/>
      <c r="FC337" s="9"/>
      <c r="FD337" s="9"/>
      <c r="FE337" s="9"/>
      <c r="FF337" s="9"/>
      <c r="FG337" s="9"/>
      <c r="FH337" s="9"/>
      <c r="FI337" s="9"/>
      <c r="FJ337" s="9"/>
    </row>
    <row r="338" spans="3:166" x14ac:dyDescent="0.2"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  <c r="EF338" s="9"/>
      <c r="EG338" s="9"/>
      <c r="EH338" s="9"/>
      <c r="EI338" s="9"/>
      <c r="EJ338" s="9"/>
      <c r="EK338" s="9"/>
      <c r="EL338" s="9"/>
      <c r="EM338" s="9"/>
      <c r="EN338" s="9"/>
      <c r="EO338" s="9"/>
      <c r="EP338" s="9"/>
      <c r="EQ338" s="9"/>
      <c r="ER338" s="9"/>
      <c r="ES338" s="9"/>
      <c r="ET338" s="9"/>
      <c r="EU338" s="9"/>
      <c r="EV338" s="9"/>
      <c r="EW338" s="9"/>
      <c r="EX338" s="9"/>
      <c r="EY338" s="9"/>
      <c r="EZ338" s="9"/>
      <c r="FA338" s="9"/>
      <c r="FB338" s="9"/>
      <c r="FC338" s="9"/>
      <c r="FD338" s="9"/>
      <c r="FE338" s="9"/>
      <c r="FF338" s="9"/>
      <c r="FG338" s="9"/>
      <c r="FH338" s="9"/>
      <c r="FI338" s="9"/>
      <c r="FJ338" s="9"/>
    </row>
    <row r="339" spans="3:166" x14ac:dyDescent="0.2"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  <c r="EF339" s="9"/>
      <c r="EG339" s="9"/>
      <c r="EH339" s="9"/>
      <c r="EI339" s="9"/>
      <c r="EJ339" s="9"/>
      <c r="EK339" s="9"/>
      <c r="EL339" s="9"/>
      <c r="EM339" s="9"/>
      <c r="EN339" s="9"/>
      <c r="EO339" s="9"/>
      <c r="EP339" s="9"/>
      <c r="EQ339" s="9"/>
      <c r="ER339" s="9"/>
      <c r="ES339" s="9"/>
      <c r="ET339" s="9"/>
      <c r="EU339" s="9"/>
      <c r="EV339" s="9"/>
      <c r="EW339" s="9"/>
      <c r="EX339" s="9"/>
      <c r="EY339" s="9"/>
      <c r="EZ339" s="9"/>
      <c r="FA339" s="9"/>
      <c r="FB339" s="9"/>
      <c r="FC339" s="9"/>
      <c r="FD339" s="9"/>
      <c r="FE339" s="9"/>
      <c r="FF339" s="9"/>
      <c r="FG339" s="9"/>
      <c r="FH339" s="9"/>
      <c r="FI339" s="9"/>
      <c r="FJ339" s="9"/>
    </row>
    <row r="340" spans="3:166" x14ac:dyDescent="0.2"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  <c r="EF340" s="9"/>
      <c r="EG340" s="9"/>
      <c r="EH340" s="9"/>
      <c r="EI340" s="9"/>
      <c r="EJ340" s="9"/>
      <c r="EK340" s="9"/>
      <c r="EL340" s="9"/>
      <c r="EM340" s="9"/>
      <c r="EN340" s="9"/>
      <c r="EO340" s="9"/>
      <c r="EP340" s="9"/>
      <c r="EQ340" s="9"/>
      <c r="ER340" s="9"/>
      <c r="ES340" s="9"/>
      <c r="ET340" s="9"/>
      <c r="EU340" s="9"/>
      <c r="EV340" s="9"/>
      <c r="EW340" s="9"/>
      <c r="EX340" s="9"/>
      <c r="EY340" s="9"/>
      <c r="EZ340" s="9"/>
      <c r="FA340" s="9"/>
      <c r="FB340" s="9"/>
      <c r="FC340" s="9"/>
      <c r="FD340" s="9"/>
      <c r="FE340" s="9"/>
      <c r="FF340" s="9"/>
      <c r="FG340" s="9"/>
      <c r="FH340" s="9"/>
      <c r="FI340" s="9"/>
      <c r="FJ340" s="9"/>
    </row>
    <row r="341" spans="3:166" x14ac:dyDescent="0.2"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  <c r="EF341" s="9"/>
      <c r="EG341" s="9"/>
      <c r="EH341" s="9"/>
      <c r="EI341" s="9"/>
      <c r="EJ341" s="9"/>
      <c r="EK341" s="9"/>
      <c r="EL341" s="9"/>
      <c r="EM341" s="9"/>
      <c r="EN341" s="9"/>
      <c r="EO341" s="9"/>
      <c r="EP341" s="9"/>
      <c r="EQ341" s="9"/>
      <c r="ER341" s="9"/>
      <c r="ES341" s="9"/>
      <c r="ET341" s="9"/>
      <c r="EU341" s="9"/>
      <c r="EV341" s="9"/>
      <c r="EW341" s="9"/>
      <c r="EX341" s="9"/>
      <c r="EY341" s="9"/>
      <c r="EZ341" s="9"/>
      <c r="FA341" s="9"/>
      <c r="FB341" s="9"/>
      <c r="FC341" s="9"/>
      <c r="FD341" s="9"/>
      <c r="FE341" s="9"/>
      <c r="FF341" s="9"/>
      <c r="FG341" s="9"/>
      <c r="FH341" s="9"/>
      <c r="FI341" s="9"/>
      <c r="FJ341" s="9"/>
    </row>
    <row r="342" spans="3:166" x14ac:dyDescent="0.2"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  <c r="EF342" s="9"/>
      <c r="EG342" s="9"/>
      <c r="EH342" s="9"/>
      <c r="EI342" s="9"/>
      <c r="EJ342" s="9"/>
      <c r="EK342" s="9"/>
      <c r="EL342" s="9"/>
      <c r="EM342" s="9"/>
      <c r="EN342" s="9"/>
      <c r="EO342" s="9"/>
      <c r="EP342" s="9"/>
      <c r="EQ342" s="9"/>
      <c r="ER342" s="9"/>
      <c r="ES342" s="9"/>
      <c r="ET342" s="9"/>
      <c r="EU342" s="9"/>
      <c r="EV342" s="9"/>
      <c r="EW342" s="9"/>
      <c r="EX342" s="9"/>
      <c r="EY342" s="9"/>
      <c r="EZ342" s="9"/>
      <c r="FA342" s="9"/>
      <c r="FB342" s="9"/>
      <c r="FC342" s="9"/>
      <c r="FD342" s="9"/>
      <c r="FE342" s="9"/>
      <c r="FF342" s="9"/>
      <c r="FG342" s="9"/>
      <c r="FH342" s="9"/>
      <c r="FI342" s="9"/>
      <c r="FJ342" s="9"/>
    </row>
    <row r="343" spans="3:166" x14ac:dyDescent="0.2"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  <c r="EF343" s="9"/>
      <c r="EG343" s="9"/>
      <c r="EH343" s="9"/>
      <c r="EI343" s="9"/>
      <c r="EJ343" s="9"/>
      <c r="EK343" s="9"/>
      <c r="EL343" s="9"/>
      <c r="EM343" s="9"/>
      <c r="EN343" s="9"/>
      <c r="EO343" s="9"/>
      <c r="EP343" s="9"/>
      <c r="EQ343" s="9"/>
      <c r="ER343" s="9"/>
      <c r="ES343" s="9"/>
      <c r="ET343" s="9"/>
      <c r="EU343" s="9"/>
      <c r="EV343" s="9"/>
      <c r="EW343" s="9"/>
      <c r="EX343" s="9"/>
      <c r="EY343" s="9"/>
      <c r="EZ343" s="9"/>
      <c r="FA343" s="9"/>
      <c r="FB343" s="9"/>
      <c r="FC343" s="9"/>
      <c r="FD343" s="9"/>
      <c r="FE343" s="9"/>
      <c r="FF343" s="9"/>
      <c r="FG343" s="9"/>
      <c r="FH343" s="9"/>
      <c r="FI343" s="9"/>
      <c r="FJ343" s="9"/>
    </row>
    <row r="344" spans="3:166" x14ac:dyDescent="0.2"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  <c r="EF344" s="9"/>
      <c r="EG344" s="9"/>
      <c r="EH344" s="9"/>
      <c r="EI344" s="9"/>
      <c r="EJ344" s="9"/>
      <c r="EK344" s="9"/>
      <c r="EL344" s="9"/>
      <c r="EM344" s="9"/>
      <c r="EN344" s="9"/>
      <c r="EO344" s="9"/>
      <c r="EP344" s="9"/>
      <c r="EQ344" s="9"/>
      <c r="ER344" s="9"/>
      <c r="ES344" s="9"/>
      <c r="ET344" s="9"/>
      <c r="EU344" s="9"/>
      <c r="EV344" s="9"/>
      <c r="EW344" s="9"/>
      <c r="EX344" s="9"/>
      <c r="EY344" s="9"/>
      <c r="EZ344" s="9"/>
      <c r="FA344" s="9"/>
      <c r="FB344" s="9"/>
      <c r="FC344" s="9"/>
      <c r="FD344" s="9"/>
      <c r="FE344" s="9"/>
      <c r="FF344" s="9"/>
      <c r="FG344" s="9"/>
      <c r="FH344" s="9"/>
      <c r="FI344" s="9"/>
      <c r="FJ344" s="9"/>
    </row>
    <row r="345" spans="3:166" x14ac:dyDescent="0.2"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  <c r="EF345" s="9"/>
      <c r="EG345" s="9"/>
      <c r="EH345" s="9"/>
      <c r="EI345" s="9"/>
      <c r="EJ345" s="9"/>
      <c r="EK345" s="9"/>
      <c r="EL345" s="9"/>
      <c r="EM345" s="9"/>
      <c r="EN345" s="9"/>
      <c r="EO345" s="9"/>
      <c r="EP345" s="9"/>
      <c r="EQ345" s="9"/>
      <c r="ER345" s="9"/>
      <c r="ES345" s="9"/>
      <c r="ET345" s="9"/>
      <c r="EU345" s="9"/>
      <c r="EV345" s="9"/>
      <c r="EW345" s="9"/>
      <c r="EX345" s="9"/>
      <c r="EY345" s="9"/>
      <c r="EZ345" s="9"/>
      <c r="FA345" s="9"/>
      <c r="FB345" s="9"/>
      <c r="FC345" s="9"/>
      <c r="FD345" s="9"/>
      <c r="FE345" s="9"/>
      <c r="FF345" s="9"/>
      <c r="FG345" s="9"/>
      <c r="FH345" s="9"/>
      <c r="FI345" s="9"/>
      <c r="FJ345" s="9"/>
    </row>
    <row r="346" spans="3:166" x14ac:dyDescent="0.2"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  <c r="EF346" s="9"/>
      <c r="EG346" s="9"/>
      <c r="EH346" s="9"/>
      <c r="EI346" s="9"/>
      <c r="EJ346" s="9"/>
      <c r="EK346" s="9"/>
      <c r="EL346" s="9"/>
      <c r="EM346" s="9"/>
      <c r="EN346" s="9"/>
      <c r="EO346" s="9"/>
      <c r="EP346" s="9"/>
      <c r="EQ346" s="9"/>
      <c r="ER346" s="9"/>
      <c r="ES346" s="9"/>
      <c r="ET346" s="9"/>
      <c r="EU346" s="9"/>
      <c r="EV346" s="9"/>
      <c r="EW346" s="9"/>
      <c r="EX346" s="9"/>
      <c r="EY346" s="9"/>
      <c r="EZ346" s="9"/>
      <c r="FA346" s="9"/>
      <c r="FB346" s="9"/>
      <c r="FC346" s="9"/>
      <c r="FD346" s="9"/>
      <c r="FE346" s="9"/>
      <c r="FF346" s="9"/>
      <c r="FG346" s="9"/>
      <c r="FH346" s="9"/>
      <c r="FI346" s="9"/>
      <c r="FJ346" s="9"/>
    </row>
    <row r="347" spans="3:166" x14ac:dyDescent="0.2"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  <c r="EF347" s="9"/>
      <c r="EG347" s="9"/>
      <c r="EH347" s="9"/>
      <c r="EI347" s="9"/>
      <c r="EJ347" s="9"/>
      <c r="EK347" s="9"/>
      <c r="EL347" s="9"/>
      <c r="EM347" s="9"/>
      <c r="EN347" s="9"/>
      <c r="EO347" s="9"/>
      <c r="EP347" s="9"/>
      <c r="EQ347" s="9"/>
      <c r="ER347" s="9"/>
      <c r="ES347" s="9"/>
      <c r="ET347" s="9"/>
      <c r="EU347" s="9"/>
      <c r="EV347" s="9"/>
      <c r="EW347" s="9"/>
      <c r="EX347" s="9"/>
      <c r="EY347" s="9"/>
      <c r="EZ347" s="9"/>
      <c r="FA347" s="9"/>
      <c r="FB347" s="9"/>
      <c r="FC347" s="9"/>
      <c r="FD347" s="9"/>
      <c r="FE347" s="9"/>
      <c r="FF347" s="9"/>
      <c r="FG347" s="9"/>
      <c r="FH347" s="9"/>
      <c r="FI347" s="9"/>
      <c r="FJ347" s="9"/>
    </row>
    <row r="348" spans="3:166" x14ac:dyDescent="0.2"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  <c r="EF348" s="9"/>
      <c r="EG348" s="9"/>
      <c r="EH348" s="9"/>
      <c r="EI348" s="9"/>
      <c r="EJ348" s="9"/>
      <c r="EK348" s="9"/>
      <c r="EL348" s="9"/>
      <c r="EM348" s="9"/>
      <c r="EN348" s="9"/>
      <c r="EO348" s="9"/>
      <c r="EP348" s="9"/>
      <c r="EQ348" s="9"/>
      <c r="ER348" s="9"/>
      <c r="ES348" s="9"/>
      <c r="ET348" s="9"/>
      <c r="EU348" s="9"/>
      <c r="EV348" s="9"/>
      <c r="EW348" s="9"/>
      <c r="EX348" s="9"/>
      <c r="EY348" s="9"/>
      <c r="EZ348" s="9"/>
      <c r="FA348" s="9"/>
      <c r="FB348" s="9"/>
      <c r="FC348" s="9"/>
      <c r="FD348" s="9"/>
      <c r="FE348" s="9"/>
      <c r="FF348" s="9"/>
      <c r="FG348" s="9"/>
      <c r="FH348" s="9"/>
      <c r="FI348" s="9"/>
      <c r="FJ348" s="9"/>
    </row>
    <row r="349" spans="3:166" x14ac:dyDescent="0.2"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  <c r="EF349" s="9"/>
      <c r="EG349" s="9"/>
      <c r="EH349" s="9"/>
      <c r="EI349" s="9"/>
      <c r="EJ349" s="9"/>
      <c r="EK349" s="9"/>
      <c r="EL349" s="9"/>
      <c r="EM349" s="9"/>
      <c r="EN349" s="9"/>
      <c r="EO349" s="9"/>
      <c r="EP349" s="9"/>
      <c r="EQ349" s="9"/>
      <c r="ER349" s="9"/>
      <c r="ES349" s="9"/>
      <c r="ET349" s="9"/>
      <c r="EU349" s="9"/>
      <c r="EV349" s="9"/>
      <c r="EW349" s="9"/>
      <c r="EX349" s="9"/>
      <c r="EY349" s="9"/>
      <c r="EZ349" s="9"/>
      <c r="FA349" s="9"/>
      <c r="FB349" s="9"/>
      <c r="FC349" s="9"/>
      <c r="FD349" s="9"/>
      <c r="FE349" s="9"/>
      <c r="FF349" s="9"/>
      <c r="FG349" s="9"/>
      <c r="FH349" s="9"/>
      <c r="FI349" s="9"/>
      <c r="FJ349" s="9"/>
    </row>
    <row r="350" spans="3:166" x14ac:dyDescent="0.2"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  <c r="EF350" s="9"/>
      <c r="EG350" s="9"/>
      <c r="EH350" s="9"/>
      <c r="EI350" s="9"/>
      <c r="EJ350" s="9"/>
      <c r="EK350" s="9"/>
      <c r="EL350" s="9"/>
      <c r="EM350" s="9"/>
      <c r="EN350" s="9"/>
      <c r="EO350" s="9"/>
      <c r="EP350" s="9"/>
      <c r="EQ350" s="9"/>
      <c r="ER350" s="9"/>
      <c r="ES350" s="9"/>
      <c r="ET350" s="9"/>
      <c r="EU350" s="9"/>
      <c r="EV350" s="9"/>
      <c r="EW350" s="9"/>
      <c r="EX350" s="9"/>
      <c r="EY350" s="9"/>
      <c r="EZ350" s="9"/>
      <c r="FA350" s="9"/>
      <c r="FB350" s="9"/>
      <c r="FC350" s="9"/>
      <c r="FD350" s="9"/>
      <c r="FE350" s="9"/>
      <c r="FF350" s="9"/>
      <c r="FG350" s="9"/>
      <c r="FH350" s="9"/>
      <c r="FI350" s="9"/>
      <c r="FJ350" s="9"/>
    </row>
    <row r="351" spans="3:166" x14ac:dyDescent="0.2"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  <c r="EF351" s="9"/>
      <c r="EG351" s="9"/>
      <c r="EH351" s="9"/>
      <c r="EI351" s="9"/>
      <c r="EJ351" s="9"/>
      <c r="EK351" s="9"/>
      <c r="EL351" s="9"/>
      <c r="EM351" s="9"/>
      <c r="EN351" s="9"/>
      <c r="EO351" s="9"/>
      <c r="EP351" s="9"/>
      <c r="EQ351" s="9"/>
      <c r="ER351" s="9"/>
      <c r="ES351" s="9"/>
      <c r="ET351" s="9"/>
      <c r="EU351" s="9"/>
      <c r="EV351" s="9"/>
      <c r="EW351" s="9"/>
      <c r="EX351" s="9"/>
      <c r="EY351" s="9"/>
      <c r="EZ351" s="9"/>
      <c r="FA351" s="9"/>
      <c r="FB351" s="9"/>
      <c r="FC351" s="9"/>
      <c r="FD351" s="9"/>
      <c r="FE351" s="9"/>
      <c r="FF351" s="9"/>
      <c r="FG351" s="9"/>
      <c r="FH351" s="9"/>
      <c r="FI351" s="9"/>
      <c r="FJ351" s="9"/>
    </row>
    <row r="352" spans="3:166" x14ac:dyDescent="0.2"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  <c r="EF352" s="9"/>
      <c r="EG352" s="9"/>
      <c r="EH352" s="9"/>
      <c r="EI352" s="9"/>
      <c r="EJ352" s="9"/>
      <c r="EK352" s="9"/>
      <c r="EL352" s="9"/>
      <c r="EM352" s="9"/>
      <c r="EN352" s="9"/>
      <c r="EO352" s="9"/>
      <c r="EP352" s="9"/>
      <c r="EQ352" s="9"/>
      <c r="ER352" s="9"/>
      <c r="ES352" s="9"/>
      <c r="ET352" s="9"/>
      <c r="EU352" s="9"/>
      <c r="EV352" s="9"/>
      <c r="EW352" s="9"/>
      <c r="EX352" s="9"/>
      <c r="EY352" s="9"/>
      <c r="EZ352" s="9"/>
      <c r="FA352" s="9"/>
      <c r="FB352" s="9"/>
      <c r="FC352" s="9"/>
      <c r="FD352" s="9"/>
      <c r="FE352" s="9"/>
      <c r="FF352" s="9"/>
      <c r="FG352" s="9"/>
      <c r="FH352" s="9"/>
      <c r="FI352" s="9"/>
      <c r="FJ352" s="9"/>
    </row>
    <row r="353" spans="3:166" x14ac:dyDescent="0.2"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  <c r="EF353" s="9"/>
      <c r="EG353" s="9"/>
      <c r="EH353" s="9"/>
      <c r="EI353" s="9"/>
      <c r="EJ353" s="9"/>
      <c r="EK353" s="9"/>
      <c r="EL353" s="9"/>
      <c r="EM353" s="9"/>
      <c r="EN353" s="9"/>
      <c r="EO353" s="9"/>
      <c r="EP353" s="9"/>
      <c r="EQ353" s="9"/>
      <c r="ER353" s="9"/>
      <c r="ES353" s="9"/>
      <c r="ET353" s="9"/>
      <c r="EU353" s="9"/>
      <c r="EV353" s="9"/>
      <c r="EW353" s="9"/>
      <c r="EX353" s="9"/>
      <c r="EY353" s="9"/>
      <c r="EZ353" s="9"/>
      <c r="FA353" s="9"/>
      <c r="FB353" s="9"/>
      <c r="FC353" s="9"/>
      <c r="FD353" s="9"/>
      <c r="FE353" s="9"/>
      <c r="FF353" s="9"/>
      <c r="FG353" s="9"/>
      <c r="FH353" s="9"/>
      <c r="FI353" s="9"/>
      <c r="FJ353" s="9"/>
    </row>
    <row r="354" spans="3:166" x14ac:dyDescent="0.2"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  <c r="EF354" s="9"/>
      <c r="EG354" s="9"/>
      <c r="EH354" s="9"/>
      <c r="EI354" s="9"/>
      <c r="EJ354" s="9"/>
      <c r="EK354" s="9"/>
      <c r="EL354" s="9"/>
      <c r="EM354" s="9"/>
      <c r="EN354" s="9"/>
      <c r="EO354" s="9"/>
      <c r="EP354" s="9"/>
      <c r="EQ354" s="9"/>
      <c r="ER354" s="9"/>
      <c r="ES354" s="9"/>
      <c r="ET354" s="9"/>
      <c r="EU354" s="9"/>
      <c r="EV354" s="9"/>
      <c r="EW354" s="9"/>
      <c r="EX354" s="9"/>
      <c r="EY354" s="9"/>
      <c r="EZ354" s="9"/>
      <c r="FA354" s="9"/>
      <c r="FB354" s="9"/>
      <c r="FC354" s="9"/>
      <c r="FD354" s="9"/>
      <c r="FE354" s="9"/>
      <c r="FF354" s="9"/>
      <c r="FG354" s="9"/>
      <c r="FH354" s="9"/>
      <c r="FI354" s="9"/>
      <c r="FJ354" s="9"/>
    </row>
    <row r="355" spans="3:166" x14ac:dyDescent="0.2"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  <c r="EF355" s="9"/>
      <c r="EG355" s="9"/>
      <c r="EH355" s="9"/>
      <c r="EI355" s="9"/>
      <c r="EJ355" s="9"/>
      <c r="EK355" s="9"/>
      <c r="EL355" s="9"/>
      <c r="EM355" s="9"/>
      <c r="EN355" s="9"/>
      <c r="EO355" s="9"/>
      <c r="EP355" s="9"/>
      <c r="EQ355" s="9"/>
      <c r="ER355" s="9"/>
      <c r="ES355" s="9"/>
      <c r="ET355" s="9"/>
      <c r="EU355" s="9"/>
      <c r="EV355" s="9"/>
      <c r="EW355" s="9"/>
      <c r="EX355" s="9"/>
      <c r="EY355" s="9"/>
      <c r="EZ355" s="9"/>
      <c r="FA355" s="9"/>
      <c r="FB355" s="9"/>
      <c r="FC355" s="9"/>
      <c r="FD355" s="9"/>
      <c r="FE355" s="9"/>
      <c r="FF355" s="9"/>
      <c r="FG355" s="9"/>
      <c r="FH355" s="9"/>
      <c r="FI355" s="9"/>
      <c r="FJ355" s="9"/>
    </row>
    <row r="356" spans="3:166" x14ac:dyDescent="0.2"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  <c r="EF356" s="9"/>
      <c r="EG356" s="9"/>
      <c r="EH356" s="9"/>
      <c r="EI356" s="9"/>
      <c r="EJ356" s="9"/>
      <c r="EK356" s="9"/>
      <c r="EL356" s="9"/>
      <c r="EM356" s="9"/>
      <c r="EN356" s="9"/>
      <c r="EO356" s="9"/>
      <c r="EP356" s="9"/>
      <c r="EQ356" s="9"/>
      <c r="ER356" s="9"/>
      <c r="ES356" s="9"/>
      <c r="ET356" s="9"/>
      <c r="EU356" s="9"/>
      <c r="EV356" s="9"/>
      <c r="EW356" s="9"/>
      <c r="EX356" s="9"/>
      <c r="EY356" s="9"/>
      <c r="EZ356" s="9"/>
      <c r="FA356" s="9"/>
      <c r="FB356" s="9"/>
      <c r="FC356" s="9"/>
      <c r="FD356" s="9"/>
      <c r="FE356" s="9"/>
      <c r="FF356" s="9"/>
      <c r="FG356" s="9"/>
      <c r="FH356" s="9"/>
      <c r="FI356" s="9"/>
      <c r="FJ356" s="9"/>
    </row>
    <row r="357" spans="3:166" x14ac:dyDescent="0.2"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  <c r="EF357" s="9"/>
      <c r="EG357" s="9"/>
      <c r="EH357" s="9"/>
      <c r="EI357" s="9"/>
      <c r="EJ357" s="9"/>
      <c r="EK357" s="9"/>
      <c r="EL357" s="9"/>
      <c r="EM357" s="9"/>
      <c r="EN357" s="9"/>
      <c r="EO357" s="9"/>
      <c r="EP357" s="9"/>
      <c r="EQ357" s="9"/>
      <c r="ER357" s="9"/>
      <c r="ES357" s="9"/>
      <c r="ET357" s="9"/>
      <c r="EU357" s="9"/>
      <c r="EV357" s="9"/>
      <c r="EW357" s="9"/>
      <c r="EX357" s="9"/>
      <c r="EY357" s="9"/>
      <c r="EZ357" s="9"/>
      <c r="FA357" s="9"/>
      <c r="FB357" s="9"/>
      <c r="FC357" s="9"/>
      <c r="FD357" s="9"/>
      <c r="FE357" s="9"/>
      <c r="FF357" s="9"/>
      <c r="FG357" s="9"/>
      <c r="FH357" s="9"/>
      <c r="FI357" s="9"/>
      <c r="FJ357" s="9"/>
    </row>
    <row r="358" spans="3:166" x14ac:dyDescent="0.2"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  <c r="EF358" s="9"/>
      <c r="EG358" s="9"/>
      <c r="EH358" s="9"/>
      <c r="EI358" s="9"/>
      <c r="EJ358" s="9"/>
      <c r="EK358" s="9"/>
      <c r="EL358" s="9"/>
      <c r="EM358" s="9"/>
      <c r="EN358" s="9"/>
      <c r="EO358" s="9"/>
      <c r="EP358" s="9"/>
      <c r="EQ358" s="9"/>
      <c r="ER358" s="9"/>
      <c r="ES358" s="9"/>
      <c r="ET358" s="9"/>
      <c r="EU358" s="9"/>
      <c r="EV358" s="9"/>
      <c r="EW358" s="9"/>
      <c r="EX358" s="9"/>
      <c r="EY358" s="9"/>
      <c r="EZ358" s="9"/>
      <c r="FA358" s="9"/>
      <c r="FB358" s="9"/>
      <c r="FC358" s="9"/>
      <c r="FD358" s="9"/>
      <c r="FE358" s="9"/>
      <c r="FF358" s="9"/>
      <c r="FG358" s="9"/>
      <c r="FH358" s="9"/>
      <c r="FI358" s="9"/>
      <c r="FJ358" s="9"/>
    </row>
    <row r="359" spans="3:166" x14ac:dyDescent="0.2"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  <c r="EF359" s="9"/>
      <c r="EG359" s="9"/>
      <c r="EH359" s="9"/>
      <c r="EI359" s="9"/>
      <c r="EJ359" s="9"/>
      <c r="EK359" s="9"/>
      <c r="EL359" s="9"/>
      <c r="EM359" s="9"/>
      <c r="EN359" s="9"/>
      <c r="EO359" s="9"/>
      <c r="EP359" s="9"/>
      <c r="EQ359" s="9"/>
      <c r="ER359" s="9"/>
      <c r="ES359" s="9"/>
      <c r="ET359" s="9"/>
      <c r="EU359" s="9"/>
      <c r="EV359" s="9"/>
      <c r="EW359" s="9"/>
      <c r="EX359" s="9"/>
      <c r="EY359" s="9"/>
      <c r="EZ359" s="9"/>
      <c r="FA359" s="9"/>
      <c r="FB359" s="9"/>
      <c r="FC359" s="9"/>
      <c r="FD359" s="9"/>
      <c r="FE359" s="9"/>
      <c r="FF359" s="9"/>
      <c r="FG359" s="9"/>
      <c r="FH359" s="9"/>
      <c r="FI359" s="9"/>
      <c r="FJ359" s="9"/>
    </row>
    <row r="360" spans="3:166" x14ac:dyDescent="0.2"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  <c r="EF360" s="9"/>
      <c r="EG360" s="9"/>
      <c r="EH360" s="9"/>
      <c r="EI360" s="9"/>
      <c r="EJ360" s="9"/>
      <c r="EK360" s="9"/>
      <c r="EL360" s="9"/>
      <c r="EM360" s="9"/>
      <c r="EN360" s="9"/>
      <c r="EO360" s="9"/>
      <c r="EP360" s="9"/>
      <c r="EQ360" s="9"/>
      <c r="ER360" s="9"/>
      <c r="ES360" s="9"/>
      <c r="ET360" s="9"/>
      <c r="EU360" s="9"/>
      <c r="EV360" s="9"/>
      <c r="EW360" s="9"/>
      <c r="EX360" s="9"/>
      <c r="EY360" s="9"/>
      <c r="EZ360" s="9"/>
      <c r="FA360" s="9"/>
      <c r="FB360" s="9"/>
      <c r="FC360" s="9"/>
      <c r="FD360" s="9"/>
      <c r="FE360" s="9"/>
      <c r="FF360" s="9"/>
      <c r="FG360" s="9"/>
      <c r="FH360" s="9"/>
      <c r="FI360" s="9"/>
      <c r="FJ360" s="9"/>
    </row>
    <row r="361" spans="3:166" x14ac:dyDescent="0.2"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  <c r="EF361" s="9"/>
      <c r="EG361" s="9"/>
      <c r="EH361" s="9"/>
      <c r="EI361" s="9"/>
      <c r="EJ361" s="9"/>
      <c r="EK361" s="9"/>
      <c r="EL361" s="9"/>
      <c r="EM361" s="9"/>
      <c r="EN361" s="9"/>
      <c r="EO361" s="9"/>
      <c r="EP361" s="9"/>
      <c r="EQ361" s="9"/>
      <c r="ER361" s="9"/>
      <c r="ES361" s="9"/>
      <c r="ET361" s="9"/>
      <c r="EU361" s="9"/>
      <c r="EV361" s="9"/>
      <c r="EW361" s="9"/>
      <c r="EX361" s="9"/>
      <c r="EY361" s="9"/>
      <c r="EZ361" s="9"/>
      <c r="FA361" s="9"/>
      <c r="FB361" s="9"/>
      <c r="FC361" s="9"/>
      <c r="FD361" s="9"/>
      <c r="FE361" s="9"/>
      <c r="FF361" s="9"/>
      <c r="FG361" s="9"/>
      <c r="FH361" s="9"/>
      <c r="FI361" s="9"/>
      <c r="FJ361" s="9"/>
    </row>
    <row r="362" spans="3:166" x14ac:dyDescent="0.2"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  <c r="EF362" s="9"/>
      <c r="EG362" s="9"/>
      <c r="EH362" s="9"/>
      <c r="EI362" s="9"/>
      <c r="EJ362" s="9"/>
      <c r="EK362" s="9"/>
      <c r="EL362" s="9"/>
      <c r="EM362" s="9"/>
      <c r="EN362" s="9"/>
      <c r="EO362" s="9"/>
      <c r="EP362" s="9"/>
      <c r="EQ362" s="9"/>
      <c r="ER362" s="9"/>
      <c r="ES362" s="9"/>
      <c r="ET362" s="9"/>
      <c r="EU362" s="9"/>
      <c r="EV362" s="9"/>
      <c r="EW362" s="9"/>
      <c r="EX362" s="9"/>
      <c r="EY362" s="9"/>
      <c r="EZ362" s="9"/>
      <c r="FA362" s="9"/>
      <c r="FB362" s="9"/>
      <c r="FC362" s="9"/>
      <c r="FD362" s="9"/>
      <c r="FE362" s="9"/>
      <c r="FF362" s="9"/>
      <c r="FG362" s="9"/>
      <c r="FH362" s="9"/>
      <c r="FI362" s="9"/>
      <c r="FJ362" s="9"/>
    </row>
    <row r="363" spans="3:166" x14ac:dyDescent="0.2"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  <c r="EF363" s="9"/>
      <c r="EG363" s="9"/>
      <c r="EH363" s="9"/>
      <c r="EI363" s="9"/>
      <c r="EJ363" s="9"/>
      <c r="EK363" s="9"/>
      <c r="EL363" s="9"/>
      <c r="EM363" s="9"/>
      <c r="EN363" s="9"/>
      <c r="EO363" s="9"/>
      <c r="EP363" s="9"/>
      <c r="EQ363" s="9"/>
      <c r="ER363" s="9"/>
      <c r="ES363" s="9"/>
      <c r="ET363" s="9"/>
      <c r="EU363" s="9"/>
      <c r="EV363" s="9"/>
      <c r="EW363" s="9"/>
      <c r="EX363" s="9"/>
      <c r="EY363" s="9"/>
      <c r="EZ363" s="9"/>
      <c r="FA363" s="9"/>
      <c r="FB363" s="9"/>
      <c r="FC363" s="9"/>
      <c r="FD363" s="9"/>
      <c r="FE363" s="9"/>
      <c r="FF363" s="9"/>
      <c r="FG363" s="9"/>
      <c r="FH363" s="9"/>
      <c r="FI363" s="9"/>
      <c r="FJ363" s="9"/>
    </row>
    <row r="364" spans="3:166" x14ac:dyDescent="0.2"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  <c r="EF364" s="9"/>
      <c r="EG364" s="9"/>
      <c r="EH364" s="9"/>
      <c r="EI364" s="9"/>
      <c r="EJ364" s="9"/>
      <c r="EK364" s="9"/>
      <c r="EL364" s="9"/>
      <c r="EM364" s="9"/>
      <c r="EN364" s="9"/>
      <c r="EO364" s="9"/>
      <c r="EP364" s="9"/>
      <c r="EQ364" s="9"/>
      <c r="ER364" s="9"/>
      <c r="ES364" s="9"/>
      <c r="ET364" s="9"/>
      <c r="EU364" s="9"/>
      <c r="EV364" s="9"/>
      <c r="EW364" s="9"/>
      <c r="EX364" s="9"/>
      <c r="EY364" s="9"/>
      <c r="EZ364" s="9"/>
      <c r="FA364" s="9"/>
      <c r="FB364" s="9"/>
      <c r="FC364" s="9"/>
      <c r="FD364" s="9"/>
      <c r="FE364" s="9"/>
      <c r="FF364" s="9"/>
      <c r="FG364" s="9"/>
      <c r="FH364" s="9"/>
      <c r="FI364" s="9"/>
      <c r="FJ364" s="9"/>
    </row>
    <row r="365" spans="3:166" x14ac:dyDescent="0.2"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  <c r="EF365" s="9"/>
      <c r="EG365" s="9"/>
      <c r="EH365" s="9"/>
      <c r="EI365" s="9"/>
      <c r="EJ365" s="9"/>
      <c r="EK365" s="9"/>
      <c r="EL365" s="9"/>
      <c r="EM365" s="9"/>
      <c r="EN365" s="9"/>
      <c r="EO365" s="9"/>
      <c r="EP365" s="9"/>
      <c r="EQ365" s="9"/>
      <c r="ER365" s="9"/>
      <c r="ES365" s="9"/>
      <c r="ET365" s="9"/>
      <c r="EU365" s="9"/>
      <c r="EV365" s="9"/>
      <c r="EW365" s="9"/>
      <c r="EX365" s="9"/>
      <c r="EY365" s="9"/>
      <c r="EZ365" s="9"/>
      <c r="FA365" s="9"/>
      <c r="FB365" s="9"/>
      <c r="FC365" s="9"/>
      <c r="FD365" s="9"/>
      <c r="FE365" s="9"/>
      <c r="FF365" s="9"/>
      <c r="FG365" s="9"/>
      <c r="FH365" s="9"/>
      <c r="FI365" s="9"/>
      <c r="FJ365" s="9"/>
    </row>
    <row r="366" spans="3:166" x14ac:dyDescent="0.2"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  <c r="EC366" s="9"/>
      <c r="ED366" s="9"/>
      <c r="EE366" s="9"/>
      <c r="EF366" s="9"/>
      <c r="EG366" s="9"/>
      <c r="EH366" s="9"/>
      <c r="EI366" s="9"/>
      <c r="EJ366" s="9"/>
      <c r="EK366" s="9"/>
      <c r="EL366" s="9"/>
      <c r="EM366" s="9"/>
      <c r="EN366" s="9"/>
      <c r="EO366" s="9"/>
      <c r="EP366" s="9"/>
      <c r="EQ366" s="9"/>
      <c r="ER366" s="9"/>
      <c r="ES366" s="9"/>
      <c r="ET366" s="9"/>
      <c r="EU366" s="9"/>
      <c r="EV366" s="9"/>
      <c r="EW366" s="9"/>
      <c r="EX366" s="9"/>
      <c r="EY366" s="9"/>
      <c r="EZ366" s="9"/>
      <c r="FA366" s="9"/>
      <c r="FB366" s="9"/>
      <c r="FC366" s="9"/>
      <c r="FD366" s="9"/>
      <c r="FE366" s="9"/>
      <c r="FF366" s="9"/>
      <c r="FG366" s="9"/>
      <c r="FH366" s="9"/>
      <c r="FI366" s="9"/>
      <c r="FJ366" s="9"/>
    </row>
    <row r="367" spans="3:166" x14ac:dyDescent="0.2"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  <c r="EF367" s="9"/>
      <c r="EG367" s="9"/>
      <c r="EH367" s="9"/>
      <c r="EI367" s="9"/>
      <c r="EJ367" s="9"/>
      <c r="EK367" s="9"/>
      <c r="EL367" s="9"/>
      <c r="EM367" s="9"/>
      <c r="EN367" s="9"/>
      <c r="EO367" s="9"/>
      <c r="EP367" s="9"/>
      <c r="EQ367" s="9"/>
      <c r="ER367" s="9"/>
      <c r="ES367" s="9"/>
      <c r="ET367" s="9"/>
      <c r="EU367" s="9"/>
      <c r="EV367" s="9"/>
      <c r="EW367" s="9"/>
      <c r="EX367" s="9"/>
      <c r="EY367" s="9"/>
      <c r="EZ367" s="9"/>
      <c r="FA367" s="9"/>
      <c r="FB367" s="9"/>
      <c r="FC367" s="9"/>
      <c r="FD367" s="9"/>
      <c r="FE367" s="9"/>
      <c r="FF367" s="9"/>
      <c r="FG367" s="9"/>
      <c r="FH367" s="9"/>
      <c r="FI367" s="9"/>
      <c r="FJ367" s="9"/>
    </row>
    <row r="368" spans="3:166" x14ac:dyDescent="0.2"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  <c r="EF368" s="9"/>
      <c r="EG368" s="9"/>
      <c r="EH368" s="9"/>
      <c r="EI368" s="9"/>
      <c r="EJ368" s="9"/>
      <c r="EK368" s="9"/>
      <c r="EL368" s="9"/>
      <c r="EM368" s="9"/>
      <c r="EN368" s="9"/>
      <c r="EO368" s="9"/>
      <c r="EP368" s="9"/>
      <c r="EQ368" s="9"/>
      <c r="ER368" s="9"/>
      <c r="ES368" s="9"/>
      <c r="ET368" s="9"/>
      <c r="EU368" s="9"/>
      <c r="EV368" s="9"/>
      <c r="EW368" s="9"/>
      <c r="EX368" s="9"/>
      <c r="EY368" s="9"/>
      <c r="EZ368" s="9"/>
      <c r="FA368" s="9"/>
      <c r="FB368" s="9"/>
      <c r="FC368" s="9"/>
      <c r="FD368" s="9"/>
      <c r="FE368" s="9"/>
      <c r="FF368" s="9"/>
      <c r="FG368" s="9"/>
      <c r="FH368" s="9"/>
      <c r="FI368" s="9"/>
      <c r="FJ368" s="9"/>
    </row>
    <row r="369" spans="3:166" x14ac:dyDescent="0.2"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  <c r="EF369" s="9"/>
      <c r="EG369" s="9"/>
      <c r="EH369" s="9"/>
      <c r="EI369" s="9"/>
      <c r="EJ369" s="9"/>
      <c r="EK369" s="9"/>
      <c r="EL369" s="9"/>
      <c r="EM369" s="9"/>
      <c r="EN369" s="9"/>
      <c r="EO369" s="9"/>
      <c r="EP369" s="9"/>
      <c r="EQ369" s="9"/>
      <c r="ER369" s="9"/>
      <c r="ES369" s="9"/>
      <c r="ET369" s="9"/>
      <c r="EU369" s="9"/>
      <c r="EV369" s="9"/>
      <c r="EW369" s="9"/>
      <c r="EX369" s="9"/>
      <c r="EY369" s="9"/>
      <c r="EZ369" s="9"/>
      <c r="FA369" s="9"/>
      <c r="FB369" s="9"/>
      <c r="FC369" s="9"/>
      <c r="FD369" s="9"/>
      <c r="FE369" s="9"/>
      <c r="FF369" s="9"/>
      <c r="FG369" s="9"/>
      <c r="FH369" s="9"/>
      <c r="FI369" s="9"/>
      <c r="FJ369" s="9"/>
    </row>
    <row r="370" spans="3:166" x14ac:dyDescent="0.2"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  <c r="EF370" s="9"/>
      <c r="EG370" s="9"/>
      <c r="EH370" s="9"/>
      <c r="EI370" s="9"/>
      <c r="EJ370" s="9"/>
      <c r="EK370" s="9"/>
      <c r="EL370" s="9"/>
      <c r="EM370" s="9"/>
      <c r="EN370" s="9"/>
      <c r="EO370" s="9"/>
      <c r="EP370" s="9"/>
      <c r="EQ370" s="9"/>
      <c r="ER370" s="9"/>
      <c r="ES370" s="9"/>
      <c r="ET370" s="9"/>
      <c r="EU370" s="9"/>
      <c r="EV370" s="9"/>
      <c r="EW370" s="9"/>
      <c r="EX370" s="9"/>
      <c r="EY370" s="9"/>
      <c r="EZ370" s="9"/>
      <c r="FA370" s="9"/>
      <c r="FB370" s="9"/>
      <c r="FC370" s="9"/>
      <c r="FD370" s="9"/>
      <c r="FE370" s="9"/>
      <c r="FF370" s="9"/>
      <c r="FG370" s="9"/>
      <c r="FH370" s="9"/>
      <c r="FI370" s="9"/>
      <c r="FJ370" s="9"/>
    </row>
    <row r="371" spans="3:166" x14ac:dyDescent="0.2"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  <c r="EF371" s="9"/>
      <c r="EG371" s="9"/>
      <c r="EH371" s="9"/>
      <c r="EI371" s="9"/>
      <c r="EJ371" s="9"/>
      <c r="EK371" s="9"/>
      <c r="EL371" s="9"/>
      <c r="EM371" s="9"/>
      <c r="EN371" s="9"/>
      <c r="EO371" s="9"/>
      <c r="EP371" s="9"/>
      <c r="EQ371" s="9"/>
      <c r="ER371" s="9"/>
      <c r="ES371" s="9"/>
      <c r="ET371" s="9"/>
      <c r="EU371" s="9"/>
      <c r="EV371" s="9"/>
      <c r="EW371" s="9"/>
      <c r="EX371" s="9"/>
      <c r="EY371" s="9"/>
      <c r="EZ371" s="9"/>
      <c r="FA371" s="9"/>
      <c r="FB371" s="9"/>
      <c r="FC371" s="9"/>
      <c r="FD371" s="9"/>
      <c r="FE371" s="9"/>
      <c r="FF371" s="9"/>
      <c r="FG371" s="9"/>
      <c r="FH371" s="9"/>
      <c r="FI371" s="9"/>
      <c r="FJ371" s="9"/>
    </row>
    <row r="372" spans="3:166" x14ac:dyDescent="0.2"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  <c r="EF372" s="9"/>
      <c r="EG372" s="9"/>
      <c r="EH372" s="9"/>
      <c r="EI372" s="9"/>
      <c r="EJ372" s="9"/>
      <c r="EK372" s="9"/>
      <c r="EL372" s="9"/>
      <c r="EM372" s="9"/>
      <c r="EN372" s="9"/>
      <c r="EO372" s="9"/>
      <c r="EP372" s="9"/>
      <c r="EQ372" s="9"/>
      <c r="ER372" s="9"/>
      <c r="ES372" s="9"/>
      <c r="ET372" s="9"/>
      <c r="EU372" s="9"/>
      <c r="EV372" s="9"/>
      <c r="EW372" s="9"/>
      <c r="EX372" s="9"/>
      <c r="EY372" s="9"/>
      <c r="EZ372" s="9"/>
      <c r="FA372" s="9"/>
      <c r="FB372" s="9"/>
      <c r="FC372" s="9"/>
      <c r="FD372" s="9"/>
      <c r="FE372" s="9"/>
      <c r="FF372" s="9"/>
      <c r="FG372" s="9"/>
      <c r="FH372" s="9"/>
      <c r="FI372" s="9"/>
      <c r="FJ372" s="9"/>
    </row>
    <row r="373" spans="3:166" x14ac:dyDescent="0.2"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  <c r="EF373" s="9"/>
      <c r="EG373" s="9"/>
      <c r="EH373" s="9"/>
      <c r="EI373" s="9"/>
      <c r="EJ373" s="9"/>
      <c r="EK373" s="9"/>
      <c r="EL373" s="9"/>
      <c r="EM373" s="9"/>
      <c r="EN373" s="9"/>
      <c r="EO373" s="9"/>
      <c r="EP373" s="9"/>
      <c r="EQ373" s="9"/>
      <c r="ER373" s="9"/>
      <c r="ES373" s="9"/>
      <c r="ET373" s="9"/>
      <c r="EU373" s="9"/>
      <c r="EV373" s="9"/>
      <c r="EW373" s="9"/>
      <c r="EX373" s="9"/>
      <c r="EY373" s="9"/>
      <c r="EZ373" s="9"/>
      <c r="FA373" s="9"/>
      <c r="FB373" s="9"/>
      <c r="FC373" s="9"/>
      <c r="FD373" s="9"/>
      <c r="FE373" s="9"/>
      <c r="FF373" s="9"/>
      <c r="FG373" s="9"/>
      <c r="FH373" s="9"/>
      <c r="FI373" s="9"/>
      <c r="FJ373" s="9"/>
    </row>
    <row r="374" spans="3:166" x14ac:dyDescent="0.2"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  <c r="EF374" s="9"/>
      <c r="EG374" s="9"/>
      <c r="EH374" s="9"/>
      <c r="EI374" s="9"/>
      <c r="EJ374" s="9"/>
      <c r="EK374" s="9"/>
      <c r="EL374" s="9"/>
      <c r="EM374" s="9"/>
      <c r="EN374" s="9"/>
      <c r="EO374" s="9"/>
      <c r="EP374" s="9"/>
      <c r="EQ374" s="9"/>
      <c r="ER374" s="9"/>
      <c r="ES374" s="9"/>
      <c r="ET374" s="9"/>
      <c r="EU374" s="9"/>
      <c r="EV374" s="9"/>
      <c r="EW374" s="9"/>
      <c r="EX374" s="9"/>
      <c r="EY374" s="9"/>
      <c r="EZ374" s="9"/>
      <c r="FA374" s="9"/>
      <c r="FB374" s="9"/>
      <c r="FC374" s="9"/>
      <c r="FD374" s="9"/>
      <c r="FE374" s="9"/>
      <c r="FF374" s="9"/>
      <c r="FG374" s="9"/>
      <c r="FH374" s="9"/>
      <c r="FI374" s="9"/>
      <c r="FJ374" s="9"/>
    </row>
    <row r="375" spans="3:166" x14ac:dyDescent="0.2"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  <c r="EF375" s="9"/>
      <c r="EG375" s="9"/>
      <c r="EH375" s="9"/>
      <c r="EI375" s="9"/>
      <c r="EJ375" s="9"/>
      <c r="EK375" s="9"/>
      <c r="EL375" s="9"/>
      <c r="EM375" s="9"/>
      <c r="EN375" s="9"/>
      <c r="EO375" s="9"/>
      <c r="EP375" s="9"/>
      <c r="EQ375" s="9"/>
      <c r="ER375" s="9"/>
      <c r="ES375" s="9"/>
      <c r="ET375" s="9"/>
      <c r="EU375" s="9"/>
      <c r="EV375" s="9"/>
      <c r="EW375" s="9"/>
      <c r="EX375" s="9"/>
      <c r="EY375" s="9"/>
      <c r="EZ375" s="9"/>
      <c r="FA375" s="9"/>
      <c r="FB375" s="9"/>
      <c r="FC375" s="9"/>
      <c r="FD375" s="9"/>
      <c r="FE375" s="9"/>
      <c r="FF375" s="9"/>
      <c r="FG375" s="9"/>
      <c r="FH375" s="9"/>
      <c r="FI375" s="9"/>
      <c r="FJ375" s="9"/>
    </row>
    <row r="376" spans="3:166" x14ac:dyDescent="0.2"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  <c r="EF376" s="9"/>
      <c r="EG376" s="9"/>
      <c r="EH376" s="9"/>
      <c r="EI376" s="9"/>
      <c r="EJ376" s="9"/>
      <c r="EK376" s="9"/>
      <c r="EL376" s="9"/>
      <c r="EM376" s="9"/>
      <c r="EN376" s="9"/>
      <c r="EO376" s="9"/>
      <c r="EP376" s="9"/>
      <c r="EQ376" s="9"/>
      <c r="ER376" s="9"/>
      <c r="ES376" s="9"/>
      <c r="ET376" s="9"/>
      <c r="EU376" s="9"/>
      <c r="EV376" s="9"/>
      <c r="EW376" s="9"/>
      <c r="EX376" s="9"/>
      <c r="EY376" s="9"/>
      <c r="EZ376" s="9"/>
      <c r="FA376" s="9"/>
      <c r="FB376" s="9"/>
      <c r="FC376" s="9"/>
      <c r="FD376" s="9"/>
      <c r="FE376" s="9"/>
      <c r="FF376" s="9"/>
      <c r="FG376" s="9"/>
      <c r="FH376" s="9"/>
      <c r="FI376" s="9"/>
      <c r="FJ376" s="9"/>
    </row>
    <row r="377" spans="3:166" x14ac:dyDescent="0.2"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  <c r="EF377" s="9"/>
      <c r="EG377" s="9"/>
      <c r="EH377" s="9"/>
      <c r="EI377" s="9"/>
      <c r="EJ377" s="9"/>
      <c r="EK377" s="9"/>
      <c r="EL377" s="9"/>
      <c r="EM377" s="9"/>
      <c r="EN377" s="9"/>
      <c r="EO377" s="9"/>
      <c r="EP377" s="9"/>
      <c r="EQ377" s="9"/>
      <c r="ER377" s="9"/>
      <c r="ES377" s="9"/>
      <c r="ET377" s="9"/>
      <c r="EU377" s="9"/>
      <c r="EV377" s="9"/>
      <c r="EW377" s="9"/>
      <c r="EX377" s="9"/>
      <c r="EY377" s="9"/>
      <c r="EZ377" s="9"/>
      <c r="FA377" s="9"/>
      <c r="FB377" s="9"/>
      <c r="FC377" s="9"/>
      <c r="FD377" s="9"/>
      <c r="FE377" s="9"/>
      <c r="FF377" s="9"/>
      <c r="FG377" s="9"/>
      <c r="FH377" s="9"/>
      <c r="FI377" s="9"/>
      <c r="FJ377" s="9"/>
    </row>
    <row r="378" spans="3:166" x14ac:dyDescent="0.2"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  <c r="EF378" s="9"/>
      <c r="EG378" s="9"/>
      <c r="EH378" s="9"/>
      <c r="EI378" s="9"/>
      <c r="EJ378" s="9"/>
      <c r="EK378" s="9"/>
      <c r="EL378" s="9"/>
      <c r="EM378" s="9"/>
      <c r="EN378" s="9"/>
      <c r="EO378" s="9"/>
      <c r="EP378" s="9"/>
      <c r="EQ378" s="9"/>
      <c r="ER378" s="9"/>
      <c r="ES378" s="9"/>
      <c r="ET378" s="9"/>
      <c r="EU378" s="9"/>
      <c r="EV378" s="9"/>
      <c r="EW378" s="9"/>
      <c r="EX378" s="9"/>
      <c r="EY378" s="9"/>
      <c r="EZ378" s="9"/>
      <c r="FA378" s="9"/>
      <c r="FB378" s="9"/>
      <c r="FC378" s="9"/>
      <c r="FD378" s="9"/>
      <c r="FE378" s="9"/>
      <c r="FF378" s="9"/>
      <c r="FG378" s="9"/>
      <c r="FH378" s="9"/>
      <c r="FI378" s="9"/>
      <c r="FJ378" s="9"/>
    </row>
    <row r="379" spans="3:166" x14ac:dyDescent="0.2"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  <c r="EF379" s="9"/>
      <c r="EG379" s="9"/>
      <c r="EH379" s="9"/>
      <c r="EI379" s="9"/>
      <c r="EJ379" s="9"/>
      <c r="EK379" s="9"/>
      <c r="EL379" s="9"/>
      <c r="EM379" s="9"/>
      <c r="EN379" s="9"/>
      <c r="EO379" s="9"/>
      <c r="EP379" s="9"/>
      <c r="EQ379" s="9"/>
      <c r="ER379" s="9"/>
      <c r="ES379" s="9"/>
      <c r="ET379" s="9"/>
      <c r="EU379" s="9"/>
      <c r="EV379" s="9"/>
      <c r="EW379" s="9"/>
      <c r="EX379" s="9"/>
      <c r="EY379" s="9"/>
      <c r="EZ379" s="9"/>
      <c r="FA379" s="9"/>
      <c r="FB379" s="9"/>
      <c r="FC379" s="9"/>
      <c r="FD379" s="9"/>
      <c r="FE379" s="9"/>
      <c r="FF379" s="9"/>
      <c r="FG379" s="9"/>
      <c r="FH379" s="9"/>
      <c r="FI379" s="9"/>
      <c r="FJ379" s="9"/>
    </row>
    <row r="380" spans="3:166" x14ac:dyDescent="0.2"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  <c r="EF380" s="9"/>
      <c r="EG380" s="9"/>
      <c r="EH380" s="9"/>
      <c r="EI380" s="9"/>
      <c r="EJ380" s="9"/>
      <c r="EK380" s="9"/>
      <c r="EL380" s="9"/>
      <c r="EM380" s="9"/>
      <c r="EN380" s="9"/>
      <c r="EO380" s="9"/>
      <c r="EP380" s="9"/>
      <c r="EQ380" s="9"/>
      <c r="ER380" s="9"/>
      <c r="ES380" s="9"/>
      <c r="ET380" s="9"/>
      <c r="EU380" s="9"/>
      <c r="EV380" s="9"/>
      <c r="EW380" s="9"/>
      <c r="EX380" s="9"/>
      <c r="EY380" s="9"/>
      <c r="EZ380" s="9"/>
      <c r="FA380" s="9"/>
      <c r="FB380" s="9"/>
      <c r="FC380" s="9"/>
      <c r="FD380" s="9"/>
      <c r="FE380" s="9"/>
      <c r="FF380" s="9"/>
      <c r="FG380" s="9"/>
      <c r="FH380" s="9"/>
      <c r="FI380" s="9"/>
      <c r="FJ380" s="9"/>
    </row>
    <row r="381" spans="3:166" x14ac:dyDescent="0.2"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  <c r="EF381" s="9"/>
      <c r="EG381" s="9"/>
      <c r="EH381" s="9"/>
      <c r="EI381" s="9"/>
      <c r="EJ381" s="9"/>
      <c r="EK381" s="9"/>
      <c r="EL381" s="9"/>
      <c r="EM381" s="9"/>
      <c r="EN381" s="9"/>
      <c r="EO381" s="9"/>
      <c r="EP381" s="9"/>
      <c r="EQ381" s="9"/>
      <c r="ER381" s="9"/>
      <c r="ES381" s="9"/>
      <c r="ET381" s="9"/>
      <c r="EU381" s="9"/>
      <c r="EV381" s="9"/>
      <c r="EW381" s="9"/>
      <c r="EX381" s="9"/>
      <c r="EY381" s="9"/>
      <c r="EZ381" s="9"/>
      <c r="FA381" s="9"/>
      <c r="FB381" s="9"/>
      <c r="FC381" s="9"/>
      <c r="FD381" s="9"/>
      <c r="FE381" s="9"/>
      <c r="FF381" s="9"/>
      <c r="FG381" s="9"/>
      <c r="FH381" s="9"/>
      <c r="FI381" s="9"/>
      <c r="FJ381" s="9"/>
    </row>
    <row r="382" spans="3:166" x14ac:dyDescent="0.2"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  <c r="EF382" s="9"/>
      <c r="EG382" s="9"/>
      <c r="EH382" s="9"/>
      <c r="EI382" s="9"/>
      <c r="EJ382" s="9"/>
      <c r="EK382" s="9"/>
      <c r="EL382" s="9"/>
      <c r="EM382" s="9"/>
      <c r="EN382" s="9"/>
      <c r="EO382" s="9"/>
      <c r="EP382" s="9"/>
      <c r="EQ382" s="9"/>
      <c r="ER382" s="9"/>
      <c r="ES382" s="9"/>
      <c r="ET382" s="9"/>
      <c r="EU382" s="9"/>
      <c r="EV382" s="9"/>
      <c r="EW382" s="9"/>
      <c r="EX382" s="9"/>
      <c r="EY382" s="9"/>
      <c r="EZ382" s="9"/>
      <c r="FA382" s="9"/>
      <c r="FB382" s="9"/>
      <c r="FC382" s="9"/>
      <c r="FD382" s="9"/>
      <c r="FE382" s="9"/>
      <c r="FF382" s="9"/>
      <c r="FG382" s="9"/>
      <c r="FH382" s="9"/>
      <c r="FI382" s="9"/>
      <c r="FJ382" s="9"/>
    </row>
    <row r="383" spans="3:166" x14ac:dyDescent="0.2"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  <c r="EF383" s="9"/>
      <c r="EG383" s="9"/>
      <c r="EH383" s="9"/>
      <c r="EI383" s="9"/>
      <c r="EJ383" s="9"/>
      <c r="EK383" s="9"/>
      <c r="EL383" s="9"/>
      <c r="EM383" s="9"/>
      <c r="EN383" s="9"/>
      <c r="EO383" s="9"/>
      <c r="EP383" s="9"/>
      <c r="EQ383" s="9"/>
      <c r="ER383" s="9"/>
      <c r="ES383" s="9"/>
      <c r="ET383" s="9"/>
      <c r="EU383" s="9"/>
      <c r="EV383" s="9"/>
      <c r="EW383" s="9"/>
      <c r="EX383" s="9"/>
      <c r="EY383" s="9"/>
      <c r="EZ383" s="9"/>
      <c r="FA383" s="9"/>
      <c r="FB383" s="9"/>
      <c r="FC383" s="9"/>
      <c r="FD383" s="9"/>
      <c r="FE383" s="9"/>
      <c r="FF383" s="9"/>
      <c r="FG383" s="9"/>
      <c r="FH383" s="9"/>
      <c r="FI383" s="9"/>
      <c r="FJ383" s="9"/>
    </row>
    <row r="384" spans="3:166" x14ac:dyDescent="0.2"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  <c r="EF384" s="9"/>
      <c r="EG384" s="9"/>
      <c r="EH384" s="9"/>
      <c r="EI384" s="9"/>
      <c r="EJ384" s="9"/>
      <c r="EK384" s="9"/>
      <c r="EL384" s="9"/>
      <c r="EM384" s="9"/>
      <c r="EN384" s="9"/>
      <c r="EO384" s="9"/>
      <c r="EP384" s="9"/>
      <c r="EQ384" s="9"/>
      <c r="ER384" s="9"/>
      <c r="ES384" s="9"/>
      <c r="ET384" s="9"/>
      <c r="EU384" s="9"/>
      <c r="EV384" s="9"/>
      <c r="EW384" s="9"/>
      <c r="EX384" s="9"/>
      <c r="EY384" s="9"/>
      <c r="EZ384" s="9"/>
      <c r="FA384" s="9"/>
      <c r="FB384" s="9"/>
      <c r="FC384" s="9"/>
      <c r="FD384" s="9"/>
      <c r="FE384" s="9"/>
      <c r="FF384" s="9"/>
      <c r="FG384" s="9"/>
      <c r="FH384" s="9"/>
      <c r="FI384" s="9"/>
      <c r="FJ384" s="9"/>
    </row>
    <row r="385" spans="3:166" x14ac:dyDescent="0.2"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  <c r="EF385" s="9"/>
      <c r="EG385" s="9"/>
      <c r="EH385" s="9"/>
      <c r="EI385" s="9"/>
      <c r="EJ385" s="9"/>
      <c r="EK385" s="9"/>
      <c r="EL385" s="9"/>
      <c r="EM385" s="9"/>
      <c r="EN385" s="9"/>
      <c r="EO385" s="9"/>
      <c r="EP385" s="9"/>
      <c r="EQ385" s="9"/>
      <c r="ER385" s="9"/>
      <c r="ES385" s="9"/>
      <c r="ET385" s="9"/>
      <c r="EU385" s="9"/>
      <c r="EV385" s="9"/>
      <c r="EW385" s="9"/>
      <c r="EX385" s="9"/>
      <c r="EY385" s="9"/>
      <c r="EZ385" s="9"/>
      <c r="FA385" s="9"/>
      <c r="FB385" s="9"/>
      <c r="FC385" s="9"/>
      <c r="FD385" s="9"/>
      <c r="FE385" s="9"/>
      <c r="FF385" s="9"/>
      <c r="FG385" s="9"/>
      <c r="FH385" s="9"/>
      <c r="FI385" s="9"/>
      <c r="FJ385" s="9"/>
    </row>
    <row r="386" spans="3:166" x14ac:dyDescent="0.2"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  <c r="EF386" s="9"/>
      <c r="EG386" s="9"/>
      <c r="EH386" s="9"/>
      <c r="EI386" s="9"/>
      <c r="EJ386" s="9"/>
      <c r="EK386" s="9"/>
      <c r="EL386" s="9"/>
      <c r="EM386" s="9"/>
      <c r="EN386" s="9"/>
      <c r="EO386" s="9"/>
      <c r="EP386" s="9"/>
      <c r="EQ386" s="9"/>
      <c r="ER386" s="9"/>
      <c r="ES386" s="9"/>
      <c r="ET386" s="9"/>
      <c r="EU386" s="9"/>
      <c r="EV386" s="9"/>
      <c r="EW386" s="9"/>
      <c r="EX386" s="9"/>
      <c r="EY386" s="9"/>
      <c r="EZ386" s="9"/>
      <c r="FA386" s="9"/>
      <c r="FB386" s="9"/>
      <c r="FC386" s="9"/>
      <c r="FD386" s="9"/>
      <c r="FE386" s="9"/>
      <c r="FF386" s="9"/>
      <c r="FG386" s="9"/>
      <c r="FH386" s="9"/>
      <c r="FI386" s="9"/>
      <c r="FJ386" s="9"/>
    </row>
    <row r="387" spans="3:166" x14ac:dyDescent="0.2"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  <c r="EF387" s="9"/>
      <c r="EG387" s="9"/>
      <c r="EH387" s="9"/>
      <c r="EI387" s="9"/>
      <c r="EJ387" s="9"/>
      <c r="EK387" s="9"/>
      <c r="EL387" s="9"/>
      <c r="EM387" s="9"/>
      <c r="EN387" s="9"/>
      <c r="EO387" s="9"/>
      <c r="EP387" s="9"/>
      <c r="EQ387" s="9"/>
      <c r="ER387" s="9"/>
      <c r="ES387" s="9"/>
      <c r="ET387" s="9"/>
      <c r="EU387" s="9"/>
      <c r="EV387" s="9"/>
      <c r="EW387" s="9"/>
      <c r="EX387" s="9"/>
      <c r="EY387" s="9"/>
      <c r="EZ387" s="9"/>
      <c r="FA387" s="9"/>
      <c r="FB387" s="9"/>
      <c r="FC387" s="9"/>
      <c r="FD387" s="9"/>
      <c r="FE387" s="9"/>
      <c r="FF387" s="9"/>
      <c r="FG387" s="9"/>
      <c r="FH387" s="9"/>
      <c r="FI387" s="9"/>
      <c r="FJ387" s="9"/>
    </row>
    <row r="388" spans="3:166" x14ac:dyDescent="0.2"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  <c r="EF388" s="9"/>
      <c r="EG388" s="9"/>
      <c r="EH388" s="9"/>
      <c r="EI388" s="9"/>
      <c r="EJ388" s="9"/>
      <c r="EK388" s="9"/>
      <c r="EL388" s="9"/>
      <c r="EM388" s="9"/>
      <c r="EN388" s="9"/>
      <c r="EO388" s="9"/>
      <c r="EP388" s="9"/>
      <c r="EQ388" s="9"/>
      <c r="ER388" s="9"/>
      <c r="ES388" s="9"/>
      <c r="ET388" s="9"/>
      <c r="EU388" s="9"/>
      <c r="EV388" s="9"/>
      <c r="EW388" s="9"/>
      <c r="EX388" s="9"/>
      <c r="EY388" s="9"/>
      <c r="EZ388" s="9"/>
      <c r="FA388" s="9"/>
      <c r="FB388" s="9"/>
      <c r="FC388" s="9"/>
      <c r="FD388" s="9"/>
      <c r="FE388" s="9"/>
      <c r="FF388" s="9"/>
      <c r="FG388" s="9"/>
      <c r="FH388" s="9"/>
      <c r="FI388" s="9"/>
      <c r="FJ388" s="9"/>
    </row>
    <row r="389" spans="3:166" x14ac:dyDescent="0.2"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  <c r="EF389" s="9"/>
      <c r="EG389" s="9"/>
      <c r="EH389" s="9"/>
      <c r="EI389" s="9"/>
      <c r="EJ389" s="9"/>
      <c r="EK389" s="9"/>
      <c r="EL389" s="9"/>
      <c r="EM389" s="9"/>
      <c r="EN389" s="9"/>
      <c r="EO389" s="9"/>
      <c r="EP389" s="9"/>
      <c r="EQ389" s="9"/>
      <c r="ER389" s="9"/>
      <c r="ES389" s="9"/>
      <c r="ET389" s="9"/>
      <c r="EU389" s="9"/>
      <c r="EV389" s="9"/>
      <c r="EW389" s="9"/>
      <c r="EX389" s="9"/>
      <c r="EY389" s="9"/>
      <c r="EZ389" s="9"/>
      <c r="FA389" s="9"/>
      <c r="FB389" s="9"/>
      <c r="FC389" s="9"/>
      <c r="FD389" s="9"/>
      <c r="FE389" s="9"/>
      <c r="FF389" s="9"/>
      <c r="FG389" s="9"/>
      <c r="FH389" s="9"/>
      <c r="FI389" s="9"/>
      <c r="FJ389" s="9"/>
    </row>
    <row r="390" spans="3:166" x14ac:dyDescent="0.2"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  <c r="EF390" s="9"/>
      <c r="EG390" s="9"/>
      <c r="EH390" s="9"/>
      <c r="EI390" s="9"/>
      <c r="EJ390" s="9"/>
      <c r="EK390" s="9"/>
      <c r="EL390" s="9"/>
      <c r="EM390" s="9"/>
      <c r="EN390" s="9"/>
      <c r="EO390" s="9"/>
      <c r="EP390" s="9"/>
      <c r="EQ390" s="9"/>
      <c r="ER390" s="9"/>
      <c r="ES390" s="9"/>
      <c r="ET390" s="9"/>
      <c r="EU390" s="9"/>
      <c r="EV390" s="9"/>
      <c r="EW390" s="9"/>
      <c r="EX390" s="9"/>
      <c r="EY390" s="9"/>
      <c r="EZ390" s="9"/>
      <c r="FA390" s="9"/>
      <c r="FB390" s="9"/>
      <c r="FC390" s="9"/>
      <c r="FD390" s="9"/>
      <c r="FE390" s="9"/>
      <c r="FF390" s="9"/>
      <c r="FG390" s="9"/>
      <c r="FH390" s="9"/>
      <c r="FI390" s="9"/>
      <c r="FJ390" s="9"/>
    </row>
  </sheetData>
  <hyperlinks>
    <hyperlink ref="A1" location="Main!A1" display="Main" xr:uid="{2F8CAB23-9FE0-4C0B-837B-3791E8C52E14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EA193-18F5-41A7-8D12-90F1FAB8BF49}">
  <dimension ref="A1:AI354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42578125" bestFit="1" customWidth="1"/>
    <col min="2" max="2" width="30" customWidth="1"/>
  </cols>
  <sheetData>
    <row r="1" spans="1:35" x14ac:dyDescent="0.25">
      <c r="A1" s="3" t="s">
        <v>10</v>
      </c>
    </row>
    <row r="2" spans="1:35" x14ac:dyDescent="0.25">
      <c r="C2" s="4" t="s">
        <v>77</v>
      </c>
      <c r="D2" s="4" t="s">
        <v>78</v>
      </c>
      <c r="E2" s="4" t="s">
        <v>79</v>
      </c>
      <c r="F2" s="4" t="s">
        <v>52</v>
      </c>
      <c r="G2" s="4" t="s">
        <v>76</v>
      </c>
      <c r="H2" s="4" t="s">
        <v>80</v>
      </c>
      <c r="I2" s="4" t="s">
        <v>81</v>
      </c>
      <c r="J2" s="4" t="s">
        <v>82</v>
      </c>
    </row>
    <row r="3" spans="1:35" x14ac:dyDescent="0.25">
      <c r="B3" t="s">
        <v>84</v>
      </c>
      <c r="C3" s="2"/>
      <c r="D3" s="2"/>
      <c r="E3" s="2"/>
      <c r="F3" s="2"/>
      <c r="G3" s="2">
        <v>3803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B4" t="s">
        <v>61</v>
      </c>
      <c r="C4" s="2"/>
      <c r="D4" s="2"/>
      <c r="E4" s="2"/>
      <c r="F4" s="2"/>
      <c r="G4" s="2">
        <v>6047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B5" t="s">
        <v>85</v>
      </c>
      <c r="C5" s="2"/>
      <c r="D5" s="2"/>
      <c r="E5" s="2"/>
      <c r="F5" s="2"/>
      <c r="G5" s="2">
        <v>1595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B6" t="s">
        <v>86</v>
      </c>
      <c r="C6" s="2"/>
      <c r="D6" s="2"/>
      <c r="E6" s="2"/>
      <c r="F6" s="2"/>
      <c r="G6" s="2">
        <v>2124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B7" t="s">
        <v>87</v>
      </c>
      <c r="C7" s="2"/>
      <c r="D7" s="2"/>
      <c r="E7" s="2"/>
      <c r="F7" s="2"/>
      <c r="G7" s="2">
        <v>4055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B8" s="1" t="s">
        <v>83</v>
      </c>
      <c r="C8" s="5">
        <f t="shared" ref="C8:F8" si="0">+SUM(C3:C7)</f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>+SUM(G3:G7)</f>
        <v>17624</v>
      </c>
      <c r="H8" s="5">
        <f t="shared" ref="H8:J8" si="1">+SUM(H3:H7)</f>
        <v>0</v>
      </c>
      <c r="I8" s="5">
        <f t="shared" si="1"/>
        <v>0</v>
      </c>
      <c r="J8" s="5">
        <f t="shared" si="1"/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B10" t="s">
        <v>20</v>
      </c>
      <c r="C10" s="2">
        <v>2875</v>
      </c>
      <c r="D10" s="2"/>
      <c r="E10" s="2"/>
      <c r="F10" s="2"/>
      <c r="G10" s="2">
        <v>3079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B11" t="s">
        <v>21</v>
      </c>
      <c r="C11" s="2">
        <v>2321</v>
      </c>
      <c r="D11" s="2"/>
      <c r="E11" s="2"/>
      <c r="F11" s="2"/>
      <c r="G11" s="2">
        <v>2548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B12" t="s">
        <v>88</v>
      </c>
      <c r="C12" s="2">
        <v>768</v>
      </c>
      <c r="D12" s="2"/>
      <c r="E12" s="2"/>
      <c r="F12" s="2"/>
      <c r="G12" s="2">
        <v>852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B13" t="s">
        <v>89</v>
      </c>
      <c r="C13" s="2">
        <v>371</v>
      </c>
      <c r="D13" s="2"/>
      <c r="E13" s="2"/>
      <c r="F13" s="2"/>
      <c r="G13" s="2">
        <v>369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B14" t="s">
        <v>17</v>
      </c>
      <c r="C14" s="2">
        <v>3080</v>
      </c>
      <c r="D14" s="2"/>
      <c r="E14" s="2"/>
      <c r="F14" s="2"/>
      <c r="G14" s="2">
        <v>3236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B15" t="s">
        <v>69</v>
      </c>
      <c r="C15" s="2">
        <v>3255</v>
      </c>
      <c r="D15" s="2"/>
      <c r="E15" s="2"/>
      <c r="F15" s="2"/>
      <c r="G15" s="2">
        <v>3612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B16" s="1" t="s">
        <v>19</v>
      </c>
      <c r="C16" s="5">
        <f t="shared" ref="C16:F16" si="2">+SUM(C14:C15)</f>
        <v>6335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>+SUM(G14:G15)</f>
        <v>6848</v>
      </c>
      <c r="H16" s="5">
        <f t="shared" ref="H16:J16" si="3">+SUM(H14:H15)</f>
        <v>0</v>
      </c>
      <c r="I16" s="5">
        <f t="shared" si="3"/>
        <v>0</v>
      </c>
      <c r="J16" s="5">
        <f t="shared" si="3"/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2:35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2:35" x14ac:dyDescent="0.25">
      <c r="B18" t="s">
        <v>90</v>
      </c>
      <c r="C18" s="2"/>
      <c r="D18" s="2"/>
      <c r="E18" s="2"/>
      <c r="F18" s="2"/>
      <c r="G18" s="2" t="e">
        <f>+G8/C8-1</f>
        <v>#DIV/0!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2:35" x14ac:dyDescent="0.25">
      <c r="B19" t="s">
        <v>91</v>
      </c>
      <c r="C19" s="2"/>
      <c r="D19" s="2"/>
      <c r="E19" s="2"/>
      <c r="F19" s="2"/>
      <c r="G19" s="6">
        <f>+G10/C10-1</f>
        <v>7.0956521739130363E-2</v>
      </c>
      <c r="H19" s="6" t="e">
        <f t="shared" ref="H19:J22" si="4">+H10/D10-1</f>
        <v>#DIV/0!</v>
      </c>
      <c r="I19" s="6" t="e">
        <f t="shared" si="4"/>
        <v>#DIV/0!</v>
      </c>
      <c r="J19" s="6" t="e">
        <f t="shared" si="4"/>
        <v>#DIV/0!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2:35" x14ac:dyDescent="0.25">
      <c r="B20" t="s">
        <v>43</v>
      </c>
      <c r="C20" s="2"/>
      <c r="D20" s="2"/>
      <c r="E20" s="2"/>
      <c r="F20" s="2"/>
      <c r="G20" s="6">
        <f t="shared" ref="G20:G22" si="5">+G11/C11-1</f>
        <v>9.7802671262386953E-2</v>
      </c>
      <c r="H20" s="6" t="e">
        <f t="shared" si="4"/>
        <v>#DIV/0!</v>
      </c>
      <c r="I20" s="6" t="e">
        <f t="shared" si="4"/>
        <v>#DIV/0!</v>
      </c>
      <c r="J20" s="6" t="e">
        <f t="shared" si="4"/>
        <v>#DIV/0!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2:35" x14ac:dyDescent="0.25">
      <c r="B21" t="s">
        <v>92</v>
      </c>
      <c r="C21" s="2"/>
      <c r="D21" s="2"/>
      <c r="E21" s="2"/>
      <c r="F21" s="2"/>
      <c r="G21" s="6">
        <f t="shared" si="5"/>
        <v>0.109375</v>
      </c>
      <c r="H21" s="6" t="e">
        <f t="shared" si="4"/>
        <v>#DIV/0!</v>
      </c>
      <c r="I21" s="6" t="e">
        <f t="shared" si="4"/>
        <v>#DIV/0!</v>
      </c>
      <c r="J21" s="6" t="e">
        <f t="shared" si="4"/>
        <v>#DIV/0!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2:35" x14ac:dyDescent="0.25">
      <c r="B22" t="s">
        <v>93</v>
      </c>
      <c r="C22" s="2"/>
      <c r="D22" s="2"/>
      <c r="E22" s="2"/>
      <c r="F22" s="2"/>
      <c r="G22" s="6">
        <f t="shared" si="5"/>
        <v>-5.3908355795148077E-3</v>
      </c>
      <c r="H22" s="6" t="e">
        <f t="shared" si="4"/>
        <v>#DIV/0!</v>
      </c>
      <c r="I22" s="6" t="e">
        <f t="shared" si="4"/>
        <v>#DIV/0!</v>
      </c>
      <c r="J22" s="6" t="e">
        <f t="shared" si="4"/>
        <v>#DIV/0!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2:35" x14ac:dyDescent="0.25">
      <c r="B23" s="1" t="s">
        <v>48</v>
      </c>
      <c r="C23" s="2"/>
      <c r="D23" s="2"/>
      <c r="E23" s="2"/>
      <c r="F23" s="2"/>
      <c r="G23" s="6">
        <f>+G16/C16-1</f>
        <v>8.0978689818468785E-2</v>
      </c>
      <c r="H23" s="6" t="e">
        <f t="shared" ref="H23:J23" si="6">+H16/D16-1</f>
        <v>#DIV/0!</v>
      </c>
      <c r="I23" s="6" t="e">
        <f t="shared" si="6"/>
        <v>#DIV/0!</v>
      </c>
      <c r="J23" s="6" t="e">
        <f t="shared" si="6"/>
        <v>#DIV/0!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2:35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2:35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2:35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2:35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2:35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2:35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2:35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2:35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2:35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3:35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3:35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3:35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3:35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3:35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3:35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3:35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3:35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3:35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3:35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3:35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3:35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3:35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3:35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3:35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3:35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3:35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3:35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3:35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3:35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3:35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3:35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3:35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3:35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3:35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3:35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3:35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3:35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3:35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3:35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3:35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3:35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3:35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3:35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3:35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3:35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3:35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3:35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3:35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3:35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3:35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3:35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3:35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3:35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3:35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3:35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3:35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3:35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3:35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3:35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3:35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3:35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3:35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3:35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3:35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3:35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3:35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3:35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3:35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3:35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3:35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3:35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3:35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3:35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3:35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3:35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3:35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3:35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3:35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3:35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3:35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3:35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3:35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3:35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3:35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3:35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3:35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3:35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3:35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3:35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3:35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3:35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3:35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3:35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3:35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3:35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3:35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3:35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3:35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3:35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3:35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3:35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3:35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3:35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3:35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3:35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3:35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3:35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3:35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3:35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3:35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3:35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3:35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3:35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3:35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3:35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3:35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3:35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3:35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3:35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3:35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3:35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3:35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3:35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3:35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3:35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3:35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3:35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3:35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3:35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3:35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3:35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  <row r="155" spans="3:35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</row>
    <row r="156" spans="3:35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</row>
    <row r="157" spans="3:35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</row>
    <row r="158" spans="3:35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</row>
    <row r="159" spans="3:35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</row>
    <row r="160" spans="3:35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</row>
    <row r="161" spans="3:35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</row>
    <row r="162" spans="3:35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</row>
    <row r="163" spans="3:35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</row>
    <row r="164" spans="3:35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</row>
    <row r="165" spans="3:35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</row>
    <row r="166" spans="3:35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</row>
    <row r="167" spans="3:35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</row>
    <row r="168" spans="3:35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</row>
    <row r="169" spans="3:35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</row>
    <row r="170" spans="3:35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</row>
    <row r="171" spans="3:35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</row>
    <row r="172" spans="3:35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</row>
    <row r="173" spans="3:35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</row>
    <row r="174" spans="3:35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</row>
    <row r="175" spans="3:35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</row>
    <row r="176" spans="3:35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</row>
    <row r="177" spans="3:35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</row>
    <row r="178" spans="3:35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</row>
    <row r="179" spans="3:35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</row>
    <row r="180" spans="3:35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</row>
    <row r="181" spans="3:35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</row>
    <row r="182" spans="3:35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</row>
    <row r="183" spans="3:35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</row>
    <row r="184" spans="3:35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</row>
    <row r="185" spans="3:35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</row>
    <row r="186" spans="3:35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</row>
    <row r="187" spans="3:35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</row>
    <row r="188" spans="3:35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</row>
    <row r="189" spans="3:35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</row>
    <row r="190" spans="3:35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</row>
    <row r="191" spans="3:35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</row>
    <row r="192" spans="3:35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</row>
    <row r="193" spans="3:35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</row>
    <row r="194" spans="3:35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</row>
    <row r="195" spans="3:35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</row>
    <row r="196" spans="3:35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</row>
    <row r="197" spans="3:35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</row>
    <row r="198" spans="3:35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</row>
    <row r="199" spans="3:35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</row>
    <row r="200" spans="3:35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</row>
    <row r="201" spans="3:35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</row>
    <row r="202" spans="3:35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</row>
    <row r="203" spans="3:35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</row>
    <row r="204" spans="3:35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</row>
    <row r="205" spans="3:35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</row>
    <row r="206" spans="3:35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</row>
    <row r="207" spans="3:35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</row>
    <row r="208" spans="3:35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</row>
    <row r="209" spans="3:35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</row>
    <row r="210" spans="3:35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</row>
    <row r="211" spans="3:35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</row>
    <row r="212" spans="3:35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</row>
    <row r="213" spans="3:35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</row>
    <row r="214" spans="3:35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</row>
    <row r="215" spans="3:35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</row>
    <row r="216" spans="3:35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</row>
    <row r="217" spans="3:35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</row>
    <row r="218" spans="3:35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</row>
    <row r="219" spans="3:35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</row>
    <row r="220" spans="3:35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</row>
    <row r="221" spans="3:35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</row>
    <row r="222" spans="3:35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</row>
    <row r="223" spans="3:35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</row>
    <row r="224" spans="3:35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</row>
    <row r="225" spans="3:35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</row>
    <row r="226" spans="3:35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</row>
    <row r="227" spans="3:35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</row>
    <row r="228" spans="3:35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</row>
    <row r="229" spans="3:35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</row>
    <row r="230" spans="3:35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</row>
    <row r="231" spans="3:35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</row>
    <row r="232" spans="3:35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</row>
    <row r="233" spans="3:35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</row>
    <row r="234" spans="3:35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</row>
    <row r="235" spans="3:35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</row>
    <row r="236" spans="3:35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</row>
    <row r="237" spans="3:35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</row>
    <row r="238" spans="3:35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</row>
    <row r="239" spans="3:35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</row>
    <row r="240" spans="3:35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spans="3:35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spans="3:35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3:35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3:35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spans="3:35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3:35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3:35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3:35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spans="3:35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spans="3:35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spans="3:35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spans="3:35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3:35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3:35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spans="3:35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3:35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3:35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spans="3:35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3:35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3:35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3:35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3:35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3:35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3:35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3:35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3:35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spans="3:35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spans="3:35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3:35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spans="3:35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spans="3:35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spans="3:35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3:35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3:35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spans="3:35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3:35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3:35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3:35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3:35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3:35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3:35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3:35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3:35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3:35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spans="3:35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3:35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3:35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spans="3:35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3:35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3:35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3:35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3:35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3:35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3:35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3:35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spans="3:35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3:35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spans="3:35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spans="3:35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3:35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3:35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3:35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3:35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3:35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3:35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3:35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3:35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3:35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3:35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spans="3:35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spans="3:35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3:35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spans="3:35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3:35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spans="3:35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spans="3:35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3:35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spans="3:35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3:35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spans="3:35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spans="3:35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3:35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3:35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spans="3:35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3:35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3:35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3:35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3:35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spans="3:35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3:35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spans="3:35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3:35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3:35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3:35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spans="3:35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spans="3:35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spans="3:35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3:35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spans="3:35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spans="3:35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3:35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spans="3:35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spans="3:35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3:35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spans="3:35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spans="3:35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spans="3:35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spans="3:35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3:35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spans="3:35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spans="3:35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3:35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3:35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spans="3:35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</sheetData>
  <hyperlinks>
    <hyperlink ref="A1" location="Main!A1" display="Main" xr:uid="{982E5774-6AA7-4EDF-8C69-FA1BFDAFE6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Quarter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2025-02-03T16:06:31Z</dcterms:created>
  <dcterms:modified xsi:type="dcterms:W3CDTF">2026-05-17T10:58:28Z</dcterms:modified>
</cp:coreProperties>
</file>