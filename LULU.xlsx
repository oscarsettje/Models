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151AACC3-BE01-4E96-99F1-689FE34CCC92}" xr6:coauthVersionLast="47" xr6:coauthVersionMax="47" xr10:uidLastSave="{00000000-0000-0000-0000-000000000000}"/>
  <bookViews>
    <workbookView xWindow="19095" yWindow="0" windowWidth="19410" windowHeight="20985" xr2:uid="{307BA413-EEF9-4958-8DCC-E913E47A6543}"/>
  </bookViews>
  <sheets>
    <sheet name="Main" sheetId="1" r:id="rId1"/>
    <sheet name="Model" sheetId="2" r:id="rId2"/>
    <sheet name="Ratios" sheetId="3" r:id="rId3"/>
    <sheet name="DC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P16" i="2"/>
  <c r="P15" i="2"/>
  <c r="P43" i="2"/>
  <c r="P50" i="2"/>
  <c r="P49" i="2"/>
  <c r="P48" i="2"/>
  <c r="P47" i="2"/>
  <c r="P46" i="2"/>
  <c r="P38" i="2"/>
  <c r="P36" i="2"/>
  <c r="P34" i="2"/>
  <c r="P32" i="2"/>
  <c r="P29" i="2"/>
  <c r="I17" i="3"/>
  <c r="I30" i="3"/>
  <c r="H30" i="3"/>
  <c r="G30" i="3"/>
  <c r="F30" i="3"/>
  <c r="E30" i="3"/>
  <c r="D30" i="3"/>
  <c r="C30" i="3"/>
  <c r="J30" i="3"/>
  <c r="I22" i="3"/>
  <c r="H22" i="3"/>
  <c r="G22" i="3"/>
  <c r="F22" i="3"/>
  <c r="E22" i="3"/>
  <c r="D22" i="3"/>
  <c r="C22" i="3"/>
  <c r="J22" i="3"/>
  <c r="C21" i="3"/>
  <c r="I21" i="3"/>
  <c r="H21" i="3"/>
  <c r="G21" i="3"/>
  <c r="F21" i="3"/>
  <c r="E21" i="3"/>
  <c r="D21" i="3"/>
  <c r="J21" i="3"/>
  <c r="H15" i="3"/>
  <c r="H17" i="3" s="1"/>
  <c r="G15" i="3"/>
  <c r="G17" i="3" s="1"/>
  <c r="F15" i="3"/>
  <c r="F17" i="3" s="1"/>
  <c r="E15" i="3"/>
  <c r="E17" i="3" s="1"/>
  <c r="D15" i="3"/>
  <c r="D17" i="3" s="1"/>
  <c r="C15" i="3"/>
  <c r="C17" i="3" s="1"/>
  <c r="I15" i="3"/>
  <c r="I14" i="3"/>
  <c r="I24" i="3" s="1"/>
  <c r="H14" i="3"/>
  <c r="H24" i="3" s="1"/>
  <c r="G14" i="3"/>
  <c r="G24" i="3" s="1"/>
  <c r="F14" i="3"/>
  <c r="E14" i="3"/>
  <c r="D14" i="3"/>
  <c r="C14" i="3"/>
  <c r="J14" i="3"/>
  <c r="I11" i="3"/>
  <c r="H11" i="3"/>
  <c r="G11" i="3"/>
  <c r="F11" i="3"/>
  <c r="F24" i="3" s="1"/>
  <c r="E11" i="3"/>
  <c r="E24" i="3" s="1"/>
  <c r="D11" i="3"/>
  <c r="D24" i="3" s="1"/>
  <c r="C11" i="3"/>
  <c r="C24" i="3" s="1"/>
  <c r="J11" i="3"/>
  <c r="J24" i="3" s="1"/>
  <c r="I10" i="3"/>
  <c r="I23" i="3" s="1"/>
  <c r="H10" i="3"/>
  <c r="H23" i="3" s="1"/>
  <c r="G10" i="3"/>
  <c r="G23" i="3" s="1"/>
  <c r="F10" i="3"/>
  <c r="F23" i="3" s="1"/>
  <c r="E10" i="3"/>
  <c r="E23" i="3" s="1"/>
  <c r="D10" i="3"/>
  <c r="D23" i="3" s="1"/>
  <c r="C10" i="3"/>
  <c r="C23" i="3" s="1"/>
  <c r="J10" i="3"/>
  <c r="J23" i="3" s="1"/>
  <c r="I6" i="3"/>
  <c r="H6" i="3"/>
  <c r="H7" i="3" s="1"/>
  <c r="G6" i="3"/>
  <c r="F6" i="3"/>
  <c r="E6" i="3"/>
  <c r="D6" i="3"/>
  <c r="C6" i="3"/>
  <c r="J6" i="3"/>
  <c r="I4" i="3"/>
  <c r="H4" i="3"/>
  <c r="G4" i="3"/>
  <c r="F4" i="3"/>
  <c r="E4" i="3"/>
  <c r="D4" i="3"/>
  <c r="C4" i="3"/>
  <c r="J4" i="3"/>
  <c r="J5" i="3" s="1"/>
  <c r="I5" i="3"/>
  <c r="H5" i="3"/>
  <c r="G5" i="3"/>
  <c r="F5" i="3"/>
  <c r="E5" i="3"/>
  <c r="D5" i="3"/>
  <c r="C5" i="3"/>
  <c r="G7" i="3"/>
  <c r="F7" i="3"/>
  <c r="K6" i="3"/>
  <c r="K4" i="3"/>
  <c r="K3" i="3"/>
  <c r="K5" i="3" s="1"/>
  <c r="S28" i="4"/>
  <c r="R28" i="4"/>
  <c r="Q28" i="4"/>
  <c r="P28" i="4"/>
  <c r="O28" i="4"/>
  <c r="N28" i="4"/>
  <c r="M28" i="4"/>
  <c r="AH25" i="2"/>
  <c r="AG25" i="2"/>
  <c r="AF25" i="2"/>
  <c r="AE25" i="2"/>
  <c r="AD25" i="2"/>
  <c r="AC25" i="2"/>
  <c r="AH24" i="2"/>
  <c r="AH26" i="2" s="1"/>
  <c r="AG24" i="2"/>
  <c r="AG26" i="2" s="1"/>
  <c r="AF24" i="2"/>
  <c r="AF26" i="2" s="1"/>
  <c r="AE24" i="2"/>
  <c r="AE26" i="2" s="1"/>
  <c r="AD24" i="2"/>
  <c r="AD26" i="2" s="1"/>
  <c r="AC24" i="2"/>
  <c r="AC26" i="2" s="1"/>
  <c r="AB26" i="2"/>
  <c r="AB25" i="2"/>
  <c r="AB24" i="2"/>
  <c r="AD45" i="2"/>
  <c r="AE45" i="2" s="1"/>
  <c r="AF45" i="2" s="1"/>
  <c r="AG45" i="2" s="1"/>
  <c r="AH45" i="2" s="1"/>
  <c r="AC45" i="2"/>
  <c r="AC44" i="2"/>
  <c r="AD44" i="2" s="1"/>
  <c r="AE44" i="2" s="1"/>
  <c r="AF44" i="2" s="1"/>
  <c r="AG44" i="2" s="1"/>
  <c r="AH44" i="2" s="1"/>
  <c r="AB45" i="2"/>
  <c r="AB44" i="2"/>
  <c r="Z45" i="2"/>
  <c r="Y45" i="2"/>
  <c r="X45" i="2"/>
  <c r="W45" i="2"/>
  <c r="V45" i="2"/>
  <c r="U45" i="2"/>
  <c r="T45" i="2"/>
  <c r="Z44" i="2"/>
  <c r="Y44" i="2"/>
  <c r="X44" i="2"/>
  <c r="W44" i="2"/>
  <c r="V44" i="2"/>
  <c r="U44" i="2"/>
  <c r="T44" i="2"/>
  <c r="AA44" i="2"/>
  <c r="AA45" i="2"/>
  <c r="AH50" i="2"/>
  <c r="AG50" i="2"/>
  <c r="AF50" i="2"/>
  <c r="AE50" i="2"/>
  <c r="AD50" i="2"/>
  <c r="AC50" i="2"/>
  <c r="AB50" i="2"/>
  <c r="AA6" i="2"/>
  <c r="Z6" i="2"/>
  <c r="Y6" i="2"/>
  <c r="K7" i="3" l="1"/>
  <c r="I7" i="3"/>
  <c r="C7" i="3"/>
  <c r="D7" i="3"/>
  <c r="E7" i="3"/>
  <c r="J7" i="3"/>
  <c r="Z7" i="2" l="1"/>
  <c r="Z8" i="2" s="1"/>
  <c r="Z42" i="2" s="1"/>
  <c r="AA8" i="2"/>
  <c r="AA42" i="2" s="1"/>
  <c r="AB27" i="2"/>
  <c r="AC7" i="2"/>
  <c r="AD7" i="2" s="1"/>
  <c r="AE7" i="2" s="1"/>
  <c r="AF7" i="2" s="1"/>
  <c r="AG7" i="2" s="1"/>
  <c r="AH7" i="2" s="1"/>
  <c r="T107" i="2"/>
  <c r="U100" i="2"/>
  <c r="U101" i="2" s="1"/>
  <c r="U67" i="2"/>
  <c r="U73" i="2" s="1"/>
  <c r="V67" i="2"/>
  <c r="V73" i="2" s="1"/>
  <c r="U112" i="2"/>
  <c r="T112" i="2"/>
  <c r="W116" i="2"/>
  <c r="V112" i="2"/>
  <c r="V107" i="2"/>
  <c r="U107" i="2"/>
  <c r="T101" i="2"/>
  <c r="V101" i="2"/>
  <c r="G48" i="4" s="1"/>
  <c r="V57" i="2"/>
  <c r="U57" i="2"/>
  <c r="T57" i="2"/>
  <c r="W64" i="2"/>
  <c r="V64" i="2"/>
  <c r="U64" i="2"/>
  <c r="U65" i="2" s="1"/>
  <c r="T64" i="2"/>
  <c r="W78" i="2"/>
  <c r="V78" i="2"/>
  <c r="U78" i="2"/>
  <c r="T78" i="2"/>
  <c r="W73" i="2"/>
  <c r="T73" i="2"/>
  <c r="X78" i="2"/>
  <c r="V61" i="4"/>
  <c r="V59" i="4"/>
  <c r="V58" i="4"/>
  <c r="K45" i="4"/>
  <c r="J45" i="4"/>
  <c r="I45" i="4"/>
  <c r="H45" i="4"/>
  <c r="G45" i="4"/>
  <c r="L45" i="4"/>
  <c r="K42" i="4"/>
  <c r="J42" i="4"/>
  <c r="I42" i="4"/>
  <c r="H42" i="4"/>
  <c r="G42" i="4"/>
  <c r="L42" i="4"/>
  <c r="M32" i="4" a="1"/>
  <c r="M32" i="4" s="1"/>
  <c r="O32" i="4" a="1"/>
  <c r="O32" i="4" s="1"/>
  <c r="P32" i="4" a="1"/>
  <c r="P32" i="4" s="1"/>
  <c r="Q32" i="4" a="1"/>
  <c r="Q32" i="4" s="1"/>
  <c r="R32" i="4" a="1"/>
  <c r="R32" i="4" s="1"/>
  <c r="L37" i="4"/>
  <c r="K37" i="4"/>
  <c r="J37" i="4"/>
  <c r="I37" i="4"/>
  <c r="H37" i="4"/>
  <c r="G37" i="4"/>
  <c r="J3" i="4"/>
  <c r="L25" i="4"/>
  <c r="K25" i="4"/>
  <c r="J25" i="4"/>
  <c r="I25" i="4"/>
  <c r="H25" i="4"/>
  <c r="G25" i="4"/>
  <c r="V32" i="4" a="1"/>
  <c r="V32" i="4" s="1"/>
  <c r="U32" i="4" a="1"/>
  <c r="U32" i="4" s="1"/>
  <c r="T32" i="4" a="1"/>
  <c r="T32" i="4" s="1"/>
  <c r="S32" i="4" a="1"/>
  <c r="S32" i="4" s="1"/>
  <c r="N32" i="4" a="1"/>
  <c r="N32" i="4" s="1"/>
  <c r="V26" i="4" a="1"/>
  <c r="V26" i="4" s="1"/>
  <c r="U26" i="4" a="1"/>
  <c r="U26" i="4" s="1"/>
  <c r="T26" i="4" a="1"/>
  <c r="T26" i="4" s="1"/>
  <c r="S26" i="4" a="1"/>
  <c r="S26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E20" i="4"/>
  <c r="E19" i="4"/>
  <c r="E18" i="4"/>
  <c r="O4" i="4"/>
  <c r="E4" i="4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O3" i="4"/>
  <c r="D2" i="3"/>
  <c r="E2" i="3" s="1"/>
  <c r="F2" i="3" s="1"/>
  <c r="G2" i="3" s="1"/>
  <c r="H2" i="3" s="1"/>
  <c r="I2" i="3" s="1"/>
  <c r="J2" i="3" s="1"/>
  <c r="O5" i="4" l="1"/>
  <c r="AB8" i="2"/>
  <c r="AC8" i="2" s="1"/>
  <c r="AB46" i="2"/>
  <c r="AB49" i="2"/>
  <c r="AB48" i="2"/>
  <c r="AB47" i="2"/>
  <c r="AB42" i="2"/>
  <c r="L43" i="4"/>
  <c r="Y7" i="2"/>
  <c r="G43" i="4"/>
  <c r="L46" i="4"/>
  <c r="W80" i="2"/>
  <c r="M25" i="4"/>
  <c r="M42" i="4" s="1"/>
  <c r="I26" i="4"/>
  <c r="U80" i="2"/>
  <c r="T80" i="2"/>
  <c r="L26" i="4"/>
  <c r="H26" i="4"/>
  <c r="G46" i="4"/>
  <c r="K43" i="4"/>
  <c r="K46" i="4"/>
  <c r="G49" i="4"/>
  <c r="T65" i="2"/>
  <c r="V80" i="2"/>
  <c r="V65" i="2"/>
  <c r="H46" i="4"/>
  <c r="I46" i="4"/>
  <c r="J43" i="4"/>
  <c r="I43" i="4"/>
  <c r="H43" i="4"/>
  <c r="J26" i="4"/>
  <c r="K26" i="4"/>
  <c r="J46" i="4"/>
  <c r="AD8" i="2" l="1"/>
  <c r="AE8" i="2" s="1"/>
  <c r="AF8" i="2" s="1"/>
  <c r="AG8" i="2" s="1"/>
  <c r="AH8" i="2" s="1"/>
  <c r="AC42" i="2"/>
  <c r="AC27" i="2"/>
  <c r="X7" i="2"/>
  <c r="Y8" i="2"/>
  <c r="Y42" i="2" s="1"/>
  <c r="N25" i="4"/>
  <c r="N31" i="4" s="1"/>
  <c r="N37" i="4" s="1"/>
  <c r="N40" i="4" s="1"/>
  <c r="M45" i="4"/>
  <c r="M31" i="4"/>
  <c r="M37" i="4" s="1"/>
  <c r="M40" i="4" s="1"/>
  <c r="M48" i="4"/>
  <c r="AD42" i="2" l="1"/>
  <c r="AC49" i="2"/>
  <c r="AC48" i="2"/>
  <c r="AC47" i="2"/>
  <c r="AC46" i="2"/>
  <c r="AE42" i="2"/>
  <c r="AD27" i="2"/>
  <c r="X8" i="2"/>
  <c r="X42" i="2" s="1"/>
  <c r="W7" i="2"/>
  <c r="M51" i="4"/>
  <c r="M52" i="4" s="1"/>
  <c r="N42" i="4"/>
  <c r="N48" i="4"/>
  <c r="N45" i="4"/>
  <c r="O25" i="4"/>
  <c r="O45" i="4" s="1"/>
  <c r="AD47" i="2" l="1"/>
  <c r="AD49" i="2"/>
  <c r="AD48" i="2"/>
  <c r="AD46" i="2"/>
  <c r="AF42" i="2"/>
  <c r="AE27" i="2"/>
  <c r="V7" i="2"/>
  <c r="W8" i="2"/>
  <c r="W42" i="2" s="1"/>
  <c r="P25" i="4"/>
  <c r="P45" i="4" s="1"/>
  <c r="O31" i="4"/>
  <c r="O37" i="4" s="1"/>
  <c r="O40" i="4" s="1"/>
  <c r="O42" i="4"/>
  <c r="O48" i="4"/>
  <c r="N51" i="4"/>
  <c r="N52" i="4" s="1"/>
  <c r="P31" i="4"/>
  <c r="P42" i="4" l="1"/>
  <c r="P48" i="4"/>
  <c r="AE49" i="2"/>
  <c r="AE48" i="2"/>
  <c r="AE47" i="2"/>
  <c r="AE46" i="2"/>
  <c r="Q25" i="4"/>
  <c r="Q48" i="4" s="1"/>
  <c r="AG42" i="2"/>
  <c r="AF27" i="2"/>
  <c r="U7" i="2"/>
  <c r="V8" i="2"/>
  <c r="V42" i="2" s="1"/>
  <c r="O51" i="4"/>
  <c r="O52" i="4" s="1"/>
  <c r="P37" i="4"/>
  <c r="P40" i="4" s="1"/>
  <c r="R25" i="4"/>
  <c r="Q45" i="4"/>
  <c r="Q31" i="4"/>
  <c r="P51" i="4" l="1"/>
  <c r="P52" i="4" s="1"/>
  <c r="Q42" i="4"/>
  <c r="AF47" i="2"/>
  <c r="AF46" i="2"/>
  <c r="AF49" i="2"/>
  <c r="AF48" i="2"/>
  <c r="AG27" i="2"/>
  <c r="U8" i="2"/>
  <c r="U42" i="2" s="1"/>
  <c r="T7" i="2"/>
  <c r="T8" i="2" s="1"/>
  <c r="T42" i="2" s="1"/>
  <c r="R48" i="4"/>
  <c r="R42" i="4"/>
  <c r="R45" i="4"/>
  <c r="S25" i="4"/>
  <c r="R31" i="4"/>
  <c r="Q37" i="4"/>
  <c r="Q40" i="4" s="1"/>
  <c r="Q51" i="4" l="1"/>
  <c r="Q52" i="4" s="1"/>
  <c r="AG49" i="2"/>
  <c r="AG48" i="2"/>
  <c r="AG46" i="2"/>
  <c r="AG47" i="2"/>
  <c r="AH27" i="2"/>
  <c r="AH42" i="2"/>
  <c r="R37" i="4"/>
  <c r="R40" i="4" s="1"/>
  <c r="R51" i="4" s="1"/>
  <c r="R52" i="4" s="1"/>
  <c r="S48" i="4"/>
  <c r="S42" i="4"/>
  <c r="S45" i="4"/>
  <c r="T25" i="4"/>
  <c r="S31" i="4"/>
  <c r="AH46" i="2" l="1"/>
  <c r="AH49" i="2"/>
  <c r="AH47" i="2"/>
  <c r="AH48" i="2"/>
  <c r="S37" i="4"/>
  <c r="S40" i="4" s="1"/>
  <c r="S51" i="4" s="1"/>
  <c r="S52" i="4" s="1"/>
  <c r="T48" i="4"/>
  <c r="T42" i="4"/>
  <c r="T45" i="4"/>
  <c r="U25" i="4"/>
  <c r="T31" i="4"/>
  <c r="T37" i="4" l="1"/>
  <c r="T40" i="4" s="1"/>
  <c r="T51" i="4" s="1"/>
  <c r="T52" i="4" s="1"/>
  <c r="U48" i="4"/>
  <c r="U42" i="4"/>
  <c r="U45" i="4"/>
  <c r="V25" i="4"/>
  <c r="U31" i="4"/>
  <c r="U37" i="4" l="1"/>
  <c r="U40" i="4" s="1"/>
  <c r="U51" i="4" s="1"/>
  <c r="U52" i="4" s="1"/>
  <c r="V48" i="4"/>
  <c r="V42" i="4"/>
  <c r="V45" i="4"/>
  <c r="V31" i="4"/>
  <c r="V37" i="4" l="1"/>
  <c r="V40" i="4" s="1"/>
  <c r="V51" i="4" l="1"/>
  <c r="V52" i="4" s="1"/>
  <c r="V54" i="4" s="1"/>
  <c r="V55" i="4"/>
  <c r="V56" i="4" s="1"/>
  <c r="V57" i="4" l="1"/>
  <c r="V60" i="4" s="1"/>
  <c r="V62" i="4" s="1"/>
  <c r="J4" i="4" s="1"/>
  <c r="N69" i="4" l="1"/>
  <c r="C69" i="4"/>
  <c r="J5" i="4"/>
  <c r="O15" i="2" l="1"/>
  <c r="O46" i="2"/>
  <c r="M46" i="2"/>
  <c r="O29" i="2"/>
  <c r="O32" i="2" s="1"/>
  <c r="N35" i="2"/>
  <c r="N33" i="2"/>
  <c r="N31" i="2"/>
  <c r="N30" i="2"/>
  <c r="N28" i="2"/>
  <c r="N27" i="2"/>
  <c r="N29" i="2" s="1"/>
  <c r="N26" i="2"/>
  <c r="N25" i="2"/>
  <c r="N24" i="2"/>
  <c r="N23" i="2"/>
  <c r="N22" i="2"/>
  <c r="N21" i="2"/>
  <c r="N20" i="2"/>
  <c r="N19" i="2"/>
  <c r="N18" i="2"/>
  <c r="N15" i="2"/>
  <c r="AA112" i="2"/>
  <c r="AA107" i="2"/>
  <c r="AA101" i="2"/>
  <c r="L48" i="4" s="1"/>
  <c r="L49" i="4" s="1"/>
  <c r="AA29" i="2"/>
  <c r="AA32" i="2" s="1"/>
  <c r="L31" i="4" s="1"/>
  <c r="AA78" i="2"/>
  <c r="AA73" i="2"/>
  <c r="AA64" i="2"/>
  <c r="AA57" i="2"/>
  <c r="AA46" i="2"/>
  <c r="AA15" i="2"/>
  <c r="M15" i="2"/>
  <c r="M16" i="2" s="1"/>
  <c r="M29" i="2"/>
  <c r="M32" i="2" s="1"/>
  <c r="M34" i="2" s="1"/>
  <c r="M36" i="2" s="1"/>
  <c r="M38" i="2" s="1"/>
  <c r="X116" i="2"/>
  <c r="Y116" i="2"/>
  <c r="Y112" i="2"/>
  <c r="X112" i="2"/>
  <c r="W112" i="2"/>
  <c r="Z112" i="2"/>
  <c r="Y107" i="2"/>
  <c r="X107" i="2"/>
  <c r="W107" i="2"/>
  <c r="Z107" i="2"/>
  <c r="X84" i="2"/>
  <c r="Y101" i="2"/>
  <c r="J48" i="4" s="1"/>
  <c r="J49" i="4" s="1"/>
  <c r="X101" i="2"/>
  <c r="I48" i="4" s="1"/>
  <c r="I49" i="4" s="1"/>
  <c r="W101" i="2"/>
  <c r="H48" i="4" s="1"/>
  <c r="Y84" i="2"/>
  <c r="V102" i="2"/>
  <c r="U102" i="2"/>
  <c r="T102" i="2"/>
  <c r="Z101" i="2"/>
  <c r="K48" i="4" s="1"/>
  <c r="K49" i="4" s="1"/>
  <c r="Y78" i="2"/>
  <c r="Z78" i="2"/>
  <c r="Y73" i="2"/>
  <c r="X73" i="2"/>
  <c r="X80" i="2" s="1"/>
  <c r="Z73" i="2"/>
  <c r="Y64" i="2"/>
  <c r="X64" i="2"/>
  <c r="Y57" i="2"/>
  <c r="X57" i="2"/>
  <c r="W57" i="2"/>
  <c r="W65" i="2" s="1"/>
  <c r="Z64" i="2"/>
  <c r="Z57" i="2"/>
  <c r="L15" i="2"/>
  <c r="L16" i="2" s="1"/>
  <c r="L46" i="2"/>
  <c r="L29" i="2"/>
  <c r="L47" i="2" s="1"/>
  <c r="K15" i="2"/>
  <c r="K16" i="2" s="1"/>
  <c r="K46" i="2"/>
  <c r="K29" i="2"/>
  <c r="K47" i="2" s="1"/>
  <c r="J26" i="2"/>
  <c r="J25" i="2"/>
  <c r="J24" i="2"/>
  <c r="J23" i="2"/>
  <c r="J22" i="2"/>
  <c r="J21" i="2"/>
  <c r="J20" i="2"/>
  <c r="J19" i="2"/>
  <c r="J18" i="2"/>
  <c r="F26" i="2"/>
  <c r="F25" i="2"/>
  <c r="F24" i="2"/>
  <c r="F23" i="2"/>
  <c r="F22" i="2"/>
  <c r="F21" i="2"/>
  <c r="F20" i="2"/>
  <c r="F19" i="2"/>
  <c r="F18" i="2"/>
  <c r="J15" i="2"/>
  <c r="Z46" i="2"/>
  <c r="T18" i="2"/>
  <c r="U18" i="2"/>
  <c r="T14" i="2"/>
  <c r="T13" i="2"/>
  <c r="U14" i="2"/>
  <c r="U13" i="2"/>
  <c r="U11" i="2"/>
  <c r="T11" i="2"/>
  <c r="V14" i="2"/>
  <c r="V13" i="2"/>
  <c r="W14" i="2"/>
  <c r="W13" i="2"/>
  <c r="V11" i="2"/>
  <c r="W11" i="2"/>
  <c r="V18" i="2"/>
  <c r="W18" i="2"/>
  <c r="Z15" i="2"/>
  <c r="Y15" i="2"/>
  <c r="X15" i="2"/>
  <c r="H15" i="2"/>
  <c r="H16" i="2" s="1"/>
  <c r="G15" i="2"/>
  <c r="G16" i="2" s="1"/>
  <c r="F15" i="2"/>
  <c r="E15" i="2"/>
  <c r="E16" i="2" s="1"/>
  <c r="D15" i="2"/>
  <c r="D16" i="2" s="1"/>
  <c r="C15" i="2"/>
  <c r="C16" i="2" s="1"/>
  <c r="I15" i="2"/>
  <c r="I16" i="2" s="1"/>
  <c r="E31" i="2"/>
  <c r="J46" i="2"/>
  <c r="I46" i="2"/>
  <c r="H46" i="2"/>
  <c r="G46" i="2"/>
  <c r="X46" i="2"/>
  <c r="W46" i="2"/>
  <c r="V46" i="2"/>
  <c r="U46" i="2"/>
  <c r="Y46" i="2"/>
  <c r="V31" i="2"/>
  <c r="W31" i="2"/>
  <c r="X31" i="2"/>
  <c r="Y31" i="2"/>
  <c r="Z29" i="2"/>
  <c r="Z32" i="2" s="1"/>
  <c r="Y29" i="2"/>
  <c r="Y47" i="2" s="1"/>
  <c r="X29" i="2"/>
  <c r="X47" i="2" s="1"/>
  <c r="W29" i="2"/>
  <c r="W47" i="2" s="1"/>
  <c r="V29" i="2"/>
  <c r="V47" i="2" s="1"/>
  <c r="U29" i="2"/>
  <c r="U32" i="2" s="1"/>
  <c r="U34" i="2" s="1"/>
  <c r="U36" i="2" s="1"/>
  <c r="U38" i="2" s="1"/>
  <c r="T29" i="2"/>
  <c r="T32" i="2" s="1"/>
  <c r="T34" i="2" s="1"/>
  <c r="T36" i="2" s="1"/>
  <c r="T38" i="2" s="1"/>
  <c r="C29" i="2"/>
  <c r="C32" i="2" s="1"/>
  <c r="C48" i="2" s="1"/>
  <c r="J29" i="2"/>
  <c r="J32" i="2" s="1"/>
  <c r="J34" i="2" s="1"/>
  <c r="J50" i="2" s="1"/>
  <c r="I29" i="2"/>
  <c r="I32" i="2" s="1"/>
  <c r="I34" i="2" s="1"/>
  <c r="I50" i="2" s="1"/>
  <c r="H29" i="2"/>
  <c r="H32" i="2" s="1"/>
  <c r="H34" i="2" s="1"/>
  <c r="H50" i="2" s="1"/>
  <c r="F29" i="2"/>
  <c r="F47" i="2" s="1"/>
  <c r="E29" i="2"/>
  <c r="D29" i="2"/>
  <c r="D32" i="2" s="1"/>
  <c r="D34" i="2" s="1"/>
  <c r="D50" i="2" s="1"/>
  <c r="G29" i="2"/>
  <c r="G32" i="2" s="1"/>
  <c r="G34" i="2" s="1"/>
  <c r="G36" i="2" s="1"/>
  <c r="G38" i="2" s="1"/>
  <c r="I4" i="1"/>
  <c r="Z16" i="2" l="1"/>
  <c r="Z43" i="2"/>
  <c r="X16" i="2"/>
  <c r="Y16" i="2"/>
  <c r="Y43" i="2"/>
  <c r="AA16" i="2"/>
  <c r="AB15" i="2"/>
  <c r="AA43" i="2"/>
  <c r="O16" i="2"/>
  <c r="O43" i="2"/>
  <c r="O47" i="2"/>
  <c r="M47" i="2"/>
  <c r="M48" i="2"/>
  <c r="M49" i="2"/>
  <c r="N46" i="2"/>
  <c r="N32" i="2"/>
  <c r="N47" i="2"/>
  <c r="O34" i="2"/>
  <c r="O48" i="2"/>
  <c r="T119" i="2"/>
  <c r="T114" i="2"/>
  <c r="T15" i="2"/>
  <c r="T16" i="2" s="1"/>
  <c r="Z34" i="2"/>
  <c r="Z50" i="2" s="1"/>
  <c r="K31" i="4"/>
  <c r="U119" i="2"/>
  <c r="U114" i="2"/>
  <c r="U15" i="2"/>
  <c r="V119" i="2"/>
  <c r="V114" i="2"/>
  <c r="L32" i="4"/>
  <c r="L38" i="4"/>
  <c r="L40" i="4"/>
  <c r="L51" i="4" s="1"/>
  <c r="M50" i="2"/>
  <c r="W102" i="2"/>
  <c r="W119" i="2" s="1"/>
  <c r="H49" i="4"/>
  <c r="N16" i="2"/>
  <c r="Z80" i="2"/>
  <c r="V15" i="2"/>
  <c r="AA47" i="2"/>
  <c r="AA80" i="2"/>
  <c r="X65" i="2"/>
  <c r="Z65" i="2"/>
  <c r="Y65" i="2"/>
  <c r="AA34" i="2"/>
  <c r="AA48" i="2"/>
  <c r="L32" i="2"/>
  <c r="Y80" i="2"/>
  <c r="AA65" i="2"/>
  <c r="K32" i="2"/>
  <c r="Z48" i="2"/>
  <c r="F16" i="2"/>
  <c r="J16" i="2"/>
  <c r="W15" i="2"/>
  <c r="Z47" i="2"/>
  <c r="E32" i="2"/>
  <c r="E34" i="2" s="1"/>
  <c r="E36" i="2" s="1"/>
  <c r="E49" i="2" s="1"/>
  <c r="C47" i="2"/>
  <c r="T49" i="2"/>
  <c r="U49" i="2"/>
  <c r="T47" i="2"/>
  <c r="U47" i="2"/>
  <c r="F32" i="2"/>
  <c r="F34" i="2" s="1"/>
  <c r="F36" i="2" s="1"/>
  <c r="F38" i="2" s="1"/>
  <c r="E47" i="2"/>
  <c r="G47" i="2"/>
  <c r="C34" i="2"/>
  <c r="J47" i="2"/>
  <c r="G49" i="2"/>
  <c r="T48" i="2"/>
  <c r="T50" i="2"/>
  <c r="U48" i="2"/>
  <c r="V32" i="2"/>
  <c r="G31" i="4" s="1"/>
  <c r="U50" i="2"/>
  <c r="H36" i="2"/>
  <c r="J36" i="2"/>
  <c r="Y32" i="2"/>
  <c r="J31" i="4" s="1"/>
  <c r="G48" i="2"/>
  <c r="D36" i="2"/>
  <c r="G50" i="2"/>
  <c r="J48" i="2"/>
  <c r="I47" i="2"/>
  <c r="I36" i="2"/>
  <c r="I48" i="2"/>
  <c r="D47" i="2"/>
  <c r="D48" i="2"/>
  <c r="H47" i="2"/>
  <c r="H48" i="2"/>
  <c r="I7" i="1"/>
  <c r="I10" i="1" s="1"/>
  <c r="W32" i="2"/>
  <c r="H31" i="4" s="1"/>
  <c r="X32" i="2"/>
  <c r="I31" i="4" s="1"/>
  <c r="W16" i="2" l="1"/>
  <c r="W43" i="2"/>
  <c r="U16" i="2"/>
  <c r="U43" i="2"/>
  <c r="X43" i="2"/>
  <c r="V16" i="2"/>
  <c r="V43" i="2"/>
  <c r="AB43" i="2"/>
  <c r="AB16" i="2"/>
  <c r="AC15" i="2"/>
  <c r="J40" i="4"/>
  <c r="J51" i="4" s="1"/>
  <c r="J38" i="4"/>
  <c r="J32" i="4"/>
  <c r="G32" i="4"/>
  <c r="G40" i="4"/>
  <c r="G51" i="4" s="1"/>
  <c r="G38" i="4"/>
  <c r="I32" i="4"/>
  <c r="I40" i="4"/>
  <c r="I51" i="4" s="1"/>
  <c r="I38" i="4"/>
  <c r="H32" i="4"/>
  <c r="H40" i="4"/>
  <c r="H51" i="4" s="1"/>
  <c r="H38" i="4"/>
  <c r="W114" i="2"/>
  <c r="W115" i="2" s="1"/>
  <c r="V116" i="2" s="1"/>
  <c r="V115" i="2" s="1"/>
  <c r="U116" i="2" s="1"/>
  <c r="U115" i="2" s="1"/>
  <c r="T116" i="2" s="1"/>
  <c r="T115" i="2" s="1"/>
  <c r="K32" i="4"/>
  <c r="K38" i="4"/>
  <c r="K40" i="4"/>
  <c r="K51" i="4" s="1"/>
  <c r="O50" i="2"/>
  <c r="O36" i="2"/>
  <c r="Z36" i="2"/>
  <c r="N34" i="2"/>
  <c r="N48" i="2"/>
  <c r="K34" i="2"/>
  <c r="K48" i="2"/>
  <c r="L48" i="2"/>
  <c r="L34" i="2"/>
  <c r="AA36" i="2"/>
  <c r="AA50" i="2"/>
  <c r="F49" i="2"/>
  <c r="E38" i="2"/>
  <c r="E50" i="2"/>
  <c r="E48" i="2"/>
  <c r="F50" i="2"/>
  <c r="F48" i="2"/>
  <c r="D38" i="2"/>
  <c r="D49" i="2"/>
  <c r="Y48" i="2"/>
  <c r="Y34" i="2"/>
  <c r="J38" i="2"/>
  <c r="J49" i="2"/>
  <c r="H38" i="2"/>
  <c r="H49" i="2"/>
  <c r="X48" i="2"/>
  <c r="X34" i="2"/>
  <c r="V34" i="2"/>
  <c r="V48" i="2"/>
  <c r="W48" i="2"/>
  <c r="W34" i="2"/>
  <c r="C36" i="2"/>
  <c r="C50" i="2"/>
  <c r="I38" i="2"/>
  <c r="I49" i="2"/>
  <c r="AD15" i="2" l="1"/>
  <c r="AC16" i="2"/>
  <c r="AC43" i="2"/>
  <c r="O38" i="2"/>
  <c r="O49" i="2"/>
  <c r="N50" i="2"/>
  <c r="N36" i="2"/>
  <c r="Z82" i="2"/>
  <c r="Z102" i="2" s="1"/>
  <c r="Z49" i="2"/>
  <c r="Z38" i="2"/>
  <c r="AA38" i="2"/>
  <c r="AA82" i="2"/>
  <c r="AA102" i="2" s="1"/>
  <c r="AA49" i="2"/>
  <c r="L50" i="2"/>
  <c r="L36" i="2"/>
  <c r="K36" i="2"/>
  <c r="K50" i="2"/>
  <c r="C38" i="2"/>
  <c r="C49" i="2"/>
  <c r="W50" i="2"/>
  <c r="W36" i="2"/>
  <c r="W38" i="2" s="1"/>
  <c r="V36" i="2"/>
  <c r="V38" i="2" s="1"/>
  <c r="V50" i="2"/>
  <c r="X50" i="2"/>
  <c r="X36" i="2"/>
  <c r="Y36" i="2"/>
  <c r="Y50" i="2"/>
  <c r="AD16" i="2" l="1"/>
  <c r="AE15" i="2"/>
  <c r="AD43" i="2"/>
  <c r="AA114" i="2"/>
  <c r="AA119" i="2"/>
  <c r="Z114" i="2"/>
  <c r="Z116" i="2" s="1"/>
  <c r="AA115" i="2" s="1"/>
  <c r="Z119" i="2"/>
  <c r="N49" i="2"/>
  <c r="N38" i="2"/>
  <c r="Y38" i="2"/>
  <c r="Y82" i="2"/>
  <c r="Y102" i="2" s="1"/>
  <c r="X38" i="2"/>
  <c r="X82" i="2"/>
  <c r="X102" i="2" s="1"/>
  <c r="K38" i="2"/>
  <c r="K49" i="2"/>
  <c r="L49" i="2"/>
  <c r="L38" i="2"/>
  <c r="X49" i="2"/>
  <c r="Y49" i="2"/>
  <c r="V49" i="2"/>
  <c r="W49" i="2"/>
  <c r="AF15" i="2" l="1"/>
  <c r="AE16" i="2"/>
  <c r="AE43" i="2"/>
  <c r="X114" i="2"/>
  <c r="X119" i="2"/>
  <c r="Y114" i="2"/>
  <c r="Y119" i="2"/>
  <c r="AA116" i="2"/>
  <c r="AG15" i="2" l="1"/>
  <c r="AF16" i="2"/>
  <c r="AF43" i="2"/>
  <c r="AH15" i="2" l="1"/>
  <c r="AG16" i="2"/>
  <c r="AG43" i="2"/>
  <c r="AH16" i="2" l="1"/>
  <c r="AH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tc={D4AB9348-BA80-4F3C-90B7-AB6CBC49FF4A}</author>
    <author>tc={D5EB2C27-B7D0-4644-9DCD-C11EF31DCE9B}</author>
    <author>tc={70CDCA07-2FB0-4476-9043-D6D6ECCDCCB8}</author>
  </authors>
  <commentList>
    <comment ref="Z7" authorId="0" shapeId="0" xr:uid="{D4AB9348-BA80-4F3C-90B7-AB6CBC49FF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accurate, back-enginnered
</t>
      </text>
    </comment>
    <comment ref="AB7" authorId="1" shapeId="0" xr:uid="{D5EB2C27-B7D0-4644-9DCD-C11EF31DCE9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https://www.researchandmarkets.com/reports/5980310/sports-apparel-market-report</t>
      </text>
    </comment>
    <comment ref="M27" authorId="2" shapeId="0" xr:uid="{70CDCA07-2FB0-4476-9043-D6D6ECCDCCB8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2470 to 2500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<sst xmlns="http://schemas.openxmlformats.org/spreadsheetml/2006/main" count="374" uniqueCount="303">
  <si>
    <t>SEC</t>
  </si>
  <si>
    <t>Investors</t>
  </si>
  <si>
    <t>Price</t>
  </si>
  <si>
    <t>MC</t>
  </si>
  <si>
    <t>Cash</t>
  </si>
  <si>
    <t>Debt</t>
  </si>
  <si>
    <t>EV</t>
  </si>
  <si>
    <t>Main</t>
  </si>
  <si>
    <t>Q124</t>
  </si>
  <si>
    <t>Q224</t>
  </si>
  <si>
    <t>Q324</t>
  </si>
  <si>
    <t>Q424</t>
  </si>
  <si>
    <t>Reveues</t>
  </si>
  <si>
    <t>FY19</t>
  </si>
  <si>
    <t>FY20</t>
  </si>
  <si>
    <t>FY21</t>
  </si>
  <si>
    <t>FY22</t>
  </si>
  <si>
    <t>FY23</t>
  </si>
  <si>
    <t>FY24</t>
  </si>
  <si>
    <t>COGS</t>
  </si>
  <si>
    <t>Gross Profit</t>
  </si>
  <si>
    <t>SGA</t>
  </si>
  <si>
    <t>Operating Income</t>
  </si>
  <si>
    <t>Other Income</t>
  </si>
  <si>
    <t>Pretax Income</t>
  </si>
  <si>
    <t>Income Tax Expense</t>
  </si>
  <si>
    <t>Net Income</t>
  </si>
  <si>
    <t>Shares</t>
  </si>
  <si>
    <t>EPS</t>
  </si>
  <si>
    <t>Other Expenses</t>
  </si>
  <si>
    <t>BFY</t>
  </si>
  <si>
    <t>EFY</t>
  </si>
  <si>
    <t>Revenue Growth</t>
  </si>
  <si>
    <t>Gross Margin</t>
  </si>
  <si>
    <t>Operating Margin</t>
  </si>
  <si>
    <t>Net Margin</t>
  </si>
  <si>
    <t>Tax Rate</t>
  </si>
  <si>
    <t>numbers in mio USD</t>
  </si>
  <si>
    <t>FY18</t>
  </si>
  <si>
    <t>Q123</t>
  </si>
  <si>
    <t>Q223</t>
  </si>
  <si>
    <t>Q323</t>
  </si>
  <si>
    <t>Q423</t>
  </si>
  <si>
    <t>Americas Revenue</t>
  </si>
  <si>
    <t>ROW Revenue</t>
  </si>
  <si>
    <t>Women Products</t>
  </si>
  <si>
    <t>Men Products</t>
  </si>
  <si>
    <t>Other</t>
  </si>
  <si>
    <t>Store Revenue</t>
  </si>
  <si>
    <t>E-commerce Revenue</t>
  </si>
  <si>
    <t>Other channels</t>
  </si>
  <si>
    <t>Americas Stores</t>
  </si>
  <si>
    <t>China-Mainland Stores</t>
  </si>
  <si>
    <t>China-Mainland Revenue</t>
  </si>
  <si>
    <t>APAC Stores</t>
  </si>
  <si>
    <t>EMEA Stores</t>
  </si>
  <si>
    <t>Total Stores</t>
  </si>
  <si>
    <t>ARPS</t>
  </si>
  <si>
    <t>Q125</t>
  </si>
  <si>
    <t>Q225</t>
  </si>
  <si>
    <t>Q325</t>
  </si>
  <si>
    <t>Q425</t>
  </si>
  <si>
    <t>P/E</t>
  </si>
  <si>
    <t>EV/EBIT</t>
  </si>
  <si>
    <t>LuluLemon</t>
  </si>
  <si>
    <t>Cash &amp; Cash Equivalents</t>
  </si>
  <si>
    <t>Accounts receivables</t>
  </si>
  <si>
    <t>Inventories</t>
  </si>
  <si>
    <t>Accrued Taxes</t>
  </si>
  <si>
    <t>Prepaid Expenses &amp; other</t>
  </si>
  <si>
    <t>Current Assets</t>
  </si>
  <si>
    <t>PP&amp;E</t>
  </si>
  <si>
    <t>Lease Assets</t>
  </si>
  <si>
    <t>Goodwill</t>
  </si>
  <si>
    <t>Intangibles</t>
  </si>
  <si>
    <t>Deffered Taxes</t>
  </si>
  <si>
    <t>Non-Current Assets</t>
  </si>
  <si>
    <t>Total Assets</t>
  </si>
  <si>
    <t>Liabililties &amp; Equity</t>
  </si>
  <si>
    <t>Non-Current Liabilities</t>
  </si>
  <si>
    <t>Accounts payables</t>
  </si>
  <si>
    <t>Accrued Liabilities</t>
  </si>
  <si>
    <t>Accrued compensation</t>
  </si>
  <si>
    <t>Lease Liabilities</t>
  </si>
  <si>
    <t>Income Tax payables</t>
  </si>
  <si>
    <t>Gift Card Liabilities</t>
  </si>
  <si>
    <t>Current Liabilties</t>
  </si>
  <si>
    <t>Equity</t>
  </si>
  <si>
    <t>CFFO</t>
  </si>
  <si>
    <t>D&amp;A</t>
  </si>
  <si>
    <t>Impairments</t>
  </si>
  <si>
    <t>SBCs</t>
  </si>
  <si>
    <t>Derecognition Gift Cards</t>
  </si>
  <si>
    <t>Derivatives Settlements</t>
  </si>
  <si>
    <t>Change in AR</t>
  </si>
  <si>
    <t>Change in TR</t>
  </si>
  <si>
    <t>Change in PE</t>
  </si>
  <si>
    <t>Change in ONCA</t>
  </si>
  <si>
    <t>Change in AP</t>
  </si>
  <si>
    <t>Change in AL</t>
  </si>
  <si>
    <t>Change in AC</t>
  </si>
  <si>
    <t>Cahnge in TP</t>
  </si>
  <si>
    <t>Change in UGL</t>
  </si>
  <si>
    <t>Change in Leases</t>
  </si>
  <si>
    <t>Change in OL</t>
  </si>
  <si>
    <t>Change in WC</t>
  </si>
  <si>
    <t>Change in Inventories</t>
  </si>
  <si>
    <t>CFFI</t>
  </si>
  <si>
    <t>CapEx</t>
  </si>
  <si>
    <t>Investment Hedges</t>
  </si>
  <si>
    <t>Acquisitions</t>
  </si>
  <si>
    <t>Settlements of SBCs</t>
  </si>
  <si>
    <t>Tax paid related to SBCs</t>
  </si>
  <si>
    <t>Stock Repurchases</t>
  </si>
  <si>
    <t>CFFF</t>
  </si>
  <si>
    <t>Fx</t>
  </si>
  <si>
    <t>Change in Cash</t>
  </si>
  <si>
    <t>Cash BoP</t>
  </si>
  <si>
    <t>Cash EoP</t>
  </si>
  <si>
    <t>FY25</t>
  </si>
  <si>
    <t>Q126</t>
  </si>
  <si>
    <t>Q226</t>
  </si>
  <si>
    <t>Q326</t>
  </si>
  <si>
    <t>Q426</t>
  </si>
  <si>
    <t>Free Cashflow</t>
  </si>
  <si>
    <t>Ratios</t>
  </si>
  <si>
    <t>FY26</t>
  </si>
  <si>
    <t>Shares o/s</t>
  </si>
  <si>
    <t>Market Cap</t>
  </si>
  <si>
    <t>Net Debt</t>
  </si>
  <si>
    <t>x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</si>
  <si>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</si>
  <si>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</si>
  <si>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</si>
  <si>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</si>
  <si>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</si>
  <si>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</si>
  <si>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</si>
  <si>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</si>
  <si>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</si>
  <si>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</si>
  <si>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</si>
  <si>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</si>
  <si>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</si>
  <si>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</si>
  <si>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</si>
  <si>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</si>
  <si>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</si>
  <si>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</si>
  <si>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</si>
  <si>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</si>
  <si>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=Revenue/Equity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</si>
  <si>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</si>
  <si>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</si>
  <si>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</si>
  <si>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</si>
  <si>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</si>
  <si>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</si>
  <si>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</si>
  <si>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</si>
  <si>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</si>
  <si>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</si>
  <si>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</si>
  <si>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</si>
  <si>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</si>
  <si>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</si>
  <si>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</si>
  <si>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</si>
  <si>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</si>
  <si>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</si>
  <si>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</si>
  <si>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</si>
  <si>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</si>
  <si>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</si>
  <si>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</si>
  <si>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</si>
  <si>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</si>
  <si>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</si>
  <si>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</si>
  <si>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</si>
  <si>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</si>
  <si>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</si>
  <si>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</si>
  <si>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</si>
  <si>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</si>
  <si>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</si>
  <si>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</si>
  <si>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</si>
  <si>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</si>
  <si>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</si>
  <si>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</si>
  <si>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</si>
  <si>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</si>
  <si>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</si>
  <si>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</si>
  <si>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</si>
  <si>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</si>
  <si>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</si>
  <si>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</si>
  <si>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</si>
  <si>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</si>
  <si>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</si>
  <si>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</si>
  <si>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</si>
  <si>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</si>
  <si>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</si>
  <si>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</si>
  <si>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</si>
  <si>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</si>
  <si>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=EV/EBIT</t>
  </si>
  <si>
    <t>EV/FCF</t>
  </si>
  <si>
    <t>=EV/FCF</t>
  </si>
  <si>
    <t>EV/Sales</t>
  </si>
  <si>
    <t>=EV/Revenue</t>
  </si>
  <si>
    <t>DCF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</si>
  <si>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</si>
  <si>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</si>
  <si>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</si>
  <si>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</si>
  <si>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</si>
  <si>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</si>
  <si>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</si>
  <si>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</si>
  <si>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</si>
  <si>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</si>
  <si>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</si>
  <si>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</si>
  <si>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Year</t>
  </si>
  <si>
    <t>Metic</t>
  </si>
  <si>
    <t>Revenue</t>
  </si>
  <si>
    <t xml:space="preserve">Revenue </t>
  </si>
  <si>
    <t>EBIT</t>
  </si>
  <si>
    <t>WACC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</si>
  <si>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</si>
  <si>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</si>
  <si>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</si>
  <si>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</si>
  <si>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</si>
  <si>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</si>
  <si>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</si>
  <si>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</si>
  <si>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</si>
  <si>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</si>
  <si>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</si>
  <si>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</si>
  <si>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</si>
  <si>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</si>
  <si>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</si>
  <si>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</si>
  <si>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</si>
  <si>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</si>
  <si>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</si>
  <si>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</si>
  <si>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</si>
  <si>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</si>
  <si>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</si>
  <si>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</si>
  <si>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</si>
  <si>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</si>
  <si>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</si>
  <si>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</si>
  <si>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</si>
  <si>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</si>
  <si>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LULU</t>
  </si>
  <si>
    <t>Market Case</t>
  </si>
  <si>
    <t>Sports Apparel Market</t>
  </si>
  <si>
    <t>Nike Sports Apparel</t>
  </si>
  <si>
    <t>Adidas Sports Apparel</t>
  </si>
  <si>
    <t>Anta Sports Apparel</t>
  </si>
  <si>
    <t>LULU Market Share</t>
  </si>
  <si>
    <t>FY27</t>
  </si>
  <si>
    <t>FY28</t>
  </si>
  <si>
    <t>FY29</t>
  </si>
  <si>
    <t>FY30</t>
  </si>
  <si>
    <t>FY31</t>
  </si>
  <si>
    <t>FY32</t>
  </si>
  <si>
    <t>Puma Sports Apparel</t>
  </si>
  <si>
    <t>Market Share</t>
  </si>
  <si>
    <t>Store Growth</t>
  </si>
  <si>
    <t>FX</t>
  </si>
  <si>
    <t>EUR/USD</t>
  </si>
  <si>
    <t>RMB/USD</t>
  </si>
  <si>
    <t>% Ecommerce</t>
  </si>
  <si>
    <t>% Store Sales</t>
  </si>
  <si>
    <t>CEO:</t>
  </si>
  <si>
    <t>Heidi O'Neill</t>
  </si>
  <si>
    <t>CFO</t>
  </si>
  <si>
    <t>Founded:</t>
  </si>
  <si>
    <t>Meghan Frank</t>
  </si>
  <si>
    <t>by Chip Wilson in Vancouver</t>
  </si>
  <si>
    <t>Notes</t>
  </si>
  <si>
    <t>May 2026, settlement with Chip Wilson:</t>
  </si>
  <si>
    <t>Two of his nominees are appointed to board</t>
  </si>
  <si>
    <t xml:space="preserve">of Directors </t>
  </si>
  <si>
    <t>In exchange he agreed to stop critizing the company's</t>
  </si>
  <si>
    <t>management publicly</t>
  </si>
  <si>
    <t>Q226:</t>
  </si>
  <si>
    <t>Weak leggins -&gt; down 20%</t>
  </si>
  <si>
    <t>(pior at Nike Consumer, Product &amp; Brand, joins 09.09)</t>
  </si>
  <si>
    <t>Outlook</t>
  </si>
  <si>
    <t>China weakens, brand problems rather than macro</t>
  </si>
  <si>
    <t>For full year: Revenue down 5-7% (10.35-10,5)</t>
  </si>
  <si>
    <t>EPS: 9,48-9,73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</si>
</sst>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[Red]#,##0.0"/>
    <numFmt numFmtId="165" formatCode="#,##0.0;\(#,##0.0\)"/>
    <numFmt numFmtId="166" formatCode="0.0"/>
    <numFmt numFmtId="167" formatCode="#,##0.00;\(#,##0.00\)"/>
    <numFmt numFmtId="168" formatCode="\F\Y#,##0"/>
    <numFmt numFmtId="169" formatCode="#,##0;\(#,##0\)"/>
    <numFmt numFmtId="170" formatCode="#,##0.0"/>
    <numFmt numFmtId="171" formatCode="0.0%"/>
    <numFmt numFmtId="172" formatCode="&quot;FY&quot;0&quot;A&quot;"/>
  </numFmts>
  <fonts count="2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02">
    <xf numFmtId="0" fontId="0" fillId="0" borderId="0" xfId="0"/>
    <xf numFmtId="0" fontId="13" fillId="0" borderId="0" xfId="0" applyFont="1"/>
    <xf numFmtId="0" fontId="10" fillId="0" borderId="0" xfId="0" applyFont="1"/>
    <xf numFmtId="165" fontId="10" fillId="0" borderId="0" xfId="0" applyNumberFormat="1" applyFont="1"/>
    <xf numFmtId="0" fontId="10" fillId="0" borderId="0" xfId="0" applyFont="1" applyAlignment="1">
      <alignment horizontal="right"/>
    </xf>
    <xf numFmtId="0" fontId="14" fillId="0" borderId="0" xfId="1" applyFont="1"/>
    <xf numFmtId="16" fontId="10" fillId="0" borderId="0" xfId="0" applyNumberFormat="1" applyFont="1"/>
    <xf numFmtId="164" fontId="10" fillId="0" borderId="0" xfId="0" applyNumberFormat="1" applyFont="1"/>
    <xf numFmtId="166" fontId="10" fillId="0" borderId="0" xfId="0" applyNumberFormat="1" applyFont="1"/>
    <xf numFmtId="0" fontId="13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65" fontId="13" fillId="0" borderId="0" xfId="0" applyNumberFormat="1" applyFont="1"/>
    <xf numFmtId="9" fontId="13" fillId="0" borderId="0" xfId="2" applyFont="1"/>
    <xf numFmtId="9" fontId="10" fillId="0" borderId="0" xfId="2" applyFont="1"/>
    <xf numFmtId="167" fontId="10" fillId="0" borderId="0" xfId="0" applyNumberFormat="1" applyFont="1"/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17" fillId="0" borderId="0" xfId="0" applyFont="1"/>
    <xf numFmtId="168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69" fontId="4" fillId="0" borderId="0" xfId="0" applyNumberFormat="1" applyFont="1"/>
    <xf numFmtId="0" fontId="4" fillId="0" borderId="0" xfId="0" applyFont="1" applyAlignment="1">
      <alignment horizontal="center"/>
    </xf>
    <xf numFmtId="0" fontId="19" fillId="0" borderId="0" xfId="0" applyFont="1"/>
    <xf numFmtId="0" fontId="4" fillId="0" borderId="0" xfId="0" quotePrefix="1" applyFont="1"/>
    <xf numFmtId="9" fontId="4" fillId="0" borderId="0" xfId="2" applyFont="1"/>
    <xf numFmtId="9" fontId="4" fillId="0" borderId="0" xfId="0" applyNumberFormat="1" applyFont="1"/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164" fontId="4" fillId="0" borderId="0" xfId="0" applyNumberFormat="1" applyFont="1"/>
    <xf numFmtId="0" fontId="20" fillId="0" borderId="0" xfId="0" applyFont="1"/>
    <xf numFmtId="0" fontId="14" fillId="0" borderId="1" xfId="1" applyFont="1" applyBorder="1"/>
    <xf numFmtId="0" fontId="1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4" fillId="2" borderId="3" xfId="0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170" fontId="4" fillId="2" borderId="4" xfId="2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9" fontId="4" fillId="2" borderId="4" xfId="2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5" fillId="3" borderId="0" xfId="0" applyFont="1" applyFill="1"/>
    <xf numFmtId="0" fontId="15" fillId="4" borderId="0" xfId="0" applyFont="1" applyFill="1"/>
    <xf numFmtId="0" fontId="16" fillId="4" borderId="0" xfId="0" applyFont="1" applyFill="1"/>
    <xf numFmtId="0" fontId="21" fillId="0" borderId="0" xfId="0" applyFont="1"/>
    <xf numFmtId="171" fontId="4" fillId="2" borderId="4" xfId="2" applyNumberFormat="1" applyFont="1" applyFill="1" applyBorder="1" applyAlignment="1">
      <alignment horizontal="center"/>
    </xf>
    <xf numFmtId="172" fontId="15" fillId="3" borderId="0" xfId="0" applyNumberFormat="1" applyFont="1" applyFill="1"/>
    <xf numFmtId="0" fontId="2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2" fillId="0" borderId="0" xfId="0" applyFont="1"/>
    <xf numFmtId="9" fontId="22" fillId="0" borderId="0" xfId="2" applyFont="1"/>
    <xf numFmtId="171" fontId="4" fillId="2" borderId="4" xfId="2" applyNumberFormat="1" applyFont="1" applyFill="1" applyBorder="1" applyAlignment="1">
      <alignment horizontal="right"/>
    </xf>
    <xf numFmtId="0" fontId="13" fillId="5" borderId="5" xfId="0" applyFont="1" applyFill="1" applyBorder="1"/>
    <xf numFmtId="0" fontId="13" fillId="5" borderId="6" xfId="0" applyFont="1" applyFill="1" applyBorder="1"/>
    <xf numFmtId="169" fontId="13" fillId="5" borderId="6" xfId="0" applyNumberFormat="1" applyFont="1" applyFill="1" applyBorder="1"/>
    <xf numFmtId="169" fontId="13" fillId="5" borderId="7" xfId="0" applyNumberFormat="1" applyFont="1" applyFill="1" applyBorder="1"/>
    <xf numFmtId="171" fontId="22" fillId="0" borderId="0" xfId="2" applyNumberFormat="1" applyFont="1"/>
    <xf numFmtId="171" fontId="22" fillId="0" borderId="0" xfId="0" applyNumberFormat="1" applyFont="1"/>
    <xf numFmtId="164" fontId="13" fillId="5" borderId="8" xfId="0" applyNumberFormat="1" applyFont="1" applyFill="1" applyBorder="1"/>
    <xf numFmtId="164" fontId="13" fillId="5" borderId="9" xfId="0" applyNumberFormat="1" applyFont="1" applyFill="1" applyBorder="1"/>
    <xf numFmtId="169" fontId="13" fillId="5" borderId="9" xfId="0" applyNumberFormat="1" applyFont="1" applyFill="1" applyBorder="1"/>
    <xf numFmtId="169" fontId="13" fillId="5" borderId="10" xfId="0" applyNumberFormat="1" applyFont="1" applyFill="1" applyBorder="1"/>
    <xf numFmtId="164" fontId="13" fillId="5" borderId="11" xfId="0" applyNumberFormat="1" applyFont="1" applyFill="1" applyBorder="1"/>
    <xf numFmtId="164" fontId="13" fillId="5" borderId="1" xfId="0" applyNumberFormat="1" applyFont="1" applyFill="1" applyBorder="1"/>
    <xf numFmtId="169" fontId="13" fillId="5" borderId="1" xfId="0" applyNumberFormat="1" applyFont="1" applyFill="1" applyBorder="1"/>
    <xf numFmtId="169" fontId="13" fillId="5" borderId="12" xfId="0" applyNumberFormat="1" applyFont="1" applyFill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/>
    </xf>
    <xf numFmtId="0" fontId="4" fillId="0" borderId="6" xfId="0" applyFont="1" applyBorder="1"/>
    <xf numFmtId="164" fontId="4" fillId="0" borderId="6" xfId="0" applyNumberFormat="1" applyFont="1" applyBorder="1"/>
    <xf numFmtId="164" fontId="4" fillId="0" borderId="6" xfId="0" applyNumberFormat="1" applyFont="1" applyBorder="1" applyAlignment="1">
      <alignment horizontal="right"/>
    </xf>
    <xf numFmtId="169" fontId="4" fillId="0" borderId="0" xfId="0" applyNumberFormat="1" applyFont="1" applyAlignment="1">
      <alignment horizontal="right"/>
    </xf>
    <xf numFmtId="169" fontId="4" fillId="0" borderId="1" xfId="0" applyNumberFormat="1" applyFont="1" applyBorder="1" applyAlignment="1">
      <alignment horizontal="right"/>
    </xf>
    <xf numFmtId="0" fontId="4" fillId="6" borderId="8" xfId="0" applyFont="1" applyFill="1" applyBorder="1"/>
    <xf numFmtId="2" fontId="23" fillId="6" borderId="9" xfId="0" applyNumberFormat="1" applyFont="1" applyFill="1" applyBorder="1"/>
    <xf numFmtId="171" fontId="15" fillId="6" borderId="9" xfId="0" applyNumberFormat="1" applyFont="1" applyFill="1" applyBorder="1"/>
    <xf numFmtId="171" fontId="15" fillId="6" borderId="0" xfId="0" applyNumberFormat="1" applyFont="1" applyFill="1"/>
    <xf numFmtId="166" fontId="4" fillId="0" borderId="0" xfId="0" applyNumberFormat="1" applyFont="1"/>
    <xf numFmtId="166" fontId="13" fillId="0" borderId="0" xfId="0" applyNumberFormat="1" applyFont="1"/>
    <xf numFmtId="14" fontId="4" fillId="2" borderId="4" xfId="0" applyNumberFormat="1" applyFont="1" applyFill="1" applyBorder="1" applyAlignment="1">
      <alignment horizontal="center"/>
    </xf>
    <xf numFmtId="165" fontId="3" fillId="0" borderId="0" xfId="0" applyNumberFormat="1" applyFont="1"/>
    <xf numFmtId="0" fontId="2" fillId="0" borderId="0" xfId="0" applyFont="1"/>
    <xf numFmtId="169" fontId="10" fillId="0" borderId="0" xfId="0" applyNumberFormat="1" applyFont="1"/>
    <xf numFmtId="169" fontId="13" fillId="0" borderId="0" xfId="0" applyNumberFormat="1" applyFont="1"/>
    <xf numFmtId="0" fontId="2" fillId="0" borderId="0" xfId="0" applyFont="1" applyAlignment="1">
      <alignment horizontal="right"/>
    </xf>
    <xf numFmtId="171" fontId="10" fillId="0" borderId="0" xfId="2" applyNumberFormat="1" applyFont="1"/>
    <xf numFmtId="169" fontId="2" fillId="0" borderId="0" xfId="0" applyNumberFormat="1" applyFont="1"/>
    <xf numFmtId="165" fontId="2" fillId="0" borderId="0" xfId="0" applyNumberFormat="1" applyFont="1"/>
    <xf numFmtId="1" fontId="10" fillId="0" borderId="0" xfId="0" applyNumberFormat="1" applyFont="1"/>
    <xf numFmtId="0" fontId="13" fillId="6" borderId="9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 vertical="center" textRotation="90"/>
    </xf>
    <xf numFmtId="0" fontId="13" fillId="6" borderId="14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  <xf numFmtId="0" fontId="1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9526</xdr:colOff>
      <xdr:row>1</xdr:row>
      <xdr:rowOff>123825</xdr:rowOff>
    </xdr:from>
    <xdr:to>
      <xdr:col>16</xdr:col>
      <xdr:colOff>38101</xdr:colOff>
      <xdr:row>46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56DDCE-2E1F-8C2F-8E18-EABCC26A1A44}"/>
            </a:ext>
          </a:extLst>
        </xdr:cNvPr>
        <xdr:cNvCxnSpPr/>
      </xdr:nvCxnSpPr>
      <xdr:spPr>
        <a:xfrm>
          <a:off x="10420351" y="285750"/>
          <a:ext cx="28575" cy="7315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4763</xdr:colOff>
      <xdr:row>0</xdr:row>
      <xdr:rowOff>123825</xdr:rowOff>
    </xdr:from>
    <xdr:to>
      <xdr:col>27</xdr:col>
      <xdr:colOff>19050</xdr:colOff>
      <xdr:row>45</xdr:row>
      <xdr:rowOff>85725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9AB8497-3EC9-42E1-5088-980C7E311766}"/>
            </a:ext>
          </a:extLst>
        </xdr:cNvPr>
        <xdr:cNvCxnSpPr/>
      </xdr:nvCxnSpPr>
      <xdr:spPr>
        <a:xfrm>
          <a:off x="17121188" y="123825"/>
          <a:ext cx="14287" cy="6438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34925</xdr:rowOff>
    </xdr:from>
    <xdr:to>
      <xdr:col>10</xdr:col>
      <xdr:colOff>0</xdr:colOff>
      <xdr:row>60</xdr:row>
      <xdr:rowOff>79375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E43CC59-C59B-4E9C-BEA1-B75D2A04A5D2}"/>
            </a:ext>
          </a:extLst>
        </xdr:cNvPr>
        <xdr:cNvCxnSpPr/>
      </xdr:nvCxnSpPr>
      <xdr:spPr>
        <a:xfrm>
          <a:off x="7600950" y="206375"/>
          <a:ext cx="0" cy="10331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9F4B8A01-EF8E-4989-A225-17C5F64F96F8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7" dT="2026-08-05T09:50:33.99" personId="{9F4B8A01-EF8E-4989-A225-17C5F64F96F8}" id="{D4AB9348-BA80-4F3C-90B7-AB6CBC49FF4A}">
    <text xml:space="preserve">Not accurate, back-enginnered
</text>
  </threadedComment>
  <threadedComment ref="AB7" dT="2026-08-05T08:48:18.14" personId="{9F4B8A01-EF8E-4989-A225-17C5F64F96F8}" id="{D5EB2C27-B7D0-4644-9DCD-C11EF31DCE9B}">
    <text>https://www.researchandmarkets.com/reports/5980310/sports-apparel-market-report</text>
    <extLst>
      <x:ext xmlns:xltc2="http://schemas.microsoft.com/office/spreadsheetml/2020/threadedcomments2" uri="{F7C98A9C-CBB3-438F-8F68-D28B6AF4A901}">
        <xltc2:checksum>63103703</xltc2:checksum>
        <xltc2:hyperlink startIndex="0" length="79" url="https://www.researchandmarkets.com/reports/5980310/sports-apparel-market-report"/>
      </x:ext>
    </extLst>
  </threadedComment>
  <threadedComment ref="M27" dT="2025-09-05T11:16:01.19" personId="{9F4B8A01-EF8E-4989-A225-17C5F64F96F8}" id="{70CDCA07-2FB0-4476-9043-D6D6ECCDCCB8}">
    <text>Guidance 2470 to 2500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rporate.lululemon.com/investors" TargetMode="External"/><Relationship Id="rId1" Type="http://schemas.openxmlformats.org/officeDocument/2006/relationships/hyperlink" Target="https://www.sec.gov/edgar/browse/?CIK=1397187&amp;owner=exclu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D264-7AA2-4A43-9561-8F9D88497622}">
  <dimension ref="A1:K24"/>
  <sheetViews>
    <sheetView tabSelected="1" zoomScale="200" zoomScaleNormal="200" workbookViewId="0">
      <selection activeCell="I10" sqref="I10"/>
    </sheetView>
  </sheetViews>
  <sheetFormatPr defaultRowHeight="12.75" x14ac:dyDescent="0.2"/>
  <cols>
    <col min="1" max="1" width="4.28515625" style="2" customWidth="1"/>
    <col min="2" max="7" width="9.140625" style="2"/>
    <col min="8" max="8" width="9.85546875" style="2" customWidth="1"/>
    <col min="9" max="16384" width="9.140625" style="2"/>
  </cols>
  <sheetData>
    <row r="1" spans="1:11" x14ac:dyDescent="0.2">
      <c r="A1" s="1" t="s">
        <v>64</v>
      </c>
    </row>
    <row r="2" spans="1:11" x14ac:dyDescent="0.2">
      <c r="A2" s="2" t="s">
        <v>37</v>
      </c>
      <c r="H2" s="2" t="s">
        <v>2</v>
      </c>
      <c r="I2" s="16">
        <v>99.65</v>
      </c>
    </row>
    <row r="3" spans="1:11" x14ac:dyDescent="0.2">
      <c r="H3" s="2" t="s">
        <v>27</v>
      </c>
      <c r="I3" s="3">
        <v>105.594064</v>
      </c>
      <c r="J3" s="100" t="s">
        <v>121</v>
      </c>
    </row>
    <row r="4" spans="1:11" x14ac:dyDescent="0.2">
      <c r="B4" s="5" t="s">
        <v>0</v>
      </c>
      <c r="C4" s="2" t="s">
        <v>30</v>
      </c>
      <c r="D4" s="6">
        <v>45323</v>
      </c>
      <c r="E4" s="6"/>
      <c r="F4" s="6"/>
      <c r="H4" s="2" t="s">
        <v>3</v>
      </c>
      <c r="I4" s="7">
        <f>I3*I2</f>
        <v>10522.448477600001</v>
      </c>
    </row>
    <row r="5" spans="1:11" x14ac:dyDescent="0.2">
      <c r="B5" s="5" t="s">
        <v>1</v>
      </c>
      <c r="C5" s="2" t="s">
        <v>31</v>
      </c>
      <c r="D5" s="6">
        <v>45322</v>
      </c>
      <c r="E5" s="6"/>
      <c r="F5" s="6"/>
      <c r="H5" s="2" t="s">
        <v>4</v>
      </c>
      <c r="I5" s="7">
        <v>189.73699999999999</v>
      </c>
      <c r="J5" s="100" t="s">
        <v>121</v>
      </c>
    </row>
    <row r="6" spans="1:11" x14ac:dyDescent="0.2">
      <c r="H6" s="2" t="s">
        <v>5</v>
      </c>
      <c r="I6" s="7">
        <v>0</v>
      </c>
      <c r="J6" s="100" t="s">
        <v>121</v>
      </c>
    </row>
    <row r="7" spans="1:11" x14ac:dyDescent="0.2">
      <c r="B7" s="26" t="s">
        <v>279</v>
      </c>
      <c r="H7" s="2" t="s">
        <v>6</v>
      </c>
      <c r="I7" s="7">
        <f>I4+I6-I5</f>
        <v>10332.711477600002</v>
      </c>
    </row>
    <row r="8" spans="1:11" x14ac:dyDescent="0.2">
      <c r="B8" s="86" t="s">
        <v>280</v>
      </c>
      <c r="C8" s="2">
        <v>1.1499999999999999</v>
      </c>
    </row>
    <row r="9" spans="1:11" x14ac:dyDescent="0.2">
      <c r="B9" s="86" t="s">
        <v>281</v>
      </c>
      <c r="C9" s="2">
        <v>0.15</v>
      </c>
      <c r="H9" s="2" t="s">
        <v>62</v>
      </c>
      <c r="I9" s="8">
        <f>+I2/9.73</f>
        <v>10.241521068859198</v>
      </c>
    </row>
    <row r="10" spans="1:11" x14ac:dyDescent="0.2">
      <c r="H10" s="2" t="s">
        <v>63</v>
      </c>
      <c r="I10" s="8">
        <f>+I7/Model!Z32</f>
        <v>4.1236875318923234</v>
      </c>
    </row>
    <row r="12" spans="1:11" x14ac:dyDescent="0.2">
      <c r="B12" s="49" t="s">
        <v>290</v>
      </c>
      <c r="H12" s="86" t="s">
        <v>284</v>
      </c>
      <c r="I12" s="86" t="s">
        <v>285</v>
      </c>
      <c r="K12" s="101" t="s">
        <v>298</v>
      </c>
    </row>
    <row r="13" spans="1:11" x14ac:dyDescent="0.2">
      <c r="B13" s="86" t="s">
        <v>291</v>
      </c>
      <c r="H13" s="86" t="s">
        <v>286</v>
      </c>
      <c r="I13" s="86" t="s">
        <v>288</v>
      </c>
    </row>
    <row r="14" spans="1:11" x14ac:dyDescent="0.2">
      <c r="B14" s="86" t="s">
        <v>292</v>
      </c>
    </row>
    <row r="15" spans="1:11" x14ac:dyDescent="0.2">
      <c r="B15" s="86" t="s">
        <v>293</v>
      </c>
      <c r="H15" s="86" t="s">
        <v>287</v>
      </c>
      <c r="I15" s="2">
        <v>1998</v>
      </c>
      <c r="J15" s="86" t="s">
        <v>289</v>
      </c>
    </row>
    <row r="16" spans="1:11" x14ac:dyDescent="0.2">
      <c r="B16" s="86" t="s">
        <v>294</v>
      </c>
    </row>
    <row r="17" spans="2:2" x14ac:dyDescent="0.2">
      <c r="B17" s="86" t="s">
        <v>295</v>
      </c>
    </row>
    <row r="19" spans="2:2" x14ac:dyDescent="0.2">
      <c r="B19" s="101" t="s">
        <v>296</v>
      </c>
    </row>
    <row r="20" spans="2:2" x14ac:dyDescent="0.2">
      <c r="B20" s="101" t="s">
        <v>297</v>
      </c>
    </row>
    <row r="21" spans="2:2" x14ac:dyDescent="0.2">
      <c r="B21" s="101" t="s">
        <v>300</v>
      </c>
    </row>
    <row r="22" spans="2:2" x14ac:dyDescent="0.2">
      <c r="B22" s="26" t="s">
        <v>299</v>
      </c>
    </row>
    <row r="23" spans="2:2" x14ac:dyDescent="0.2">
      <c r="B23" s="101" t="s">
        <v>301</v>
      </c>
    </row>
    <row r="24" spans="2:2" x14ac:dyDescent="0.2">
      <c r="B24" s="101" t="s">
        <v>302</v>
      </c>
    </row>
  </sheetData>
  <hyperlinks>
    <hyperlink ref="B4" r:id="rId1" xr:uid="{27D9C12E-B2A6-45D0-96B6-920DBA7332AE}"/>
    <hyperlink ref="B5" r:id="rId2" xr:uid="{C8DE1C41-8830-452C-99CA-03BBB7F2E4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731A-EDB9-4887-9C65-CEC0B0F7DA3D}">
  <dimension ref="A1:BA337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16" sqref="P16"/>
    </sheetView>
  </sheetViews>
  <sheetFormatPr defaultRowHeight="12.75" x14ac:dyDescent="0.2"/>
  <cols>
    <col min="1" max="1" width="4.7109375" style="2" bestFit="1" customWidth="1"/>
    <col min="2" max="2" width="23.42578125" style="2" bestFit="1" customWidth="1"/>
    <col min="3" max="16384" width="9.140625" style="2"/>
  </cols>
  <sheetData>
    <row r="1" spans="1:34" x14ac:dyDescent="0.2">
      <c r="A1" s="5" t="s">
        <v>7</v>
      </c>
    </row>
    <row r="2" spans="1:34" x14ac:dyDescent="0.2">
      <c r="C2" s="4" t="s">
        <v>39</v>
      </c>
      <c r="D2" s="4" t="s">
        <v>40</v>
      </c>
      <c r="E2" s="4" t="s">
        <v>41</v>
      </c>
      <c r="F2" s="4" t="s">
        <v>42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58</v>
      </c>
      <c r="L2" s="4" t="s">
        <v>59</v>
      </c>
      <c r="M2" s="4" t="s">
        <v>60</v>
      </c>
      <c r="N2" s="4" t="s">
        <v>61</v>
      </c>
      <c r="O2" s="18" t="s">
        <v>120</v>
      </c>
      <c r="P2" s="18" t="s">
        <v>121</v>
      </c>
      <c r="Q2" s="18" t="s">
        <v>122</v>
      </c>
      <c r="R2" s="18" t="s">
        <v>123</v>
      </c>
      <c r="T2" s="4" t="s">
        <v>38</v>
      </c>
      <c r="U2" s="4" t="s">
        <v>13</v>
      </c>
      <c r="V2" s="4" t="s">
        <v>14</v>
      </c>
      <c r="W2" s="4" t="s">
        <v>15</v>
      </c>
      <c r="X2" s="4" t="s">
        <v>16</v>
      </c>
      <c r="Y2" s="4" t="s">
        <v>17</v>
      </c>
      <c r="Z2" s="4" t="s">
        <v>18</v>
      </c>
      <c r="AA2" s="17" t="s">
        <v>119</v>
      </c>
      <c r="AB2" s="89" t="s">
        <v>126</v>
      </c>
      <c r="AC2" s="89" t="s">
        <v>270</v>
      </c>
      <c r="AD2" s="89" t="s">
        <v>271</v>
      </c>
      <c r="AE2" s="89" t="s">
        <v>272</v>
      </c>
      <c r="AF2" s="89" t="s">
        <v>273</v>
      </c>
      <c r="AG2" s="89" t="s">
        <v>274</v>
      </c>
      <c r="AH2" s="89" t="s">
        <v>275</v>
      </c>
    </row>
    <row r="3" spans="1:34" x14ac:dyDescent="0.2">
      <c r="B3" s="86" t="s">
        <v>266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91">
        <v>10733</v>
      </c>
      <c r="U3" s="91">
        <v>11550</v>
      </c>
      <c r="V3" s="91">
        <v>10953</v>
      </c>
      <c r="W3" s="91">
        <v>12865</v>
      </c>
      <c r="X3" s="91">
        <v>13567</v>
      </c>
      <c r="Y3" s="91">
        <v>13843</v>
      </c>
      <c r="Z3" s="91">
        <v>13775</v>
      </c>
      <c r="AA3" s="91">
        <v>12965</v>
      </c>
      <c r="AB3" s="91">
        <v>13449</v>
      </c>
      <c r="AC3" s="3"/>
      <c r="AD3" s="3"/>
      <c r="AE3" s="3"/>
      <c r="AF3" s="3"/>
      <c r="AG3" s="3"/>
      <c r="AH3" s="3"/>
    </row>
    <row r="4" spans="1:34" x14ac:dyDescent="0.2">
      <c r="B4" s="86" t="s">
        <v>267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91">
        <v>9034.4</v>
      </c>
      <c r="Z4" s="91">
        <v>9448.4</v>
      </c>
      <c r="AA4" s="91">
        <v>10078.599999999999</v>
      </c>
      <c r="AB4" s="87"/>
      <c r="AC4" s="3"/>
      <c r="AD4" s="3"/>
      <c r="AE4" s="3"/>
      <c r="AF4" s="3"/>
      <c r="AG4" s="3"/>
      <c r="AH4" s="3"/>
    </row>
    <row r="5" spans="1:34" x14ac:dyDescent="0.2">
      <c r="B5" s="86" t="s">
        <v>268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91">
        <v>4294.8</v>
      </c>
      <c r="X5" s="91">
        <v>4428.45</v>
      </c>
      <c r="Y5" s="91">
        <v>5260.05</v>
      </c>
      <c r="Z5" s="91">
        <v>5907.75</v>
      </c>
      <c r="AA5" s="91">
        <v>6872.0999999999995</v>
      </c>
      <c r="AB5" s="87"/>
      <c r="AC5" s="3"/>
      <c r="AD5" s="3"/>
      <c r="AE5" s="3"/>
      <c r="AF5" s="3"/>
      <c r="AG5" s="3"/>
      <c r="AH5" s="3"/>
    </row>
    <row r="6" spans="1:34" x14ac:dyDescent="0.2">
      <c r="B6" s="86" t="s">
        <v>276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92">
        <f>2763*Main!C8</f>
        <v>3177.45</v>
      </c>
      <c r="Z6" s="92">
        <f>2813.9*Main!C8</f>
        <v>3235.9849999999997</v>
      </c>
      <c r="AA6" s="92">
        <f>2328.5*Main!C8</f>
        <v>2677.7749999999996</v>
      </c>
      <c r="AB6" s="87"/>
      <c r="AC6" s="3"/>
      <c r="AD6" s="3"/>
      <c r="AE6" s="3"/>
      <c r="AF6" s="3"/>
      <c r="AG6" s="3"/>
      <c r="AH6" s="3"/>
    </row>
    <row r="7" spans="1:34" x14ac:dyDescent="0.2">
      <c r="B7" s="1" t="s">
        <v>265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8">
        <f t="shared" ref="T7:Y7" si="0">+U7*(1-5.4%)</f>
        <v>150281.55855797685</v>
      </c>
      <c r="U7" s="88">
        <f t="shared" si="0"/>
        <v>158859.99847566264</v>
      </c>
      <c r="V7" s="88">
        <f t="shared" si="0"/>
        <v>167928.1167818844</v>
      </c>
      <c r="W7" s="88">
        <f t="shared" si="0"/>
        <v>177513.86551996236</v>
      </c>
      <c r="X7" s="88">
        <f t="shared" si="0"/>
        <v>187646.79230439998</v>
      </c>
      <c r="Y7" s="88">
        <f t="shared" si="0"/>
        <v>198358.13139999998</v>
      </c>
      <c r="Z7" s="88">
        <f>+AA7*(1-5.4%)</f>
        <v>209680.9</v>
      </c>
      <c r="AA7" s="88">
        <v>221650</v>
      </c>
      <c r="AB7" s="88">
        <v>233810</v>
      </c>
      <c r="AC7" s="88">
        <f>+AB7*(1+5.4%)</f>
        <v>246435.74000000002</v>
      </c>
      <c r="AD7" s="88">
        <f t="shared" ref="AD7:AH7" si="1">+AC7*(1+5.4%)</f>
        <v>259743.26996000003</v>
      </c>
      <c r="AE7" s="88">
        <f t="shared" si="1"/>
        <v>273769.40653784003</v>
      </c>
      <c r="AF7" s="88">
        <f t="shared" si="1"/>
        <v>288552.95449088339</v>
      </c>
      <c r="AG7" s="88">
        <f t="shared" si="1"/>
        <v>304134.81403339113</v>
      </c>
      <c r="AH7" s="88">
        <f t="shared" si="1"/>
        <v>320558.09399119427</v>
      </c>
    </row>
    <row r="8" spans="1:34" x14ac:dyDescent="0.2">
      <c r="B8" s="86" t="s">
        <v>269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90">
        <f t="shared" ref="T8:Z8" si="2">+T27/T7</f>
        <v>2.1881054678651108E-2</v>
      </c>
      <c r="U8" s="90">
        <f t="shared" si="2"/>
        <v>2.5049074897288436E-2</v>
      </c>
      <c r="V8" s="90">
        <f t="shared" si="2"/>
        <v>2.6212876582885982E-2</v>
      </c>
      <c r="W8" s="90">
        <f t="shared" si="2"/>
        <v>3.5245793232396322E-2</v>
      </c>
      <c r="X8" s="90">
        <f t="shared" si="2"/>
        <v>4.3222257627741088E-2</v>
      </c>
      <c r="Y8" s="90">
        <f t="shared" si="2"/>
        <v>4.849449796742742E-2</v>
      </c>
      <c r="Z8" s="90">
        <f t="shared" si="2"/>
        <v>5.0496378067816386E-2</v>
      </c>
      <c r="AA8" s="90">
        <f>+AA27/AA7</f>
        <v>5.0090683510038349E-2</v>
      </c>
      <c r="AB8" s="90">
        <f>+AB27/AB7</f>
        <v>4.891013215859031E-2</v>
      </c>
      <c r="AC8" s="90">
        <f>+AB8*(1-4%)</f>
        <v>4.6953726872246693E-2</v>
      </c>
      <c r="AD8" s="90">
        <f t="shared" ref="AD8:AH8" si="3">+AC8*(1-4%)</f>
        <v>4.5075577797356825E-2</v>
      </c>
      <c r="AE8" s="90">
        <f t="shared" si="3"/>
        <v>4.3272554685462553E-2</v>
      </c>
      <c r="AF8" s="90">
        <f t="shared" si="3"/>
        <v>4.1541652498044049E-2</v>
      </c>
      <c r="AG8" s="90">
        <f t="shared" si="3"/>
        <v>3.9879986398122284E-2</v>
      </c>
      <c r="AH8" s="90">
        <f t="shared" si="3"/>
        <v>3.8284786942197391E-2</v>
      </c>
    </row>
    <row r="9" spans="1:34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8"/>
      <c r="P9" s="18"/>
      <c r="Q9" s="18"/>
      <c r="R9" s="18"/>
      <c r="T9" s="4"/>
      <c r="U9" s="4"/>
      <c r="V9" s="4"/>
      <c r="W9" s="4"/>
      <c r="X9" s="4"/>
      <c r="Y9" s="4"/>
      <c r="Z9" s="4"/>
      <c r="AA9" s="17"/>
      <c r="AB9" s="3"/>
    </row>
    <row r="10" spans="1:34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8"/>
      <c r="P10" s="18"/>
      <c r="Q10" s="18"/>
      <c r="R10" s="18"/>
      <c r="T10" s="4"/>
      <c r="U10" s="4"/>
      <c r="V10" s="4"/>
      <c r="W10" s="4"/>
      <c r="X10" s="4"/>
      <c r="Y10" s="4"/>
      <c r="Z10" s="4"/>
      <c r="AA10" s="17"/>
    </row>
    <row r="11" spans="1:34" x14ac:dyDescent="0.2">
      <c r="B11" s="2" t="s">
        <v>51</v>
      </c>
      <c r="C11" s="4">
        <v>438</v>
      </c>
      <c r="D11" s="4">
        <v>438</v>
      </c>
      <c r="E11" s="4">
        <v>438</v>
      </c>
      <c r="F11" s="4">
        <v>438</v>
      </c>
      <c r="G11" s="4">
        <v>440</v>
      </c>
      <c r="H11" s="4">
        <v>441</v>
      </c>
      <c r="I11" s="4">
        <v>459</v>
      </c>
      <c r="J11" s="4">
        <v>462</v>
      </c>
      <c r="K11" s="4">
        <v>462</v>
      </c>
      <c r="L11" s="4">
        <v>467</v>
      </c>
      <c r="M11" s="4">
        <v>470</v>
      </c>
      <c r="N11" s="2">
        <v>476</v>
      </c>
      <c r="O11" s="4">
        <v>476</v>
      </c>
      <c r="P11" s="4">
        <v>483</v>
      </c>
      <c r="Q11" s="4"/>
      <c r="R11" s="4"/>
      <c r="T11" s="4">
        <f>285+64</f>
        <v>349</v>
      </c>
      <c r="U11" s="4">
        <f>306+63</f>
        <v>369</v>
      </c>
      <c r="V11" s="4">
        <f>315+62</f>
        <v>377</v>
      </c>
      <c r="W11" s="4">
        <f>324+63</f>
        <v>387</v>
      </c>
      <c r="X11" s="4">
        <v>419</v>
      </c>
      <c r="Y11" s="4">
        <v>438</v>
      </c>
      <c r="Z11" s="4">
        <v>462</v>
      </c>
      <c r="AA11" s="2">
        <v>476</v>
      </c>
    </row>
    <row r="12" spans="1:34" x14ac:dyDescent="0.2">
      <c r="B12" s="2" t="s">
        <v>52</v>
      </c>
      <c r="C12" s="4">
        <v>127</v>
      </c>
      <c r="D12" s="4">
        <v>127</v>
      </c>
      <c r="E12" s="4">
        <v>127</v>
      </c>
      <c r="F12" s="4">
        <v>127</v>
      </c>
      <c r="G12" s="4">
        <v>127</v>
      </c>
      <c r="H12" s="4">
        <v>132</v>
      </c>
      <c r="I12" s="4">
        <v>138</v>
      </c>
      <c r="J12" s="4">
        <v>151</v>
      </c>
      <c r="K12" s="4">
        <v>154</v>
      </c>
      <c r="L12" s="4">
        <v>159</v>
      </c>
      <c r="M12" s="4">
        <v>165</v>
      </c>
      <c r="N12" s="2">
        <v>172</v>
      </c>
      <c r="O12" s="4">
        <v>173</v>
      </c>
      <c r="P12" s="4">
        <v>174</v>
      </c>
      <c r="Q12" s="4"/>
      <c r="R12" s="4"/>
      <c r="T12" s="4">
        <v>22</v>
      </c>
      <c r="U12" s="4">
        <v>38</v>
      </c>
      <c r="V12" s="4">
        <v>55</v>
      </c>
      <c r="W12" s="4">
        <v>86</v>
      </c>
      <c r="X12" s="4">
        <v>99</v>
      </c>
      <c r="Y12" s="4">
        <v>127</v>
      </c>
      <c r="Z12" s="4">
        <v>151</v>
      </c>
      <c r="AA12" s="2">
        <v>172</v>
      </c>
    </row>
    <row r="13" spans="1:34" x14ac:dyDescent="0.2">
      <c r="B13" s="2" t="s">
        <v>54</v>
      </c>
      <c r="C13" s="4">
        <v>98</v>
      </c>
      <c r="D13" s="4">
        <v>98</v>
      </c>
      <c r="E13" s="4">
        <v>98</v>
      </c>
      <c r="F13" s="4">
        <v>98</v>
      </c>
      <c r="G13" s="4">
        <v>97</v>
      </c>
      <c r="H13" s="4">
        <v>101</v>
      </c>
      <c r="I13" s="4">
        <v>105</v>
      </c>
      <c r="J13" s="4">
        <v>107</v>
      </c>
      <c r="K13" s="4">
        <v>107</v>
      </c>
      <c r="L13" s="4">
        <v>109</v>
      </c>
      <c r="M13" s="4">
        <v>112</v>
      </c>
      <c r="N13" s="2">
        <v>114</v>
      </c>
      <c r="O13" s="4">
        <v>117</v>
      </c>
      <c r="P13" s="4">
        <v>117</v>
      </c>
      <c r="Q13" s="4"/>
      <c r="R13" s="4"/>
      <c r="T13" s="4">
        <f>29+5+7+4+3</f>
        <v>48</v>
      </c>
      <c r="U13" s="4">
        <f>31+7+7+5+4+2</f>
        <v>56</v>
      </c>
      <c r="V13" s="4">
        <f>31+7+7+6+4+2</f>
        <v>57</v>
      </c>
      <c r="W13" s="4">
        <f>31+12+7+6+6+2</f>
        <v>64</v>
      </c>
      <c r="X13" s="4">
        <v>91</v>
      </c>
      <c r="Y13" s="4">
        <v>98</v>
      </c>
      <c r="Z13" s="4">
        <v>107</v>
      </c>
      <c r="AA13" s="2">
        <v>114</v>
      </c>
    </row>
    <row r="14" spans="1:34" x14ac:dyDescent="0.2">
      <c r="B14" s="2" t="s">
        <v>55</v>
      </c>
      <c r="C14" s="4">
        <v>48</v>
      </c>
      <c r="D14" s="4">
        <v>48</v>
      </c>
      <c r="E14" s="4">
        <v>48</v>
      </c>
      <c r="F14" s="4">
        <v>48</v>
      </c>
      <c r="G14" s="4">
        <v>47</v>
      </c>
      <c r="H14" s="4">
        <v>47</v>
      </c>
      <c r="I14" s="4">
        <v>47</v>
      </c>
      <c r="J14" s="4">
        <v>47</v>
      </c>
      <c r="K14" s="4">
        <v>47</v>
      </c>
      <c r="L14" s="4">
        <v>49</v>
      </c>
      <c r="M14" s="4">
        <v>49</v>
      </c>
      <c r="N14" s="2">
        <v>49</v>
      </c>
      <c r="O14" s="4">
        <v>50</v>
      </c>
      <c r="P14" s="4">
        <v>51</v>
      </c>
      <c r="Q14" s="4"/>
      <c r="R14" s="4"/>
      <c r="T14" s="4">
        <f>12+5+1+1+1+1</f>
        <v>21</v>
      </c>
      <c r="U14" s="4">
        <f>14+6+3+2+1+1+1</f>
        <v>28</v>
      </c>
      <c r="V14" s="4">
        <f>16+7+3+1+2+1+1+1</f>
        <v>32</v>
      </c>
      <c r="W14" s="4">
        <f>17+9+3+3+2+1+1+1</f>
        <v>37</v>
      </c>
      <c r="X14" s="4">
        <v>46</v>
      </c>
      <c r="Y14" s="4">
        <v>48</v>
      </c>
      <c r="Z14" s="4">
        <v>47</v>
      </c>
      <c r="AA14" s="2">
        <v>49</v>
      </c>
    </row>
    <row r="15" spans="1:34" x14ac:dyDescent="0.2">
      <c r="B15" s="1" t="s">
        <v>56</v>
      </c>
      <c r="C15" s="9">
        <f t="shared" ref="C15:H15" si="4">+SUM(C11:C14)</f>
        <v>711</v>
      </c>
      <c r="D15" s="9">
        <f t="shared" si="4"/>
        <v>711</v>
      </c>
      <c r="E15" s="9">
        <f t="shared" si="4"/>
        <v>711</v>
      </c>
      <c r="F15" s="9">
        <f t="shared" si="4"/>
        <v>711</v>
      </c>
      <c r="G15" s="9">
        <f t="shared" si="4"/>
        <v>711</v>
      </c>
      <c r="H15" s="9">
        <f t="shared" si="4"/>
        <v>721</v>
      </c>
      <c r="I15" s="9">
        <f>+SUM(I11:I14)</f>
        <v>749</v>
      </c>
      <c r="J15" s="9">
        <f t="shared" ref="J15:P15" si="5">+SUM(J11:J14)</f>
        <v>767</v>
      </c>
      <c r="K15" s="9">
        <f t="shared" si="5"/>
        <v>770</v>
      </c>
      <c r="L15" s="9">
        <f t="shared" si="5"/>
        <v>784</v>
      </c>
      <c r="M15" s="9">
        <f t="shared" si="5"/>
        <v>796</v>
      </c>
      <c r="N15" s="9">
        <f t="shared" si="5"/>
        <v>811</v>
      </c>
      <c r="O15" s="9">
        <f t="shared" si="5"/>
        <v>816</v>
      </c>
      <c r="P15" s="9">
        <f t="shared" si="5"/>
        <v>825</v>
      </c>
      <c r="Q15" s="9"/>
      <c r="R15" s="9"/>
      <c r="S15" s="1"/>
      <c r="T15" s="9">
        <f>+SUM(T11:T14)</f>
        <v>440</v>
      </c>
      <c r="U15" s="9">
        <f t="shared" ref="U15" si="6">+SUM(U11:U14)</f>
        <v>491</v>
      </c>
      <c r="V15" s="9">
        <f t="shared" ref="V15" si="7">+SUM(V11:V14)</f>
        <v>521</v>
      </c>
      <c r="W15" s="9">
        <f t="shared" ref="W15" si="8">+SUM(W11:W14)</f>
        <v>574</v>
      </c>
      <c r="X15" s="9">
        <f t="shared" ref="X15" si="9">+SUM(X11:X14)</f>
        <v>655</v>
      </c>
      <c r="Y15" s="9">
        <f t="shared" ref="Y15" si="10">+SUM(Y11:Y14)</f>
        <v>711</v>
      </c>
      <c r="Z15" s="9">
        <f t="shared" ref="Z15:AA15" si="11">+SUM(Z11:Z14)</f>
        <v>767</v>
      </c>
      <c r="AA15" s="9">
        <f t="shared" si="11"/>
        <v>811</v>
      </c>
      <c r="AB15" s="93">
        <f>+AA15*(1+5%)</f>
        <v>851.55000000000007</v>
      </c>
      <c r="AC15" s="93">
        <f t="shared" ref="AC15" si="12">+AB15*(1+5%)</f>
        <v>894.12750000000005</v>
      </c>
      <c r="AD15" s="93">
        <f>+AC15*(1+2%)</f>
        <v>912.01005000000009</v>
      </c>
      <c r="AE15" s="93">
        <f t="shared" ref="AE15:AH15" si="13">+AD15*(1+2%)</f>
        <v>930.25025100000016</v>
      </c>
      <c r="AF15" s="93">
        <f t="shared" si="13"/>
        <v>948.85525602000018</v>
      </c>
      <c r="AG15" s="93">
        <f t="shared" si="13"/>
        <v>967.83236114040017</v>
      </c>
      <c r="AH15" s="93">
        <f t="shared" si="13"/>
        <v>987.18900836320813</v>
      </c>
    </row>
    <row r="16" spans="1:34" x14ac:dyDescent="0.2">
      <c r="B16" s="2" t="s">
        <v>57</v>
      </c>
      <c r="C16" s="10">
        <f t="shared" ref="C16:D16" si="14">+C25/C15</f>
        <v>1.1743206751054853</v>
      </c>
      <c r="D16" s="10">
        <f t="shared" si="14"/>
        <v>1.2569240506329113</v>
      </c>
      <c r="E16" s="10">
        <f>+E25/E15</f>
        <v>1.277253164556962</v>
      </c>
      <c r="F16" s="10">
        <f t="shared" ref="F16:M16" si="15">+F25/F15</f>
        <v>2.3549479606188459</v>
      </c>
      <c r="G16" s="10">
        <f t="shared" si="15"/>
        <v>1.2739620253164556</v>
      </c>
      <c r="H16" s="10">
        <f t="shared" si="15"/>
        <v>1.2630194174757281</v>
      </c>
      <c r="I16" s="10">
        <f t="shared" si="15"/>
        <v>1.2613845126835781</v>
      </c>
      <c r="J16" s="10">
        <f t="shared" si="15"/>
        <v>2.3588591916558017</v>
      </c>
      <c r="K16" s="10">
        <f t="shared" si="15"/>
        <v>1.2479090909090909</v>
      </c>
      <c r="L16" s="10">
        <f t="shared" si="15"/>
        <v>1.2667002551020408</v>
      </c>
      <c r="M16" s="10">
        <f t="shared" si="15"/>
        <v>1.3401381909547738</v>
      </c>
      <c r="N16" s="10">
        <f>+N24/N15</f>
        <v>1.7695770653514173</v>
      </c>
      <c r="O16" s="10">
        <f>+O24/O15</f>
        <v>1.4618137254901959</v>
      </c>
      <c r="P16" s="10">
        <f>+P24/P15</f>
        <v>1.4227236363636364</v>
      </c>
      <c r="Q16" s="10"/>
      <c r="R16" s="10"/>
      <c r="T16" s="10">
        <f>+T24/T15</f>
        <v>4.8326431818181819</v>
      </c>
      <c r="U16" s="10">
        <f t="shared" ref="U16:Z16" si="16">+U24/U15</f>
        <v>2.3173564154786148</v>
      </c>
      <c r="V16" s="10">
        <f t="shared" si="16"/>
        <v>3.1831228406909786</v>
      </c>
      <c r="W16" s="10">
        <f t="shared" si="16"/>
        <v>4.9154999999999998</v>
      </c>
      <c r="X16" s="10">
        <f t="shared" si="16"/>
        <v>5.5696595419847323</v>
      </c>
      <c r="Y16" s="10">
        <f t="shared" si="16"/>
        <v>6.2038762306610407</v>
      </c>
      <c r="Z16" s="10">
        <f t="shared" si="16"/>
        <v>6.5291681877444594</v>
      </c>
      <c r="AA16" s="10">
        <f>+AA24/AA15</f>
        <v>6.2265647348951907</v>
      </c>
      <c r="AB16" s="10">
        <f t="shared" ref="AB16:AH16" si="17">+AB24/AB15</f>
        <v>5.9858042318125753</v>
      </c>
      <c r="AC16" s="10">
        <f t="shared" si="17"/>
        <v>5.6528977436560881</v>
      </c>
      <c r="AD16" s="10">
        <f t="shared" si="17"/>
        <v>5.4955210704727016</v>
      </c>
      <c r="AE16" s="10">
        <f t="shared" si="17"/>
        <v>5.3425257638707411</v>
      </c>
      <c r="AF16" s="10">
        <f t="shared" si="17"/>
        <v>5.1937898466045791</v>
      </c>
      <c r="AG16" s="10">
        <f t="shared" si="17"/>
        <v>5.0491947372751085</v>
      </c>
      <c r="AH16" s="10">
        <f t="shared" si="17"/>
        <v>4.9086251557893705</v>
      </c>
    </row>
    <row r="17" spans="2:53" x14ac:dyDescent="0.2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T17" s="4"/>
      <c r="U17" s="4"/>
      <c r="V17" s="4"/>
      <c r="W17" s="4"/>
      <c r="X17" s="4"/>
      <c r="Y17" s="4"/>
      <c r="Z17" s="4"/>
    </row>
    <row r="18" spans="2:53" x14ac:dyDescent="0.2">
      <c r="B18" s="2" t="s">
        <v>43</v>
      </c>
      <c r="C18" s="3">
        <v>1567.7380000000001</v>
      </c>
      <c r="D18" s="3">
        <v>1719.7729999999999</v>
      </c>
      <c r="E18" s="3">
        <v>1732.3979999999999</v>
      </c>
      <c r="F18" s="3">
        <f>+Y18-SUM(C18:E18)</f>
        <v>2611.7380000000003</v>
      </c>
      <c r="G18" s="3">
        <v>1622.2639999999999</v>
      </c>
      <c r="H18" s="3">
        <v>1741.433</v>
      </c>
      <c r="I18" s="3">
        <v>1770.3820000000001</v>
      </c>
      <c r="J18" s="3">
        <f t="shared" ref="J18:J26" si="18">+Z18-SUM(G18:I18)</f>
        <v>2794.0770000000002</v>
      </c>
      <c r="K18" s="3">
        <v>1674.558</v>
      </c>
      <c r="L18" s="3">
        <v>1758.2170000000001</v>
      </c>
      <c r="M18" s="3">
        <v>1733.3820000000001</v>
      </c>
      <c r="N18" s="3">
        <f>+AA18-SUM(K18:M18)</f>
        <v>2680.8869999999997</v>
      </c>
      <c r="O18" s="3">
        <v>1621.21</v>
      </c>
      <c r="P18" s="3">
        <v>1616.7719999999999</v>
      </c>
      <c r="Q18" s="3"/>
      <c r="R18" s="3"/>
      <c r="S18" s="3"/>
      <c r="T18" s="3">
        <f>2363.374+565.105</f>
        <v>2928.4789999999998</v>
      </c>
      <c r="U18" s="3">
        <f>2854.364+649.114</f>
        <v>3503.4780000000001</v>
      </c>
      <c r="V18" s="3">
        <f>3015.133+672.607</f>
        <v>3687.74</v>
      </c>
      <c r="W18" s="3">
        <f>4345.687+954.219</f>
        <v>5299.9059999999999</v>
      </c>
      <c r="X18" s="3">
        <v>6817.4539999999997</v>
      </c>
      <c r="Y18" s="3">
        <v>7631.6469999999999</v>
      </c>
      <c r="Z18" s="3">
        <v>7928.1559999999999</v>
      </c>
      <c r="AA18" s="3">
        <v>7847.0439999999999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2:53" x14ac:dyDescent="0.2">
      <c r="B19" s="2" t="s">
        <v>53</v>
      </c>
      <c r="C19" s="3">
        <v>210.06800000000001</v>
      </c>
      <c r="D19" s="3">
        <v>234.44499999999999</v>
      </c>
      <c r="E19" s="3">
        <v>228.595</v>
      </c>
      <c r="F19" s="3">
        <f t="shared" ref="F19:F26" si="19">+Y19-SUM(C19:E19)</f>
        <v>290.65199999999993</v>
      </c>
      <c r="G19" s="3">
        <v>303.786</v>
      </c>
      <c r="H19" s="3">
        <v>314.18900000000002</v>
      </c>
      <c r="I19" s="3">
        <v>318.33800000000002</v>
      </c>
      <c r="J19" s="3">
        <f t="shared" si="18"/>
        <v>425.02399999999989</v>
      </c>
      <c r="K19" s="3">
        <v>412.20499999999998</v>
      </c>
      <c r="L19" s="3">
        <v>392.89800000000002</v>
      </c>
      <c r="M19" s="3">
        <v>465.36200000000002</v>
      </c>
      <c r="N19" s="3">
        <f t="shared" ref="N19:N35" si="20">+AA19-SUM(K19:M19)</f>
        <v>484.33399999999983</v>
      </c>
      <c r="O19" s="3">
        <v>529.803</v>
      </c>
      <c r="P19" s="3">
        <v>458.51400000000001</v>
      </c>
      <c r="Q19" s="3"/>
      <c r="R19" s="3"/>
      <c r="S19" s="3"/>
      <c r="T19" s="3">
        <v>0</v>
      </c>
      <c r="U19" s="3">
        <v>0</v>
      </c>
      <c r="V19" s="3">
        <v>0</v>
      </c>
      <c r="W19" s="3">
        <v>0</v>
      </c>
      <c r="X19" s="3">
        <v>576.50300000000004</v>
      </c>
      <c r="Y19" s="3">
        <v>963.76</v>
      </c>
      <c r="Z19" s="3">
        <v>1361.337</v>
      </c>
      <c r="AA19" s="3">
        <v>1754.799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2:53" x14ac:dyDescent="0.2">
      <c r="B20" s="2" t="s">
        <v>44</v>
      </c>
      <c r="C20" s="3">
        <v>222.98599999999999</v>
      </c>
      <c r="D20" s="3">
        <v>254.947</v>
      </c>
      <c r="E20" s="3">
        <v>243.22499999999999</v>
      </c>
      <c r="F20" s="3">
        <f t="shared" si="19"/>
        <v>302.71299999999997</v>
      </c>
      <c r="G20" s="3">
        <v>282.84100000000001</v>
      </c>
      <c r="H20" s="3">
        <v>315.45600000000002</v>
      </c>
      <c r="I20" s="3">
        <v>307.94</v>
      </c>
      <c r="J20" s="3">
        <f t="shared" si="18"/>
        <v>392.39599999999996</v>
      </c>
      <c r="K20" s="3">
        <v>283.89699999999999</v>
      </c>
      <c r="L20" s="3">
        <v>374.10399999999998</v>
      </c>
      <c r="M20" s="3">
        <v>367.17599999999999</v>
      </c>
      <c r="N20" s="3">
        <f t="shared" si="20"/>
        <v>475.58000000000015</v>
      </c>
      <c r="O20" s="3">
        <v>320.58999999999997</v>
      </c>
      <c r="P20" s="3">
        <v>340.34500000000003</v>
      </c>
      <c r="Q20" s="3"/>
      <c r="R20" s="3"/>
      <c r="S20" s="3"/>
      <c r="T20" s="3">
        <v>359.84</v>
      </c>
      <c r="U20" s="3">
        <v>475.81799999999998</v>
      </c>
      <c r="V20" s="3">
        <v>624.13900000000001</v>
      </c>
      <c r="W20" s="3">
        <v>956.71100000000001</v>
      </c>
      <c r="X20" s="3">
        <v>716.56100000000004</v>
      </c>
      <c r="Y20" s="3">
        <v>1023.871</v>
      </c>
      <c r="Z20" s="3">
        <v>1298.633</v>
      </c>
      <c r="AA20" s="3">
        <v>1500.7570000000001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2:53" x14ac:dyDescent="0.2">
      <c r="B21" s="2" t="s">
        <v>45</v>
      </c>
      <c r="C21" s="3">
        <v>1308.828</v>
      </c>
      <c r="D21" s="3">
        <v>1396.327</v>
      </c>
      <c r="E21" s="3">
        <v>1433.9269999999999</v>
      </c>
      <c r="F21" s="3">
        <f t="shared" si="19"/>
        <v>2008.2900000000009</v>
      </c>
      <c r="G21" s="3">
        <v>1435.241</v>
      </c>
      <c r="H21" s="3">
        <v>1476.1210000000001</v>
      </c>
      <c r="I21" s="3">
        <v>1555.6859999999999</v>
      </c>
      <c r="J21" s="3">
        <f t="shared" si="18"/>
        <v>2225.5820000000003</v>
      </c>
      <c r="K21" s="3">
        <v>1535.172</v>
      </c>
      <c r="L21" s="3">
        <v>1547.3209999999999</v>
      </c>
      <c r="M21" s="3">
        <v>1644.952</v>
      </c>
      <c r="N21" s="3">
        <f t="shared" si="20"/>
        <v>2267.92</v>
      </c>
      <c r="O21" s="3">
        <v>1602.9849999999999</v>
      </c>
      <c r="P21" s="3">
        <v>1488.241</v>
      </c>
      <c r="Q21" s="3"/>
      <c r="R21" s="3"/>
      <c r="S21" s="3"/>
      <c r="T21" s="3">
        <v>2352.788</v>
      </c>
      <c r="U21" s="3">
        <v>2790.9969999999998</v>
      </c>
      <c r="V21" s="3">
        <v>3049.9059999999999</v>
      </c>
      <c r="W21" s="3">
        <v>4171.7619999999997</v>
      </c>
      <c r="X21" s="3">
        <v>5259.8029999999999</v>
      </c>
      <c r="Y21" s="3">
        <v>6147.3720000000003</v>
      </c>
      <c r="Z21" s="3">
        <v>6692.63</v>
      </c>
      <c r="AA21" s="3">
        <v>6995.3649999999998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2:53" x14ac:dyDescent="0.2">
      <c r="B22" s="2" t="s">
        <v>46</v>
      </c>
      <c r="C22" s="3">
        <v>438.16500000000002</v>
      </c>
      <c r="D22" s="3">
        <v>530.72299999999996</v>
      </c>
      <c r="E22" s="3">
        <v>504.82799999999997</v>
      </c>
      <c r="F22" s="3">
        <f t="shared" si="19"/>
        <v>779.03700000000026</v>
      </c>
      <c r="G22" s="3">
        <v>505.69799999999998</v>
      </c>
      <c r="H22" s="3">
        <v>587.52499999999998</v>
      </c>
      <c r="I22" s="3">
        <v>551.42999999999995</v>
      </c>
      <c r="J22" s="3">
        <f t="shared" si="18"/>
        <v>913.72700000000032</v>
      </c>
      <c r="K22" s="3">
        <v>544.78800000000001</v>
      </c>
      <c r="L22" s="3">
        <v>624.59799999999996</v>
      </c>
      <c r="M22" s="3">
        <v>596.24099999999999</v>
      </c>
      <c r="N22" s="3">
        <f t="shared" si="20"/>
        <v>901.35899999999992</v>
      </c>
      <c r="O22" s="3">
        <v>581.87800000000004</v>
      </c>
      <c r="P22" s="3">
        <v>621.38</v>
      </c>
      <c r="Q22" s="3"/>
      <c r="R22" s="3"/>
      <c r="S22" s="3"/>
      <c r="T22" s="3">
        <v>694.92100000000005</v>
      </c>
      <c r="U22" s="3">
        <v>933.76700000000005</v>
      </c>
      <c r="V22" s="3">
        <v>953.18299999999999</v>
      </c>
      <c r="W22" s="3">
        <v>1535.85</v>
      </c>
      <c r="X22" s="3">
        <v>1956.6020000000001</v>
      </c>
      <c r="Y22" s="3">
        <v>2252.7530000000002</v>
      </c>
      <c r="Z22" s="3">
        <v>2558.38</v>
      </c>
      <c r="AA22" s="3">
        <v>2666.9859999999999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2:53" x14ac:dyDescent="0.2">
      <c r="B23" s="2" t="s">
        <v>47</v>
      </c>
      <c r="C23" s="3">
        <v>253.79900000000001</v>
      </c>
      <c r="D23" s="3">
        <v>282.11500000000001</v>
      </c>
      <c r="E23" s="3">
        <v>265.46300000000002</v>
      </c>
      <c r="F23" s="3">
        <f t="shared" si="19"/>
        <v>417.77600000000007</v>
      </c>
      <c r="G23" s="3">
        <v>267.952</v>
      </c>
      <c r="H23" s="3">
        <v>307.43200000000002</v>
      </c>
      <c r="I23" s="3">
        <v>289.54399999999998</v>
      </c>
      <c r="J23" s="3">
        <f t="shared" si="18"/>
        <v>472.18799999999999</v>
      </c>
      <c r="K23" s="3">
        <v>290.7</v>
      </c>
      <c r="L23" s="3">
        <v>353.3</v>
      </c>
      <c r="M23" s="3">
        <v>324.72699999999998</v>
      </c>
      <c r="N23" s="3">
        <f t="shared" si="20"/>
        <v>474.52200000000005</v>
      </c>
      <c r="O23" s="3">
        <v>286.74</v>
      </c>
      <c r="P23" s="3">
        <v>306.01</v>
      </c>
      <c r="Q23" s="3"/>
      <c r="R23" s="3"/>
      <c r="S23" s="3"/>
      <c r="T23" s="3">
        <v>240.61</v>
      </c>
      <c r="U23" s="3">
        <v>254.53200000000001</v>
      </c>
      <c r="V23" s="3">
        <v>398.79</v>
      </c>
      <c r="W23" s="3">
        <v>549.005</v>
      </c>
      <c r="X23" s="3">
        <v>894.11300000000006</v>
      </c>
      <c r="Y23" s="3">
        <v>1219.153</v>
      </c>
      <c r="Z23" s="3">
        <v>1337.116</v>
      </c>
      <c r="AA23" s="3">
        <v>1443.249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2:53" x14ac:dyDescent="0.2">
      <c r="B24" s="2" t="s">
        <v>48</v>
      </c>
      <c r="C24" s="3">
        <v>958.08699999999999</v>
      </c>
      <c r="D24" s="3">
        <v>1096.9390000000001</v>
      </c>
      <c r="E24" s="3">
        <v>1073.973</v>
      </c>
      <c r="F24" s="3">
        <f t="shared" si="19"/>
        <v>1281.9570000000003</v>
      </c>
      <c r="G24" s="3">
        <v>1170.5250000000001</v>
      </c>
      <c r="H24" s="3">
        <v>1215.6130000000001</v>
      </c>
      <c r="I24" s="3">
        <v>1210.5229999999999</v>
      </c>
      <c r="J24" s="3">
        <f t="shared" si="18"/>
        <v>1411.2110000000002</v>
      </c>
      <c r="K24" s="3">
        <v>1153.107</v>
      </c>
      <c r="L24" s="3">
        <v>1254.952</v>
      </c>
      <c r="M24" s="3">
        <v>1206.558</v>
      </c>
      <c r="N24" s="3">
        <f t="shared" si="20"/>
        <v>1435.1269999999995</v>
      </c>
      <c r="O24" s="3">
        <v>1192.8399999999999</v>
      </c>
      <c r="P24" s="3">
        <v>1173.7470000000001</v>
      </c>
      <c r="Q24" s="3"/>
      <c r="R24" s="3"/>
      <c r="S24" s="3"/>
      <c r="T24" s="3">
        <v>2126.3629999999998</v>
      </c>
      <c r="U24" s="3">
        <v>1137.8219999999999</v>
      </c>
      <c r="V24" s="3">
        <v>1658.4069999999999</v>
      </c>
      <c r="W24" s="3">
        <v>2821.4969999999998</v>
      </c>
      <c r="X24" s="3">
        <v>3648.127</v>
      </c>
      <c r="Y24" s="3">
        <v>4410.9560000000001</v>
      </c>
      <c r="Z24" s="3">
        <v>5007.8720000000003</v>
      </c>
      <c r="AA24" s="3">
        <v>5049.7439999999997</v>
      </c>
      <c r="AB24" s="3">
        <f>+AB27*AB45</f>
        <v>5097.2115935999991</v>
      </c>
      <c r="AC24" s="3">
        <f t="shared" ref="AC24:AH24" si="21">+AC27*AC45</f>
        <v>5054.4113272908589</v>
      </c>
      <c r="AD24" s="3">
        <f t="shared" si="21"/>
        <v>5011.9704462578629</v>
      </c>
      <c r="AE24" s="3">
        <f t="shared" si="21"/>
        <v>4969.8859328147246</v>
      </c>
      <c r="AF24" s="3">
        <f t="shared" si="21"/>
        <v>4928.1547946140654</v>
      </c>
      <c r="AG24" s="3">
        <f t="shared" si="21"/>
        <v>4886.7740644346504</v>
      </c>
      <c r="AH24" s="3">
        <f t="shared" si="21"/>
        <v>4845.7407999704064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2:53" x14ac:dyDescent="0.2">
      <c r="B25" s="2" t="s">
        <v>49</v>
      </c>
      <c r="C25" s="3">
        <v>834.94200000000001</v>
      </c>
      <c r="D25" s="3">
        <v>893.673</v>
      </c>
      <c r="E25" s="3">
        <v>908.12699999999995</v>
      </c>
      <c r="F25" s="3">
        <f t="shared" si="19"/>
        <v>1674.3679999999995</v>
      </c>
      <c r="G25" s="3">
        <v>905.78700000000003</v>
      </c>
      <c r="H25" s="3">
        <v>910.63699999999994</v>
      </c>
      <c r="I25" s="3">
        <v>944.77700000000004</v>
      </c>
      <c r="J25" s="3">
        <f t="shared" si="18"/>
        <v>1809.2449999999999</v>
      </c>
      <c r="K25" s="3">
        <v>960.89</v>
      </c>
      <c r="L25" s="3">
        <v>993.09299999999996</v>
      </c>
      <c r="M25" s="3">
        <v>1066.75</v>
      </c>
      <c r="N25" s="3">
        <f t="shared" si="20"/>
        <v>1897.9639999999999</v>
      </c>
      <c r="O25" s="3">
        <v>997.44200000000001</v>
      </c>
      <c r="P25" s="3">
        <v>934.63</v>
      </c>
      <c r="Q25" s="3"/>
      <c r="R25" s="3"/>
      <c r="S25" s="3"/>
      <c r="T25" s="3">
        <v>858.85599999999999</v>
      </c>
      <c r="U25" s="3">
        <v>2501.067</v>
      </c>
      <c r="V25" s="3">
        <v>2284.0680000000002</v>
      </c>
      <c r="W25" s="3">
        <v>2777.944</v>
      </c>
      <c r="X25" s="3">
        <v>3699.7910000000002</v>
      </c>
      <c r="Y25" s="3">
        <v>4311.1099999999997</v>
      </c>
      <c r="Z25" s="3">
        <v>4570.4459999999999</v>
      </c>
      <c r="AA25" s="3">
        <v>4918.6970000000001</v>
      </c>
      <c r="AB25" s="3">
        <f>+AB27*AB44</f>
        <v>5167.5830682000005</v>
      </c>
      <c r="AC25" s="3">
        <f t="shared" ref="AC25:AH25" si="22">+AC27*AC44</f>
        <v>5333.3425967620378</v>
      </c>
      <c r="AD25" s="3">
        <f t="shared" si="22"/>
        <v>5504.4191605698552</v>
      </c>
      <c r="AE25" s="3">
        <f t="shared" si="22"/>
        <v>5680.9833130996212</v>
      </c>
      <c r="AF25" s="3">
        <f t="shared" si="22"/>
        <v>5863.2110786372559</v>
      </c>
      <c r="AG25" s="3">
        <f t="shared" si="22"/>
        <v>6051.2841277644875</v>
      </c>
      <c r="AH25" s="3">
        <f t="shared" si="22"/>
        <v>6245.3899584739638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2:53" x14ac:dyDescent="0.2">
      <c r="B26" s="2" t="s">
        <v>50</v>
      </c>
      <c r="C26" s="3">
        <v>207.76300000000001</v>
      </c>
      <c r="D26" s="3">
        <v>218.553</v>
      </c>
      <c r="E26" s="3">
        <v>222.11799999999999</v>
      </c>
      <c r="F26" s="3">
        <f t="shared" si="19"/>
        <v>248.77800000000002</v>
      </c>
      <c r="G26" s="3">
        <v>232.57900000000001</v>
      </c>
      <c r="H26" s="3">
        <v>244.828</v>
      </c>
      <c r="I26" s="3">
        <v>241.36</v>
      </c>
      <c r="J26" s="3">
        <f t="shared" si="18"/>
        <v>291.04099999999994</v>
      </c>
      <c r="K26" s="3">
        <v>256.66300000000001</v>
      </c>
      <c r="L26" s="3">
        <v>277.17399999999998</v>
      </c>
      <c r="M26" s="3">
        <v>292.61200000000002</v>
      </c>
      <c r="N26" s="3">
        <f t="shared" si="20"/>
        <v>307.71000000000004</v>
      </c>
      <c r="O26" s="3">
        <v>281.32100000000003</v>
      </c>
      <c r="P26" s="3">
        <v>307.25400000000002</v>
      </c>
      <c r="Q26" s="3"/>
      <c r="R26" s="3"/>
      <c r="S26" s="3"/>
      <c r="T26" s="3">
        <v>303.10000000000002</v>
      </c>
      <c r="U26" s="3">
        <v>340.40699999999998</v>
      </c>
      <c r="V26" s="3">
        <v>459.00400000000002</v>
      </c>
      <c r="W26" s="3">
        <v>657.17600000000004</v>
      </c>
      <c r="X26" s="3">
        <v>762.6</v>
      </c>
      <c r="Y26" s="3">
        <v>897.21199999999999</v>
      </c>
      <c r="Z26" s="3">
        <v>1009.808</v>
      </c>
      <c r="AA26" s="3">
        <v>1134.1590000000001</v>
      </c>
      <c r="AB26" s="3">
        <f>+AB27-AB24-AB25</f>
        <v>1170.8833382000003</v>
      </c>
      <c r="AC26" s="3">
        <f t="shared" ref="AC26:AH26" si="23">+AC27-AC24-AC25</f>
        <v>1183.3225034671032</v>
      </c>
      <c r="AD26" s="3">
        <f t="shared" si="23"/>
        <v>1191.6883655941192</v>
      </c>
      <c r="AE26" s="3">
        <f t="shared" si="23"/>
        <v>1195.8323697009655</v>
      </c>
      <c r="AF26" s="3">
        <f t="shared" si="23"/>
        <v>1195.600689492876</v>
      </c>
      <c r="AG26" s="3">
        <f t="shared" si="23"/>
        <v>1190.8340546479503</v>
      </c>
      <c r="AH26" s="3">
        <f t="shared" si="23"/>
        <v>1181.3675726053889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2:53" x14ac:dyDescent="0.2">
      <c r="B27" s="1" t="s">
        <v>12</v>
      </c>
      <c r="C27" s="11">
        <v>2000.7919999999999</v>
      </c>
      <c r="D27" s="11">
        <v>2209.165</v>
      </c>
      <c r="E27" s="11">
        <v>2204.2179999999998</v>
      </c>
      <c r="F27" s="11">
        <v>3205.1030000000001</v>
      </c>
      <c r="G27" s="11">
        <v>2208.8910000000001</v>
      </c>
      <c r="H27" s="11">
        <v>2371.078</v>
      </c>
      <c r="I27" s="11">
        <v>2396.66</v>
      </c>
      <c r="J27" s="11">
        <v>3611.4969999999998</v>
      </c>
      <c r="K27" s="11">
        <v>2370.66</v>
      </c>
      <c r="L27" s="11">
        <v>2525.2190000000001</v>
      </c>
      <c r="M27" s="11">
        <v>2565.92</v>
      </c>
      <c r="N27" s="11">
        <f t="shared" si="20"/>
        <v>3640.8010000000004</v>
      </c>
      <c r="O27" s="11">
        <v>2471.6030000000001</v>
      </c>
      <c r="P27" s="11">
        <v>2415.6309999999999</v>
      </c>
      <c r="Q27" s="11"/>
      <c r="R27" s="11"/>
      <c r="S27" s="3"/>
      <c r="T27" s="11">
        <v>3288.319</v>
      </c>
      <c r="U27" s="11">
        <v>3979.2959999999998</v>
      </c>
      <c r="V27" s="11">
        <v>4401.8789999999999</v>
      </c>
      <c r="W27" s="11">
        <v>6256.6170000000002</v>
      </c>
      <c r="X27" s="11">
        <v>8110.518</v>
      </c>
      <c r="Y27" s="11">
        <v>9619.2780000000002</v>
      </c>
      <c r="Z27" s="11">
        <v>10588.126</v>
      </c>
      <c r="AA27" s="11">
        <v>11102.6</v>
      </c>
      <c r="AB27" s="11">
        <f>+AA27*(1+3%)</f>
        <v>11435.678</v>
      </c>
      <c r="AC27" s="11">
        <f>+AC7*AC8</f>
        <v>11571.07642752</v>
      </c>
      <c r="AD27" s="11">
        <f t="shared" ref="AD27:AH27" si="24">+AD7*AD8</f>
        <v>11708.077972421837</v>
      </c>
      <c r="AE27" s="11">
        <f t="shared" si="24"/>
        <v>11846.701615615311</v>
      </c>
      <c r="AF27" s="11">
        <f t="shared" si="24"/>
        <v>11986.966562744197</v>
      </c>
      <c r="AG27" s="11">
        <f t="shared" si="24"/>
        <v>12128.892246847088</v>
      </c>
      <c r="AH27" s="11">
        <f t="shared" si="24"/>
        <v>12272.498331049759</v>
      </c>
    </row>
    <row r="28" spans="2:53" x14ac:dyDescent="0.2">
      <c r="B28" s="2" t="s">
        <v>19</v>
      </c>
      <c r="C28" s="3">
        <v>849.98699999999997</v>
      </c>
      <c r="D28" s="3">
        <v>910.654</v>
      </c>
      <c r="E28" s="3">
        <v>947.55399999999997</v>
      </c>
      <c r="F28" s="3">
        <v>1301.6780000000001</v>
      </c>
      <c r="G28" s="3">
        <v>933.82299999999998</v>
      </c>
      <c r="H28" s="3">
        <v>958.89300000000003</v>
      </c>
      <c r="I28" s="3">
        <v>995.05399999999997</v>
      </c>
      <c r="J28" s="3">
        <v>1429.5450000000001</v>
      </c>
      <c r="K28" s="3">
        <v>987.53399999999999</v>
      </c>
      <c r="L28" s="3">
        <v>1048.0170000000001</v>
      </c>
      <c r="M28" s="3">
        <v>1140.0039999999999</v>
      </c>
      <c r="N28" s="3">
        <f t="shared" si="20"/>
        <v>1642.913</v>
      </c>
      <c r="O28" s="3">
        <v>1132.7850000000001</v>
      </c>
      <c r="P28" s="3">
        <v>953.75300000000004</v>
      </c>
      <c r="Q28" s="3"/>
      <c r="R28" s="3"/>
      <c r="S28" s="3"/>
      <c r="T28" s="3">
        <v>1472.0309999999999</v>
      </c>
      <c r="U28" s="3">
        <v>1755.91</v>
      </c>
      <c r="V28" s="3">
        <v>1937.8879999999999</v>
      </c>
      <c r="W28" s="3">
        <v>2648.0520000000001</v>
      </c>
      <c r="X28" s="3">
        <v>3618.1779999999999</v>
      </c>
      <c r="Y28" s="3">
        <v>4009.873</v>
      </c>
      <c r="Z28" s="3">
        <v>4317.3149999999996</v>
      </c>
      <c r="AA28" s="2">
        <v>4818.4679999999998</v>
      </c>
    </row>
    <row r="29" spans="2:53" x14ac:dyDescent="0.2">
      <c r="B29" s="2" t="s">
        <v>20</v>
      </c>
      <c r="C29" s="3">
        <f>C27-C28</f>
        <v>1150.8049999999998</v>
      </c>
      <c r="D29" s="3">
        <f t="shared" ref="D29:F29" si="25">D27-D28</f>
        <v>1298.511</v>
      </c>
      <c r="E29" s="3">
        <f t="shared" si="25"/>
        <v>1256.6639999999998</v>
      </c>
      <c r="F29" s="3">
        <f t="shared" si="25"/>
        <v>1903.425</v>
      </c>
      <c r="G29" s="3">
        <f>G27-G28</f>
        <v>1275.0680000000002</v>
      </c>
      <c r="H29" s="3">
        <f t="shared" ref="H29:P29" si="26">H27-H28</f>
        <v>1412.1849999999999</v>
      </c>
      <c r="I29" s="3">
        <f t="shared" si="26"/>
        <v>1401.6059999999998</v>
      </c>
      <c r="J29" s="3">
        <f t="shared" si="26"/>
        <v>2181.9519999999998</v>
      </c>
      <c r="K29" s="3">
        <f t="shared" si="26"/>
        <v>1383.1259999999997</v>
      </c>
      <c r="L29" s="3">
        <f t="shared" si="26"/>
        <v>1477.202</v>
      </c>
      <c r="M29" s="3">
        <f t="shared" si="26"/>
        <v>1425.9160000000002</v>
      </c>
      <c r="N29" s="3">
        <f t="shared" si="26"/>
        <v>1997.8880000000004</v>
      </c>
      <c r="O29" s="3">
        <f t="shared" si="26"/>
        <v>1338.818</v>
      </c>
      <c r="P29" s="3">
        <f t="shared" si="26"/>
        <v>1461.8779999999997</v>
      </c>
      <c r="Q29" s="3"/>
      <c r="R29" s="3"/>
      <c r="S29" s="3"/>
      <c r="T29" s="3">
        <f t="shared" ref="T29" si="27">T27-T28</f>
        <v>1816.288</v>
      </c>
      <c r="U29" s="3">
        <f t="shared" ref="U29" si="28">U27-U28</f>
        <v>2223.3859999999995</v>
      </c>
      <c r="V29" s="3">
        <f t="shared" ref="V29" si="29">V27-V28</f>
        <v>2463.991</v>
      </c>
      <c r="W29" s="3">
        <f t="shared" ref="W29" si="30">W27-W28</f>
        <v>3608.5650000000001</v>
      </c>
      <c r="X29" s="3">
        <f t="shared" ref="X29" si="31">X27-X28</f>
        <v>4492.34</v>
      </c>
      <c r="Y29" s="3">
        <f t="shared" ref="Y29" si="32">Y27-Y28</f>
        <v>5609.4050000000007</v>
      </c>
      <c r="Z29" s="3">
        <f t="shared" ref="Z29:AA29" si="33">Z27-Z28</f>
        <v>6270.8110000000006</v>
      </c>
      <c r="AA29" s="3">
        <f t="shared" si="33"/>
        <v>6284.1320000000005</v>
      </c>
    </row>
    <row r="30" spans="2:53" x14ac:dyDescent="0.2">
      <c r="B30" s="2" t="s">
        <v>21</v>
      </c>
      <c r="C30" s="3">
        <v>747.51300000000003</v>
      </c>
      <c r="D30" s="3">
        <v>817.375</v>
      </c>
      <c r="E30" s="3">
        <v>842.79499999999996</v>
      </c>
      <c r="F30" s="3">
        <v>989.53499999999997</v>
      </c>
      <c r="G30" s="3">
        <v>842.42600000000004</v>
      </c>
      <c r="H30" s="3">
        <v>871.95899999999995</v>
      </c>
      <c r="I30" s="3">
        <v>909.827</v>
      </c>
      <c r="J30" s="3">
        <v>1138.1669999999999</v>
      </c>
      <c r="K30" s="3">
        <v>942.87099999999998</v>
      </c>
      <c r="L30" s="3">
        <v>951.65800000000002</v>
      </c>
      <c r="M30" s="3">
        <v>988.25400000000002</v>
      </c>
      <c r="N30" s="3">
        <f t="shared" si="20"/>
        <v>1183.7730000000001</v>
      </c>
      <c r="O30" s="3">
        <v>1059.9880000000001</v>
      </c>
      <c r="P30" s="3">
        <v>1006.332</v>
      </c>
      <c r="Q30" s="3"/>
      <c r="R30" s="3"/>
      <c r="S30" s="3"/>
      <c r="T30" s="3">
        <v>1100.3789999999999</v>
      </c>
      <c r="U30" s="3">
        <v>1334.2470000000001</v>
      </c>
      <c r="V30" s="3">
        <v>1609.0029999999999</v>
      </c>
      <c r="W30" s="3">
        <v>2225.0340000000001</v>
      </c>
      <c r="X30" s="3">
        <v>2757.4470000000001</v>
      </c>
      <c r="Y30" s="3">
        <v>3397.2179999999998</v>
      </c>
      <c r="Z30" s="3">
        <v>3762.3789999999999</v>
      </c>
      <c r="AA30" s="2">
        <v>4066.556</v>
      </c>
    </row>
    <row r="31" spans="2:53" x14ac:dyDescent="0.2">
      <c r="B31" s="2" t="s">
        <v>29</v>
      </c>
      <c r="C31" s="3">
        <v>1.8779999999999999</v>
      </c>
      <c r="D31" s="3">
        <v>1.879</v>
      </c>
      <c r="E31" s="3">
        <f>74.501+1.253</f>
        <v>75.754000000000005</v>
      </c>
      <c r="F31" s="3">
        <v>0</v>
      </c>
      <c r="G31" s="3">
        <v>0</v>
      </c>
      <c r="H31" s="3">
        <v>0</v>
      </c>
      <c r="I31" s="3">
        <v>1.1180000000000001</v>
      </c>
      <c r="J31" s="3">
        <v>1.617</v>
      </c>
      <c r="K31" s="3">
        <v>1.63</v>
      </c>
      <c r="L31" s="3">
        <v>1.73</v>
      </c>
      <c r="M31" s="3">
        <v>1.776</v>
      </c>
      <c r="N31" s="3">
        <f t="shared" si="20"/>
        <v>1.8250000000000002</v>
      </c>
      <c r="O31" s="3">
        <v>1.8839999999999999</v>
      </c>
      <c r="P31" s="3">
        <v>1.893</v>
      </c>
      <c r="Q31" s="3"/>
      <c r="R31" s="3"/>
      <c r="S31" s="3"/>
      <c r="T31" s="3">
        <v>7.1999999999999995E-2</v>
      </c>
      <c r="U31" s="3">
        <v>2.9000000000000001E-2</v>
      </c>
      <c r="V31" s="3">
        <f>5.16+29.842</f>
        <v>35.001999999999995</v>
      </c>
      <c r="W31" s="3">
        <f>8.782+41.394</f>
        <v>50.176000000000002</v>
      </c>
      <c r="X31" s="3">
        <f>407.913+8.752-10.18</f>
        <v>406.48500000000001</v>
      </c>
      <c r="Y31" s="3">
        <f>74.501+5.01</f>
        <v>79.51100000000001</v>
      </c>
      <c r="Z31" s="3">
        <v>2.7349999999999999</v>
      </c>
      <c r="AA31" s="2">
        <v>6.9610000000000003</v>
      </c>
    </row>
    <row r="32" spans="2:53" x14ac:dyDescent="0.2">
      <c r="B32" s="2" t="s">
        <v>22</v>
      </c>
      <c r="C32" s="3">
        <f t="shared" ref="C32:E32" si="34">C29-SUM(C30:C31)</f>
        <v>401.41399999999976</v>
      </c>
      <c r="D32" s="3">
        <f t="shared" si="34"/>
        <v>479.25699999999995</v>
      </c>
      <c r="E32" s="3">
        <f t="shared" si="34"/>
        <v>338.11499999999978</v>
      </c>
      <c r="F32" s="3">
        <f>F29-SUM(F30:F31)</f>
        <v>913.89</v>
      </c>
      <c r="G32" s="3">
        <f>G29-SUM(G30:G31)</f>
        <v>432.64200000000017</v>
      </c>
      <c r="H32" s="3">
        <f t="shared" ref="H32:P32" si="35">H29-SUM(H30:H31)</f>
        <v>540.226</v>
      </c>
      <c r="I32" s="3">
        <f t="shared" si="35"/>
        <v>490.66099999999972</v>
      </c>
      <c r="J32" s="3">
        <f t="shared" si="35"/>
        <v>1042.1679999999999</v>
      </c>
      <c r="K32" s="3">
        <f t="shared" si="35"/>
        <v>438.62499999999977</v>
      </c>
      <c r="L32" s="3">
        <f t="shared" si="35"/>
        <v>523.81399999999996</v>
      </c>
      <c r="M32" s="3">
        <f t="shared" si="35"/>
        <v>435.88600000000019</v>
      </c>
      <c r="N32" s="3">
        <f t="shared" si="35"/>
        <v>812.29000000000019</v>
      </c>
      <c r="O32" s="3">
        <f t="shared" si="35"/>
        <v>276.94599999999991</v>
      </c>
      <c r="P32" s="3">
        <f t="shared" si="35"/>
        <v>453.65299999999968</v>
      </c>
      <c r="Q32" s="3"/>
      <c r="R32" s="3"/>
      <c r="S32" s="3"/>
      <c r="T32" s="3">
        <f t="shared" ref="T32" si="36">T29-SUM(T30:T31)</f>
        <v>715.83700000000022</v>
      </c>
      <c r="U32" s="3">
        <f t="shared" ref="U32" si="37">U29-SUM(U30:U31)</f>
        <v>889.10999999999945</v>
      </c>
      <c r="V32" s="3">
        <f t="shared" ref="V32" si="38">V29-SUM(V30:V31)</f>
        <v>819.9860000000001</v>
      </c>
      <c r="W32" s="3">
        <f>W29-SUM(W30:W31)</f>
        <v>1333.355</v>
      </c>
      <c r="X32" s="3">
        <f t="shared" ref="X32" si="39">X29-SUM(X30:X31)</f>
        <v>1328.4079999999999</v>
      </c>
      <c r="Y32" s="3">
        <f t="shared" ref="Y32" si="40">Y29-SUM(Y30:Y31)</f>
        <v>2132.6760000000008</v>
      </c>
      <c r="Z32" s="3">
        <f t="shared" ref="Z32:AA32" si="41">Z29-SUM(Z30:Z31)</f>
        <v>2505.6970000000006</v>
      </c>
      <c r="AA32" s="3">
        <f t="shared" si="41"/>
        <v>2210.6150000000007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2:35" x14ac:dyDescent="0.2">
      <c r="B33" s="2" t="s">
        <v>23</v>
      </c>
      <c r="C33" s="3">
        <v>8.0250000000000004</v>
      </c>
      <c r="D33" s="3">
        <v>7.3620000000000001</v>
      </c>
      <c r="E33" s="3">
        <v>9.8420000000000005</v>
      </c>
      <c r="F33" s="3">
        <v>17.829999999999998</v>
      </c>
      <c r="G33" s="3">
        <v>23.283000000000001</v>
      </c>
      <c r="H33" s="3">
        <v>17.994</v>
      </c>
      <c r="I33" s="3">
        <v>13.743</v>
      </c>
      <c r="J33" s="3">
        <v>15.36</v>
      </c>
      <c r="K33" s="3">
        <v>11.786</v>
      </c>
      <c r="L33" s="3">
        <v>9.7370000000000001</v>
      </c>
      <c r="M33" s="3">
        <v>5.8540000000000001</v>
      </c>
      <c r="N33" s="3">
        <f t="shared" si="20"/>
        <v>0.97500000000000142</v>
      </c>
      <c r="O33" s="3">
        <v>9.1310000000000002</v>
      </c>
      <c r="P33" s="3">
        <v>13.698</v>
      </c>
      <c r="Q33" s="3"/>
      <c r="R33" s="3"/>
      <c r="S33" s="3"/>
      <c r="T33" s="3">
        <v>9.4139999999999997</v>
      </c>
      <c r="U33" s="3">
        <v>8.2829999999999995</v>
      </c>
      <c r="V33" s="3">
        <v>-0.63600000000000001</v>
      </c>
      <c r="W33" s="3">
        <v>0.51400000000000001</v>
      </c>
      <c r="X33" s="3">
        <v>4.1630000000000003</v>
      </c>
      <c r="Y33" s="3">
        <v>43.058999999999997</v>
      </c>
      <c r="Z33" s="3">
        <v>70.38</v>
      </c>
      <c r="AA33" s="2">
        <v>28.352</v>
      </c>
    </row>
    <row r="34" spans="2:35" x14ac:dyDescent="0.2">
      <c r="B34" s="2" t="s">
        <v>24</v>
      </c>
      <c r="C34" s="3">
        <f>C32+C33</f>
        <v>409.43899999999974</v>
      </c>
      <c r="D34" s="3">
        <f t="shared" ref="D34:F34" si="42">D32+D33</f>
        <v>486.61899999999997</v>
      </c>
      <c r="E34" s="3">
        <f t="shared" si="42"/>
        <v>347.95699999999977</v>
      </c>
      <c r="F34" s="3">
        <f t="shared" si="42"/>
        <v>931.72</v>
      </c>
      <c r="G34" s="3">
        <f>G32+G33</f>
        <v>455.92500000000018</v>
      </c>
      <c r="H34" s="3">
        <f t="shared" ref="H34:P34" si="43">H32+H33</f>
        <v>558.22</v>
      </c>
      <c r="I34" s="3">
        <f t="shared" si="43"/>
        <v>504.40399999999971</v>
      </c>
      <c r="J34" s="3">
        <f t="shared" si="43"/>
        <v>1057.5279999999998</v>
      </c>
      <c r="K34" s="3">
        <f t="shared" si="43"/>
        <v>450.41099999999977</v>
      </c>
      <c r="L34" s="3">
        <f t="shared" si="43"/>
        <v>533.55099999999993</v>
      </c>
      <c r="M34" s="3">
        <f t="shared" si="43"/>
        <v>441.74000000000018</v>
      </c>
      <c r="N34" s="3">
        <f t="shared" si="43"/>
        <v>813.26500000000021</v>
      </c>
      <c r="O34" s="3">
        <f t="shared" si="43"/>
        <v>286.07699999999988</v>
      </c>
      <c r="P34" s="3">
        <f t="shared" si="43"/>
        <v>467.35099999999966</v>
      </c>
      <c r="Q34" s="3"/>
      <c r="R34" s="3"/>
      <c r="S34" s="3"/>
      <c r="T34" s="3">
        <f t="shared" ref="T34" si="44">T32+T33</f>
        <v>725.2510000000002</v>
      </c>
      <c r="U34" s="3">
        <f t="shared" ref="U34" si="45">U32+U33</f>
        <v>897.39299999999946</v>
      </c>
      <c r="V34" s="3">
        <f t="shared" ref="V34" si="46">V32+V33</f>
        <v>819.35000000000014</v>
      </c>
      <c r="W34" s="3">
        <f t="shared" ref="W34" si="47">W32+W33</f>
        <v>1333.8689999999999</v>
      </c>
      <c r="X34" s="3">
        <f t="shared" ref="X34" si="48">X32+X33</f>
        <v>1332.5709999999999</v>
      </c>
      <c r="Y34" s="3">
        <f t="shared" ref="Y34" si="49">Y32+Y33</f>
        <v>2175.735000000001</v>
      </c>
      <c r="Z34" s="3">
        <f t="shared" ref="Z34:AA34" si="50">Z32+Z33</f>
        <v>2576.0770000000007</v>
      </c>
      <c r="AA34" s="3">
        <f t="shared" si="50"/>
        <v>2238.9670000000006</v>
      </c>
    </row>
    <row r="35" spans="2:35" x14ac:dyDescent="0.2">
      <c r="B35" s="2" t="s">
        <v>25</v>
      </c>
      <c r="C35" s="3">
        <v>119.03400000000001</v>
      </c>
      <c r="D35" s="3">
        <v>145.01599999999999</v>
      </c>
      <c r="E35" s="3">
        <v>99.242999999999995</v>
      </c>
      <c r="F35" s="3">
        <v>262.25200000000001</v>
      </c>
      <c r="G35" s="3">
        <v>134.50399999999999</v>
      </c>
      <c r="H35" s="3">
        <v>165.298</v>
      </c>
      <c r="I35" s="3">
        <v>152.53399999999999</v>
      </c>
      <c r="J35" s="3">
        <v>309.125</v>
      </c>
      <c r="K35" s="3">
        <v>135.839</v>
      </c>
      <c r="L35" s="3">
        <v>162.64599999999999</v>
      </c>
      <c r="M35" s="3">
        <v>134.905</v>
      </c>
      <c r="N35" s="3">
        <f t="shared" si="20"/>
        <v>226.39400000000001</v>
      </c>
      <c r="O35" s="3">
        <v>91.028999999999996</v>
      </c>
      <c r="P35" s="3">
        <v>138.12799999999999</v>
      </c>
      <c r="Q35" s="3"/>
      <c r="R35" s="3"/>
      <c r="S35" s="3"/>
      <c r="T35" s="3">
        <v>231.44900000000001</v>
      </c>
      <c r="U35" s="3">
        <v>251.797</v>
      </c>
      <c r="V35" s="3">
        <v>230.43700000000001</v>
      </c>
      <c r="W35" s="3">
        <v>358.54700000000003</v>
      </c>
      <c r="X35" s="3">
        <v>477.77100000000002</v>
      </c>
      <c r="Y35" s="3">
        <v>625.54499999999996</v>
      </c>
      <c r="Z35" s="3">
        <v>761.46100000000001</v>
      </c>
      <c r="AA35" s="2">
        <v>659.78399999999999</v>
      </c>
    </row>
    <row r="36" spans="2:35" x14ac:dyDescent="0.2">
      <c r="B36" s="2" t="s">
        <v>26</v>
      </c>
      <c r="C36" s="3">
        <f>C34-C35</f>
        <v>290.40499999999975</v>
      </c>
      <c r="D36" s="3">
        <f t="shared" ref="D36:F36" si="51">D34-D35</f>
        <v>341.60299999999995</v>
      </c>
      <c r="E36" s="3">
        <f t="shared" si="51"/>
        <v>248.71399999999977</v>
      </c>
      <c r="F36" s="3">
        <f t="shared" si="51"/>
        <v>669.46800000000007</v>
      </c>
      <c r="G36" s="3">
        <f>G34-G35</f>
        <v>321.42100000000016</v>
      </c>
      <c r="H36" s="3">
        <f t="shared" ref="H36:P36" si="52">H34-H35</f>
        <v>392.92200000000003</v>
      </c>
      <c r="I36" s="3">
        <f t="shared" si="52"/>
        <v>351.86999999999972</v>
      </c>
      <c r="J36" s="3">
        <f t="shared" si="52"/>
        <v>748.40299999999979</v>
      </c>
      <c r="K36" s="3">
        <f t="shared" si="52"/>
        <v>314.57199999999978</v>
      </c>
      <c r="L36" s="3">
        <f t="shared" si="52"/>
        <v>370.90499999999997</v>
      </c>
      <c r="M36" s="3">
        <f t="shared" si="52"/>
        <v>306.83500000000015</v>
      </c>
      <c r="N36" s="3">
        <f t="shared" si="52"/>
        <v>586.87100000000021</v>
      </c>
      <c r="O36" s="3">
        <f t="shared" si="52"/>
        <v>195.04799999999989</v>
      </c>
      <c r="P36" s="3">
        <f t="shared" si="52"/>
        <v>329.22299999999967</v>
      </c>
      <c r="Q36" s="3"/>
      <c r="R36" s="3"/>
      <c r="S36" s="3"/>
      <c r="T36" s="3">
        <f t="shared" ref="T36:AA36" si="53">T34-T35</f>
        <v>493.80200000000019</v>
      </c>
      <c r="U36" s="3">
        <f t="shared" si="53"/>
        <v>645.59599999999944</v>
      </c>
      <c r="V36" s="3">
        <f t="shared" si="53"/>
        <v>588.91300000000012</v>
      </c>
      <c r="W36" s="3">
        <f t="shared" si="53"/>
        <v>975.32199999999989</v>
      </c>
      <c r="X36" s="3">
        <f t="shared" si="53"/>
        <v>854.8</v>
      </c>
      <c r="Y36" s="3">
        <f t="shared" si="53"/>
        <v>1550.190000000001</v>
      </c>
      <c r="Z36" s="3">
        <f t="shared" si="53"/>
        <v>1814.6160000000007</v>
      </c>
      <c r="AA36" s="3">
        <f t="shared" si="53"/>
        <v>1579.1830000000004</v>
      </c>
    </row>
    <row r="37" spans="2:35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35" x14ac:dyDescent="0.2">
      <c r="B38" s="2" t="s">
        <v>28</v>
      </c>
      <c r="C38" s="14">
        <f t="shared" ref="C38:P38" si="54">C36/C39</f>
        <v>2.2822328403250376</v>
      </c>
      <c r="D38" s="14">
        <f t="shared" si="54"/>
        <v>2.69044412415629</v>
      </c>
      <c r="E38" s="14">
        <f t="shared" si="54"/>
        <v>1.9667404712952694</v>
      </c>
      <c r="F38" s="14">
        <f t="shared" si="54"/>
        <v>5.3036410305162098</v>
      </c>
      <c r="G38" s="14">
        <f t="shared" si="54"/>
        <v>2.5530270536466042</v>
      </c>
      <c r="H38" s="14">
        <f t="shared" si="54"/>
        <v>3.1504077100087398</v>
      </c>
      <c r="I38" s="14">
        <f t="shared" si="54"/>
        <v>2.8677962786376172</v>
      </c>
      <c r="J38" s="14">
        <f t="shared" si="54"/>
        <v>6.1504318598325138</v>
      </c>
      <c r="K38" s="14">
        <f t="shared" si="54"/>
        <v>2.6076994495656192</v>
      </c>
      <c r="L38" s="14">
        <f t="shared" si="54"/>
        <v>3.1012123745819395</v>
      </c>
      <c r="M38" s="14">
        <f t="shared" si="54"/>
        <v>2.588560340827605</v>
      </c>
      <c r="N38" s="14">
        <f t="shared" si="54"/>
        <v>4.9324766139131482</v>
      </c>
      <c r="O38" s="14">
        <f t="shared" si="54"/>
        <v>1.689985616996204</v>
      </c>
      <c r="P38" s="14">
        <f t="shared" si="54"/>
        <v>2.9161101170968458</v>
      </c>
      <c r="Q38" s="14"/>
      <c r="R38" s="14"/>
      <c r="S38" s="14"/>
      <c r="T38" s="14">
        <f>+T36/T39</f>
        <v>3.7013034711759736</v>
      </c>
      <c r="U38" s="14">
        <f t="shared" ref="U38:AA38" si="55">+U36/U39</f>
        <v>4.9511553534315444</v>
      </c>
      <c r="V38" s="14">
        <f t="shared" si="55"/>
        <v>4.5200515776466181</v>
      </c>
      <c r="W38" s="14">
        <f t="shared" si="55"/>
        <v>7.515889895814067</v>
      </c>
      <c r="X38" s="14">
        <f t="shared" si="55"/>
        <v>6.6955963216518102</v>
      </c>
      <c r="Y38" s="14">
        <f t="shared" si="55"/>
        <v>12.23261209223049</v>
      </c>
      <c r="Z38" s="14">
        <f t="shared" si="55"/>
        <v>14.665341253485277</v>
      </c>
      <c r="AA38" s="14">
        <f t="shared" si="55"/>
        <v>13.272564527109374</v>
      </c>
      <c r="AB38" s="14"/>
      <c r="AC38" s="14"/>
      <c r="AD38" s="14"/>
      <c r="AE38" s="14"/>
      <c r="AF38" s="14"/>
      <c r="AG38" s="14"/>
      <c r="AH38" s="14"/>
      <c r="AI38" s="14"/>
    </row>
    <row r="39" spans="2:35" x14ac:dyDescent="0.2">
      <c r="B39" s="2" t="s">
        <v>27</v>
      </c>
      <c r="C39" s="3">
        <v>127.246</v>
      </c>
      <c r="D39" s="3">
        <v>126.96899999999999</v>
      </c>
      <c r="E39" s="3">
        <v>126.46</v>
      </c>
      <c r="F39" s="3">
        <v>126.22799999999999</v>
      </c>
      <c r="G39" s="3">
        <v>125.898</v>
      </c>
      <c r="H39" s="3">
        <v>124.721</v>
      </c>
      <c r="I39" s="3">
        <v>122.697</v>
      </c>
      <c r="J39" s="3">
        <v>121.68300000000001</v>
      </c>
      <c r="K39" s="3">
        <v>120.63200000000001</v>
      </c>
      <c r="L39" s="3">
        <v>119.6</v>
      </c>
      <c r="M39" s="3">
        <v>118.535</v>
      </c>
      <c r="N39" s="2">
        <v>118.98099999999999</v>
      </c>
      <c r="O39" s="2">
        <v>115.414</v>
      </c>
      <c r="P39" s="3">
        <v>112.898</v>
      </c>
      <c r="Q39" s="3"/>
      <c r="R39" s="3"/>
      <c r="S39" s="3"/>
      <c r="T39" s="3">
        <v>133.41300000000001</v>
      </c>
      <c r="U39" s="3">
        <v>130.393</v>
      </c>
      <c r="V39" s="3">
        <v>130.28899999999999</v>
      </c>
      <c r="W39" s="3">
        <v>129.768</v>
      </c>
      <c r="X39" s="3">
        <v>127.666</v>
      </c>
      <c r="Y39" s="3">
        <v>126.726</v>
      </c>
      <c r="Z39" s="3">
        <v>123.735</v>
      </c>
      <c r="AA39" s="2">
        <v>118.98099999999999</v>
      </c>
    </row>
    <row r="40" spans="2:35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35" x14ac:dyDescent="0.2">
      <c r="B41" s="8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35" x14ac:dyDescent="0.2">
      <c r="B42" s="86" t="s">
        <v>277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P42" s="3"/>
      <c r="Q42" s="3"/>
      <c r="R42" s="3"/>
      <c r="S42" s="3"/>
      <c r="T42" s="90">
        <f>+T8</f>
        <v>2.1881054678651108E-2</v>
      </c>
      <c r="U42" s="90">
        <f t="shared" ref="U42:AH42" si="56">+U8</f>
        <v>2.5049074897288436E-2</v>
      </c>
      <c r="V42" s="90">
        <f t="shared" si="56"/>
        <v>2.6212876582885982E-2</v>
      </c>
      <c r="W42" s="90">
        <f t="shared" si="56"/>
        <v>3.5245793232396322E-2</v>
      </c>
      <c r="X42" s="90">
        <f t="shared" si="56"/>
        <v>4.3222257627741088E-2</v>
      </c>
      <c r="Y42" s="90">
        <f t="shared" si="56"/>
        <v>4.849449796742742E-2</v>
      </c>
      <c r="Z42" s="90">
        <f t="shared" si="56"/>
        <v>5.0496378067816386E-2</v>
      </c>
      <c r="AA42" s="90">
        <f t="shared" si="56"/>
        <v>5.0090683510038349E-2</v>
      </c>
      <c r="AB42" s="90">
        <f t="shared" si="56"/>
        <v>4.891013215859031E-2</v>
      </c>
      <c r="AC42" s="90">
        <f t="shared" si="56"/>
        <v>4.6953726872246693E-2</v>
      </c>
      <c r="AD42" s="90">
        <f t="shared" si="56"/>
        <v>4.5075577797356825E-2</v>
      </c>
      <c r="AE42" s="90">
        <f t="shared" si="56"/>
        <v>4.3272554685462553E-2</v>
      </c>
      <c r="AF42" s="90">
        <f t="shared" si="56"/>
        <v>4.1541652498044049E-2</v>
      </c>
      <c r="AG42" s="90">
        <f t="shared" si="56"/>
        <v>3.9879986398122284E-2</v>
      </c>
      <c r="AH42" s="90">
        <f t="shared" si="56"/>
        <v>3.8284786942197391E-2</v>
      </c>
    </row>
    <row r="43" spans="2:35" x14ac:dyDescent="0.2">
      <c r="B43" s="86" t="s">
        <v>278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13">
        <f>+O15/K15-1</f>
        <v>5.9740259740259649E-2</v>
      </c>
      <c r="P43" s="13">
        <f>+P15/L15-1</f>
        <v>5.2295918367347038E-2</v>
      </c>
      <c r="Q43" s="3"/>
      <c r="R43" s="3"/>
      <c r="S43" s="3"/>
      <c r="U43" s="13">
        <f t="shared" ref="U43:Z43" si="57">+U15/T15-1</f>
        <v>0.11590909090909096</v>
      </c>
      <c r="V43" s="13">
        <f t="shared" si="57"/>
        <v>6.1099796334012302E-2</v>
      </c>
      <c r="W43" s="13">
        <f t="shared" si="57"/>
        <v>0.10172744721689053</v>
      </c>
      <c r="X43" s="13">
        <f t="shared" si="57"/>
        <v>0.14111498257839727</v>
      </c>
      <c r="Y43" s="13">
        <f t="shared" si="57"/>
        <v>8.5496183206106968E-2</v>
      </c>
      <c r="Z43" s="13">
        <f t="shared" si="57"/>
        <v>7.8762306610407951E-2</v>
      </c>
      <c r="AA43" s="13">
        <f>+AA15/Z15-1</f>
        <v>5.7366362451108266E-2</v>
      </c>
      <c r="AB43" s="13">
        <f t="shared" ref="AB43:AH43" si="58">+AB15/AA15-1</f>
        <v>5.0000000000000044E-2</v>
      </c>
      <c r="AC43" s="13">
        <f t="shared" si="58"/>
        <v>5.0000000000000044E-2</v>
      </c>
      <c r="AD43" s="13">
        <f t="shared" si="58"/>
        <v>2.0000000000000018E-2</v>
      </c>
      <c r="AE43" s="13">
        <f t="shared" si="58"/>
        <v>2.0000000000000018E-2</v>
      </c>
      <c r="AF43" s="13">
        <f t="shared" si="58"/>
        <v>2.0000000000000018E-2</v>
      </c>
      <c r="AG43" s="13">
        <f t="shared" si="58"/>
        <v>2.0000000000000018E-2</v>
      </c>
      <c r="AH43" s="13">
        <f t="shared" si="58"/>
        <v>2.0000000000000018E-2</v>
      </c>
    </row>
    <row r="44" spans="2:35" x14ac:dyDescent="0.2">
      <c r="B44" s="86" t="s">
        <v>282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13"/>
      <c r="P44" s="3"/>
      <c r="Q44" s="3"/>
      <c r="R44" s="3"/>
      <c r="S44" s="3"/>
      <c r="T44" s="13">
        <f t="shared" ref="T44:Z44" si="59">+T25/T27</f>
        <v>0.26118390581935635</v>
      </c>
      <c r="U44" s="13">
        <f t="shared" si="59"/>
        <v>0.62851996936141474</v>
      </c>
      <c r="V44" s="13">
        <f t="shared" si="59"/>
        <v>0.51888477625123275</v>
      </c>
      <c r="W44" s="13">
        <f t="shared" si="59"/>
        <v>0.44400096729590444</v>
      </c>
      <c r="X44" s="13">
        <f t="shared" si="59"/>
        <v>0.45617197323278241</v>
      </c>
      <c r="Y44" s="13">
        <f t="shared" si="59"/>
        <v>0.44817396898187156</v>
      </c>
      <c r="Z44" s="13">
        <f t="shared" si="59"/>
        <v>0.43165768899992313</v>
      </c>
      <c r="AA44" s="13">
        <f>+AA25/AA27</f>
        <v>0.44302208491704648</v>
      </c>
      <c r="AB44" s="13">
        <f>+AA44*(1+2%)</f>
        <v>0.45188252661538741</v>
      </c>
      <c r="AC44" s="13">
        <f t="shared" ref="AC44:AH44" si="60">+AB44*(1+2%)</f>
        <v>0.46092017714769518</v>
      </c>
      <c r="AD44" s="13">
        <f t="shared" si="60"/>
        <v>0.47013858069064907</v>
      </c>
      <c r="AE44" s="13">
        <f t="shared" si="60"/>
        <v>0.47954135230446204</v>
      </c>
      <c r="AF44" s="13">
        <f t="shared" si="60"/>
        <v>0.48913217935055131</v>
      </c>
      <c r="AG44" s="13">
        <f t="shared" si="60"/>
        <v>0.49891482293756234</v>
      </c>
      <c r="AH44" s="13">
        <f t="shared" si="60"/>
        <v>0.50889311939631354</v>
      </c>
    </row>
    <row r="45" spans="2:35" x14ac:dyDescent="0.2">
      <c r="B45" s="86" t="s">
        <v>283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13"/>
      <c r="P45" s="3"/>
      <c r="Q45" s="3"/>
      <c r="R45" s="3"/>
      <c r="S45" s="3"/>
      <c r="T45" s="13">
        <f t="shared" ref="T45:Z45" si="61">+T24/T27</f>
        <v>0.64664133862925099</v>
      </c>
      <c r="U45" s="13">
        <f t="shared" si="61"/>
        <v>0.2859355021591759</v>
      </c>
      <c r="V45" s="13">
        <f t="shared" si="61"/>
        <v>0.37674979253178015</v>
      </c>
      <c r="W45" s="13">
        <f t="shared" si="61"/>
        <v>0.45096207742938393</v>
      </c>
      <c r="X45" s="13">
        <f t="shared" si="61"/>
        <v>0.44980197319086151</v>
      </c>
      <c r="Y45" s="13">
        <f t="shared" si="61"/>
        <v>0.458553750083946</v>
      </c>
      <c r="Z45" s="13">
        <f t="shared" si="61"/>
        <v>0.4729705709962273</v>
      </c>
      <c r="AA45" s="13">
        <f>+AA24/AA27</f>
        <v>0.45482535622286668</v>
      </c>
      <c r="AB45" s="13">
        <f>+AA45*(1-2%)</f>
        <v>0.44572884909840932</v>
      </c>
      <c r="AC45" s="13">
        <f t="shared" ref="AC45:AH45" si="62">+AB45*(1-2%)</f>
        <v>0.43681427211644114</v>
      </c>
      <c r="AD45" s="13">
        <f t="shared" si="62"/>
        <v>0.42807798667411229</v>
      </c>
      <c r="AE45" s="13">
        <f t="shared" si="62"/>
        <v>0.41951642694063002</v>
      </c>
      <c r="AF45" s="13">
        <f t="shared" si="62"/>
        <v>0.41112609840181741</v>
      </c>
      <c r="AG45" s="13">
        <f t="shared" si="62"/>
        <v>0.40290357643378105</v>
      </c>
      <c r="AH45" s="13">
        <f t="shared" si="62"/>
        <v>0.39484550490510545</v>
      </c>
    </row>
    <row r="46" spans="2:35" x14ac:dyDescent="0.2">
      <c r="B46" s="1" t="s">
        <v>32</v>
      </c>
      <c r="C46" s="11"/>
      <c r="D46" s="11"/>
      <c r="E46" s="11"/>
      <c r="F46" s="11"/>
      <c r="G46" s="12">
        <f>G27/C27-1</f>
        <v>0.10400831270816768</v>
      </c>
      <c r="H46" s="12">
        <f t="shared" ref="H46:L46" si="63">H27/D27-1</f>
        <v>7.3291492486980303E-2</v>
      </c>
      <c r="I46" s="12">
        <f t="shared" si="63"/>
        <v>8.7306246478342953E-2</v>
      </c>
      <c r="J46" s="12">
        <f t="shared" si="63"/>
        <v>0.12679592512315518</v>
      </c>
      <c r="K46" s="12">
        <f t="shared" si="63"/>
        <v>7.3235392783075115E-2</v>
      </c>
      <c r="L46" s="12">
        <f t="shared" si="63"/>
        <v>6.50088272085525E-2</v>
      </c>
      <c r="M46" s="12">
        <f t="shared" ref="M46" si="64">M27/I27-1</f>
        <v>7.062328407033136E-2</v>
      </c>
      <c r="N46" s="12">
        <f t="shared" ref="N46" si="65">N27/J27-1</f>
        <v>8.1140867623592516E-3</v>
      </c>
      <c r="O46" s="12">
        <f t="shared" ref="O46:P46" si="66">O27/K27-1</f>
        <v>4.258012536593192E-2</v>
      </c>
      <c r="P46" s="12">
        <f t="shared" si="66"/>
        <v>-4.3397424144203001E-2</v>
      </c>
      <c r="Q46" s="13"/>
      <c r="R46" s="13"/>
      <c r="S46" s="3"/>
      <c r="T46" s="13"/>
      <c r="U46" s="12">
        <f t="shared" ref="U46:X46" si="67">U27/T27-1</f>
        <v>0.21013076894303739</v>
      </c>
      <c r="V46" s="12">
        <f t="shared" si="67"/>
        <v>0.10619541748088102</v>
      </c>
      <c r="W46" s="12">
        <f t="shared" si="67"/>
        <v>0.42135142742451581</v>
      </c>
      <c r="X46" s="12">
        <f t="shared" si="67"/>
        <v>0.29631045020016411</v>
      </c>
      <c r="Y46" s="12">
        <f>Y27/X27-1</f>
        <v>0.18602510961691965</v>
      </c>
      <c r="Z46" s="12">
        <f>Z27/Y27-1</f>
        <v>0.1007194095024595</v>
      </c>
      <c r="AA46" s="12">
        <f>AA27/Z27-1</f>
        <v>4.8589712664923068E-2</v>
      </c>
      <c r="AB46" s="12">
        <f t="shared" ref="AB46:AH46" si="68">AB27/AA27-1</f>
        <v>3.0000000000000027E-2</v>
      </c>
      <c r="AC46" s="12">
        <f t="shared" si="68"/>
        <v>1.1840000000000073E-2</v>
      </c>
      <c r="AD46" s="12">
        <f t="shared" si="68"/>
        <v>1.1840000000000073E-2</v>
      </c>
      <c r="AE46" s="12">
        <f t="shared" si="68"/>
        <v>1.1839999999999851E-2</v>
      </c>
      <c r="AF46" s="12">
        <f t="shared" si="68"/>
        <v>1.1840000000000073E-2</v>
      </c>
      <c r="AG46" s="12">
        <f t="shared" si="68"/>
        <v>1.1840000000000073E-2</v>
      </c>
      <c r="AH46" s="12">
        <f t="shared" si="68"/>
        <v>1.1840000000000073E-2</v>
      </c>
    </row>
    <row r="47" spans="2:35" x14ac:dyDescent="0.2">
      <c r="B47" s="2" t="s">
        <v>33</v>
      </c>
      <c r="C47" s="13">
        <f t="shared" ref="C47:J47" si="69">C29/C27</f>
        <v>0.57517473080660053</v>
      </c>
      <c r="D47" s="13">
        <f t="shared" si="69"/>
        <v>0.58778361960288161</v>
      </c>
      <c r="E47" s="13">
        <f t="shared" si="69"/>
        <v>0.57011783770933722</v>
      </c>
      <c r="F47" s="13">
        <f t="shared" si="69"/>
        <v>0.59387327021939695</v>
      </c>
      <c r="G47" s="13">
        <f t="shared" si="69"/>
        <v>0.57724351269483198</v>
      </c>
      <c r="H47" s="13">
        <f t="shared" si="69"/>
        <v>0.59558774532090464</v>
      </c>
      <c r="I47" s="13">
        <f t="shared" si="69"/>
        <v>0.58481636944748105</v>
      </c>
      <c r="J47" s="13">
        <f t="shared" si="69"/>
        <v>0.60416829918452097</v>
      </c>
      <c r="K47" s="13">
        <f t="shared" ref="K47:L47" si="70">K29/K27</f>
        <v>0.58343499278681876</v>
      </c>
      <c r="L47" s="13">
        <f t="shared" si="70"/>
        <v>0.58497975819126968</v>
      </c>
      <c r="M47" s="13">
        <f t="shared" ref="M47:O47" si="71">M29/M27</f>
        <v>0.55571335037725267</v>
      </c>
      <c r="N47" s="13">
        <f t="shared" si="71"/>
        <v>0.54874957461283935</v>
      </c>
      <c r="O47" s="13">
        <f t="shared" si="71"/>
        <v>0.54168003518364394</v>
      </c>
      <c r="P47" s="13">
        <f t="shared" ref="P47" si="72">P29/P27</f>
        <v>0.60517438300800075</v>
      </c>
      <c r="Q47" s="13"/>
      <c r="R47" s="13"/>
      <c r="S47" s="3"/>
      <c r="T47" s="13">
        <f t="shared" ref="T47:X47" si="73">T29/T27</f>
        <v>0.5523454385052059</v>
      </c>
      <c r="U47" s="13">
        <f t="shared" si="73"/>
        <v>0.55873853063456436</v>
      </c>
      <c r="V47" s="13">
        <f t="shared" si="73"/>
        <v>0.55975891204642381</v>
      </c>
      <c r="W47" s="13">
        <f t="shared" si="73"/>
        <v>0.57675977289324243</v>
      </c>
      <c r="X47" s="13">
        <f t="shared" si="73"/>
        <v>0.55389063929085669</v>
      </c>
      <c r="Y47" s="13">
        <f>Y29/Y27</f>
        <v>0.58314199880697914</v>
      </c>
      <c r="Z47" s="13">
        <f>Z29/Z27</f>
        <v>0.59224937444076509</v>
      </c>
      <c r="AA47" s="13">
        <f>AA29/AA27</f>
        <v>0.56600544016716803</v>
      </c>
      <c r="AB47" s="13">
        <f t="shared" ref="AB47:AH47" si="74">AB29/AB27</f>
        <v>0</v>
      </c>
      <c r="AC47" s="13">
        <f t="shared" si="74"/>
        <v>0</v>
      </c>
      <c r="AD47" s="13">
        <f t="shared" si="74"/>
        <v>0</v>
      </c>
      <c r="AE47" s="13">
        <f t="shared" si="74"/>
        <v>0</v>
      </c>
      <c r="AF47" s="13">
        <f t="shared" si="74"/>
        <v>0</v>
      </c>
      <c r="AG47" s="13">
        <f t="shared" si="74"/>
        <v>0</v>
      </c>
      <c r="AH47" s="13">
        <f t="shared" si="74"/>
        <v>0</v>
      </c>
    </row>
    <row r="48" spans="2:35" x14ac:dyDescent="0.2">
      <c r="B48" s="2" t="s">
        <v>34</v>
      </c>
      <c r="C48" s="13">
        <f t="shared" ref="C48:J48" si="75">C32/C27</f>
        <v>0.20062755148961001</v>
      </c>
      <c r="D48" s="13">
        <f t="shared" si="75"/>
        <v>0.21694033718622191</v>
      </c>
      <c r="E48" s="13">
        <f t="shared" si="75"/>
        <v>0.15339453720094828</v>
      </c>
      <c r="F48" s="13">
        <f t="shared" si="75"/>
        <v>0.28513592230889301</v>
      </c>
      <c r="G48" s="13">
        <f t="shared" si="75"/>
        <v>0.19586389731317669</v>
      </c>
      <c r="H48" s="13">
        <f t="shared" si="75"/>
        <v>0.22783982644181255</v>
      </c>
      <c r="I48" s="13">
        <f t="shared" si="75"/>
        <v>0.20472699506813638</v>
      </c>
      <c r="J48" s="13">
        <f t="shared" si="75"/>
        <v>0.2885695322466002</v>
      </c>
      <c r="K48" s="13">
        <f t="shared" ref="K48:L48" si="76">K32/K27</f>
        <v>0.18502231446095171</v>
      </c>
      <c r="L48" s="13">
        <f t="shared" si="76"/>
        <v>0.20743309788180747</v>
      </c>
      <c r="M48" s="13">
        <f t="shared" ref="M48:O48" si="77">M32/M27</f>
        <v>0.16987513250607977</v>
      </c>
      <c r="N48" s="13">
        <f t="shared" si="77"/>
        <v>0.22310749749849007</v>
      </c>
      <c r="O48" s="13">
        <f t="shared" si="77"/>
        <v>0.11205116679337253</v>
      </c>
      <c r="P48" s="13">
        <f t="shared" ref="P48" si="78">P32/P27</f>
        <v>0.1877989643285749</v>
      </c>
      <c r="Q48" s="13"/>
      <c r="R48" s="13"/>
      <c r="S48" s="3"/>
      <c r="T48" s="13">
        <f t="shared" ref="T48:X48" si="79">T32/T27</f>
        <v>0.21769086271739457</v>
      </c>
      <c r="U48" s="13">
        <f t="shared" si="79"/>
        <v>0.2234339943547802</v>
      </c>
      <c r="V48" s="13">
        <f t="shared" si="79"/>
        <v>0.18628090413207635</v>
      </c>
      <c r="W48" s="13">
        <f t="shared" si="79"/>
        <v>0.21311117493687085</v>
      </c>
      <c r="X48" s="13">
        <f t="shared" si="79"/>
        <v>0.163788305506504</v>
      </c>
      <c r="Y48" s="13">
        <f>Y32/Y27</f>
        <v>0.22170853155507106</v>
      </c>
      <c r="Z48" s="13">
        <f>Z32/Z27</f>
        <v>0.23665160388155568</v>
      </c>
      <c r="AA48" s="13">
        <f>AA32/AA27</f>
        <v>0.19910786662583543</v>
      </c>
      <c r="AB48" s="13">
        <f t="shared" ref="AB48:AH48" si="80">AB32/AB27</f>
        <v>0</v>
      </c>
      <c r="AC48" s="13">
        <f t="shared" si="80"/>
        <v>0</v>
      </c>
      <c r="AD48" s="13">
        <f t="shared" si="80"/>
        <v>0</v>
      </c>
      <c r="AE48" s="13">
        <f t="shared" si="80"/>
        <v>0</v>
      </c>
      <c r="AF48" s="13">
        <f t="shared" si="80"/>
        <v>0</v>
      </c>
      <c r="AG48" s="13">
        <f t="shared" si="80"/>
        <v>0</v>
      </c>
      <c r="AH48" s="13">
        <f t="shared" si="80"/>
        <v>0</v>
      </c>
    </row>
    <row r="49" spans="2:48" x14ac:dyDescent="0.2">
      <c r="B49" s="2" t="s">
        <v>35</v>
      </c>
      <c r="C49" s="13">
        <f t="shared" ref="C49:J49" si="81">C36/C27</f>
        <v>0.14514502257106174</v>
      </c>
      <c r="D49" s="13">
        <f t="shared" si="81"/>
        <v>0.15462991673324536</v>
      </c>
      <c r="E49" s="13">
        <f t="shared" si="81"/>
        <v>0.11283548178991361</v>
      </c>
      <c r="F49" s="13">
        <f t="shared" si="81"/>
        <v>0.20887565859817925</v>
      </c>
      <c r="G49" s="13">
        <f t="shared" si="81"/>
        <v>0.14551238607971156</v>
      </c>
      <c r="H49" s="13">
        <f t="shared" si="81"/>
        <v>0.16571449779383049</v>
      </c>
      <c r="I49" s="13">
        <f t="shared" si="81"/>
        <v>0.14681682007460373</v>
      </c>
      <c r="J49" s="13">
        <f t="shared" si="81"/>
        <v>0.20722791684445532</v>
      </c>
      <c r="K49" s="13">
        <f t="shared" ref="K49:L49" si="82">K36/K27</f>
        <v>0.13269384897032885</v>
      </c>
      <c r="L49" s="13">
        <f t="shared" si="82"/>
        <v>0.14688032998326084</v>
      </c>
      <c r="M49" s="13">
        <f t="shared" ref="M49:O49" si="83">M36/M27</f>
        <v>0.11958089106441359</v>
      </c>
      <c r="N49" s="13">
        <f t="shared" si="83"/>
        <v>0.16119282542495461</v>
      </c>
      <c r="O49" s="13">
        <f t="shared" si="83"/>
        <v>7.8915586362372878E-2</v>
      </c>
      <c r="P49" s="13">
        <f t="shared" ref="P49" si="84">P36/P27</f>
        <v>0.13628861361689748</v>
      </c>
      <c r="Q49" s="13"/>
      <c r="R49" s="13"/>
      <c r="S49" s="3"/>
      <c r="T49" s="13">
        <f t="shared" ref="T49:X49" si="85">T36/T27</f>
        <v>0.1501685207548295</v>
      </c>
      <c r="U49" s="13">
        <f t="shared" si="85"/>
        <v>0.16223874775839733</v>
      </c>
      <c r="V49" s="13">
        <f t="shared" si="85"/>
        <v>0.13378673062117341</v>
      </c>
      <c r="W49" s="13">
        <f t="shared" si="85"/>
        <v>0.15588647986603621</v>
      </c>
      <c r="X49" s="13">
        <f t="shared" si="85"/>
        <v>0.10539400812623805</v>
      </c>
      <c r="Y49" s="13">
        <f>Y36/Y27</f>
        <v>0.16115450660642108</v>
      </c>
      <c r="Z49" s="13">
        <f>Z36/Z27</f>
        <v>0.17138216904483386</v>
      </c>
      <c r="AA49" s="13">
        <f>AA36/AA27</f>
        <v>0.1422354223335075</v>
      </c>
      <c r="AB49" s="13">
        <f t="shared" ref="AB49:AH49" si="86">AB36/AB27</f>
        <v>0</v>
      </c>
      <c r="AC49" s="13">
        <f t="shared" si="86"/>
        <v>0</v>
      </c>
      <c r="AD49" s="13">
        <f t="shared" si="86"/>
        <v>0</v>
      </c>
      <c r="AE49" s="13">
        <f t="shared" si="86"/>
        <v>0</v>
      </c>
      <c r="AF49" s="13">
        <f t="shared" si="86"/>
        <v>0</v>
      </c>
      <c r="AG49" s="13">
        <f t="shared" si="86"/>
        <v>0</v>
      </c>
      <c r="AH49" s="13">
        <f t="shared" si="86"/>
        <v>0</v>
      </c>
    </row>
    <row r="50" spans="2:48" x14ac:dyDescent="0.2">
      <c r="B50" s="2" t="s">
        <v>36</v>
      </c>
      <c r="C50" s="13">
        <f t="shared" ref="C50:J50" si="87">C35/C34</f>
        <v>0.29072462564631135</v>
      </c>
      <c r="D50" s="13">
        <f t="shared" si="87"/>
        <v>0.29800727057513166</v>
      </c>
      <c r="E50" s="13">
        <f t="shared" si="87"/>
        <v>0.28521627672384825</v>
      </c>
      <c r="F50" s="13">
        <f t="shared" si="87"/>
        <v>0.28147082814579488</v>
      </c>
      <c r="G50" s="13">
        <f t="shared" si="87"/>
        <v>0.29501343422712056</v>
      </c>
      <c r="H50" s="13">
        <f t="shared" si="87"/>
        <v>0.29611622657733511</v>
      </c>
      <c r="I50" s="13">
        <f t="shared" si="87"/>
        <v>0.30240442185232486</v>
      </c>
      <c r="J50" s="13">
        <f t="shared" si="87"/>
        <v>0.29230904524513779</v>
      </c>
      <c r="K50" s="13">
        <f t="shared" ref="K50:L50" si="88">K35/K34</f>
        <v>0.30158899316402143</v>
      </c>
      <c r="L50" s="13">
        <f t="shared" si="88"/>
        <v>0.30483683846530135</v>
      </c>
      <c r="M50" s="13">
        <f t="shared" ref="M50:O50" si="89">M35/M34</f>
        <v>0.30539457599492903</v>
      </c>
      <c r="N50" s="13">
        <f t="shared" si="89"/>
        <v>0.27837666689209539</v>
      </c>
      <c r="O50" s="13">
        <f t="shared" si="89"/>
        <v>0.31819754821254431</v>
      </c>
      <c r="P50" s="13">
        <f t="shared" ref="P50" si="90">P35/P34</f>
        <v>0.29555516089620026</v>
      </c>
      <c r="Q50" s="13"/>
      <c r="R50" s="13"/>
      <c r="S50" s="3"/>
      <c r="T50" s="13">
        <f t="shared" ref="T50:X50" si="91">T35/T34</f>
        <v>0.319129515160958</v>
      </c>
      <c r="U50" s="13">
        <f t="shared" si="91"/>
        <v>0.28058721206873705</v>
      </c>
      <c r="V50" s="13">
        <f t="shared" si="91"/>
        <v>0.28124366876182338</v>
      </c>
      <c r="W50" s="13">
        <f t="shared" si="91"/>
        <v>0.2688022586925703</v>
      </c>
      <c r="X50" s="13">
        <f t="shared" si="91"/>
        <v>0.35853324138075948</v>
      </c>
      <c r="Y50" s="13">
        <f>Y35/Y34</f>
        <v>0.28750973808850788</v>
      </c>
      <c r="Z50" s="13">
        <f>Z35/Z34</f>
        <v>0.2955893787336325</v>
      </c>
      <c r="AA50" s="13">
        <f>AA35/AA34</f>
        <v>0.29468232448267428</v>
      </c>
      <c r="AB50" s="13" t="e">
        <f t="shared" ref="AB50:AH50" si="92">AB35/AB34</f>
        <v>#DIV/0!</v>
      </c>
      <c r="AC50" s="13" t="e">
        <f t="shared" si="92"/>
        <v>#DIV/0!</v>
      </c>
      <c r="AD50" s="13" t="e">
        <f t="shared" si="92"/>
        <v>#DIV/0!</v>
      </c>
      <c r="AE50" s="13" t="e">
        <f t="shared" si="92"/>
        <v>#DIV/0!</v>
      </c>
      <c r="AF50" s="13" t="e">
        <f t="shared" si="92"/>
        <v>#DIV/0!</v>
      </c>
      <c r="AG50" s="13" t="e">
        <f t="shared" si="92"/>
        <v>#DIV/0!</v>
      </c>
      <c r="AH50" s="13" t="e">
        <f t="shared" si="92"/>
        <v>#DIV/0!</v>
      </c>
    </row>
    <row r="51" spans="2:48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48" x14ac:dyDescent="0.2">
      <c r="B52" s="15" t="s">
        <v>65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881.32</v>
      </c>
      <c r="U52" s="3">
        <v>1093.5050000000001</v>
      </c>
      <c r="V52" s="3">
        <v>1150.5170000000001</v>
      </c>
      <c r="W52" s="3">
        <v>1259.8710000000001</v>
      </c>
      <c r="X52" s="3">
        <v>1154.867</v>
      </c>
      <c r="Y52" s="3">
        <v>2243.971</v>
      </c>
      <c r="Z52" s="3">
        <v>1984.336</v>
      </c>
      <c r="AA52" s="3">
        <v>1807.202</v>
      </c>
    </row>
    <row r="53" spans="2:48" x14ac:dyDescent="0.2">
      <c r="B53" s="15" t="s">
        <v>66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>
        <v>35.786000000000001</v>
      </c>
      <c r="U53" s="3">
        <v>40.219000000000001</v>
      </c>
      <c r="V53" s="3">
        <v>62.399000000000001</v>
      </c>
      <c r="W53" s="3">
        <v>77.001000000000005</v>
      </c>
      <c r="X53" s="3">
        <v>132.90600000000001</v>
      </c>
      <c r="Y53" s="3">
        <v>124.76900000000001</v>
      </c>
      <c r="Z53" s="3">
        <v>120.173</v>
      </c>
      <c r="AA53" s="3">
        <v>190.65700000000001</v>
      </c>
    </row>
    <row r="54" spans="2:48" x14ac:dyDescent="0.2">
      <c r="B54" s="15" t="s">
        <v>67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404.84199999999998</v>
      </c>
      <c r="U54" s="3">
        <v>518.51300000000003</v>
      </c>
      <c r="V54" s="3">
        <v>647.23</v>
      </c>
      <c r="W54" s="3">
        <v>966.48099999999999</v>
      </c>
      <c r="X54" s="3">
        <v>1447.367</v>
      </c>
      <c r="Y54" s="3">
        <v>1323.6020000000001</v>
      </c>
      <c r="Z54" s="3">
        <v>1442.0809999999999</v>
      </c>
      <c r="AA54" s="3">
        <v>1700.7529999999999</v>
      </c>
    </row>
    <row r="55" spans="2:48" x14ac:dyDescent="0.2">
      <c r="B55" s="15" t="s">
        <v>68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49.384999999999998</v>
      </c>
      <c r="U55" s="3">
        <v>85.159000000000006</v>
      </c>
      <c r="V55" s="3">
        <v>139.126</v>
      </c>
      <c r="W55" s="3">
        <v>118.928</v>
      </c>
      <c r="X55" s="3">
        <v>185.64099999999999</v>
      </c>
      <c r="Y55" s="3">
        <v>183.733</v>
      </c>
      <c r="Z55" s="3">
        <v>182.25299999999999</v>
      </c>
      <c r="AA55" s="3">
        <v>352.46899999999999</v>
      </c>
    </row>
    <row r="56" spans="2:48" x14ac:dyDescent="0.2">
      <c r="B56" s="15" t="s">
        <v>69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57.948999999999998</v>
      </c>
      <c r="U56" s="3">
        <v>70.542000000000002</v>
      </c>
      <c r="V56" s="3">
        <v>125.107</v>
      </c>
      <c r="W56" s="3">
        <v>192.572</v>
      </c>
      <c r="X56" s="3">
        <v>238.672</v>
      </c>
      <c r="Y56" s="3">
        <v>184.50200000000001</v>
      </c>
      <c r="Z56" s="3">
        <v>251.459</v>
      </c>
      <c r="AA56" s="3">
        <v>211.62</v>
      </c>
    </row>
    <row r="57" spans="2:48" x14ac:dyDescent="0.2">
      <c r="B57" s="15" t="s">
        <v>70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f t="shared" ref="T57:V57" si="93">+SUM(T52:T56)</f>
        <v>1429.2819999999999</v>
      </c>
      <c r="U57" s="3">
        <f t="shared" si="93"/>
        <v>1807.9380000000001</v>
      </c>
      <c r="V57" s="3">
        <f t="shared" si="93"/>
        <v>2124.3790000000004</v>
      </c>
      <c r="W57" s="3">
        <f t="shared" ref="W57:Y57" si="94">+SUM(W52:W56)</f>
        <v>2614.8530000000001</v>
      </c>
      <c r="X57" s="3">
        <f t="shared" si="94"/>
        <v>3159.453</v>
      </c>
      <c r="Y57" s="3">
        <f t="shared" si="94"/>
        <v>4060.5769999999998</v>
      </c>
      <c r="Z57" s="3">
        <f>+SUM(Z52:Z56)</f>
        <v>3980.3020000000001</v>
      </c>
      <c r="AA57" s="3">
        <f>+SUM(AA52:AA56)</f>
        <v>4262.701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2:48" x14ac:dyDescent="0.2">
      <c r="B58" s="15" t="s">
        <v>71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567.23699999999997</v>
      </c>
      <c r="U58" s="3">
        <v>671.69299999999998</v>
      </c>
      <c r="V58" s="3">
        <v>745.68700000000001</v>
      </c>
      <c r="W58" s="3">
        <v>927.71</v>
      </c>
      <c r="X58" s="3">
        <v>1269.614</v>
      </c>
      <c r="Y58" s="3">
        <v>1545.8109999999999</v>
      </c>
      <c r="Z58" s="3">
        <v>1780.617</v>
      </c>
      <c r="AA58" s="3">
        <v>2033.72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2:48" x14ac:dyDescent="0.2">
      <c r="B59" s="15" t="s">
        <v>72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</v>
      </c>
      <c r="U59" s="3">
        <v>689.66399999999999</v>
      </c>
      <c r="V59" s="3">
        <v>734.83500000000004</v>
      </c>
      <c r="W59" s="3">
        <v>803.54300000000001</v>
      </c>
      <c r="X59" s="3">
        <v>969.41899999999998</v>
      </c>
      <c r="Y59" s="3">
        <v>1265.6099999999999</v>
      </c>
      <c r="Z59" s="3">
        <v>1416.2560000000001</v>
      </c>
      <c r="AA59" s="3">
        <v>1630.181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2:48" x14ac:dyDescent="0.2">
      <c r="B60" s="15" t="s">
        <v>73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24.239000000000001</v>
      </c>
      <c r="U60" s="3">
        <v>24.181999999999999</v>
      </c>
      <c r="V60" s="3">
        <v>386.87700000000001</v>
      </c>
      <c r="W60" s="3">
        <v>386.88</v>
      </c>
      <c r="X60" s="3">
        <v>24.143999999999998</v>
      </c>
      <c r="Y60" s="3">
        <v>24.082999999999998</v>
      </c>
      <c r="Z60" s="3">
        <v>159.518</v>
      </c>
      <c r="AA60" s="3">
        <v>184.911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2:48" x14ac:dyDescent="0.2">
      <c r="B61" s="15" t="s">
        <v>74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</v>
      </c>
      <c r="U61" s="3">
        <v>0.24099999999999999</v>
      </c>
      <c r="V61" s="3">
        <v>80.08</v>
      </c>
      <c r="W61" s="3">
        <v>71.299000000000007</v>
      </c>
      <c r="X61" s="3">
        <v>21.960999999999999</v>
      </c>
      <c r="Y61" s="3">
        <v>0</v>
      </c>
      <c r="Z61" s="3">
        <v>11.673</v>
      </c>
      <c r="AA61" s="3">
        <v>6.2830000000000004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2:48" x14ac:dyDescent="0.2">
      <c r="B62" s="15" t="s">
        <v>75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26.548999999999999</v>
      </c>
      <c r="U62" s="3">
        <v>31.436</v>
      </c>
      <c r="V62" s="3">
        <v>6.7309999999999999</v>
      </c>
      <c r="W62" s="3">
        <v>6.0910000000000002</v>
      </c>
      <c r="X62" s="3">
        <v>6.4020000000000001</v>
      </c>
      <c r="Y62" s="3">
        <v>9.1760000000000002</v>
      </c>
      <c r="Z62" s="3">
        <v>17.085000000000001</v>
      </c>
      <c r="AA62" s="3">
        <v>24.036999999999999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2:48" x14ac:dyDescent="0.2">
      <c r="B63" s="15" t="s">
        <v>47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37.404000000000003</v>
      </c>
      <c r="U63" s="3">
        <v>56.201000000000001</v>
      </c>
      <c r="V63" s="3">
        <v>106.626</v>
      </c>
      <c r="W63" s="3">
        <v>132.102</v>
      </c>
      <c r="X63" s="3">
        <v>156.04499999999999</v>
      </c>
      <c r="Y63" s="3">
        <v>186.684</v>
      </c>
      <c r="Z63" s="3">
        <v>237.84100000000001</v>
      </c>
      <c r="AA63" s="3">
        <v>314.91000000000003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2:48" x14ac:dyDescent="0.2">
      <c r="B64" s="15" t="s">
        <v>76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f t="shared" ref="T64:W64" si="95">+SUM(T58:T63)</f>
        <v>655.42899999999997</v>
      </c>
      <c r="U64" s="3">
        <f t="shared" si="95"/>
        <v>1473.4169999999999</v>
      </c>
      <c r="V64" s="3">
        <f t="shared" si="95"/>
        <v>2060.8359999999998</v>
      </c>
      <c r="W64" s="3">
        <f t="shared" si="95"/>
        <v>2327.625</v>
      </c>
      <c r="X64" s="3">
        <f t="shared" ref="X64:Y64" si="96">+SUM(X58:X63)</f>
        <v>2447.5849999999996</v>
      </c>
      <c r="Y64" s="3">
        <f t="shared" si="96"/>
        <v>3031.364</v>
      </c>
      <c r="Z64" s="3">
        <f>+SUM(Z58:Z63)</f>
        <v>3622.99</v>
      </c>
      <c r="AA64" s="3">
        <f>+SUM(AA58:AA63)</f>
        <v>4194.0419999999995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2:48" x14ac:dyDescent="0.2">
      <c r="B65" s="1" t="s">
        <v>77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11">
        <f t="shared" ref="T65:W65" si="97">+T64+T57</f>
        <v>2084.7109999999998</v>
      </c>
      <c r="U65" s="11">
        <f t="shared" si="97"/>
        <v>3281.355</v>
      </c>
      <c r="V65" s="11">
        <f t="shared" si="97"/>
        <v>4185.2150000000001</v>
      </c>
      <c r="W65" s="11">
        <f t="shared" si="97"/>
        <v>4942.4780000000001</v>
      </c>
      <c r="X65" s="11">
        <f t="shared" ref="X65:Y65" si="98">+X64+X57</f>
        <v>5607.0379999999996</v>
      </c>
      <c r="Y65" s="11">
        <f t="shared" si="98"/>
        <v>7091.9409999999998</v>
      </c>
      <c r="Z65" s="11">
        <f>+Z64+Z57</f>
        <v>7603.2919999999995</v>
      </c>
      <c r="AA65" s="11">
        <f>+AA64+AA57</f>
        <v>8456.7429999999986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2:48" x14ac:dyDescent="0.2">
      <c r="B66" s="15" t="s">
        <v>80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95.533000000000001</v>
      </c>
      <c r="U66" s="3">
        <v>79.997</v>
      </c>
      <c r="V66" s="3">
        <v>172.24600000000001</v>
      </c>
      <c r="W66" s="3">
        <v>289.72800000000001</v>
      </c>
      <c r="X66" s="3">
        <v>172.732</v>
      </c>
      <c r="Y66" s="3">
        <v>348.44099999999997</v>
      </c>
      <c r="Z66" s="3">
        <v>271.40600000000001</v>
      </c>
      <c r="AA66" s="3">
        <v>331.42099999999999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2:48" x14ac:dyDescent="0.2">
      <c r="B67" s="15" t="s">
        <v>81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16.241</v>
      </c>
      <c r="U67" s="3">
        <f>6.344+112.641</f>
        <v>118.985</v>
      </c>
      <c r="V67" s="3">
        <f>14.956+211.911</f>
        <v>226.86699999999999</v>
      </c>
      <c r="W67" s="3">
        <v>330.8</v>
      </c>
      <c r="X67" s="3">
        <v>399.22300000000001</v>
      </c>
      <c r="Y67" s="3">
        <v>348.55500000000001</v>
      </c>
      <c r="Z67" s="3">
        <v>559.46299999999997</v>
      </c>
      <c r="AA67" s="3">
        <v>662.98199999999997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2:48" x14ac:dyDescent="0.2">
      <c r="B68" s="15" t="s">
        <v>82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109.181</v>
      </c>
      <c r="U68" s="3">
        <v>133.68799999999999</v>
      </c>
      <c r="V68" s="3">
        <v>130.17099999999999</v>
      </c>
      <c r="W68" s="3">
        <v>204.92099999999999</v>
      </c>
      <c r="X68" s="3">
        <v>248.167</v>
      </c>
      <c r="Y68" s="3">
        <v>326.11</v>
      </c>
      <c r="Z68" s="3">
        <v>204.54300000000001</v>
      </c>
      <c r="AA68" s="3">
        <v>187.887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2:48" x14ac:dyDescent="0.2">
      <c r="B69" s="15" t="s">
        <v>83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</v>
      </c>
      <c r="U69" s="3">
        <v>128.49700000000001</v>
      </c>
      <c r="V69" s="3">
        <v>166.09100000000001</v>
      </c>
      <c r="W69" s="3">
        <v>188.99600000000001</v>
      </c>
      <c r="X69" s="3">
        <v>207.97200000000001</v>
      </c>
      <c r="Y69" s="3">
        <v>249.27</v>
      </c>
      <c r="Z69" s="3">
        <v>275.154</v>
      </c>
      <c r="AA69" s="3">
        <v>298.72399999999999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2:48" x14ac:dyDescent="0.2">
      <c r="B70" s="15" t="s">
        <v>84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67.412000000000006</v>
      </c>
      <c r="U70" s="3">
        <v>26.436</v>
      </c>
      <c r="V70" s="3">
        <v>8.3569999999999993</v>
      </c>
      <c r="W70" s="3">
        <v>133.852</v>
      </c>
      <c r="X70" s="3">
        <v>174.221</v>
      </c>
      <c r="Y70" s="3">
        <v>12.098000000000001</v>
      </c>
      <c r="Z70" s="3">
        <v>183.126</v>
      </c>
      <c r="AA70" s="3">
        <v>43.948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2:48" x14ac:dyDescent="0.2">
      <c r="B71" s="15" t="s">
        <v>85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99.412000000000006</v>
      </c>
      <c r="U71" s="3">
        <v>120.413</v>
      </c>
      <c r="V71" s="3">
        <v>155.84800000000001</v>
      </c>
      <c r="W71" s="3">
        <v>208.19499999999999</v>
      </c>
      <c r="X71" s="3">
        <v>251.47800000000001</v>
      </c>
      <c r="Y71" s="3">
        <v>306.47899999999998</v>
      </c>
      <c r="Z71" s="3">
        <v>308.35199999999998</v>
      </c>
      <c r="AA71" s="3">
        <v>316.63200000000001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2:48" x14ac:dyDescent="0.2">
      <c r="B72" s="15" t="s">
        <v>47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112.69799999999999</v>
      </c>
      <c r="U72" s="3">
        <v>12.401999999999999</v>
      </c>
      <c r="V72" s="3">
        <v>23.597999999999999</v>
      </c>
      <c r="W72" s="3">
        <v>48.841999999999999</v>
      </c>
      <c r="X72" s="3">
        <v>38.405000000000001</v>
      </c>
      <c r="Y72" s="3">
        <v>40.308</v>
      </c>
      <c r="Z72" s="3">
        <v>37.585999999999999</v>
      </c>
      <c r="AA72" s="3">
        <v>45.954000000000001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2:48" x14ac:dyDescent="0.2">
      <c r="B73" s="15" t="s">
        <v>86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f t="shared" ref="T73:W73" si="99">+SUM(T66:T72)</f>
        <v>500.47699999999998</v>
      </c>
      <c r="U73" s="3">
        <f t="shared" si="99"/>
        <v>620.41800000000001</v>
      </c>
      <c r="V73" s="3">
        <f t="shared" si="99"/>
        <v>883.17799999999988</v>
      </c>
      <c r="W73" s="3">
        <f t="shared" si="99"/>
        <v>1405.3340000000001</v>
      </c>
      <c r="X73" s="3">
        <f t="shared" ref="X73:Y73" si="100">+SUM(X66:X72)</f>
        <v>1492.1980000000001</v>
      </c>
      <c r="Y73" s="3">
        <f t="shared" si="100"/>
        <v>1631.261</v>
      </c>
      <c r="Z73" s="3">
        <f>+SUM(Z66:Z72)</f>
        <v>1839.6299999999999</v>
      </c>
      <c r="AA73" s="3">
        <f>+SUM(AA66:AA72)</f>
        <v>1887.548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2:48" x14ac:dyDescent="0.2">
      <c r="B74" s="15" t="s">
        <v>83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</v>
      </c>
      <c r="U74" s="3">
        <v>611.46400000000006</v>
      </c>
      <c r="V74" s="3">
        <v>632.59</v>
      </c>
      <c r="W74" s="3">
        <v>692.05600000000004</v>
      </c>
      <c r="X74" s="3">
        <v>862.36199999999997</v>
      </c>
      <c r="Y74" s="3">
        <v>1154.0119999999999</v>
      </c>
      <c r="Z74" s="3">
        <v>1300.6369999999999</v>
      </c>
      <c r="AA74" s="3">
        <v>1499.7170000000001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2:48" x14ac:dyDescent="0.2">
      <c r="B75" s="15" t="s">
        <v>84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42.098999999999997</v>
      </c>
      <c r="U75" s="3">
        <v>48.225999999999999</v>
      </c>
      <c r="V75" s="3">
        <v>43.15</v>
      </c>
      <c r="W75" s="3">
        <v>38.073999999999998</v>
      </c>
      <c r="X75" s="3">
        <v>28.555</v>
      </c>
      <c r="Y75" s="3">
        <v>15.864000000000001</v>
      </c>
      <c r="Z75" s="3">
        <v>0</v>
      </c>
      <c r="AA75" s="3">
        <v>0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2:48" x14ac:dyDescent="0.2">
      <c r="B76" s="15" t="s">
        <v>75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14.249000000000001</v>
      </c>
      <c r="U76" s="3">
        <v>43.432000000000002</v>
      </c>
      <c r="V76" s="3">
        <v>58.755000000000003</v>
      </c>
      <c r="W76" s="3">
        <v>53.351999999999997</v>
      </c>
      <c r="X76" s="3">
        <v>55.084000000000003</v>
      </c>
      <c r="Y76" s="3">
        <v>29.521999999999998</v>
      </c>
      <c r="Z76" s="3">
        <v>98.188000000000002</v>
      </c>
      <c r="AA76" s="3">
        <v>52.277999999999999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2:48" x14ac:dyDescent="0.2">
      <c r="B77" s="15" t="s">
        <v>47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81.911000000000001</v>
      </c>
      <c r="U77" s="3">
        <v>5.5960000000000001</v>
      </c>
      <c r="V77" s="3">
        <v>8.9760000000000009</v>
      </c>
      <c r="W77" s="3">
        <v>13.616</v>
      </c>
      <c r="X77" s="3">
        <v>20.04</v>
      </c>
      <c r="Y77" s="3">
        <v>29.201000000000001</v>
      </c>
      <c r="Z77" s="3">
        <v>40.79</v>
      </c>
      <c r="AA77" s="3">
        <v>55.36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2:48" x14ac:dyDescent="0.2">
      <c r="B78" s="15" t="s">
        <v>79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>
        <f t="shared" ref="T78:W78" si="101">+SUM(T74:T77)</f>
        <v>138.25900000000001</v>
      </c>
      <c r="U78" s="3">
        <f t="shared" si="101"/>
        <v>708.71800000000007</v>
      </c>
      <c r="V78" s="3">
        <f t="shared" si="101"/>
        <v>743.471</v>
      </c>
      <c r="W78" s="3">
        <f t="shared" si="101"/>
        <v>797.09799999999996</v>
      </c>
      <c r="X78" s="3">
        <f>+SUM(X74:X77)</f>
        <v>966.04099999999994</v>
      </c>
      <c r="Y78" s="3">
        <f>+SUM(Y74:Y77)</f>
        <v>1228.5989999999999</v>
      </c>
      <c r="Z78" s="3">
        <f>+SUM(Z74:Z77)</f>
        <v>1439.615</v>
      </c>
      <c r="AA78" s="3">
        <f>+SUM(AA74:AA77)</f>
        <v>1607.355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2:48" x14ac:dyDescent="0.2">
      <c r="B79" s="15" t="s">
        <v>87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>
        <v>1445.9749999999999</v>
      </c>
      <c r="U79" s="3">
        <v>1952.2180000000001</v>
      </c>
      <c r="V79" s="3">
        <v>2558.5659999999998</v>
      </c>
      <c r="W79" s="3">
        <v>2740.0459999999998</v>
      </c>
      <c r="X79" s="3">
        <v>3148.799</v>
      </c>
      <c r="Y79" s="3">
        <v>4232.0810000000001</v>
      </c>
      <c r="Z79" s="3">
        <v>4324.0469999999996</v>
      </c>
      <c r="AA79" s="3">
        <v>4961.84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2:48" x14ac:dyDescent="0.2">
      <c r="B80" s="1" t="s">
        <v>78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11">
        <f t="shared" ref="T80:W80" si="102">+T79+T78+T73</f>
        <v>2084.7109999999998</v>
      </c>
      <c r="U80" s="11">
        <f t="shared" si="102"/>
        <v>3281.3540000000003</v>
      </c>
      <c r="V80" s="11">
        <f t="shared" si="102"/>
        <v>4185.2150000000001</v>
      </c>
      <c r="W80" s="11">
        <f t="shared" si="102"/>
        <v>4942.4780000000001</v>
      </c>
      <c r="X80" s="11">
        <f t="shared" ref="X80:Y80" si="103">+X79+X78+X73</f>
        <v>5607.0380000000005</v>
      </c>
      <c r="Y80" s="11">
        <f t="shared" si="103"/>
        <v>7091.9410000000007</v>
      </c>
      <c r="Z80" s="11">
        <f>+Z79+Z78+Z73</f>
        <v>7603.2919999999995</v>
      </c>
      <c r="AA80" s="11">
        <f>+AA79+AA78+AA73</f>
        <v>8456.7430000000004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2:4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2:48" x14ac:dyDescent="0.2">
      <c r="B82" s="15" t="s">
        <v>26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>
        <v>483.80099999999999</v>
      </c>
      <c r="U82" s="3">
        <v>645.596</v>
      </c>
      <c r="V82" s="3">
        <v>588.91300000000001</v>
      </c>
      <c r="W82" s="3">
        <v>975.322</v>
      </c>
      <c r="X82" s="3">
        <f t="shared" ref="X82:Y82" si="104">+X36</f>
        <v>854.8</v>
      </c>
      <c r="Y82" s="3">
        <f t="shared" si="104"/>
        <v>1550.190000000001</v>
      </c>
      <c r="Z82" s="3">
        <f>+Z36</f>
        <v>1814.6160000000007</v>
      </c>
      <c r="AA82" s="3">
        <f>+AA36</f>
        <v>1579.1830000000004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2:48" x14ac:dyDescent="0.2">
      <c r="B83" s="15" t="s">
        <v>89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122.48399999999999</v>
      </c>
      <c r="U83" s="3">
        <v>161.93299999999999</v>
      </c>
      <c r="V83" s="3">
        <v>185.47800000000001</v>
      </c>
      <c r="W83" s="3">
        <v>224.20599999999999</v>
      </c>
      <c r="X83" s="3">
        <v>291.791</v>
      </c>
      <c r="Y83" s="3">
        <v>379.38400000000001</v>
      </c>
      <c r="Z83" s="3">
        <v>446.524</v>
      </c>
      <c r="AA83" s="3">
        <v>496.22800000000001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2:48" x14ac:dyDescent="0.2">
      <c r="B84" s="15" t="s">
        <v>90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>
        <v>0</v>
      </c>
      <c r="U84" s="3">
        <v>0</v>
      </c>
      <c r="V84" s="3">
        <v>0</v>
      </c>
      <c r="W84" s="85">
        <v>0</v>
      </c>
      <c r="X84" s="3">
        <f>62.928+407.913-10.18</f>
        <v>460.661</v>
      </c>
      <c r="Y84" s="3">
        <f>23.709+74.501</f>
        <v>98.210000000000008</v>
      </c>
      <c r="Z84" s="3">
        <v>0</v>
      </c>
      <c r="AA84" s="3">
        <v>0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2:48" x14ac:dyDescent="0.2">
      <c r="B85" s="15" t="s">
        <v>91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>
        <v>28.568000000000001</v>
      </c>
      <c r="U85" s="3">
        <v>45.593000000000004</v>
      </c>
      <c r="V85" s="3">
        <v>50.796999999999997</v>
      </c>
      <c r="W85" s="85">
        <v>69.137</v>
      </c>
      <c r="X85" s="3">
        <v>78.075000000000003</v>
      </c>
      <c r="Y85" s="3">
        <v>93.56</v>
      </c>
      <c r="Z85" s="3">
        <v>90.010999999999996</v>
      </c>
      <c r="AA85" s="3">
        <v>62.203000000000003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2:48" x14ac:dyDescent="0.2">
      <c r="B86" s="15" t="s">
        <v>92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>
        <v>-6.859</v>
      </c>
      <c r="U86" s="3">
        <v>-11.939</v>
      </c>
      <c r="V86" s="3">
        <v>-13.696</v>
      </c>
      <c r="W86" s="3">
        <v>-18.699000000000002</v>
      </c>
      <c r="X86" s="3">
        <v>-23.337</v>
      </c>
      <c r="Y86" s="3">
        <v>-28.547000000000001</v>
      </c>
      <c r="Z86" s="3">
        <v>-36.231000000000002</v>
      </c>
      <c r="AA86" s="3">
        <v>-37.765999999999998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2:48" x14ac:dyDescent="0.2">
      <c r="B87" s="15" t="s">
        <v>93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>
        <v>-14.875999999999999</v>
      </c>
      <c r="U87" s="3">
        <v>-1.925</v>
      </c>
      <c r="V87" s="3">
        <v>4.4850000000000003</v>
      </c>
      <c r="W87" s="3">
        <v>15.191000000000001</v>
      </c>
      <c r="X87" s="3">
        <v>-38.649000000000001</v>
      </c>
      <c r="Y87" s="3">
        <v>32.527000000000001</v>
      </c>
      <c r="Z87" s="3">
        <v>-47.762999999999998</v>
      </c>
      <c r="AA87" s="3">
        <v>-34.552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2:48" x14ac:dyDescent="0.2">
      <c r="B88" s="15" t="s">
        <v>75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>
        <v>16.786000000000001</v>
      </c>
      <c r="U88" s="3">
        <v>24.129000000000001</v>
      </c>
      <c r="V88" s="3">
        <v>34.908999999999999</v>
      </c>
      <c r="W88" s="3">
        <v>-5.18</v>
      </c>
      <c r="X88" s="3">
        <v>3.0419999999999998</v>
      </c>
      <c r="Y88" s="3">
        <v>-28.382999999999999</v>
      </c>
      <c r="Z88" s="3">
        <v>57.451000000000001</v>
      </c>
      <c r="AA88" s="3">
        <v>-53.378999999999998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2:48" x14ac:dyDescent="0.2">
      <c r="B89" s="15" t="s">
        <v>94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>
        <v>0</v>
      </c>
      <c r="U89" s="3">
        <v>0</v>
      </c>
      <c r="V89" s="3">
        <v>0</v>
      </c>
      <c r="W89" s="3">
        <v>0</v>
      </c>
      <c r="X89" s="3">
        <v>-58.987000000000002</v>
      </c>
      <c r="Y89" s="3">
        <v>6.58</v>
      </c>
      <c r="Z89" s="3">
        <v>1.6259999999999999</v>
      </c>
      <c r="AA89" s="3">
        <v>-65.754999999999995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2:48" x14ac:dyDescent="0.2">
      <c r="B90" s="15" t="s">
        <v>106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>
        <v>-85.941999999999993</v>
      </c>
      <c r="U90" s="3">
        <v>-117.59099999999999</v>
      </c>
      <c r="V90" s="3">
        <v>-96.548000000000002</v>
      </c>
      <c r="W90" s="3">
        <v>-323.60899999999998</v>
      </c>
      <c r="X90" s="3">
        <v>-573.43799999999999</v>
      </c>
      <c r="Y90" s="3">
        <v>66.584000000000003</v>
      </c>
      <c r="Z90" s="3">
        <v>-156.08500000000001</v>
      </c>
      <c r="AA90" s="3">
        <v>-188.71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2:48" x14ac:dyDescent="0.2">
      <c r="B91" s="15" t="s">
        <v>95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>
        <v>-0.437</v>
      </c>
      <c r="U91" s="3">
        <v>-35.774999999999999</v>
      </c>
      <c r="V91" s="3">
        <v>-53.966000000000001</v>
      </c>
      <c r="W91" s="3">
        <v>20.108000000000001</v>
      </c>
      <c r="X91" s="3">
        <v>-66.713999999999999</v>
      </c>
      <c r="Y91" s="3">
        <v>1.9079999999999999</v>
      </c>
      <c r="Z91" s="3">
        <v>-2.0310000000000001</v>
      </c>
      <c r="AA91" s="3">
        <v>-170.21600000000001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2:48" x14ac:dyDescent="0.2">
      <c r="B92" s="15" t="s">
        <v>96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>
        <v>-28.545999999999999</v>
      </c>
      <c r="U92" s="3">
        <v>-53.753999999999998</v>
      </c>
      <c r="V92" s="3">
        <v>-70.998999999999995</v>
      </c>
      <c r="W92" s="3">
        <v>-82.403999999999996</v>
      </c>
      <c r="X92" s="3">
        <v>-54.832999999999998</v>
      </c>
      <c r="Y92" s="3">
        <v>40.587000000000003</v>
      </c>
      <c r="Z92" s="3">
        <v>-71.789000000000001</v>
      </c>
      <c r="AA92" s="3">
        <v>47.779000000000003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2:48" x14ac:dyDescent="0.2">
      <c r="B93" s="15" t="s">
        <v>97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-2.1070000000000002</v>
      </c>
      <c r="U93" s="3">
        <v>-27.852</v>
      </c>
      <c r="V93" s="3">
        <v>-49.055999999999997</v>
      </c>
      <c r="W93" s="3">
        <v>-17.556000000000001</v>
      </c>
      <c r="X93" s="3">
        <v>-36.518000000000001</v>
      </c>
      <c r="Y93" s="3">
        <v>-53.28</v>
      </c>
      <c r="Z93" s="3">
        <v>-73.204999999999998</v>
      </c>
      <c r="AA93" s="3">
        <v>-70.350999999999999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2:48" x14ac:dyDescent="0.2">
      <c r="B94" s="15" t="s">
        <v>98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>
        <v>71.962000000000003</v>
      </c>
      <c r="U94" s="3">
        <v>-14.81</v>
      </c>
      <c r="V94" s="3">
        <v>82.662999999999997</v>
      </c>
      <c r="W94" s="3">
        <v>117.655</v>
      </c>
      <c r="X94" s="3">
        <v>-107.28</v>
      </c>
      <c r="Y94" s="3">
        <v>177.36699999999999</v>
      </c>
      <c r="Z94" s="3">
        <v>-57.043999999999997</v>
      </c>
      <c r="AA94" s="3">
        <v>45.856000000000002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2:48" x14ac:dyDescent="0.2">
      <c r="B95" s="15" t="s">
        <v>99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>
        <v>4.3120000000000003</v>
      </c>
      <c r="U95" s="3">
        <v>-9.5980000000000008</v>
      </c>
      <c r="V95" s="3">
        <v>99.161000000000001</v>
      </c>
      <c r="W95" s="3">
        <v>103.878</v>
      </c>
      <c r="X95" s="3">
        <v>65.364000000000004</v>
      </c>
      <c r="Y95" s="3">
        <v>-71.733999999999995</v>
      </c>
      <c r="Z95" s="3">
        <v>193.13900000000001</v>
      </c>
      <c r="AA95" s="3">
        <v>98.421000000000006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2:48" x14ac:dyDescent="0.2">
      <c r="B96" s="15" t="s">
        <v>100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>
        <v>9.4160000000000004</v>
      </c>
      <c r="U96" s="3">
        <v>14.276</v>
      </c>
      <c r="V96" s="3">
        <v>-6.6920000000000002</v>
      </c>
      <c r="W96" s="3">
        <v>75.272999999999996</v>
      </c>
      <c r="X96" s="3">
        <v>47.253999999999998</v>
      </c>
      <c r="Y96" s="3">
        <v>70.326999999999998</v>
      </c>
      <c r="Z96" s="3">
        <v>-112.11</v>
      </c>
      <c r="AA96" s="3">
        <v>-24.736999999999998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2:48" x14ac:dyDescent="0.2">
      <c r="B97" s="15" t="s">
        <v>101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>
        <v>41.6</v>
      </c>
      <c r="U97" s="3">
        <v>25.326000000000001</v>
      </c>
      <c r="V97" s="3">
        <v>-24.125</v>
      </c>
      <c r="W97" s="3">
        <v>120.77800000000001</v>
      </c>
      <c r="X97" s="3">
        <v>35.985999999999997</v>
      </c>
      <c r="Y97" s="3">
        <v>-173.196</v>
      </c>
      <c r="Z97" s="3">
        <v>157.20500000000001</v>
      </c>
      <c r="AA97" s="3">
        <v>-150.48599999999999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2:48" x14ac:dyDescent="0.2">
      <c r="B98" s="15" t="s">
        <v>102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46.427999999999997</v>
      </c>
      <c r="U98" s="3">
        <v>-34.137</v>
      </c>
      <c r="V98" s="3">
        <v>47.962000000000003</v>
      </c>
      <c r="W98" s="3">
        <v>71.441000000000003</v>
      </c>
      <c r="X98" s="3">
        <v>68.266000000000005</v>
      </c>
      <c r="Y98" s="3">
        <v>84.314999999999998</v>
      </c>
      <c r="Z98" s="3">
        <v>42.41</v>
      </c>
      <c r="AA98" s="3">
        <v>41.253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2:48" x14ac:dyDescent="0.2">
      <c r="B99" s="15" t="s">
        <v>103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>
        <v>24.885000000000002</v>
      </c>
      <c r="U99" s="3">
        <v>33.289000000000001</v>
      </c>
      <c r="V99" s="3">
        <v>13.266999999999999</v>
      </c>
      <c r="W99" s="3">
        <v>13.494</v>
      </c>
      <c r="X99" s="3">
        <v>23.905000000000001</v>
      </c>
      <c r="Y99" s="3">
        <v>37.534999999999997</v>
      </c>
      <c r="Z99" s="3">
        <v>23.501000000000001</v>
      </c>
      <c r="AA99" s="3">
        <v>6.8840000000000003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2:48" x14ac:dyDescent="0.2">
      <c r="B100" s="15" t="s">
        <v>104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>
        <v>31.303999999999998</v>
      </c>
      <c r="U100" s="3">
        <f>17.422+9.133</f>
        <v>26.555</v>
      </c>
      <c r="V100" s="3">
        <v>10.784000000000001</v>
      </c>
      <c r="W100" s="3">
        <v>30.073</v>
      </c>
      <c r="X100" s="3">
        <v>-2.9249999999999998</v>
      </c>
      <c r="Y100" s="3">
        <v>12.23</v>
      </c>
      <c r="Z100" s="3">
        <v>2.488</v>
      </c>
      <c r="AA100" s="3">
        <v>20.632000000000001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2:48" x14ac:dyDescent="0.2">
      <c r="B101" s="15" t="s">
        <v>105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>
        <f t="shared" ref="T101:Y101" si="105">+SUM(T89:T100)</f>
        <v>112.87500000000003</v>
      </c>
      <c r="U101" s="3">
        <f t="shared" si="105"/>
        <v>-194.07099999999997</v>
      </c>
      <c r="V101" s="3">
        <f t="shared" si="105"/>
        <v>-47.549000000000014</v>
      </c>
      <c r="W101" s="3">
        <f t="shared" si="105"/>
        <v>129.13100000000006</v>
      </c>
      <c r="X101" s="3">
        <f t="shared" si="105"/>
        <v>-659.91999999999985</v>
      </c>
      <c r="Y101" s="3">
        <f t="shared" si="105"/>
        <v>199.22299999999998</v>
      </c>
      <c r="Z101" s="3">
        <f>+SUM(Z89:Z100)</f>
        <v>-51.894999999999953</v>
      </c>
      <c r="AA101" s="3">
        <f>+SUM(AA89:AA100)</f>
        <v>-409.43000000000006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2:48" x14ac:dyDescent="0.2">
      <c r="B102" s="1" t="s">
        <v>88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1">
        <f t="shared" ref="T102:Y102" si="106">+SUM(T101,T82:T88)</f>
        <v>742.779</v>
      </c>
      <c r="U102" s="11">
        <f t="shared" si="106"/>
        <v>669.31600000000014</v>
      </c>
      <c r="V102" s="11">
        <f t="shared" si="106"/>
        <v>803.3370000000001</v>
      </c>
      <c r="W102" s="11">
        <f t="shared" si="106"/>
        <v>1389.1079999999997</v>
      </c>
      <c r="X102" s="11">
        <f t="shared" si="106"/>
        <v>966.46300000000019</v>
      </c>
      <c r="Y102" s="11">
        <f t="shared" si="106"/>
        <v>2296.1640000000011</v>
      </c>
      <c r="Z102" s="11">
        <f>+SUM(Z101,Z82:Z88)</f>
        <v>2272.7130000000006</v>
      </c>
      <c r="AA102" s="11">
        <f>+SUM(AA101,AA82:AA88)</f>
        <v>1602.4870000000005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2:48" x14ac:dyDescent="0.2">
      <c r="B103" s="15" t="s">
        <v>108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>
        <v>-225.80699999999999</v>
      </c>
      <c r="U103" s="3">
        <v>-283.048</v>
      </c>
      <c r="V103" s="3">
        <v>-229.226</v>
      </c>
      <c r="W103" s="3">
        <v>-394.50200000000001</v>
      </c>
      <c r="X103" s="3">
        <v>-638.65700000000004</v>
      </c>
      <c r="Y103" s="3">
        <v>-651.86500000000001</v>
      </c>
      <c r="Z103" s="3">
        <v>-689.23199999999997</v>
      </c>
      <c r="AA103" s="3">
        <v>-680.80200000000002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2:48" x14ac:dyDescent="0.2">
      <c r="B104" s="15" t="s">
        <v>109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v>-16.216000000000001</v>
      </c>
      <c r="U104" s="3">
        <v>0.34699999999999998</v>
      </c>
      <c r="V104" s="3">
        <v>-14.606999999999999</v>
      </c>
      <c r="W104" s="3">
        <v>-23.388999999999999</v>
      </c>
      <c r="X104" s="3">
        <v>47.804000000000002</v>
      </c>
      <c r="Y104" s="3">
        <v>-1.609</v>
      </c>
      <c r="Z104" s="3">
        <v>50.213000000000001</v>
      </c>
      <c r="AA104" s="3">
        <v>27.204999999999998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2:48" x14ac:dyDescent="0.2">
      <c r="B105" s="15" t="s">
        <v>110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>
        <v>0</v>
      </c>
      <c r="U105" s="3">
        <v>0</v>
      </c>
      <c r="V105" s="3">
        <v>-452.58100000000002</v>
      </c>
      <c r="W105" s="3">
        <v>0</v>
      </c>
      <c r="X105" s="3">
        <v>0</v>
      </c>
      <c r="Y105" s="3">
        <v>0</v>
      </c>
      <c r="Z105" s="3">
        <v>-154.14599999999999</v>
      </c>
      <c r="AA105" s="3">
        <v>0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2:48" x14ac:dyDescent="0.2">
      <c r="B106" s="15" t="s">
        <v>47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>
        <v>-0.77100000000000002</v>
      </c>
      <c r="U106" s="3">
        <v>4.2930000000000001</v>
      </c>
      <c r="V106" s="3">
        <v>0.88200000000000001</v>
      </c>
      <c r="W106" s="3">
        <v>-10</v>
      </c>
      <c r="X106" s="3">
        <v>20.916</v>
      </c>
      <c r="Y106" s="3">
        <v>-0.65800000000000003</v>
      </c>
      <c r="Z106" s="3">
        <v>-5.0090000000000003</v>
      </c>
      <c r="AA106" s="3">
        <v>-8.5210000000000008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2:48" x14ac:dyDescent="0.2">
      <c r="B107" s="1" t="s">
        <v>107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1">
        <f t="shared" ref="T107:Y107" si="107">+SUM(T103:T106)</f>
        <v>-242.79399999999998</v>
      </c>
      <c r="U107" s="11">
        <f t="shared" si="107"/>
        <v>-278.40800000000002</v>
      </c>
      <c r="V107" s="11">
        <f t="shared" si="107"/>
        <v>-695.53200000000004</v>
      </c>
      <c r="W107" s="11">
        <f t="shared" si="107"/>
        <v>-427.89100000000002</v>
      </c>
      <c r="X107" s="11">
        <f t="shared" si="107"/>
        <v>-569.93700000000001</v>
      </c>
      <c r="Y107" s="11">
        <f t="shared" si="107"/>
        <v>-654.13200000000006</v>
      </c>
      <c r="Z107" s="11">
        <f>+SUM(Z103:Z106)</f>
        <v>-798.17399999999998</v>
      </c>
      <c r="AA107" s="11">
        <f>+SUM(AA103:AA106)</f>
        <v>-662.11799999999994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2:48" x14ac:dyDescent="0.2">
      <c r="B108" s="15" t="s">
        <v>111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>
        <v>17.649999999999999</v>
      </c>
      <c r="U108" s="3">
        <v>18.170000000000002</v>
      </c>
      <c r="V108" s="3">
        <v>15.263</v>
      </c>
      <c r="W108" s="3">
        <v>18.193999999999999</v>
      </c>
      <c r="X108" s="3">
        <v>11.704000000000001</v>
      </c>
      <c r="Y108" s="3">
        <v>42.43</v>
      </c>
      <c r="Z108" s="3">
        <v>19.812999999999999</v>
      </c>
      <c r="AA108" s="3">
        <v>8.3770000000000007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2:48" x14ac:dyDescent="0.2">
      <c r="B109" s="15" t="s">
        <v>112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>
        <v>-8.7789999999999999</v>
      </c>
      <c r="U109" s="3">
        <v>-21.943999999999999</v>
      </c>
      <c r="V109" s="3">
        <v>-32.387999999999998</v>
      </c>
      <c r="W109" s="3">
        <v>-49.808999999999997</v>
      </c>
      <c r="X109" s="3">
        <v>-35.158000000000001</v>
      </c>
      <c r="Y109" s="3">
        <v>-32.573999999999998</v>
      </c>
      <c r="Z109" s="3">
        <v>-35.409999999999997</v>
      </c>
      <c r="AA109" s="3">
        <v>-27.372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2:48" x14ac:dyDescent="0.2">
      <c r="B110" s="15" t="s">
        <v>113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>
        <v>-598.34</v>
      </c>
      <c r="U110" s="3">
        <v>-173.399</v>
      </c>
      <c r="V110" s="3">
        <v>-63.662999999999997</v>
      </c>
      <c r="W110" s="3">
        <v>-812.60199999999998</v>
      </c>
      <c r="X110" s="3">
        <v>-444.00099999999998</v>
      </c>
      <c r="Y110" s="3">
        <v>-558.65200000000004</v>
      </c>
      <c r="Z110" s="3">
        <v>-1636.8789999999999</v>
      </c>
      <c r="AA110" s="3">
        <v>-1178.3489999999999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2:48" x14ac:dyDescent="0.2">
      <c r="B111" s="15" t="s">
        <v>47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>
        <v>-0.745</v>
      </c>
      <c r="U111" s="3">
        <v>0</v>
      </c>
      <c r="V111" s="3">
        <v>0</v>
      </c>
      <c r="W111" s="3">
        <v>-0.77</v>
      </c>
      <c r="X111" s="3">
        <v>-3.2000000000000001E-2</v>
      </c>
      <c r="Y111" s="3">
        <v>-3.2000000000000001E-2</v>
      </c>
      <c r="Z111" s="3">
        <v>-3.2000000000000001E-2</v>
      </c>
      <c r="AA111" s="3">
        <v>-11.311999999999999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2:48" x14ac:dyDescent="0.2">
      <c r="B112" s="1" t="s">
        <v>114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11"/>
      <c r="T112" s="11">
        <f t="shared" ref="T112:Y112" si="108">+SUM(T108:T111)</f>
        <v>-590.21400000000006</v>
      </c>
      <c r="U112" s="11">
        <f t="shared" si="108"/>
        <v>-177.173</v>
      </c>
      <c r="V112" s="11">
        <f t="shared" si="108"/>
        <v>-80.787999999999997</v>
      </c>
      <c r="W112" s="11">
        <f t="shared" si="108"/>
        <v>-844.98699999999997</v>
      </c>
      <c r="X112" s="11">
        <f t="shared" si="108"/>
        <v>-467.48699999999997</v>
      </c>
      <c r="Y112" s="11">
        <f t="shared" si="108"/>
        <v>-548.82800000000009</v>
      </c>
      <c r="Z112" s="11">
        <f>+SUM(Z108:Z111)</f>
        <v>-1652.5079999999998</v>
      </c>
      <c r="AA112" s="11">
        <f>+SUM(AA108:AA111)</f>
        <v>-1208.6559999999997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2:48" x14ac:dyDescent="0.2">
      <c r="B113" s="15" t="s">
        <v>115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>
        <v>-18.952000000000002</v>
      </c>
      <c r="U113" s="3">
        <v>-1.55</v>
      </c>
      <c r="V113" s="3">
        <v>29.995999999999999</v>
      </c>
      <c r="W113" s="3">
        <v>-6.8760000000000003</v>
      </c>
      <c r="X113" s="3">
        <v>-34.042999999999999</v>
      </c>
      <c r="Y113" s="3">
        <v>-4.0999999999999996</v>
      </c>
      <c r="Z113" s="3">
        <v>-81.665999999999997</v>
      </c>
      <c r="AA113" s="3">
        <v>91.162999999999997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2:48" x14ac:dyDescent="0.2">
      <c r="B114" s="15" t="s">
        <v>116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>
        <f t="shared" ref="T114:Y114" si="109">+SUM(T112,T113,T107,T102)</f>
        <v>-109.18100000000004</v>
      </c>
      <c r="U114" s="3">
        <f t="shared" si="109"/>
        <v>212.18500000000012</v>
      </c>
      <c r="V114" s="3">
        <f t="shared" si="109"/>
        <v>57.013000000000034</v>
      </c>
      <c r="W114" s="3">
        <f t="shared" si="109"/>
        <v>109.35399999999981</v>
      </c>
      <c r="X114" s="3">
        <f t="shared" si="109"/>
        <v>-105.00399999999991</v>
      </c>
      <c r="Y114" s="3">
        <f t="shared" si="109"/>
        <v>1089.104000000001</v>
      </c>
      <c r="Z114" s="3">
        <f>+SUM(Z112,Z113,Z107,Z102)</f>
        <v>-259.63499999999931</v>
      </c>
      <c r="AA114" s="3">
        <f>+SUM(AA112,AA113,AA107,AA102)</f>
        <v>-177.12399999999911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2:48" x14ac:dyDescent="0.2">
      <c r="B115" s="15" t="s">
        <v>117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>
        <f>+T116-T114</f>
        <v>990.50000000000023</v>
      </c>
      <c r="U115" s="3">
        <f>+U116-U114</f>
        <v>881.31900000000019</v>
      </c>
      <c r="V115" s="3">
        <f>+V116-V114</f>
        <v>1093.5040000000004</v>
      </c>
      <c r="W115" s="3">
        <f>+W116-W114</f>
        <v>1150.5170000000003</v>
      </c>
      <c r="X115" s="3">
        <v>1259.8710000000001</v>
      </c>
      <c r="Y115" s="3">
        <v>1154.867</v>
      </c>
      <c r="Z115" s="3">
        <v>2243.971</v>
      </c>
      <c r="AA115" s="3">
        <f>+Z116</f>
        <v>1984.3360000000007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2:48" x14ac:dyDescent="0.2">
      <c r="B116" s="15" t="s">
        <v>118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>
        <f t="shared" ref="T116:Y116" si="110">+U115</f>
        <v>881.31900000000019</v>
      </c>
      <c r="U116" s="3">
        <f t="shared" si="110"/>
        <v>1093.5040000000004</v>
      </c>
      <c r="V116" s="3">
        <f t="shared" si="110"/>
        <v>1150.5170000000003</v>
      </c>
      <c r="W116" s="3">
        <f t="shared" si="110"/>
        <v>1259.8710000000001</v>
      </c>
      <c r="X116" s="3">
        <f t="shared" si="110"/>
        <v>1154.867</v>
      </c>
      <c r="Y116" s="3">
        <f t="shared" si="110"/>
        <v>2243.971</v>
      </c>
      <c r="Z116" s="3">
        <f>+Z115+Z114</f>
        <v>1984.3360000000007</v>
      </c>
      <c r="AA116" s="3">
        <f>+AA114+AA115</f>
        <v>1807.2120000000016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2:48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2:48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2:48" x14ac:dyDescent="0.2">
      <c r="B119" s="19" t="s">
        <v>124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>
        <f t="shared" ref="T119:W119" si="111">+T102+T103</f>
        <v>516.97199999999998</v>
      </c>
      <c r="U119" s="3">
        <f t="shared" si="111"/>
        <v>386.26800000000014</v>
      </c>
      <c r="V119" s="3">
        <f t="shared" si="111"/>
        <v>574.1110000000001</v>
      </c>
      <c r="W119" s="3">
        <f t="shared" si="111"/>
        <v>994.60599999999977</v>
      </c>
      <c r="X119" s="3">
        <f t="shared" ref="X119:Z119" si="112">+X102+X103</f>
        <v>327.80600000000015</v>
      </c>
      <c r="Y119" s="3">
        <f t="shared" si="112"/>
        <v>1644.2990000000011</v>
      </c>
      <c r="Z119" s="3">
        <f t="shared" si="112"/>
        <v>1583.4810000000007</v>
      </c>
      <c r="AA119" s="3">
        <f>+AA102+AA103</f>
        <v>921.68500000000051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2:48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2:48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2:48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2:48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2:48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2:48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2:48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2:48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2:48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3:48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3:48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3:48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3:48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3:48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3:48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3:48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3:48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3:48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3:48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3:48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3:48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3:48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3:48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3:48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3:48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3:48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3:48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3:48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3:48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3:48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3:48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3:48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3:48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3:48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3:48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3:48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3:48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3:48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3:48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3:48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3:48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3:48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3:48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3:48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3:48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3:48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3:48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3:48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3:48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3:48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3:48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3:48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spans="3:48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3:48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3:48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3:48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spans="3:48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3:48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3:48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3:48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3:48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3:48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3:48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3:48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3:48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3:48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3:48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3:48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3:48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3:48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3:48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3:48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3:48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3:48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3:48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3:48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3:48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3:48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3:48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3:48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3:48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3:48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3:48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3:48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3:48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3:48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3:48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3:48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3:48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3:48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3:48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3:48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3:48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3:48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3:48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3:48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3:48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3:48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3:48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3:48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3:48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3:48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3:48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3:48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3:48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3:48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3:48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3:48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3:48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3:48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3:48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3:48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3:48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3:48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3:48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3:48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3:48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3:48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3:48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3:48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3:48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3:48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3:48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3:48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3:48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3:48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3:48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3:48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3:48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3:48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3:48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3:48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3:48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3:48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3:48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3:48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3:48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3:48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3:48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3:48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3:48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3:48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3:48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3:48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spans="3:48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3:48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3:48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3:48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spans="3:48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3:48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3:48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3:48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3:48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3:48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3:48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3:48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3:48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3:48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3:48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3:48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 spans="3:48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3:48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3:48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3:48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 spans="3:48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3:48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3:48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3:48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 spans="3:48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3:48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3:48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3:48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3:48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3:48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3:48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3:48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3:48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3:48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3:48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3:48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 spans="3:48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3:48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3:48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3:48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 spans="3:48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 spans="3:48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 spans="3:48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 spans="3:48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 spans="3:48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 spans="3:48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 spans="3:48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 spans="3:48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</row>
    <row r="312" spans="3:48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3:48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3:48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3:48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3:48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3:48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3:48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3:48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3:48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3:26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3:26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3:26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3:26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3:26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3:26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3:26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3:26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3:26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3:26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3:26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3:26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3:26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3:26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3:26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3:26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3:26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</sheetData>
  <hyperlinks>
    <hyperlink ref="A1" location="Main!A1" display="Main" xr:uid="{F06D5481-2FC0-41C0-A8FD-A8300E89068C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B934-80D2-4148-9B7A-8C50C20946BF}">
  <dimension ref="A1:T6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1" sqref="I11"/>
    </sheetView>
  </sheetViews>
  <sheetFormatPr defaultRowHeight="15" x14ac:dyDescent="0.25"/>
  <cols>
    <col min="1" max="1" width="5" bestFit="1" customWidth="1"/>
    <col min="2" max="2" width="31.85546875" bestFit="1" customWidth="1"/>
  </cols>
  <sheetData>
    <row r="1" spans="1:20" x14ac:dyDescent="0.25">
      <c r="A1" s="5" t="s">
        <v>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20"/>
      <c r="B2" s="21" t="s">
        <v>125</v>
      </c>
      <c r="C2" s="22">
        <v>18</v>
      </c>
      <c r="D2" s="22">
        <f>+C2+1</f>
        <v>19</v>
      </c>
      <c r="E2" s="22">
        <f t="shared" ref="E2:J2" si="0">+D2+1</f>
        <v>20</v>
      </c>
      <c r="F2" s="22">
        <f t="shared" si="0"/>
        <v>21</v>
      </c>
      <c r="G2" s="22">
        <f t="shared" si="0"/>
        <v>22</v>
      </c>
      <c r="H2" s="22">
        <f t="shared" si="0"/>
        <v>23</v>
      </c>
      <c r="I2" s="22">
        <f t="shared" si="0"/>
        <v>24</v>
      </c>
      <c r="J2" s="22">
        <f t="shared" si="0"/>
        <v>25</v>
      </c>
      <c r="K2" s="23" t="s">
        <v>126</v>
      </c>
      <c r="L2" s="20"/>
      <c r="M2" s="20"/>
      <c r="N2" s="20"/>
      <c r="O2" s="20"/>
      <c r="P2" s="20"/>
      <c r="Q2" s="20"/>
      <c r="R2" s="20"/>
      <c r="S2" s="20"/>
      <c r="T2" s="20"/>
    </row>
    <row r="3" spans="1:20" x14ac:dyDescent="0.25">
      <c r="A3" s="20"/>
      <c r="B3" s="20" t="s">
        <v>2</v>
      </c>
      <c r="C3" s="24">
        <v>148.61000000000001</v>
      </c>
      <c r="D3" s="24">
        <v>239.39</v>
      </c>
      <c r="E3" s="24">
        <v>333.4</v>
      </c>
      <c r="F3" s="24">
        <v>333.8</v>
      </c>
      <c r="G3" s="24">
        <v>306.88</v>
      </c>
      <c r="H3" s="24">
        <v>453.82</v>
      </c>
      <c r="I3" s="24">
        <v>414.2</v>
      </c>
      <c r="J3" s="24">
        <v>179.08</v>
      </c>
      <c r="K3" s="24">
        <f>+Main!I2</f>
        <v>99.65</v>
      </c>
      <c r="L3" s="20"/>
      <c r="M3" s="20"/>
      <c r="N3" s="20"/>
      <c r="O3" s="20"/>
      <c r="P3" s="20"/>
      <c r="Q3" s="20"/>
      <c r="R3" s="20"/>
      <c r="S3" s="20"/>
      <c r="T3" s="20"/>
    </row>
    <row r="4" spans="1:20" x14ac:dyDescent="0.25">
      <c r="A4" s="20"/>
      <c r="B4" s="20" t="s">
        <v>127</v>
      </c>
      <c r="C4" s="24">
        <f>+Model!T39</f>
        <v>133.41300000000001</v>
      </c>
      <c r="D4" s="24">
        <f>+Model!U39</f>
        <v>130.393</v>
      </c>
      <c r="E4" s="24">
        <f>+Model!V39</f>
        <v>130.28899999999999</v>
      </c>
      <c r="F4" s="24">
        <f>+Model!W39</f>
        <v>129.768</v>
      </c>
      <c r="G4" s="24">
        <f>+Model!X39</f>
        <v>127.666</v>
      </c>
      <c r="H4" s="24">
        <f>+Model!Y39</f>
        <v>126.726</v>
      </c>
      <c r="I4" s="24">
        <f>+Model!Z39</f>
        <v>123.735</v>
      </c>
      <c r="J4" s="24">
        <f>+Model!AA39</f>
        <v>118.98099999999999</v>
      </c>
      <c r="K4" s="24">
        <f>+Main!I3</f>
        <v>105.594064</v>
      </c>
      <c r="L4" s="20"/>
      <c r="M4" s="20"/>
      <c r="N4" s="20"/>
      <c r="O4" s="20"/>
      <c r="P4" s="20"/>
      <c r="Q4" s="20"/>
      <c r="R4" s="20"/>
      <c r="S4" s="20"/>
      <c r="T4" s="20"/>
    </row>
    <row r="5" spans="1:20" x14ac:dyDescent="0.25">
      <c r="A5" s="20"/>
      <c r="B5" s="20" t="s">
        <v>128</v>
      </c>
      <c r="C5" s="24">
        <f t="shared" ref="C5:J5" si="1">+C3*C4</f>
        <v>19826.505930000003</v>
      </c>
      <c r="D5" s="24">
        <f t="shared" si="1"/>
        <v>31214.780269999999</v>
      </c>
      <c r="E5" s="24">
        <f t="shared" si="1"/>
        <v>43438.352599999991</v>
      </c>
      <c r="F5" s="24">
        <f t="shared" si="1"/>
        <v>43316.558400000002</v>
      </c>
      <c r="G5" s="24">
        <f t="shared" si="1"/>
        <v>39178.142079999998</v>
      </c>
      <c r="H5" s="24">
        <f t="shared" si="1"/>
        <v>57510.793319999997</v>
      </c>
      <c r="I5" s="24">
        <f t="shared" si="1"/>
        <v>51251.036999999997</v>
      </c>
      <c r="J5" s="24">
        <f t="shared" si="1"/>
        <v>21307.117480000001</v>
      </c>
      <c r="K5" s="24">
        <f>+K3*K4</f>
        <v>10522.448477600001</v>
      </c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25">
      <c r="A6" s="20"/>
      <c r="B6" s="20" t="s">
        <v>129</v>
      </c>
      <c r="C6" s="24">
        <f>-Model!T52</f>
        <v>-881.32</v>
      </c>
      <c r="D6" s="24">
        <f>-Model!U52</f>
        <v>-1093.5050000000001</v>
      </c>
      <c r="E6" s="24">
        <f>-Model!V52</f>
        <v>-1150.5170000000001</v>
      </c>
      <c r="F6" s="24">
        <f>-Model!W52</f>
        <v>-1259.8710000000001</v>
      </c>
      <c r="G6" s="24">
        <f>-Model!X52</f>
        <v>-1154.867</v>
      </c>
      <c r="H6" s="24">
        <f>-Model!Y52</f>
        <v>-2243.971</v>
      </c>
      <c r="I6" s="24">
        <f>-Model!Z52</f>
        <v>-1984.336</v>
      </c>
      <c r="J6" s="24">
        <f>-Model!AA52</f>
        <v>-1807.202</v>
      </c>
      <c r="K6" s="24">
        <f>+Main!I6-Main!I5</f>
        <v>-189.73699999999999</v>
      </c>
      <c r="L6" s="20"/>
      <c r="M6" s="20"/>
      <c r="N6" s="20"/>
      <c r="O6" s="20"/>
      <c r="P6" s="20"/>
      <c r="Q6" s="20"/>
      <c r="R6" s="20"/>
      <c r="S6" s="20"/>
      <c r="T6" s="20"/>
    </row>
    <row r="7" spans="1:20" x14ac:dyDescent="0.25">
      <c r="A7" s="20"/>
      <c r="B7" s="20" t="s">
        <v>6</v>
      </c>
      <c r="C7" s="24">
        <f t="shared" ref="C7:J7" si="2">+C5+C6</f>
        <v>18945.185930000003</v>
      </c>
      <c r="D7" s="24">
        <f t="shared" si="2"/>
        <v>30121.275269999998</v>
      </c>
      <c r="E7" s="24">
        <f t="shared" si="2"/>
        <v>42287.835599999991</v>
      </c>
      <c r="F7" s="24">
        <f t="shared" si="2"/>
        <v>42056.687400000003</v>
      </c>
      <c r="G7" s="24">
        <f t="shared" si="2"/>
        <v>38023.275079999999</v>
      </c>
      <c r="H7" s="24">
        <f t="shared" si="2"/>
        <v>55266.822319999999</v>
      </c>
      <c r="I7" s="24">
        <f t="shared" si="2"/>
        <v>49266.700999999994</v>
      </c>
      <c r="J7" s="24">
        <f t="shared" si="2"/>
        <v>19499.91548</v>
      </c>
      <c r="K7" s="24">
        <f>+K5+K6</f>
        <v>10332.711477600002</v>
      </c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5">
      <c r="A8" s="20"/>
      <c r="B8" s="20"/>
      <c r="C8" s="24"/>
      <c r="D8" s="24"/>
      <c r="E8" s="24"/>
      <c r="F8" s="24"/>
      <c r="G8" s="24"/>
      <c r="H8" s="24"/>
      <c r="I8" s="24"/>
      <c r="J8" s="24"/>
      <c r="K8" s="24"/>
      <c r="L8" s="20"/>
      <c r="M8" s="20"/>
      <c r="N8" s="20"/>
      <c r="O8" s="20"/>
      <c r="P8" s="20"/>
      <c r="Q8" s="20"/>
      <c r="R8" s="20"/>
      <c r="S8" s="20"/>
      <c r="T8" s="20"/>
    </row>
    <row r="9" spans="1:20" x14ac:dyDescent="0.25">
      <c r="A9" s="25" t="s">
        <v>130</v>
      </c>
      <c r="B9" s="26" t="s">
        <v>131</v>
      </c>
      <c r="C9" s="24"/>
      <c r="D9" s="24"/>
      <c r="E9" s="24"/>
      <c r="F9" s="24"/>
      <c r="G9" s="24"/>
      <c r="H9" s="24"/>
      <c r="I9" s="24"/>
      <c r="J9" s="24"/>
      <c r="K9" s="24"/>
      <c r="L9" s="20"/>
      <c r="M9" s="20"/>
      <c r="N9" s="20"/>
      <c r="O9" s="20"/>
      <c r="P9" s="20"/>
      <c r="Q9" s="20"/>
      <c r="R9" s="20"/>
      <c r="S9" s="20"/>
      <c r="T9" s="20"/>
    </row>
    <row r="10" spans="1:20" x14ac:dyDescent="0.25">
      <c r="A10" s="20"/>
      <c r="B10" s="20" t="s">
        <v>132</v>
      </c>
      <c r="C10" s="24">
        <f>+Model!T58+Model!T59+Model!T53+Model!T54+Model!T61+Model!T60-Model!T66</f>
        <v>936.5709999999998</v>
      </c>
      <c r="D10" s="24">
        <f>+Model!U58+Model!U59+Model!U53+Model!U54+Model!U61+Model!U60-Model!U66</f>
        <v>1864.5149999999999</v>
      </c>
      <c r="E10" s="24">
        <f>+Model!V58+Model!V59+Model!V53+Model!V54+Model!V61+Model!V60-Model!V66</f>
        <v>2484.8619999999996</v>
      </c>
      <c r="F10" s="24">
        <f>+Model!W58+Model!W59+Model!W53+Model!W54+Model!W61+Model!W60-Model!W66</f>
        <v>2943.1860000000001</v>
      </c>
      <c r="G10" s="24">
        <f>+Model!X58+Model!X59+Model!X53+Model!X54+Model!X61+Model!X60-Model!X66</f>
        <v>3692.6789999999992</v>
      </c>
      <c r="H10" s="24">
        <f>+Model!Y58+Model!Y59+Model!Y53+Model!Y54+Model!Y61+Model!Y60-Model!Y66</f>
        <v>3935.4339999999993</v>
      </c>
      <c r="I10" s="24">
        <f>+Model!Z58+Model!Z59+Model!Z53+Model!Z54+Model!Z61+Model!Z60-Model!Z66</f>
        <v>4658.9120000000003</v>
      </c>
      <c r="J10" s="24">
        <f>+Model!AA58+Model!AA59+Model!AA53+Model!AA54+Model!AA61+Model!AA60-Model!AA66</f>
        <v>5415.0839999999998</v>
      </c>
      <c r="K10" s="20"/>
      <c r="L10" s="27" t="s">
        <v>133</v>
      </c>
      <c r="M10" s="20"/>
      <c r="N10" s="20"/>
      <c r="O10" s="20"/>
      <c r="P10" s="20"/>
      <c r="Q10" s="20"/>
      <c r="R10" s="20"/>
      <c r="S10" s="20"/>
      <c r="T10" s="20"/>
    </row>
    <row r="11" spans="1:20" x14ac:dyDescent="0.25">
      <c r="A11" s="20"/>
      <c r="B11" s="20" t="s">
        <v>134</v>
      </c>
      <c r="C11" s="24">
        <f>+Model!T53+Model!T54+Model!T55+Model!T56-Model!T66-Model!T67-Model!T68+Model!T58+Model!T60+Model!T61+Model!T59-Model!T74</f>
        <v>918.48299999999995</v>
      </c>
      <c r="D11" s="24">
        <f>+Model!U53+Model!U54+Model!U55+Model!U56-Model!U66-Model!U67-Model!U68+Model!U58+Model!U60+Model!U61+Model!U59-Model!U74</f>
        <v>1156.0790000000002</v>
      </c>
      <c r="E11" s="24">
        <f>+Model!V53+Model!V54+Model!V55+Model!V56-Model!V66-Model!V67-Model!V68+Model!V58+Model!V60+Model!V61+Model!V59-Model!V74</f>
        <v>1759.4669999999996</v>
      </c>
      <c r="F11" s="24">
        <f>+Model!W53+Model!W54+Model!W55+Model!W56-Model!W66-Model!W67-Model!W68+Model!W58+Model!W60+Model!W61+Model!W59-Model!W74</f>
        <v>2026.9090000000001</v>
      </c>
      <c r="G11" s="24">
        <f>+Model!X53+Model!X54+Model!X55+Model!X56-Model!X66-Model!X67-Model!X68+Model!X58+Model!X60+Model!X61+Model!X59-Model!X74</f>
        <v>2607.2399999999998</v>
      </c>
      <c r="H11" s="24">
        <f>+Model!Y53+Model!Y54+Model!Y55+Model!Y56-Model!Y66-Model!Y67-Model!Y68+Model!Y58+Model!Y60+Model!Y61+Model!Y59-Model!Y74</f>
        <v>2474.9920000000002</v>
      </c>
      <c r="I11" s="24">
        <f>+Model!Z53+Model!Z54+Model!Z55+Model!Z56-Model!Z66-Model!Z67-Model!Z68+Model!Z58+Model!Z60+Model!Z61+Model!Z59-Model!Z74</f>
        <v>3027.9809999999998</v>
      </c>
      <c r="J11" s="24">
        <f>+Model!AA53+Model!AA54+Model!AA55+Model!AA56-Model!AA66-Model!AA67-Model!AA68+Model!AA58+Model!AA60+Model!AA61+Model!AA59-Model!AA74</f>
        <v>3628.587</v>
      </c>
      <c r="K11" s="20"/>
      <c r="L11" s="27" t="s">
        <v>135</v>
      </c>
      <c r="M11" s="20"/>
      <c r="N11" s="20"/>
      <c r="O11" s="20"/>
      <c r="P11" s="20"/>
      <c r="Q11" s="20"/>
      <c r="R11" s="20"/>
      <c r="S11" s="20"/>
      <c r="T11" s="20"/>
    </row>
    <row r="12" spans="1:20" x14ac:dyDescent="0.25">
      <c r="A12" s="20"/>
      <c r="B12" s="20" t="s">
        <v>136</v>
      </c>
      <c r="C12" s="24"/>
      <c r="D12" s="24"/>
      <c r="E12" s="24"/>
      <c r="F12" s="24"/>
      <c r="G12" s="24"/>
      <c r="H12" s="24"/>
      <c r="I12" s="24"/>
      <c r="J12" s="24"/>
      <c r="K12" s="20"/>
      <c r="L12" s="27"/>
      <c r="M12" s="20"/>
      <c r="N12" s="20"/>
      <c r="O12" s="20"/>
      <c r="P12" s="20"/>
      <c r="Q12" s="20"/>
      <c r="R12" s="20"/>
      <c r="S12" s="20"/>
      <c r="T12" s="20"/>
    </row>
    <row r="13" spans="1:20" x14ac:dyDescent="0.25">
      <c r="A13" s="20"/>
      <c r="B13" s="20" t="s">
        <v>137</v>
      </c>
      <c r="C13" s="24"/>
      <c r="D13" s="24"/>
      <c r="E13" s="24"/>
      <c r="F13" s="24"/>
      <c r="G13" s="24"/>
      <c r="H13" s="24"/>
      <c r="I13" s="24"/>
      <c r="J13" s="24"/>
      <c r="K13" s="20"/>
      <c r="L13" s="27" t="s">
        <v>138</v>
      </c>
      <c r="M13" s="20"/>
      <c r="N13" s="20"/>
      <c r="O13" s="20"/>
      <c r="P13" s="20"/>
      <c r="Q13" s="20"/>
      <c r="R13" s="20"/>
      <c r="S13" s="20"/>
      <c r="T13" s="20"/>
    </row>
    <row r="14" spans="1:20" x14ac:dyDescent="0.25">
      <c r="A14" s="20"/>
      <c r="B14" s="20" t="s">
        <v>139</v>
      </c>
      <c r="C14" s="91">
        <f>+(Model!T32+Model!T83)*(1-Model!T50)</f>
        <v>570.78802572075074</v>
      </c>
      <c r="D14" s="91">
        <f>+(Model!U32+Model!U83)*(1-Model!U50)</f>
        <v>756.13377486563797</v>
      </c>
      <c r="E14" s="91">
        <f>+(Model!V32+Model!V83)*(1-Model!V50)</f>
        <v>722.68361583206217</v>
      </c>
      <c r="F14" s="91">
        <f>+(Model!W32+Model!W83)*(1-Model!W50)</f>
        <v>1138.8850851485415</v>
      </c>
      <c r="G14" s="91">
        <f>+(Model!X32+Model!X83)*(1-Model!X50)</f>
        <v>1039.3038008481349</v>
      </c>
      <c r="H14" s="91">
        <f>+(Model!Y32+Model!Y83)*(1-Model!Y50)</f>
        <v>1789.8182873373835</v>
      </c>
      <c r="I14" s="91">
        <f>+(Model!Z32+Model!Z83)*(1-Model!Z50)</f>
        <v>2079.5758287256167</v>
      </c>
      <c r="J14" s="91">
        <f>+(Model!AA32+Model!AA83)*(1-Model!AA50)</f>
        <v>1909.1842127503451</v>
      </c>
      <c r="K14" s="20"/>
      <c r="L14" s="20" t="s">
        <v>140</v>
      </c>
      <c r="M14" s="20"/>
      <c r="N14" s="20"/>
      <c r="O14" s="20"/>
      <c r="P14" s="20"/>
      <c r="Q14" s="20"/>
      <c r="R14" s="20"/>
      <c r="S14" s="20"/>
      <c r="T14" s="20"/>
    </row>
    <row r="15" spans="1:20" x14ac:dyDescent="0.25">
      <c r="A15" s="20"/>
      <c r="B15" s="20" t="s">
        <v>141</v>
      </c>
      <c r="C15" s="24">
        <f t="shared" ref="C15:H15" si="3">+D11-C11</f>
        <v>237.59600000000023</v>
      </c>
      <c r="D15" s="24">
        <f t="shared" si="3"/>
        <v>603.38799999999947</v>
      </c>
      <c r="E15" s="24">
        <f t="shared" si="3"/>
        <v>267.44200000000046</v>
      </c>
      <c r="F15" s="24">
        <f t="shared" si="3"/>
        <v>580.33099999999968</v>
      </c>
      <c r="G15" s="24">
        <f t="shared" si="3"/>
        <v>-132.24799999999959</v>
      </c>
      <c r="H15" s="24">
        <f t="shared" si="3"/>
        <v>552.98899999999958</v>
      </c>
      <c r="I15" s="24">
        <f>+J11-I11</f>
        <v>600.60600000000022</v>
      </c>
      <c r="J15" s="24"/>
      <c r="K15" s="20"/>
      <c r="L15" s="27" t="s">
        <v>142</v>
      </c>
      <c r="M15" s="20"/>
      <c r="N15" s="20"/>
      <c r="O15" s="20"/>
      <c r="P15" s="20"/>
      <c r="Q15" s="20"/>
      <c r="R15" s="20"/>
      <c r="S15" s="20"/>
      <c r="T15" s="20"/>
    </row>
    <row r="16" spans="1:20" x14ac:dyDescent="0.25">
      <c r="A16" s="20"/>
      <c r="B16" s="20" t="s">
        <v>143</v>
      </c>
      <c r="C16" s="24"/>
      <c r="D16" s="24"/>
      <c r="E16" s="24"/>
      <c r="F16" s="24"/>
      <c r="G16" s="24"/>
      <c r="H16" s="24"/>
      <c r="I16" s="24"/>
      <c r="J16" s="24"/>
      <c r="K16" s="20"/>
      <c r="L16" s="27" t="s">
        <v>144</v>
      </c>
      <c r="M16" s="20"/>
      <c r="N16" s="20"/>
      <c r="O16" s="20"/>
      <c r="P16" s="20"/>
      <c r="Q16" s="20"/>
      <c r="R16" s="20"/>
      <c r="S16" s="20"/>
      <c r="T16" s="20"/>
    </row>
    <row r="17" spans="1:20" x14ac:dyDescent="0.25">
      <c r="A17" s="20"/>
      <c r="B17" s="20" t="s">
        <v>145</v>
      </c>
      <c r="C17" s="28">
        <f t="shared" ref="C17:H17" si="4">+C15/C14</f>
        <v>0.41625960828449549</v>
      </c>
      <c r="D17" s="28">
        <f t="shared" si="4"/>
        <v>0.79799106990984392</v>
      </c>
      <c r="E17" s="28">
        <f t="shared" si="4"/>
        <v>0.37006788882584668</v>
      </c>
      <c r="F17" s="28">
        <f t="shared" si="4"/>
        <v>0.50956062869530749</v>
      </c>
      <c r="G17" s="28">
        <f t="shared" si="4"/>
        <v>-0.12724672024876385</v>
      </c>
      <c r="H17" s="28">
        <f t="shared" si="4"/>
        <v>0.30896376683168858</v>
      </c>
      <c r="I17" s="28">
        <f>+I15/I14</f>
        <v>0.2888117815680023</v>
      </c>
      <c r="J17" s="24"/>
      <c r="K17" s="20"/>
      <c r="L17" s="27" t="s">
        <v>146</v>
      </c>
      <c r="M17" s="20"/>
      <c r="N17" s="20"/>
      <c r="O17" s="20"/>
      <c r="P17" s="20"/>
      <c r="Q17" s="20"/>
      <c r="R17" s="20"/>
      <c r="S17" s="20"/>
      <c r="T17" s="20"/>
    </row>
    <row r="18" spans="1:20" x14ac:dyDescent="0.25">
      <c r="A18" s="20"/>
      <c r="B18" s="20" t="s">
        <v>147</v>
      </c>
      <c r="C18" s="20"/>
      <c r="D18" s="20"/>
      <c r="E18" s="20"/>
      <c r="F18" s="20"/>
      <c r="G18" s="20"/>
      <c r="H18" s="20"/>
      <c r="I18" s="20"/>
      <c r="J18" s="20"/>
      <c r="K18" s="20"/>
      <c r="L18" s="27" t="s">
        <v>148</v>
      </c>
      <c r="M18" s="20"/>
      <c r="N18" s="20"/>
      <c r="O18" s="20"/>
      <c r="P18" s="20"/>
      <c r="Q18" s="20"/>
      <c r="R18" s="20"/>
      <c r="S18" s="20"/>
      <c r="T18" s="20"/>
    </row>
    <row r="19" spans="1:20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 x14ac:dyDescent="0.25">
      <c r="A20" s="25" t="s">
        <v>130</v>
      </c>
      <c r="B20" s="26" t="s">
        <v>149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1:20" x14ac:dyDescent="0.25">
      <c r="A21" s="20"/>
      <c r="B21" s="20" t="s">
        <v>150</v>
      </c>
      <c r="C21" s="32">
        <f>+Model!T27/Model!T79</f>
        <v>2.2741188471446603</v>
      </c>
      <c r="D21" s="32">
        <f>+Model!U27/Model!U79</f>
        <v>2.0383461273279928</v>
      </c>
      <c r="E21" s="32">
        <f>+Model!V27/Model!V79</f>
        <v>1.720447703909143</v>
      </c>
      <c r="F21" s="32">
        <f>+Model!W27/Model!W79</f>
        <v>2.2833985268860451</v>
      </c>
      <c r="G21" s="32">
        <f>+Model!X27/Model!X79</f>
        <v>2.5757496747172492</v>
      </c>
      <c r="H21" s="32">
        <f>+Model!Y27/Model!Y79</f>
        <v>2.2729427910288105</v>
      </c>
      <c r="I21" s="32">
        <f>+Model!Z27/Model!Z79</f>
        <v>2.4486611732018644</v>
      </c>
      <c r="J21" s="32">
        <f>+Model!AA27/Model!AA79</f>
        <v>2.2375973429211746</v>
      </c>
      <c r="K21" s="20"/>
      <c r="L21" s="27" t="s">
        <v>151</v>
      </c>
      <c r="M21" s="20"/>
      <c r="N21" s="20"/>
      <c r="O21" s="20"/>
      <c r="P21" s="20"/>
      <c r="Q21" s="20"/>
      <c r="R21" s="20"/>
      <c r="S21" s="20"/>
      <c r="T21" s="20"/>
    </row>
    <row r="22" spans="1:20" x14ac:dyDescent="0.25">
      <c r="A22" s="20"/>
      <c r="B22" s="20" t="s">
        <v>152</v>
      </c>
      <c r="C22" s="28">
        <f>+Model!T36/Model!T79</f>
        <v>0.34150106329639185</v>
      </c>
      <c r="D22" s="28">
        <f>+Model!U36/Model!U79</f>
        <v>0.33069872319587229</v>
      </c>
      <c r="E22" s="28">
        <f>+Model!V36/Model!V79</f>
        <v>0.23017307351070879</v>
      </c>
      <c r="F22" s="28">
        <f>+Model!W36/Model!W79</f>
        <v>0.3559509584875582</v>
      </c>
      <c r="G22" s="28">
        <f>+Model!X36/Model!X79</f>
        <v>0.27146858214830477</v>
      </c>
      <c r="H22" s="28">
        <f>+Model!Y36/Model!Y79</f>
        <v>0.36629497403286965</v>
      </c>
      <c r="I22" s="28">
        <f>+Model!Z36/Model!Z79</f>
        <v>0.41965686311920308</v>
      </c>
      <c r="J22" s="28">
        <f>+Model!AA36/Model!AA79</f>
        <v>0.31826560308272744</v>
      </c>
      <c r="K22" s="20"/>
      <c r="L22" s="27" t="s">
        <v>153</v>
      </c>
      <c r="M22" s="20"/>
      <c r="N22" s="20"/>
      <c r="O22" s="20"/>
      <c r="P22" s="20"/>
      <c r="Q22" s="20"/>
      <c r="R22" s="20"/>
      <c r="S22" s="20"/>
      <c r="T22" s="20"/>
    </row>
    <row r="23" spans="1:20" x14ac:dyDescent="0.25">
      <c r="A23" s="20"/>
      <c r="B23" s="20" t="s">
        <v>154</v>
      </c>
      <c r="C23" s="28">
        <f>+Model!T32/Ratios!C10</f>
        <v>0.76431685371424096</v>
      </c>
      <c r="D23" s="28">
        <f>+Model!U32/Ratios!D10</f>
        <v>0.47685859325347318</v>
      </c>
      <c r="E23" s="28">
        <f>+Model!V32/Ratios!E10</f>
        <v>0.32999257101601626</v>
      </c>
      <c r="F23" s="28">
        <f>+Model!W32/Ratios!F10</f>
        <v>0.45303117098273776</v>
      </c>
      <c r="G23" s="28">
        <f>+Model!X32/Ratios!G10</f>
        <v>0.35974099021333839</v>
      </c>
      <c r="H23" s="28">
        <f>+Model!Y32/Ratios!H10</f>
        <v>0.54191634264480137</v>
      </c>
      <c r="I23" s="28">
        <f>+Model!Z32/Ratios!I10</f>
        <v>0.53782878921087163</v>
      </c>
      <c r="J23" s="28">
        <f>+Model!AA32/Ratios!J10</f>
        <v>0.40823281781039789</v>
      </c>
      <c r="K23" s="20"/>
      <c r="L23" s="27" t="s">
        <v>155</v>
      </c>
      <c r="M23" s="20"/>
      <c r="N23" s="20"/>
      <c r="O23" s="20"/>
      <c r="P23" s="20"/>
      <c r="Q23" s="20"/>
      <c r="R23" s="20"/>
      <c r="S23" s="20"/>
      <c r="T23" s="20"/>
    </row>
    <row r="24" spans="1:20" x14ac:dyDescent="0.25">
      <c r="A24" s="20"/>
      <c r="B24" s="20" t="s">
        <v>156</v>
      </c>
      <c r="C24" s="28">
        <f t="shared" ref="C24:I24" si="5">+C14/C11</f>
        <v>0.62144647829165134</v>
      </c>
      <c r="D24" s="28">
        <f t="shared" si="5"/>
        <v>0.65405026374982844</v>
      </c>
      <c r="E24" s="28">
        <f t="shared" si="5"/>
        <v>0.41074007971281207</v>
      </c>
      <c r="F24" s="28">
        <f t="shared" si="5"/>
        <v>0.56188269189615392</v>
      </c>
      <c r="G24" s="28">
        <f t="shared" si="5"/>
        <v>0.3986222215247292</v>
      </c>
      <c r="H24" s="28">
        <f t="shared" si="5"/>
        <v>0.72316124146558181</v>
      </c>
      <c r="I24" s="28">
        <f t="shared" si="5"/>
        <v>0.68678628720775226</v>
      </c>
      <c r="J24" s="28">
        <f>+J14/J11</f>
        <v>0.52615087160659091</v>
      </c>
      <c r="K24" s="20"/>
      <c r="L24" s="27" t="s">
        <v>157</v>
      </c>
      <c r="M24" s="20"/>
      <c r="N24" s="20"/>
      <c r="O24" s="20"/>
      <c r="P24" s="20"/>
      <c r="Q24" s="20"/>
      <c r="R24" s="20"/>
      <c r="S24" s="20"/>
      <c r="T24" s="20"/>
    </row>
    <row r="25" spans="1:20" x14ac:dyDescent="0.25">
      <c r="A25" s="20"/>
      <c r="B25" s="20" t="s">
        <v>158</v>
      </c>
      <c r="C25" s="20"/>
      <c r="D25" s="20"/>
      <c r="E25" s="20"/>
      <c r="F25" s="20"/>
      <c r="G25" s="20"/>
      <c r="H25" s="20"/>
      <c r="I25" s="20"/>
      <c r="J25" s="20"/>
      <c r="K25" s="20"/>
      <c r="L25" s="27" t="s">
        <v>159</v>
      </c>
      <c r="M25" s="20"/>
      <c r="N25" s="20"/>
      <c r="O25" s="20"/>
      <c r="P25" s="20"/>
      <c r="Q25" s="20"/>
      <c r="R25" s="20"/>
      <c r="S25" s="20"/>
      <c r="T25" s="20"/>
    </row>
    <row r="26" spans="1:20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spans="1:20" x14ac:dyDescent="0.25">
      <c r="A27" s="20"/>
      <c r="B27" s="20" t="s">
        <v>160</v>
      </c>
      <c r="C27" s="20"/>
      <c r="D27" s="20"/>
      <c r="E27" s="20"/>
      <c r="F27" s="20"/>
      <c r="G27" s="20"/>
      <c r="H27" s="20"/>
      <c r="I27" s="20"/>
      <c r="J27" s="20"/>
      <c r="K27" s="20"/>
      <c r="L27" s="27" t="s">
        <v>161</v>
      </c>
      <c r="M27" s="20"/>
      <c r="N27" s="20"/>
      <c r="O27" s="20"/>
      <c r="P27" s="20"/>
      <c r="Q27" s="20"/>
      <c r="R27" s="20"/>
      <c r="S27" s="20"/>
      <c r="T27" s="20"/>
    </row>
    <row r="28" spans="1:20" x14ac:dyDescent="0.25">
      <c r="A28" s="20"/>
      <c r="B28" s="20" t="s">
        <v>162</v>
      </c>
      <c r="C28" s="20"/>
      <c r="D28" s="20"/>
      <c r="E28" s="20"/>
      <c r="F28" s="20"/>
      <c r="G28" s="20"/>
      <c r="H28" s="20"/>
      <c r="I28" s="20"/>
      <c r="J28" s="20"/>
      <c r="K28" s="20"/>
      <c r="L28" s="27" t="s">
        <v>163</v>
      </c>
      <c r="M28" s="20"/>
      <c r="N28" s="20"/>
      <c r="O28" s="20"/>
      <c r="P28" s="20"/>
      <c r="Q28" s="20"/>
      <c r="R28" s="20"/>
      <c r="S28" s="20"/>
      <c r="T28" s="20"/>
    </row>
    <row r="29" spans="1:20" x14ac:dyDescent="0.25">
      <c r="A29" s="20"/>
      <c r="B29" s="20" t="s">
        <v>164</v>
      </c>
      <c r="C29" s="20"/>
      <c r="D29" s="20"/>
      <c r="E29" s="20"/>
      <c r="F29" s="20"/>
      <c r="G29" s="20"/>
      <c r="H29" s="20"/>
      <c r="I29" s="20"/>
      <c r="J29" s="20"/>
      <c r="K29" s="20"/>
      <c r="L29" s="27" t="s">
        <v>165</v>
      </c>
      <c r="M29" s="20"/>
      <c r="N29" s="20"/>
      <c r="O29" s="20"/>
      <c r="P29" s="20"/>
      <c r="Q29" s="20"/>
      <c r="R29" s="20"/>
      <c r="S29" s="20"/>
      <c r="T29" s="20"/>
    </row>
    <row r="30" spans="1:20" x14ac:dyDescent="0.25">
      <c r="A30" s="20"/>
      <c r="B30" s="20" t="s">
        <v>166</v>
      </c>
      <c r="C30" s="28">
        <f t="shared" ref="C30:I30" si="6">+C24*C17</f>
        <v>0.25868306762346199</v>
      </c>
      <c r="D30" s="28">
        <f t="shared" si="6"/>
        <v>0.52192626974454115</v>
      </c>
      <c r="E30" s="28">
        <f t="shared" si="6"/>
        <v>0.15200171415548033</v>
      </c>
      <c r="F30" s="28">
        <f t="shared" si="6"/>
        <v>0.28631329773561592</v>
      </c>
      <c r="G30" s="28">
        <f t="shared" si="6"/>
        <v>-5.0723370307297989E-2</v>
      </c>
      <c r="H30" s="28">
        <f t="shared" si="6"/>
        <v>0.22343062118988646</v>
      </c>
      <c r="I30" s="28">
        <f t="shared" si="6"/>
        <v>0.19835197116494463</v>
      </c>
      <c r="J30" s="28">
        <f>+J24*J17</f>
        <v>0</v>
      </c>
      <c r="K30" s="20"/>
      <c r="L30" s="27" t="s">
        <v>167</v>
      </c>
      <c r="M30" s="20"/>
      <c r="N30" s="20"/>
      <c r="O30" s="20"/>
      <c r="P30" s="20"/>
      <c r="Q30" s="20"/>
      <c r="R30" s="20"/>
      <c r="S30" s="20"/>
      <c r="T30" s="20"/>
    </row>
    <row r="31" spans="1:20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1:20" x14ac:dyDescent="0.25">
      <c r="A32" s="25" t="s">
        <v>130</v>
      </c>
      <c r="B32" s="26" t="s">
        <v>168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 x14ac:dyDescent="0.25">
      <c r="A33" s="20"/>
      <c r="B33" s="20" t="s">
        <v>169</v>
      </c>
      <c r="C33" s="20"/>
      <c r="D33" s="20"/>
      <c r="E33" s="20"/>
      <c r="F33" s="20"/>
      <c r="G33" s="20"/>
      <c r="H33" s="20"/>
      <c r="I33" s="20"/>
      <c r="J33" s="20"/>
      <c r="K33" s="20"/>
      <c r="L33" s="27" t="s">
        <v>170</v>
      </c>
      <c r="M33" s="20"/>
      <c r="N33" s="20"/>
      <c r="O33" s="20"/>
      <c r="P33" s="20"/>
      <c r="Q33" s="20"/>
      <c r="R33" s="20"/>
      <c r="S33" s="20"/>
      <c r="T33" s="20"/>
    </row>
    <row r="34" spans="1:20" x14ac:dyDescent="0.25">
      <c r="A34" s="20"/>
      <c r="B34" s="20" t="s">
        <v>171</v>
      </c>
      <c r="C34" s="20"/>
      <c r="D34" s="20"/>
      <c r="E34" s="20"/>
      <c r="F34" s="20"/>
      <c r="G34" s="20"/>
      <c r="H34" s="20"/>
      <c r="I34" s="20"/>
      <c r="J34" s="20"/>
      <c r="K34" s="20"/>
      <c r="L34" s="27" t="s">
        <v>172</v>
      </c>
      <c r="M34" s="20"/>
      <c r="N34" s="20"/>
      <c r="O34" s="20"/>
      <c r="P34" s="20"/>
      <c r="Q34" s="20"/>
      <c r="R34" s="20"/>
      <c r="S34" s="20"/>
      <c r="T34" s="20"/>
    </row>
    <row r="35" spans="1:20" x14ac:dyDescent="0.25">
      <c r="A35" s="20"/>
      <c r="B35" s="20" t="s">
        <v>173</v>
      </c>
      <c r="C35" s="20"/>
      <c r="D35" s="20"/>
      <c r="E35" s="20"/>
      <c r="F35" s="20"/>
      <c r="G35" s="20"/>
      <c r="H35" s="20"/>
      <c r="I35" s="20"/>
      <c r="J35" s="20"/>
      <c r="K35" s="20"/>
      <c r="L35" s="27" t="s">
        <v>174</v>
      </c>
      <c r="M35" s="20"/>
      <c r="N35" s="20"/>
      <c r="O35" s="20"/>
      <c r="P35" s="20"/>
      <c r="Q35" s="20"/>
      <c r="R35" s="20"/>
      <c r="S35" s="20"/>
      <c r="T35" s="20"/>
    </row>
    <row r="36" spans="1:20" x14ac:dyDescent="0.25">
      <c r="A36" s="20"/>
      <c r="B36" s="20" t="s">
        <v>175</v>
      </c>
      <c r="C36" s="28"/>
      <c r="D36" s="28"/>
      <c r="E36" s="28"/>
      <c r="F36" s="28"/>
      <c r="G36" s="28"/>
      <c r="H36" s="20"/>
      <c r="I36" s="29"/>
      <c r="J36" s="29"/>
      <c r="K36" s="20"/>
      <c r="L36" s="27" t="s">
        <v>176</v>
      </c>
      <c r="M36" s="20"/>
      <c r="N36" s="20"/>
      <c r="O36" s="20"/>
      <c r="P36" s="20"/>
      <c r="Q36" s="20"/>
      <c r="R36" s="20"/>
      <c r="S36" s="20"/>
      <c r="T36" s="20"/>
    </row>
    <row r="37" spans="1:20" x14ac:dyDescent="0.25">
      <c r="A37" s="20"/>
      <c r="B37" s="20" t="s">
        <v>177</v>
      </c>
      <c r="C37" s="30"/>
      <c r="D37" s="31"/>
      <c r="E37" s="30"/>
      <c r="F37" s="30"/>
      <c r="G37" s="30"/>
      <c r="H37" s="20"/>
      <c r="I37" s="29"/>
      <c r="J37" s="29"/>
      <c r="K37" s="20"/>
      <c r="L37" s="27" t="s">
        <v>178</v>
      </c>
      <c r="M37" s="20"/>
      <c r="N37" s="20"/>
      <c r="O37" s="20"/>
      <c r="P37" s="20"/>
      <c r="Q37" s="20"/>
      <c r="R37" s="20"/>
      <c r="S37" s="20"/>
      <c r="T37" s="20"/>
    </row>
    <row r="38" spans="1:2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x14ac:dyDescent="0.25">
      <c r="A39" s="25" t="s">
        <v>130</v>
      </c>
      <c r="B39" s="26" t="s">
        <v>179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20" x14ac:dyDescent="0.25">
      <c r="A40" s="20"/>
      <c r="B40" s="20" t="s">
        <v>180</v>
      </c>
      <c r="C40" s="32"/>
      <c r="D40" s="32"/>
      <c r="E40" s="32"/>
      <c r="F40" s="32"/>
      <c r="G40" s="32"/>
      <c r="H40" s="20"/>
      <c r="I40" s="32"/>
      <c r="J40" s="32"/>
      <c r="K40" s="20"/>
      <c r="L40" s="27" t="s">
        <v>181</v>
      </c>
      <c r="M40" s="20"/>
      <c r="N40" s="20"/>
      <c r="O40" s="20"/>
      <c r="P40" s="20"/>
      <c r="Q40" s="20"/>
      <c r="R40" s="20"/>
      <c r="S40" s="20"/>
      <c r="T40" s="20"/>
    </row>
    <row r="41" spans="1:20" x14ac:dyDescent="0.25">
      <c r="A41" s="20"/>
      <c r="B41" s="20" t="s">
        <v>182</v>
      </c>
      <c r="C41" s="32"/>
      <c r="D41" s="32"/>
      <c r="E41" s="32"/>
      <c r="F41" s="32"/>
      <c r="G41" s="32"/>
      <c r="H41" s="20"/>
      <c r="I41" s="32"/>
      <c r="J41" s="32"/>
      <c r="K41" s="20"/>
      <c r="L41" s="27" t="s">
        <v>183</v>
      </c>
      <c r="M41" s="20"/>
      <c r="N41" s="20"/>
      <c r="O41" s="20"/>
      <c r="P41" s="20"/>
      <c r="Q41" s="20"/>
      <c r="R41" s="20"/>
      <c r="S41" s="20"/>
      <c r="T41" s="20"/>
    </row>
    <row r="42" spans="1:20" x14ac:dyDescent="0.25">
      <c r="A42" s="20"/>
      <c r="B42" s="20" t="s">
        <v>184</v>
      </c>
      <c r="C42" s="20"/>
      <c r="D42" s="20"/>
      <c r="E42" s="20"/>
      <c r="F42" s="20"/>
      <c r="G42" s="20"/>
      <c r="H42" s="20"/>
      <c r="I42" s="20"/>
      <c r="J42" s="20"/>
      <c r="K42" s="20"/>
      <c r="L42" s="27" t="s">
        <v>185</v>
      </c>
      <c r="M42" s="20"/>
      <c r="N42" s="20"/>
      <c r="O42" s="20"/>
      <c r="P42" s="20"/>
      <c r="Q42" s="20"/>
      <c r="R42" s="20"/>
      <c r="S42" s="20"/>
      <c r="T42" s="20"/>
    </row>
    <row r="43" spans="1:20" x14ac:dyDescent="0.25">
      <c r="A43" s="20"/>
      <c r="B43" s="20" t="s">
        <v>186</v>
      </c>
      <c r="C43" s="20"/>
      <c r="D43" s="20"/>
      <c r="E43" s="20"/>
      <c r="F43" s="20"/>
      <c r="G43" s="20"/>
      <c r="H43" s="20"/>
      <c r="I43" s="20"/>
      <c r="J43" s="20"/>
      <c r="K43" s="20"/>
      <c r="L43" s="27" t="s">
        <v>187</v>
      </c>
      <c r="M43" s="20"/>
      <c r="N43" s="20"/>
      <c r="O43" s="20"/>
      <c r="P43" s="20"/>
      <c r="Q43" s="20"/>
      <c r="R43" s="20"/>
      <c r="S43" s="20"/>
      <c r="T43" s="20"/>
    </row>
    <row r="44" spans="1:20" x14ac:dyDescent="0.25">
      <c r="A44" s="20"/>
      <c r="B44" s="20" t="s">
        <v>188</v>
      </c>
      <c r="C44" s="20"/>
      <c r="D44" s="20"/>
      <c r="E44" s="20"/>
      <c r="F44" s="20"/>
      <c r="G44" s="20"/>
      <c r="H44" s="20"/>
      <c r="I44" s="20"/>
      <c r="J44" s="20"/>
      <c r="K44" s="20"/>
      <c r="L44" s="27" t="s">
        <v>189</v>
      </c>
      <c r="M44" s="20"/>
      <c r="N44" s="20"/>
      <c r="O44" s="20"/>
      <c r="P44" s="20"/>
      <c r="Q44" s="20"/>
      <c r="R44" s="20"/>
      <c r="S44" s="20"/>
      <c r="T44" s="20"/>
    </row>
    <row r="45" spans="1:20" x14ac:dyDescent="0.25">
      <c r="A45" s="20"/>
      <c r="B45" s="20" t="s">
        <v>190</v>
      </c>
      <c r="C45" s="20"/>
      <c r="D45" s="20"/>
      <c r="E45" s="20"/>
      <c r="F45" s="20"/>
      <c r="G45" s="20"/>
      <c r="H45" s="20"/>
      <c r="I45" s="20"/>
      <c r="J45" s="20"/>
      <c r="K45" s="20"/>
      <c r="L45" s="27" t="s">
        <v>191</v>
      </c>
      <c r="M45" s="20"/>
      <c r="N45" s="20"/>
      <c r="O45" s="20"/>
      <c r="P45" s="20"/>
      <c r="Q45" s="20"/>
      <c r="R45" s="20"/>
      <c r="S45" s="20"/>
      <c r="T45" s="20"/>
    </row>
    <row r="46" spans="1:2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0" x14ac:dyDescent="0.25">
      <c r="A47" s="25" t="s">
        <v>130</v>
      </c>
      <c r="B47" s="26" t="s">
        <v>192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spans="1:20" x14ac:dyDescent="0.25">
      <c r="A48" s="20"/>
      <c r="B48" s="26" t="s">
        <v>193</v>
      </c>
      <c r="C48" s="33"/>
      <c r="D48" s="33"/>
      <c r="E48" s="33"/>
      <c r="F48" s="33"/>
      <c r="G48" s="33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x14ac:dyDescent="0.25">
      <c r="A49" s="20"/>
      <c r="B49" s="20" t="s">
        <v>194</v>
      </c>
      <c r="C49" s="32"/>
      <c r="D49" s="32"/>
      <c r="E49" s="32"/>
      <c r="F49" s="32"/>
      <c r="G49" s="32"/>
      <c r="H49" s="20"/>
      <c r="I49" s="32"/>
      <c r="J49" s="32"/>
      <c r="K49" s="20"/>
      <c r="L49" s="27" t="s">
        <v>195</v>
      </c>
      <c r="M49" s="20"/>
      <c r="N49" s="20"/>
      <c r="O49" s="20"/>
      <c r="P49" s="20"/>
      <c r="Q49" s="20"/>
      <c r="R49" s="20"/>
      <c r="S49" s="20"/>
      <c r="T49" s="20"/>
    </row>
    <row r="50" spans="1:20" x14ac:dyDescent="0.25">
      <c r="A50" s="20"/>
      <c r="B50" s="20" t="s">
        <v>196</v>
      </c>
      <c r="C50" s="32"/>
      <c r="D50" s="32"/>
      <c r="E50" s="32"/>
      <c r="F50" s="32"/>
      <c r="G50" s="32"/>
      <c r="H50" s="20"/>
      <c r="I50" s="32"/>
      <c r="J50" s="32"/>
      <c r="K50" s="20"/>
      <c r="L50" s="27" t="s">
        <v>197</v>
      </c>
      <c r="M50" s="20"/>
      <c r="N50" s="20"/>
      <c r="O50" s="20"/>
      <c r="P50" s="20"/>
      <c r="Q50" s="20"/>
      <c r="R50" s="20"/>
      <c r="S50" s="20"/>
      <c r="T50" s="20"/>
    </row>
    <row r="51" spans="1:20" x14ac:dyDescent="0.25">
      <c r="A51" s="20"/>
      <c r="B51" s="20" t="s">
        <v>198</v>
      </c>
      <c r="C51" s="32"/>
      <c r="D51" s="32"/>
      <c r="E51" s="32"/>
      <c r="F51" s="32"/>
      <c r="G51" s="32"/>
      <c r="H51" s="20"/>
      <c r="I51" s="32"/>
      <c r="J51" s="32"/>
      <c r="K51" s="20"/>
      <c r="L51" s="27" t="s">
        <v>199</v>
      </c>
      <c r="M51" s="20"/>
      <c r="N51" s="20"/>
      <c r="O51" s="20"/>
      <c r="P51" s="20"/>
      <c r="Q51" s="20"/>
      <c r="R51" s="20"/>
      <c r="S51" s="20"/>
      <c r="T51" s="20"/>
    </row>
    <row r="52" spans="1:20" x14ac:dyDescent="0.25">
      <c r="A52" s="20"/>
      <c r="B52" s="20" t="s">
        <v>200</v>
      </c>
      <c r="C52" s="32"/>
      <c r="D52" s="32"/>
      <c r="E52" s="32"/>
      <c r="F52" s="32"/>
      <c r="G52" s="32"/>
      <c r="H52" s="20"/>
      <c r="I52" s="32"/>
      <c r="J52" s="32"/>
      <c r="K52" s="20"/>
      <c r="L52" s="27" t="s">
        <v>201</v>
      </c>
      <c r="M52" s="20"/>
      <c r="N52" s="20"/>
      <c r="O52" s="20"/>
      <c r="P52" s="20"/>
      <c r="Q52" s="20"/>
      <c r="R52" s="20"/>
      <c r="S52" s="20"/>
      <c r="T52" s="20"/>
    </row>
    <row r="53" spans="1:20" x14ac:dyDescent="0.25">
      <c r="A53" s="20"/>
      <c r="B53" s="20" t="s">
        <v>202</v>
      </c>
      <c r="C53" s="32"/>
      <c r="D53" s="32"/>
      <c r="E53" s="32"/>
      <c r="F53" s="32"/>
      <c r="G53" s="32"/>
      <c r="H53" s="20"/>
      <c r="I53" s="32"/>
      <c r="J53" s="32"/>
      <c r="K53" s="20"/>
      <c r="L53" s="27" t="s">
        <v>203</v>
      </c>
      <c r="M53" s="20"/>
      <c r="N53" s="20"/>
      <c r="O53" s="20"/>
      <c r="P53" s="20"/>
      <c r="Q53" s="20"/>
      <c r="R53" s="20"/>
      <c r="S53" s="20"/>
      <c r="T53" s="20"/>
    </row>
    <row r="54" spans="1:20" x14ac:dyDescent="0.25">
      <c r="A54" s="20"/>
      <c r="B54" s="20" t="s">
        <v>204</v>
      </c>
      <c r="C54" s="32"/>
      <c r="D54" s="32"/>
      <c r="E54" s="32"/>
      <c r="F54" s="32"/>
      <c r="G54" s="32"/>
      <c r="H54" s="20"/>
      <c r="I54" s="32"/>
      <c r="J54" s="32"/>
      <c r="K54" s="20"/>
      <c r="L54" s="27" t="s">
        <v>205</v>
      </c>
      <c r="M54" s="20"/>
      <c r="N54" s="20"/>
      <c r="O54" s="20"/>
      <c r="P54" s="20"/>
      <c r="Q54" s="20"/>
      <c r="R54" s="20"/>
      <c r="S54" s="20"/>
      <c r="T54" s="20"/>
    </row>
    <row r="55" spans="1:20" x14ac:dyDescent="0.25">
      <c r="A55" s="20"/>
      <c r="B55" s="26" t="s">
        <v>206</v>
      </c>
      <c r="C55" s="20"/>
      <c r="D55" s="20"/>
      <c r="E55" s="20"/>
      <c r="F55" s="20"/>
      <c r="G55" s="20"/>
      <c r="H55" s="20"/>
      <c r="I55" s="32"/>
      <c r="J55" s="32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spans="1:20" x14ac:dyDescent="0.25">
      <c r="A56" s="20"/>
      <c r="B56" s="20" t="s">
        <v>207</v>
      </c>
      <c r="C56" s="32"/>
      <c r="D56" s="32"/>
      <c r="E56" s="32"/>
      <c r="F56" s="32"/>
      <c r="G56" s="32"/>
      <c r="H56" s="20"/>
      <c r="I56" s="32"/>
      <c r="J56" s="32"/>
      <c r="K56" s="20"/>
      <c r="L56" s="27" t="s">
        <v>208</v>
      </c>
      <c r="M56" s="20"/>
      <c r="N56" s="20"/>
      <c r="O56" s="20"/>
      <c r="P56" s="20"/>
      <c r="Q56" s="20"/>
      <c r="R56" s="20"/>
      <c r="S56" s="20"/>
      <c r="T56" s="20"/>
    </row>
    <row r="57" spans="1:20" x14ac:dyDescent="0.25">
      <c r="A57" s="20"/>
      <c r="B57" s="20" t="s">
        <v>63</v>
      </c>
      <c r="C57" s="32"/>
      <c r="D57" s="32"/>
      <c r="E57" s="32"/>
      <c r="F57" s="32"/>
      <c r="G57" s="32"/>
      <c r="H57" s="20"/>
      <c r="I57" s="32"/>
      <c r="J57" s="32"/>
      <c r="K57" s="20"/>
      <c r="L57" s="27" t="s">
        <v>209</v>
      </c>
      <c r="M57" s="20"/>
      <c r="N57" s="20"/>
      <c r="O57" s="20"/>
      <c r="P57" s="20"/>
      <c r="Q57" s="20"/>
      <c r="R57" s="20"/>
      <c r="S57" s="20"/>
      <c r="T57" s="20"/>
    </row>
    <row r="58" spans="1:20" x14ac:dyDescent="0.25">
      <c r="A58" s="20"/>
      <c r="B58" s="20" t="s">
        <v>210</v>
      </c>
      <c r="C58" s="32"/>
      <c r="D58" s="32"/>
      <c r="E58" s="32"/>
      <c r="F58" s="32"/>
      <c r="G58" s="32"/>
      <c r="H58" s="20"/>
      <c r="I58" s="32"/>
      <c r="J58" s="32"/>
      <c r="K58" s="20"/>
      <c r="L58" s="27" t="s">
        <v>211</v>
      </c>
      <c r="M58" s="20"/>
      <c r="N58" s="20"/>
      <c r="O58" s="20"/>
      <c r="P58" s="20"/>
      <c r="Q58" s="20"/>
      <c r="R58" s="20"/>
      <c r="S58" s="20"/>
      <c r="T58" s="20"/>
    </row>
    <row r="59" spans="1:20" x14ac:dyDescent="0.25">
      <c r="A59" s="20"/>
      <c r="B59" s="20" t="s">
        <v>212</v>
      </c>
      <c r="C59" s="32"/>
      <c r="D59" s="32"/>
      <c r="E59" s="32"/>
      <c r="F59" s="32"/>
      <c r="G59" s="32"/>
      <c r="H59" s="20"/>
      <c r="I59" s="32"/>
      <c r="J59" s="32"/>
      <c r="K59" s="20"/>
      <c r="L59" s="27" t="s">
        <v>213</v>
      </c>
      <c r="M59" s="20"/>
      <c r="N59" s="20"/>
      <c r="O59" s="20"/>
      <c r="P59" s="20"/>
      <c r="Q59" s="20"/>
      <c r="R59" s="20"/>
      <c r="S59" s="20"/>
      <c r="T59" s="20"/>
    </row>
    <row r="60" spans="1:20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spans="1:20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0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</row>
    <row r="63" spans="1:20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</row>
  </sheetData>
  <hyperlinks>
    <hyperlink ref="A1" location="Main!A1" display="Main" xr:uid="{9FD20C72-CFA4-414C-B3DA-28749E8BB473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27C7-F52E-4B5A-9125-C20B41FF7625}">
  <dimension ref="A1:AE87"/>
  <sheetViews>
    <sheetView showGridLines="0" workbookViewId="0">
      <selection activeCell="J25" sqref="J25"/>
    </sheetView>
  </sheetViews>
  <sheetFormatPr defaultRowHeight="15" x14ac:dyDescent="0.25"/>
  <cols>
    <col min="1" max="1" width="5" bestFit="1" customWidth="1"/>
    <col min="5" max="5" width="10.140625" bestFit="1" customWidth="1"/>
  </cols>
  <sheetData>
    <row r="1" spans="1:31" x14ac:dyDescent="0.25">
      <c r="A1" s="35" t="s">
        <v>7</v>
      </c>
      <c r="B1" s="36" t="s">
        <v>214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x14ac:dyDescent="0.25">
      <c r="A2" s="20"/>
      <c r="B2" s="20"/>
      <c r="C2" s="20"/>
      <c r="D2" s="20"/>
      <c r="E2" s="38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25">
      <c r="A3" s="20"/>
      <c r="B3" s="20" t="s">
        <v>215</v>
      </c>
      <c r="C3" s="20"/>
      <c r="D3" s="20"/>
      <c r="E3" s="39" t="s">
        <v>263</v>
      </c>
      <c r="F3" s="20"/>
      <c r="G3" s="20" t="s">
        <v>216</v>
      </c>
      <c r="H3" s="20"/>
      <c r="I3" s="20"/>
      <c r="J3" s="39">
        <f>+Main!I2</f>
        <v>99.65</v>
      </c>
      <c r="K3" s="20"/>
      <c r="L3" s="20" t="s">
        <v>216</v>
      </c>
      <c r="M3" s="20"/>
      <c r="N3" s="20"/>
      <c r="O3" s="39">
        <f>+J3</f>
        <v>99.65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spans="1:31" x14ac:dyDescent="0.25">
      <c r="A4" s="20"/>
      <c r="B4" s="20" t="s">
        <v>217</v>
      </c>
      <c r="C4" s="20"/>
      <c r="D4" s="20"/>
      <c r="E4" s="40">
        <f ca="1">+TODAY()</f>
        <v>46269</v>
      </c>
      <c r="F4" s="20"/>
      <c r="G4" s="20" t="s">
        <v>218</v>
      </c>
      <c r="H4" s="20"/>
      <c r="I4" s="20"/>
      <c r="J4" s="41">
        <f ca="1">V62</f>
        <v>185.21581224575729</v>
      </c>
      <c r="K4" s="20"/>
      <c r="L4" s="20" t="s">
        <v>219</v>
      </c>
      <c r="M4" s="20"/>
      <c r="N4" s="20"/>
      <c r="O4" s="42">
        <f>+J15+O15+T15</f>
        <v>0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25">
      <c r="A5" s="20"/>
      <c r="B5" s="20" t="s">
        <v>220</v>
      </c>
      <c r="C5" s="20"/>
      <c r="D5" s="20"/>
      <c r="E5" s="84">
        <v>46417</v>
      </c>
      <c r="F5" s="20"/>
      <c r="G5" s="20" t="s">
        <v>221</v>
      </c>
      <c r="H5" s="20"/>
      <c r="I5" s="20"/>
      <c r="J5" s="44">
        <f ca="1">J4/J3-1</f>
        <v>0.85866344451336962</v>
      </c>
      <c r="K5" s="20"/>
      <c r="L5" s="20" t="s">
        <v>221</v>
      </c>
      <c r="M5" s="20"/>
      <c r="N5" s="20"/>
      <c r="O5" s="44">
        <f>O4/O3-1</f>
        <v>-1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 spans="1:31" x14ac:dyDescent="0.25">
      <c r="A7" s="45" t="s">
        <v>130</v>
      </c>
      <c r="B7" s="46" t="s">
        <v>222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20"/>
      <c r="X7" s="20"/>
      <c r="Y7" s="20"/>
      <c r="Z7" s="20"/>
      <c r="AA7" s="20"/>
      <c r="AB7" s="20"/>
      <c r="AC7" s="20"/>
      <c r="AD7" s="20"/>
      <c r="AE7" s="20"/>
    </row>
    <row r="8" spans="1:31" x14ac:dyDescent="0.25">
      <c r="A8" s="45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 x14ac:dyDescent="0.25">
      <c r="A9" s="45"/>
      <c r="B9" s="47" t="s">
        <v>223</v>
      </c>
      <c r="C9" s="48"/>
      <c r="D9" s="48"/>
      <c r="E9" s="48"/>
      <c r="F9" s="20"/>
      <c r="G9" s="47" t="s">
        <v>264</v>
      </c>
      <c r="H9" s="47"/>
      <c r="I9" s="48"/>
      <c r="J9" s="48"/>
      <c r="K9" s="20"/>
      <c r="L9" s="47" t="s">
        <v>225</v>
      </c>
      <c r="M9" s="48"/>
      <c r="N9" s="48"/>
      <c r="O9" s="48"/>
      <c r="P9" s="20"/>
      <c r="Q9" s="47" t="s">
        <v>226</v>
      </c>
      <c r="R9" s="48"/>
      <c r="S9" s="48"/>
      <c r="T9" s="48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x14ac:dyDescent="0.25">
      <c r="A10" s="45"/>
      <c r="B10" s="49" t="s">
        <v>222</v>
      </c>
      <c r="C10" s="20"/>
      <c r="D10" s="20"/>
      <c r="E10" s="20"/>
      <c r="F10" s="20"/>
      <c r="G10" s="49" t="s">
        <v>222</v>
      </c>
      <c r="H10" s="49"/>
      <c r="I10" s="49" t="s">
        <v>227</v>
      </c>
      <c r="J10" s="49" t="s">
        <v>228</v>
      </c>
      <c r="K10" s="20"/>
      <c r="L10" s="49" t="s">
        <v>222</v>
      </c>
      <c r="M10" s="20"/>
      <c r="N10" s="49" t="s">
        <v>227</v>
      </c>
      <c r="O10" s="49" t="s">
        <v>228</v>
      </c>
      <c r="P10" s="20"/>
      <c r="Q10" s="49" t="s">
        <v>222</v>
      </c>
      <c r="R10" s="20"/>
      <c r="S10" s="49" t="s">
        <v>227</v>
      </c>
      <c r="T10" s="49" t="s">
        <v>228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x14ac:dyDescent="0.25">
      <c r="A11" s="20"/>
      <c r="B11" s="20" t="s">
        <v>229</v>
      </c>
      <c r="C11" s="20"/>
      <c r="D11" s="20"/>
      <c r="E11" s="43">
        <v>1</v>
      </c>
      <c r="F11" s="20"/>
      <c r="G11" s="20" t="s">
        <v>230</v>
      </c>
      <c r="H11" s="20"/>
      <c r="I11" s="20"/>
      <c r="J11" s="20"/>
      <c r="K11" s="1"/>
      <c r="L11" s="20" t="s">
        <v>230</v>
      </c>
      <c r="M11" s="20"/>
      <c r="N11" s="20"/>
      <c r="O11" s="20"/>
      <c r="P11" s="20"/>
      <c r="Q11" s="20" t="s">
        <v>230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 x14ac:dyDescent="0.25">
      <c r="A12" s="20"/>
      <c r="B12" s="20" t="s">
        <v>231</v>
      </c>
      <c r="C12" s="20"/>
      <c r="D12" s="20"/>
      <c r="E12" s="43">
        <v>2</v>
      </c>
      <c r="F12" s="20"/>
      <c r="G12" s="20" t="s">
        <v>231</v>
      </c>
      <c r="H12" s="20"/>
      <c r="I12" s="20"/>
      <c r="J12" s="20"/>
      <c r="K12" s="20"/>
      <c r="L12" s="20" t="s">
        <v>231</v>
      </c>
      <c r="M12" s="20"/>
      <c r="N12" s="20"/>
      <c r="O12" s="20"/>
      <c r="P12" s="20"/>
      <c r="Q12" s="20" t="s">
        <v>231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x14ac:dyDescent="0.25">
      <c r="A13" s="20"/>
      <c r="B13" s="20" t="s">
        <v>232</v>
      </c>
      <c r="C13" s="20"/>
      <c r="D13" s="20"/>
      <c r="E13" s="43">
        <v>2</v>
      </c>
      <c r="F13" s="20"/>
      <c r="G13" s="20" t="s">
        <v>233</v>
      </c>
      <c r="H13" s="20"/>
      <c r="I13" s="20"/>
      <c r="J13" s="50"/>
      <c r="K13" s="20"/>
      <c r="L13" s="20"/>
      <c r="M13" s="20"/>
      <c r="N13" s="20"/>
      <c r="O13" s="50"/>
      <c r="P13" s="20"/>
      <c r="Q13" s="20"/>
      <c r="R13" s="20"/>
      <c r="S13" s="20"/>
      <c r="T13" s="5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 x14ac:dyDescent="0.25">
      <c r="A14" s="20"/>
      <c r="B14" s="20" t="s">
        <v>234</v>
      </c>
      <c r="C14" s="20"/>
      <c r="D14" s="20"/>
      <c r="E14" s="43">
        <v>2</v>
      </c>
      <c r="F14" s="20"/>
      <c r="G14" s="20" t="s">
        <v>235</v>
      </c>
      <c r="H14" s="20"/>
      <c r="I14" s="20"/>
      <c r="J14" s="50"/>
      <c r="K14" s="20"/>
      <c r="L14" s="20" t="s">
        <v>235</v>
      </c>
      <c r="M14" s="20"/>
      <c r="N14" s="20"/>
      <c r="O14" s="50"/>
      <c r="P14" s="20"/>
      <c r="Q14" s="20" t="s">
        <v>235</v>
      </c>
      <c r="R14" s="20"/>
      <c r="S14" s="20"/>
      <c r="T14" s="5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x14ac:dyDescent="0.25">
      <c r="A15" s="20"/>
      <c r="B15" s="20" t="s">
        <v>236</v>
      </c>
      <c r="C15" s="20"/>
      <c r="D15" s="20"/>
      <c r="E15" s="43">
        <v>2</v>
      </c>
      <c r="F15" s="20"/>
      <c r="G15" s="20" t="s">
        <v>237</v>
      </c>
      <c r="H15" s="20"/>
      <c r="I15" s="20"/>
      <c r="J15" s="50"/>
      <c r="K15" s="20"/>
      <c r="L15" s="20" t="s">
        <v>237</v>
      </c>
      <c r="M15" s="20"/>
      <c r="N15" s="20"/>
      <c r="O15" s="50"/>
      <c r="P15" s="20"/>
      <c r="Q15" s="20" t="s">
        <v>237</v>
      </c>
      <c r="R15" s="20"/>
      <c r="S15" s="20"/>
      <c r="T15" s="5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 x14ac:dyDescent="0.25">
      <c r="A17" s="20"/>
      <c r="B17" s="49" t="s">
        <v>238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x14ac:dyDescent="0.25">
      <c r="A18" s="20"/>
      <c r="B18" s="20" t="s">
        <v>232</v>
      </c>
      <c r="C18" s="20"/>
      <c r="D18" s="20"/>
      <c r="E18" s="50">
        <f>CHOOSE(E13,J18,O18,T18)</f>
        <v>0.08</v>
      </c>
      <c r="F18" s="20"/>
      <c r="G18" s="20" t="s">
        <v>232</v>
      </c>
      <c r="H18" s="20"/>
      <c r="I18" s="20"/>
      <c r="J18" s="50">
        <v>0.09</v>
      </c>
      <c r="K18" s="20"/>
      <c r="L18" s="20" t="s">
        <v>232</v>
      </c>
      <c r="M18" s="20"/>
      <c r="N18" s="20"/>
      <c r="O18" s="50">
        <v>0.08</v>
      </c>
      <c r="P18" s="20"/>
      <c r="Q18" s="20" t="s">
        <v>232</v>
      </c>
      <c r="R18" s="20"/>
      <c r="S18" s="20"/>
      <c r="T18" s="5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x14ac:dyDescent="0.25">
      <c r="A19" s="20"/>
      <c r="B19" s="20" t="s">
        <v>234</v>
      </c>
      <c r="C19" s="20"/>
      <c r="D19" s="20"/>
      <c r="E19" s="50">
        <f>CHOOSE(E14,J19,O19,T19)</f>
        <v>1.4999999999999999E-2</v>
      </c>
      <c r="F19" s="20"/>
      <c r="G19" s="20" t="s">
        <v>234</v>
      </c>
      <c r="H19" s="20"/>
      <c r="I19" s="20"/>
      <c r="J19" s="50">
        <v>0.01</v>
      </c>
      <c r="K19" s="20"/>
      <c r="L19" s="20" t="s">
        <v>234</v>
      </c>
      <c r="M19" s="20"/>
      <c r="N19" s="20"/>
      <c r="O19" s="50">
        <v>1.4999999999999999E-2</v>
      </c>
      <c r="P19" s="20"/>
      <c r="Q19" s="20" t="s">
        <v>234</v>
      </c>
      <c r="R19" s="20"/>
      <c r="S19" s="20"/>
      <c r="T19" s="5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 x14ac:dyDescent="0.25">
      <c r="A20" s="20"/>
      <c r="B20" s="20" t="s">
        <v>239</v>
      </c>
      <c r="C20" s="20"/>
      <c r="D20" s="20"/>
      <c r="E20" s="50">
        <f>CHOOSE(E15,J20,O20,T20)</f>
        <v>0.1</v>
      </c>
      <c r="F20" s="20"/>
      <c r="G20" s="20" t="s">
        <v>239</v>
      </c>
      <c r="H20" s="20"/>
      <c r="I20" s="20"/>
      <c r="J20" s="50">
        <v>0.1</v>
      </c>
      <c r="K20" s="20"/>
      <c r="L20" s="20" t="s">
        <v>239</v>
      </c>
      <c r="M20" s="20"/>
      <c r="N20" s="20"/>
      <c r="O20" s="50">
        <v>0.1</v>
      </c>
      <c r="P20" s="20"/>
      <c r="Q20" s="20" t="s">
        <v>239</v>
      </c>
      <c r="R20" s="20"/>
      <c r="S20" s="20"/>
      <c r="T20" s="5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 x14ac:dyDescent="0.25">
      <c r="A24" s="45" t="s">
        <v>130</v>
      </c>
      <c r="B24" s="46" t="s">
        <v>240</v>
      </c>
      <c r="C24" s="46"/>
      <c r="D24" s="46"/>
      <c r="E24" s="46"/>
      <c r="F24" s="46"/>
      <c r="G24" s="51">
        <v>20</v>
      </c>
      <c r="H24" s="51">
        <f>G24+1</f>
        <v>21</v>
      </c>
      <c r="I24" s="51">
        <f t="shared" ref="I24:V24" si="0">H24+1</f>
        <v>22</v>
      </c>
      <c r="J24" s="51">
        <f t="shared" si="0"/>
        <v>23</v>
      </c>
      <c r="K24" s="51">
        <f t="shared" si="0"/>
        <v>24</v>
      </c>
      <c r="L24" s="51">
        <f t="shared" si="0"/>
        <v>25</v>
      </c>
      <c r="M24" s="51">
        <f t="shared" si="0"/>
        <v>26</v>
      </c>
      <c r="N24" s="51">
        <f t="shared" si="0"/>
        <v>27</v>
      </c>
      <c r="O24" s="51">
        <f t="shared" si="0"/>
        <v>28</v>
      </c>
      <c r="P24" s="51">
        <f t="shared" si="0"/>
        <v>29</v>
      </c>
      <c r="Q24" s="51">
        <f t="shared" si="0"/>
        <v>30</v>
      </c>
      <c r="R24" s="51">
        <f t="shared" si="0"/>
        <v>31</v>
      </c>
      <c r="S24" s="51">
        <f t="shared" si="0"/>
        <v>32</v>
      </c>
      <c r="T24" s="51">
        <f t="shared" si="0"/>
        <v>33</v>
      </c>
      <c r="U24" s="51">
        <f t="shared" si="0"/>
        <v>34</v>
      </c>
      <c r="V24" s="51">
        <f t="shared" si="0"/>
        <v>35</v>
      </c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 x14ac:dyDescent="0.25">
      <c r="A25" s="20"/>
      <c r="B25" s="20" t="s">
        <v>230</v>
      </c>
      <c r="C25" s="20"/>
      <c r="D25" s="20"/>
      <c r="E25" s="20"/>
      <c r="F25" s="20"/>
      <c r="G25" s="24">
        <f>+Model!V27</f>
        <v>4401.8789999999999</v>
      </c>
      <c r="H25" s="24">
        <f>+Model!W27</f>
        <v>6256.6170000000002</v>
      </c>
      <c r="I25" s="24">
        <f>+Model!X27</f>
        <v>8110.518</v>
      </c>
      <c r="J25" s="24">
        <f>+Model!Y27</f>
        <v>9619.2780000000002</v>
      </c>
      <c r="K25" s="24">
        <f>+Model!Z27</f>
        <v>10588.126</v>
      </c>
      <c r="L25" s="24">
        <f>+Model!AA27</f>
        <v>11102.6</v>
      </c>
      <c r="M25" s="24">
        <f ca="1">L25*(1+M26)</f>
        <v>11102.6</v>
      </c>
      <c r="N25" s="24">
        <f t="shared" ref="N25:V25" ca="1" si="1">M25*(1+N26)</f>
        <v>11102.6</v>
      </c>
      <c r="O25" s="24">
        <f t="shared" ca="1" si="1"/>
        <v>11102.6</v>
      </c>
      <c r="P25" s="24">
        <f t="shared" ca="1" si="1"/>
        <v>11102.6</v>
      </c>
      <c r="Q25" s="24">
        <f t="shared" ca="1" si="1"/>
        <v>11102.6</v>
      </c>
      <c r="R25" s="24">
        <f t="shared" ca="1" si="1"/>
        <v>11102.6</v>
      </c>
      <c r="S25" s="24">
        <f t="shared" ca="1" si="1"/>
        <v>11102.6</v>
      </c>
      <c r="T25" s="24">
        <f t="shared" ca="1" si="1"/>
        <v>11102.6</v>
      </c>
      <c r="U25" s="24">
        <f t="shared" ca="1" si="1"/>
        <v>11102.6</v>
      </c>
      <c r="V25" s="24">
        <f t="shared" ca="1" si="1"/>
        <v>11102.6</v>
      </c>
      <c r="W25" s="20"/>
      <c r="X25" s="20"/>
      <c r="Y25" s="20"/>
      <c r="Z25" s="20"/>
      <c r="AA25" s="20"/>
      <c r="AB25" s="20"/>
      <c r="AC25" s="20"/>
      <c r="AD25" s="20"/>
      <c r="AE25" s="20"/>
    </row>
    <row r="26" spans="1:31" x14ac:dyDescent="0.25">
      <c r="A26" s="20"/>
      <c r="B26" s="52" t="s">
        <v>241</v>
      </c>
      <c r="C26" s="53"/>
      <c r="D26" s="20"/>
      <c r="E26" s="20"/>
      <c r="F26" s="20"/>
      <c r="G26" s="54"/>
      <c r="H26" s="55">
        <f t="shared" ref="H26:L26" si="2">H25/G25-1</f>
        <v>0.42135142742451581</v>
      </c>
      <c r="I26" s="55">
        <f t="shared" si="2"/>
        <v>0.29631045020016411</v>
      </c>
      <c r="J26" s="55">
        <f t="shared" si="2"/>
        <v>0.18602510961691965</v>
      </c>
      <c r="K26" s="55">
        <f t="shared" si="2"/>
        <v>0.1007194095024595</v>
      </c>
      <c r="L26" s="55">
        <f t="shared" si="2"/>
        <v>4.8589712664923068E-2</v>
      </c>
      <c r="M26" s="55" cm="1">
        <f t="array" aca="1" ref="M26" ca="1">OFFSET(M26,$E$11,,)</f>
        <v>0</v>
      </c>
      <c r="N26" s="55" cm="1">
        <f t="array" aca="1" ref="N26" ca="1">OFFSET(N26,$E$11,,)</f>
        <v>0</v>
      </c>
      <c r="O26" s="55" cm="1">
        <f t="array" aca="1" ref="O26" ca="1">OFFSET(O26,$E$11,,)</f>
        <v>0</v>
      </c>
      <c r="P26" s="55" cm="1">
        <f t="array" aca="1" ref="P26" ca="1">OFFSET(P26,$E$11,,)</f>
        <v>0</v>
      </c>
      <c r="Q26" s="55" cm="1">
        <f t="array" aca="1" ref="Q26" ca="1">OFFSET(Q26,$E$11,,)</f>
        <v>0</v>
      </c>
      <c r="R26" s="55" cm="1">
        <f t="array" aca="1" ref="R26" ca="1">OFFSET(R26,$E$11,,)</f>
        <v>0</v>
      </c>
      <c r="S26" s="55" cm="1">
        <f t="array" aca="1" ref="S26" ca="1">OFFSET(S26,$E$11,,)</f>
        <v>0</v>
      </c>
      <c r="T26" s="55" cm="1">
        <f t="array" aca="1" ref="T26" ca="1">OFFSET(T26,$E$11,,)</f>
        <v>0</v>
      </c>
      <c r="U26" s="55" cm="1">
        <f t="array" aca="1" ref="U26" ca="1">OFFSET(U26,$E$11,,)</f>
        <v>0</v>
      </c>
      <c r="V26" s="55" cm="1">
        <f t="array" aca="1" ref="V26" ca="1">OFFSET(V26,$E$11,,)</f>
        <v>0</v>
      </c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25">
      <c r="A27" s="20"/>
      <c r="B27" s="52" t="s">
        <v>224</v>
      </c>
      <c r="C27" s="53"/>
      <c r="D27" s="20"/>
      <c r="E27" s="20"/>
      <c r="F27" s="20"/>
      <c r="G27" s="20"/>
      <c r="H27" s="20"/>
      <c r="I27" s="28"/>
      <c r="J27" s="28"/>
      <c r="K27" s="28"/>
      <c r="L27" s="28"/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 x14ac:dyDescent="0.25">
      <c r="A28" s="20"/>
      <c r="B28" s="52" t="s">
        <v>242</v>
      </c>
      <c r="C28" s="53"/>
      <c r="D28" s="20"/>
      <c r="E28" s="20"/>
      <c r="F28" s="20"/>
      <c r="G28" s="20"/>
      <c r="H28" s="20"/>
      <c r="I28" s="28"/>
      <c r="J28" s="28"/>
      <c r="K28" s="28"/>
      <c r="L28" s="28"/>
      <c r="M28" s="56">
        <f>+Model!AB46</f>
        <v>3.0000000000000027E-2</v>
      </c>
      <c r="N28" s="56">
        <f>+Model!AC46</f>
        <v>1.1840000000000073E-2</v>
      </c>
      <c r="O28" s="56">
        <f>+Model!AD46</f>
        <v>1.1840000000000073E-2</v>
      </c>
      <c r="P28" s="56">
        <f>+Model!AE46</f>
        <v>1.1839999999999851E-2</v>
      </c>
      <c r="Q28" s="56">
        <f>+Model!AF46</f>
        <v>1.1840000000000073E-2</v>
      </c>
      <c r="R28" s="56">
        <f>+Model!AG46</f>
        <v>1.1840000000000073E-2</v>
      </c>
      <c r="S28" s="56">
        <f>+Model!AH46</f>
        <v>1.1840000000000073E-2</v>
      </c>
      <c r="T28" s="56">
        <v>1.2E-2</v>
      </c>
      <c r="U28" s="56">
        <v>1.2E-2</v>
      </c>
      <c r="V28" s="56">
        <v>1.2E-2</v>
      </c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x14ac:dyDescent="0.25">
      <c r="A29" s="20"/>
      <c r="B29" s="52" t="s">
        <v>243</v>
      </c>
      <c r="C29" s="53"/>
      <c r="D29" s="20"/>
      <c r="E29" s="20"/>
      <c r="F29" s="20"/>
      <c r="G29" s="20"/>
      <c r="H29" s="20"/>
      <c r="I29" s="28"/>
      <c r="J29" s="28"/>
      <c r="K29" s="28"/>
      <c r="L29" s="28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25">
      <c r="A31" s="20"/>
      <c r="B31" s="20" t="s">
        <v>231</v>
      </c>
      <c r="C31" s="20"/>
      <c r="D31" s="20"/>
      <c r="E31" s="20"/>
      <c r="F31" s="20"/>
      <c r="G31" s="24">
        <f>+Model!V32</f>
        <v>819.9860000000001</v>
      </c>
      <c r="H31" s="24">
        <f>+Model!W32</f>
        <v>1333.355</v>
      </c>
      <c r="I31" s="24">
        <f>+Model!X32</f>
        <v>1328.4079999999999</v>
      </c>
      <c r="J31" s="24">
        <f>+Model!Y32</f>
        <v>2132.6760000000008</v>
      </c>
      <c r="K31" s="24">
        <f>+Model!Z32</f>
        <v>2505.6970000000006</v>
      </c>
      <c r="L31" s="24">
        <f>+Model!AA32</f>
        <v>2210.6150000000007</v>
      </c>
      <c r="M31" s="24">
        <f ca="1">M32*M25</f>
        <v>1443.3380000000002</v>
      </c>
      <c r="N31" s="24">
        <f t="shared" ref="N31:V31" ca="1" si="3">N32*N25</f>
        <v>1998.4680000000001</v>
      </c>
      <c r="O31" s="24">
        <f t="shared" ca="1" si="3"/>
        <v>2109.4940000000001</v>
      </c>
      <c r="P31" s="24">
        <f t="shared" ca="1" si="3"/>
        <v>2220.52</v>
      </c>
      <c r="Q31" s="24">
        <f t="shared" ca="1" si="3"/>
        <v>2331.5459999999998</v>
      </c>
      <c r="R31" s="24">
        <f t="shared" ca="1" si="3"/>
        <v>2442.5720000000001</v>
      </c>
      <c r="S31" s="24">
        <f t="shared" ca="1" si="3"/>
        <v>2553.5980000000004</v>
      </c>
      <c r="T31" s="24">
        <f t="shared" ca="1" si="3"/>
        <v>2664.6239999999998</v>
      </c>
      <c r="U31" s="24">
        <f t="shared" ca="1" si="3"/>
        <v>2775.65</v>
      </c>
      <c r="V31" s="24">
        <f t="shared" ca="1" si="3"/>
        <v>2775.65</v>
      </c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x14ac:dyDescent="0.25">
      <c r="A32" s="20"/>
      <c r="B32" s="52" t="s">
        <v>244</v>
      </c>
      <c r="C32" s="20"/>
      <c r="D32" s="20"/>
      <c r="E32" s="20"/>
      <c r="F32" s="20"/>
      <c r="G32" s="55">
        <f>G31/G25</f>
        <v>0.18628090413207635</v>
      </c>
      <c r="H32" s="55">
        <f t="shared" ref="H32:L32" si="4">H31/H25</f>
        <v>0.21311117493687085</v>
      </c>
      <c r="I32" s="55">
        <f t="shared" si="4"/>
        <v>0.163788305506504</v>
      </c>
      <c r="J32" s="55">
        <f t="shared" si="4"/>
        <v>0.22170853155507106</v>
      </c>
      <c r="K32" s="55">
        <f t="shared" si="4"/>
        <v>0.23665160388155568</v>
      </c>
      <c r="L32" s="55">
        <f t="shared" si="4"/>
        <v>0.19910786662583543</v>
      </c>
      <c r="M32" s="55" cm="1">
        <f t="array" aca="1" ref="M32" ca="1">OFFSET(M32,$E$12,,)</f>
        <v>0.13</v>
      </c>
      <c r="N32" s="55" cm="1">
        <f t="array" aca="1" ref="N32" ca="1">OFFSET(N32,$E$12,,)</f>
        <v>0.18</v>
      </c>
      <c r="O32" s="55" cm="1">
        <f t="array" aca="1" ref="O32" ca="1">OFFSET(O32,$E$12,,)</f>
        <v>0.19</v>
      </c>
      <c r="P32" s="55" cm="1">
        <f t="array" aca="1" ref="P32" ca="1">OFFSET(P32,$E$12,,)</f>
        <v>0.2</v>
      </c>
      <c r="Q32" s="55" cm="1">
        <f t="array" aca="1" ref="Q32" ca="1">OFFSET(Q32,$E$12,,)</f>
        <v>0.21</v>
      </c>
      <c r="R32" s="55" cm="1">
        <f t="array" aca="1" ref="R32" ca="1">OFFSET(R32,$E$12,,)</f>
        <v>0.22</v>
      </c>
      <c r="S32" s="55" cm="1">
        <f t="array" aca="1" ref="S32" ca="1">OFFSET(S32,$E$12,,)</f>
        <v>0.23</v>
      </c>
      <c r="T32" s="55" cm="1">
        <f t="array" aca="1" ref="T32" ca="1">OFFSET(T32,$E$12,,)</f>
        <v>0.24</v>
      </c>
      <c r="U32" s="55" cm="1">
        <f t="array" aca="1" ref="U32" ca="1">OFFSET(U32,$E$12,,)</f>
        <v>0.25</v>
      </c>
      <c r="V32" s="55" cm="1">
        <f t="array" aca="1" ref="V32" ca="1">OFFSET(V32,$E$12,,)</f>
        <v>0.25</v>
      </c>
      <c r="W32" s="20"/>
      <c r="X32" s="20"/>
      <c r="Y32" s="20"/>
      <c r="Z32" s="20"/>
      <c r="AA32" s="20"/>
      <c r="AB32" s="20"/>
      <c r="AC32" s="20"/>
      <c r="AD32" s="20"/>
      <c r="AE32" s="20"/>
    </row>
    <row r="33" spans="1:31" x14ac:dyDescent="0.25">
      <c r="A33" s="20"/>
      <c r="B33" s="52" t="s">
        <v>224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56">
        <v>0.11</v>
      </c>
      <c r="N33" s="56">
        <v>0.15</v>
      </c>
      <c r="O33" s="56">
        <v>0.16</v>
      </c>
      <c r="P33" s="56">
        <v>0.16</v>
      </c>
      <c r="Q33" s="56">
        <v>0.16</v>
      </c>
      <c r="R33" s="56">
        <v>0.16</v>
      </c>
      <c r="S33" s="56">
        <v>0.16</v>
      </c>
      <c r="T33" s="56">
        <v>0.16</v>
      </c>
      <c r="U33" s="56">
        <v>0.16</v>
      </c>
      <c r="V33" s="56">
        <v>0.16</v>
      </c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x14ac:dyDescent="0.25">
      <c r="A34" s="20"/>
      <c r="B34" s="52" t="s">
        <v>242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6">
        <v>0.13</v>
      </c>
      <c r="N34" s="56">
        <v>0.18</v>
      </c>
      <c r="O34" s="56">
        <v>0.19</v>
      </c>
      <c r="P34" s="56">
        <v>0.2</v>
      </c>
      <c r="Q34" s="56">
        <v>0.21</v>
      </c>
      <c r="R34" s="56">
        <v>0.22</v>
      </c>
      <c r="S34" s="56">
        <v>0.23</v>
      </c>
      <c r="T34" s="56">
        <v>0.24</v>
      </c>
      <c r="U34" s="56">
        <v>0.25</v>
      </c>
      <c r="V34" s="56">
        <v>0.25</v>
      </c>
      <c r="W34" s="20"/>
      <c r="X34" s="20"/>
      <c r="Y34" s="20"/>
      <c r="Z34" s="20"/>
      <c r="AA34" s="20"/>
      <c r="AB34" s="20"/>
      <c r="AC34" s="20"/>
      <c r="AD34" s="20"/>
      <c r="AE34" s="20"/>
    </row>
    <row r="35" spans="1:31" x14ac:dyDescent="0.25">
      <c r="A35" s="20"/>
      <c r="B35" s="52" t="s">
        <v>243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20"/>
      <c r="X35" s="20"/>
      <c r="Y35" s="20"/>
      <c r="Z35" s="20"/>
      <c r="AA35" s="20"/>
      <c r="AB35" s="20"/>
      <c r="AC35" s="20"/>
      <c r="AD35" s="20"/>
      <c r="AE35" s="20"/>
    </row>
    <row r="36" spans="1:3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 x14ac:dyDescent="0.25">
      <c r="A37" s="20"/>
      <c r="B37" s="20" t="s">
        <v>245</v>
      </c>
      <c r="C37" s="20"/>
      <c r="D37" s="20"/>
      <c r="E37" s="20"/>
      <c r="F37" s="20"/>
      <c r="G37" s="24">
        <f>+Model!V35</f>
        <v>230.43700000000001</v>
      </c>
      <c r="H37" s="24">
        <f>+Model!W35</f>
        <v>358.54700000000003</v>
      </c>
      <c r="I37" s="24">
        <f>+Model!X35</f>
        <v>477.77100000000002</v>
      </c>
      <c r="J37" s="24">
        <f>+Model!Y35</f>
        <v>625.54499999999996</v>
      </c>
      <c r="K37" s="24">
        <f>+Model!Z35</f>
        <v>761.46100000000001</v>
      </c>
      <c r="L37" s="24">
        <f>+Model!AA35</f>
        <v>659.78399999999999</v>
      </c>
      <c r="M37" s="24">
        <f ca="1">M38*M31</f>
        <v>418.56802000000005</v>
      </c>
      <c r="N37" s="24">
        <f t="shared" ref="N37:V37" ca="1" si="5">N38*N31</f>
        <v>579.55571999999995</v>
      </c>
      <c r="O37" s="24">
        <f t="shared" ca="1" si="5"/>
        <v>611.75325999999995</v>
      </c>
      <c r="P37" s="24">
        <f t="shared" ca="1" si="5"/>
        <v>643.95079999999996</v>
      </c>
      <c r="Q37" s="24">
        <f t="shared" ca="1" si="5"/>
        <v>676.14833999999985</v>
      </c>
      <c r="R37" s="24">
        <f t="shared" ca="1" si="5"/>
        <v>708.34587999999997</v>
      </c>
      <c r="S37" s="24">
        <f t="shared" ca="1" si="5"/>
        <v>740.54342000000008</v>
      </c>
      <c r="T37" s="24">
        <f t="shared" ca="1" si="5"/>
        <v>772.74095999999986</v>
      </c>
      <c r="U37" s="24">
        <f t="shared" ca="1" si="5"/>
        <v>804.93849999999998</v>
      </c>
      <c r="V37" s="24">
        <f t="shared" ca="1" si="5"/>
        <v>804.93849999999998</v>
      </c>
      <c r="W37" s="20"/>
      <c r="X37" s="20"/>
      <c r="Y37" s="20"/>
      <c r="Z37" s="20"/>
      <c r="AA37" s="20"/>
      <c r="AB37" s="20"/>
      <c r="AC37" s="20"/>
      <c r="AD37" s="20"/>
      <c r="AE37" s="20"/>
    </row>
    <row r="38" spans="1:31" x14ac:dyDescent="0.25">
      <c r="A38" s="20"/>
      <c r="B38" s="53" t="s">
        <v>246</v>
      </c>
      <c r="C38" s="20"/>
      <c r="D38" s="20"/>
      <c r="E38" s="20"/>
      <c r="F38" s="20"/>
      <c r="G38" s="55">
        <f t="shared" ref="G38:L38" si="6">G37/G31</f>
        <v>0.28102552970416567</v>
      </c>
      <c r="H38" s="55">
        <f t="shared" si="6"/>
        <v>0.26890588027944545</v>
      </c>
      <c r="I38" s="55">
        <f t="shared" si="6"/>
        <v>0.35965682230158208</v>
      </c>
      <c r="J38" s="55">
        <f t="shared" si="6"/>
        <v>0.29331459630998791</v>
      </c>
      <c r="K38" s="55">
        <f t="shared" si="6"/>
        <v>0.30389189115842813</v>
      </c>
      <c r="L38" s="55">
        <f t="shared" si="6"/>
        <v>0.29846174028494321</v>
      </c>
      <c r="M38" s="55">
        <v>0.28999999999999998</v>
      </c>
      <c r="N38" s="55">
        <v>0.28999999999999998</v>
      </c>
      <c r="O38" s="55">
        <v>0.28999999999999998</v>
      </c>
      <c r="P38" s="55">
        <v>0.28999999999999998</v>
      </c>
      <c r="Q38" s="55">
        <v>0.28999999999999998</v>
      </c>
      <c r="R38" s="55">
        <v>0.28999999999999998</v>
      </c>
      <c r="S38" s="55">
        <v>0.28999999999999998</v>
      </c>
      <c r="T38" s="55">
        <v>0.28999999999999998</v>
      </c>
      <c r="U38" s="55">
        <v>0.28999999999999998</v>
      </c>
      <c r="V38" s="55">
        <v>0.28999999999999998</v>
      </c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 x14ac:dyDescent="0.25">
      <c r="A39" s="20"/>
      <c r="B39" s="53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1:31" x14ac:dyDescent="0.25">
      <c r="A40" s="20"/>
      <c r="B40" s="57" t="s">
        <v>247</v>
      </c>
      <c r="C40" s="58"/>
      <c r="D40" s="58"/>
      <c r="E40" s="58"/>
      <c r="F40" s="58"/>
      <c r="G40" s="59">
        <f t="shared" ref="G40:V40" si="7">G31-G37</f>
        <v>589.54900000000009</v>
      </c>
      <c r="H40" s="59">
        <f t="shared" si="7"/>
        <v>974.80799999999999</v>
      </c>
      <c r="I40" s="59">
        <f t="shared" si="7"/>
        <v>850.63699999999994</v>
      </c>
      <c r="J40" s="59">
        <f t="shared" si="7"/>
        <v>1507.1310000000008</v>
      </c>
      <c r="K40" s="59">
        <f t="shared" si="7"/>
        <v>1744.2360000000006</v>
      </c>
      <c r="L40" s="59">
        <f t="shared" si="7"/>
        <v>1550.8310000000006</v>
      </c>
      <c r="M40" s="59">
        <f t="shared" ca="1" si="7"/>
        <v>1024.76998</v>
      </c>
      <c r="N40" s="59">
        <f t="shared" ca="1" si="7"/>
        <v>1418.91228</v>
      </c>
      <c r="O40" s="59">
        <f t="shared" ca="1" si="7"/>
        <v>1497.7407400000002</v>
      </c>
      <c r="P40" s="59">
        <f t="shared" ca="1" si="7"/>
        <v>1576.5691999999999</v>
      </c>
      <c r="Q40" s="59">
        <f t="shared" ca="1" si="7"/>
        <v>1655.3976600000001</v>
      </c>
      <c r="R40" s="59">
        <f t="shared" ca="1" si="7"/>
        <v>1734.2261200000003</v>
      </c>
      <c r="S40" s="59">
        <f t="shared" ca="1" si="7"/>
        <v>1813.0545800000004</v>
      </c>
      <c r="T40" s="59">
        <f t="shared" ca="1" si="7"/>
        <v>1891.8830399999999</v>
      </c>
      <c r="U40" s="59">
        <f t="shared" ca="1" si="7"/>
        <v>1970.7115000000001</v>
      </c>
      <c r="V40" s="60">
        <f t="shared" ca="1" si="7"/>
        <v>1970.7115000000001</v>
      </c>
      <c r="W40" s="20"/>
      <c r="X40" s="20"/>
      <c r="Y40" s="20"/>
      <c r="Z40" s="20"/>
      <c r="AA40" s="20"/>
      <c r="AB40" s="20"/>
      <c r="AC40" s="20"/>
      <c r="AD40" s="20"/>
      <c r="AE40" s="20"/>
    </row>
    <row r="41" spans="1:3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pans="1:31" x14ac:dyDescent="0.25">
      <c r="A42" s="20"/>
      <c r="B42" s="20" t="s">
        <v>248</v>
      </c>
      <c r="C42" s="20"/>
      <c r="D42" s="20"/>
      <c r="E42" s="20"/>
      <c r="F42" s="20"/>
      <c r="G42" s="24">
        <f>+Model!V83</f>
        <v>185.47800000000001</v>
      </c>
      <c r="H42" s="24">
        <f>+Model!W83</f>
        <v>224.20599999999999</v>
      </c>
      <c r="I42" s="24">
        <f>+Model!X83</f>
        <v>291.791</v>
      </c>
      <c r="J42" s="24">
        <f>+Model!Y83</f>
        <v>379.38400000000001</v>
      </c>
      <c r="K42" s="24">
        <f>+Model!Z83</f>
        <v>446.524</v>
      </c>
      <c r="L42" s="24">
        <f>+Model!AA83</f>
        <v>496.22800000000001</v>
      </c>
      <c r="M42" s="24">
        <f ca="1">M43*M25</f>
        <v>499.61700000000002</v>
      </c>
      <c r="N42" s="24">
        <f t="shared" ref="N42:V42" ca="1" si="8">N43*N25</f>
        <v>499.61700000000002</v>
      </c>
      <c r="O42" s="24">
        <f t="shared" ca="1" si="8"/>
        <v>499.61700000000002</v>
      </c>
      <c r="P42" s="24">
        <f t="shared" ca="1" si="8"/>
        <v>499.61700000000002</v>
      </c>
      <c r="Q42" s="24">
        <f t="shared" ca="1" si="8"/>
        <v>499.61700000000002</v>
      </c>
      <c r="R42" s="24">
        <f t="shared" ca="1" si="8"/>
        <v>499.61700000000002</v>
      </c>
      <c r="S42" s="24">
        <f t="shared" ca="1" si="8"/>
        <v>499.61700000000002</v>
      </c>
      <c r="T42" s="24">
        <f t="shared" ca="1" si="8"/>
        <v>499.61700000000002</v>
      </c>
      <c r="U42" s="24">
        <f t="shared" ca="1" si="8"/>
        <v>499.61700000000002</v>
      </c>
      <c r="V42" s="24">
        <f t="shared" ca="1" si="8"/>
        <v>499.61700000000002</v>
      </c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x14ac:dyDescent="0.25">
      <c r="A43" s="20"/>
      <c r="B43" s="52" t="s">
        <v>244</v>
      </c>
      <c r="C43" s="54"/>
      <c r="D43" s="54"/>
      <c r="E43" s="54"/>
      <c r="F43" s="54"/>
      <c r="G43" s="61">
        <f t="shared" ref="G43:L43" si="9">G42/G25</f>
        <v>4.2136096880445832E-2</v>
      </c>
      <c r="H43" s="61">
        <f t="shared" si="9"/>
        <v>3.5835020746834909E-2</v>
      </c>
      <c r="I43" s="61">
        <f t="shared" si="9"/>
        <v>3.5976863623260559E-2</v>
      </c>
      <c r="J43" s="61">
        <f t="shared" si="9"/>
        <v>3.9439966284371866E-2</v>
      </c>
      <c r="K43" s="61">
        <f t="shared" si="9"/>
        <v>4.2172146421378058E-2</v>
      </c>
      <c r="L43" s="61">
        <f t="shared" si="9"/>
        <v>4.4694756183236359E-2</v>
      </c>
      <c r="M43" s="62">
        <v>4.4999999999999998E-2</v>
      </c>
      <c r="N43" s="62">
        <v>4.4999999999999998E-2</v>
      </c>
      <c r="O43" s="62">
        <v>4.4999999999999998E-2</v>
      </c>
      <c r="P43" s="62">
        <v>4.4999999999999998E-2</v>
      </c>
      <c r="Q43" s="62">
        <v>4.4999999999999998E-2</v>
      </c>
      <c r="R43" s="62">
        <v>4.4999999999999998E-2</v>
      </c>
      <c r="S43" s="62">
        <v>4.4999999999999998E-2</v>
      </c>
      <c r="T43" s="62">
        <v>4.4999999999999998E-2</v>
      </c>
      <c r="U43" s="62">
        <v>4.4999999999999998E-2</v>
      </c>
      <c r="V43" s="62">
        <v>4.4999999999999998E-2</v>
      </c>
      <c r="W43" s="20"/>
      <c r="X43" s="20"/>
      <c r="Y43" s="20"/>
      <c r="Z43" s="20"/>
      <c r="AA43" s="20"/>
      <c r="AB43" s="20"/>
      <c r="AC43" s="20"/>
      <c r="AD43" s="20"/>
      <c r="AE43" s="20"/>
    </row>
    <row r="44" spans="1:3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 spans="1:31" x14ac:dyDescent="0.25">
      <c r="A45" s="20"/>
      <c r="B45" s="20" t="s">
        <v>108</v>
      </c>
      <c r="C45" s="20"/>
      <c r="D45" s="20"/>
      <c r="E45" s="20"/>
      <c r="F45" s="20"/>
      <c r="G45" s="24">
        <f>+Model!V103</f>
        <v>-229.226</v>
      </c>
      <c r="H45" s="24">
        <f>+Model!W103</f>
        <v>-394.50200000000001</v>
      </c>
      <c r="I45" s="24">
        <f>+Model!X103</f>
        <v>-638.65700000000004</v>
      </c>
      <c r="J45" s="24">
        <f>+Model!Y103</f>
        <v>-651.86500000000001</v>
      </c>
      <c r="K45" s="24">
        <f>+Model!Z103</f>
        <v>-689.23199999999997</v>
      </c>
      <c r="L45" s="24">
        <f>+Model!AA103</f>
        <v>-680.80200000000002</v>
      </c>
      <c r="M45" s="24">
        <f ca="1">M46*M25</f>
        <v>-777.18200000000013</v>
      </c>
      <c r="N45" s="24">
        <f t="shared" ref="N45:V45" ca="1" si="10">N46*N25</f>
        <v>-777.18200000000013</v>
      </c>
      <c r="O45" s="24">
        <f t="shared" ca="1" si="10"/>
        <v>-777.18200000000013</v>
      </c>
      <c r="P45" s="24">
        <f t="shared" ca="1" si="10"/>
        <v>-777.18200000000013</v>
      </c>
      <c r="Q45" s="24">
        <f t="shared" ca="1" si="10"/>
        <v>-777.18200000000013</v>
      </c>
      <c r="R45" s="24">
        <f t="shared" ca="1" si="10"/>
        <v>-777.18200000000013</v>
      </c>
      <c r="S45" s="24">
        <f t="shared" ca="1" si="10"/>
        <v>-777.18200000000013</v>
      </c>
      <c r="T45" s="24">
        <f t="shared" ca="1" si="10"/>
        <v>-777.18200000000013</v>
      </c>
      <c r="U45" s="24">
        <f t="shared" ca="1" si="10"/>
        <v>-777.18200000000013</v>
      </c>
      <c r="V45" s="24">
        <f t="shared" ca="1" si="10"/>
        <v>-777.18200000000013</v>
      </c>
      <c r="W45" s="20"/>
      <c r="X45" s="20"/>
      <c r="Y45" s="20"/>
      <c r="Z45" s="20"/>
      <c r="AA45" s="20"/>
      <c r="AB45" s="20"/>
      <c r="AC45" s="20"/>
      <c r="AD45" s="20"/>
      <c r="AE45" s="20"/>
    </row>
    <row r="46" spans="1:31" x14ac:dyDescent="0.25">
      <c r="A46" s="20"/>
      <c r="B46" s="52" t="s">
        <v>244</v>
      </c>
      <c r="C46" s="20"/>
      <c r="D46" s="20"/>
      <c r="E46" s="20"/>
      <c r="F46" s="20"/>
      <c r="G46" s="61">
        <f t="shared" ref="G46:L46" si="11">G45/G25</f>
        <v>-5.2074579969144996E-2</v>
      </c>
      <c r="H46" s="61">
        <f t="shared" si="11"/>
        <v>-6.3053563930795184E-2</v>
      </c>
      <c r="I46" s="61">
        <f t="shared" si="11"/>
        <v>-7.8744292288112805E-2</v>
      </c>
      <c r="J46" s="61">
        <f t="shared" si="11"/>
        <v>-6.7766520522642135E-2</v>
      </c>
      <c r="K46" s="61">
        <f t="shared" si="11"/>
        <v>-6.5094805256378702E-2</v>
      </c>
      <c r="L46" s="61">
        <f t="shared" si="11"/>
        <v>-6.1319150469259454E-2</v>
      </c>
      <c r="M46" s="62">
        <v>-7.0000000000000007E-2</v>
      </c>
      <c r="N46" s="62">
        <v>-7.0000000000000007E-2</v>
      </c>
      <c r="O46" s="62">
        <v>-7.0000000000000007E-2</v>
      </c>
      <c r="P46" s="62">
        <v>-7.0000000000000007E-2</v>
      </c>
      <c r="Q46" s="62">
        <v>-7.0000000000000007E-2</v>
      </c>
      <c r="R46" s="62">
        <v>-7.0000000000000007E-2</v>
      </c>
      <c r="S46" s="62">
        <v>-7.0000000000000007E-2</v>
      </c>
      <c r="T46" s="62">
        <v>-7.0000000000000007E-2</v>
      </c>
      <c r="U46" s="62">
        <v>-7.0000000000000007E-2</v>
      </c>
      <c r="V46" s="62">
        <v>-7.0000000000000007E-2</v>
      </c>
      <c r="W46" s="20"/>
      <c r="X46" s="20"/>
      <c r="Y46" s="20"/>
      <c r="Z46" s="20"/>
      <c r="AA46" s="20"/>
      <c r="AB46" s="20"/>
      <c r="AC46" s="20"/>
      <c r="AD46" s="20"/>
      <c r="AE46" s="20"/>
    </row>
    <row r="47" spans="1:3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 spans="1:31" x14ac:dyDescent="0.25">
      <c r="A48" s="20"/>
      <c r="B48" s="20" t="s">
        <v>105</v>
      </c>
      <c r="C48" s="20"/>
      <c r="D48" s="20"/>
      <c r="E48" s="20"/>
      <c r="F48" s="20"/>
      <c r="G48" s="24">
        <f>+Model!V101</f>
        <v>-47.549000000000014</v>
      </c>
      <c r="H48" s="24">
        <f>+Model!W101</f>
        <v>129.13100000000006</v>
      </c>
      <c r="I48" s="24">
        <f>+Model!X101</f>
        <v>-659.91999999999985</v>
      </c>
      <c r="J48" s="24">
        <f>+Model!Y101</f>
        <v>199.22299999999998</v>
      </c>
      <c r="K48" s="24">
        <f>+Model!Z101</f>
        <v>-51.894999999999953</v>
      </c>
      <c r="L48" s="24">
        <f>+Model!AA101</f>
        <v>-409.43000000000006</v>
      </c>
      <c r="M48" s="24">
        <f ca="1">M49*M25</f>
        <v>-333.07799999999997</v>
      </c>
      <c r="N48" s="24">
        <f t="shared" ref="N48:V48" ca="1" si="12">N49*N25</f>
        <v>-333.07799999999997</v>
      </c>
      <c r="O48" s="24">
        <f t="shared" ca="1" si="12"/>
        <v>-333.07799999999997</v>
      </c>
      <c r="P48" s="24">
        <f t="shared" ca="1" si="12"/>
        <v>-333.07799999999997</v>
      </c>
      <c r="Q48" s="24">
        <f t="shared" ca="1" si="12"/>
        <v>-333.07799999999997</v>
      </c>
      <c r="R48" s="24">
        <f t="shared" ca="1" si="12"/>
        <v>-333.07799999999997</v>
      </c>
      <c r="S48" s="24">
        <f t="shared" ca="1" si="12"/>
        <v>-333.07799999999997</v>
      </c>
      <c r="T48" s="24">
        <f t="shared" ca="1" si="12"/>
        <v>-333.07799999999997</v>
      </c>
      <c r="U48" s="24">
        <f t="shared" ca="1" si="12"/>
        <v>-333.07799999999997</v>
      </c>
      <c r="V48" s="24">
        <f t="shared" ca="1" si="12"/>
        <v>-333.07799999999997</v>
      </c>
      <c r="W48" s="20"/>
      <c r="X48" s="20"/>
      <c r="Y48" s="20"/>
      <c r="Z48" s="20"/>
      <c r="AA48" s="20"/>
      <c r="AB48" s="20"/>
      <c r="AC48" s="20"/>
      <c r="AD48" s="20"/>
      <c r="AE48" s="20"/>
    </row>
    <row r="49" spans="1:31" x14ac:dyDescent="0.25">
      <c r="A49" s="20"/>
      <c r="B49" s="52" t="s">
        <v>244</v>
      </c>
      <c r="C49" s="20"/>
      <c r="D49" s="20"/>
      <c r="E49" s="20"/>
      <c r="F49" s="20"/>
      <c r="G49" s="61">
        <f t="shared" ref="G49:L49" si="13">G48/G25</f>
        <v>-1.080197797349723E-2</v>
      </c>
      <c r="H49" s="61">
        <f t="shared" si="13"/>
        <v>2.0639108962559168E-2</v>
      </c>
      <c r="I49" s="61">
        <f t="shared" si="13"/>
        <v>-8.1365949745749885E-2</v>
      </c>
      <c r="J49" s="61">
        <f t="shared" si="13"/>
        <v>2.0710805946142732E-2</v>
      </c>
      <c r="K49" s="61">
        <f t="shared" si="13"/>
        <v>-4.9012450361848687E-3</v>
      </c>
      <c r="L49" s="61">
        <f t="shared" si="13"/>
        <v>-3.6876947741970353E-2</v>
      </c>
      <c r="M49" s="62">
        <v>-0.03</v>
      </c>
      <c r="N49" s="62">
        <v>-0.03</v>
      </c>
      <c r="O49" s="62">
        <v>-0.03</v>
      </c>
      <c r="P49" s="62">
        <v>-0.03</v>
      </c>
      <c r="Q49" s="62">
        <v>-0.03</v>
      </c>
      <c r="R49" s="62">
        <v>-0.03</v>
      </c>
      <c r="S49" s="62">
        <v>-0.03</v>
      </c>
      <c r="T49" s="62">
        <v>-0.03</v>
      </c>
      <c r="U49" s="62">
        <v>-0.03</v>
      </c>
      <c r="V49" s="62">
        <v>-0.03</v>
      </c>
      <c r="W49" s="20"/>
      <c r="X49" s="20"/>
      <c r="Y49" s="20"/>
      <c r="Z49" s="20"/>
      <c r="AA49" s="20"/>
      <c r="AB49" s="20"/>
      <c r="AC49" s="20"/>
      <c r="AD49" s="20"/>
      <c r="AE49" s="20"/>
    </row>
    <row r="50" spans="1:31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spans="1:31" x14ac:dyDescent="0.25">
      <c r="A51" s="20"/>
      <c r="B51" s="63" t="s">
        <v>249</v>
      </c>
      <c r="C51" s="64"/>
      <c r="D51" s="64"/>
      <c r="E51" s="64"/>
      <c r="F51" s="64"/>
      <c r="G51" s="65">
        <f>G40+G42+G45+G48</f>
        <v>498.25200000000001</v>
      </c>
      <c r="H51" s="65">
        <f t="shared" ref="H51:U51" si="14">H40+H42+H45+H48</f>
        <v>933.64300000000003</v>
      </c>
      <c r="I51" s="65">
        <f t="shared" si="14"/>
        <v>-156.149</v>
      </c>
      <c r="J51" s="65">
        <f t="shared" si="14"/>
        <v>1433.8730000000007</v>
      </c>
      <c r="K51" s="65">
        <f t="shared" si="14"/>
        <v>1449.6330000000007</v>
      </c>
      <c r="L51" s="65">
        <f t="shared" si="14"/>
        <v>956.82700000000045</v>
      </c>
      <c r="M51" s="65">
        <f ca="1">M40+M42+M45+M48</f>
        <v>414.12697999999989</v>
      </c>
      <c r="N51" s="65">
        <f t="shared" ca="1" si="14"/>
        <v>808.26927999999998</v>
      </c>
      <c r="O51" s="65">
        <f t="shared" ca="1" si="14"/>
        <v>887.09774000000016</v>
      </c>
      <c r="P51" s="65">
        <f t="shared" ca="1" si="14"/>
        <v>965.92619999999988</v>
      </c>
      <c r="Q51" s="65">
        <f t="shared" ca="1" si="14"/>
        <v>1044.7546600000001</v>
      </c>
      <c r="R51" s="65">
        <f t="shared" ca="1" si="14"/>
        <v>1123.5831200000002</v>
      </c>
      <c r="S51" s="65">
        <f t="shared" ca="1" si="14"/>
        <v>1202.4115800000004</v>
      </c>
      <c r="T51" s="65">
        <f t="shared" ca="1" si="14"/>
        <v>1281.2400399999997</v>
      </c>
      <c r="U51" s="65">
        <f t="shared" ca="1" si="14"/>
        <v>1360.0684999999999</v>
      </c>
      <c r="V51" s="66">
        <f ca="1">V40+V42+V45+V48</f>
        <v>1360.0684999999999</v>
      </c>
      <c r="W51" s="20"/>
      <c r="X51" s="20"/>
      <c r="Y51" s="20"/>
      <c r="Z51" s="20"/>
      <c r="AA51" s="20"/>
      <c r="AB51" s="20"/>
      <c r="AC51" s="20"/>
      <c r="AD51" s="20"/>
      <c r="AE51" s="20"/>
    </row>
    <row r="52" spans="1:31" x14ac:dyDescent="0.25">
      <c r="A52" s="20"/>
      <c r="B52" s="67" t="s">
        <v>250</v>
      </c>
      <c r="C52" s="68"/>
      <c r="D52" s="68"/>
      <c r="E52" s="68"/>
      <c r="F52" s="68"/>
      <c r="G52" s="69"/>
      <c r="H52" s="69"/>
      <c r="I52" s="69"/>
      <c r="J52" s="69"/>
      <c r="K52" s="69"/>
      <c r="L52" s="69"/>
      <c r="M52" s="69">
        <f ca="1">(M51/(1+$E$18)^M53)*M53</f>
        <v>162.79036263424092</v>
      </c>
      <c r="N52" s="69">
        <f ca="1">N51/(1+$E$18)^N53</f>
        <v>725.39929240716026</v>
      </c>
      <c r="O52" s="69">
        <f t="shared" ref="O52:U52" ca="1" si="15">O51/(1+$E$18)^O53</f>
        <v>737.17189997115531</v>
      </c>
      <c r="P52" s="69">
        <f t="shared" ca="1" si="15"/>
        <v>743.22017449462851</v>
      </c>
      <c r="Q52" s="69">
        <f t="shared" ca="1" si="15"/>
        <v>744.32756939064029</v>
      </c>
      <c r="R52" s="69">
        <f t="shared" ca="1" si="15"/>
        <v>741.19288013473454</v>
      </c>
      <c r="S52" s="69">
        <f t="shared" ca="1" si="15"/>
        <v>734.43848739745056</v>
      </c>
      <c r="T52" s="69">
        <f t="shared" ca="1" si="15"/>
        <v>724.61784348744686</v>
      </c>
      <c r="U52" s="69">
        <f t="shared" ca="1" si="15"/>
        <v>712.22226897756786</v>
      </c>
      <c r="V52" s="70">
        <f ca="1">V51/(1+$E$18)^V53</f>
        <v>659.46506386811836</v>
      </c>
      <c r="W52" s="20"/>
      <c r="X52" s="20"/>
      <c r="Y52" s="20"/>
      <c r="Z52" s="20"/>
      <c r="AA52" s="20"/>
      <c r="AB52" s="20"/>
      <c r="AC52" s="20"/>
      <c r="AD52" s="20"/>
      <c r="AE52" s="20"/>
    </row>
    <row r="53" spans="1:31" x14ac:dyDescent="0.25">
      <c r="A53" s="20"/>
      <c r="B53" s="20" t="s">
        <v>251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32">
        <f ca="1">YEARFRAC(E4,E5)</f>
        <v>0.40555555555555556</v>
      </c>
      <c r="N53" s="32">
        <f ca="1">M53+1</f>
        <v>1.4055555555555554</v>
      </c>
      <c r="O53" s="32">
        <f ca="1">N53+1</f>
        <v>2.4055555555555554</v>
      </c>
      <c r="P53" s="32">
        <f t="shared" ref="P53:V53" ca="1" si="16">O53+1</f>
        <v>3.4055555555555554</v>
      </c>
      <c r="Q53" s="32">
        <f t="shared" ca="1" si="16"/>
        <v>4.405555555555555</v>
      </c>
      <c r="R53" s="32">
        <f t="shared" ca="1" si="16"/>
        <v>5.405555555555555</v>
      </c>
      <c r="S53" s="32">
        <f t="shared" ca="1" si="16"/>
        <v>6.405555555555555</v>
      </c>
      <c r="T53" s="32">
        <f t="shared" ca="1" si="16"/>
        <v>7.405555555555555</v>
      </c>
      <c r="U53" s="32">
        <f t="shared" ca="1" si="16"/>
        <v>8.405555555555555</v>
      </c>
      <c r="V53" s="32">
        <f t="shared" ca="1" si="16"/>
        <v>9.405555555555555</v>
      </c>
      <c r="W53" s="20"/>
      <c r="X53" s="20"/>
      <c r="Y53" s="20"/>
      <c r="Z53" s="20"/>
      <c r="AA53" s="20"/>
      <c r="AB53" s="20"/>
      <c r="AC53" s="20"/>
      <c r="AD53" s="20"/>
      <c r="AE53" s="20"/>
    </row>
    <row r="54" spans="1:31" x14ac:dyDescent="0.25">
      <c r="A54" s="20"/>
      <c r="B54" s="20" t="s">
        <v>252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33"/>
      <c r="O54" s="33"/>
      <c r="P54" s="33"/>
      <c r="Q54" s="33"/>
      <c r="R54" s="20"/>
      <c r="S54" s="20"/>
      <c r="T54" s="20"/>
      <c r="U54" s="20"/>
      <c r="V54" s="24">
        <f ca="1">SUM(M52:V52)</f>
        <v>6684.845842763144</v>
      </c>
      <c r="W54" s="20"/>
      <c r="X54" s="20"/>
      <c r="Y54" s="20"/>
      <c r="Z54" s="20"/>
      <c r="AA54" s="20"/>
      <c r="AB54" s="20"/>
      <c r="AC54" s="20"/>
      <c r="AD54" s="20"/>
      <c r="AE54" s="20"/>
    </row>
    <row r="55" spans="1:31" x14ac:dyDescent="0.25">
      <c r="A55" s="20"/>
      <c r="B55" s="20" t="s">
        <v>253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33"/>
      <c r="O55" s="33"/>
      <c r="P55" s="33"/>
      <c r="Q55" s="33"/>
      <c r="R55" s="20"/>
      <c r="S55" s="20"/>
      <c r="T55" s="20"/>
      <c r="U55" s="20"/>
      <c r="V55" s="24">
        <f ca="1">+(V40*(1+E19))*(1-(E19/E20))/(E18-E19)</f>
        <v>26157.405332692302</v>
      </c>
      <c r="W55" s="20"/>
      <c r="X55" s="27" t="s">
        <v>254</v>
      </c>
      <c r="Y55" s="20"/>
      <c r="Z55" s="20"/>
      <c r="AA55" s="20"/>
      <c r="AB55" s="20"/>
      <c r="AC55" s="20"/>
      <c r="AD55" s="20"/>
      <c r="AE55" s="20"/>
    </row>
    <row r="56" spans="1:31" x14ac:dyDescent="0.25">
      <c r="A56" s="20"/>
      <c r="B56" s="37" t="s">
        <v>255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71"/>
      <c r="O56" s="71"/>
      <c r="P56" s="71"/>
      <c r="Q56" s="71"/>
      <c r="R56" s="71"/>
      <c r="S56" s="71"/>
      <c r="T56" s="71"/>
      <c r="U56" s="71"/>
      <c r="V56" s="72">
        <f ca="1">V55/(1+E18)^V53</f>
        <v>12683.107489327333</v>
      </c>
      <c r="W56" s="20"/>
      <c r="X56" s="20"/>
      <c r="Y56" s="20"/>
      <c r="Z56" s="20"/>
      <c r="AA56" s="20"/>
      <c r="AB56" s="20"/>
      <c r="AC56" s="20"/>
      <c r="AD56" s="20"/>
      <c r="AE56" s="20"/>
    </row>
    <row r="57" spans="1:31" x14ac:dyDescent="0.25">
      <c r="A57" s="20"/>
      <c r="B57" s="73" t="s">
        <v>256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4"/>
      <c r="O57" s="74"/>
      <c r="P57" s="74"/>
      <c r="Q57" s="74"/>
      <c r="R57" s="74"/>
      <c r="S57" s="74"/>
      <c r="T57" s="74"/>
      <c r="U57" s="74"/>
      <c r="V57" s="75">
        <f ca="1">V54+V56</f>
        <v>19367.953332090477</v>
      </c>
      <c r="W57" s="20"/>
      <c r="X57" s="20"/>
      <c r="Y57" s="20"/>
      <c r="Z57" s="20"/>
      <c r="AA57" s="20"/>
      <c r="AB57" s="20"/>
      <c r="AC57" s="20"/>
      <c r="AD57" s="20"/>
      <c r="AE57" s="20"/>
    </row>
    <row r="58" spans="1:31" x14ac:dyDescent="0.25">
      <c r="A58" s="20"/>
      <c r="B58" s="20" t="s">
        <v>257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33"/>
      <c r="O58" s="33"/>
      <c r="P58" s="33"/>
      <c r="Q58" s="33"/>
      <c r="R58" s="20"/>
      <c r="S58" s="20"/>
      <c r="T58" s="20"/>
      <c r="U58" s="20"/>
      <c r="V58" s="76">
        <f>+Main!I5</f>
        <v>189.73699999999999</v>
      </c>
      <c r="W58" s="20"/>
      <c r="X58" s="20"/>
      <c r="Y58" s="20"/>
      <c r="Z58" s="20"/>
      <c r="AA58" s="20"/>
      <c r="AB58" s="20"/>
      <c r="AC58" s="20"/>
      <c r="AD58" s="20"/>
      <c r="AE58" s="20"/>
    </row>
    <row r="59" spans="1:31" x14ac:dyDescent="0.25">
      <c r="A59" s="20"/>
      <c r="B59" s="37" t="s">
        <v>258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71"/>
      <c r="O59" s="71"/>
      <c r="P59" s="71"/>
      <c r="Q59" s="71"/>
      <c r="R59" s="71"/>
      <c r="S59" s="71"/>
      <c r="T59" s="71"/>
      <c r="U59" s="71"/>
      <c r="V59" s="77">
        <f>+Main!I6</f>
        <v>0</v>
      </c>
      <c r="W59" s="20"/>
      <c r="X59" s="20"/>
      <c r="Y59" s="20"/>
      <c r="Z59" s="20"/>
      <c r="AA59" s="20"/>
      <c r="AB59" s="20"/>
      <c r="AC59" s="20"/>
      <c r="AD59" s="20"/>
      <c r="AE59" s="20"/>
    </row>
    <row r="60" spans="1:31" x14ac:dyDescent="0.25">
      <c r="A60" s="20"/>
      <c r="B60" s="20" t="s">
        <v>259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33"/>
      <c r="O60" s="33"/>
      <c r="P60" s="33"/>
      <c r="Q60" s="33"/>
      <c r="R60" s="20"/>
      <c r="S60" s="20"/>
      <c r="T60" s="20"/>
      <c r="U60" s="20"/>
      <c r="V60" s="76">
        <f ca="1">V57+V58-V59</f>
        <v>19557.690332090478</v>
      </c>
      <c r="W60" s="20"/>
      <c r="X60" s="20"/>
      <c r="Y60" s="20"/>
      <c r="Z60" s="20"/>
      <c r="AA60" s="20"/>
      <c r="AB60" s="20"/>
      <c r="AC60" s="20"/>
      <c r="AD60" s="20"/>
      <c r="AE60" s="20"/>
    </row>
    <row r="61" spans="1:31" x14ac:dyDescent="0.25">
      <c r="A61" s="20"/>
      <c r="B61" s="37" t="s">
        <v>260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71"/>
      <c r="O61" s="71"/>
      <c r="P61" s="71"/>
      <c r="Q61" s="71"/>
      <c r="R61" s="71"/>
      <c r="S61" s="71"/>
      <c r="T61" s="71"/>
      <c r="U61" s="71"/>
      <c r="V61" s="77">
        <f>+Main!I3</f>
        <v>105.594064</v>
      </c>
      <c r="W61" s="20"/>
      <c r="X61" s="20"/>
      <c r="Y61" s="20"/>
      <c r="Z61" s="20"/>
      <c r="AA61" s="20"/>
      <c r="AB61" s="20"/>
      <c r="AC61" s="20"/>
      <c r="AD61" s="20"/>
      <c r="AE61" s="20"/>
    </row>
    <row r="62" spans="1:31" x14ac:dyDescent="0.25">
      <c r="A62" s="20"/>
      <c r="B62" s="20" t="s">
        <v>216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76">
        <f ca="1">V60/V61</f>
        <v>185.21581224575729</v>
      </c>
      <c r="W62" s="20"/>
      <c r="X62" s="20"/>
      <c r="Y62" s="20"/>
      <c r="Z62" s="20"/>
      <c r="AA62" s="20"/>
      <c r="AB62" s="20"/>
      <c r="AC62" s="20"/>
      <c r="AD62" s="20"/>
      <c r="AE62" s="20"/>
    </row>
    <row r="63" spans="1:3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 spans="1:31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spans="1:3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spans="1:31" x14ac:dyDescent="0.25">
      <c r="A66" s="45" t="s">
        <v>130</v>
      </c>
      <c r="B66" s="46" t="s">
        <v>261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20"/>
      <c r="X66" s="20"/>
      <c r="Y66" s="20"/>
      <c r="Z66" s="20"/>
      <c r="AA66" s="20"/>
      <c r="AB66" s="20"/>
      <c r="AC66" s="20"/>
      <c r="AD66" s="20"/>
      <c r="AE66" s="20"/>
    </row>
    <row r="67" spans="1:31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 spans="1:31" x14ac:dyDescent="0.25">
      <c r="A68" s="20"/>
      <c r="B68" s="78"/>
      <c r="C68" s="94" t="s">
        <v>234</v>
      </c>
      <c r="D68" s="94"/>
      <c r="E68" s="94"/>
      <c r="F68" s="94"/>
      <c r="G68" s="94"/>
      <c r="H68" s="94"/>
      <c r="I68" s="94"/>
      <c r="J68" s="95"/>
      <c r="K68" s="20"/>
      <c r="L68" s="20"/>
      <c r="M68" s="78"/>
      <c r="N68" s="96" t="s">
        <v>262</v>
      </c>
      <c r="O68" s="96"/>
      <c r="P68" s="96"/>
      <c r="Q68" s="96"/>
      <c r="R68" s="96"/>
      <c r="S68" s="96"/>
      <c r="T68" s="96"/>
      <c r="U68" s="97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spans="1:31" x14ac:dyDescent="0.25">
      <c r="A69" s="20"/>
      <c r="B69" s="98" t="s">
        <v>232</v>
      </c>
      <c r="C69" s="79">
        <f ca="1">+J4</f>
        <v>185.21581224575729</v>
      </c>
      <c r="D69" s="80"/>
      <c r="E69" s="80"/>
      <c r="F69" s="80"/>
      <c r="G69" s="80"/>
      <c r="H69" s="80"/>
      <c r="I69" s="80"/>
      <c r="J69" s="80"/>
      <c r="K69" s="20"/>
      <c r="L69" s="20"/>
      <c r="M69" s="98" t="s">
        <v>232</v>
      </c>
      <c r="N69" s="79">
        <f ca="1">+J4</f>
        <v>185.21581224575729</v>
      </c>
      <c r="O69" s="80"/>
      <c r="P69" s="80"/>
      <c r="Q69" s="80"/>
      <c r="R69" s="80"/>
      <c r="S69" s="80"/>
      <c r="T69" s="80"/>
      <c r="U69" s="8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spans="1:31" x14ac:dyDescent="0.25">
      <c r="A70" s="20"/>
      <c r="B70" s="98"/>
      <c r="C70" s="81"/>
      <c r="D70" s="82"/>
      <c r="E70" s="82"/>
      <c r="F70" s="82"/>
      <c r="G70" s="83"/>
      <c r="H70" s="82"/>
      <c r="I70" s="82"/>
      <c r="J70" s="82"/>
      <c r="K70" s="20"/>
      <c r="L70" s="20"/>
      <c r="M70" s="98"/>
      <c r="N70" s="81"/>
      <c r="O70" s="82"/>
      <c r="P70" s="82"/>
      <c r="Q70" s="82"/>
      <c r="R70" s="83"/>
      <c r="S70" s="82"/>
      <c r="T70" s="82"/>
      <c r="U70" s="82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 spans="1:31" x14ac:dyDescent="0.25">
      <c r="A71" s="20"/>
      <c r="B71" s="98"/>
      <c r="C71" s="81"/>
      <c r="D71" s="82"/>
      <c r="E71" s="82"/>
      <c r="F71" s="82"/>
      <c r="G71" s="83"/>
      <c r="H71" s="82"/>
      <c r="I71" s="82"/>
      <c r="J71" s="82"/>
      <c r="K71" s="20"/>
      <c r="L71" s="20"/>
      <c r="M71" s="98"/>
      <c r="N71" s="81"/>
      <c r="O71" s="82"/>
      <c r="P71" s="82"/>
      <c r="Q71" s="82"/>
      <c r="R71" s="83"/>
      <c r="S71" s="82"/>
      <c r="T71" s="82"/>
      <c r="U71" s="82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 spans="1:31" x14ac:dyDescent="0.25">
      <c r="A72" s="20"/>
      <c r="B72" s="98"/>
      <c r="C72" s="81"/>
      <c r="D72" s="83"/>
      <c r="E72" s="83"/>
      <c r="F72" s="83"/>
      <c r="G72" s="83"/>
      <c r="H72" s="83"/>
      <c r="I72" s="83"/>
      <c r="J72" s="83"/>
      <c r="K72" s="20"/>
      <c r="L72" s="20"/>
      <c r="M72" s="98"/>
      <c r="N72" s="81"/>
      <c r="O72" s="83"/>
      <c r="P72" s="83"/>
      <c r="Q72" s="83"/>
      <c r="R72" s="83"/>
      <c r="S72" s="83"/>
      <c r="T72" s="83"/>
      <c r="U72" s="83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 spans="1:31" x14ac:dyDescent="0.25">
      <c r="A73" s="20"/>
      <c r="B73" s="98"/>
      <c r="C73" s="81"/>
      <c r="D73" s="82"/>
      <c r="E73" s="82"/>
      <c r="F73" s="82"/>
      <c r="G73" s="83"/>
      <c r="H73" s="82"/>
      <c r="I73" s="82"/>
      <c r="J73" s="82"/>
      <c r="K73" s="20"/>
      <c r="L73" s="20"/>
      <c r="M73" s="98"/>
      <c r="N73" s="81"/>
      <c r="O73" s="82"/>
      <c r="P73" s="82"/>
      <c r="Q73" s="82"/>
      <c r="R73" s="83"/>
      <c r="S73" s="82"/>
      <c r="T73" s="82"/>
      <c r="U73" s="82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 spans="1:31" x14ac:dyDescent="0.25">
      <c r="A74" s="20"/>
      <c r="B74" s="98"/>
      <c r="C74" s="81"/>
      <c r="D74" s="82"/>
      <c r="E74" s="82"/>
      <c r="F74" s="82"/>
      <c r="G74" s="83"/>
      <c r="H74" s="82"/>
      <c r="I74" s="82"/>
      <c r="J74" s="82"/>
      <c r="K74" s="20"/>
      <c r="L74" s="20"/>
      <c r="M74" s="98"/>
      <c r="N74" s="81"/>
      <c r="O74" s="82"/>
      <c r="P74" s="82"/>
      <c r="Q74" s="82"/>
      <c r="R74" s="83"/>
      <c r="S74" s="82"/>
      <c r="T74" s="82"/>
      <c r="U74" s="82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pans="1:31" x14ac:dyDescent="0.25">
      <c r="A75" s="20"/>
      <c r="B75" s="98"/>
      <c r="C75" s="81"/>
      <c r="D75" s="82"/>
      <c r="E75" s="82"/>
      <c r="F75" s="82"/>
      <c r="G75" s="83"/>
      <c r="H75" s="82"/>
      <c r="I75" s="82"/>
      <c r="J75" s="82"/>
      <c r="K75" s="20"/>
      <c r="L75" s="20"/>
      <c r="M75" s="98"/>
      <c r="N75" s="81"/>
      <c r="O75" s="82"/>
      <c r="P75" s="82"/>
      <c r="Q75" s="82"/>
      <c r="R75" s="83"/>
      <c r="S75" s="82"/>
      <c r="T75" s="82"/>
      <c r="U75" s="82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1:31" x14ac:dyDescent="0.25">
      <c r="A76" s="20"/>
      <c r="B76" s="99"/>
      <c r="C76" s="81"/>
      <c r="D76" s="82"/>
      <c r="E76" s="82"/>
      <c r="F76" s="82"/>
      <c r="G76" s="83"/>
      <c r="H76" s="82"/>
      <c r="I76" s="82"/>
      <c r="J76" s="82"/>
      <c r="K76" s="20"/>
      <c r="L76" s="20"/>
      <c r="M76" s="99"/>
      <c r="N76" s="81"/>
      <c r="O76" s="82"/>
      <c r="P76" s="82"/>
      <c r="Q76" s="82"/>
      <c r="R76" s="83"/>
      <c r="S76" s="82"/>
      <c r="T76" s="82"/>
      <c r="U76" s="82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1:3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spans="1:3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1:3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spans="1:3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spans="1:3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 spans="1:3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 spans="1:3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1:3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spans="1:3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1:31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spans="1:3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1" operator="lessThan">
      <formula>$J$3</formula>
    </cfRule>
    <cfRule type="cellIs" dxfId="2" priority="2" operator="greaterThan">
      <formula>$J$3</formula>
    </cfRule>
  </conditionalFormatting>
  <conditionalFormatting sqref="O70:U76">
    <cfRule type="cellIs" dxfId="1" priority="3" operator="lessThan">
      <formula>$J$3</formula>
    </cfRule>
    <cfRule type="cellIs" dxfId="0" priority="4" operator="greaterThan">
      <formula>$J$3</formula>
    </cfRule>
  </conditionalFormatting>
  <dataValidations count="1">
    <dataValidation type="list" allowBlank="1" showInputMessage="1" showErrorMessage="1" sqref="E11:E15" xr:uid="{82E2A973-6192-4FB9-A7FB-5A882EEBDD03}">
      <formula1>"1,2,3"</formula1>
    </dataValidation>
  </dataValidations>
  <hyperlinks>
    <hyperlink ref="A1" location="Main!A1" display="Main" xr:uid="{5D74BBAD-1D71-480D-ADB7-642B484A6C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Ratios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2024-06-18T16:04:09Z</dcterms:created>
  <dcterms:modified xsi:type="dcterms:W3CDTF">2026-09-04T08:48:40Z</dcterms:modified>
</cp:coreProperties>
</file>