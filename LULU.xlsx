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5B69C93-FBDE-4FD6-894F-D4B87F45FEBE}" xr6:coauthVersionLast="47" xr6:coauthVersionMax="47" xr10:uidLastSave="{00000000-0000-0000-0000-000000000000}"/>
  <bookViews>
    <workbookView xWindow="-120" yWindow="-120" windowWidth="38640" windowHeight="21120" xr2:uid="{307BA413-EEF9-4958-8DCC-E913E47A6543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6" i="2" l="1"/>
  <c r="Y106" i="2"/>
  <c r="X106" i="2"/>
  <c r="AA106" i="2"/>
  <c r="O8" i="2"/>
  <c r="O7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0" i="2"/>
  <c r="O28" i="2"/>
  <c r="O26" i="2"/>
  <c r="O24" i="2"/>
  <c r="O21" i="2"/>
  <c r="N30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7" i="2"/>
  <c r="AA99" i="2"/>
  <c r="AA94" i="2"/>
  <c r="AA88" i="2"/>
  <c r="AA21" i="2"/>
  <c r="AA24" i="2" s="1"/>
  <c r="AA65" i="2"/>
  <c r="AA60" i="2"/>
  <c r="AA51" i="2"/>
  <c r="AA44" i="2"/>
  <c r="AA33" i="2"/>
  <c r="AA7" i="2"/>
  <c r="AA8" i="2" s="1"/>
  <c r="M7" i="2"/>
  <c r="M8" i="2" s="1"/>
  <c r="M21" i="2"/>
  <c r="M24" i="2" s="1"/>
  <c r="M26" i="2" s="1"/>
  <c r="M28" i="2" s="1"/>
  <c r="M30" i="2" s="1"/>
  <c r="X103" i="2"/>
  <c r="Y103" i="2"/>
  <c r="Y99" i="2"/>
  <c r="X99" i="2"/>
  <c r="W99" i="2"/>
  <c r="Z99" i="2"/>
  <c r="Y94" i="2"/>
  <c r="X94" i="2"/>
  <c r="W94" i="2"/>
  <c r="Z94" i="2"/>
  <c r="X71" i="2"/>
  <c r="Y88" i="2"/>
  <c r="X88" i="2"/>
  <c r="W88" i="2"/>
  <c r="Y71" i="2"/>
  <c r="W89" i="2"/>
  <c r="V89" i="2"/>
  <c r="U89" i="2"/>
  <c r="T89" i="2"/>
  <c r="Z88" i="2"/>
  <c r="Y65" i="2"/>
  <c r="Z65" i="2"/>
  <c r="Y60" i="2"/>
  <c r="X60" i="2"/>
  <c r="X67" i="2" s="1"/>
  <c r="Z60" i="2"/>
  <c r="Y51" i="2"/>
  <c r="X51" i="2"/>
  <c r="Y44" i="2"/>
  <c r="X44" i="2"/>
  <c r="W44" i="2"/>
  <c r="Z51" i="2"/>
  <c r="Z44" i="2"/>
  <c r="L7" i="2"/>
  <c r="L8" i="2" s="1"/>
  <c r="L33" i="2"/>
  <c r="L21" i="2"/>
  <c r="L34" i="2" s="1"/>
  <c r="K7" i="2"/>
  <c r="K8" i="2" s="1"/>
  <c r="K33" i="2"/>
  <c r="K21" i="2"/>
  <c r="K34" i="2" s="1"/>
  <c r="J18" i="2"/>
  <c r="J17" i="2"/>
  <c r="J16" i="2"/>
  <c r="J15" i="2"/>
  <c r="J14" i="2"/>
  <c r="J13" i="2"/>
  <c r="J12" i="2"/>
  <c r="J11" i="2"/>
  <c r="J10" i="2"/>
  <c r="F18" i="2"/>
  <c r="F17" i="2"/>
  <c r="F16" i="2"/>
  <c r="F15" i="2"/>
  <c r="F14" i="2"/>
  <c r="F13" i="2"/>
  <c r="F12" i="2"/>
  <c r="F11" i="2"/>
  <c r="F10" i="2"/>
  <c r="J7" i="2"/>
  <c r="Z33" i="2"/>
  <c r="T10" i="2"/>
  <c r="U10" i="2"/>
  <c r="T6" i="2"/>
  <c r="T5" i="2"/>
  <c r="U6" i="2"/>
  <c r="U5" i="2"/>
  <c r="U3" i="2"/>
  <c r="U7" i="2" s="1"/>
  <c r="U8" i="2" s="1"/>
  <c r="T3" i="2"/>
  <c r="T7" i="2" s="1"/>
  <c r="T8" i="2" s="1"/>
  <c r="V6" i="2"/>
  <c r="V5" i="2"/>
  <c r="W6" i="2"/>
  <c r="W5" i="2"/>
  <c r="V3" i="2"/>
  <c r="W3" i="2"/>
  <c r="V10" i="2"/>
  <c r="W10" i="2"/>
  <c r="Z7" i="2"/>
  <c r="Z8" i="2" s="1"/>
  <c r="Y7" i="2"/>
  <c r="Y8" i="2" s="1"/>
  <c r="X7" i="2"/>
  <c r="X8" i="2" s="1"/>
  <c r="H7" i="2"/>
  <c r="H8" i="2" s="1"/>
  <c r="G7" i="2"/>
  <c r="G8" i="2" s="1"/>
  <c r="F7" i="2"/>
  <c r="E7" i="2"/>
  <c r="E8" i="2" s="1"/>
  <c r="D7" i="2"/>
  <c r="D8" i="2" s="1"/>
  <c r="C7" i="2"/>
  <c r="C8" i="2" s="1"/>
  <c r="I7" i="2"/>
  <c r="I8" i="2" s="1"/>
  <c r="E23" i="2"/>
  <c r="J33" i="2"/>
  <c r="I33" i="2"/>
  <c r="H33" i="2"/>
  <c r="G33" i="2"/>
  <c r="X33" i="2"/>
  <c r="W33" i="2"/>
  <c r="V33" i="2"/>
  <c r="U33" i="2"/>
  <c r="Y33" i="2"/>
  <c r="V23" i="2"/>
  <c r="W23" i="2"/>
  <c r="X23" i="2"/>
  <c r="Y23" i="2"/>
  <c r="Z21" i="2"/>
  <c r="Z24" i="2" s="1"/>
  <c r="Z26" i="2" s="1"/>
  <c r="Z37" i="2" s="1"/>
  <c r="Y21" i="2"/>
  <c r="Y34" i="2" s="1"/>
  <c r="X21" i="2"/>
  <c r="X34" i="2" s="1"/>
  <c r="W21" i="2"/>
  <c r="W34" i="2" s="1"/>
  <c r="V21" i="2"/>
  <c r="V34" i="2" s="1"/>
  <c r="U21" i="2"/>
  <c r="U24" i="2" s="1"/>
  <c r="U26" i="2" s="1"/>
  <c r="U28" i="2" s="1"/>
  <c r="U30" i="2" s="1"/>
  <c r="T21" i="2"/>
  <c r="T24" i="2" s="1"/>
  <c r="T26" i="2" s="1"/>
  <c r="T28" i="2" s="1"/>
  <c r="T30" i="2" s="1"/>
  <c r="C21" i="2"/>
  <c r="C24" i="2" s="1"/>
  <c r="C35" i="2" s="1"/>
  <c r="J21" i="2"/>
  <c r="J24" i="2" s="1"/>
  <c r="J26" i="2" s="1"/>
  <c r="J37" i="2" s="1"/>
  <c r="I21" i="2"/>
  <c r="I24" i="2" s="1"/>
  <c r="I26" i="2" s="1"/>
  <c r="I37" i="2" s="1"/>
  <c r="H21" i="2"/>
  <c r="H24" i="2" s="1"/>
  <c r="H26" i="2" s="1"/>
  <c r="H37" i="2" s="1"/>
  <c r="F21" i="2"/>
  <c r="F34" i="2" s="1"/>
  <c r="E21" i="2"/>
  <c r="D21" i="2"/>
  <c r="D24" i="2" s="1"/>
  <c r="D26" i="2" s="1"/>
  <c r="D37" i="2" s="1"/>
  <c r="G21" i="2"/>
  <c r="G24" i="2" s="1"/>
  <c r="G26" i="2" s="1"/>
  <c r="G28" i="2" s="1"/>
  <c r="G30" i="2" s="1"/>
  <c r="I4" i="1"/>
  <c r="I9" i="1" s="1"/>
  <c r="N8" i="2" l="1"/>
  <c r="Z67" i="2"/>
  <c r="V7" i="2"/>
  <c r="V8" i="2" s="1"/>
  <c r="AA34" i="2"/>
  <c r="AA67" i="2"/>
  <c r="W101" i="2"/>
  <c r="X52" i="2"/>
  <c r="Z52" i="2"/>
  <c r="Y52" i="2"/>
  <c r="AA26" i="2"/>
  <c r="AA35" i="2"/>
  <c r="L24" i="2"/>
  <c r="Y67" i="2"/>
  <c r="AA52" i="2"/>
  <c r="K24" i="2"/>
  <c r="Z35" i="2"/>
  <c r="F8" i="2"/>
  <c r="J8" i="2"/>
  <c r="W7" i="2"/>
  <c r="W8" i="2" s="1"/>
  <c r="Z34" i="2"/>
  <c r="E24" i="2"/>
  <c r="E26" i="2" s="1"/>
  <c r="E28" i="2" s="1"/>
  <c r="E36" i="2" s="1"/>
  <c r="C34" i="2"/>
  <c r="T36" i="2"/>
  <c r="U36" i="2"/>
  <c r="T34" i="2"/>
  <c r="U34" i="2"/>
  <c r="F24" i="2"/>
  <c r="F26" i="2" s="1"/>
  <c r="F28" i="2" s="1"/>
  <c r="F30" i="2" s="1"/>
  <c r="Z28" i="2"/>
  <c r="Z69" i="2" s="1"/>
  <c r="Z89" i="2" s="1"/>
  <c r="Z101" i="2" s="1"/>
  <c r="Z103" i="2" s="1"/>
  <c r="AA102" i="2" s="1"/>
  <c r="E34" i="2"/>
  <c r="G34" i="2"/>
  <c r="C26" i="2"/>
  <c r="J34" i="2"/>
  <c r="G36" i="2"/>
  <c r="T35" i="2"/>
  <c r="T37" i="2"/>
  <c r="U35" i="2"/>
  <c r="V24" i="2"/>
  <c r="U37" i="2"/>
  <c r="H28" i="2"/>
  <c r="J28" i="2"/>
  <c r="Y24" i="2"/>
  <c r="G35" i="2"/>
  <c r="D28" i="2"/>
  <c r="G37" i="2"/>
  <c r="J35" i="2"/>
  <c r="I34" i="2"/>
  <c r="I28" i="2"/>
  <c r="I35" i="2"/>
  <c r="D34" i="2"/>
  <c r="D35" i="2"/>
  <c r="H34" i="2"/>
  <c r="H35" i="2"/>
  <c r="I7" i="1"/>
  <c r="I10" i="1" s="1"/>
  <c r="W24" i="2"/>
  <c r="X24" i="2"/>
  <c r="K26" i="2" l="1"/>
  <c r="K35" i="2"/>
  <c r="L35" i="2"/>
  <c r="L26" i="2"/>
  <c r="AA28" i="2"/>
  <c r="AA37" i="2"/>
  <c r="Z30" i="2"/>
  <c r="Z36" i="2"/>
  <c r="F36" i="2"/>
  <c r="E30" i="2"/>
  <c r="E37" i="2"/>
  <c r="E35" i="2"/>
  <c r="F37" i="2"/>
  <c r="F35" i="2"/>
  <c r="D30" i="2"/>
  <c r="D36" i="2"/>
  <c r="Y35" i="2"/>
  <c r="Y26" i="2"/>
  <c r="J30" i="2"/>
  <c r="J36" i="2"/>
  <c r="H30" i="2"/>
  <c r="H36" i="2"/>
  <c r="X35" i="2"/>
  <c r="X26" i="2"/>
  <c r="V26" i="2"/>
  <c r="V35" i="2"/>
  <c r="W35" i="2"/>
  <c r="W26" i="2"/>
  <c r="C28" i="2"/>
  <c r="C37" i="2"/>
  <c r="I30" i="2"/>
  <c r="I36" i="2"/>
  <c r="AA30" i="2" l="1"/>
  <c r="AA69" i="2"/>
  <c r="AA89" i="2" s="1"/>
  <c r="AA101" i="2" s="1"/>
  <c r="AA103" i="2" s="1"/>
  <c r="AA36" i="2"/>
  <c r="L37" i="2"/>
  <c r="L28" i="2"/>
  <c r="K28" i="2"/>
  <c r="K37" i="2"/>
  <c r="C30" i="2"/>
  <c r="C36" i="2"/>
  <c r="W37" i="2"/>
  <c r="W28" i="2"/>
  <c r="W30" i="2" s="1"/>
  <c r="V28" i="2"/>
  <c r="V30" i="2" s="1"/>
  <c r="V37" i="2"/>
  <c r="X37" i="2"/>
  <c r="X28" i="2"/>
  <c r="Y28" i="2"/>
  <c r="Y37" i="2"/>
  <c r="Y30" i="2" l="1"/>
  <c r="Y69" i="2"/>
  <c r="Y89" i="2" s="1"/>
  <c r="Y101" i="2" s="1"/>
  <c r="X30" i="2"/>
  <c r="X69" i="2"/>
  <c r="X89" i="2" s="1"/>
  <c r="X101" i="2" s="1"/>
  <c r="K30" i="2"/>
  <c r="K36" i="2"/>
  <c r="L36" i="2"/>
  <c r="L30" i="2"/>
  <c r="X36" i="2"/>
  <c r="Y36" i="2"/>
  <c r="V36" i="2"/>
  <c r="W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tc={70CDCA07-2FB0-4476-9043-D6D6ECCDCCB8}</author>
  </authors>
  <commentList>
    <comment ref="M19" authorId="0" shapeId="0" xr:uid="{70CDCA07-2FB0-4476-9043-D6D6ECCDCCB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2470 to 2500</t>
      </text>
    </comment>
  </commentList>
</comments>
</file>

<file path=xl/sharedStrings.xml><?xml version="1.0" encoding="utf-8"?>
<sst xmlns="http://schemas.openxmlformats.org/spreadsheetml/2006/main" count="139" uniqueCount="125">
  <si>
    <t>SEC</t>
  </si>
  <si>
    <t>Investors</t>
  </si>
  <si>
    <t>Price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</si>
  <si>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</si>
  <si>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</si>
  <si>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</si>
  <si>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</si>
  <si>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</si>
  <si>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</si>
  <si>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</si>
  <si>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</si>
  <si>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</si>
  <si>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Reveues</t>
  </si>
  <si>
    <t>FY19</t>
  </si>
  <si>
    <t>FY20</t>
  </si>
  <si>
    <t>FY21</t>
  </si>
  <si>
    <t>FY22</t>
  </si>
  <si>
    <t>FY23</t>
  </si>
  <si>
    <t>FY24</t>
  </si>
  <si>
    <t>COGS</t>
  </si>
  <si>
    <t>Gross Profit</t>
  </si>
  <si>
    <t>SGA</t>
  </si>
  <si>
    <t>Operating Income</t>
  </si>
  <si>
    <t>Other Income</t>
  </si>
  <si>
    <t>Pretax Income</t>
  </si>
  <si>
    <t>Income Tax Expense</t>
  </si>
  <si>
    <t>Net Income</t>
  </si>
  <si>
    <t>Shares</t>
  </si>
  <si>
    <t>EPS</t>
  </si>
  <si>
    <t>Other Expenses</t>
  </si>
  <si>
    <t>BFY</t>
  </si>
  <si>
    <t>EFY</t>
  </si>
  <si>
    <t>Revenue Growth</t>
  </si>
  <si>
    <t>Gross Margin</t>
  </si>
  <si>
    <t>Operating Margin</t>
  </si>
  <si>
    <t>Net Margin</t>
  </si>
  <si>
    <t>Tax Rate</t>
  </si>
  <si>
    <t>numbers in mio USD</t>
  </si>
  <si>
    <t>FY18</t>
  </si>
  <si>
    <t>Q123</t>
  </si>
  <si>
    <t>Q223</t>
  </si>
  <si>
    <t>Q323</t>
  </si>
  <si>
    <t>Q423</t>
  </si>
  <si>
    <t>Americas Revenue</t>
  </si>
  <si>
    <t>ROW Revenue</t>
  </si>
  <si>
    <t>Women Products</t>
  </si>
  <si>
    <t>Men Products</t>
  </si>
  <si>
    <t>Other</t>
  </si>
  <si>
    <t>Store Revenue</t>
  </si>
  <si>
    <t>E-commerce Revenue</t>
  </si>
  <si>
    <t>Other channels</t>
  </si>
  <si>
    <t>Americas Stores</t>
  </si>
  <si>
    <t>China-Mainland Stores</t>
  </si>
  <si>
    <t>China-Mainland Revenue</t>
  </si>
  <si>
    <t>APAC Stores</t>
  </si>
  <si>
    <t>EMEA Stores</t>
  </si>
  <si>
    <t>Total Stores</t>
  </si>
  <si>
    <t>ARPS</t>
  </si>
  <si>
    <t>Q125</t>
  </si>
  <si>
    <t>Q225</t>
  </si>
  <si>
    <t>Q325</t>
  </si>
  <si>
    <t>Q425</t>
  </si>
  <si>
    <t>P/E</t>
  </si>
  <si>
    <t>EV/EBIT</t>
  </si>
  <si>
    <t>LuluLemon</t>
  </si>
  <si>
    <t>Cash &amp; Cash Equivalents</t>
  </si>
  <si>
    <t>Accounts receivables</t>
  </si>
  <si>
    <t>Inventories</t>
  </si>
  <si>
    <t>Accrued Taxes</t>
  </si>
  <si>
    <t>Prepaid Expenses &amp; other</t>
  </si>
  <si>
    <t>Current Assets</t>
  </si>
  <si>
    <t>PP&amp;E</t>
  </si>
  <si>
    <t>Lease Assets</t>
  </si>
  <si>
    <t>Goodwill</t>
  </si>
  <si>
    <t>Intangibles</t>
  </si>
  <si>
    <t>Deffered Taxes</t>
  </si>
  <si>
    <t>Non-Current Assets</t>
  </si>
  <si>
    <t>Total Assets</t>
  </si>
  <si>
    <t>Liabililties &amp; Equity</t>
  </si>
  <si>
    <t>Non-Current Liabilities</t>
  </si>
  <si>
    <t>Accounts payables</t>
  </si>
  <si>
    <t>Accrued Liabilities</t>
  </si>
  <si>
    <t>Accrued compensation</t>
  </si>
  <si>
    <t>Lease Liabilities</t>
  </si>
  <si>
    <t>Income Tax payables</t>
  </si>
  <si>
    <t>Gift Card Liabilities</t>
  </si>
  <si>
    <t>Current Liabilties</t>
  </si>
  <si>
    <t>Equity</t>
  </si>
  <si>
    <t>CFFO</t>
  </si>
  <si>
    <t>D&amp;A</t>
  </si>
  <si>
    <t>Impairments</t>
  </si>
  <si>
    <t>SBCs</t>
  </si>
  <si>
    <t>Derecognition Gift Cards</t>
  </si>
  <si>
    <t>Derivatives Settlements</t>
  </si>
  <si>
    <t>Change in AR</t>
  </si>
  <si>
    <t>Change in TR</t>
  </si>
  <si>
    <t>Change in PE</t>
  </si>
  <si>
    <t>Change in ONCA</t>
  </si>
  <si>
    <t>Change in AP</t>
  </si>
  <si>
    <t>Change in AL</t>
  </si>
  <si>
    <t>Change in AC</t>
  </si>
  <si>
    <t>Cahnge in TP</t>
  </si>
  <si>
    <t>Change in UGL</t>
  </si>
  <si>
    <t>Change in Leases</t>
  </si>
  <si>
    <t>Change in OL</t>
  </si>
  <si>
    <t>Change in WC</t>
  </si>
  <si>
    <t>Change in Inventories</t>
  </si>
  <si>
    <t>CFFI</t>
  </si>
  <si>
    <t>CapEx</t>
  </si>
  <si>
    <t>Investment Hedges</t>
  </si>
  <si>
    <t>Acquisitions</t>
  </si>
  <si>
    <t>Settlements of SBCs</t>
  </si>
  <si>
    <t>Tax paid related to SBCs</t>
  </si>
  <si>
    <t>Stock Repurchases</t>
  </si>
  <si>
    <t>CFFF</t>
  </si>
  <si>
    <t>Fx</t>
  </si>
  <si>
    <t>Change in Cash</t>
  </si>
  <si>
    <t>Cash BoP</t>
  </si>
  <si>
    <t>Cash EoP</t>
  </si>
  <si>
    <t>FY25</t>
  </si>
  <si>
    <t>Q126</t>
  </si>
  <si>
    <t>Q226</t>
  </si>
  <si>
    <t>Q326</t>
  </si>
  <si>
    <t>Q426</t>
  </si>
  <si>
    <t>Free Cashflow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</si>
</sst>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.0;\(#,##0.0\)"/>
    <numFmt numFmtId="166" formatCode="0.0"/>
    <numFmt numFmtId="167" formatCode="#,##0.00;\(#,##0.0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7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9" fillId="0" borderId="0" xfId="0" applyFont="1"/>
    <xf numFmtId="0" fontId="6" fillId="0" borderId="0" xfId="0" applyFont="1"/>
    <xf numFmtId="165" fontId="6" fillId="0" borderId="0" xfId="0" applyNumberFormat="1" applyFont="1"/>
    <xf numFmtId="0" fontId="6" fillId="0" borderId="0" xfId="0" applyFont="1" applyAlignment="1">
      <alignment horizontal="right"/>
    </xf>
    <xf numFmtId="0" fontId="10" fillId="0" borderId="0" xfId="1" applyFont="1"/>
    <xf numFmtId="16" fontId="6" fillId="0" borderId="0" xfId="0" applyNumberFormat="1" applyFont="1"/>
    <xf numFmtId="164" fontId="6" fillId="0" borderId="0" xfId="0" applyNumberFormat="1" applyFont="1"/>
    <xf numFmtId="166" fontId="6" fillId="0" borderId="0" xfId="0" applyNumberFormat="1" applyFont="1"/>
    <xf numFmtId="0" fontId="9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65" fontId="9" fillId="0" borderId="0" xfId="0" applyNumberFormat="1" applyFont="1"/>
    <xf numFmtId="9" fontId="9" fillId="0" borderId="0" xfId="2" applyFont="1"/>
    <xf numFmtId="9" fontId="6" fillId="0" borderId="0" xfId="2" applyFont="1"/>
    <xf numFmtId="167" fontId="6" fillId="0" borderId="0" xfId="0" applyNumberFormat="1" applyFont="1"/>
    <xf numFmtId="0" fontId="5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42863</xdr:colOff>
      <xdr:row>1</xdr:row>
      <xdr:rowOff>9525</xdr:rowOff>
    </xdr:from>
    <xdr:to>
      <xdr:col>15</xdr:col>
      <xdr:colOff>71438</xdr:colOff>
      <xdr:row>33</xdr:row>
      <xdr:rowOff>38100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656DDCE-2E1F-8C2F-8E18-EABCC26A1A44}"/>
            </a:ext>
          </a:extLst>
        </xdr:cNvPr>
        <xdr:cNvCxnSpPr/>
      </xdr:nvCxnSpPr>
      <xdr:spPr>
        <a:xfrm>
          <a:off x="9844088" y="171450"/>
          <a:ext cx="28575" cy="52101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9F4B8A01-EF8E-4989-A225-17C5F64F96F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9" dT="2025-09-05T11:16:01.19" personId="{9F4B8A01-EF8E-4989-A225-17C5F64F96F8}" id="{70CDCA07-2FB0-4476-9043-D6D6ECCDCCB8}">
    <text>Guidance 2470 to 2500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rporate.lululemon.com/investors" TargetMode="External"/><Relationship Id="rId1" Type="http://schemas.openxmlformats.org/officeDocument/2006/relationships/hyperlink" Target="https://www.sec.gov/edgar/browse/?CIK=1397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3D264-7AA2-4A43-9561-8F9D88497622}">
  <dimension ref="A1:J10"/>
  <sheetViews>
    <sheetView tabSelected="1" topLeftCell="C1" zoomScale="200" zoomScaleNormal="200" workbookViewId="0">
      <selection activeCell="M9" sqref="M8:M9"/>
    </sheetView>
  </sheetViews>
  <sheetFormatPr defaultRowHeight="12.75" x14ac:dyDescent="0.2"/>
  <cols>
    <col min="1" max="1" width="4.28515625" style="2" customWidth="1"/>
    <col min="2" max="7" width="9.140625" style="2"/>
    <col min="8" max="8" width="9.85546875" style="2" customWidth="1"/>
    <col min="9" max="16384" width="9.140625" style="2"/>
  </cols>
  <sheetData>
    <row r="1" spans="1:10" x14ac:dyDescent="0.2">
      <c r="A1" s="1" t="s">
        <v>64</v>
      </c>
    </row>
    <row r="2" spans="1:10" x14ac:dyDescent="0.2">
      <c r="A2" s="2" t="s">
        <v>37</v>
      </c>
      <c r="H2" s="2" t="s">
        <v>2</v>
      </c>
      <c r="I2" s="16">
        <v>110.86</v>
      </c>
    </row>
    <row r="3" spans="1:10" x14ac:dyDescent="0.2">
      <c r="H3" s="2" t="s">
        <v>27</v>
      </c>
      <c r="I3" s="3">
        <v>108.437957</v>
      </c>
      <c r="J3" s="18" t="s">
        <v>120</v>
      </c>
    </row>
    <row r="4" spans="1:10" x14ac:dyDescent="0.2">
      <c r="B4" s="5" t="s">
        <v>0</v>
      </c>
      <c r="C4" s="2" t="s">
        <v>30</v>
      </c>
      <c r="D4" s="6">
        <v>45323</v>
      </c>
      <c r="E4" s="6"/>
      <c r="F4" s="6"/>
      <c r="H4" s="2" t="s">
        <v>3</v>
      </c>
      <c r="I4" s="7">
        <f>I3*I2</f>
        <v>12021.43191302</v>
      </c>
    </row>
    <row r="5" spans="1:10" x14ac:dyDescent="0.2">
      <c r="B5" s="5" t="s">
        <v>1</v>
      </c>
      <c r="C5" s="2" t="s">
        <v>31</v>
      </c>
      <c r="D5" s="6">
        <v>45322</v>
      </c>
      <c r="E5" s="6"/>
      <c r="F5" s="6"/>
      <c r="H5" s="2" t="s">
        <v>4</v>
      </c>
      <c r="I5" s="7">
        <v>1514.729</v>
      </c>
      <c r="J5" s="18" t="s">
        <v>120</v>
      </c>
    </row>
    <row r="6" spans="1:10" x14ac:dyDescent="0.2">
      <c r="H6" s="2" t="s">
        <v>5</v>
      </c>
      <c r="I6" s="7">
        <v>0</v>
      </c>
      <c r="J6" s="18" t="s">
        <v>120</v>
      </c>
    </row>
    <row r="7" spans="1:10" x14ac:dyDescent="0.2">
      <c r="H7" s="2" t="s">
        <v>6</v>
      </c>
      <c r="I7" s="7">
        <f>I4+I6-I5</f>
        <v>10506.702913020001</v>
      </c>
    </row>
    <row r="9" spans="1:10" x14ac:dyDescent="0.2">
      <c r="H9" s="2" t="s">
        <v>62</v>
      </c>
      <c r="I9" s="8">
        <f>+I4/Model!Z28</f>
        <v>6.6247800708359215</v>
      </c>
    </row>
    <row r="10" spans="1:10" x14ac:dyDescent="0.2">
      <c r="H10" s="2" t="s">
        <v>63</v>
      </c>
      <c r="I10" s="8">
        <f>+I7/Model!Z24</f>
        <v>4.193125869975499</v>
      </c>
    </row>
  </sheetData>
  <hyperlinks>
    <hyperlink ref="B4" r:id="rId1" xr:uid="{27D9C12E-B2A6-45D0-96B6-920DBA7332AE}"/>
    <hyperlink ref="B5" r:id="rId2" xr:uid="{C8DE1C41-8830-452C-99CA-03BBB7F2E4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731A-EDB9-4887-9C65-CEC0B0F7DA3D}">
  <dimension ref="A1:BA324"/>
  <sheetViews>
    <sheetView zoomScale="200" zoomScaleNormal="200" workbookViewId="0">
      <pane xSplit="2" ySplit="2" topLeftCell="L88" activePane="bottomRight" state="frozen"/>
      <selection pane="topRight" activeCell="C1" sqref="C1"/>
      <selection pane="bottomLeft" activeCell="A3" sqref="A3"/>
      <selection pane="bottomRight" activeCell="AA107" sqref="AA107"/>
    </sheetView>
  </sheetViews>
  <sheetFormatPr defaultRowHeight="12.75" x14ac:dyDescent="0.2"/>
  <cols>
    <col min="1" max="1" width="4.7109375" style="2" bestFit="1" customWidth="1"/>
    <col min="2" max="2" width="23.42578125" style="2" bestFit="1" customWidth="1"/>
    <col min="3" max="16384" width="9.140625" style="2"/>
  </cols>
  <sheetData>
    <row r="1" spans="1:53" x14ac:dyDescent="0.2">
      <c r="A1" s="5" t="s">
        <v>7</v>
      </c>
    </row>
    <row r="2" spans="1:53" x14ac:dyDescent="0.2">
      <c r="C2" s="4" t="s">
        <v>39</v>
      </c>
      <c r="D2" s="4" t="s">
        <v>40</v>
      </c>
      <c r="E2" s="4" t="s">
        <v>41</v>
      </c>
      <c r="F2" s="4" t="s">
        <v>42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58</v>
      </c>
      <c r="L2" s="4" t="s">
        <v>59</v>
      </c>
      <c r="M2" s="4" t="s">
        <v>60</v>
      </c>
      <c r="N2" s="4" t="s">
        <v>61</v>
      </c>
      <c r="O2" s="18" t="s">
        <v>120</v>
      </c>
      <c r="P2" s="18" t="s">
        <v>121</v>
      </c>
      <c r="Q2" s="18" t="s">
        <v>122</v>
      </c>
      <c r="R2" s="18" t="s">
        <v>123</v>
      </c>
      <c r="T2" s="4" t="s">
        <v>38</v>
      </c>
      <c r="U2" s="4" t="s">
        <v>13</v>
      </c>
      <c r="V2" s="4" t="s">
        <v>14</v>
      </c>
      <c r="W2" s="4" t="s">
        <v>15</v>
      </c>
      <c r="X2" s="4" t="s">
        <v>16</v>
      </c>
      <c r="Y2" s="4" t="s">
        <v>17</v>
      </c>
      <c r="Z2" s="4" t="s">
        <v>18</v>
      </c>
      <c r="AA2" s="17" t="s">
        <v>119</v>
      </c>
    </row>
    <row r="3" spans="1:53" x14ac:dyDescent="0.2">
      <c r="B3" s="2" t="s">
        <v>51</v>
      </c>
      <c r="C3" s="4">
        <v>438</v>
      </c>
      <c r="D3" s="4">
        <v>438</v>
      </c>
      <c r="E3" s="4">
        <v>438</v>
      </c>
      <c r="F3" s="4">
        <v>438</v>
      </c>
      <c r="G3" s="4">
        <v>440</v>
      </c>
      <c r="H3" s="4">
        <v>441</v>
      </c>
      <c r="I3" s="4">
        <v>459</v>
      </c>
      <c r="J3" s="4">
        <v>462</v>
      </c>
      <c r="K3" s="4">
        <v>462</v>
      </c>
      <c r="L3" s="4">
        <v>467</v>
      </c>
      <c r="M3" s="4">
        <v>470</v>
      </c>
      <c r="N3" s="2">
        <v>476</v>
      </c>
      <c r="O3" s="4">
        <v>476</v>
      </c>
      <c r="P3" s="4"/>
      <c r="Q3" s="4"/>
      <c r="R3" s="4"/>
      <c r="T3" s="4">
        <f>285+64</f>
        <v>349</v>
      </c>
      <c r="U3" s="4">
        <f>306+63</f>
        <v>369</v>
      </c>
      <c r="V3" s="4">
        <f>315+62</f>
        <v>377</v>
      </c>
      <c r="W3" s="4">
        <f>324+63</f>
        <v>387</v>
      </c>
      <c r="X3" s="4">
        <v>419</v>
      </c>
      <c r="Y3" s="4">
        <v>438</v>
      </c>
      <c r="Z3" s="4">
        <v>462</v>
      </c>
      <c r="AA3" s="2">
        <v>476</v>
      </c>
    </row>
    <row r="4" spans="1:53" x14ac:dyDescent="0.2">
      <c r="B4" s="2" t="s">
        <v>52</v>
      </c>
      <c r="C4" s="4">
        <v>127</v>
      </c>
      <c r="D4" s="4">
        <v>127</v>
      </c>
      <c r="E4" s="4">
        <v>127</v>
      </c>
      <c r="F4" s="4">
        <v>127</v>
      </c>
      <c r="G4" s="4">
        <v>127</v>
      </c>
      <c r="H4" s="4">
        <v>132</v>
      </c>
      <c r="I4" s="4">
        <v>138</v>
      </c>
      <c r="J4" s="4">
        <v>151</v>
      </c>
      <c r="K4" s="4">
        <v>154</v>
      </c>
      <c r="L4" s="4">
        <v>159</v>
      </c>
      <c r="M4" s="4">
        <v>165</v>
      </c>
      <c r="N4" s="2">
        <v>172</v>
      </c>
      <c r="O4" s="4">
        <v>173</v>
      </c>
      <c r="P4" s="4"/>
      <c r="Q4" s="4"/>
      <c r="R4" s="4"/>
      <c r="T4" s="4">
        <v>22</v>
      </c>
      <c r="U4" s="4">
        <v>38</v>
      </c>
      <c r="V4" s="4">
        <v>55</v>
      </c>
      <c r="W4" s="4">
        <v>86</v>
      </c>
      <c r="X4" s="4">
        <v>99</v>
      </c>
      <c r="Y4" s="4">
        <v>127</v>
      </c>
      <c r="Z4" s="4">
        <v>151</v>
      </c>
      <c r="AA4" s="2">
        <v>172</v>
      </c>
    </row>
    <row r="5" spans="1:53" x14ac:dyDescent="0.2">
      <c r="B5" s="2" t="s">
        <v>54</v>
      </c>
      <c r="C5" s="4">
        <v>98</v>
      </c>
      <c r="D5" s="4">
        <v>98</v>
      </c>
      <c r="E5" s="4">
        <v>98</v>
      </c>
      <c r="F5" s="4">
        <v>98</v>
      </c>
      <c r="G5" s="4">
        <v>97</v>
      </c>
      <c r="H5" s="4">
        <v>101</v>
      </c>
      <c r="I5" s="4">
        <v>105</v>
      </c>
      <c r="J5" s="4">
        <v>107</v>
      </c>
      <c r="K5" s="4">
        <v>107</v>
      </c>
      <c r="L5" s="4">
        <v>109</v>
      </c>
      <c r="M5" s="4">
        <v>112</v>
      </c>
      <c r="N5" s="2">
        <v>114</v>
      </c>
      <c r="O5" s="4">
        <v>117</v>
      </c>
      <c r="P5" s="4"/>
      <c r="Q5" s="4"/>
      <c r="R5" s="4"/>
      <c r="T5" s="4">
        <f>29+5+7+4+3</f>
        <v>48</v>
      </c>
      <c r="U5" s="4">
        <f>31+7+7+5+4+2</f>
        <v>56</v>
      </c>
      <c r="V5" s="4">
        <f>31+7+7+6+4+2</f>
        <v>57</v>
      </c>
      <c r="W5" s="4">
        <f>31+12+7+6+6+2</f>
        <v>64</v>
      </c>
      <c r="X5" s="4">
        <v>91</v>
      </c>
      <c r="Y5" s="4">
        <v>98</v>
      </c>
      <c r="Z5" s="4">
        <v>107</v>
      </c>
      <c r="AA5" s="2">
        <v>114</v>
      </c>
    </row>
    <row r="6" spans="1:53" x14ac:dyDescent="0.2">
      <c r="B6" s="2" t="s">
        <v>55</v>
      </c>
      <c r="C6" s="4">
        <v>48</v>
      </c>
      <c r="D6" s="4">
        <v>48</v>
      </c>
      <c r="E6" s="4">
        <v>48</v>
      </c>
      <c r="F6" s="4">
        <v>48</v>
      </c>
      <c r="G6" s="4">
        <v>47</v>
      </c>
      <c r="H6" s="4">
        <v>47</v>
      </c>
      <c r="I6" s="4">
        <v>47</v>
      </c>
      <c r="J6" s="4">
        <v>47</v>
      </c>
      <c r="K6" s="4">
        <v>47</v>
      </c>
      <c r="L6" s="4">
        <v>49</v>
      </c>
      <c r="M6" s="4">
        <v>49</v>
      </c>
      <c r="N6" s="2">
        <v>49</v>
      </c>
      <c r="O6" s="4">
        <v>50</v>
      </c>
      <c r="P6" s="4"/>
      <c r="Q6" s="4"/>
      <c r="R6" s="4"/>
      <c r="T6" s="4">
        <f>12+5+1+1+1+1</f>
        <v>21</v>
      </c>
      <c r="U6" s="4">
        <f>14+6+3+2+1+1+1</f>
        <v>28</v>
      </c>
      <c r="V6" s="4">
        <f>16+7+3+1+2+1+1+1</f>
        <v>32</v>
      </c>
      <c r="W6" s="4">
        <f>17+9+3+3+2+1+1+1</f>
        <v>37</v>
      </c>
      <c r="X6" s="4">
        <v>46</v>
      </c>
      <c r="Y6" s="4">
        <v>48</v>
      </c>
      <c r="Z6" s="4">
        <v>47</v>
      </c>
      <c r="AA6" s="2">
        <v>49</v>
      </c>
    </row>
    <row r="7" spans="1:53" x14ac:dyDescent="0.2">
      <c r="B7" s="1" t="s">
        <v>56</v>
      </c>
      <c r="C7" s="9">
        <f t="shared" ref="C7:H7" si="0">+SUM(C3:C6)</f>
        <v>711</v>
      </c>
      <c r="D7" s="9">
        <f t="shared" si="0"/>
        <v>711</v>
      </c>
      <c r="E7" s="9">
        <f t="shared" si="0"/>
        <v>711</v>
      </c>
      <c r="F7" s="9">
        <f t="shared" si="0"/>
        <v>711</v>
      </c>
      <c r="G7" s="9">
        <f t="shared" si="0"/>
        <v>711</v>
      </c>
      <c r="H7" s="9">
        <f t="shared" si="0"/>
        <v>721</v>
      </c>
      <c r="I7" s="9">
        <f>+SUM(I3:I6)</f>
        <v>749</v>
      </c>
      <c r="J7" s="9">
        <f t="shared" ref="J7:O7" si="1">+SUM(J3:J6)</f>
        <v>767</v>
      </c>
      <c r="K7" s="9">
        <f t="shared" si="1"/>
        <v>770</v>
      </c>
      <c r="L7" s="9">
        <f t="shared" si="1"/>
        <v>784</v>
      </c>
      <c r="M7" s="9">
        <f t="shared" si="1"/>
        <v>796</v>
      </c>
      <c r="N7" s="9">
        <f t="shared" si="1"/>
        <v>811</v>
      </c>
      <c r="O7" s="9">
        <f t="shared" si="1"/>
        <v>816</v>
      </c>
      <c r="P7" s="9"/>
      <c r="Q7" s="9"/>
      <c r="R7" s="9"/>
      <c r="S7" s="1"/>
      <c r="T7" s="9">
        <f>+SUM(T3:T6)</f>
        <v>440</v>
      </c>
      <c r="U7" s="9">
        <f t="shared" ref="U7" si="2">+SUM(U3:U6)</f>
        <v>491</v>
      </c>
      <c r="V7" s="9">
        <f t="shared" ref="V7" si="3">+SUM(V3:V6)</f>
        <v>521</v>
      </c>
      <c r="W7" s="9">
        <f t="shared" ref="W7" si="4">+SUM(W3:W6)</f>
        <v>574</v>
      </c>
      <c r="X7" s="9">
        <f t="shared" ref="X7" si="5">+SUM(X3:X6)</f>
        <v>655</v>
      </c>
      <c r="Y7" s="9">
        <f t="shared" ref="Y7" si="6">+SUM(Y3:Y6)</f>
        <v>711</v>
      </c>
      <c r="Z7" s="9">
        <f t="shared" ref="Z7:AA7" si="7">+SUM(Z3:Z6)</f>
        <v>767</v>
      </c>
      <c r="AA7" s="9">
        <f t="shared" si="7"/>
        <v>811</v>
      </c>
    </row>
    <row r="8" spans="1:53" x14ac:dyDescent="0.2">
      <c r="B8" s="2" t="s">
        <v>57</v>
      </c>
      <c r="C8" s="10">
        <f t="shared" ref="C8:D8" si="8">+C17/C7</f>
        <v>1.1743206751054853</v>
      </c>
      <c r="D8" s="10">
        <f t="shared" si="8"/>
        <v>1.2569240506329113</v>
      </c>
      <c r="E8" s="10">
        <f>+E17/E7</f>
        <v>1.277253164556962</v>
      </c>
      <c r="F8" s="10">
        <f t="shared" ref="F8:M8" si="9">+F17/F7</f>
        <v>2.3549479606188459</v>
      </c>
      <c r="G8" s="10">
        <f t="shared" si="9"/>
        <v>1.2739620253164556</v>
      </c>
      <c r="H8" s="10">
        <f t="shared" si="9"/>
        <v>1.2630194174757281</v>
      </c>
      <c r="I8" s="10">
        <f t="shared" si="9"/>
        <v>1.2613845126835781</v>
      </c>
      <c r="J8" s="10">
        <f t="shared" si="9"/>
        <v>2.3588591916558017</v>
      </c>
      <c r="K8" s="10">
        <f t="shared" si="9"/>
        <v>1.2479090909090909</v>
      </c>
      <c r="L8" s="10">
        <f t="shared" si="9"/>
        <v>1.2667002551020408</v>
      </c>
      <c r="M8" s="10">
        <f t="shared" si="9"/>
        <v>1.3401381909547738</v>
      </c>
      <c r="N8" s="10">
        <f>+N16/N7</f>
        <v>1.7695770653514173</v>
      </c>
      <c r="O8" s="10">
        <f>+O16/O7</f>
        <v>1.4618137254901959</v>
      </c>
      <c r="P8" s="10"/>
      <c r="Q8" s="10"/>
      <c r="R8" s="10"/>
      <c r="T8" s="10">
        <f>+T16/T7</f>
        <v>4.8326431818181819</v>
      </c>
      <c r="U8" s="10">
        <f t="shared" ref="U8:Z8" si="10">+U16/U7</f>
        <v>2.3173564154786148</v>
      </c>
      <c r="V8" s="10">
        <f t="shared" si="10"/>
        <v>3.1831228406909786</v>
      </c>
      <c r="W8" s="10">
        <f t="shared" si="10"/>
        <v>4.9154999999999998</v>
      </c>
      <c r="X8" s="10">
        <f t="shared" si="10"/>
        <v>5.5696595419847323</v>
      </c>
      <c r="Y8" s="10">
        <f t="shared" si="10"/>
        <v>6.2038762306610407</v>
      </c>
      <c r="Z8" s="10">
        <f t="shared" si="10"/>
        <v>6.5291681877444594</v>
      </c>
      <c r="AA8" s="10">
        <f>+AA16/AA7</f>
        <v>6.2265647348951907</v>
      </c>
    </row>
    <row r="9" spans="1:53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T9" s="4"/>
      <c r="U9" s="4"/>
      <c r="V9" s="4"/>
      <c r="W9" s="4"/>
      <c r="X9" s="4"/>
      <c r="Y9" s="4"/>
      <c r="Z9" s="4"/>
    </row>
    <row r="10" spans="1:53" x14ac:dyDescent="0.2">
      <c r="B10" s="2" t="s">
        <v>43</v>
      </c>
      <c r="C10" s="3">
        <v>1567.7380000000001</v>
      </c>
      <c r="D10" s="3">
        <v>1719.7729999999999</v>
      </c>
      <c r="E10" s="3">
        <v>1732.3979999999999</v>
      </c>
      <c r="F10" s="3">
        <f>+Y10-SUM(C10:E10)</f>
        <v>2611.7380000000003</v>
      </c>
      <c r="G10" s="3">
        <v>1622.2639999999999</v>
      </c>
      <c r="H10" s="3">
        <v>1741.433</v>
      </c>
      <c r="I10" s="3">
        <v>1770.3820000000001</v>
      </c>
      <c r="J10" s="3">
        <f t="shared" ref="J10:J18" si="11">+Z10-SUM(G10:I10)</f>
        <v>2794.0770000000002</v>
      </c>
      <c r="K10" s="3">
        <v>1674.558</v>
      </c>
      <c r="L10" s="3">
        <v>1758.2170000000001</v>
      </c>
      <c r="M10" s="3">
        <v>1733.3820000000001</v>
      </c>
      <c r="N10" s="3">
        <f>+AA10-SUM(K10:M10)</f>
        <v>2680.8869999999997</v>
      </c>
      <c r="O10" s="3">
        <v>1621.21</v>
      </c>
      <c r="P10" s="3"/>
      <c r="Q10" s="3"/>
      <c r="R10" s="3"/>
      <c r="S10" s="3"/>
      <c r="T10" s="3">
        <f>2363.374+565.105</f>
        <v>2928.4789999999998</v>
      </c>
      <c r="U10" s="3">
        <f>2854.364+649.114</f>
        <v>3503.4780000000001</v>
      </c>
      <c r="V10" s="3">
        <f>3015.133+672.607</f>
        <v>3687.74</v>
      </c>
      <c r="W10" s="3">
        <f>4345.687+954.219</f>
        <v>5299.9059999999999</v>
      </c>
      <c r="X10" s="3">
        <v>6817.4539999999997</v>
      </c>
      <c r="Y10" s="3">
        <v>7631.6469999999999</v>
      </c>
      <c r="Z10" s="3">
        <v>7928.1559999999999</v>
      </c>
      <c r="AA10" s="3">
        <v>7847.0439999999999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</row>
    <row r="11" spans="1:53" x14ac:dyDescent="0.2">
      <c r="B11" s="2" t="s">
        <v>53</v>
      </c>
      <c r="C11" s="3">
        <v>210.06800000000001</v>
      </c>
      <c r="D11" s="3">
        <v>234.44499999999999</v>
      </c>
      <c r="E11" s="3">
        <v>228.595</v>
      </c>
      <c r="F11" s="3">
        <f t="shared" ref="F11:F18" si="12">+Y11-SUM(C11:E11)</f>
        <v>290.65199999999993</v>
      </c>
      <c r="G11" s="3">
        <v>303.786</v>
      </c>
      <c r="H11" s="3">
        <v>314.18900000000002</v>
      </c>
      <c r="I11" s="3">
        <v>318.33800000000002</v>
      </c>
      <c r="J11" s="3">
        <f t="shared" si="11"/>
        <v>425.02399999999989</v>
      </c>
      <c r="K11" s="3">
        <v>412.20499999999998</v>
      </c>
      <c r="L11" s="3">
        <v>392.89800000000002</v>
      </c>
      <c r="M11" s="3">
        <v>465.36200000000002</v>
      </c>
      <c r="N11" s="3">
        <f t="shared" ref="N11:N27" si="13">+AA11-SUM(K11:M11)</f>
        <v>484.33399999999983</v>
      </c>
      <c r="O11" s="3">
        <v>529.803</v>
      </c>
      <c r="P11" s="3"/>
      <c r="Q11" s="3"/>
      <c r="R11" s="3"/>
      <c r="S11" s="3"/>
      <c r="T11" s="3">
        <v>0</v>
      </c>
      <c r="U11" s="3">
        <v>0</v>
      </c>
      <c r="V11" s="3">
        <v>0</v>
      </c>
      <c r="W11" s="3">
        <v>0</v>
      </c>
      <c r="X11" s="3">
        <v>576.50300000000004</v>
      </c>
      <c r="Y11" s="3">
        <v>963.76</v>
      </c>
      <c r="Z11" s="3">
        <v>1361.337</v>
      </c>
      <c r="AA11" s="3">
        <v>1754.799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</row>
    <row r="12" spans="1:53" x14ac:dyDescent="0.2">
      <c r="B12" s="2" t="s">
        <v>44</v>
      </c>
      <c r="C12" s="3">
        <v>222.98599999999999</v>
      </c>
      <c r="D12" s="3">
        <v>254.947</v>
      </c>
      <c r="E12" s="3">
        <v>243.22499999999999</v>
      </c>
      <c r="F12" s="3">
        <f t="shared" si="12"/>
        <v>302.71299999999997</v>
      </c>
      <c r="G12" s="3">
        <v>282.84100000000001</v>
      </c>
      <c r="H12" s="3">
        <v>315.45600000000002</v>
      </c>
      <c r="I12" s="3">
        <v>307.94</v>
      </c>
      <c r="J12" s="3">
        <f t="shared" si="11"/>
        <v>392.39599999999996</v>
      </c>
      <c r="K12" s="3">
        <v>283.89699999999999</v>
      </c>
      <c r="L12" s="3">
        <v>374.10399999999998</v>
      </c>
      <c r="M12" s="3">
        <v>367.17599999999999</v>
      </c>
      <c r="N12" s="3">
        <f t="shared" si="13"/>
        <v>475.58000000000015</v>
      </c>
      <c r="O12" s="3">
        <v>320.58999999999997</v>
      </c>
      <c r="P12" s="3"/>
      <c r="Q12" s="3"/>
      <c r="R12" s="3"/>
      <c r="S12" s="3"/>
      <c r="T12" s="3">
        <v>359.84</v>
      </c>
      <c r="U12" s="3">
        <v>475.81799999999998</v>
      </c>
      <c r="V12" s="3">
        <v>624.13900000000001</v>
      </c>
      <c r="W12" s="3">
        <v>956.71100000000001</v>
      </c>
      <c r="X12" s="3">
        <v>716.56100000000004</v>
      </c>
      <c r="Y12" s="3">
        <v>1023.871</v>
      </c>
      <c r="Z12" s="3">
        <v>1298.633</v>
      </c>
      <c r="AA12" s="3">
        <v>1500.7570000000001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</row>
    <row r="13" spans="1:53" x14ac:dyDescent="0.2">
      <c r="B13" s="2" t="s">
        <v>45</v>
      </c>
      <c r="C13" s="3">
        <v>1308.828</v>
      </c>
      <c r="D13" s="3">
        <v>1396.327</v>
      </c>
      <c r="E13" s="3">
        <v>1433.9269999999999</v>
      </c>
      <c r="F13" s="3">
        <f t="shared" si="12"/>
        <v>2008.2900000000009</v>
      </c>
      <c r="G13" s="3">
        <v>1435.241</v>
      </c>
      <c r="H13" s="3">
        <v>1476.1210000000001</v>
      </c>
      <c r="I13" s="3">
        <v>1555.6859999999999</v>
      </c>
      <c r="J13" s="3">
        <f t="shared" si="11"/>
        <v>2225.5820000000003</v>
      </c>
      <c r="K13" s="3">
        <v>1535.172</v>
      </c>
      <c r="L13" s="3">
        <v>1547.3209999999999</v>
      </c>
      <c r="M13" s="3">
        <v>1644.952</v>
      </c>
      <c r="N13" s="3">
        <f t="shared" si="13"/>
        <v>2267.92</v>
      </c>
      <c r="O13" s="3">
        <v>1602.9849999999999</v>
      </c>
      <c r="P13" s="3"/>
      <c r="Q13" s="3"/>
      <c r="R13" s="3"/>
      <c r="S13" s="3"/>
      <c r="T13" s="3">
        <v>2352.788</v>
      </c>
      <c r="U13" s="3">
        <v>2790.9969999999998</v>
      </c>
      <c r="V13" s="3">
        <v>3049.9059999999999</v>
      </c>
      <c r="W13" s="3">
        <v>4171.7619999999997</v>
      </c>
      <c r="X13" s="3">
        <v>5259.8029999999999</v>
      </c>
      <c r="Y13" s="3">
        <v>6147.3720000000003</v>
      </c>
      <c r="Z13" s="3">
        <v>6692.63</v>
      </c>
      <c r="AA13" s="3">
        <v>6995.3649999999998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</row>
    <row r="14" spans="1:53" x14ac:dyDescent="0.2">
      <c r="B14" s="2" t="s">
        <v>46</v>
      </c>
      <c r="C14" s="3">
        <v>438.16500000000002</v>
      </c>
      <c r="D14" s="3">
        <v>530.72299999999996</v>
      </c>
      <c r="E14" s="3">
        <v>504.82799999999997</v>
      </c>
      <c r="F14" s="3">
        <f t="shared" si="12"/>
        <v>779.03700000000026</v>
      </c>
      <c r="G14" s="3">
        <v>505.69799999999998</v>
      </c>
      <c r="H14" s="3">
        <v>587.52499999999998</v>
      </c>
      <c r="I14" s="3">
        <v>551.42999999999995</v>
      </c>
      <c r="J14" s="3">
        <f t="shared" si="11"/>
        <v>913.72700000000032</v>
      </c>
      <c r="K14" s="3">
        <v>544.78800000000001</v>
      </c>
      <c r="L14" s="3">
        <v>624.59799999999996</v>
      </c>
      <c r="M14" s="3">
        <v>596.24099999999999</v>
      </c>
      <c r="N14" s="3">
        <f t="shared" si="13"/>
        <v>901.35899999999992</v>
      </c>
      <c r="O14" s="3">
        <v>581.87800000000004</v>
      </c>
      <c r="P14" s="3"/>
      <c r="Q14" s="3"/>
      <c r="R14" s="3"/>
      <c r="S14" s="3"/>
      <c r="T14" s="3">
        <v>694.92100000000005</v>
      </c>
      <c r="U14" s="3">
        <v>933.76700000000005</v>
      </c>
      <c r="V14" s="3">
        <v>953.18299999999999</v>
      </c>
      <c r="W14" s="3">
        <v>1535.85</v>
      </c>
      <c r="X14" s="3">
        <v>1956.6020000000001</v>
      </c>
      <c r="Y14" s="3">
        <v>2252.7530000000002</v>
      </c>
      <c r="Z14" s="3">
        <v>2558.38</v>
      </c>
      <c r="AA14" s="3">
        <v>2666.9859999999999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</row>
    <row r="15" spans="1:53" x14ac:dyDescent="0.2">
      <c r="B15" s="2" t="s">
        <v>47</v>
      </c>
      <c r="C15" s="3">
        <v>253.79900000000001</v>
      </c>
      <c r="D15" s="3">
        <v>282.11500000000001</v>
      </c>
      <c r="E15" s="3">
        <v>265.46300000000002</v>
      </c>
      <c r="F15" s="3">
        <f t="shared" si="12"/>
        <v>417.77600000000007</v>
      </c>
      <c r="G15" s="3">
        <v>267.952</v>
      </c>
      <c r="H15" s="3">
        <v>307.43200000000002</v>
      </c>
      <c r="I15" s="3">
        <v>289.54399999999998</v>
      </c>
      <c r="J15" s="3">
        <f t="shared" si="11"/>
        <v>472.18799999999999</v>
      </c>
      <c r="K15" s="3">
        <v>290.7</v>
      </c>
      <c r="L15" s="3">
        <v>353.3</v>
      </c>
      <c r="M15" s="3">
        <v>324.72699999999998</v>
      </c>
      <c r="N15" s="3">
        <f t="shared" si="13"/>
        <v>474.52200000000005</v>
      </c>
      <c r="O15" s="3">
        <v>286.74</v>
      </c>
      <c r="P15" s="3"/>
      <c r="Q15" s="3"/>
      <c r="R15" s="3"/>
      <c r="S15" s="3"/>
      <c r="T15" s="3">
        <v>240.61</v>
      </c>
      <c r="U15" s="3">
        <v>254.53200000000001</v>
      </c>
      <c r="V15" s="3">
        <v>398.79</v>
      </c>
      <c r="W15" s="3">
        <v>549.005</v>
      </c>
      <c r="X15" s="3">
        <v>894.11300000000006</v>
      </c>
      <c r="Y15" s="3">
        <v>1219.153</v>
      </c>
      <c r="Z15" s="3">
        <v>1337.116</v>
      </c>
      <c r="AA15" s="3">
        <v>1443.249</v>
      </c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</row>
    <row r="16" spans="1:53" x14ac:dyDescent="0.2">
      <c r="B16" s="2" t="s">
        <v>48</v>
      </c>
      <c r="C16" s="3">
        <v>958.08699999999999</v>
      </c>
      <c r="D16" s="3">
        <v>1096.9390000000001</v>
      </c>
      <c r="E16" s="3">
        <v>1073.973</v>
      </c>
      <c r="F16" s="3">
        <f t="shared" si="12"/>
        <v>1281.9570000000003</v>
      </c>
      <c r="G16" s="3">
        <v>1170.5250000000001</v>
      </c>
      <c r="H16" s="3">
        <v>1215.6130000000001</v>
      </c>
      <c r="I16" s="3">
        <v>1210.5229999999999</v>
      </c>
      <c r="J16" s="3">
        <f t="shared" si="11"/>
        <v>1411.2110000000002</v>
      </c>
      <c r="K16" s="3">
        <v>1153.107</v>
      </c>
      <c r="L16" s="3">
        <v>1254.952</v>
      </c>
      <c r="M16" s="3">
        <v>1206.558</v>
      </c>
      <c r="N16" s="3">
        <f t="shared" si="13"/>
        <v>1435.1269999999995</v>
      </c>
      <c r="O16" s="3">
        <v>1192.8399999999999</v>
      </c>
      <c r="P16" s="3"/>
      <c r="Q16" s="3"/>
      <c r="R16" s="3"/>
      <c r="S16" s="3"/>
      <c r="T16" s="3">
        <v>2126.3629999999998</v>
      </c>
      <c r="U16" s="3">
        <v>1137.8219999999999</v>
      </c>
      <c r="V16" s="3">
        <v>1658.4069999999999</v>
      </c>
      <c r="W16" s="3">
        <v>2821.4969999999998</v>
      </c>
      <c r="X16" s="3">
        <v>3648.127</v>
      </c>
      <c r="Y16" s="3">
        <v>4410.9560000000001</v>
      </c>
      <c r="Z16" s="3">
        <v>5007.8720000000003</v>
      </c>
      <c r="AA16" s="3">
        <v>5049.7439999999997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</row>
    <row r="17" spans="2:53" x14ac:dyDescent="0.2">
      <c r="B17" s="2" t="s">
        <v>49</v>
      </c>
      <c r="C17" s="3">
        <v>834.94200000000001</v>
      </c>
      <c r="D17" s="3">
        <v>893.673</v>
      </c>
      <c r="E17" s="3">
        <v>908.12699999999995</v>
      </c>
      <c r="F17" s="3">
        <f t="shared" si="12"/>
        <v>1674.3679999999995</v>
      </c>
      <c r="G17" s="3">
        <v>905.78700000000003</v>
      </c>
      <c r="H17" s="3">
        <v>910.63699999999994</v>
      </c>
      <c r="I17" s="3">
        <v>944.77700000000004</v>
      </c>
      <c r="J17" s="3">
        <f t="shared" si="11"/>
        <v>1809.2449999999999</v>
      </c>
      <c r="K17" s="3">
        <v>960.89</v>
      </c>
      <c r="L17" s="3">
        <v>993.09299999999996</v>
      </c>
      <c r="M17" s="3">
        <v>1066.75</v>
      </c>
      <c r="N17" s="3">
        <f t="shared" si="13"/>
        <v>1897.9639999999999</v>
      </c>
      <c r="O17" s="3">
        <v>997.44200000000001</v>
      </c>
      <c r="P17" s="3"/>
      <c r="Q17" s="3"/>
      <c r="R17" s="3"/>
      <c r="S17" s="3"/>
      <c r="T17" s="3">
        <v>858.85599999999999</v>
      </c>
      <c r="U17" s="3">
        <v>2501.067</v>
      </c>
      <c r="V17" s="3">
        <v>2284.0680000000002</v>
      </c>
      <c r="W17" s="3">
        <v>2777.944</v>
      </c>
      <c r="X17" s="3">
        <v>3699.7910000000002</v>
      </c>
      <c r="Y17" s="3">
        <v>4311.1099999999997</v>
      </c>
      <c r="Z17" s="3">
        <v>4570.4459999999999</v>
      </c>
      <c r="AA17" s="3">
        <v>4918.6970000000001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</row>
    <row r="18" spans="2:53" x14ac:dyDescent="0.2">
      <c r="B18" s="2" t="s">
        <v>50</v>
      </c>
      <c r="C18" s="3">
        <v>207.76300000000001</v>
      </c>
      <c r="D18" s="3">
        <v>218.553</v>
      </c>
      <c r="E18" s="3">
        <v>222.11799999999999</v>
      </c>
      <c r="F18" s="3">
        <f t="shared" si="12"/>
        <v>248.77800000000002</v>
      </c>
      <c r="G18" s="3">
        <v>232.57900000000001</v>
      </c>
      <c r="H18" s="3">
        <v>244.828</v>
      </c>
      <c r="I18" s="3">
        <v>241.36</v>
      </c>
      <c r="J18" s="3">
        <f t="shared" si="11"/>
        <v>291.04099999999994</v>
      </c>
      <c r="K18" s="3">
        <v>256.66300000000001</v>
      </c>
      <c r="L18" s="3">
        <v>277.17399999999998</v>
      </c>
      <c r="M18" s="3">
        <v>292.61200000000002</v>
      </c>
      <c r="N18" s="3">
        <f t="shared" si="13"/>
        <v>307.71000000000004</v>
      </c>
      <c r="O18" s="3">
        <v>281.32100000000003</v>
      </c>
      <c r="P18" s="3"/>
      <c r="Q18" s="3"/>
      <c r="R18" s="3"/>
      <c r="S18" s="3"/>
      <c r="T18" s="3">
        <v>303.10000000000002</v>
      </c>
      <c r="U18" s="3">
        <v>340.40699999999998</v>
      </c>
      <c r="V18" s="3">
        <v>459.00400000000002</v>
      </c>
      <c r="W18" s="3">
        <v>657.17600000000004</v>
      </c>
      <c r="X18" s="3">
        <v>762.6</v>
      </c>
      <c r="Y18" s="3">
        <v>897.21199999999999</v>
      </c>
      <c r="Z18" s="3">
        <v>1009.808</v>
      </c>
      <c r="AA18" s="3">
        <v>1134.1590000000001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</row>
    <row r="19" spans="2:53" x14ac:dyDescent="0.2">
      <c r="B19" s="1" t="s">
        <v>12</v>
      </c>
      <c r="C19" s="11">
        <v>2000.7919999999999</v>
      </c>
      <c r="D19" s="11">
        <v>2209.165</v>
      </c>
      <c r="E19" s="11">
        <v>2204.2179999999998</v>
      </c>
      <c r="F19" s="11">
        <v>3205.1030000000001</v>
      </c>
      <c r="G19" s="11">
        <v>2208.8910000000001</v>
      </c>
      <c r="H19" s="11">
        <v>2371.078</v>
      </c>
      <c r="I19" s="11">
        <v>2396.66</v>
      </c>
      <c r="J19" s="11">
        <v>3611.4969999999998</v>
      </c>
      <c r="K19" s="11">
        <v>2370.66</v>
      </c>
      <c r="L19" s="11">
        <v>2525.2190000000001</v>
      </c>
      <c r="M19" s="11">
        <v>2565.92</v>
      </c>
      <c r="N19" s="11">
        <f t="shared" si="13"/>
        <v>3640.8010000000004</v>
      </c>
      <c r="O19" s="11">
        <v>2471.6030000000001</v>
      </c>
      <c r="P19" s="11"/>
      <c r="Q19" s="11"/>
      <c r="R19" s="11"/>
      <c r="S19" s="3"/>
      <c r="T19" s="11">
        <v>3288.319</v>
      </c>
      <c r="U19" s="11">
        <v>3979.2959999999998</v>
      </c>
      <c r="V19" s="11">
        <v>4401.8789999999999</v>
      </c>
      <c r="W19" s="11">
        <v>6256.6170000000002</v>
      </c>
      <c r="X19" s="11">
        <v>8110.518</v>
      </c>
      <c r="Y19" s="11">
        <v>9619.2780000000002</v>
      </c>
      <c r="Z19" s="11">
        <v>10588.126</v>
      </c>
      <c r="AA19" s="11">
        <v>11102.6</v>
      </c>
    </row>
    <row r="20" spans="2:53" x14ac:dyDescent="0.2">
      <c r="B20" s="2" t="s">
        <v>19</v>
      </c>
      <c r="C20" s="3">
        <v>849.98699999999997</v>
      </c>
      <c r="D20" s="3">
        <v>910.654</v>
      </c>
      <c r="E20" s="3">
        <v>947.55399999999997</v>
      </c>
      <c r="F20" s="3">
        <v>1301.6780000000001</v>
      </c>
      <c r="G20" s="3">
        <v>933.82299999999998</v>
      </c>
      <c r="H20" s="3">
        <v>958.89300000000003</v>
      </c>
      <c r="I20" s="3">
        <v>995.05399999999997</v>
      </c>
      <c r="J20" s="3">
        <v>1429.5450000000001</v>
      </c>
      <c r="K20" s="3">
        <v>987.53399999999999</v>
      </c>
      <c r="L20" s="3">
        <v>1048.0170000000001</v>
      </c>
      <c r="M20" s="3">
        <v>1140.0039999999999</v>
      </c>
      <c r="N20" s="3">
        <f t="shared" si="13"/>
        <v>1642.913</v>
      </c>
      <c r="O20" s="3">
        <v>1132.7850000000001</v>
      </c>
      <c r="P20" s="3"/>
      <c r="Q20" s="3"/>
      <c r="R20" s="3"/>
      <c r="S20" s="3"/>
      <c r="T20" s="3">
        <v>1472.0309999999999</v>
      </c>
      <c r="U20" s="3">
        <v>1755.91</v>
      </c>
      <c r="V20" s="3">
        <v>1937.8879999999999</v>
      </c>
      <c r="W20" s="3">
        <v>2648.0520000000001</v>
      </c>
      <c r="X20" s="3">
        <v>3618.1779999999999</v>
      </c>
      <c r="Y20" s="3">
        <v>4009.873</v>
      </c>
      <c r="Z20" s="3">
        <v>4317.3149999999996</v>
      </c>
      <c r="AA20" s="2">
        <v>4818.4679999999998</v>
      </c>
    </row>
    <row r="21" spans="2:53" x14ac:dyDescent="0.2">
      <c r="B21" s="2" t="s">
        <v>20</v>
      </c>
      <c r="C21" s="3">
        <f>C19-C20</f>
        <v>1150.8049999999998</v>
      </c>
      <c r="D21" s="3">
        <f t="shared" ref="D21:F21" si="14">D19-D20</f>
        <v>1298.511</v>
      </c>
      <c r="E21" s="3">
        <f t="shared" si="14"/>
        <v>1256.6639999999998</v>
      </c>
      <c r="F21" s="3">
        <f t="shared" si="14"/>
        <v>1903.425</v>
      </c>
      <c r="G21" s="3">
        <f>G19-G20</f>
        <v>1275.0680000000002</v>
      </c>
      <c r="H21" s="3">
        <f t="shared" ref="H21:O21" si="15">H19-H20</f>
        <v>1412.1849999999999</v>
      </c>
      <c r="I21" s="3">
        <f t="shared" si="15"/>
        <v>1401.6059999999998</v>
      </c>
      <c r="J21" s="3">
        <f t="shared" si="15"/>
        <v>2181.9519999999998</v>
      </c>
      <c r="K21" s="3">
        <f t="shared" si="15"/>
        <v>1383.1259999999997</v>
      </c>
      <c r="L21" s="3">
        <f t="shared" si="15"/>
        <v>1477.202</v>
      </c>
      <c r="M21" s="3">
        <f t="shared" si="15"/>
        <v>1425.9160000000002</v>
      </c>
      <c r="N21" s="3">
        <f t="shared" si="15"/>
        <v>1997.8880000000004</v>
      </c>
      <c r="O21" s="3">
        <f t="shared" si="15"/>
        <v>1338.818</v>
      </c>
      <c r="P21" s="3"/>
      <c r="Q21" s="3"/>
      <c r="R21" s="3"/>
      <c r="S21" s="3"/>
      <c r="T21" s="3">
        <f t="shared" ref="T21" si="16">T19-T20</f>
        <v>1816.288</v>
      </c>
      <c r="U21" s="3">
        <f t="shared" ref="U21" si="17">U19-U20</f>
        <v>2223.3859999999995</v>
      </c>
      <c r="V21" s="3">
        <f t="shared" ref="V21" si="18">V19-V20</f>
        <v>2463.991</v>
      </c>
      <c r="W21" s="3">
        <f t="shared" ref="W21" si="19">W19-W20</f>
        <v>3608.5650000000001</v>
      </c>
      <c r="X21" s="3">
        <f t="shared" ref="X21" si="20">X19-X20</f>
        <v>4492.34</v>
      </c>
      <c r="Y21" s="3">
        <f t="shared" ref="Y21" si="21">Y19-Y20</f>
        <v>5609.4050000000007</v>
      </c>
      <c r="Z21" s="3">
        <f t="shared" ref="Z21:AA21" si="22">Z19-Z20</f>
        <v>6270.8110000000006</v>
      </c>
      <c r="AA21" s="3">
        <f t="shared" si="22"/>
        <v>6284.1320000000005</v>
      </c>
    </row>
    <row r="22" spans="2:53" x14ac:dyDescent="0.2">
      <c r="B22" s="2" t="s">
        <v>21</v>
      </c>
      <c r="C22" s="3">
        <v>747.51300000000003</v>
      </c>
      <c r="D22" s="3">
        <v>817.375</v>
      </c>
      <c r="E22" s="3">
        <v>842.79499999999996</v>
      </c>
      <c r="F22" s="3">
        <v>989.53499999999997</v>
      </c>
      <c r="G22" s="3">
        <v>842.42600000000004</v>
      </c>
      <c r="H22" s="3">
        <v>871.95899999999995</v>
      </c>
      <c r="I22" s="3">
        <v>909.827</v>
      </c>
      <c r="J22" s="3">
        <v>1138.1669999999999</v>
      </c>
      <c r="K22" s="3">
        <v>942.87099999999998</v>
      </c>
      <c r="L22" s="3">
        <v>951.65800000000002</v>
      </c>
      <c r="M22" s="3">
        <v>988.25400000000002</v>
      </c>
      <c r="N22" s="3">
        <f t="shared" si="13"/>
        <v>1183.7730000000001</v>
      </c>
      <c r="O22" s="3">
        <v>1059.9880000000001</v>
      </c>
      <c r="P22" s="3"/>
      <c r="Q22" s="3"/>
      <c r="R22" s="3"/>
      <c r="S22" s="3"/>
      <c r="T22" s="3">
        <v>1100.3789999999999</v>
      </c>
      <c r="U22" s="3">
        <v>1334.2470000000001</v>
      </c>
      <c r="V22" s="3">
        <v>1609.0029999999999</v>
      </c>
      <c r="W22" s="3">
        <v>2225.0340000000001</v>
      </c>
      <c r="X22" s="3">
        <v>2757.4470000000001</v>
      </c>
      <c r="Y22" s="3">
        <v>3397.2179999999998</v>
      </c>
      <c r="Z22" s="3">
        <v>3762.3789999999999</v>
      </c>
      <c r="AA22" s="2">
        <v>4066.556</v>
      </c>
    </row>
    <row r="23" spans="2:53" x14ac:dyDescent="0.2">
      <c r="B23" s="2" t="s">
        <v>29</v>
      </c>
      <c r="C23" s="3">
        <v>1.8779999999999999</v>
      </c>
      <c r="D23" s="3">
        <v>1.879</v>
      </c>
      <c r="E23" s="3">
        <f>74.501+1.253</f>
        <v>75.754000000000005</v>
      </c>
      <c r="F23" s="3">
        <v>0</v>
      </c>
      <c r="G23" s="3">
        <v>0</v>
      </c>
      <c r="H23" s="3">
        <v>0</v>
      </c>
      <c r="I23" s="3">
        <v>1.1180000000000001</v>
      </c>
      <c r="J23" s="3">
        <v>1.617</v>
      </c>
      <c r="K23" s="3">
        <v>1.63</v>
      </c>
      <c r="L23" s="3">
        <v>1.73</v>
      </c>
      <c r="M23" s="3">
        <v>1.776</v>
      </c>
      <c r="N23" s="3">
        <f t="shared" si="13"/>
        <v>1.8250000000000002</v>
      </c>
      <c r="O23" s="3">
        <v>1.8839999999999999</v>
      </c>
      <c r="P23" s="3"/>
      <c r="Q23" s="3"/>
      <c r="R23" s="3"/>
      <c r="S23" s="3"/>
      <c r="T23" s="3">
        <v>7.1999999999999995E-2</v>
      </c>
      <c r="U23" s="3">
        <v>2.9000000000000001E-2</v>
      </c>
      <c r="V23" s="3">
        <f>5.16+29.842</f>
        <v>35.001999999999995</v>
      </c>
      <c r="W23" s="3">
        <f>8.782+41.394</f>
        <v>50.176000000000002</v>
      </c>
      <c r="X23" s="3">
        <f>407.913+8.752-10.18</f>
        <v>406.48500000000001</v>
      </c>
      <c r="Y23" s="3">
        <f>74.501+5.01</f>
        <v>79.51100000000001</v>
      </c>
      <c r="Z23" s="3">
        <v>2.7349999999999999</v>
      </c>
      <c r="AA23" s="2">
        <v>6.9610000000000003</v>
      </c>
    </row>
    <row r="24" spans="2:53" x14ac:dyDescent="0.2">
      <c r="B24" s="2" t="s">
        <v>22</v>
      </c>
      <c r="C24" s="3">
        <f t="shared" ref="C24:E24" si="23">C21-SUM(C22:C23)</f>
        <v>401.41399999999976</v>
      </c>
      <c r="D24" s="3">
        <f t="shared" si="23"/>
        <v>479.25699999999995</v>
      </c>
      <c r="E24" s="3">
        <f t="shared" si="23"/>
        <v>338.11499999999978</v>
      </c>
      <c r="F24" s="3">
        <f>F21-SUM(F22:F23)</f>
        <v>913.89</v>
      </c>
      <c r="G24" s="3">
        <f>G21-SUM(G22:G23)</f>
        <v>432.64200000000017</v>
      </c>
      <c r="H24" s="3">
        <f t="shared" ref="H24:O24" si="24">H21-SUM(H22:H23)</f>
        <v>540.226</v>
      </c>
      <c r="I24" s="3">
        <f t="shared" si="24"/>
        <v>490.66099999999972</v>
      </c>
      <c r="J24" s="3">
        <f t="shared" si="24"/>
        <v>1042.1679999999999</v>
      </c>
      <c r="K24" s="3">
        <f t="shared" si="24"/>
        <v>438.62499999999977</v>
      </c>
      <c r="L24" s="3">
        <f t="shared" si="24"/>
        <v>523.81399999999996</v>
      </c>
      <c r="M24" s="3">
        <f t="shared" si="24"/>
        <v>435.88600000000019</v>
      </c>
      <c r="N24" s="3">
        <f t="shared" si="24"/>
        <v>812.29000000000019</v>
      </c>
      <c r="O24" s="3">
        <f t="shared" si="24"/>
        <v>276.94599999999991</v>
      </c>
      <c r="P24" s="3"/>
      <c r="Q24" s="3"/>
      <c r="R24" s="3"/>
      <c r="S24" s="3"/>
      <c r="T24" s="3">
        <f t="shared" ref="T24" si="25">T21-SUM(T22:T23)</f>
        <v>715.83700000000022</v>
      </c>
      <c r="U24" s="3">
        <f t="shared" ref="U24" si="26">U21-SUM(U22:U23)</f>
        <v>889.10999999999945</v>
      </c>
      <c r="V24" s="3">
        <f t="shared" ref="V24" si="27">V21-SUM(V22:V23)</f>
        <v>819.9860000000001</v>
      </c>
      <c r="W24" s="3">
        <f>W21-SUM(W22:W23)</f>
        <v>1333.355</v>
      </c>
      <c r="X24" s="3">
        <f t="shared" ref="X24" si="28">X21-SUM(X22:X23)</f>
        <v>1328.4079999999999</v>
      </c>
      <c r="Y24" s="3">
        <f t="shared" ref="Y24" si="29">Y21-SUM(Y22:Y23)</f>
        <v>2132.6760000000008</v>
      </c>
      <c r="Z24" s="3">
        <f t="shared" ref="Z24:AA24" si="30">Z21-SUM(Z22:Z23)</f>
        <v>2505.6970000000006</v>
      </c>
      <c r="AA24" s="3">
        <f t="shared" si="30"/>
        <v>2210.6150000000007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2:53" x14ac:dyDescent="0.2">
      <c r="B25" s="2" t="s">
        <v>23</v>
      </c>
      <c r="C25" s="3">
        <v>8.0250000000000004</v>
      </c>
      <c r="D25" s="3">
        <v>7.3620000000000001</v>
      </c>
      <c r="E25" s="3">
        <v>9.8420000000000005</v>
      </c>
      <c r="F25" s="3">
        <v>17.829999999999998</v>
      </c>
      <c r="G25" s="3">
        <v>23.283000000000001</v>
      </c>
      <c r="H25" s="3">
        <v>17.994</v>
      </c>
      <c r="I25" s="3">
        <v>13.743</v>
      </c>
      <c r="J25" s="3">
        <v>15.36</v>
      </c>
      <c r="K25" s="3">
        <v>11.786</v>
      </c>
      <c r="L25" s="3">
        <v>9.7370000000000001</v>
      </c>
      <c r="M25" s="3">
        <v>5.8540000000000001</v>
      </c>
      <c r="N25" s="3">
        <f t="shared" si="13"/>
        <v>0.97500000000000142</v>
      </c>
      <c r="O25" s="3">
        <v>9.1310000000000002</v>
      </c>
      <c r="P25" s="3"/>
      <c r="Q25" s="3"/>
      <c r="R25" s="3"/>
      <c r="S25" s="3"/>
      <c r="T25" s="3">
        <v>9.4139999999999997</v>
      </c>
      <c r="U25" s="3">
        <v>8.2829999999999995</v>
      </c>
      <c r="V25" s="3">
        <v>-0.63600000000000001</v>
      </c>
      <c r="W25" s="3">
        <v>0.51400000000000001</v>
      </c>
      <c r="X25" s="3">
        <v>4.1630000000000003</v>
      </c>
      <c r="Y25" s="3">
        <v>43.058999999999997</v>
      </c>
      <c r="Z25" s="3">
        <v>70.38</v>
      </c>
      <c r="AA25" s="2">
        <v>28.352</v>
      </c>
    </row>
    <row r="26" spans="2:53" x14ac:dyDescent="0.2">
      <c r="B26" s="2" t="s">
        <v>24</v>
      </c>
      <c r="C26" s="3">
        <f>C24+C25</f>
        <v>409.43899999999974</v>
      </c>
      <c r="D26" s="3">
        <f t="shared" ref="D26:F26" si="31">D24+D25</f>
        <v>486.61899999999997</v>
      </c>
      <c r="E26" s="3">
        <f t="shared" si="31"/>
        <v>347.95699999999977</v>
      </c>
      <c r="F26" s="3">
        <f t="shared" si="31"/>
        <v>931.72</v>
      </c>
      <c r="G26" s="3">
        <f>G24+G25</f>
        <v>455.92500000000018</v>
      </c>
      <c r="H26" s="3">
        <f t="shared" ref="H26:O26" si="32">H24+H25</f>
        <v>558.22</v>
      </c>
      <c r="I26" s="3">
        <f t="shared" si="32"/>
        <v>504.40399999999971</v>
      </c>
      <c r="J26" s="3">
        <f t="shared" si="32"/>
        <v>1057.5279999999998</v>
      </c>
      <c r="K26" s="3">
        <f t="shared" si="32"/>
        <v>450.41099999999977</v>
      </c>
      <c r="L26" s="3">
        <f t="shared" si="32"/>
        <v>533.55099999999993</v>
      </c>
      <c r="M26" s="3">
        <f t="shared" si="32"/>
        <v>441.74000000000018</v>
      </c>
      <c r="N26" s="3">
        <f t="shared" si="32"/>
        <v>813.26500000000021</v>
      </c>
      <c r="O26" s="3">
        <f t="shared" si="32"/>
        <v>286.07699999999988</v>
      </c>
      <c r="P26" s="3"/>
      <c r="Q26" s="3"/>
      <c r="R26" s="3"/>
      <c r="S26" s="3"/>
      <c r="T26" s="3">
        <f t="shared" ref="T26" si="33">T24+T25</f>
        <v>725.2510000000002</v>
      </c>
      <c r="U26" s="3">
        <f t="shared" ref="U26" si="34">U24+U25</f>
        <v>897.39299999999946</v>
      </c>
      <c r="V26" s="3">
        <f t="shared" ref="V26" si="35">V24+V25</f>
        <v>819.35000000000014</v>
      </c>
      <c r="W26" s="3">
        <f t="shared" ref="W26" si="36">W24+W25</f>
        <v>1333.8689999999999</v>
      </c>
      <c r="X26" s="3">
        <f t="shared" ref="X26" si="37">X24+X25</f>
        <v>1332.5709999999999</v>
      </c>
      <c r="Y26" s="3">
        <f t="shared" ref="Y26" si="38">Y24+Y25</f>
        <v>2175.735000000001</v>
      </c>
      <c r="Z26" s="3">
        <f t="shared" ref="Z26:AA26" si="39">Z24+Z25</f>
        <v>2576.0770000000007</v>
      </c>
      <c r="AA26" s="3">
        <f t="shared" si="39"/>
        <v>2238.9670000000006</v>
      </c>
    </row>
    <row r="27" spans="2:53" x14ac:dyDescent="0.2">
      <c r="B27" s="2" t="s">
        <v>25</v>
      </c>
      <c r="C27" s="3">
        <v>119.03400000000001</v>
      </c>
      <c r="D27" s="3">
        <v>145.01599999999999</v>
      </c>
      <c r="E27" s="3">
        <v>99.242999999999995</v>
      </c>
      <c r="F27" s="3">
        <v>262.25200000000001</v>
      </c>
      <c r="G27" s="3">
        <v>134.50399999999999</v>
      </c>
      <c r="H27" s="3">
        <v>165.298</v>
      </c>
      <c r="I27" s="3">
        <v>152.53399999999999</v>
      </c>
      <c r="J27" s="3">
        <v>309.125</v>
      </c>
      <c r="K27" s="3">
        <v>135.839</v>
      </c>
      <c r="L27" s="3">
        <v>162.64599999999999</v>
      </c>
      <c r="M27" s="3">
        <v>134.905</v>
      </c>
      <c r="N27" s="3">
        <f t="shared" si="13"/>
        <v>226.39400000000001</v>
      </c>
      <c r="O27" s="3">
        <v>91.028999999999996</v>
      </c>
      <c r="P27" s="3"/>
      <c r="Q27" s="3"/>
      <c r="R27" s="3"/>
      <c r="S27" s="3"/>
      <c r="T27" s="3">
        <v>231.44900000000001</v>
      </c>
      <c r="U27" s="3">
        <v>251.797</v>
      </c>
      <c r="V27" s="3">
        <v>230.43700000000001</v>
      </c>
      <c r="W27" s="3">
        <v>358.54700000000003</v>
      </c>
      <c r="X27" s="3">
        <v>477.77100000000002</v>
      </c>
      <c r="Y27" s="3">
        <v>625.54499999999996</v>
      </c>
      <c r="Z27" s="3">
        <v>761.46100000000001</v>
      </c>
      <c r="AA27" s="2">
        <v>659.78399999999999</v>
      </c>
    </row>
    <row r="28" spans="2:53" x14ac:dyDescent="0.2">
      <c r="B28" s="2" t="s">
        <v>26</v>
      </c>
      <c r="C28" s="3">
        <f>C26-C27</f>
        <v>290.40499999999975</v>
      </c>
      <c r="D28" s="3">
        <f t="shared" ref="D28:F28" si="40">D26-D27</f>
        <v>341.60299999999995</v>
      </c>
      <c r="E28" s="3">
        <f t="shared" si="40"/>
        <v>248.71399999999977</v>
      </c>
      <c r="F28" s="3">
        <f t="shared" si="40"/>
        <v>669.46800000000007</v>
      </c>
      <c r="G28" s="3">
        <f>G26-G27</f>
        <v>321.42100000000016</v>
      </c>
      <c r="H28" s="3">
        <f t="shared" ref="H28:O28" si="41">H26-H27</f>
        <v>392.92200000000003</v>
      </c>
      <c r="I28" s="3">
        <f t="shared" si="41"/>
        <v>351.86999999999972</v>
      </c>
      <c r="J28" s="3">
        <f t="shared" si="41"/>
        <v>748.40299999999979</v>
      </c>
      <c r="K28" s="3">
        <f t="shared" si="41"/>
        <v>314.57199999999978</v>
      </c>
      <c r="L28" s="3">
        <f t="shared" si="41"/>
        <v>370.90499999999997</v>
      </c>
      <c r="M28" s="3">
        <f t="shared" si="41"/>
        <v>306.83500000000015</v>
      </c>
      <c r="N28" s="3">
        <f t="shared" si="41"/>
        <v>586.87100000000021</v>
      </c>
      <c r="O28" s="3">
        <f t="shared" si="41"/>
        <v>195.04799999999989</v>
      </c>
      <c r="P28" s="3"/>
      <c r="Q28" s="3"/>
      <c r="R28" s="3"/>
      <c r="S28" s="3"/>
      <c r="T28" s="3">
        <f t="shared" ref="T28:AA28" si="42">T26-T27</f>
        <v>493.80200000000019</v>
      </c>
      <c r="U28" s="3">
        <f t="shared" si="42"/>
        <v>645.59599999999944</v>
      </c>
      <c r="V28" s="3">
        <f t="shared" si="42"/>
        <v>588.91300000000012</v>
      </c>
      <c r="W28" s="3">
        <f t="shared" si="42"/>
        <v>975.32199999999989</v>
      </c>
      <c r="X28" s="3">
        <f t="shared" si="42"/>
        <v>854.8</v>
      </c>
      <c r="Y28" s="3">
        <f t="shared" si="42"/>
        <v>1550.190000000001</v>
      </c>
      <c r="Z28" s="3">
        <f t="shared" si="42"/>
        <v>1814.6160000000007</v>
      </c>
      <c r="AA28" s="3">
        <f t="shared" si="42"/>
        <v>1579.1830000000004</v>
      </c>
    </row>
    <row r="29" spans="2:53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2:53" x14ac:dyDescent="0.2">
      <c r="B30" s="2" t="s">
        <v>28</v>
      </c>
      <c r="C30" s="14">
        <f t="shared" ref="C30:O30" si="43">C28/C31</f>
        <v>2.2822328403250376</v>
      </c>
      <c r="D30" s="14">
        <f t="shared" si="43"/>
        <v>2.69044412415629</v>
      </c>
      <c r="E30" s="14">
        <f t="shared" si="43"/>
        <v>1.9667404712952694</v>
      </c>
      <c r="F30" s="14">
        <f t="shared" si="43"/>
        <v>5.3036410305162098</v>
      </c>
      <c r="G30" s="14">
        <f t="shared" si="43"/>
        <v>2.5530270536466042</v>
      </c>
      <c r="H30" s="14">
        <f t="shared" si="43"/>
        <v>3.1504077100087398</v>
      </c>
      <c r="I30" s="14">
        <f t="shared" si="43"/>
        <v>2.8677962786376172</v>
      </c>
      <c r="J30" s="14">
        <f t="shared" si="43"/>
        <v>6.1504318598325138</v>
      </c>
      <c r="K30" s="14">
        <f t="shared" si="43"/>
        <v>2.6076994495656192</v>
      </c>
      <c r="L30" s="14">
        <f t="shared" si="43"/>
        <v>3.1012123745819395</v>
      </c>
      <c r="M30" s="14">
        <f t="shared" si="43"/>
        <v>2.588560340827605</v>
      </c>
      <c r="N30" s="14">
        <f t="shared" si="43"/>
        <v>4.9324766139131482</v>
      </c>
      <c r="O30" s="14">
        <f t="shared" si="43"/>
        <v>1.689985616996204</v>
      </c>
      <c r="P30" s="14"/>
      <c r="Q30" s="14"/>
      <c r="R30" s="14"/>
      <c r="S30" s="14"/>
      <c r="T30" s="14">
        <f>+T28/T31</f>
        <v>3.7013034711759736</v>
      </c>
      <c r="U30" s="14">
        <f t="shared" ref="U30:AA30" si="44">+U28/U31</f>
        <v>4.9511553534315444</v>
      </c>
      <c r="V30" s="14">
        <f t="shared" si="44"/>
        <v>4.5200515776466181</v>
      </c>
      <c r="W30" s="14">
        <f t="shared" si="44"/>
        <v>7.515889895814067</v>
      </c>
      <c r="X30" s="14">
        <f t="shared" si="44"/>
        <v>6.6955963216518102</v>
      </c>
      <c r="Y30" s="14">
        <f t="shared" si="44"/>
        <v>12.23261209223049</v>
      </c>
      <c r="Z30" s="14">
        <f t="shared" si="44"/>
        <v>14.665341253485277</v>
      </c>
      <c r="AA30" s="14">
        <f t="shared" si="44"/>
        <v>13.272564527109374</v>
      </c>
      <c r="AB30" s="14"/>
      <c r="AC30" s="14"/>
      <c r="AD30" s="14"/>
      <c r="AE30" s="14"/>
      <c r="AF30" s="14"/>
      <c r="AG30" s="14"/>
      <c r="AH30" s="14"/>
      <c r="AI30" s="14"/>
    </row>
    <row r="31" spans="2:53" x14ac:dyDescent="0.2">
      <c r="B31" s="2" t="s">
        <v>27</v>
      </c>
      <c r="C31" s="3">
        <v>127.246</v>
      </c>
      <c r="D31" s="3">
        <v>126.96899999999999</v>
      </c>
      <c r="E31" s="3">
        <v>126.46</v>
      </c>
      <c r="F31" s="3">
        <v>126.22799999999999</v>
      </c>
      <c r="G31" s="3">
        <v>125.898</v>
      </c>
      <c r="H31" s="3">
        <v>124.721</v>
      </c>
      <c r="I31" s="3">
        <v>122.697</v>
      </c>
      <c r="J31" s="3">
        <v>121.68300000000001</v>
      </c>
      <c r="K31" s="3">
        <v>120.63200000000001</v>
      </c>
      <c r="L31" s="3">
        <v>119.6</v>
      </c>
      <c r="M31" s="3">
        <v>118.535</v>
      </c>
      <c r="N31" s="2">
        <v>118.98099999999999</v>
      </c>
      <c r="O31" s="2">
        <v>115.414</v>
      </c>
      <c r="P31" s="3"/>
      <c r="Q31" s="3"/>
      <c r="R31" s="3"/>
      <c r="S31" s="3"/>
      <c r="T31" s="3">
        <v>133.41300000000001</v>
      </c>
      <c r="U31" s="3">
        <v>130.393</v>
      </c>
      <c r="V31" s="3">
        <v>130.28899999999999</v>
      </c>
      <c r="W31" s="3">
        <v>129.768</v>
      </c>
      <c r="X31" s="3">
        <v>127.666</v>
      </c>
      <c r="Y31" s="3">
        <v>126.726</v>
      </c>
      <c r="Z31" s="3">
        <v>123.735</v>
      </c>
      <c r="AA31" s="2">
        <v>118.98099999999999</v>
      </c>
    </row>
    <row r="32" spans="2:53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2:48" x14ac:dyDescent="0.2">
      <c r="B33" s="1" t="s">
        <v>32</v>
      </c>
      <c r="C33" s="11"/>
      <c r="D33" s="11"/>
      <c r="E33" s="11"/>
      <c r="F33" s="11"/>
      <c r="G33" s="12">
        <f>G19/C19-1</f>
        <v>0.10400831270816768</v>
      </c>
      <c r="H33" s="12">
        <f t="shared" ref="H33:L33" si="45">H19/D19-1</f>
        <v>7.3291492486980303E-2</v>
      </c>
      <c r="I33" s="12">
        <f t="shared" si="45"/>
        <v>8.7306246478342953E-2</v>
      </c>
      <c r="J33" s="12">
        <f t="shared" si="45"/>
        <v>0.12679592512315518</v>
      </c>
      <c r="K33" s="12">
        <f t="shared" si="45"/>
        <v>7.3235392783075115E-2</v>
      </c>
      <c r="L33" s="12">
        <f t="shared" si="45"/>
        <v>6.50088272085525E-2</v>
      </c>
      <c r="M33" s="12">
        <f t="shared" ref="M33" si="46">M19/I19-1</f>
        <v>7.062328407033136E-2</v>
      </c>
      <c r="N33" s="12">
        <f t="shared" ref="N33" si="47">N19/J19-1</f>
        <v>8.1140867623592516E-3</v>
      </c>
      <c r="O33" s="12">
        <f t="shared" ref="O33" si="48">O19/K19-1</f>
        <v>4.258012536593192E-2</v>
      </c>
      <c r="P33" s="13"/>
      <c r="Q33" s="13"/>
      <c r="R33" s="13"/>
      <c r="S33" s="3"/>
      <c r="T33" s="13"/>
      <c r="U33" s="12">
        <f t="shared" ref="U33:X33" si="49">U19/T19-1</f>
        <v>0.21013076894303739</v>
      </c>
      <c r="V33" s="12">
        <f t="shared" si="49"/>
        <v>0.10619541748088102</v>
      </c>
      <c r="W33" s="12">
        <f t="shared" si="49"/>
        <v>0.42135142742451581</v>
      </c>
      <c r="X33" s="12">
        <f t="shared" si="49"/>
        <v>0.29631045020016411</v>
      </c>
      <c r="Y33" s="12">
        <f>Y19/X19-1</f>
        <v>0.18602510961691965</v>
      </c>
      <c r="Z33" s="12">
        <f>Z19/Y19-1</f>
        <v>0.1007194095024595</v>
      </c>
      <c r="AA33" s="12">
        <f>AA19/Z19-1</f>
        <v>4.8589712664923068E-2</v>
      </c>
    </row>
    <row r="34" spans="2:48" x14ac:dyDescent="0.2">
      <c r="B34" s="2" t="s">
        <v>33</v>
      </c>
      <c r="C34" s="13">
        <f t="shared" ref="C34:J34" si="50">C21/C19</f>
        <v>0.57517473080660053</v>
      </c>
      <c r="D34" s="13">
        <f t="shared" si="50"/>
        <v>0.58778361960288161</v>
      </c>
      <c r="E34" s="13">
        <f t="shared" si="50"/>
        <v>0.57011783770933722</v>
      </c>
      <c r="F34" s="13">
        <f t="shared" si="50"/>
        <v>0.59387327021939695</v>
      </c>
      <c r="G34" s="13">
        <f t="shared" si="50"/>
        <v>0.57724351269483198</v>
      </c>
      <c r="H34" s="13">
        <f t="shared" si="50"/>
        <v>0.59558774532090464</v>
      </c>
      <c r="I34" s="13">
        <f t="shared" si="50"/>
        <v>0.58481636944748105</v>
      </c>
      <c r="J34" s="13">
        <f t="shared" si="50"/>
        <v>0.60416829918452097</v>
      </c>
      <c r="K34" s="13">
        <f t="shared" ref="K34:L34" si="51">K21/K19</f>
        <v>0.58343499278681876</v>
      </c>
      <c r="L34" s="13">
        <f t="shared" si="51"/>
        <v>0.58497975819126968</v>
      </c>
      <c r="M34" s="13">
        <f t="shared" ref="M34:O34" si="52">M21/M19</f>
        <v>0.55571335037725267</v>
      </c>
      <c r="N34" s="13">
        <f t="shared" si="52"/>
        <v>0.54874957461283935</v>
      </c>
      <c r="O34" s="13">
        <f t="shared" si="52"/>
        <v>0.54168003518364394</v>
      </c>
      <c r="P34" s="13"/>
      <c r="Q34" s="13"/>
      <c r="R34" s="13"/>
      <c r="S34" s="3"/>
      <c r="T34" s="13">
        <f t="shared" ref="T34:X34" si="53">T21/T19</f>
        <v>0.5523454385052059</v>
      </c>
      <c r="U34" s="13">
        <f t="shared" si="53"/>
        <v>0.55873853063456436</v>
      </c>
      <c r="V34" s="13">
        <f t="shared" si="53"/>
        <v>0.55975891204642381</v>
      </c>
      <c r="W34" s="13">
        <f t="shared" si="53"/>
        <v>0.57675977289324243</v>
      </c>
      <c r="X34" s="13">
        <f t="shared" si="53"/>
        <v>0.55389063929085669</v>
      </c>
      <c r="Y34" s="13">
        <f>Y21/Y19</f>
        <v>0.58314199880697914</v>
      </c>
      <c r="Z34" s="13">
        <f>Z21/Z19</f>
        <v>0.59224937444076509</v>
      </c>
      <c r="AA34" s="13">
        <f>AA21/AA19</f>
        <v>0.56600544016716803</v>
      </c>
    </row>
    <row r="35" spans="2:48" x14ac:dyDescent="0.2">
      <c r="B35" s="2" t="s">
        <v>34</v>
      </c>
      <c r="C35" s="13">
        <f t="shared" ref="C35:J35" si="54">C24/C19</f>
        <v>0.20062755148961001</v>
      </c>
      <c r="D35" s="13">
        <f t="shared" si="54"/>
        <v>0.21694033718622191</v>
      </c>
      <c r="E35" s="13">
        <f t="shared" si="54"/>
        <v>0.15339453720094828</v>
      </c>
      <c r="F35" s="13">
        <f t="shared" si="54"/>
        <v>0.28513592230889301</v>
      </c>
      <c r="G35" s="13">
        <f t="shared" si="54"/>
        <v>0.19586389731317669</v>
      </c>
      <c r="H35" s="13">
        <f t="shared" si="54"/>
        <v>0.22783982644181255</v>
      </c>
      <c r="I35" s="13">
        <f t="shared" si="54"/>
        <v>0.20472699506813638</v>
      </c>
      <c r="J35" s="13">
        <f t="shared" si="54"/>
        <v>0.2885695322466002</v>
      </c>
      <c r="K35" s="13">
        <f t="shared" ref="K35:L35" si="55">K24/K19</f>
        <v>0.18502231446095171</v>
      </c>
      <c r="L35" s="13">
        <f t="shared" si="55"/>
        <v>0.20743309788180747</v>
      </c>
      <c r="M35" s="13">
        <f t="shared" ref="M35:O35" si="56">M24/M19</f>
        <v>0.16987513250607977</v>
      </c>
      <c r="N35" s="13">
        <f t="shared" si="56"/>
        <v>0.22310749749849007</v>
      </c>
      <c r="O35" s="13">
        <f t="shared" si="56"/>
        <v>0.11205116679337253</v>
      </c>
      <c r="P35" s="13"/>
      <c r="Q35" s="13"/>
      <c r="R35" s="13"/>
      <c r="S35" s="3"/>
      <c r="T35" s="13">
        <f t="shared" ref="T35:X35" si="57">T24/T19</f>
        <v>0.21769086271739457</v>
      </c>
      <c r="U35" s="13">
        <f t="shared" si="57"/>
        <v>0.2234339943547802</v>
      </c>
      <c r="V35" s="13">
        <f t="shared" si="57"/>
        <v>0.18628090413207635</v>
      </c>
      <c r="W35" s="13">
        <f t="shared" si="57"/>
        <v>0.21311117493687085</v>
      </c>
      <c r="X35" s="13">
        <f t="shared" si="57"/>
        <v>0.163788305506504</v>
      </c>
      <c r="Y35" s="13">
        <f>Y24/Y19</f>
        <v>0.22170853155507106</v>
      </c>
      <c r="Z35" s="13">
        <f>Z24/Z19</f>
        <v>0.23665160388155568</v>
      </c>
      <c r="AA35" s="13">
        <f>AA24/AA19</f>
        <v>0.19910786662583543</v>
      </c>
    </row>
    <row r="36" spans="2:48" x14ac:dyDescent="0.2">
      <c r="B36" s="2" t="s">
        <v>35</v>
      </c>
      <c r="C36" s="13">
        <f t="shared" ref="C36:J36" si="58">C28/C19</f>
        <v>0.14514502257106174</v>
      </c>
      <c r="D36" s="13">
        <f t="shared" si="58"/>
        <v>0.15462991673324536</v>
      </c>
      <c r="E36" s="13">
        <f t="shared" si="58"/>
        <v>0.11283548178991361</v>
      </c>
      <c r="F36" s="13">
        <f t="shared" si="58"/>
        <v>0.20887565859817925</v>
      </c>
      <c r="G36" s="13">
        <f t="shared" si="58"/>
        <v>0.14551238607971156</v>
      </c>
      <c r="H36" s="13">
        <f t="shared" si="58"/>
        <v>0.16571449779383049</v>
      </c>
      <c r="I36" s="13">
        <f t="shared" si="58"/>
        <v>0.14681682007460373</v>
      </c>
      <c r="J36" s="13">
        <f t="shared" si="58"/>
        <v>0.20722791684445532</v>
      </c>
      <c r="K36" s="13">
        <f t="shared" ref="K36:L36" si="59">K28/K19</f>
        <v>0.13269384897032885</v>
      </c>
      <c r="L36" s="13">
        <f t="shared" si="59"/>
        <v>0.14688032998326084</v>
      </c>
      <c r="M36" s="13">
        <f t="shared" ref="M36:O36" si="60">M28/M19</f>
        <v>0.11958089106441359</v>
      </c>
      <c r="N36" s="13">
        <f t="shared" si="60"/>
        <v>0.16119282542495461</v>
      </c>
      <c r="O36" s="13">
        <f t="shared" si="60"/>
        <v>7.8915586362372878E-2</v>
      </c>
      <c r="P36" s="13"/>
      <c r="Q36" s="13"/>
      <c r="R36" s="13"/>
      <c r="S36" s="3"/>
      <c r="T36" s="13">
        <f t="shared" ref="T36:X36" si="61">T28/T19</f>
        <v>0.1501685207548295</v>
      </c>
      <c r="U36" s="13">
        <f t="shared" si="61"/>
        <v>0.16223874775839733</v>
      </c>
      <c r="V36" s="13">
        <f t="shared" si="61"/>
        <v>0.13378673062117341</v>
      </c>
      <c r="W36" s="13">
        <f t="shared" si="61"/>
        <v>0.15588647986603621</v>
      </c>
      <c r="X36" s="13">
        <f t="shared" si="61"/>
        <v>0.10539400812623805</v>
      </c>
      <c r="Y36" s="13">
        <f>Y28/Y19</f>
        <v>0.16115450660642108</v>
      </c>
      <c r="Z36" s="13">
        <f>Z28/Z19</f>
        <v>0.17138216904483386</v>
      </c>
      <c r="AA36" s="13">
        <f>AA28/AA19</f>
        <v>0.1422354223335075</v>
      </c>
    </row>
    <row r="37" spans="2:48" x14ac:dyDescent="0.2">
      <c r="B37" s="2" t="s">
        <v>36</v>
      </c>
      <c r="C37" s="13">
        <f t="shared" ref="C37:J37" si="62">C27/C26</f>
        <v>0.29072462564631135</v>
      </c>
      <c r="D37" s="13">
        <f t="shared" si="62"/>
        <v>0.29800727057513166</v>
      </c>
      <c r="E37" s="13">
        <f t="shared" si="62"/>
        <v>0.28521627672384825</v>
      </c>
      <c r="F37" s="13">
        <f t="shared" si="62"/>
        <v>0.28147082814579488</v>
      </c>
      <c r="G37" s="13">
        <f t="shared" si="62"/>
        <v>0.29501343422712056</v>
      </c>
      <c r="H37" s="13">
        <f t="shared" si="62"/>
        <v>0.29611622657733511</v>
      </c>
      <c r="I37" s="13">
        <f t="shared" si="62"/>
        <v>0.30240442185232486</v>
      </c>
      <c r="J37" s="13">
        <f t="shared" si="62"/>
        <v>0.29230904524513779</v>
      </c>
      <c r="K37" s="13">
        <f t="shared" ref="K37:L37" si="63">K27/K26</f>
        <v>0.30158899316402143</v>
      </c>
      <c r="L37" s="13">
        <f t="shared" si="63"/>
        <v>0.30483683846530135</v>
      </c>
      <c r="M37" s="13">
        <f t="shared" ref="M37:O37" si="64">M27/M26</f>
        <v>0.30539457599492903</v>
      </c>
      <c r="N37" s="13">
        <f t="shared" si="64"/>
        <v>0.27837666689209539</v>
      </c>
      <c r="O37" s="13">
        <f t="shared" si="64"/>
        <v>0.31819754821254431</v>
      </c>
      <c r="P37" s="13"/>
      <c r="Q37" s="13"/>
      <c r="R37" s="13"/>
      <c r="S37" s="3"/>
      <c r="T37" s="13">
        <f t="shared" ref="T37:X37" si="65">T27/T26</f>
        <v>0.319129515160958</v>
      </c>
      <c r="U37" s="13">
        <f t="shared" si="65"/>
        <v>0.28058721206873705</v>
      </c>
      <c r="V37" s="13">
        <f t="shared" si="65"/>
        <v>0.28124366876182338</v>
      </c>
      <c r="W37" s="13">
        <f t="shared" si="65"/>
        <v>0.2688022586925703</v>
      </c>
      <c r="X37" s="13">
        <f t="shared" si="65"/>
        <v>0.35853324138075948</v>
      </c>
      <c r="Y37" s="13">
        <f>Y27/Y26</f>
        <v>0.28750973808850788</v>
      </c>
      <c r="Z37" s="13">
        <f>Z27/Z26</f>
        <v>0.2955893787336325</v>
      </c>
      <c r="AA37" s="13">
        <f>AA27/AA26</f>
        <v>0.29468232448267428</v>
      </c>
    </row>
    <row r="38" spans="2:4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2:48" x14ac:dyDescent="0.2">
      <c r="B39" s="15" t="s">
        <v>65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>
        <v>2243.971</v>
      </c>
      <c r="Z39" s="3">
        <v>1984.336</v>
      </c>
      <c r="AA39" s="3">
        <v>1807.202</v>
      </c>
    </row>
    <row r="40" spans="2:48" x14ac:dyDescent="0.2">
      <c r="B40" s="15" t="s">
        <v>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>
        <v>124.76900000000001</v>
      </c>
      <c r="Z40" s="3">
        <v>120.173</v>
      </c>
      <c r="AA40" s="3">
        <v>190.65700000000001</v>
      </c>
    </row>
    <row r="41" spans="2:48" x14ac:dyDescent="0.2">
      <c r="B41" s="15" t="s">
        <v>67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>
        <v>1323.6020000000001</v>
      </c>
      <c r="Z41" s="3">
        <v>1442.0809999999999</v>
      </c>
      <c r="AA41" s="3">
        <v>1700.7529999999999</v>
      </c>
    </row>
    <row r="42" spans="2:48" x14ac:dyDescent="0.2">
      <c r="B42" s="15" t="s">
        <v>68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>
        <v>183.733</v>
      </c>
      <c r="Z42" s="3">
        <v>182.25299999999999</v>
      </c>
      <c r="AA42" s="3">
        <v>352.46899999999999</v>
      </c>
    </row>
    <row r="43" spans="2:48" x14ac:dyDescent="0.2">
      <c r="B43" s="15" t="s">
        <v>69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>
        <v>184.50200000000001</v>
      </c>
      <c r="Z43" s="3">
        <v>251.459</v>
      </c>
      <c r="AA43" s="3">
        <v>211.62</v>
      </c>
    </row>
    <row r="44" spans="2:48" x14ac:dyDescent="0.2">
      <c r="B44" s="15" t="s">
        <v>70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>
        <f t="shared" ref="W44:Y44" si="66">+SUM(W39:W43)</f>
        <v>0</v>
      </c>
      <c r="X44" s="3">
        <f t="shared" si="66"/>
        <v>0</v>
      </c>
      <c r="Y44" s="3">
        <f t="shared" si="66"/>
        <v>4060.5769999999998</v>
      </c>
      <c r="Z44" s="3">
        <f>+SUM(Z39:Z43)</f>
        <v>3980.3020000000001</v>
      </c>
      <c r="AA44" s="3">
        <f>+SUM(AA39:AA43)</f>
        <v>4262.701</v>
      </c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2:48" x14ac:dyDescent="0.2">
      <c r="B45" s="15" t="s">
        <v>71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>
        <v>1545.8109999999999</v>
      </c>
      <c r="Z45" s="3">
        <v>1780.617</v>
      </c>
      <c r="AA45" s="3">
        <v>2033.72</v>
      </c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2:48" x14ac:dyDescent="0.2">
      <c r="B46" s="15" t="s">
        <v>72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>
        <v>1265.6099999999999</v>
      </c>
      <c r="Z46" s="3">
        <v>1416.2560000000001</v>
      </c>
      <c r="AA46" s="3">
        <v>1630.181</v>
      </c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2:48" x14ac:dyDescent="0.2">
      <c r="B47" s="15" t="s">
        <v>73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>
        <v>24.082999999999998</v>
      </c>
      <c r="Z47" s="3">
        <v>159.518</v>
      </c>
      <c r="AA47" s="3">
        <v>184.911</v>
      </c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2:48" x14ac:dyDescent="0.2">
      <c r="B48" s="15" t="s">
        <v>74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>
        <v>0</v>
      </c>
      <c r="Z48" s="3">
        <v>11.673</v>
      </c>
      <c r="AA48" s="3">
        <v>6.2830000000000004</v>
      </c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2:48" x14ac:dyDescent="0.2">
      <c r="B49" s="15" t="s">
        <v>75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>
        <v>9.1760000000000002</v>
      </c>
      <c r="Z49" s="3">
        <v>17.085000000000001</v>
      </c>
      <c r="AA49" s="3">
        <v>24.036999999999999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2:48" x14ac:dyDescent="0.2">
      <c r="B50" s="15" t="s">
        <v>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>
        <v>186.684</v>
      </c>
      <c r="Z50" s="3">
        <v>237.84100000000001</v>
      </c>
      <c r="AA50" s="3">
        <v>314.91000000000003</v>
      </c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2:48" x14ac:dyDescent="0.2">
      <c r="B51" s="15" t="s">
        <v>76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>
        <f t="shared" ref="X51:Y51" si="67">+SUM(X45:X50)</f>
        <v>0</v>
      </c>
      <c r="Y51" s="3">
        <f t="shared" si="67"/>
        <v>3031.364</v>
      </c>
      <c r="Z51" s="3">
        <f>+SUM(Z45:Z50)</f>
        <v>3622.99</v>
      </c>
      <c r="AA51" s="3">
        <f>+SUM(AA45:AA50)</f>
        <v>4194.0419999999995</v>
      </c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2:48" x14ac:dyDescent="0.2">
      <c r="B52" s="1" t="s">
        <v>77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11">
        <f t="shared" ref="X52:Y52" si="68">+X51+X44</f>
        <v>0</v>
      </c>
      <c r="Y52" s="11">
        <f t="shared" si="68"/>
        <v>7091.9409999999998</v>
      </c>
      <c r="Z52" s="11">
        <f>+Z51+Z44</f>
        <v>7603.2919999999995</v>
      </c>
      <c r="AA52" s="11">
        <f>+AA51+AA44</f>
        <v>8456.7429999999986</v>
      </c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2:48" x14ac:dyDescent="0.2">
      <c r="B53" s="15" t="s">
        <v>80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>
        <v>348.44099999999997</v>
      </c>
      <c r="Z53" s="3">
        <v>271.40600000000001</v>
      </c>
      <c r="AA53" s="3">
        <v>331.42099999999999</v>
      </c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2:48" x14ac:dyDescent="0.2">
      <c r="B54" s="15" t="s">
        <v>81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>
        <v>348.55500000000001</v>
      </c>
      <c r="Z54" s="3">
        <v>559.46299999999997</v>
      </c>
      <c r="AA54" s="3">
        <v>662.98199999999997</v>
      </c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2:48" x14ac:dyDescent="0.2">
      <c r="B55" s="15" t="s">
        <v>82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>
        <v>326.11</v>
      </c>
      <c r="Z55" s="3">
        <v>204.54300000000001</v>
      </c>
      <c r="AA55" s="3">
        <v>187.887</v>
      </c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2:48" x14ac:dyDescent="0.2">
      <c r="B56" s="15" t="s">
        <v>83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>
        <v>249.27</v>
      </c>
      <c r="Z56" s="3">
        <v>275.154</v>
      </c>
      <c r="AA56" s="3">
        <v>298.72399999999999</v>
      </c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2:48" x14ac:dyDescent="0.2">
      <c r="B57" s="15" t="s">
        <v>84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>
        <v>12.098000000000001</v>
      </c>
      <c r="Z57" s="3">
        <v>183.126</v>
      </c>
      <c r="AA57" s="3">
        <v>43.948</v>
      </c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2:48" x14ac:dyDescent="0.2">
      <c r="B58" s="15" t="s">
        <v>85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>
        <v>306.47899999999998</v>
      </c>
      <c r="Z58" s="3">
        <v>308.35199999999998</v>
      </c>
      <c r="AA58" s="3">
        <v>316.63200000000001</v>
      </c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2:48" x14ac:dyDescent="0.2">
      <c r="B59" s="15" t="s">
        <v>47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>
        <v>40.308</v>
      </c>
      <c r="Z59" s="3">
        <v>37.585999999999999</v>
      </c>
      <c r="AA59" s="3">
        <v>45.954000000000001</v>
      </c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2:48" x14ac:dyDescent="0.2">
      <c r="B60" s="15" t="s">
        <v>86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>
        <f t="shared" ref="X60:Y60" si="69">+SUM(X53:X59)</f>
        <v>0</v>
      </c>
      <c r="Y60" s="3">
        <f t="shared" si="69"/>
        <v>1631.261</v>
      </c>
      <c r="Z60" s="3">
        <f>+SUM(Z53:Z59)</f>
        <v>1839.6299999999999</v>
      </c>
      <c r="AA60" s="3">
        <f>+SUM(AA53:AA59)</f>
        <v>1887.548</v>
      </c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2:48" x14ac:dyDescent="0.2">
      <c r="B61" s="15" t="s">
        <v>83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>
        <v>1154.0119999999999</v>
      </c>
      <c r="Z61" s="3">
        <v>1300.6369999999999</v>
      </c>
      <c r="AA61" s="3">
        <v>1499.7170000000001</v>
      </c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2:48" x14ac:dyDescent="0.2">
      <c r="B62" s="15" t="s">
        <v>84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>
        <v>15.864000000000001</v>
      </c>
      <c r="Z62" s="3">
        <v>0</v>
      </c>
      <c r="AA62" s="3">
        <v>0</v>
      </c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2:48" x14ac:dyDescent="0.2">
      <c r="B63" s="15" t="s">
        <v>75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>
        <v>29.521999999999998</v>
      </c>
      <c r="Z63" s="3">
        <v>98.188000000000002</v>
      </c>
      <c r="AA63" s="3">
        <v>52.277999999999999</v>
      </c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2:48" x14ac:dyDescent="0.2">
      <c r="B64" s="15" t="s">
        <v>47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>
        <v>29.201000000000001</v>
      </c>
      <c r="Z64" s="3">
        <v>40.79</v>
      </c>
      <c r="AA64" s="3">
        <v>55.36</v>
      </c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2:48" x14ac:dyDescent="0.2">
      <c r="B65" s="15" t="s">
        <v>79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>
        <f>+SUM(Y61:Y64)</f>
        <v>1228.5989999999999</v>
      </c>
      <c r="Z65" s="3">
        <f>+SUM(Z61:Z64)</f>
        <v>1439.615</v>
      </c>
      <c r="AA65" s="3">
        <f>+SUM(AA61:AA64)</f>
        <v>1607.355</v>
      </c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2:48" x14ac:dyDescent="0.2">
      <c r="B66" s="15" t="s">
        <v>87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>
        <v>4232.0810000000001</v>
      </c>
      <c r="Z66" s="3">
        <v>4324.0469999999996</v>
      </c>
      <c r="AA66" s="3">
        <v>4961.84</v>
      </c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2:48" x14ac:dyDescent="0.2">
      <c r="B67" s="1" t="s">
        <v>78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11">
        <f t="shared" ref="X67:Y67" si="70">+X66+X65+X60</f>
        <v>0</v>
      </c>
      <c r="Y67" s="11">
        <f t="shared" si="70"/>
        <v>7091.9410000000007</v>
      </c>
      <c r="Z67" s="11">
        <f>+Z66+Z65+Z60</f>
        <v>7603.2919999999995</v>
      </c>
      <c r="AA67" s="11">
        <f>+AA66+AA65+AA60</f>
        <v>8456.7430000000004</v>
      </c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2:4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2:48" x14ac:dyDescent="0.2">
      <c r="B69" s="15" t="s">
        <v>26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>
        <f t="shared" ref="X69:Y69" si="71">+X28</f>
        <v>854.8</v>
      </c>
      <c r="Y69" s="3">
        <f t="shared" si="71"/>
        <v>1550.190000000001</v>
      </c>
      <c r="Z69" s="3">
        <f>+Z28</f>
        <v>1814.6160000000007</v>
      </c>
      <c r="AA69" s="3">
        <f>+AA28</f>
        <v>1579.1830000000004</v>
      </c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2:48" x14ac:dyDescent="0.2">
      <c r="B70" s="15" t="s">
        <v>89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>
        <v>291.791</v>
      </c>
      <c r="Y70" s="3">
        <v>379.38400000000001</v>
      </c>
      <c r="Z70" s="3">
        <v>446.524</v>
      </c>
      <c r="AA70" s="3">
        <v>496.22800000000001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2:48" x14ac:dyDescent="0.2">
      <c r="B71" s="15" t="s">
        <v>90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>
        <f>62.928+407.913-10.18</f>
        <v>460.661</v>
      </c>
      <c r="Y71" s="3">
        <f>23.709+74.501</f>
        <v>98.210000000000008</v>
      </c>
      <c r="Z71" s="3">
        <v>0</v>
      </c>
      <c r="AA71" s="3">
        <v>0</v>
      </c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2:48" x14ac:dyDescent="0.2">
      <c r="B72" s="15" t="s">
        <v>91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>
        <v>78.075000000000003</v>
      </c>
      <c r="Y72" s="3">
        <v>93.56</v>
      </c>
      <c r="Z72" s="3">
        <v>90.010999999999996</v>
      </c>
      <c r="AA72" s="3">
        <v>62.203000000000003</v>
      </c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2:48" x14ac:dyDescent="0.2">
      <c r="B73" s="15" t="s">
        <v>92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>
        <v>-23.337</v>
      </c>
      <c r="Y73" s="3">
        <v>-28.547000000000001</v>
      </c>
      <c r="Z73" s="3">
        <v>-36.231000000000002</v>
      </c>
      <c r="AA73" s="3">
        <v>-37.765999999999998</v>
      </c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2:48" x14ac:dyDescent="0.2">
      <c r="B74" s="15" t="s">
        <v>93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>
        <v>-38.649000000000001</v>
      </c>
      <c r="Y74" s="3">
        <v>32.527000000000001</v>
      </c>
      <c r="Z74" s="3">
        <v>-47.762999999999998</v>
      </c>
      <c r="AA74" s="3">
        <v>-34.552</v>
      </c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2:48" x14ac:dyDescent="0.2">
      <c r="B75" s="15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>
        <v>3.0419999999999998</v>
      </c>
      <c r="Y75" s="3">
        <v>-28.382999999999999</v>
      </c>
      <c r="Z75" s="3">
        <v>57.451000000000001</v>
      </c>
      <c r="AA75" s="3">
        <v>-53.378999999999998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2:48" x14ac:dyDescent="0.2">
      <c r="B76" s="15" t="s">
        <v>94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>
        <v>-58.987000000000002</v>
      </c>
      <c r="Y76" s="3">
        <v>6.58</v>
      </c>
      <c r="Z76" s="3">
        <v>1.6259999999999999</v>
      </c>
      <c r="AA76" s="3">
        <v>-65.754999999999995</v>
      </c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2:48" x14ac:dyDescent="0.2">
      <c r="B77" s="15" t="s">
        <v>106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>
        <v>-573.43799999999999</v>
      </c>
      <c r="Y77" s="3">
        <v>66.584000000000003</v>
      </c>
      <c r="Z77" s="3">
        <v>-156.08500000000001</v>
      </c>
      <c r="AA77" s="3">
        <v>-188.71</v>
      </c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2:48" x14ac:dyDescent="0.2">
      <c r="B78" s="15" t="s">
        <v>95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>
        <v>-66.713999999999999</v>
      </c>
      <c r="Y78" s="3">
        <v>1.9079999999999999</v>
      </c>
      <c r="Z78" s="3">
        <v>-2.0310000000000001</v>
      </c>
      <c r="AA78" s="3">
        <v>-170.21600000000001</v>
      </c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2:48" x14ac:dyDescent="0.2">
      <c r="B79" s="15" t="s">
        <v>96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-54.832999999999998</v>
      </c>
      <c r="Y79" s="3">
        <v>40.587000000000003</v>
      </c>
      <c r="Z79" s="3">
        <v>-71.789000000000001</v>
      </c>
      <c r="AA79" s="3">
        <v>47.779000000000003</v>
      </c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2:48" x14ac:dyDescent="0.2">
      <c r="B80" s="15" t="s">
        <v>97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>
        <v>-36.518000000000001</v>
      </c>
      <c r="Y80" s="3">
        <v>-53.28</v>
      </c>
      <c r="Z80" s="3">
        <v>-73.204999999999998</v>
      </c>
      <c r="AA80" s="3">
        <v>-70.350999999999999</v>
      </c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2:48" x14ac:dyDescent="0.2">
      <c r="B81" s="15" t="s">
        <v>98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>
        <v>-107.28</v>
      </c>
      <c r="Y81" s="3">
        <v>177.36699999999999</v>
      </c>
      <c r="Z81" s="3">
        <v>-57.043999999999997</v>
      </c>
      <c r="AA81" s="3">
        <v>45.856000000000002</v>
      </c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2:48" x14ac:dyDescent="0.2">
      <c r="B82" s="15" t="s">
        <v>99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>
        <v>65.364000000000004</v>
      </c>
      <c r="Y82" s="3">
        <v>-71.733999999999995</v>
      </c>
      <c r="Z82" s="3">
        <v>193.13900000000001</v>
      </c>
      <c r="AA82" s="3">
        <v>98.421000000000006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2:48" x14ac:dyDescent="0.2">
      <c r="B83" s="15" t="s">
        <v>100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>
        <v>47.253999999999998</v>
      </c>
      <c r="Y83" s="3">
        <v>70.326999999999998</v>
      </c>
      <c r="Z83" s="3">
        <v>-112.11</v>
      </c>
      <c r="AA83" s="3">
        <v>-24.736999999999998</v>
      </c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2:48" x14ac:dyDescent="0.2">
      <c r="B84" s="15" t="s">
        <v>101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>
        <v>35.985999999999997</v>
      </c>
      <c r="Y84" s="3">
        <v>-173.196</v>
      </c>
      <c r="Z84" s="3">
        <v>157.20500000000001</v>
      </c>
      <c r="AA84" s="3">
        <v>-150.48599999999999</v>
      </c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2:48" x14ac:dyDescent="0.2">
      <c r="B85" s="15" t="s">
        <v>102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>
        <v>68.266000000000005</v>
      </c>
      <c r="Y85" s="3">
        <v>84.314999999999998</v>
      </c>
      <c r="Z85" s="3">
        <v>42.41</v>
      </c>
      <c r="AA85" s="3">
        <v>41.253</v>
      </c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2:48" x14ac:dyDescent="0.2">
      <c r="B86" s="15" t="s">
        <v>103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>
        <v>23.905000000000001</v>
      </c>
      <c r="Y86" s="3">
        <v>37.534999999999997</v>
      </c>
      <c r="Z86" s="3">
        <v>23.501000000000001</v>
      </c>
      <c r="AA86" s="3">
        <v>6.8840000000000003</v>
      </c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2:48" x14ac:dyDescent="0.2">
      <c r="B87" s="15" t="s">
        <v>104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>
        <v>-2.9249999999999998</v>
      </c>
      <c r="Y87" s="3">
        <v>12.23</v>
      </c>
      <c r="Z87" s="3">
        <v>2.488</v>
      </c>
      <c r="AA87" s="3">
        <v>20.632000000000001</v>
      </c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2:48" x14ac:dyDescent="0.2">
      <c r="B88" s="15" t="s">
        <v>105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>
        <f t="shared" ref="W88:Y88" si="72">+SUM(W76:W87)</f>
        <v>0</v>
      </c>
      <c r="X88" s="3">
        <f t="shared" si="72"/>
        <v>-659.91999999999985</v>
      </c>
      <c r="Y88" s="3">
        <f t="shared" si="72"/>
        <v>199.22299999999998</v>
      </c>
      <c r="Z88" s="3">
        <f>+SUM(Z76:Z87)</f>
        <v>-51.894999999999953</v>
      </c>
      <c r="AA88" s="3">
        <f>+SUM(AA76:AA87)</f>
        <v>-409.43000000000006</v>
      </c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2:48" x14ac:dyDescent="0.2">
      <c r="B89" s="1" t="s">
        <v>88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1">
        <f t="shared" ref="T89:Y89" si="73">+SUM(T88,T69:T75)</f>
        <v>0</v>
      </c>
      <c r="U89" s="11">
        <f t="shared" si="73"/>
        <v>0</v>
      </c>
      <c r="V89" s="11">
        <f t="shared" si="73"/>
        <v>0</v>
      </c>
      <c r="W89" s="11">
        <f t="shared" si="73"/>
        <v>0</v>
      </c>
      <c r="X89" s="11">
        <f t="shared" si="73"/>
        <v>966.46300000000019</v>
      </c>
      <c r="Y89" s="11">
        <f t="shared" si="73"/>
        <v>2296.1640000000011</v>
      </c>
      <c r="Z89" s="11">
        <f>+SUM(Z88,Z69:Z75)</f>
        <v>2272.7130000000006</v>
      </c>
      <c r="AA89" s="11">
        <f>+SUM(AA88,AA69:AA75)</f>
        <v>1602.4870000000005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2:48" x14ac:dyDescent="0.2">
      <c r="B90" s="15" t="s">
        <v>108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>
        <v>-638.65700000000004</v>
      </c>
      <c r="Y90" s="3">
        <v>-651.86500000000001</v>
      </c>
      <c r="Z90" s="3">
        <v>-689.23199999999997</v>
      </c>
      <c r="AA90" s="3">
        <v>-680.80200000000002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2:48" x14ac:dyDescent="0.2">
      <c r="B91" s="15" t="s">
        <v>109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>
        <v>47.804000000000002</v>
      </c>
      <c r="Y91" s="3">
        <v>-1.609</v>
      </c>
      <c r="Z91" s="3">
        <v>50.213000000000001</v>
      </c>
      <c r="AA91" s="3">
        <v>27.204999999999998</v>
      </c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2:48" x14ac:dyDescent="0.2">
      <c r="B92" s="15" t="s">
        <v>110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>
        <v>0</v>
      </c>
      <c r="Y92" s="3">
        <v>0</v>
      </c>
      <c r="Z92" s="3">
        <v>-154.14599999999999</v>
      </c>
      <c r="AA92" s="3">
        <v>0</v>
      </c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2:48" x14ac:dyDescent="0.2">
      <c r="B93" s="15" t="s">
        <v>47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>
        <v>20.916</v>
      </c>
      <c r="Y93" s="3">
        <v>-0.65800000000000003</v>
      </c>
      <c r="Z93" s="3">
        <v>-5.0090000000000003</v>
      </c>
      <c r="AA93" s="3">
        <v>-8.5210000000000008</v>
      </c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2:48" x14ac:dyDescent="0.2">
      <c r="B94" s="1" t="s">
        <v>107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11">
        <f t="shared" ref="W94:Y94" si="74">+SUM(W90:W93)</f>
        <v>0</v>
      </c>
      <c r="X94" s="11">
        <f t="shared" si="74"/>
        <v>-569.93700000000001</v>
      </c>
      <c r="Y94" s="11">
        <f t="shared" si="74"/>
        <v>-654.13200000000006</v>
      </c>
      <c r="Z94" s="11">
        <f>+SUM(Z90:Z93)</f>
        <v>-798.17399999999998</v>
      </c>
      <c r="AA94" s="11">
        <f>+SUM(AA90:AA93)</f>
        <v>-662.11799999999994</v>
      </c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2:48" x14ac:dyDescent="0.2">
      <c r="B95" s="15" t="s">
        <v>111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>
        <v>11.704000000000001</v>
      </c>
      <c r="Y95" s="3">
        <v>42.43</v>
      </c>
      <c r="Z95" s="3">
        <v>19.812999999999999</v>
      </c>
      <c r="AA95" s="3">
        <v>8.3770000000000007</v>
      </c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2:48" x14ac:dyDescent="0.2">
      <c r="B96" s="15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>
        <v>-35.158000000000001</v>
      </c>
      <c r="Y96" s="3">
        <v>-32.573999999999998</v>
      </c>
      <c r="Z96" s="3">
        <v>-35.409999999999997</v>
      </c>
      <c r="AA96" s="3">
        <v>-27.372</v>
      </c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2:48" x14ac:dyDescent="0.2">
      <c r="B97" s="15" t="s">
        <v>113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>
        <v>-444.00099999999998</v>
      </c>
      <c r="Y97" s="3">
        <v>-558.65200000000004</v>
      </c>
      <c r="Z97" s="3">
        <v>-1636.8789999999999</v>
      </c>
      <c r="AA97" s="3">
        <v>-1178.3489999999999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2:48" x14ac:dyDescent="0.2">
      <c r="B98" s="15" t="s">
        <v>47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>
        <v>-3.2000000000000001E-2</v>
      </c>
      <c r="Y98" s="3">
        <v>-3.2000000000000001E-2</v>
      </c>
      <c r="Z98" s="3">
        <v>-3.2000000000000001E-2</v>
      </c>
      <c r="AA98" s="3">
        <v>-11.311999999999999</v>
      </c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2:48" x14ac:dyDescent="0.2">
      <c r="B99" s="1" t="s">
        <v>114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11">
        <f t="shared" ref="W99:Y99" si="75">+SUM(W95:W98)</f>
        <v>0</v>
      </c>
      <c r="X99" s="11">
        <f t="shared" si="75"/>
        <v>-467.48699999999997</v>
      </c>
      <c r="Y99" s="11">
        <f t="shared" si="75"/>
        <v>-548.82800000000009</v>
      </c>
      <c r="Z99" s="11">
        <f>+SUM(Z95:Z98)</f>
        <v>-1652.5079999999998</v>
      </c>
      <c r="AA99" s="11">
        <f>+SUM(AA95:AA98)</f>
        <v>-1208.6559999999997</v>
      </c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2:48" x14ac:dyDescent="0.2">
      <c r="B100" s="15" t="s">
        <v>115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>
        <v>-34.042999999999999</v>
      </c>
      <c r="Y100" s="3">
        <v>-4.0999999999999996</v>
      </c>
      <c r="Z100" s="3">
        <v>-81.665999999999997</v>
      </c>
      <c r="AA100" s="3">
        <v>91.162999999999997</v>
      </c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2:48" x14ac:dyDescent="0.2">
      <c r="B101" s="15" t="s">
        <v>116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>
        <f t="shared" ref="W101:Y101" si="76">+SUM(W99,W100,W94,W89)</f>
        <v>0</v>
      </c>
      <c r="X101" s="3">
        <f t="shared" si="76"/>
        <v>-105.00399999999991</v>
      </c>
      <c r="Y101" s="3">
        <f t="shared" si="76"/>
        <v>1089.104000000001</v>
      </c>
      <c r="Z101" s="3">
        <f>+SUM(Z99,Z100,Z94,Z89)</f>
        <v>-259.63499999999931</v>
      </c>
      <c r="AA101" s="3">
        <f>+SUM(AA99,AA100,AA94,AA89)</f>
        <v>-177.12399999999911</v>
      </c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2:48" x14ac:dyDescent="0.2">
      <c r="B102" s="15" t="s">
        <v>117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>
        <v>1259.8710000000001</v>
      </c>
      <c r="Y102" s="3">
        <v>1154.867</v>
      </c>
      <c r="Z102" s="3">
        <v>2243.971</v>
      </c>
      <c r="AA102" s="3">
        <f>+Z103</f>
        <v>1984.3360000000007</v>
      </c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2:48" x14ac:dyDescent="0.2">
      <c r="B103" s="15" t="s">
        <v>118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>
        <f>+Y102</f>
        <v>1154.867</v>
      </c>
      <c r="Y103" s="3">
        <f>+Z102</f>
        <v>2243.971</v>
      </c>
      <c r="Z103" s="3">
        <f>+Z102+Z101</f>
        <v>1984.3360000000007</v>
      </c>
      <c r="AA103" s="3">
        <f>+AA101+AA102</f>
        <v>1807.2120000000016</v>
      </c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2:4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2:4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2:48" x14ac:dyDescent="0.2">
      <c r="B106" s="19" t="s">
        <v>124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>
        <f t="shared" ref="X106:AA106" si="77">+X89+X90</f>
        <v>327.80600000000015</v>
      </c>
      <c r="Y106" s="3">
        <f t="shared" si="77"/>
        <v>1644.2990000000011</v>
      </c>
      <c r="Z106" s="3">
        <f t="shared" si="77"/>
        <v>1583.4810000000007</v>
      </c>
      <c r="AA106" s="3">
        <f>+AA89+AA90</f>
        <v>921.68500000000051</v>
      </c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2:4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2:4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2:4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2:4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2:4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2:4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3:4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3:4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3:4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3:4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3:4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3:4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3:4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3:4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3:4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3:4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3:4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3:4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3:4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3:4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3:4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3:4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3:4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3:4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3:4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3:4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3:4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3:4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3:4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3:4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3:4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3:4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3:4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3:4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3:4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3:4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3:4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3:4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3:4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3:4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3:4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3:4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3:4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3:4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3:4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3:4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3:4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3:4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3:4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3:4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3:4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3:4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3:4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3:4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3:4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3:4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3:4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3:4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3:4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3:4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3:4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3:4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3:4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3:4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3:4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3:4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3:4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3:4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3:4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3:4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3:4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3:4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3:4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3:4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3:4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3:4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3:4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3:4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3:4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3:4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3:4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3:4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3:4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3:4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3:4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3:4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3:4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3:4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3:4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3:4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3:4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3:4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3:4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3:4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3:4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3:4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3:4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3:4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3:4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3:4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3:4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3:4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3:4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3:4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3:4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3:4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3:4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3:4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3:4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3:4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3:4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3:4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3:4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3:4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3:4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3:4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3:4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3:4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3:4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3:4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3:4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3:4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3:4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3:4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3:4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3:4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3:4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3:4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3:4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3:4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3:4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3:4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3:4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3:4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3:4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3:4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3:4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3:4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3:4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3:4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3:4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3:4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3:4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3:4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3:4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3:4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3:4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3:4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3:48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3:48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3:48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3:48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3:48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3:48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3:48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3:48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3:48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3:48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3:48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3:48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3:48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3:48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3:48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3:48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3:48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3:48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3:48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3:48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3:48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3:48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3:48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3:48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3:48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3:48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3:48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3:48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3:48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3:48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3:48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3:48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3:48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3:48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3:48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3:48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3:48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3:48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3:48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3:48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3:48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3:48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3:48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3:48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3:48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3:48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3:48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3:48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3:48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3:48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3:2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3:2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3:2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3:2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3:2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3:2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3:2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3:2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3:2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3:2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3:2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3:2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3:2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3:2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3:26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3:26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3:26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3:26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3:26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3:26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</sheetData>
  <hyperlinks>
    <hyperlink ref="A1" location="Main!A1" display="Main" xr:uid="{F06D5481-2FC0-41C0-A8FD-A8300E89068C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2B934-80D2-4148-9B7A-8C50C20946BF}">
  <dimension ref="A1"/>
  <sheetViews>
    <sheetView topLeftCell="A13"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27C7-F52E-4B5A-9125-C20B41FF762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2024-06-18T16:04:09Z</dcterms:created>
  <dcterms:modified xsi:type="dcterms:W3CDTF">2026-07-27T08:50:55Z</dcterms:modified>
</cp:coreProperties>
</file>