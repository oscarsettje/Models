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D4CD9F7F-C5BB-4338-91EB-4983C48AD95A}" xr6:coauthVersionLast="47" xr6:coauthVersionMax="47" xr10:uidLastSave="{00000000-0000-0000-0000-000000000000}"/>
  <bookViews>
    <workbookView xWindow="19095" yWindow="0" windowWidth="19410" windowHeight="20985" xr2:uid="{833B3248-1BC2-4BAF-AC24-6FD47873AD76}"/>
  </bookViews>
  <sheets>
    <sheet name="Main" sheetId="1" r:id="rId1"/>
    <sheet name="Quarters" sheetId="5" r:id="rId2"/>
    <sheet name="Model" sheetId="2" r:id="rId3"/>
    <sheet name="Ratios" sheetId="3" r:id="rId4"/>
    <sheet name="DCF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  <c r="I34" i="2"/>
  <c r="I32" i="2"/>
  <c r="I30" i="2"/>
  <c r="I26" i="2"/>
  <c r="I46" i="2" s="1"/>
  <c r="I21" i="2"/>
  <c r="I36" i="2"/>
  <c r="F9" i="2"/>
  <c r="G9" i="2"/>
  <c r="H9" i="2"/>
  <c r="I9" i="2"/>
  <c r="I10" i="2" s="1"/>
  <c r="J48" i="2"/>
  <c r="I48" i="2"/>
  <c r="H48" i="2"/>
  <c r="J47" i="2"/>
  <c r="I47" i="2"/>
  <c r="H47" i="2"/>
  <c r="J46" i="2"/>
  <c r="H46" i="2"/>
  <c r="J45" i="2"/>
  <c r="I45" i="2"/>
  <c r="H45" i="2"/>
  <c r="J44" i="2"/>
  <c r="I44" i="2"/>
  <c r="H44" i="2"/>
  <c r="J43" i="2"/>
  <c r="I43" i="2"/>
  <c r="H43" i="2"/>
  <c r="J42" i="2"/>
  <c r="I42" i="2"/>
  <c r="H42" i="2"/>
  <c r="J41" i="2"/>
  <c r="I41" i="2"/>
  <c r="H41" i="2"/>
  <c r="J40" i="2"/>
  <c r="I40" i="2"/>
  <c r="H40" i="2"/>
  <c r="J39" i="2"/>
  <c r="I39" i="2"/>
  <c r="H39" i="2"/>
  <c r="H36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0" i="2"/>
  <c r="K28" i="5"/>
  <c r="K27" i="5"/>
  <c r="K26" i="5"/>
  <c r="K25" i="5"/>
  <c r="K24" i="5"/>
  <c r="K23" i="5"/>
  <c r="K22" i="5"/>
  <c r="K21" i="5"/>
  <c r="K20" i="5"/>
  <c r="K19" i="5"/>
  <c r="K18" i="5"/>
  <c r="K17" i="5"/>
  <c r="J15" i="5"/>
  <c r="J28" i="5" s="1"/>
  <c r="J14" i="5"/>
  <c r="J13" i="5"/>
  <c r="J27" i="5" s="1"/>
  <c r="J12" i="5"/>
  <c r="J26" i="5" s="1"/>
  <c r="J11" i="5"/>
  <c r="J10" i="5"/>
  <c r="J24" i="5" s="1"/>
  <c r="J9" i="5"/>
  <c r="K23" i="3"/>
  <c r="K24" i="3" s="1"/>
  <c r="K21" i="3"/>
  <c r="K20" i="3"/>
  <c r="K32" i="3"/>
  <c r="K30" i="3"/>
  <c r="K31" i="3" s="1"/>
  <c r="S108" i="2"/>
  <c r="S100" i="2"/>
  <c r="S80" i="2"/>
  <c r="S81" i="2" s="1"/>
  <c r="S75" i="2"/>
  <c r="S69" i="2"/>
  <c r="S63" i="2"/>
  <c r="S65" i="2"/>
  <c r="S59" i="2"/>
  <c r="V59" i="4"/>
  <c r="E15" i="5"/>
  <c r="I15" i="5"/>
  <c r="J3" i="4"/>
  <c r="O3" i="4" s="1"/>
  <c r="V61" i="4"/>
  <c r="V58" i="4"/>
  <c r="R46" i="4"/>
  <c r="S46" i="4" s="1"/>
  <c r="T46" i="4" s="1"/>
  <c r="U46" i="4" s="1"/>
  <c r="V46" i="4" s="1"/>
  <c r="Q46" i="4"/>
  <c r="T46" i="2"/>
  <c r="U46" i="2" s="1"/>
  <c r="N34" i="4"/>
  <c r="N32" i="4" s="1" a="1"/>
  <c r="N32" i="4" s="1"/>
  <c r="M34" i="4"/>
  <c r="M33" i="4" s="1"/>
  <c r="T8" i="2"/>
  <c r="U8" i="2" s="1"/>
  <c r="V8" i="2" s="1"/>
  <c r="W8" i="2" s="1"/>
  <c r="X8" i="2" s="1"/>
  <c r="Y8" i="2" s="1"/>
  <c r="Z8" i="2" s="1"/>
  <c r="AA8" i="2" s="1"/>
  <c r="AB8" i="2" s="1"/>
  <c r="T7" i="2"/>
  <c r="U7" i="2" s="1"/>
  <c r="V7" i="2" s="1"/>
  <c r="W7" i="2" s="1"/>
  <c r="X7" i="2" s="1"/>
  <c r="Y7" i="2" s="1"/>
  <c r="Z7" i="2" s="1"/>
  <c r="AA7" i="2" s="1"/>
  <c r="AB7" i="2" s="1"/>
  <c r="T6" i="2"/>
  <c r="U6" i="2" s="1"/>
  <c r="V6" i="2" s="1"/>
  <c r="W6" i="2" s="1"/>
  <c r="X6" i="2" s="1"/>
  <c r="Y6" i="2" s="1"/>
  <c r="Z6" i="2" s="1"/>
  <c r="AA6" i="2" s="1"/>
  <c r="AB6" i="2" s="1"/>
  <c r="T5" i="2"/>
  <c r="U5" i="2" s="1"/>
  <c r="V5" i="2" s="1"/>
  <c r="W5" i="2" s="1"/>
  <c r="X5" i="2" s="1"/>
  <c r="Y5" i="2" s="1"/>
  <c r="Z5" i="2" s="1"/>
  <c r="AA5" i="2" s="1"/>
  <c r="AB5" i="2" s="1"/>
  <c r="T4" i="2"/>
  <c r="U4" i="2" s="1"/>
  <c r="V4" i="2" s="1"/>
  <c r="W4" i="2" s="1"/>
  <c r="X4" i="2" s="1"/>
  <c r="Y4" i="2" s="1"/>
  <c r="Z4" i="2" s="1"/>
  <c r="T3" i="2"/>
  <c r="S43" i="2"/>
  <c r="S42" i="2"/>
  <c r="S41" i="2"/>
  <c r="S40" i="2"/>
  <c r="S39" i="2"/>
  <c r="S19" i="2"/>
  <c r="S21" i="2" s="1"/>
  <c r="S26" i="2" s="1"/>
  <c r="R10" i="2"/>
  <c r="Q10" i="2"/>
  <c r="P10" i="2"/>
  <c r="O10" i="2"/>
  <c r="N10" i="2"/>
  <c r="M10" i="2"/>
  <c r="L10" i="2"/>
  <c r="H108" i="2"/>
  <c r="G108" i="2"/>
  <c r="F108" i="2"/>
  <c r="E108" i="2"/>
  <c r="D108" i="2"/>
  <c r="C108" i="2"/>
  <c r="H100" i="2"/>
  <c r="G100" i="2"/>
  <c r="F100" i="2"/>
  <c r="E100" i="2"/>
  <c r="D100" i="2"/>
  <c r="C100" i="2"/>
  <c r="H86" i="2"/>
  <c r="H95" i="2" s="1"/>
  <c r="H81" i="2"/>
  <c r="G81" i="2"/>
  <c r="F81" i="2"/>
  <c r="E81" i="2"/>
  <c r="D81" i="2"/>
  <c r="C81" i="2"/>
  <c r="H75" i="2"/>
  <c r="G75" i="2"/>
  <c r="F75" i="2"/>
  <c r="E75" i="2"/>
  <c r="D75" i="2"/>
  <c r="C75" i="2"/>
  <c r="H69" i="2"/>
  <c r="G69" i="2"/>
  <c r="F69" i="2"/>
  <c r="E69" i="2"/>
  <c r="D69" i="2"/>
  <c r="C69" i="2"/>
  <c r="H65" i="2"/>
  <c r="H66" i="2" s="1"/>
  <c r="F65" i="2"/>
  <c r="E65" i="2"/>
  <c r="D65" i="2"/>
  <c r="D66" i="2" s="1"/>
  <c r="C65" i="2"/>
  <c r="C66" i="2" s="1"/>
  <c r="G65" i="2"/>
  <c r="G59" i="2"/>
  <c r="G66" i="2" s="1"/>
  <c r="F59" i="2"/>
  <c r="E59" i="2"/>
  <c r="D14" i="5"/>
  <c r="D15" i="5"/>
  <c r="H28" i="5" s="1"/>
  <c r="H15" i="5"/>
  <c r="H14" i="5"/>
  <c r="G43" i="2"/>
  <c r="G42" i="2"/>
  <c r="G41" i="2"/>
  <c r="G40" i="2"/>
  <c r="G39" i="2"/>
  <c r="G19" i="2"/>
  <c r="G10" i="2" s="1"/>
  <c r="J22" i="5"/>
  <c r="I22" i="5"/>
  <c r="J21" i="5"/>
  <c r="I21" i="5"/>
  <c r="J20" i="5"/>
  <c r="I20" i="5"/>
  <c r="J19" i="5"/>
  <c r="I19" i="5"/>
  <c r="J18" i="5"/>
  <c r="I18" i="5"/>
  <c r="J17" i="5"/>
  <c r="I17" i="5"/>
  <c r="H22" i="5"/>
  <c r="H21" i="5"/>
  <c r="H20" i="5"/>
  <c r="H19" i="5"/>
  <c r="H18" i="5"/>
  <c r="H17" i="5"/>
  <c r="I27" i="5"/>
  <c r="H27" i="5"/>
  <c r="I26" i="5"/>
  <c r="H26" i="5"/>
  <c r="J25" i="5"/>
  <c r="I25" i="5"/>
  <c r="H25" i="5"/>
  <c r="I24" i="5"/>
  <c r="H24" i="5"/>
  <c r="J23" i="5"/>
  <c r="I23" i="5"/>
  <c r="H23" i="5"/>
  <c r="G27" i="5"/>
  <c r="G26" i="5"/>
  <c r="G25" i="5"/>
  <c r="G24" i="5"/>
  <c r="G23" i="5"/>
  <c r="G15" i="5"/>
  <c r="G5" i="5" s="1"/>
  <c r="G19" i="5" s="1"/>
  <c r="C15" i="5"/>
  <c r="C8" i="5" s="1"/>
  <c r="K48" i="4"/>
  <c r="J48" i="4"/>
  <c r="I48" i="4"/>
  <c r="H48" i="4"/>
  <c r="G48" i="4"/>
  <c r="L48" i="4"/>
  <c r="K45" i="4"/>
  <c r="J45" i="4"/>
  <c r="I45" i="4"/>
  <c r="H45" i="4"/>
  <c r="G45" i="4"/>
  <c r="L45" i="4"/>
  <c r="K42" i="4"/>
  <c r="J42" i="4"/>
  <c r="I42" i="4"/>
  <c r="H42" i="4"/>
  <c r="G42" i="4"/>
  <c r="L42" i="4"/>
  <c r="K37" i="4"/>
  <c r="J37" i="4"/>
  <c r="I37" i="4"/>
  <c r="H37" i="4"/>
  <c r="G37" i="4"/>
  <c r="L37" i="4"/>
  <c r="L25" i="4"/>
  <c r="K25" i="4"/>
  <c r="L26" i="4" s="1"/>
  <c r="J25" i="4"/>
  <c r="I25" i="4"/>
  <c r="H25" i="4"/>
  <c r="G25" i="4"/>
  <c r="H24" i="4"/>
  <c r="I24" i="4" s="1"/>
  <c r="J24" i="4" s="1"/>
  <c r="K24" i="4" s="1"/>
  <c r="L24" i="4" s="1"/>
  <c r="M24" i="4" s="1"/>
  <c r="N24" i="4" s="1"/>
  <c r="O24" i="4" s="1"/>
  <c r="P24" i="4" s="1"/>
  <c r="Q24" i="4" s="1"/>
  <c r="R24" i="4" s="1"/>
  <c r="S24" i="4" s="1"/>
  <c r="T24" i="4" s="1"/>
  <c r="U24" i="4" s="1"/>
  <c r="V24" i="4" s="1"/>
  <c r="E20" i="4"/>
  <c r="E19" i="4"/>
  <c r="E18" i="4"/>
  <c r="O4" i="4"/>
  <c r="E4" i="4"/>
  <c r="M53" i="4" s="1"/>
  <c r="N53" i="4" s="1"/>
  <c r="O53" i="4" s="1"/>
  <c r="P53" i="4" s="1"/>
  <c r="Q53" i="4" s="1"/>
  <c r="R53" i="4" s="1"/>
  <c r="S53" i="4" s="1"/>
  <c r="T53" i="4" s="1"/>
  <c r="U53" i="4" s="1"/>
  <c r="V53" i="4" s="1"/>
  <c r="J32" i="3"/>
  <c r="J30" i="3"/>
  <c r="J23" i="3"/>
  <c r="J24" i="3" s="1"/>
  <c r="J21" i="3"/>
  <c r="J20" i="3"/>
  <c r="R44" i="2"/>
  <c r="Q44" i="2"/>
  <c r="P44" i="2"/>
  <c r="O44" i="2"/>
  <c r="N44" i="2"/>
  <c r="R43" i="2"/>
  <c r="Q43" i="2"/>
  <c r="P43" i="2"/>
  <c r="O43" i="2"/>
  <c r="N43" i="2"/>
  <c r="R42" i="2"/>
  <c r="Q42" i="2"/>
  <c r="P42" i="2"/>
  <c r="O42" i="2"/>
  <c r="N42" i="2"/>
  <c r="R41" i="2"/>
  <c r="Q41" i="2"/>
  <c r="P41" i="2"/>
  <c r="O41" i="2"/>
  <c r="N41" i="2"/>
  <c r="R40" i="2"/>
  <c r="Q40" i="2"/>
  <c r="P40" i="2"/>
  <c r="O40" i="2"/>
  <c r="N40" i="2"/>
  <c r="R39" i="2"/>
  <c r="Q39" i="2"/>
  <c r="P39" i="2"/>
  <c r="O39" i="2"/>
  <c r="N39" i="2"/>
  <c r="M44" i="2"/>
  <c r="M43" i="2"/>
  <c r="M42" i="2"/>
  <c r="M41" i="2"/>
  <c r="M40" i="2"/>
  <c r="M39" i="2"/>
  <c r="F40" i="2"/>
  <c r="F39" i="2"/>
  <c r="E43" i="2"/>
  <c r="E42" i="2"/>
  <c r="E41" i="2"/>
  <c r="E40" i="2"/>
  <c r="E39" i="2"/>
  <c r="F33" i="2"/>
  <c r="F31" i="2"/>
  <c r="F29" i="2"/>
  <c r="F28" i="2"/>
  <c r="F27" i="2"/>
  <c r="F25" i="2"/>
  <c r="F24" i="2"/>
  <c r="F23" i="2"/>
  <c r="F22" i="2"/>
  <c r="F20" i="2"/>
  <c r="F18" i="2"/>
  <c r="F17" i="2"/>
  <c r="F16" i="2"/>
  <c r="F15" i="2"/>
  <c r="F14" i="2"/>
  <c r="F13" i="2"/>
  <c r="R108" i="2"/>
  <c r="R100" i="2"/>
  <c r="R81" i="2"/>
  <c r="R75" i="2"/>
  <c r="R69" i="2"/>
  <c r="R65" i="2"/>
  <c r="R59" i="2"/>
  <c r="D33" i="2"/>
  <c r="D31" i="2"/>
  <c r="D29" i="2"/>
  <c r="D28" i="2"/>
  <c r="D27" i="2"/>
  <c r="D25" i="2"/>
  <c r="D24" i="2"/>
  <c r="D23" i="2"/>
  <c r="D22" i="2"/>
  <c r="D20" i="2"/>
  <c r="D18" i="2"/>
  <c r="D17" i="2"/>
  <c r="D16" i="2"/>
  <c r="D15" i="2"/>
  <c r="D14" i="2"/>
  <c r="D13" i="2"/>
  <c r="H23" i="3"/>
  <c r="H24" i="3" s="1"/>
  <c r="G23" i="3"/>
  <c r="G24" i="3" s="1"/>
  <c r="F23" i="3"/>
  <c r="F24" i="3" s="1"/>
  <c r="E23" i="3"/>
  <c r="E24" i="3" s="1"/>
  <c r="D23" i="3"/>
  <c r="D24" i="3" s="1"/>
  <c r="I23" i="3"/>
  <c r="I24" i="3" s="1"/>
  <c r="H21" i="3"/>
  <c r="G21" i="3"/>
  <c r="F21" i="3"/>
  <c r="E21" i="3"/>
  <c r="D21" i="3"/>
  <c r="I21" i="3"/>
  <c r="H20" i="3"/>
  <c r="G20" i="3"/>
  <c r="F20" i="3"/>
  <c r="E20" i="3"/>
  <c r="D20" i="3"/>
  <c r="I20" i="3"/>
  <c r="H30" i="3"/>
  <c r="H31" i="3" s="1"/>
  <c r="G30" i="3"/>
  <c r="G31" i="3" s="1"/>
  <c r="F30" i="3"/>
  <c r="F31" i="3" s="1"/>
  <c r="E30" i="3"/>
  <c r="E31" i="3" s="1"/>
  <c r="D30" i="3"/>
  <c r="D31" i="3" s="1"/>
  <c r="I30" i="3"/>
  <c r="I31" i="3" s="1"/>
  <c r="H32" i="3"/>
  <c r="G32" i="3"/>
  <c r="F32" i="3"/>
  <c r="E32" i="3"/>
  <c r="D32" i="3"/>
  <c r="I32" i="3"/>
  <c r="N35" i="4" l="1"/>
  <c r="D82" i="2"/>
  <c r="S82" i="2"/>
  <c r="M35" i="4"/>
  <c r="M32" i="4" a="1"/>
  <c r="M32" i="4" s="1"/>
  <c r="K16" i="3"/>
  <c r="C82" i="2"/>
  <c r="V46" i="2"/>
  <c r="W46" i="2" s="1"/>
  <c r="X46" i="2" s="1"/>
  <c r="O34" i="4"/>
  <c r="S86" i="2"/>
  <c r="S95" i="2" s="1"/>
  <c r="K11" i="3"/>
  <c r="K34" i="3"/>
  <c r="S30" i="2"/>
  <c r="S32" i="2" s="1"/>
  <c r="S34" i="2" s="1"/>
  <c r="K7" i="3"/>
  <c r="K6" i="3"/>
  <c r="H82" i="2"/>
  <c r="N33" i="4"/>
  <c r="F82" i="2"/>
  <c r="H110" i="2"/>
  <c r="K15" i="3"/>
  <c r="F66" i="2"/>
  <c r="G82" i="2"/>
  <c r="K12" i="3"/>
  <c r="K33" i="3"/>
  <c r="K38" i="3"/>
  <c r="K25" i="3"/>
  <c r="S66" i="2"/>
  <c r="K22" i="3" s="1"/>
  <c r="T9" i="2"/>
  <c r="T19" i="2" s="1"/>
  <c r="T44" i="2" s="1"/>
  <c r="N28" i="4" s="1"/>
  <c r="U3" i="2"/>
  <c r="S10" i="2"/>
  <c r="S44" i="2"/>
  <c r="M28" i="4" s="1"/>
  <c r="I28" i="5"/>
  <c r="O5" i="4"/>
  <c r="Q34" i="4"/>
  <c r="P34" i="4"/>
  <c r="AA4" i="2"/>
  <c r="E82" i="2"/>
  <c r="E66" i="2"/>
  <c r="G21" i="2"/>
  <c r="J15" i="3"/>
  <c r="F43" i="2"/>
  <c r="F41" i="2"/>
  <c r="F42" i="2"/>
  <c r="L46" i="4"/>
  <c r="L49" i="4"/>
  <c r="G7" i="5"/>
  <c r="G21" i="5" s="1"/>
  <c r="C4" i="5"/>
  <c r="C5" i="5"/>
  <c r="G4" i="5"/>
  <c r="G18" i="5" s="1"/>
  <c r="C3" i="5"/>
  <c r="C6" i="5"/>
  <c r="G3" i="5"/>
  <c r="G17" i="5" s="1"/>
  <c r="G6" i="5"/>
  <c r="G20" i="5" s="1"/>
  <c r="G8" i="5"/>
  <c r="G22" i="5" s="1"/>
  <c r="C7" i="5"/>
  <c r="G28" i="5"/>
  <c r="H49" i="4"/>
  <c r="I49" i="4"/>
  <c r="J49" i="4"/>
  <c r="K49" i="4"/>
  <c r="J26" i="4"/>
  <c r="L43" i="4"/>
  <c r="J31" i="3"/>
  <c r="J33" i="3" s="1"/>
  <c r="H46" i="4"/>
  <c r="I46" i="4"/>
  <c r="J46" i="4"/>
  <c r="K46" i="4"/>
  <c r="G49" i="4"/>
  <c r="H26" i="4"/>
  <c r="I26" i="4"/>
  <c r="G43" i="4"/>
  <c r="H43" i="4"/>
  <c r="I43" i="4"/>
  <c r="K26" i="4"/>
  <c r="J43" i="4"/>
  <c r="K43" i="4"/>
  <c r="G46" i="4"/>
  <c r="J25" i="3"/>
  <c r="R66" i="2"/>
  <c r="J22" i="3" s="1"/>
  <c r="R82" i="2"/>
  <c r="R21" i="2"/>
  <c r="R45" i="2" s="1"/>
  <c r="E33" i="3"/>
  <c r="E40" i="3" s="1"/>
  <c r="M20" i="3"/>
  <c r="M21" i="3"/>
  <c r="D25" i="3"/>
  <c r="E25" i="3"/>
  <c r="F33" i="3"/>
  <c r="H33" i="3"/>
  <c r="H40" i="3" s="1"/>
  <c r="M24" i="3"/>
  <c r="H25" i="3"/>
  <c r="I25" i="3"/>
  <c r="F25" i="3"/>
  <c r="M23" i="3"/>
  <c r="G25" i="3"/>
  <c r="I33" i="3"/>
  <c r="D33" i="3"/>
  <c r="G33" i="3"/>
  <c r="Q32" i="4" l="1" a="1"/>
  <c r="Q32" i="4" s="1"/>
  <c r="Q33" i="4"/>
  <c r="Q35" i="4"/>
  <c r="P32" i="4" a="1"/>
  <c r="P32" i="4" s="1"/>
  <c r="P33" i="4"/>
  <c r="P35" i="4"/>
  <c r="O32" i="4" a="1"/>
  <c r="O32" i="4" s="1"/>
  <c r="O33" i="4"/>
  <c r="O35" i="4"/>
  <c r="K9" i="3"/>
  <c r="S36" i="2"/>
  <c r="K4" i="3"/>
  <c r="K36" i="3"/>
  <c r="K37" i="3" s="1"/>
  <c r="K5" i="3"/>
  <c r="S114" i="2"/>
  <c r="S110" i="2"/>
  <c r="S112" i="2" s="1"/>
  <c r="Y46" i="2"/>
  <c r="R34" i="4"/>
  <c r="V3" i="2"/>
  <c r="U9" i="2"/>
  <c r="U19" i="2" s="1"/>
  <c r="U44" i="2" s="1"/>
  <c r="O28" i="4" s="1"/>
  <c r="M29" i="4"/>
  <c r="M27" i="4"/>
  <c r="M26" i="4" a="1"/>
  <c r="M26" i="4" s="1"/>
  <c r="M25" i="4" s="1"/>
  <c r="M48" i="4" s="1"/>
  <c r="N26" i="4" a="1"/>
  <c r="N26" i="4" s="1"/>
  <c r="N27" i="4"/>
  <c r="N29" i="4"/>
  <c r="AB4" i="2"/>
  <c r="G26" i="2"/>
  <c r="G86" i="2" s="1"/>
  <c r="G95" i="2" s="1"/>
  <c r="G45" i="2"/>
  <c r="J38" i="3"/>
  <c r="J40" i="3"/>
  <c r="R26" i="2"/>
  <c r="M25" i="3"/>
  <c r="F40" i="3"/>
  <c r="G40" i="3"/>
  <c r="D40" i="3"/>
  <c r="I40" i="3"/>
  <c r="R32" i="4" l="1" a="1"/>
  <c r="R32" i="4" s="1"/>
  <c r="R33" i="4"/>
  <c r="R35" i="4"/>
  <c r="S34" i="4"/>
  <c r="Z46" i="2"/>
  <c r="K10" i="3"/>
  <c r="M42" i="4"/>
  <c r="M45" i="4"/>
  <c r="M31" i="4"/>
  <c r="M37" i="4" s="1"/>
  <c r="O26" i="4" a="1"/>
  <c r="O26" i="4" s="1"/>
  <c r="O27" i="4"/>
  <c r="O29" i="4"/>
  <c r="W3" i="2"/>
  <c r="V9" i="2"/>
  <c r="V19" i="2" s="1"/>
  <c r="V44" i="2" s="1"/>
  <c r="P28" i="4" s="1"/>
  <c r="N25" i="4"/>
  <c r="N31" i="4" s="1"/>
  <c r="N37" i="4" s="1"/>
  <c r="N40" i="4" s="1"/>
  <c r="G110" i="2"/>
  <c r="G114" i="2"/>
  <c r="G30" i="2"/>
  <c r="G46" i="2"/>
  <c r="L31" i="4"/>
  <c r="J16" i="3"/>
  <c r="J7" i="3"/>
  <c r="J5" i="3"/>
  <c r="J41" i="3"/>
  <c r="J42" i="3"/>
  <c r="R46" i="2"/>
  <c r="J34" i="3" s="1"/>
  <c r="R30" i="2"/>
  <c r="R32" i="2" s="1"/>
  <c r="R34" i="2" s="1"/>
  <c r="R86" i="2"/>
  <c r="R95" i="2" s="1"/>
  <c r="M40" i="3"/>
  <c r="T34" i="4" l="1"/>
  <c r="AA46" i="2"/>
  <c r="S32" i="4" a="1"/>
  <c r="S32" i="4" s="1"/>
  <c r="S33" i="4"/>
  <c r="S35" i="4"/>
  <c r="M40" i="4"/>
  <c r="M51" i="4" s="1"/>
  <c r="M52" i="4" s="1"/>
  <c r="P26" i="4" a="1"/>
  <c r="P26" i="4" s="1"/>
  <c r="P29" i="4"/>
  <c r="P27" i="4"/>
  <c r="X3" i="2"/>
  <c r="W9" i="2"/>
  <c r="W19" i="2" s="1"/>
  <c r="W44" i="2" s="1"/>
  <c r="Q28" i="4" s="1"/>
  <c r="N42" i="4"/>
  <c r="O25" i="4"/>
  <c r="O48" i="4" s="1"/>
  <c r="N45" i="4"/>
  <c r="N48" i="4"/>
  <c r="R110" i="2"/>
  <c r="R114" i="2"/>
  <c r="G32" i="2"/>
  <c r="G34" i="2" s="1"/>
  <c r="G48" i="2"/>
  <c r="L32" i="4"/>
  <c r="L40" i="4"/>
  <c r="L51" i="4" s="1"/>
  <c r="L38" i="4"/>
  <c r="J9" i="3"/>
  <c r="J4" i="3"/>
  <c r="R48" i="2"/>
  <c r="R36" i="2"/>
  <c r="R47" i="2"/>
  <c r="AB46" i="2" l="1"/>
  <c r="V34" i="4" s="1"/>
  <c r="U34" i="4"/>
  <c r="T33" i="4"/>
  <c r="T35" i="4"/>
  <c r="T32" i="4" a="1"/>
  <c r="T32" i="4" s="1"/>
  <c r="Y3" i="2"/>
  <c r="X9" i="2"/>
  <c r="X19" i="2" s="1"/>
  <c r="X44" i="2" s="1"/>
  <c r="R28" i="4" s="1"/>
  <c r="Q29" i="4"/>
  <c r="Q27" i="4"/>
  <c r="Q26" i="4" a="1"/>
  <c r="Q26" i="4" s="1"/>
  <c r="N51" i="4"/>
  <c r="N52" i="4" s="1"/>
  <c r="O42" i="4"/>
  <c r="P25" i="4"/>
  <c r="P48" i="4" s="1"/>
  <c r="O45" i="4"/>
  <c r="O31" i="4"/>
  <c r="O37" i="4" s="1"/>
  <c r="O40" i="4" s="1"/>
  <c r="G47" i="2"/>
  <c r="G36" i="2"/>
  <c r="J6" i="3"/>
  <c r="J11" i="3"/>
  <c r="J10" i="3"/>
  <c r="P112" i="2"/>
  <c r="P108" i="2"/>
  <c r="O108" i="2"/>
  <c r="N108" i="2"/>
  <c r="M108" i="2"/>
  <c r="L108" i="2"/>
  <c r="Q108" i="2"/>
  <c r="P100" i="2"/>
  <c r="O100" i="2"/>
  <c r="N100" i="2"/>
  <c r="M100" i="2"/>
  <c r="L100" i="2"/>
  <c r="Q100" i="2"/>
  <c r="P81" i="2"/>
  <c r="O81" i="2"/>
  <c r="N81" i="2"/>
  <c r="M81" i="2"/>
  <c r="L81" i="2"/>
  <c r="Q81" i="2"/>
  <c r="Q75" i="2"/>
  <c r="P75" i="2"/>
  <c r="O75" i="2"/>
  <c r="N75" i="2"/>
  <c r="M75" i="2"/>
  <c r="L75" i="2"/>
  <c r="P69" i="2"/>
  <c r="O69" i="2"/>
  <c r="N69" i="2"/>
  <c r="M69" i="2"/>
  <c r="L69" i="2"/>
  <c r="Q69" i="2"/>
  <c r="P65" i="2"/>
  <c r="O65" i="2"/>
  <c r="N65" i="2"/>
  <c r="M65" i="2"/>
  <c r="L65" i="2"/>
  <c r="Q65" i="2"/>
  <c r="P59" i="2"/>
  <c r="O59" i="2"/>
  <c r="N59" i="2"/>
  <c r="M59" i="2"/>
  <c r="L59" i="2"/>
  <c r="Q59" i="2"/>
  <c r="P21" i="2"/>
  <c r="P26" i="2" s="1"/>
  <c r="O21" i="2"/>
  <c r="O26" i="2" s="1"/>
  <c r="N21" i="2"/>
  <c r="N26" i="2" s="1"/>
  <c r="H31" i="4" s="1"/>
  <c r="M21" i="2"/>
  <c r="M45" i="2" s="1"/>
  <c r="L21" i="2"/>
  <c r="L45" i="2" s="1"/>
  <c r="Q21" i="2"/>
  <c r="Q26" i="2" s="1"/>
  <c r="I6" i="1"/>
  <c r="I9" i="1" s="1"/>
  <c r="C19" i="2"/>
  <c r="F19" i="2"/>
  <c r="F10" i="2" s="1"/>
  <c r="E19" i="2"/>
  <c r="D19" i="2"/>
  <c r="U32" i="4" l="1" a="1"/>
  <c r="U32" i="4" s="1"/>
  <c r="U35" i="4"/>
  <c r="U33" i="4"/>
  <c r="V32" i="4" a="1"/>
  <c r="V32" i="4" s="1"/>
  <c r="V35" i="4"/>
  <c r="V33" i="4"/>
  <c r="J12" i="3"/>
  <c r="Q25" i="4"/>
  <c r="Q31" i="4" s="1"/>
  <c r="Q37" i="4" s="1"/>
  <c r="Q40" i="4" s="1"/>
  <c r="P31" i="4"/>
  <c r="P37" i="4" s="1"/>
  <c r="P40" i="4" s="1"/>
  <c r="P45" i="4"/>
  <c r="P42" i="4"/>
  <c r="R26" i="4" a="1"/>
  <c r="R26" i="4" s="1"/>
  <c r="R29" i="4"/>
  <c r="R27" i="4"/>
  <c r="Y9" i="2"/>
  <c r="Y19" i="2" s="1"/>
  <c r="Z3" i="2"/>
  <c r="O51" i="4"/>
  <c r="O52" i="4" s="1"/>
  <c r="E44" i="2"/>
  <c r="G44" i="2"/>
  <c r="F44" i="2"/>
  <c r="Q86" i="2"/>
  <c r="Q95" i="2" s="1"/>
  <c r="K31" i="4"/>
  <c r="P86" i="2"/>
  <c r="P95" i="2" s="1"/>
  <c r="P114" i="2" s="1"/>
  <c r="J31" i="4"/>
  <c r="H32" i="4"/>
  <c r="H40" i="4"/>
  <c r="H51" i="4" s="1"/>
  <c r="H38" i="4"/>
  <c r="O86" i="2"/>
  <c r="O95" i="2" s="1"/>
  <c r="I31" i="4"/>
  <c r="Q45" i="2"/>
  <c r="Q46" i="2"/>
  <c r="I34" i="3" s="1"/>
  <c r="D21" i="2"/>
  <c r="E21" i="2"/>
  <c r="C21" i="2"/>
  <c r="F21" i="2"/>
  <c r="F45" i="2" s="1"/>
  <c r="J36" i="3"/>
  <c r="J37" i="3" s="1"/>
  <c r="Q66" i="2"/>
  <c r="I22" i="3" s="1"/>
  <c r="E38" i="3"/>
  <c r="E15" i="3"/>
  <c r="F15" i="3"/>
  <c r="F38" i="3"/>
  <c r="Q30" i="2"/>
  <c r="I7" i="3"/>
  <c r="I16" i="3"/>
  <c r="I41" i="3"/>
  <c r="I42" i="3"/>
  <c r="N86" i="2"/>
  <c r="N95" i="2" s="1"/>
  <c r="F7" i="3"/>
  <c r="F42" i="3"/>
  <c r="F16" i="3"/>
  <c r="F41" i="3"/>
  <c r="N66" i="2"/>
  <c r="F22" i="3" s="1"/>
  <c r="O30" i="2"/>
  <c r="O32" i="2" s="1"/>
  <c r="O34" i="2" s="1"/>
  <c r="G7" i="3"/>
  <c r="G16" i="3"/>
  <c r="G41" i="3"/>
  <c r="G42" i="3"/>
  <c r="O66" i="2"/>
  <c r="G22" i="3" s="1"/>
  <c r="I38" i="3"/>
  <c r="I15" i="3"/>
  <c r="G15" i="3"/>
  <c r="G38" i="3"/>
  <c r="Q82" i="2"/>
  <c r="H15" i="3"/>
  <c r="H38" i="3"/>
  <c r="H7" i="3"/>
  <c r="H16" i="3"/>
  <c r="H42" i="3"/>
  <c r="H41" i="3"/>
  <c r="D38" i="3"/>
  <c r="D15" i="3"/>
  <c r="N82" i="2"/>
  <c r="L82" i="2"/>
  <c r="M82" i="2"/>
  <c r="M66" i="2"/>
  <c r="E22" i="3" s="1"/>
  <c r="P66" i="2"/>
  <c r="H22" i="3" s="1"/>
  <c r="O82" i="2"/>
  <c r="P82" i="2"/>
  <c r="M26" i="2"/>
  <c r="G31" i="4" s="1"/>
  <c r="L66" i="2"/>
  <c r="D22" i="3" s="1"/>
  <c r="L26" i="2"/>
  <c r="N46" i="2"/>
  <c r="F34" i="3" s="1"/>
  <c r="N30" i="2"/>
  <c r="P46" i="2"/>
  <c r="H34" i="3" s="1"/>
  <c r="P30" i="2"/>
  <c r="N45" i="2"/>
  <c r="O45" i="2"/>
  <c r="O46" i="2"/>
  <c r="G34" i="3" s="1"/>
  <c r="P45" i="2"/>
  <c r="P110" i="2" l="1"/>
  <c r="P111" i="2" s="1"/>
  <c r="O112" i="2" s="1"/>
  <c r="P51" i="4"/>
  <c r="P52" i="4" s="1"/>
  <c r="Q45" i="4"/>
  <c r="Q48" i="4"/>
  <c r="Q42" i="4"/>
  <c r="R25" i="4"/>
  <c r="R48" i="4" s="1"/>
  <c r="Y44" i="2"/>
  <c r="S28" i="4" s="1"/>
  <c r="AA3" i="2"/>
  <c r="Z9" i="2"/>
  <c r="Z19" i="2" s="1"/>
  <c r="Z44" i="2" s="1"/>
  <c r="T28" i="4" s="1"/>
  <c r="N110" i="2"/>
  <c r="N114" i="2"/>
  <c r="O110" i="2"/>
  <c r="O114" i="2"/>
  <c r="Q110" i="2"/>
  <c r="Q112" i="2" s="1"/>
  <c r="R111" i="2" s="1"/>
  <c r="R112" i="2" s="1"/>
  <c r="Q114" i="2"/>
  <c r="C26" i="2"/>
  <c r="C86" i="2" s="1"/>
  <c r="C95" i="2" s="1"/>
  <c r="C110" i="2" s="1"/>
  <c r="C45" i="2"/>
  <c r="D26" i="2"/>
  <c r="D86" i="2" s="1"/>
  <c r="D95" i="2" s="1"/>
  <c r="D110" i="2" s="1"/>
  <c r="D45" i="2"/>
  <c r="E26" i="2"/>
  <c r="E45" i="2"/>
  <c r="G32" i="4"/>
  <c r="G40" i="4"/>
  <c r="G51" i="4" s="1"/>
  <c r="G38" i="4"/>
  <c r="I32" i="4"/>
  <c r="I40" i="4"/>
  <c r="I51" i="4" s="1"/>
  <c r="I38" i="4"/>
  <c r="J32" i="4"/>
  <c r="J40" i="4"/>
  <c r="J51" i="4" s="1"/>
  <c r="J38" i="4"/>
  <c r="K32" i="4"/>
  <c r="K40" i="4"/>
  <c r="K51" i="4" s="1"/>
  <c r="K38" i="4"/>
  <c r="F26" i="2"/>
  <c r="F86" i="2" s="1"/>
  <c r="F95" i="2" s="1"/>
  <c r="F110" i="2" s="1"/>
  <c r="M15" i="3"/>
  <c r="I5" i="3"/>
  <c r="M38" i="3"/>
  <c r="O48" i="2"/>
  <c r="G6" i="3" s="1"/>
  <c r="O111" i="2"/>
  <c r="N112" i="2" s="1"/>
  <c r="N111" i="2" s="1"/>
  <c r="M112" i="2" s="1"/>
  <c r="O36" i="2"/>
  <c r="G9" i="3"/>
  <c r="G36" i="3"/>
  <c r="G4" i="3"/>
  <c r="D7" i="3"/>
  <c r="D16" i="3"/>
  <c r="D41" i="3"/>
  <c r="D42" i="3"/>
  <c r="D5" i="3"/>
  <c r="M22" i="3"/>
  <c r="M86" i="2"/>
  <c r="M95" i="2" s="1"/>
  <c r="E7" i="3"/>
  <c r="E16" i="3"/>
  <c r="E41" i="3"/>
  <c r="E42" i="3"/>
  <c r="E5" i="3"/>
  <c r="F5" i="3"/>
  <c r="Q48" i="2"/>
  <c r="Q32" i="2"/>
  <c r="Q34" i="2" s="1"/>
  <c r="O47" i="2"/>
  <c r="H5" i="3"/>
  <c r="G5" i="3"/>
  <c r="M30" i="2"/>
  <c r="M48" i="2" s="1"/>
  <c r="E6" i="3" s="1"/>
  <c r="M46" i="2"/>
  <c r="E34" i="3" s="1"/>
  <c r="L86" i="2"/>
  <c r="L95" i="2" s="1"/>
  <c r="L30" i="2"/>
  <c r="L46" i="2"/>
  <c r="D34" i="3" s="1"/>
  <c r="P32" i="2"/>
  <c r="P34" i="2" s="1"/>
  <c r="P48" i="2"/>
  <c r="N32" i="2"/>
  <c r="N34" i="2" s="1"/>
  <c r="N48" i="2"/>
  <c r="R42" i="4" l="1"/>
  <c r="R45" i="4"/>
  <c r="R31" i="4"/>
  <c r="R37" i="4" s="1"/>
  <c r="R40" i="4" s="1"/>
  <c r="Q51" i="4"/>
  <c r="Q52" i="4" s="1"/>
  <c r="T26" i="4" a="1"/>
  <c r="T26" i="4" s="1"/>
  <c r="T29" i="4"/>
  <c r="T27" i="4"/>
  <c r="S26" i="4" a="1"/>
  <c r="S26" i="4" s="1"/>
  <c r="S25" i="4" s="1"/>
  <c r="S29" i="4"/>
  <c r="S27" i="4"/>
  <c r="AB3" i="2"/>
  <c r="AB9" i="2" s="1"/>
  <c r="AB19" i="2" s="1"/>
  <c r="AA9" i="2"/>
  <c r="AA19" i="2" s="1"/>
  <c r="AA44" i="2" s="1"/>
  <c r="U28" i="4" s="1"/>
  <c r="M110" i="2"/>
  <c r="M114" i="2"/>
  <c r="L110" i="2"/>
  <c r="L114" i="2"/>
  <c r="E46" i="2"/>
  <c r="E86" i="2"/>
  <c r="E95" i="2" s="1"/>
  <c r="D30" i="2"/>
  <c r="D46" i="2"/>
  <c r="E30" i="2"/>
  <c r="F30" i="2"/>
  <c r="F46" i="2"/>
  <c r="C30" i="2"/>
  <c r="C46" i="2"/>
  <c r="M32" i="2"/>
  <c r="M34" i="2" s="1"/>
  <c r="E4" i="3" s="1"/>
  <c r="G11" i="3"/>
  <c r="G12" i="3" s="1"/>
  <c r="E11" i="3"/>
  <c r="E12" i="3" s="1"/>
  <c r="M16" i="3"/>
  <c r="M7" i="3"/>
  <c r="M42" i="3"/>
  <c r="M41" i="3"/>
  <c r="G37" i="3"/>
  <c r="I6" i="3"/>
  <c r="I11" i="3"/>
  <c r="H6" i="3"/>
  <c r="H11" i="3"/>
  <c r="M111" i="2"/>
  <c r="L112" i="2" s="1"/>
  <c r="L111" i="2" s="1"/>
  <c r="H9" i="3"/>
  <c r="H36" i="3"/>
  <c r="H37" i="3" s="1"/>
  <c r="H4" i="3"/>
  <c r="M5" i="3"/>
  <c r="G10" i="3"/>
  <c r="Q47" i="2"/>
  <c r="I9" i="3"/>
  <c r="I36" i="3"/>
  <c r="I37" i="3" s="1"/>
  <c r="I4" i="3"/>
  <c r="Q36" i="2"/>
  <c r="F11" i="3"/>
  <c r="F6" i="3"/>
  <c r="N47" i="2"/>
  <c r="F9" i="3"/>
  <c r="F36" i="3"/>
  <c r="F4" i="3"/>
  <c r="N36" i="2"/>
  <c r="L32" i="2"/>
  <c r="L34" i="2" s="1"/>
  <c r="L48" i="2"/>
  <c r="P36" i="2"/>
  <c r="P47" i="2"/>
  <c r="R51" i="4" l="1"/>
  <c r="R52" i="4" s="1"/>
  <c r="AB44" i="2"/>
  <c r="V28" i="4" s="1"/>
  <c r="V29" i="4" s="1"/>
  <c r="U26" i="4" a="1"/>
  <c r="U26" i="4" s="1"/>
  <c r="U27" i="4"/>
  <c r="U29" i="4"/>
  <c r="S48" i="4"/>
  <c r="S42" i="4"/>
  <c r="S31" i="4"/>
  <c r="S37" i="4" s="1"/>
  <c r="S40" i="4" s="1"/>
  <c r="T25" i="4"/>
  <c r="S45" i="4"/>
  <c r="E114" i="2"/>
  <c r="E110" i="2"/>
  <c r="E9" i="3"/>
  <c r="E10" i="3" s="1"/>
  <c r="M47" i="2"/>
  <c r="F37" i="3"/>
  <c r="E36" i="3"/>
  <c r="E37" i="3" s="1"/>
  <c r="M37" i="3" s="1"/>
  <c r="C32" i="2"/>
  <c r="C34" i="2" s="1"/>
  <c r="C48" i="2"/>
  <c r="F32" i="2"/>
  <c r="F34" i="2" s="1"/>
  <c r="F48" i="2"/>
  <c r="E32" i="2"/>
  <c r="E34" i="2" s="1"/>
  <c r="E48" i="2"/>
  <c r="M36" i="2"/>
  <c r="D32" i="2"/>
  <c r="D34" i="2" s="1"/>
  <c r="D48" i="2"/>
  <c r="F12" i="3"/>
  <c r="F10" i="3"/>
  <c r="D6" i="3"/>
  <c r="M6" i="3" s="1"/>
  <c r="D11" i="3"/>
  <c r="M11" i="3" s="1"/>
  <c r="H12" i="3"/>
  <c r="L47" i="2"/>
  <c r="D9" i="3"/>
  <c r="D36" i="3"/>
  <c r="D4" i="3"/>
  <c r="L36" i="2"/>
  <c r="I10" i="3"/>
  <c r="H10" i="3"/>
  <c r="I12" i="3"/>
  <c r="V27" i="4" l="1"/>
  <c r="M36" i="3"/>
  <c r="M9" i="3"/>
  <c r="V26" i="4" a="1"/>
  <c r="V26" i="4" s="1"/>
  <c r="S51" i="4"/>
  <c r="S52" i="4" s="1"/>
  <c r="U25" i="4"/>
  <c r="T45" i="4"/>
  <c r="T31" i="4"/>
  <c r="T37" i="4" s="1"/>
  <c r="T40" i="4" s="1"/>
  <c r="T42" i="4"/>
  <c r="T48" i="4"/>
  <c r="D36" i="2"/>
  <c r="D47" i="2"/>
  <c r="F36" i="2"/>
  <c r="F47" i="2"/>
  <c r="E36" i="2"/>
  <c r="E47" i="2"/>
  <c r="C36" i="2"/>
  <c r="C47" i="2"/>
  <c r="D10" i="3"/>
  <c r="M10" i="3" s="1"/>
  <c r="M4" i="3"/>
  <c r="D12" i="3"/>
  <c r="M12" i="3" s="1"/>
  <c r="T51" i="4" l="1"/>
  <c r="T52" i="4" s="1"/>
  <c r="U48" i="4"/>
  <c r="U42" i="4"/>
  <c r="V25" i="4"/>
  <c r="U45" i="4"/>
  <c r="U31" i="4"/>
  <c r="U37" i="4" s="1"/>
  <c r="U40" i="4" s="1"/>
  <c r="U51" i="4" l="1"/>
  <c r="U52" i="4" s="1"/>
  <c r="V48" i="4"/>
  <c r="V42" i="4"/>
  <c r="V31" i="4"/>
  <c r="V37" i="4" s="1"/>
  <c r="V40" i="4" s="1"/>
  <c r="V55" i="4" s="1"/>
  <c r="V56" i="4" s="1"/>
  <c r="V45" i="4"/>
  <c r="V51" i="4" l="1"/>
  <c r="V52" i="4" s="1"/>
  <c r="V54" i="4" s="1"/>
  <c r="V57" i="4" s="1"/>
  <c r="V60" i="4" s="1"/>
  <c r="V62" i="4" s="1"/>
  <c r="J4" i="4" l="1"/>
  <c r="C69" i="4" s="1"/>
  <c r="J5" i="4" l="1"/>
  <c r="N6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tc={0730EDA6-8BD7-4887-A459-F5F3D684BDDA}</author>
    <author>tc={04D8DA85-74C1-43F7-9161-C9F4B5E4FC35}</author>
    <author>tc={F8C88AB7-0E52-4349-A875-E61A1AD7BCCB}</author>
    <author>tc={6A0FBB0C-E2C5-451B-89D8-64036F47AC91}</author>
    <author>tc={6035DA54-C778-4C24-ADB7-572487D25008}</author>
  </authors>
  <commentList>
    <comment ref="G6" authorId="0" shapeId="0" xr:uid="{0730EDA6-8BD7-4887-A459-F5F3D684BDDA}">
      <text>
        <t>[Threaded comment]
Your version of Excel allows you to read this threaded comment; however, any edits to it will get removed if the file is opened in a newer version of Excel. Learn more: https://go.microsoft.com/fwlink/?linkid=870924
Comment:
    Q1 China New Years -&gt; higher % of Revenue in Asia in Q1</t>
      </text>
    </comment>
    <comment ref="G17" authorId="1" shapeId="0" xr:uid="{04D8DA85-74C1-43F7-9161-C9F4B5E4FC35}">
      <text>
        <t>[Threaded comment]
Your version of Excel allows you to read this threaded comment; however, any edits to it will get removed if the file is opened in a newer version of Excel. Learn more: https://go.microsoft.com/fwlink/?linkid=870924
Comment:
    Organic: -3%</t>
      </text>
    </comment>
    <comment ref="G19" authorId="2" shapeId="0" xr:uid="{F8C88AB7-0E52-4349-A875-E61A1AD7BCCB}">
      <text>
        <t>[Threaded comment]
Your version of Excel allows you to read this threaded comment; however, any edits to it will get removed if the file is opened in a newer version of Excel. Learn more: https://go.microsoft.com/fwlink/?linkid=870924
Comment:
    Organ: +2%</t>
      </text>
    </comment>
    <comment ref="I28" authorId="3" shapeId="0" xr:uid="{6A0FBB0C-E2C5-451B-89D8-64036F47AC91}">
      <text>
        <t>[Threaded comment]
Your version of Excel allows you to read this threaded comment; however, any edits to it will get removed if the file is opened in a newer version of Excel. Learn more: https://go.microsoft.com/fwlink/?linkid=870924
Comment:
    Organic Growth +1%</t>
      </text>
    </comment>
    <comment ref="K28" authorId="4" shapeId="0" xr:uid="{6035DA54-C778-4C24-ADB7-572487D25008}">
      <text>
        <t>[Threaded comment]
Your version of Excel allows you to read this threaded comment; however, any edits to it will get removed if the file is opened in a newer version of Excel. Learn more: https://go.microsoft.com/fwlink/?linkid=870924
Comment:
    Organic Growth (- impact fx) +1%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Oscar Settje</author>
  </authors>
  <commentList>
    <comment ref="O2" authorId="0" shapeId="0" xr:uid="{3A195D11-4E8B-4B34-A347-E58A2AF77F70}">
      <text>
        <r>
          <rPr>
            <b/>
            <sz val="9"/>
            <color indexed="81"/>
            <rFont val="Tahoma"/>
            <family val="2"/>
          </rPr>
          <t>Oscar Settje:</t>
        </r>
        <r>
          <rPr>
            <sz val="9"/>
            <color indexed="81"/>
            <rFont val="Tahoma"/>
            <family val="2"/>
          </rPr>
          <t xml:space="preserve">
Acqusition?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<sst xmlns="http://schemas.openxmlformats.org/spreadsheetml/2006/main" count="377" uniqueCount="279">
  <si>
    <t>LVMH</t>
  </si>
  <si>
    <t>Price</t>
  </si>
  <si>
    <t>Shares</t>
  </si>
  <si>
    <t>MC</t>
  </si>
  <si>
    <t>Cash</t>
  </si>
  <si>
    <t>Debt</t>
  </si>
  <si>
    <t>EV</t>
  </si>
  <si>
    <t>Main</t>
  </si>
  <si>
    <t>FY18</t>
  </si>
  <si>
    <t>FY19</t>
  </si>
  <si>
    <t>FY20</t>
  </si>
  <si>
    <t>FY21</t>
  </si>
  <si>
    <t>FY22</t>
  </si>
  <si>
    <t>FY23</t>
  </si>
  <si>
    <t>FY24</t>
  </si>
  <si>
    <t>Investors</t>
  </si>
  <si>
    <t>Income Statement</t>
  </si>
  <si>
    <t>x</t>
  </si>
  <si>
    <t>Wines &amp; Spirits</t>
  </si>
  <si>
    <t>Fashion &amp; Leather Goods</t>
  </si>
  <si>
    <t>Watches &amp; Jevelery</t>
  </si>
  <si>
    <t>Selective Retailing</t>
  </si>
  <si>
    <t>Other</t>
  </si>
  <si>
    <t>Revenue</t>
  </si>
  <si>
    <t>Perfumes &amp; Cosmetics</t>
  </si>
  <si>
    <t>Segments</t>
  </si>
  <si>
    <t>% of Rev</t>
  </si>
  <si>
    <t>Brands/Products</t>
  </si>
  <si>
    <t>Competition</t>
  </si>
  <si>
    <t>Richemont</t>
  </si>
  <si>
    <t>COGS</t>
  </si>
  <si>
    <t>Gross Profit</t>
  </si>
  <si>
    <t>Marketing and Sales</t>
  </si>
  <si>
    <t>Income from Joint Ventures</t>
  </si>
  <si>
    <t>General &amp; Admminstrative Expenses</t>
  </si>
  <si>
    <t>Operating Income</t>
  </si>
  <si>
    <t>Cost of financial debt</t>
  </si>
  <si>
    <t>Interest Expenses on Leases</t>
  </si>
  <si>
    <t>Other financial Income</t>
  </si>
  <si>
    <t>Other Operating Income</t>
  </si>
  <si>
    <t>Pretax Income</t>
  </si>
  <si>
    <t>Income Tax</t>
  </si>
  <si>
    <t>Net Income</t>
  </si>
  <si>
    <t xml:space="preserve">Minority Interest </t>
  </si>
  <si>
    <t>Net Income to Group</t>
  </si>
  <si>
    <t>EPS</t>
  </si>
  <si>
    <t>Revenue Growth</t>
  </si>
  <si>
    <t>Gross Margin</t>
  </si>
  <si>
    <t>Operating Margin</t>
  </si>
  <si>
    <t>Net Margin</t>
  </si>
  <si>
    <t>Tax Rate</t>
  </si>
  <si>
    <t>Balance Sheet</t>
  </si>
  <si>
    <t>Intangibles</t>
  </si>
  <si>
    <t>Goodwill</t>
  </si>
  <si>
    <t>PP&amp;E</t>
  </si>
  <si>
    <t>Right of Use Asset</t>
  </si>
  <si>
    <t>Investment in Join Ventures</t>
  </si>
  <si>
    <t>Non Current Financial Assets</t>
  </si>
  <si>
    <t>Deffered Taxes</t>
  </si>
  <si>
    <t>Non Current Assets</t>
  </si>
  <si>
    <t>Inventories</t>
  </si>
  <si>
    <t>Account Receivables</t>
  </si>
  <si>
    <t>Income Taxes</t>
  </si>
  <si>
    <t>Cash and Cash Equivalents</t>
  </si>
  <si>
    <t>Current Assets</t>
  </si>
  <si>
    <t>Total Assets</t>
  </si>
  <si>
    <t xml:space="preserve">Equity </t>
  </si>
  <si>
    <t>Total Equity</t>
  </si>
  <si>
    <t>Long Term Borrowings</t>
  </si>
  <si>
    <t>Non Current Lease Liabilties</t>
  </si>
  <si>
    <t>Deffered Tax</t>
  </si>
  <si>
    <t>Non Current Liabilities</t>
  </si>
  <si>
    <t>Non Current Provision and other</t>
  </si>
  <si>
    <t>Short Term Borrowings</t>
  </si>
  <si>
    <t>Short Term Lease Liabilities</t>
  </si>
  <si>
    <t>Accounts Payables</t>
  </si>
  <si>
    <t>Current Provisions and other</t>
  </si>
  <si>
    <t>Current Liabilities</t>
  </si>
  <si>
    <t>Total Equity &amp; Liabilities</t>
  </si>
  <si>
    <t xml:space="preserve">Cash Flow Statement </t>
  </si>
  <si>
    <t>D&amp;A</t>
  </si>
  <si>
    <t>D&amp;A in Lease Assets</t>
  </si>
  <si>
    <t>Other adjustments</t>
  </si>
  <si>
    <t>Change in WC</t>
  </si>
  <si>
    <t>Interest paid on Debt</t>
  </si>
  <si>
    <t>Interest paid on Lease Liabilities</t>
  </si>
  <si>
    <t xml:space="preserve">Income Tax </t>
  </si>
  <si>
    <t>CFFO</t>
  </si>
  <si>
    <t>CapEx</t>
  </si>
  <si>
    <t>Dividends received</t>
  </si>
  <si>
    <t>CFFI</t>
  </si>
  <si>
    <t>Dividends paid</t>
  </si>
  <si>
    <t>Purchase and sale of Minorities Interests</t>
  </si>
  <si>
    <t>Purchase and Sale of consolidated Investments</t>
  </si>
  <si>
    <t>Other Equity related Transactions</t>
  </si>
  <si>
    <t>Proceeds from Borrowings</t>
  </si>
  <si>
    <t>Repayment of Borrowings</t>
  </si>
  <si>
    <t xml:space="preserve">Repayment of Lease Liabilties </t>
  </si>
  <si>
    <t>Proceeds and Sale from Current Financial Assets</t>
  </si>
  <si>
    <t>Proceeds and Sale from Non Current Financial Assets</t>
  </si>
  <si>
    <t>CFFF</t>
  </si>
  <si>
    <t>Change in Cash</t>
  </si>
  <si>
    <t>Exhange Rate effects</t>
  </si>
  <si>
    <t>Cash BOP</t>
  </si>
  <si>
    <t>Cash EOP</t>
  </si>
  <si>
    <t>Profitabilty</t>
  </si>
  <si>
    <t>ROE</t>
  </si>
  <si>
    <t>ROC</t>
  </si>
  <si>
    <t>ROIC</t>
  </si>
  <si>
    <t>ROCE</t>
  </si>
  <si>
    <t>Retention Rate</t>
  </si>
  <si>
    <t>Expected Growth</t>
  </si>
  <si>
    <t>Reinvestment Rate</t>
  </si>
  <si>
    <t>Financial Stabiltiy</t>
  </si>
  <si>
    <t>Gearing</t>
  </si>
  <si>
    <t>Net Debt/EBITDA</t>
  </si>
  <si>
    <t>WC Managment</t>
  </si>
  <si>
    <t>Debitors</t>
  </si>
  <si>
    <t>Creditors</t>
  </si>
  <si>
    <t>Inventory-Intensity</t>
  </si>
  <si>
    <t>Inventory Turnover</t>
  </si>
  <si>
    <t>Storage Duration</t>
  </si>
  <si>
    <t>Cash Conversion Cycle</t>
  </si>
  <si>
    <t>Multiples</t>
  </si>
  <si>
    <t xml:space="preserve">Shares </t>
  </si>
  <si>
    <t>Net Debt</t>
  </si>
  <si>
    <t>Equity-Multiples</t>
  </si>
  <si>
    <t>P/E</t>
  </si>
  <si>
    <t>PEG</t>
  </si>
  <si>
    <t>P/B</t>
  </si>
  <si>
    <t>Entity -Multiples</t>
  </si>
  <si>
    <t>EV/Sales</t>
  </si>
  <si>
    <t>EV/EBITDA</t>
  </si>
  <si>
    <t>EV/EBIT</t>
  </si>
  <si>
    <t>Free Cashflow</t>
  </si>
  <si>
    <t xml:space="preserve">Average </t>
  </si>
  <si>
    <t>Hennessy, Moet &amp; Chandon, Dom Perignon, Vueve Clicqout, Krug etc.</t>
  </si>
  <si>
    <t>Tiffany &amp; Co, Bulgari, TAG Heuer, Hublot, Zenith, Chaumet, Repossi etc.</t>
  </si>
  <si>
    <t>Parfums Christian Dior, LV, Guerlain, Aqua de Parma, Stella McCartney etc.</t>
  </si>
  <si>
    <t>Louis Vuitton, Givenchy, Rimowa, Kenzo, Loro Piana, Fendi, Celine, Loewe etc.</t>
  </si>
  <si>
    <t>Sephora, Le Bon Marche, 24S, DFS, La Grande Ecipiere de Paris</t>
  </si>
  <si>
    <t>H123</t>
  </si>
  <si>
    <t>H223</t>
  </si>
  <si>
    <t>H124</t>
  </si>
  <si>
    <t>H224</t>
  </si>
  <si>
    <t>numbers in mio EUR</t>
  </si>
  <si>
    <t>MC.PA</t>
  </si>
  <si>
    <t>Stores Europe</t>
  </si>
  <si>
    <t>Stores Asia</t>
  </si>
  <si>
    <t>Stores France</t>
  </si>
  <si>
    <t>Stores Japan</t>
  </si>
  <si>
    <t>Stores USA</t>
  </si>
  <si>
    <t>Stores Other Markets</t>
  </si>
  <si>
    <t>Total Stores</t>
  </si>
  <si>
    <t>Purchase of minority interest shares</t>
  </si>
  <si>
    <t>Ticker</t>
  </si>
  <si>
    <t>Share Price</t>
  </si>
  <si>
    <t>Date</t>
  </si>
  <si>
    <t>Fair Share Price</t>
  </si>
  <si>
    <t>Scneario DCF Price</t>
  </si>
  <si>
    <t>End of FY</t>
  </si>
  <si>
    <t>Implied Upside</t>
  </si>
  <si>
    <t>Assumptions</t>
  </si>
  <si>
    <t>Switches</t>
  </si>
  <si>
    <t>Conservative Case</t>
  </si>
  <si>
    <t>Base Case</t>
  </si>
  <si>
    <t>Optimistic Case</t>
  </si>
  <si>
    <t>Assuptions</t>
  </si>
  <si>
    <t>Year</t>
  </si>
  <si>
    <t>Metic</t>
  </si>
  <si>
    <t xml:space="preserve">Revenue </t>
  </si>
  <si>
    <t>EBIT</t>
  </si>
  <si>
    <t>WACC</t>
  </si>
  <si>
    <t>Implied Share Price</t>
  </si>
  <si>
    <t>TGR</t>
  </si>
  <si>
    <t>Probability</t>
  </si>
  <si>
    <t>Implied Share Price * p</t>
  </si>
  <si>
    <t>Valuation</t>
  </si>
  <si>
    <t>RONIC</t>
  </si>
  <si>
    <t>Model</t>
  </si>
  <si>
    <t>Growth (%)</t>
  </si>
  <si>
    <t xml:space="preserve">Base Case </t>
  </si>
  <si>
    <t>Optimisitic Case</t>
  </si>
  <si>
    <t>% of Sales</t>
  </si>
  <si>
    <t>Taxes</t>
  </si>
  <si>
    <t>Tax Rate (%)</t>
  </si>
  <si>
    <t>Nopat</t>
  </si>
  <si>
    <t>D&amp;A and other non-cash Expenses</t>
  </si>
  <si>
    <t>Unlevered Free Cashflow</t>
  </si>
  <si>
    <t>Present Value of unlevered FC</t>
  </si>
  <si>
    <t>Discount Period</t>
  </si>
  <si>
    <t>Sum of Present Value</t>
  </si>
  <si>
    <t>Terminal Value</t>
  </si>
  <si>
    <t>=&gt; CV(t) = NOPAT(t+1)*(1-g/RONIC)/(WACC - g) =&gt; equal pertuity formula: CV = FCF*(1+g) /(WACC-g)</t>
  </si>
  <si>
    <t>Present Value of TV</t>
  </si>
  <si>
    <t>Enterprise Value</t>
  </si>
  <si>
    <t>(+) Cash and other non-operating assets</t>
  </si>
  <si>
    <t>(-) Debt and other non-equity claims</t>
  </si>
  <si>
    <t>Equity Value</t>
  </si>
  <si>
    <t xml:space="preserve">Number of Shares </t>
  </si>
  <si>
    <t>Sensitivity Analysis</t>
  </si>
  <si>
    <t>ROINC</t>
  </si>
  <si>
    <t>LVMH DCF</t>
  </si>
  <si>
    <t>Hermes, Kering</t>
  </si>
  <si>
    <t>Notes</t>
  </si>
  <si>
    <t>https://quartr.com/insights/company-research/lvmh-guardians-of-tradition-engineers-of-desirability</t>
  </si>
  <si>
    <t>History:</t>
  </si>
  <si>
    <t>Management</t>
  </si>
  <si>
    <t>CEO and Chairman</t>
  </si>
  <si>
    <t xml:space="preserve">Bernard Arnault </t>
  </si>
  <si>
    <t>Founded 1987</t>
  </si>
  <si>
    <t xml:space="preserve">Founded 1987 through a merger of Louis Vuitton, Moet &amp; Chandon and Hennessy -&gt; orechestrated by Bernard Arnault </t>
  </si>
  <si>
    <t>Louis Vuitton founded 1854 in France, on of Frenchs first fashion labels that concentrated on selling to royals and elites</t>
  </si>
  <si>
    <t xml:space="preserve">Moet &amp; Chandon founded in 1743, Hennesy founded in 1765 -&gt; merged in 1971 to Moet Hennesy </t>
  </si>
  <si>
    <t xml:space="preserve">Bernard Arnault -&gt; after University joined the construction company of his father Ferret-Savinel </t>
  </si>
  <si>
    <t>1984: Arnault acquired Boussac Saint-Fères -&gt; struggling textile company (owned Dior) through an LBO with Lazard for 80 mio EUR</t>
  </si>
  <si>
    <t>Arnault restructured the company, sold off many segments -&gt; only kept Dior and Le Bon Marché -&gt; turned it around, gained 400 mio EUR</t>
  </si>
  <si>
    <t>Before the Acqusition famous cab ride in NY -&gt; the cab driver didn't know the French President -&gt; said: "No, but I know Christian Dior".</t>
  </si>
  <si>
    <t xml:space="preserve">After the Cration LVMH -&gt; aggressive expansion: Givenchy (1989), Celine (1996), Tag Heuer (1999), </t>
  </si>
  <si>
    <t>75 Maisons (2025)</t>
  </si>
  <si>
    <t>Employee Count: 213.618</t>
  </si>
  <si>
    <t>Q125</t>
  </si>
  <si>
    <t>Q224</t>
  </si>
  <si>
    <t>Q225</t>
  </si>
  <si>
    <t>Q325</t>
  </si>
  <si>
    <t>Q425</t>
  </si>
  <si>
    <t>Q124</t>
  </si>
  <si>
    <t>Q324</t>
  </si>
  <si>
    <t>Q424</t>
  </si>
  <si>
    <t>Wines Growth</t>
  </si>
  <si>
    <t>Fashion Growth</t>
  </si>
  <si>
    <t>Cosmetics Growth</t>
  </si>
  <si>
    <t>Jewelery Groth</t>
  </si>
  <si>
    <t>Watches &amp; Jewelery</t>
  </si>
  <si>
    <t>Selective Retail Growth</t>
  </si>
  <si>
    <t>United States</t>
  </si>
  <si>
    <t>France</t>
  </si>
  <si>
    <t>Euorpe</t>
  </si>
  <si>
    <t>Asia</t>
  </si>
  <si>
    <t>Japan</t>
  </si>
  <si>
    <t>Other Markets</t>
  </si>
  <si>
    <t>US Growth</t>
  </si>
  <si>
    <t>France Growth</t>
  </si>
  <si>
    <t>Europe Growth</t>
  </si>
  <si>
    <t>Asia Growth</t>
  </si>
  <si>
    <t>Japan Growth</t>
  </si>
  <si>
    <t>Others Growth</t>
  </si>
  <si>
    <t>H125</t>
  </si>
  <si>
    <t>H225</t>
  </si>
  <si>
    <t>FCF</t>
  </si>
  <si>
    <t>CFO</t>
  </si>
  <si>
    <t>Cecile Cabanis</t>
  </si>
  <si>
    <t>CEO Dior</t>
  </si>
  <si>
    <t>Delphine Arnault</t>
  </si>
  <si>
    <t>Group Manager</t>
  </si>
  <si>
    <t>Stephane Bianchi</t>
  </si>
  <si>
    <t>Fashion Group</t>
  </si>
  <si>
    <t>Michael Burke</t>
  </si>
  <si>
    <t>CEO Wines &amp; Spirits</t>
  </si>
  <si>
    <t>Jean-Jacques Guiony</t>
  </si>
  <si>
    <t>ARPS</t>
  </si>
  <si>
    <t>FY25</t>
  </si>
  <si>
    <t>FY26</t>
  </si>
  <si>
    <t>FY27</t>
  </si>
  <si>
    <t>FY28</t>
  </si>
  <si>
    <t>FY29</t>
  </si>
  <si>
    <t>FY30</t>
  </si>
  <si>
    <t>FY31</t>
  </si>
  <si>
    <t>FY32</t>
  </si>
  <si>
    <t>FY34</t>
  </si>
  <si>
    <t>FY33</t>
  </si>
  <si>
    <t>Increased stake in Loro Piana Q425</t>
  </si>
  <si>
    <t>Q126</t>
  </si>
  <si>
    <t>Q226</t>
  </si>
  <si>
    <t>Q326</t>
  </si>
  <si>
    <t>Q426</t>
  </si>
  <si>
    <t>Sale of Marc Jacob</t>
  </si>
  <si>
    <t>H126</t>
  </si>
  <si>
    <t>H226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</si>
</sst>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;[Red]#,##0.0"/>
    <numFmt numFmtId="165" formatCode="0.000"/>
    <numFmt numFmtId="166" formatCode="#,##0;[Red]#,##0"/>
    <numFmt numFmtId="167" formatCode="#,##0;\(#,##0\)"/>
    <numFmt numFmtId="168" formatCode="#,##0.0"/>
    <numFmt numFmtId="169" formatCode="0.0%"/>
    <numFmt numFmtId="170" formatCode="&quot;FY&quot;0&quot;A&quot;"/>
    <numFmt numFmtId="171" formatCode="0.0"/>
    <numFmt numFmtId="172" formatCode="#,##0.0;\(#,##0.0\)"/>
  </numFmts>
  <fonts count="18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theme="0" tint="-0.14999847407452621"/>
      <name val="Arial"/>
      <family val="2"/>
    </font>
    <font>
      <u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1E9D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6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90">
    <xf numFmtId="0" fontId="0" fillId="0" borderId="0" xfId="0"/>
    <xf numFmtId="0" fontId="13" fillId="0" borderId="4" xfId="2" applyFont="1" applyBorder="1"/>
    <xf numFmtId="0" fontId="11" fillId="0" borderId="4" xfId="0" applyFont="1" applyBorder="1"/>
    <xf numFmtId="0" fontId="5" fillId="0" borderId="4" xfId="0" applyFont="1" applyBorder="1"/>
    <xf numFmtId="0" fontId="5" fillId="0" borderId="0" xfId="0" applyFont="1"/>
    <xf numFmtId="0" fontId="5" fillId="0" borderId="9" xfId="0" applyFont="1" applyBorder="1"/>
    <xf numFmtId="0" fontId="5" fillId="2" borderId="10" xfId="0" applyFont="1" applyFill="1" applyBorder="1" applyAlignment="1">
      <alignment horizontal="center"/>
    </xf>
    <xf numFmtId="14" fontId="5" fillId="2" borderId="10" xfId="0" applyNumberFormat="1" applyFont="1" applyFill="1" applyBorder="1" applyAlignment="1">
      <alignment horizontal="center"/>
    </xf>
    <xf numFmtId="2" fontId="5" fillId="2" borderId="10" xfId="0" applyNumberFormat="1" applyFont="1" applyFill="1" applyBorder="1" applyAlignment="1">
      <alignment horizontal="center"/>
    </xf>
    <xf numFmtId="168" fontId="5" fillId="2" borderId="11" xfId="1" applyNumberFormat="1" applyFont="1" applyFill="1" applyBorder="1" applyAlignment="1">
      <alignment horizontal="center"/>
    </xf>
    <xf numFmtId="14" fontId="5" fillId="2" borderId="11" xfId="0" applyNumberFormat="1" applyFont="1" applyFill="1" applyBorder="1" applyAlignment="1">
      <alignment horizontal="center"/>
    </xf>
    <xf numFmtId="9" fontId="5" fillId="2" borderId="11" xfId="1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0" fillId="3" borderId="0" xfId="0" applyFont="1" applyFill="1"/>
    <xf numFmtId="0" fontId="10" fillId="4" borderId="0" xfId="0" applyFont="1" applyFill="1"/>
    <xf numFmtId="0" fontId="12" fillId="4" borderId="0" xfId="0" applyFont="1" applyFill="1"/>
    <xf numFmtId="0" fontId="14" fillId="0" borderId="0" xfId="0" applyFont="1"/>
    <xf numFmtId="0" fontId="5" fillId="2" borderId="11" xfId="0" applyFont="1" applyFill="1" applyBorder="1" applyAlignment="1">
      <alignment horizontal="center"/>
    </xf>
    <xf numFmtId="0" fontId="11" fillId="0" borderId="0" xfId="0" applyFont="1"/>
    <xf numFmtId="169" fontId="5" fillId="2" borderId="11" xfId="1" applyNumberFormat="1" applyFont="1" applyFill="1" applyBorder="1" applyAlignment="1">
      <alignment horizontal="center"/>
    </xf>
    <xf numFmtId="170" fontId="10" fillId="3" borderId="0" xfId="0" applyNumberFormat="1" applyFont="1" applyFill="1"/>
    <xf numFmtId="167" fontId="5" fillId="0" borderId="0" xfId="0" applyNumberFormat="1" applyFont="1"/>
    <xf numFmtId="0" fontId="15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  <xf numFmtId="0" fontId="15" fillId="0" borderId="0" xfId="0" applyFont="1"/>
    <xf numFmtId="9" fontId="15" fillId="0" borderId="0" xfId="1" applyFont="1"/>
    <xf numFmtId="9" fontId="5" fillId="0" borderId="0" xfId="1" applyFont="1"/>
    <xf numFmtId="169" fontId="5" fillId="2" borderId="11" xfId="1" applyNumberFormat="1" applyFont="1" applyFill="1" applyBorder="1" applyAlignment="1">
      <alignment horizontal="right"/>
    </xf>
    <xf numFmtId="0" fontId="11" fillId="5" borderId="6" xfId="0" applyFont="1" applyFill="1" applyBorder="1"/>
    <xf numFmtId="0" fontId="11" fillId="5" borderId="7" xfId="0" applyFont="1" applyFill="1" applyBorder="1"/>
    <xf numFmtId="167" fontId="11" fillId="5" borderId="7" xfId="0" applyNumberFormat="1" applyFont="1" applyFill="1" applyBorder="1"/>
    <xf numFmtId="167" fontId="11" fillId="5" borderId="8" xfId="0" applyNumberFormat="1" applyFont="1" applyFill="1" applyBorder="1"/>
    <xf numFmtId="169" fontId="15" fillId="0" borderId="0" xfId="1" applyNumberFormat="1" applyFont="1"/>
    <xf numFmtId="169" fontId="15" fillId="0" borderId="0" xfId="0" applyNumberFormat="1" applyFont="1"/>
    <xf numFmtId="164" fontId="11" fillId="5" borderId="12" xfId="0" applyNumberFormat="1" applyFont="1" applyFill="1" applyBorder="1"/>
    <xf numFmtId="164" fontId="11" fillId="5" borderId="13" xfId="0" applyNumberFormat="1" applyFont="1" applyFill="1" applyBorder="1"/>
    <xf numFmtId="167" fontId="11" fillId="5" borderId="13" xfId="0" applyNumberFormat="1" applyFont="1" applyFill="1" applyBorder="1"/>
    <xf numFmtId="167" fontId="11" fillId="5" borderId="14" xfId="0" applyNumberFormat="1" applyFont="1" applyFill="1" applyBorder="1"/>
    <xf numFmtId="164" fontId="11" fillId="5" borderId="3" xfId="0" applyNumberFormat="1" applyFont="1" applyFill="1" applyBorder="1"/>
    <xf numFmtId="164" fontId="11" fillId="5" borderId="4" xfId="0" applyNumberFormat="1" applyFont="1" applyFill="1" applyBorder="1"/>
    <xf numFmtId="167" fontId="11" fillId="5" borderId="4" xfId="0" applyNumberFormat="1" applyFont="1" applyFill="1" applyBorder="1"/>
    <xf numFmtId="167" fontId="11" fillId="5" borderId="5" xfId="0" applyNumberFormat="1" applyFont="1" applyFill="1" applyBorder="1"/>
    <xf numFmtId="2" fontId="5" fillId="0" borderId="0" xfId="0" applyNumberFormat="1" applyFont="1"/>
    <xf numFmtId="164" fontId="5" fillId="0" borderId="0" xfId="0" applyNumberFormat="1" applyFont="1"/>
    <xf numFmtId="0" fontId="5" fillId="0" borderId="0" xfId="0" quotePrefix="1" applyFont="1"/>
    <xf numFmtId="164" fontId="5" fillId="0" borderId="4" xfId="0" applyNumberFormat="1" applyFont="1" applyBorder="1"/>
    <xf numFmtId="164" fontId="5" fillId="0" borderId="4" xfId="0" applyNumberFormat="1" applyFont="1" applyBorder="1" applyAlignment="1">
      <alignment horizontal="right"/>
    </xf>
    <xf numFmtId="0" fontId="5" fillId="0" borderId="7" xfId="0" applyFont="1" applyBorder="1"/>
    <xf numFmtId="164" fontId="5" fillId="0" borderId="7" xfId="0" applyNumberFormat="1" applyFont="1" applyBorder="1"/>
    <xf numFmtId="164" fontId="5" fillId="0" borderId="7" xfId="0" applyNumberFormat="1" applyFont="1" applyBorder="1" applyAlignment="1">
      <alignment horizontal="right"/>
    </xf>
    <xf numFmtId="164" fontId="5" fillId="0" borderId="0" xfId="0" applyNumberFormat="1" applyFont="1" applyAlignment="1">
      <alignment horizontal="right"/>
    </xf>
    <xf numFmtId="0" fontId="5" fillId="6" borderId="12" xfId="0" applyFont="1" applyFill="1" applyBorder="1"/>
    <xf numFmtId="2" fontId="16" fillId="6" borderId="13" xfId="0" applyNumberFormat="1" applyFont="1" applyFill="1" applyBorder="1"/>
    <xf numFmtId="169" fontId="10" fillId="6" borderId="13" xfId="0" applyNumberFormat="1" applyFont="1" applyFill="1" applyBorder="1"/>
    <xf numFmtId="169" fontId="10" fillId="6" borderId="0" xfId="0" applyNumberFormat="1" applyFont="1" applyFill="1"/>
    <xf numFmtId="171" fontId="5" fillId="0" borderId="0" xfId="0" applyNumberFormat="1" applyFont="1"/>
    <xf numFmtId="171" fontId="11" fillId="0" borderId="0" xfId="0" applyNumberFormat="1" applyFont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17" fillId="0" borderId="0" xfId="0" applyFont="1"/>
    <xf numFmtId="9" fontId="5" fillId="0" borderId="0" xfId="0" applyNumberFormat="1" applyFont="1"/>
    <xf numFmtId="166" fontId="5" fillId="0" borderId="0" xfId="0" applyNumberFormat="1" applyFont="1"/>
    <xf numFmtId="165" fontId="5" fillId="0" borderId="0" xfId="0" applyNumberFormat="1" applyFont="1"/>
    <xf numFmtId="0" fontId="13" fillId="0" borderId="0" xfId="2" applyFont="1"/>
    <xf numFmtId="167" fontId="11" fillId="0" borderId="0" xfId="0" applyNumberFormat="1" applyFont="1"/>
    <xf numFmtId="172" fontId="5" fillId="0" borderId="0" xfId="0" applyNumberFormat="1" applyFont="1"/>
    <xf numFmtId="164" fontId="11" fillId="0" borderId="0" xfId="0" applyNumberFormat="1" applyFont="1"/>
    <xf numFmtId="9" fontId="11" fillId="0" borderId="0" xfId="1" applyFont="1"/>
    <xf numFmtId="169" fontId="5" fillId="0" borderId="0" xfId="1" applyNumberFormat="1" applyFont="1"/>
    <xf numFmtId="0" fontId="14" fillId="0" borderId="6" xfId="0" applyFont="1" applyBorder="1"/>
    <xf numFmtId="0" fontId="5" fillId="0" borderId="8" xfId="0" applyFont="1" applyBorder="1"/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9" fontId="5" fillId="0" borderId="4" xfId="0" applyNumberFormat="1" applyFont="1" applyBorder="1"/>
    <xf numFmtId="0" fontId="5" fillId="0" borderId="5" xfId="0" applyFont="1" applyBorder="1"/>
    <xf numFmtId="169" fontId="11" fillId="0" borderId="0" xfId="1" applyNumberFormat="1" applyFont="1"/>
    <xf numFmtId="0" fontId="4" fillId="0" borderId="0" xfId="0" applyFont="1" applyAlignment="1">
      <alignment horizontal="right"/>
    </xf>
    <xf numFmtId="0" fontId="4" fillId="0" borderId="0" xfId="0" applyFont="1"/>
    <xf numFmtId="0" fontId="3" fillId="0" borderId="0" xfId="0" applyFont="1" applyAlignment="1">
      <alignment horizontal="right"/>
    </xf>
    <xf numFmtId="166" fontId="11" fillId="0" borderId="0" xfId="0" applyNumberFormat="1" applyFont="1"/>
    <xf numFmtId="0" fontId="2" fillId="0" borderId="0" xfId="0" applyFont="1"/>
    <xf numFmtId="0" fontId="11" fillId="6" borderId="13" xfId="0" applyFont="1" applyFill="1" applyBorder="1" applyAlignment="1">
      <alignment horizontal="center"/>
    </xf>
    <xf numFmtId="0" fontId="11" fillId="6" borderId="14" xfId="0" applyFont="1" applyFill="1" applyBorder="1" applyAlignment="1">
      <alignment horizontal="center"/>
    </xf>
    <xf numFmtId="0" fontId="11" fillId="6" borderId="7" xfId="0" applyFont="1" applyFill="1" applyBorder="1" applyAlignment="1">
      <alignment horizontal="center"/>
    </xf>
    <xf numFmtId="0" fontId="11" fillId="6" borderId="8" xfId="0" applyFont="1" applyFill="1" applyBorder="1" applyAlignment="1">
      <alignment horizontal="center"/>
    </xf>
    <xf numFmtId="0" fontId="11" fillId="6" borderId="15" xfId="0" applyFont="1" applyFill="1" applyBorder="1" applyAlignment="1">
      <alignment horizontal="center" vertical="center" textRotation="90"/>
    </xf>
    <xf numFmtId="0" fontId="11" fillId="6" borderId="16" xfId="0" applyFont="1" applyFill="1" applyBorder="1" applyAlignment="1">
      <alignment horizontal="center" vertical="center" textRotation="90"/>
    </xf>
    <xf numFmtId="0" fontId="1" fillId="0" borderId="0" xfId="0" applyFont="1" applyAlignment="1">
      <alignment horizontal="right"/>
    </xf>
    <xf numFmtId="164" fontId="1" fillId="0" borderId="0" xfId="0" applyNumberFormat="1" applyFont="1"/>
  </cellXfs>
  <cellStyles count="3">
    <cellStyle name="Hyperlink" xfId="2" builtinId="8"/>
    <cellStyle name="Normal" xfId="0" builtinId="0"/>
    <cellStyle name="Per cent" xfId="1" builtinId="5"/>
  </cellStyles>
  <dxfs count="4"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271462</xdr:colOff>
      <xdr:row>33</xdr:row>
      <xdr:rowOff>23813</xdr:rowOff>
    </xdr:from>
    <xdr:to>
      <xdr:col>2</xdr:col>
      <xdr:colOff>352889</xdr:colOff>
      <xdr:row>47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526660-3383-0BF3-C103-34F286094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" y="6310313"/>
          <a:ext cx="1805452" cy="2243137"/>
        </a:xfrm>
        <a:prstGeom prst="rect">
          <a:avLst/>
        </a:prstGeom>
      </xdr:spPr>
    </xdr:pic>
    <xdr:clientData/>
  </xdr:twoCellAnchor>
  <xdr:twoCellAnchor editAs="oneCell">
    <xdr:from>
      <xdr:col>3</xdr:col>
      <xdr:colOff>4764</xdr:colOff>
      <xdr:row>33</xdr:row>
      <xdr:rowOff>38100</xdr:rowOff>
    </xdr:from>
    <xdr:to>
      <xdr:col>3</xdr:col>
      <xdr:colOff>1795413</xdr:colOff>
      <xdr:row>46</xdr:row>
      <xdr:rowOff>133350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B05F3AE-AD89-E31A-E1AA-03D02EB283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8389" y="6324600"/>
          <a:ext cx="1790649" cy="22002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25576</xdr:colOff>
      <xdr:row>1</xdr:row>
      <xdr:rowOff>45330</xdr:rowOff>
    </xdr:from>
    <xdr:to>
      <xdr:col>19</xdr:col>
      <xdr:colOff>37922</xdr:colOff>
      <xdr:row>112</xdr:row>
      <xdr:rowOff>10053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78437EE-B2FD-7C96-65E0-636EC27A2415}"/>
            </a:ext>
          </a:extLst>
        </xdr:cNvPr>
        <xdr:cNvCxnSpPr/>
      </xdr:nvCxnSpPr>
      <xdr:spPr>
        <a:xfrm flipH="1">
          <a:off x="12341401" y="207255"/>
          <a:ext cx="12346" cy="17938398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Oscar Settje" id="{2567B180-7FBF-4C5E-A839-9F212724FCA9}" userId="7ff36870b9739543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6" dT="2025-04-15T09:02:08.65" personId="{2567B180-7FBF-4C5E-A839-9F212724FCA9}" id="{0730EDA6-8BD7-4887-A459-F5F3D684BDDA}">
    <text>Q1 China New Years -&gt; higher % of Revenue in Asia in Q1</text>
  </threadedComment>
  <threadedComment ref="G17" dT="2025-04-15T09:02:26.43" personId="{2567B180-7FBF-4C5E-A839-9F212724FCA9}" id="{04D8DA85-74C1-43F7-9161-C9F4B5E4FC35}">
    <text>Organic: -3%</text>
  </threadedComment>
  <threadedComment ref="G19" dT="2025-04-15T09:02:58.16" personId="{2567B180-7FBF-4C5E-A839-9F212724FCA9}" id="{F8C88AB7-0E52-4349-A875-E61A1AD7BCCB}">
    <text>Organ: +2%</text>
  </threadedComment>
  <threadedComment ref="I28" dT="2025-10-18T12:40:47.40" personId="{2567B180-7FBF-4C5E-A839-9F212724FCA9}" id="{6A0FBB0C-E2C5-451B-89D8-64036F47AC91}">
    <text>Organic Growth +1%</text>
  </threadedComment>
  <threadedComment ref="K28" dT="2026-04-17T15:31:16.55" personId="{2567B180-7FBF-4C5E-A839-9F212724FCA9}" id="{6035DA54-C778-4C24-ADB7-572487D25008}">
    <text>Organic Growth (- impact fx) +1%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lvmh.com/investors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2E0A7-D3BF-4874-B6F1-44DA921D3AB0}">
  <dimension ref="A1:J46"/>
  <sheetViews>
    <sheetView tabSelected="1" topLeftCell="E1" zoomScale="200" zoomScaleNormal="200" workbookViewId="0">
      <selection activeCell="I9" sqref="I9"/>
    </sheetView>
  </sheetViews>
  <sheetFormatPr defaultRowHeight="12.75" x14ac:dyDescent="0.2"/>
  <cols>
    <col min="1" max="1" width="4.7109375" style="4" customWidth="1"/>
    <col min="2" max="2" width="21.140625" style="4" bestFit="1" customWidth="1"/>
    <col min="3" max="3" width="9.140625" style="4"/>
    <col min="4" max="4" width="64.140625" style="4" bestFit="1" customWidth="1"/>
    <col min="5" max="5" width="9.140625" style="4"/>
    <col min="6" max="6" width="9.85546875" style="4" customWidth="1"/>
    <col min="7" max="8" width="9.140625" style="4"/>
    <col min="9" max="9" width="8.85546875" style="4" bestFit="1" customWidth="1"/>
    <col min="10" max="16384" width="9.140625" style="4"/>
  </cols>
  <sheetData>
    <row r="1" spans="1:10" x14ac:dyDescent="0.2">
      <c r="A1" s="18" t="s">
        <v>0</v>
      </c>
    </row>
    <row r="2" spans="1:10" x14ac:dyDescent="0.2">
      <c r="A2" s="4" t="s">
        <v>145</v>
      </c>
    </row>
    <row r="4" spans="1:10" x14ac:dyDescent="0.2">
      <c r="B4" s="63" t="s">
        <v>15</v>
      </c>
      <c r="H4" s="4" t="s">
        <v>1</v>
      </c>
      <c r="I4" s="43">
        <v>459.1</v>
      </c>
    </row>
    <row r="5" spans="1:10" x14ac:dyDescent="0.2">
      <c r="B5" s="4" t="s">
        <v>146</v>
      </c>
      <c r="H5" s="4" t="s">
        <v>2</v>
      </c>
      <c r="I5" s="89">
        <v>495.81108</v>
      </c>
      <c r="J5" s="88" t="s">
        <v>273</v>
      </c>
    </row>
    <row r="6" spans="1:10" x14ac:dyDescent="0.2">
      <c r="H6" s="4" t="s">
        <v>3</v>
      </c>
      <c r="I6" s="61">
        <f>I5*I4</f>
        <v>227626.86682800003</v>
      </c>
    </row>
    <row r="7" spans="1:10" x14ac:dyDescent="0.2">
      <c r="B7" s="69" t="s">
        <v>25</v>
      </c>
      <c r="C7" s="47" t="s">
        <v>26</v>
      </c>
      <c r="D7" s="47" t="s">
        <v>27</v>
      </c>
      <c r="E7" s="47" t="s">
        <v>28</v>
      </c>
      <c r="F7" s="70"/>
      <c r="H7" s="4" t="s">
        <v>4</v>
      </c>
      <c r="I7" s="61">
        <v>6803</v>
      </c>
      <c r="J7" s="88" t="s">
        <v>273</v>
      </c>
    </row>
    <row r="8" spans="1:10" x14ac:dyDescent="0.2">
      <c r="B8" s="71" t="s">
        <v>18</v>
      </c>
      <c r="C8" s="60">
        <v>7.0000000000000007E-2</v>
      </c>
      <c r="D8" s="4" t="s">
        <v>136</v>
      </c>
      <c r="F8" s="72"/>
      <c r="H8" s="4" t="s">
        <v>5</v>
      </c>
      <c r="I8" s="61">
        <f>13041+7444</f>
        <v>20485</v>
      </c>
      <c r="J8" s="88" t="s">
        <v>273</v>
      </c>
    </row>
    <row r="9" spans="1:10" x14ac:dyDescent="0.2">
      <c r="B9" s="71" t="s">
        <v>19</v>
      </c>
      <c r="C9" s="60">
        <v>0.51</v>
      </c>
      <c r="D9" s="4" t="s">
        <v>139</v>
      </c>
      <c r="E9" s="4" t="s">
        <v>203</v>
      </c>
      <c r="F9" s="72"/>
      <c r="H9" s="4" t="s">
        <v>6</v>
      </c>
      <c r="I9" s="61">
        <f>I6+I8-I7</f>
        <v>241308.86682800003</v>
      </c>
    </row>
    <row r="10" spans="1:10" x14ac:dyDescent="0.2">
      <c r="B10" s="71" t="s">
        <v>24</v>
      </c>
      <c r="C10" s="60">
        <v>0.11</v>
      </c>
      <c r="D10" s="4" t="s">
        <v>138</v>
      </c>
      <c r="F10" s="72"/>
      <c r="I10" s="61"/>
    </row>
    <row r="11" spans="1:10" x14ac:dyDescent="0.2">
      <c r="B11" s="71" t="s">
        <v>20</v>
      </c>
      <c r="C11" s="60">
        <v>0.12</v>
      </c>
      <c r="D11" s="4" t="s">
        <v>137</v>
      </c>
      <c r="E11" s="4" t="s">
        <v>29</v>
      </c>
      <c r="F11" s="72"/>
      <c r="H11" s="4" t="s">
        <v>210</v>
      </c>
    </row>
    <row r="12" spans="1:10" x14ac:dyDescent="0.2">
      <c r="B12" s="73" t="s">
        <v>21</v>
      </c>
      <c r="C12" s="74">
        <v>0.2</v>
      </c>
      <c r="D12" s="3" t="s">
        <v>140</v>
      </c>
      <c r="E12" s="3"/>
      <c r="F12" s="75"/>
      <c r="H12" s="4" t="s">
        <v>220</v>
      </c>
    </row>
    <row r="13" spans="1:10" x14ac:dyDescent="0.2">
      <c r="H13" s="59" t="s">
        <v>207</v>
      </c>
    </row>
    <row r="14" spans="1:10" x14ac:dyDescent="0.2">
      <c r="A14" s="58" t="s">
        <v>17</v>
      </c>
      <c r="B14" s="59" t="s">
        <v>204</v>
      </c>
      <c r="H14" s="4" t="s">
        <v>208</v>
      </c>
      <c r="J14" s="4" t="s">
        <v>209</v>
      </c>
    </row>
    <row r="15" spans="1:10" x14ac:dyDescent="0.2">
      <c r="A15" s="58"/>
      <c r="B15" s="4" t="s">
        <v>219</v>
      </c>
      <c r="H15" s="4" t="s">
        <v>250</v>
      </c>
      <c r="J15" s="4" t="s">
        <v>251</v>
      </c>
    </row>
    <row r="16" spans="1:10" x14ac:dyDescent="0.2">
      <c r="A16" s="58"/>
      <c r="H16" s="4" t="s">
        <v>252</v>
      </c>
      <c r="J16" s="4" t="s">
        <v>253</v>
      </c>
    </row>
    <row r="17" spans="1:10" x14ac:dyDescent="0.2">
      <c r="A17" s="58"/>
      <c r="B17" s="78" t="s">
        <v>271</v>
      </c>
      <c r="H17" s="4" t="s">
        <v>254</v>
      </c>
      <c r="J17" s="4" t="s">
        <v>255</v>
      </c>
    </row>
    <row r="18" spans="1:10" x14ac:dyDescent="0.2">
      <c r="A18" s="58"/>
      <c r="B18" s="81" t="s">
        <v>276</v>
      </c>
      <c r="H18" s="4" t="s">
        <v>256</v>
      </c>
      <c r="J18" s="4" t="s">
        <v>257</v>
      </c>
    </row>
    <row r="19" spans="1:10" x14ac:dyDescent="0.2">
      <c r="A19" s="58"/>
      <c r="H19" s="4" t="s">
        <v>258</v>
      </c>
      <c r="J19" s="4" t="s">
        <v>259</v>
      </c>
    </row>
    <row r="20" spans="1:10" x14ac:dyDescent="0.2">
      <c r="A20" s="58"/>
    </row>
    <row r="21" spans="1:10" x14ac:dyDescent="0.2">
      <c r="A21" s="58"/>
    </row>
    <row r="22" spans="1:10" x14ac:dyDescent="0.2">
      <c r="A22" s="58"/>
    </row>
    <row r="23" spans="1:10" x14ac:dyDescent="0.2">
      <c r="A23" s="58"/>
    </row>
    <row r="24" spans="1:10" x14ac:dyDescent="0.2">
      <c r="B24" s="4" t="s">
        <v>206</v>
      </c>
    </row>
    <row r="25" spans="1:10" x14ac:dyDescent="0.2">
      <c r="B25" s="4" t="s">
        <v>211</v>
      </c>
    </row>
    <row r="26" spans="1:10" x14ac:dyDescent="0.2">
      <c r="B26" s="4" t="s">
        <v>212</v>
      </c>
    </row>
    <row r="27" spans="1:10" x14ac:dyDescent="0.2">
      <c r="B27" s="4" t="s">
        <v>213</v>
      </c>
    </row>
    <row r="28" spans="1:10" x14ac:dyDescent="0.2">
      <c r="B28" s="4" t="s">
        <v>214</v>
      </c>
    </row>
    <row r="29" spans="1:10" x14ac:dyDescent="0.2">
      <c r="B29" s="4" t="s">
        <v>215</v>
      </c>
    </row>
    <row r="30" spans="1:10" x14ac:dyDescent="0.2">
      <c r="B30" s="4" t="s">
        <v>216</v>
      </c>
    </row>
    <row r="31" spans="1:10" x14ac:dyDescent="0.2">
      <c r="B31" s="4" t="s">
        <v>217</v>
      </c>
    </row>
    <row r="32" spans="1:10" x14ac:dyDescent="0.2">
      <c r="B32" s="4" t="s">
        <v>218</v>
      </c>
    </row>
    <row r="46" spans="2:2" x14ac:dyDescent="0.2">
      <c r="B46" s="4" t="s">
        <v>205</v>
      </c>
    </row>
  </sheetData>
  <hyperlinks>
    <hyperlink ref="B4" r:id="rId1" xr:uid="{A79DD6B5-DD73-41E4-B077-86D7C87150A1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9692D-F6A3-4F44-AE01-03788CB191C2}">
  <dimension ref="A1:AP488"/>
  <sheetViews>
    <sheetView zoomScale="200" zoomScaleNormal="200" workbookViewId="0">
      <pane xSplit="2" ySplit="2" topLeftCell="F3" activePane="bottomRight" state="frozen"/>
      <selection pane="topRight" activeCell="C1" sqref="C1"/>
      <selection pane="bottomLeft" activeCell="A3" sqref="A3"/>
      <selection pane="bottomRight" activeCell="K17" sqref="K17"/>
    </sheetView>
  </sheetViews>
  <sheetFormatPr defaultRowHeight="12.75" x14ac:dyDescent="0.2"/>
  <cols>
    <col min="1" max="1" width="5.42578125" style="4" bestFit="1" customWidth="1"/>
    <col min="2" max="2" width="22.42578125" style="4" customWidth="1"/>
    <col min="3" max="16384" width="9.140625" style="4"/>
  </cols>
  <sheetData>
    <row r="1" spans="1:42" x14ac:dyDescent="0.2">
      <c r="A1" s="63" t="s">
        <v>7</v>
      </c>
    </row>
    <row r="2" spans="1:42" x14ac:dyDescent="0.2">
      <c r="C2" s="57" t="s">
        <v>226</v>
      </c>
      <c r="D2" s="57" t="s">
        <v>222</v>
      </c>
      <c r="E2" s="57" t="s">
        <v>227</v>
      </c>
      <c r="F2" s="57" t="s">
        <v>228</v>
      </c>
      <c r="G2" s="57" t="s">
        <v>221</v>
      </c>
      <c r="H2" s="57" t="s">
        <v>223</v>
      </c>
      <c r="I2" s="57" t="s">
        <v>224</v>
      </c>
      <c r="J2" s="57" t="s">
        <v>225</v>
      </c>
      <c r="K2" s="79" t="s">
        <v>272</v>
      </c>
      <c r="L2" s="79" t="s">
        <v>273</v>
      </c>
      <c r="M2" s="79" t="s">
        <v>274</v>
      </c>
      <c r="N2" s="79" t="s">
        <v>275</v>
      </c>
    </row>
    <row r="3" spans="1:42" x14ac:dyDescent="0.2">
      <c r="B3" s="4" t="s">
        <v>235</v>
      </c>
      <c r="C3" s="21">
        <f>23%*$C$15</f>
        <v>4759.62</v>
      </c>
      <c r="D3" s="21"/>
      <c r="E3" s="21"/>
      <c r="F3" s="21"/>
      <c r="G3" s="21">
        <f>24%*$G$15</f>
        <v>4874.6399999999994</v>
      </c>
      <c r="H3" s="21"/>
      <c r="I3" s="21"/>
      <c r="J3" s="21"/>
      <c r="K3" s="21"/>
      <c r="L3" s="21"/>
    </row>
    <row r="4" spans="1:42" x14ac:dyDescent="0.2">
      <c r="B4" s="4" t="s">
        <v>236</v>
      </c>
      <c r="C4" s="21">
        <f>7%*$C$15</f>
        <v>1448.5800000000002</v>
      </c>
      <c r="D4" s="21"/>
      <c r="E4" s="21"/>
      <c r="F4" s="21"/>
      <c r="G4" s="21">
        <f>8%*$G$15</f>
        <v>1624.88</v>
      </c>
      <c r="H4" s="21"/>
      <c r="I4" s="21"/>
      <c r="J4" s="21"/>
      <c r="K4" s="21"/>
      <c r="L4" s="21"/>
    </row>
    <row r="5" spans="1:42" x14ac:dyDescent="0.2">
      <c r="B5" s="4" t="s">
        <v>237</v>
      </c>
      <c r="C5" s="21">
        <f>15%*$C$15</f>
        <v>3104.1</v>
      </c>
      <c r="D5" s="21"/>
      <c r="E5" s="21"/>
      <c r="F5" s="21"/>
      <c r="G5" s="21">
        <f>15%*$G$15</f>
        <v>3046.65</v>
      </c>
      <c r="H5" s="21"/>
      <c r="I5" s="21"/>
      <c r="J5" s="21"/>
      <c r="K5" s="21"/>
      <c r="L5" s="21"/>
    </row>
    <row r="6" spans="1:42" x14ac:dyDescent="0.2">
      <c r="B6" s="4" t="s">
        <v>238</v>
      </c>
      <c r="C6" s="21">
        <f>33%*$C$15</f>
        <v>6829.02</v>
      </c>
      <c r="D6" s="21"/>
      <c r="E6" s="21"/>
      <c r="F6" s="21"/>
      <c r="G6" s="21">
        <f>30%*$G$15</f>
        <v>6093.3</v>
      </c>
      <c r="H6" s="21"/>
      <c r="I6" s="21"/>
      <c r="J6" s="21"/>
      <c r="K6" s="21"/>
      <c r="L6" s="21"/>
    </row>
    <row r="7" spans="1:42" x14ac:dyDescent="0.2">
      <c r="B7" s="4" t="s">
        <v>239</v>
      </c>
      <c r="C7" s="21">
        <f>9%*$C$15</f>
        <v>1862.46</v>
      </c>
      <c r="D7" s="21"/>
      <c r="E7" s="21"/>
      <c r="F7" s="21"/>
      <c r="G7" s="21">
        <f>9%*$G$15</f>
        <v>1827.99</v>
      </c>
      <c r="H7" s="21"/>
      <c r="I7" s="21"/>
      <c r="J7" s="21"/>
      <c r="K7" s="21"/>
      <c r="L7" s="21"/>
    </row>
    <row r="8" spans="1:42" x14ac:dyDescent="0.2">
      <c r="B8" s="4" t="s">
        <v>240</v>
      </c>
      <c r="C8" s="21">
        <f>13%*$C$15</f>
        <v>2690.2200000000003</v>
      </c>
      <c r="D8" s="21"/>
      <c r="E8" s="21"/>
      <c r="F8" s="21"/>
      <c r="G8" s="21">
        <f>14%*$G$15</f>
        <v>2843.5400000000004</v>
      </c>
      <c r="H8" s="21"/>
      <c r="I8" s="21"/>
      <c r="J8" s="21"/>
      <c r="K8" s="21"/>
      <c r="L8" s="21"/>
    </row>
    <row r="9" spans="1:42" x14ac:dyDescent="0.2">
      <c r="B9" s="4" t="s">
        <v>18</v>
      </c>
      <c r="C9" s="21">
        <v>1417</v>
      </c>
      <c r="D9" s="21">
        <v>1391</v>
      </c>
      <c r="E9" s="21">
        <v>1386</v>
      </c>
      <c r="F9" s="21"/>
      <c r="G9" s="21">
        <v>1305</v>
      </c>
      <c r="H9" s="21">
        <v>1283</v>
      </c>
      <c r="I9" s="21">
        <v>1330</v>
      </c>
      <c r="J9" s="21">
        <f>+Model!S13-SUM(Quarters!G9:I9)</f>
        <v>1440</v>
      </c>
      <c r="K9" s="21">
        <v>1273</v>
      </c>
      <c r="L9" s="21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</row>
    <row r="10" spans="1:42" x14ac:dyDescent="0.2">
      <c r="B10" s="4" t="s">
        <v>19</v>
      </c>
      <c r="C10" s="21">
        <v>10490</v>
      </c>
      <c r="D10" s="21">
        <v>10281</v>
      </c>
      <c r="E10" s="21">
        <v>9151</v>
      </c>
      <c r="F10" s="21"/>
      <c r="G10" s="21">
        <v>10108</v>
      </c>
      <c r="H10" s="21">
        <v>9006</v>
      </c>
      <c r="I10" s="21">
        <v>8497</v>
      </c>
      <c r="J10" s="21">
        <f>+Model!S14-SUM(Quarters!G10:I10)</f>
        <v>10159</v>
      </c>
      <c r="K10" s="21">
        <v>9247</v>
      </c>
      <c r="L10" s="21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</row>
    <row r="11" spans="1:42" x14ac:dyDescent="0.2">
      <c r="B11" s="4" t="s">
        <v>24</v>
      </c>
      <c r="C11" s="21">
        <v>2182</v>
      </c>
      <c r="D11" s="21">
        <v>1953</v>
      </c>
      <c r="E11" s="21">
        <v>2012</v>
      </c>
      <c r="F11" s="21"/>
      <c r="G11" s="21">
        <v>2178</v>
      </c>
      <c r="H11" s="21">
        <v>1904</v>
      </c>
      <c r="I11" s="21">
        <v>1958</v>
      </c>
      <c r="J11" s="21">
        <f>+Model!S15-SUM(Quarters!G11:I11)</f>
        <v>2134</v>
      </c>
      <c r="K11" s="21">
        <v>2038</v>
      </c>
      <c r="L11" s="21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</row>
    <row r="12" spans="1:42" x14ac:dyDescent="0.2">
      <c r="B12" s="4" t="s">
        <v>20</v>
      </c>
      <c r="C12" s="21">
        <v>2466</v>
      </c>
      <c r="D12" s="21">
        <v>2685</v>
      </c>
      <c r="E12" s="21">
        <v>2386</v>
      </c>
      <c r="F12" s="21"/>
      <c r="G12" s="21">
        <v>2482</v>
      </c>
      <c r="H12" s="21">
        <v>2608</v>
      </c>
      <c r="I12" s="21">
        <v>2319</v>
      </c>
      <c r="J12" s="21">
        <f>+Model!S16-SUM(Quarters!G12:I12)</f>
        <v>3077</v>
      </c>
      <c r="K12" s="21">
        <v>2443</v>
      </c>
      <c r="L12" s="21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</row>
    <row r="13" spans="1:42" x14ac:dyDescent="0.2">
      <c r="B13" s="4" t="s">
        <v>21</v>
      </c>
      <c r="C13" s="21">
        <v>4175</v>
      </c>
      <c r="D13" s="21">
        <v>4457</v>
      </c>
      <c r="E13" s="21">
        <v>3927</v>
      </c>
      <c r="F13" s="21"/>
      <c r="G13" s="21">
        <v>4189</v>
      </c>
      <c r="H13" s="21">
        <v>4431</v>
      </c>
      <c r="I13" s="21">
        <v>3992</v>
      </c>
      <c r="J13" s="21">
        <f>+Model!S17-SUM(Quarters!G13:I13)</f>
        <v>5736</v>
      </c>
      <c r="K13" s="21">
        <v>4048</v>
      </c>
      <c r="L13" s="21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</row>
    <row r="14" spans="1:42" x14ac:dyDescent="0.2">
      <c r="B14" s="4" t="s">
        <v>22</v>
      </c>
      <c r="C14" s="21">
        <v>-36</v>
      </c>
      <c r="D14" s="21">
        <f>552-336</f>
        <v>216</v>
      </c>
      <c r="E14" s="21">
        <v>214</v>
      </c>
      <c r="F14" s="21"/>
      <c r="G14" s="21">
        <v>49</v>
      </c>
      <c r="H14" s="21">
        <f>609-341</f>
        <v>268</v>
      </c>
      <c r="I14" s="21">
        <v>185</v>
      </c>
      <c r="J14" s="21">
        <f>+Model!S18-SUM(Quarters!G14:I14)</f>
        <v>169</v>
      </c>
      <c r="K14" s="21">
        <v>72</v>
      </c>
      <c r="L14" s="21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</row>
    <row r="15" spans="1:42" x14ac:dyDescent="0.2">
      <c r="B15" s="18" t="s">
        <v>23</v>
      </c>
      <c r="C15" s="64">
        <f>+SUM(C9:C14)</f>
        <v>20694</v>
      </c>
      <c r="D15" s="64">
        <f>+SUM(D9:D14)</f>
        <v>20983</v>
      </c>
      <c r="E15" s="64">
        <f>+SUM(E9:E14)</f>
        <v>19076</v>
      </c>
      <c r="F15" s="43"/>
      <c r="G15" s="64">
        <f>+SUM(G9:G14)</f>
        <v>20311</v>
      </c>
      <c r="H15" s="64">
        <f>+SUM(H9:H14)</f>
        <v>19500</v>
      </c>
      <c r="I15" s="64">
        <f>+SUM(I9:I14)</f>
        <v>18281</v>
      </c>
      <c r="J15" s="64">
        <f>+Model!S19-SUM(Quarters!G15:I15)</f>
        <v>22715</v>
      </c>
      <c r="K15" s="80">
        <v>19121</v>
      </c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</row>
    <row r="16" spans="1:42" x14ac:dyDescent="0.2">
      <c r="E16" s="43"/>
      <c r="F16" s="43"/>
      <c r="G16" s="68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</row>
    <row r="17" spans="2:42" x14ac:dyDescent="0.2">
      <c r="B17" s="4" t="s">
        <v>241</v>
      </c>
      <c r="E17" s="43"/>
      <c r="F17" s="43"/>
      <c r="G17" s="68">
        <f t="shared" ref="G17:H22" si="0">+G3/C3-1</f>
        <v>2.4165794748320035E-2</v>
      </c>
      <c r="H17" s="68" t="e">
        <f t="shared" si="0"/>
        <v>#DIV/0!</v>
      </c>
      <c r="I17" s="68" t="e">
        <f t="shared" ref="I17:I22" si="1">+I3/E3-1</f>
        <v>#DIV/0!</v>
      </c>
      <c r="J17" s="68" t="e">
        <f t="shared" ref="J17:K22" si="2">+J3/F3-1</f>
        <v>#DIV/0!</v>
      </c>
      <c r="K17" s="68">
        <f t="shared" si="2"/>
        <v>-1</v>
      </c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</row>
    <row r="18" spans="2:42" x14ac:dyDescent="0.2">
      <c r="B18" s="4" t="s">
        <v>242</v>
      </c>
      <c r="D18" s="26"/>
      <c r="E18" s="43"/>
      <c r="F18" s="43"/>
      <c r="G18" s="68">
        <f t="shared" si="0"/>
        <v>0.12170539424816029</v>
      </c>
      <c r="H18" s="68" t="e">
        <f t="shared" si="0"/>
        <v>#DIV/0!</v>
      </c>
      <c r="I18" s="68" t="e">
        <f t="shared" si="1"/>
        <v>#DIV/0!</v>
      </c>
      <c r="J18" s="68" t="e">
        <f t="shared" si="2"/>
        <v>#DIV/0!</v>
      </c>
      <c r="K18" s="68">
        <f t="shared" si="2"/>
        <v>-1</v>
      </c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</row>
    <row r="19" spans="2:42" x14ac:dyDescent="0.2">
      <c r="B19" s="4" t="s">
        <v>243</v>
      </c>
      <c r="E19" s="43"/>
      <c r="F19" s="43"/>
      <c r="G19" s="68">
        <f t="shared" si="0"/>
        <v>-1.8507780032859689E-2</v>
      </c>
      <c r="H19" s="68" t="e">
        <f t="shared" si="0"/>
        <v>#DIV/0!</v>
      </c>
      <c r="I19" s="68" t="e">
        <f t="shared" si="1"/>
        <v>#DIV/0!</v>
      </c>
      <c r="J19" s="68" t="e">
        <f t="shared" si="2"/>
        <v>#DIV/0!</v>
      </c>
      <c r="K19" s="68">
        <f t="shared" si="2"/>
        <v>-1</v>
      </c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</row>
    <row r="20" spans="2:42" x14ac:dyDescent="0.2">
      <c r="B20" s="4" t="s">
        <v>244</v>
      </c>
      <c r="E20" s="43"/>
      <c r="F20" s="43"/>
      <c r="G20" s="68">
        <f t="shared" si="0"/>
        <v>-0.10773434548441796</v>
      </c>
      <c r="H20" s="68" t="e">
        <f t="shared" si="0"/>
        <v>#DIV/0!</v>
      </c>
      <c r="I20" s="68" t="e">
        <f t="shared" si="1"/>
        <v>#DIV/0!</v>
      </c>
      <c r="J20" s="68" t="e">
        <f t="shared" si="2"/>
        <v>#DIV/0!</v>
      </c>
      <c r="K20" s="68">
        <f t="shared" si="2"/>
        <v>-1</v>
      </c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</row>
    <row r="21" spans="2:42" x14ac:dyDescent="0.2">
      <c r="B21" s="4" t="s">
        <v>245</v>
      </c>
      <c r="E21" s="43"/>
      <c r="F21" s="43"/>
      <c r="G21" s="68">
        <f t="shared" si="0"/>
        <v>-1.85077800328598E-2</v>
      </c>
      <c r="H21" s="68" t="e">
        <f t="shared" si="0"/>
        <v>#DIV/0!</v>
      </c>
      <c r="I21" s="68" t="e">
        <f t="shared" si="1"/>
        <v>#DIV/0!</v>
      </c>
      <c r="J21" s="68" t="e">
        <f t="shared" si="2"/>
        <v>#DIV/0!</v>
      </c>
      <c r="K21" s="68">
        <f t="shared" si="2"/>
        <v>-1</v>
      </c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</row>
    <row r="22" spans="2:42" x14ac:dyDescent="0.2">
      <c r="B22" s="4" t="s">
        <v>246</v>
      </c>
      <c r="E22" s="43"/>
      <c r="F22" s="43"/>
      <c r="G22" s="68">
        <f t="shared" si="0"/>
        <v>5.699162150307413E-2</v>
      </c>
      <c r="H22" s="68" t="e">
        <f t="shared" si="0"/>
        <v>#DIV/0!</v>
      </c>
      <c r="I22" s="68" t="e">
        <f t="shared" si="1"/>
        <v>#DIV/0!</v>
      </c>
      <c r="J22" s="68" t="e">
        <f t="shared" si="2"/>
        <v>#DIV/0!</v>
      </c>
      <c r="K22" s="68">
        <f t="shared" si="2"/>
        <v>-1</v>
      </c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</row>
    <row r="23" spans="2:42" x14ac:dyDescent="0.2">
      <c r="B23" s="4" t="s">
        <v>229</v>
      </c>
      <c r="E23" s="43"/>
      <c r="F23" s="43"/>
      <c r="G23" s="68">
        <f>+G9/C9-1</f>
        <v>-7.9040225829216659E-2</v>
      </c>
      <c r="H23" s="68">
        <f t="shared" ref="H23:K27" si="3">+H9/D9-1</f>
        <v>-7.7641984184040225E-2</v>
      </c>
      <c r="I23" s="68">
        <f t="shared" si="3"/>
        <v>-4.0404040404040442E-2</v>
      </c>
      <c r="J23" s="68" t="e">
        <f t="shared" si="3"/>
        <v>#DIV/0!</v>
      </c>
      <c r="K23" s="68">
        <f t="shared" si="3"/>
        <v>-2.4521072796934829E-2</v>
      </c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</row>
    <row r="24" spans="2:42" x14ac:dyDescent="0.2">
      <c r="B24" s="4" t="s">
        <v>230</v>
      </c>
      <c r="E24" s="43"/>
      <c r="F24" s="43"/>
      <c r="G24" s="68">
        <f t="shared" ref="G24:G27" si="4">+G10/C10-1</f>
        <v>-3.6415633937082914E-2</v>
      </c>
      <c r="H24" s="68">
        <f t="shared" si="3"/>
        <v>-0.12401517362124304</v>
      </c>
      <c r="I24" s="68">
        <f t="shared" si="3"/>
        <v>-7.1467599169489637E-2</v>
      </c>
      <c r="J24" s="68" t="e">
        <f t="shared" si="3"/>
        <v>#DIV/0!</v>
      </c>
      <c r="K24" s="68">
        <f t="shared" si="3"/>
        <v>-8.5180055401662069E-2</v>
      </c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</row>
    <row r="25" spans="2:42" x14ac:dyDescent="0.2">
      <c r="B25" s="4" t="s">
        <v>231</v>
      </c>
      <c r="E25" s="43"/>
      <c r="F25" s="43"/>
      <c r="G25" s="68">
        <f t="shared" si="4"/>
        <v>-1.8331805682859637E-3</v>
      </c>
      <c r="H25" s="68">
        <f t="shared" si="3"/>
        <v>-2.508960573476704E-2</v>
      </c>
      <c r="I25" s="68">
        <f t="shared" si="3"/>
        <v>-2.6838966202783254E-2</v>
      </c>
      <c r="J25" s="68" t="e">
        <f t="shared" si="3"/>
        <v>#DIV/0!</v>
      </c>
      <c r="K25" s="68">
        <f t="shared" si="3"/>
        <v>-6.4279155188246118E-2</v>
      </c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</row>
    <row r="26" spans="2:42" x14ac:dyDescent="0.2">
      <c r="B26" s="4" t="s">
        <v>232</v>
      </c>
      <c r="E26" s="43"/>
      <c r="F26" s="43"/>
      <c r="G26" s="68">
        <f t="shared" si="4"/>
        <v>6.4882400648824667E-3</v>
      </c>
      <c r="H26" s="68">
        <f t="shared" si="3"/>
        <v>-2.8677839851024234E-2</v>
      </c>
      <c r="I26" s="68">
        <f t="shared" si="3"/>
        <v>-2.8080469404861641E-2</v>
      </c>
      <c r="J26" s="68" t="e">
        <f t="shared" si="3"/>
        <v>#DIV/0!</v>
      </c>
      <c r="K26" s="68">
        <f t="shared" si="3"/>
        <v>-1.5713134568896003E-2</v>
      </c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</row>
    <row r="27" spans="2:42" x14ac:dyDescent="0.2">
      <c r="B27" s="4" t="s">
        <v>234</v>
      </c>
      <c r="E27" s="43"/>
      <c r="F27" s="43"/>
      <c r="G27" s="68">
        <f t="shared" si="4"/>
        <v>3.3532934131736969E-3</v>
      </c>
      <c r="H27" s="68">
        <f t="shared" si="3"/>
        <v>-5.8335203051379514E-3</v>
      </c>
      <c r="I27" s="68">
        <f t="shared" si="3"/>
        <v>1.6552075375604769E-2</v>
      </c>
      <c r="J27" s="68" t="e">
        <f t="shared" si="3"/>
        <v>#DIV/0!</v>
      </c>
      <c r="K27" s="68">
        <f t="shared" si="3"/>
        <v>-3.3659584626402506E-2</v>
      </c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</row>
    <row r="28" spans="2:42" x14ac:dyDescent="0.2">
      <c r="B28" s="18" t="s">
        <v>46</v>
      </c>
      <c r="E28" s="43"/>
      <c r="F28" s="43"/>
      <c r="G28" s="76">
        <f>+G15/C15-1</f>
        <v>-1.85077800328598E-2</v>
      </c>
      <c r="H28" s="76">
        <f t="shared" ref="H28:K28" si="5">+H15/D15-1</f>
        <v>-7.0676261735690749E-2</v>
      </c>
      <c r="I28" s="76">
        <f t="shared" si="5"/>
        <v>-4.1675403648563591E-2</v>
      </c>
      <c r="J28" s="76" t="e">
        <f t="shared" si="5"/>
        <v>#DIV/0!</v>
      </c>
      <c r="K28" s="76">
        <f t="shared" si="5"/>
        <v>-5.8588941952636531E-2</v>
      </c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</row>
    <row r="29" spans="2:42" x14ac:dyDescent="0.2"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</row>
    <row r="30" spans="2:42" x14ac:dyDescent="0.2"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</row>
    <row r="31" spans="2:42" x14ac:dyDescent="0.2"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</row>
    <row r="32" spans="2:42" x14ac:dyDescent="0.2"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</row>
    <row r="33" spans="5:42" x14ac:dyDescent="0.2"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</row>
    <row r="34" spans="5:42" x14ac:dyDescent="0.2"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</row>
    <row r="35" spans="5:42" x14ac:dyDescent="0.2"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</row>
    <row r="36" spans="5:42" x14ac:dyDescent="0.2"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</row>
    <row r="37" spans="5:42" x14ac:dyDescent="0.2"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</row>
    <row r="38" spans="5:42" x14ac:dyDescent="0.2"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</row>
    <row r="39" spans="5:42" x14ac:dyDescent="0.2"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</row>
    <row r="40" spans="5:42" x14ac:dyDescent="0.2"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</row>
    <row r="41" spans="5:42" x14ac:dyDescent="0.2"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</row>
    <row r="42" spans="5:42" x14ac:dyDescent="0.2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</row>
    <row r="43" spans="5:42" x14ac:dyDescent="0.2"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</row>
    <row r="44" spans="5:42" x14ac:dyDescent="0.2"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</row>
    <row r="45" spans="5:42" x14ac:dyDescent="0.2"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</row>
    <row r="46" spans="5:42" x14ac:dyDescent="0.2"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</row>
    <row r="47" spans="5:42" x14ac:dyDescent="0.2"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</row>
    <row r="48" spans="5:42" x14ac:dyDescent="0.2"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</row>
    <row r="49" spans="5:42" x14ac:dyDescent="0.2"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</row>
    <row r="50" spans="5:42" x14ac:dyDescent="0.2"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</row>
    <row r="51" spans="5:42" x14ac:dyDescent="0.2"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</row>
    <row r="52" spans="5:42" x14ac:dyDescent="0.2"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</row>
    <row r="53" spans="5:42" x14ac:dyDescent="0.2"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</row>
    <row r="54" spans="5:42" x14ac:dyDescent="0.2"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</row>
    <row r="55" spans="5:42" x14ac:dyDescent="0.2"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</row>
    <row r="56" spans="5:42" x14ac:dyDescent="0.2"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</row>
    <row r="57" spans="5:42" x14ac:dyDescent="0.2"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</row>
    <row r="58" spans="5:42" x14ac:dyDescent="0.2"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</row>
    <row r="59" spans="5:42" x14ac:dyDescent="0.2"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</row>
    <row r="60" spans="5:42" x14ac:dyDescent="0.2"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</row>
    <row r="61" spans="5:42" x14ac:dyDescent="0.2"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</row>
    <row r="62" spans="5:42" x14ac:dyDescent="0.2"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</row>
    <row r="63" spans="5:42" x14ac:dyDescent="0.2"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</row>
    <row r="64" spans="5:42" x14ac:dyDescent="0.2"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</row>
    <row r="65" spans="5:42" x14ac:dyDescent="0.2"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</row>
    <row r="66" spans="5:42" x14ac:dyDescent="0.2"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</row>
    <row r="67" spans="5:42" x14ac:dyDescent="0.2"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</row>
    <row r="68" spans="5:42" x14ac:dyDescent="0.2"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</row>
    <row r="69" spans="5:42" x14ac:dyDescent="0.2"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</row>
    <row r="70" spans="5:42" x14ac:dyDescent="0.2"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</row>
    <row r="71" spans="5:42" x14ac:dyDescent="0.2"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</row>
    <row r="72" spans="5:42" x14ac:dyDescent="0.2"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</row>
    <row r="73" spans="5:42" x14ac:dyDescent="0.2"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</row>
    <row r="74" spans="5:42" x14ac:dyDescent="0.2"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</row>
    <row r="75" spans="5:42" x14ac:dyDescent="0.2"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</row>
    <row r="76" spans="5:42" x14ac:dyDescent="0.2"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</row>
    <row r="77" spans="5:42" x14ac:dyDescent="0.2"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</row>
    <row r="78" spans="5:42" x14ac:dyDescent="0.2"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</row>
    <row r="79" spans="5:42" x14ac:dyDescent="0.2"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</row>
    <row r="80" spans="5:42" x14ac:dyDescent="0.2"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</row>
    <row r="81" spans="5:42" x14ac:dyDescent="0.2"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</row>
    <row r="82" spans="5:42" x14ac:dyDescent="0.2"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</row>
    <row r="83" spans="5:42" x14ac:dyDescent="0.2"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</row>
    <row r="84" spans="5:42" x14ac:dyDescent="0.2"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</row>
    <row r="85" spans="5:42" x14ac:dyDescent="0.2"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</row>
    <row r="86" spans="5:42" x14ac:dyDescent="0.2"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</row>
    <row r="87" spans="5:42" x14ac:dyDescent="0.2"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</row>
    <row r="88" spans="5:42" x14ac:dyDescent="0.2"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</row>
    <row r="89" spans="5:42" x14ac:dyDescent="0.2"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43"/>
      <c r="AO89" s="43"/>
      <c r="AP89" s="43"/>
    </row>
    <row r="90" spans="5:42" x14ac:dyDescent="0.2"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43"/>
    </row>
    <row r="91" spans="5:42" x14ac:dyDescent="0.2"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</row>
    <row r="92" spans="5:42" x14ac:dyDescent="0.2"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43"/>
      <c r="AO92" s="43"/>
      <c r="AP92" s="43"/>
    </row>
    <row r="93" spans="5:42" x14ac:dyDescent="0.2"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</row>
    <row r="94" spans="5:42" x14ac:dyDescent="0.2"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</row>
    <row r="95" spans="5:42" x14ac:dyDescent="0.2"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</row>
    <row r="96" spans="5:42" x14ac:dyDescent="0.2"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</row>
    <row r="97" spans="5:42" x14ac:dyDescent="0.2"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3"/>
      <c r="AM97" s="43"/>
      <c r="AN97" s="43"/>
      <c r="AO97" s="43"/>
      <c r="AP97" s="43"/>
    </row>
    <row r="98" spans="5:42" x14ac:dyDescent="0.2"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</row>
    <row r="99" spans="5:42" x14ac:dyDescent="0.2"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</row>
    <row r="100" spans="5:42" x14ac:dyDescent="0.2"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</row>
    <row r="101" spans="5:42" x14ac:dyDescent="0.2"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</row>
    <row r="102" spans="5:42" x14ac:dyDescent="0.2"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</row>
    <row r="103" spans="5:42" x14ac:dyDescent="0.2"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</row>
    <row r="104" spans="5:42" x14ac:dyDescent="0.2"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</row>
    <row r="105" spans="5:42" x14ac:dyDescent="0.2"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</row>
    <row r="106" spans="5:42" x14ac:dyDescent="0.2"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</row>
    <row r="107" spans="5:42" x14ac:dyDescent="0.2"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</row>
    <row r="108" spans="5:42" x14ac:dyDescent="0.2"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</row>
    <row r="109" spans="5:42" x14ac:dyDescent="0.2"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  <c r="AM109" s="43"/>
      <c r="AN109" s="43"/>
      <c r="AO109" s="43"/>
      <c r="AP109" s="43"/>
    </row>
    <row r="110" spans="5:42" x14ac:dyDescent="0.2"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  <c r="AM110" s="43"/>
      <c r="AN110" s="43"/>
      <c r="AO110" s="43"/>
      <c r="AP110" s="43"/>
    </row>
    <row r="111" spans="5:42" x14ac:dyDescent="0.2"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</row>
    <row r="112" spans="5:42" x14ac:dyDescent="0.2"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/>
      <c r="AN112" s="43"/>
      <c r="AO112" s="43"/>
      <c r="AP112" s="43"/>
    </row>
    <row r="113" spans="5:42" x14ac:dyDescent="0.2"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</row>
    <row r="114" spans="5:42" x14ac:dyDescent="0.2"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  <c r="AM114" s="43"/>
      <c r="AN114" s="43"/>
      <c r="AO114" s="43"/>
      <c r="AP114" s="43"/>
    </row>
    <row r="115" spans="5:42" x14ac:dyDescent="0.2"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  <c r="AM115" s="43"/>
      <c r="AN115" s="43"/>
      <c r="AO115" s="43"/>
      <c r="AP115" s="43"/>
    </row>
    <row r="116" spans="5:42" x14ac:dyDescent="0.2"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  <c r="AM116" s="43"/>
      <c r="AN116" s="43"/>
      <c r="AO116" s="43"/>
      <c r="AP116" s="43"/>
    </row>
    <row r="117" spans="5:42" x14ac:dyDescent="0.2"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</row>
    <row r="118" spans="5:42" x14ac:dyDescent="0.2"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  <c r="AP118" s="43"/>
    </row>
    <row r="119" spans="5:42" x14ac:dyDescent="0.2"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</row>
    <row r="120" spans="5:42" x14ac:dyDescent="0.2"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  <c r="AM120" s="43"/>
      <c r="AN120" s="43"/>
      <c r="AO120" s="43"/>
      <c r="AP120" s="43"/>
    </row>
    <row r="121" spans="5:42" x14ac:dyDescent="0.2"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  <c r="AM121" s="43"/>
      <c r="AN121" s="43"/>
      <c r="AO121" s="43"/>
      <c r="AP121" s="43"/>
    </row>
    <row r="122" spans="5:42" x14ac:dyDescent="0.2"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  <c r="AM122" s="43"/>
      <c r="AN122" s="43"/>
      <c r="AO122" s="43"/>
      <c r="AP122" s="43"/>
    </row>
    <row r="123" spans="5:42" x14ac:dyDescent="0.2"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</row>
    <row r="124" spans="5:42" x14ac:dyDescent="0.2"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  <c r="AP124" s="43"/>
    </row>
    <row r="125" spans="5:42" x14ac:dyDescent="0.2"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</row>
    <row r="126" spans="5:42" x14ac:dyDescent="0.2"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</row>
    <row r="127" spans="5:42" x14ac:dyDescent="0.2"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  <c r="AM127" s="43"/>
      <c r="AN127" s="43"/>
      <c r="AO127" s="43"/>
      <c r="AP127" s="43"/>
    </row>
    <row r="128" spans="5:42" x14ac:dyDescent="0.2"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/>
      <c r="AP128" s="43"/>
    </row>
    <row r="129" spans="5:42" x14ac:dyDescent="0.2"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</row>
    <row r="130" spans="5:42" x14ac:dyDescent="0.2"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  <c r="AM130" s="43"/>
      <c r="AN130" s="43"/>
      <c r="AO130" s="43"/>
      <c r="AP130" s="43"/>
    </row>
    <row r="131" spans="5:42" x14ac:dyDescent="0.2"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  <c r="AM131" s="43"/>
      <c r="AN131" s="43"/>
      <c r="AO131" s="43"/>
      <c r="AP131" s="43"/>
    </row>
    <row r="132" spans="5:42" x14ac:dyDescent="0.2"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/>
      <c r="AM132" s="43"/>
      <c r="AN132" s="43"/>
      <c r="AO132" s="43"/>
      <c r="AP132" s="43"/>
    </row>
    <row r="133" spans="5:42" x14ac:dyDescent="0.2"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  <c r="AK133" s="43"/>
      <c r="AL133" s="43"/>
      <c r="AM133" s="43"/>
      <c r="AN133" s="43"/>
      <c r="AO133" s="43"/>
      <c r="AP133" s="43"/>
    </row>
    <row r="134" spans="5:42" x14ac:dyDescent="0.2"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  <c r="AM134" s="43"/>
      <c r="AN134" s="43"/>
      <c r="AO134" s="43"/>
      <c r="AP134" s="43"/>
    </row>
    <row r="135" spans="5:42" x14ac:dyDescent="0.2"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</row>
    <row r="136" spans="5:42" x14ac:dyDescent="0.2"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  <c r="AM136" s="43"/>
      <c r="AN136" s="43"/>
      <c r="AO136" s="43"/>
      <c r="AP136" s="43"/>
    </row>
    <row r="137" spans="5:42" x14ac:dyDescent="0.2"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  <c r="AM137" s="43"/>
      <c r="AN137" s="43"/>
      <c r="AO137" s="43"/>
      <c r="AP137" s="43"/>
    </row>
    <row r="138" spans="5:42" x14ac:dyDescent="0.2"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  <c r="AM138" s="43"/>
      <c r="AN138" s="43"/>
      <c r="AO138" s="43"/>
      <c r="AP138" s="43"/>
    </row>
    <row r="139" spans="5:42" x14ac:dyDescent="0.2"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  <c r="AI139" s="43"/>
      <c r="AJ139" s="43"/>
      <c r="AK139" s="43"/>
      <c r="AL139" s="43"/>
      <c r="AM139" s="43"/>
      <c r="AN139" s="43"/>
      <c r="AO139" s="43"/>
      <c r="AP139" s="43"/>
    </row>
    <row r="140" spans="5:42" x14ac:dyDescent="0.2"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</row>
    <row r="141" spans="5:42" x14ac:dyDescent="0.2"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  <c r="AI141" s="43"/>
      <c r="AJ141" s="43"/>
      <c r="AK141" s="43"/>
      <c r="AL141" s="43"/>
      <c r="AM141" s="43"/>
      <c r="AN141" s="43"/>
      <c r="AO141" s="43"/>
      <c r="AP141" s="43"/>
    </row>
    <row r="142" spans="5:42" x14ac:dyDescent="0.2"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  <c r="AI142" s="43"/>
      <c r="AJ142" s="43"/>
      <c r="AK142" s="43"/>
      <c r="AL142" s="43"/>
      <c r="AM142" s="43"/>
      <c r="AN142" s="43"/>
      <c r="AO142" s="43"/>
      <c r="AP142" s="43"/>
    </row>
    <row r="143" spans="5:42" x14ac:dyDescent="0.2"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H143" s="43"/>
      <c r="AI143" s="43"/>
      <c r="AJ143" s="43"/>
      <c r="AK143" s="43"/>
      <c r="AL143" s="43"/>
      <c r="AM143" s="43"/>
      <c r="AN143" s="43"/>
      <c r="AO143" s="43"/>
      <c r="AP143" s="43"/>
    </row>
    <row r="144" spans="5:42" x14ac:dyDescent="0.2"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  <c r="AI144" s="43"/>
      <c r="AJ144" s="43"/>
      <c r="AK144" s="43"/>
      <c r="AL144" s="43"/>
      <c r="AM144" s="43"/>
      <c r="AN144" s="43"/>
      <c r="AO144" s="43"/>
      <c r="AP144" s="43"/>
    </row>
    <row r="145" spans="5:42" x14ac:dyDescent="0.2"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  <c r="AH145" s="43"/>
      <c r="AI145" s="43"/>
      <c r="AJ145" s="43"/>
      <c r="AK145" s="43"/>
      <c r="AL145" s="43"/>
      <c r="AM145" s="43"/>
      <c r="AN145" s="43"/>
      <c r="AO145" s="43"/>
      <c r="AP145" s="43"/>
    </row>
    <row r="146" spans="5:42" x14ac:dyDescent="0.2"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  <c r="AI146" s="43"/>
      <c r="AJ146" s="43"/>
      <c r="AK146" s="43"/>
      <c r="AL146" s="43"/>
      <c r="AM146" s="43"/>
      <c r="AN146" s="43"/>
      <c r="AO146" s="43"/>
      <c r="AP146" s="43"/>
    </row>
    <row r="147" spans="5:42" x14ac:dyDescent="0.2"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I147" s="43"/>
      <c r="AJ147" s="43"/>
      <c r="AK147" s="43"/>
      <c r="AL147" s="43"/>
      <c r="AM147" s="43"/>
      <c r="AN147" s="43"/>
      <c r="AO147" s="43"/>
      <c r="AP147" s="43"/>
    </row>
    <row r="148" spans="5:42" x14ac:dyDescent="0.2"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  <c r="AI148" s="43"/>
      <c r="AJ148" s="43"/>
      <c r="AK148" s="43"/>
      <c r="AL148" s="43"/>
      <c r="AM148" s="43"/>
      <c r="AN148" s="43"/>
      <c r="AO148" s="43"/>
      <c r="AP148" s="43"/>
    </row>
    <row r="149" spans="5:42" x14ac:dyDescent="0.2"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  <c r="AI149" s="43"/>
      <c r="AJ149" s="43"/>
      <c r="AK149" s="43"/>
      <c r="AL149" s="43"/>
      <c r="AM149" s="43"/>
      <c r="AN149" s="43"/>
      <c r="AO149" s="43"/>
      <c r="AP149" s="43"/>
    </row>
    <row r="150" spans="5:42" x14ac:dyDescent="0.2"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  <c r="AH150" s="43"/>
      <c r="AI150" s="43"/>
      <c r="AJ150" s="43"/>
      <c r="AK150" s="43"/>
      <c r="AL150" s="43"/>
      <c r="AM150" s="43"/>
      <c r="AN150" s="43"/>
      <c r="AO150" s="43"/>
      <c r="AP150" s="43"/>
    </row>
    <row r="151" spans="5:42" x14ac:dyDescent="0.2"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43"/>
      <c r="AH151" s="43"/>
      <c r="AI151" s="43"/>
      <c r="AJ151" s="43"/>
      <c r="AK151" s="43"/>
      <c r="AL151" s="43"/>
      <c r="AM151" s="43"/>
      <c r="AN151" s="43"/>
      <c r="AO151" s="43"/>
      <c r="AP151" s="43"/>
    </row>
    <row r="152" spans="5:42" x14ac:dyDescent="0.2"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43"/>
      <c r="AH152" s="43"/>
      <c r="AI152" s="43"/>
      <c r="AJ152" s="43"/>
      <c r="AK152" s="43"/>
      <c r="AL152" s="43"/>
      <c r="AM152" s="43"/>
      <c r="AN152" s="43"/>
      <c r="AO152" s="43"/>
      <c r="AP152" s="43"/>
    </row>
    <row r="153" spans="5:42" x14ac:dyDescent="0.2"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  <c r="AH153" s="43"/>
      <c r="AI153" s="43"/>
      <c r="AJ153" s="43"/>
      <c r="AK153" s="43"/>
      <c r="AL153" s="43"/>
      <c r="AM153" s="43"/>
      <c r="AN153" s="43"/>
      <c r="AO153" s="43"/>
      <c r="AP153" s="43"/>
    </row>
    <row r="154" spans="5:42" x14ac:dyDescent="0.2"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  <c r="AH154" s="43"/>
      <c r="AI154" s="43"/>
      <c r="AJ154" s="43"/>
      <c r="AK154" s="43"/>
      <c r="AL154" s="43"/>
      <c r="AM154" s="43"/>
      <c r="AN154" s="43"/>
      <c r="AO154" s="43"/>
      <c r="AP154" s="43"/>
    </row>
    <row r="155" spans="5:42" x14ac:dyDescent="0.2"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  <c r="AH155" s="43"/>
      <c r="AI155" s="43"/>
      <c r="AJ155" s="43"/>
      <c r="AK155" s="43"/>
      <c r="AL155" s="43"/>
      <c r="AM155" s="43"/>
      <c r="AN155" s="43"/>
      <c r="AO155" s="43"/>
      <c r="AP155" s="43"/>
    </row>
    <row r="156" spans="5:42" x14ac:dyDescent="0.2"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  <c r="AH156" s="43"/>
      <c r="AI156" s="43"/>
      <c r="AJ156" s="43"/>
      <c r="AK156" s="43"/>
      <c r="AL156" s="43"/>
      <c r="AM156" s="43"/>
      <c r="AN156" s="43"/>
      <c r="AO156" s="43"/>
      <c r="AP156" s="43"/>
    </row>
    <row r="157" spans="5:42" x14ac:dyDescent="0.2"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  <c r="AH157" s="43"/>
      <c r="AI157" s="43"/>
      <c r="AJ157" s="43"/>
      <c r="AK157" s="43"/>
      <c r="AL157" s="43"/>
      <c r="AM157" s="43"/>
      <c r="AN157" s="43"/>
      <c r="AO157" s="43"/>
      <c r="AP157" s="43"/>
    </row>
    <row r="158" spans="5:42" x14ac:dyDescent="0.2"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43"/>
      <c r="AH158" s="43"/>
      <c r="AI158" s="43"/>
      <c r="AJ158" s="43"/>
      <c r="AK158" s="43"/>
      <c r="AL158" s="43"/>
      <c r="AM158" s="43"/>
      <c r="AN158" s="43"/>
      <c r="AO158" s="43"/>
      <c r="AP158" s="43"/>
    </row>
    <row r="159" spans="5:42" x14ac:dyDescent="0.2"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  <c r="AH159" s="43"/>
      <c r="AI159" s="43"/>
      <c r="AJ159" s="43"/>
      <c r="AK159" s="43"/>
      <c r="AL159" s="43"/>
      <c r="AM159" s="43"/>
      <c r="AN159" s="43"/>
      <c r="AO159" s="43"/>
      <c r="AP159" s="43"/>
    </row>
    <row r="160" spans="5:42" x14ac:dyDescent="0.2"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43"/>
      <c r="AH160" s="43"/>
      <c r="AI160" s="43"/>
      <c r="AJ160" s="43"/>
      <c r="AK160" s="43"/>
      <c r="AL160" s="43"/>
      <c r="AM160" s="43"/>
      <c r="AN160" s="43"/>
      <c r="AO160" s="43"/>
      <c r="AP160" s="43"/>
    </row>
    <row r="161" spans="5:42" x14ac:dyDescent="0.2"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  <c r="AH161" s="43"/>
      <c r="AI161" s="43"/>
      <c r="AJ161" s="43"/>
      <c r="AK161" s="43"/>
      <c r="AL161" s="43"/>
      <c r="AM161" s="43"/>
      <c r="AN161" s="43"/>
      <c r="AO161" s="43"/>
      <c r="AP161" s="43"/>
    </row>
    <row r="162" spans="5:42" x14ac:dyDescent="0.2"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  <c r="AH162" s="43"/>
      <c r="AI162" s="43"/>
      <c r="AJ162" s="43"/>
      <c r="AK162" s="43"/>
      <c r="AL162" s="43"/>
      <c r="AM162" s="43"/>
      <c r="AN162" s="43"/>
      <c r="AO162" s="43"/>
      <c r="AP162" s="43"/>
    </row>
    <row r="163" spans="5:42" x14ac:dyDescent="0.2"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  <c r="AH163" s="43"/>
      <c r="AI163" s="43"/>
      <c r="AJ163" s="43"/>
      <c r="AK163" s="43"/>
      <c r="AL163" s="43"/>
      <c r="AM163" s="43"/>
      <c r="AN163" s="43"/>
      <c r="AO163" s="43"/>
      <c r="AP163" s="43"/>
    </row>
    <row r="164" spans="5:42" x14ac:dyDescent="0.2"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  <c r="AH164" s="43"/>
      <c r="AI164" s="43"/>
      <c r="AJ164" s="43"/>
      <c r="AK164" s="43"/>
      <c r="AL164" s="43"/>
      <c r="AM164" s="43"/>
      <c r="AN164" s="43"/>
      <c r="AO164" s="43"/>
      <c r="AP164" s="43"/>
    </row>
    <row r="165" spans="5:42" x14ac:dyDescent="0.2"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  <c r="AH165" s="43"/>
      <c r="AI165" s="43"/>
      <c r="AJ165" s="43"/>
      <c r="AK165" s="43"/>
      <c r="AL165" s="43"/>
      <c r="AM165" s="43"/>
      <c r="AN165" s="43"/>
      <c r="AO165" s="43"/>
      <c r="AP165" s="43"/>
    </row>
    <row r="166" spans="5:42" x14ac:dyDescent="0.2"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43"/>
      <c r="AH166" s="43"/>
      <c r="AI166" s="43"/>
      <c r="AJ166" s="43"/>
      <c r="AK166" s="43"/>
      <c r="AL166" s="43"/>
      <c r="AM166" s="43"/>
      <c r="AN166" s="43"/>
      <c r="AO166" s="43"/>
      <c r="AP166" s="43"/>
    </row>
    <row r="167" spans="5:42" x14ac:dyDescent="0.2"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  <c r="AH167" s="43"/>
      <c r="AI167" s="43"/>
      <c r="AJ167" s="43"/>
      <c r="AK167" s="43"/>
      <c r="AL167" s="43"/>
      <c r="AM167" s="43"/>
      <c r="AN167" s="43"/>
      <c r="AO167" s="43"/>
      <c r="AP167" s="43"/>
    </row>
    <row r="168" spans="5:42" x14ac:dyDescent="0.2"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43"/>
      <c r="AH168" s="43"/>
      <c r="AI168" s="43"/>
      <c r="AJ168" s="43"/>
      <c r="AK168" s="43"/>
      <c r="AL168" s="43"/>
      <c r="AM168" s="43"/>
      <c r="AN168" s="43"/>
      <c r="AO168" s="43"/>
      <c r="AP168" s="43"/>
    </row>
    <row r="169" spans="5:42" x14ac:dyDescent="0.2"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  <c r="AH169" s="43"/>
      <c r="AI169" s="43"/>
      <c r="AJ169" s="43"/>
      <c r="AK169" s="43"/>
      <c r="AL169" s="43"/>
      <c r="AM169" s="43"/>
      <c r="AN169" s="43"/>
      <c r="AO169" s="43"/>
      <c r="AP169" s="43"/>
    </row>
    <row r="170" spans="5:42" x14ac:dyDescent="0.2"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43"/>
      <c r="AH170" s="43"/>
      <c r="AI170" s="43"/>
      <c r="AJ170" s="43"/>
      <c r="AK170" s="43"/>
      <c r="AL170" s="43"/>
      <c r="AM170" s="43"/>
      <c r="AN170" s="43"/>
      <c r="AO170" s="43"/>
      <c r="AP170" s="43"/>
    </row>
    <row r="171" spans="5:42" x14ac:dyDescent="0.2"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  <c r="AH171" s="43"/>
      <c r="AI171" s="43"/>
      <c r="AJ171" s="43"/>
      <c r="AK171" s="43"/>
      <c r="AL171" s="43"/>
      <c r="AM171" s="43"/>
      <c r="AN171" s="43"/>
      <c r="AO171" s="43"/>
      <c r="AP171" s="43"/>
    </row>
    <row r="172" spans="5:42" x14ac:dyDescent="0.2"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43"/>
      <c r="AH172" s="43"/>
      <c r="AI172" s="43"/>
      <c r="AJ172" s="43"/>
      <c r="AK172" s="43"/>
      <c r="AL172" s="43"/>
      <c r="AM172" s="43"/>
      <c r="AN172" s="43"/>
      <c r="AO172" s="43"/>
      <c r="AP172" s="43"/>
    </row>
    <row r="173" spans="5:42" x14ac:dyDescent="0.2"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  <c r="AH173" s="43"/>
      <c r="AI173" s="43"/>
      <c r="AJ173" s="43"/>
      <c r="AK173" s="43"/>
      <c r="AL173" s="43"/>
      <c r="AM173" s="43"/>
      <c r="AN173" s="43"/>
      <c r="AO173" s="43"/>
      <c r="AP173" s="43"/>
    </row>
    <row r="174" spans="5:42" x14ac:dyDescent="0.2"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43"/>
      <c r="AH174" s="43"/>
      <c r="AI174" s="43"/>
      <c r="AJ174" s="43"/>
      <c r="AK174" s="43"/>
      <c r="AL174" s="43"/>
      <c r="AM174" s="43"/>
      <c r="AN174" s="43"/>
      <c r="AO174" s="43"/>
      <c r="AP174" s="43"/>
    </row>
    <row r="175" spans="5:42" x14ac:dyDescent="0.2"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43"/>
      <c r="AH175" s="43"/>
      <c r="AI175" s="43"/>
      <c r="AJ175" s="43"/>
      <c r="AK175" s="43"/>
      <c r="AL175" s="43"/>
      <c r="AM175" s="43"/>
      <c r="AN175" s="43"/>
      <c r="AO175" s="43"/>
      <c r="AP175" s="43"/>
    </row>
    <row r="176" spans="5:42" x14ac:dyDescent="0.2"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43"/>
      <c r="AH176" s="43"/>
      <c r="AI176" s="43"/>
      <c r="AJ176" s="43"/>
      <c r="AK176" s="43"/>
      <c r="AL176" s="43"/>
      <c r="AM176" s="43"/>
      <c r="AN176" s="43"/>
      <c r="AO176" s="43"/>
      <c r="AP176" s="43"/>
    </row>
    <row r="177" spans="5:42" x14ac:dyDescent="0.2"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43"/>
      <c r="AH177" s="43"/>
      <c r="AI177" s="43"/>
      <c r="AJ177" s="43"/>
      <c r="AK177" s="43"/>
      <c r="AL177" s="43"/>
      <c r="AM177" s="43"/>
      <c r="AN177" s="43"/>
      <c r="AO177" s="43"/>
      <c r="AP177" s="43"/>
    </row>
    <row r="178" spans="5:42" x14ac:dyDescent="0.2"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43"/>
      <c r="AH178" s="43"/>
      <c r="AI178" s="43"/>
      <c r="AJ178" s="43"/>
      <c r="AK178" s="43"/>
      <c r="AL178" s="43"/>
      <c r="AM178" s="43"/>
      <c r="AN178" s="43"/>
      <c r="AO178" s="43"/>
      <c r="AP178" s="43"/>
    </row>
    <row r="179" spans="5:42" x14ac:dyDescent="0.2"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43"/>
      <c r="AH179" s="43"/>
      <c r="AI179" s="43"/>
      <c r="AJ179" s="43"/>
      <c r="AK179" s="43"/>
      <c r="AL179" s="43"/>
      <c r="AM179" s="43"/>
      <c r="AN179" s="43"/>
      <c r="AO179" s="43"/>
      <c r="AP179" s="43"/>
    </row>
    <row r="180" spans="5:42" x14ac:dyDescent="0.2"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43"/>
      <c r="AH180" s="43"/>
      <c r="AI180" s="43"/>
      <c r="AJ180" s="43"/>
      <c r="AK180" s="43"/>
      <c r="AL180" s="43"/>
      <c r="AM180" s="43"/>
      <c r="AN180" s="43"/>
      <c r="AO180" s="43"/>
      <c r="AP180" s="43"/>
    </row>
    <row r="181" spans="5:42" x14ac:dyDescent="0.2"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  <c r="AH181" s="43"/>
      <c r="AI181" s="43"/>
      <c r="AJ181" s="43"/>
      <c r="AK181" s="43"/>
      <c r="AL181" s="43"/>
      <c r="AM181" s="43"/>
      <c r="AN181" s="43"/>
      <c r="AO181" s="43"/>
      <c r="AP181" s="43"/>
    </row>
    <row r="182" spans="5:42" x14ac:dyDescent="0.2"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43"/>
      <c r="AH182" s="43"/>
      <c r="AI182" s="43"/>
      <c r="AJ182" s="43"/>
      <c r="AK182" s="43"/>
      <c r="AL182" s="43"/>
      <c r="AM182" s="43"/>
      <c r="AN182" s="43"/>
      <c r="AO182" s="43"/>
      <c r="AP182" s="43"/>
    </row>
    <row r="183" spans="5:42" x14ac:dyDescent="0.2"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K183" s="43"/>
      <c r="AL183" s="43"/>
      <c r="AM183" s="43"/>
      <c r="AN183" s="43"/>
      <c r="AO183" s="43"/>
      <c r="AP183" s="43"/>
    </row>
    <row r="184" spans="5:42" x14ac:dyDescent="0.2"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43"/>
      <c r="AH184" s="43"/>
      <c r="AI184" s="43"/>
      <c r="AJ184" s="43"/>
      <c r="AK184" s="43"/>
      <c r="AL184" s="43"/>
      <c r="AM184" s="43"/>
      <c r="AN184" s="43"/>
      <c r="AO184" s="43"/>
      <c r="AP184" s="43"/>
    </row>
    <row r="185" spans="5:42" x14ac:dyDescent="0.2"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43"/>
      <c r="AH185" s="43"/>
      <c r="AI185" s="43"/>
      <c r="AJ185" s="43"/>
      <c r="AK185" s="43"/>
      <c r="AL185" s="43"/>
      <c r="AM185" s="43"/>
      <c r="AN185" s="43"/>
      <c r="AO185" s="43"/>
      <c r="AP185" s="43"/>
    </row>
    <row r="186" spans="5:42" x14ac:dyDescent="0.2"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43"/>
      <c r="AH186" s="43"/>
      <c r="AI186" s="43"/>
      <c r="AJ186" s="43"/>
      <c r="AK186" s="43"/>
      <c r="AL186" s="43"/>
      <c r="AM186" s="43"/>
      <c r="AN186" s="43"/>
      <c r="AO186" s="43"/>
      <c r="AP186" s="43"/>
    </row>
    <row r="187" spans="5:42" x14ac:dyDescent="0.2"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  <c r="AH187" s="43"/>
      <c r="AI187" s="43"/>
      <c r="AJ187" s="43"/>
      <c r="AK187" s="43"/>
      <c r="AL187" s="43"/>
      <c r="AM187" s="43"/>
      <c r="AN187" s="43"/>
      <c r="AO187" s="43"/>
      <c r="AP187" s="43"/>
    </row>
    <row r="188" spans="5:42" x14ac:dyDescent="0.2"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43"/>
      <c r="AH188" s="43"/>
      <c r="AI188" s="43"/>
      <c r="AJ188" s="43"/>
      <c r="AK188" s="43"/>
      <c r="AL188" s="43"/>
      <c r="AM188" s="43"/>
      <c r="AN188" s="43"/>
      <c r="AO188" s="43"/>
      <c r="AP188" s="43"/>
    </row>
    <row r="189" spans="5:42" x14ac:dyDescent="0.2"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  <c r="AH189" s="43"/>
      <c r="AI189" s="43"/>
      <c r="AJ189" s="43"/>
      <c r="AK189" s="43"/>
      <c r="AL189" s="43"/>
      <c r="AM189" s="43"/>
      <c r="AN189" s="43"/>
      <c r="AO189" s="43"/>
      <c r="AP189" s="43"/>
    </row>
    <row r="190" spans="5:42" x14ac:dyDescent="0.2"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  <c r="AH190" s="43"/>
      <c r="AI190" s="43"/>
      <c r="AJ190" s="43"/>
      <c r="AK190" s="43"/>
      <c r="AL190" s="43"/>
      <c r="AM190" s="43"/>
      <c r="AN190" s="43"/>
      <c r="AO190" s="43"/>
      <c r="AP190" s="43"/>
    </row>
    <row r="191" spans="5:42" x14ac:dyDescent="0.2"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43"/>
      <c r="AH191" s="43"/>
      <c r="AI191" s="43"/>
      <c r="AJ191" s="43"/>
      <c r="AK191" s="43"/>
      <c r="AL191" s="43"/>
      <c r="AM191" s="43"/>
      <c r="AN191" s="43"/>
      <c r="AO191" s="43"/>
      <c r="AP191" s="43"/>
    </row>
    <row r="192" spans="5:42" x14ac:dyDescent="0.2"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43"/>
      <c r="AH192" s="43"/>
      <c r="AI192" s="43"/>
      <c r="AJ192" s="43"/>
      <c r="AK192" s="43"/>
      <c r="AL192" s="43"/>
      <c r="AM192" s="43"/>
      <c r="AN192" s="43"/>
      <c r="AO192" s="43"/>
      <c r="AP192" s="43"/>
    </row>
    <row r="193" spans="5:42" x14ac:dyDescent="0.2"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  <c r="AH193" s="43"/>
      <c r="AI193" s="43"/>
      <c r="AJ193" s="43"/>
      <c r="AK193" s="43"/>
      <c r="AL193" s="43"/>
      <c r="AM193" s="43"/>
      <c r="AN193" s="43"/>
      <c r="AO193" s="43"/>
      <c r="AP193" s="43"/>
    </row>
    <row r="194" spans="5:42" x14ac:dyDescent="0.2"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43"/>
      <c r="AH194" s="43"/>
      <c r="AI194" s="43"/>
      <c r="AJ194" s="43"/>
      <c r="AK194" s="43"/>
      <c r="AL194" s="43"/>
      <c r="AM194" s="43"/>
      <c r="AN194" s="43"/>
      <c r="AO194" s="43"/>
      <c r="AP194" s="43"/>
    </row>
    <row r="195" spans="5:42" x14ac:dyDescent="0.2"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  <c r="AH195" s="43"/>
      <c r="AI195" s="43"/>
      <c r="AJ195" s="43"/>
      <c r="AK195" s="43"/>
      <c r="AL195" s="43"/>
      <c r="AM195" s="43"/>
      <c r="AN195" s="43"/>
      <c r="AO195" s="43"/>
      <c r="AP195" s="43"/>
    </row>
    <row r="196" spans="5:42" x14ac:dyDescent="0.2"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43"/>
      <c r="AH196" s="43"/>
      <c r="AI196" s="43"/>
      <c r="AJ196" s="43"/>
      <c r="AK196" s="43"/>
      <c r="AL196" s="43"/>
      <c r="AM196" s="43"/>
      <c r="AN196" s="43"/>
      <c r="AO196" s="43"/>
      <c r="AP196" s="43"/>
    </row>
    <row r="197" spans="5:42" x14ac:dyDescent="0.2"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43"/>
      <c r="AH197" s="43"/>
      <c r="AI197" s="43"/>
      <c r="AJ197" s="43"/>
      <c r="AK197" s="43"/>
      <c r="AL197" s="43"/>
      <c r="AM197" s="43"/>
      <c r="AN197" s="43"/>
      <c r="AO197" s="43"/>
      <c r="AP197" s="43"/>
    </row>
    <row r="198" spans="5:42" x14ac:dyDescent="0.2"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43"/>
      <c r="AH198" s="43"/>
      <c r="AI198" s="43"/>
      <c r="AJ198" s="43"/>
      <c r="AK198" s="43"/>
      <c r="AL198" s="43"/>
      <c r="AM198" s="43"/>
      <c r="AN198" s="43"/>
      <c r="AO198" s="43"/>
      <c r="AP198" s="43"/>
    </row>
    <row r="199" spans="5:42" x14ac:dyDescent="0.2"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43"/>
      <c r="AH199" s="43"/>
      <c r="AI199" s="43"/>
      <c r="AJ199" s="43"/>
      <c r="AK199" s="43"/>
      <c r="AL199" s="43"/>
      <c r="AM199" s="43"/>
      <c r="AN199" s="43"/>
      <c r="AO199" s="43"/>
      <c r="AP199" s="43"/>
    </row>
    <row r="200" spans="5:42" x14ac:dyDescent="0.2"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43"/>
      <c r="AH200" s="43"/>
      <c r="AI200" s="43"/>
      <c r="AJ200" s="43"/>
      <c r="AK200" s="43"/>
      <c r="AL200" s="43"/>
      <c r="AM200" s="43"/>
      <c r="AN200" s="43"/>
      <c r="AO200" s="43"/>
      <c r="AP200" s="43"/>
    </row>
    <row r="201" spans="5:42" x14ac:dyDescent="0.2"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43"/>
      <c r="AH201" s="43"/>
      <c r="AI201" s="43"/>
      <c r="AJ201" s="43"/>
      <c r="AK201" s="43"/>
      <c r="AL201" s="43"/>
      <c r="AM201" s="43"/>
      <c r="AN201" s="43"/>
      <c r="AO201" s="43"/>
      <c r="AP201" s="43"/>
    </row>
    <row r="202" spans="5:42" x14ac:dyDescent="0.2"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43"/>
      <c r="AH202" s="43"/>
      <c r="AI202" s="43"/>
      <c r="AJ202" s="43"/>
      <c r="AK202" s="43"/>
      <c r="AL202" s="43"/>
      <c r="AM202" s="43"/>
      <c r="AN202" s="43"/>
      <c r="AO202" s="43"/>
      <c r="AP202" s="43"/>
    </row>
    <row r="203" spans="5:42" x14ac:dyDescent="0.2"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43"/>
      <c r="AH203" s="43"/>
      <c r="AI203" s="43"/>
      <c r="AJ203" s="43"/>
      <c r="AK203" s="43"/>
      <c r="AL203" s="43"/>
      <c r="AM203" s="43"/>
      <c r="AN203" s="43"/>
      <c r="AO203" s="43"/>
      <c r="AP203" s="43"/>
    </row>
    <row r="204" spans="5:42" x14ac:dyDescent="0.2"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43"/>
      <c r="AH204" s="43"/>
      <c r="AI204" s="43"/>
      <c r="AJ204" s="43"/>
      <c r="AK204" s="43"/>
      <c r="AL204" s="43"/>
      <c r="AM204" s="43"/>
      <c r="AN204" s="43"/>
      <c r="AO204" s="43"/>
      <c r="AP204" s="43"/>
    </row>
    <row r="205" spans="5:42" x14ac:dyDescent="0.2"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43"/>
      <c r="AH205" s="43"/>
      <c r="AI205" s="43"/>
      <c r="AJ205" s="43"/>
      <c r="AK205" s="43"/>
      <c r="AL205" s="43"/>
      <c r="AM205" s="43"/>
      <c r="AN205" s="43"/>
      <c r="AO205" s="43"/>
      <c r="AP205" s="43"/>
    </row>
    <row r="206" spans="5:42" x14ac:dyDescent="0.2"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43"/>
      <c r="AH206" s="43"/>
      <c r="AI206" s="43"/>
      <c r="AJ206" s="43"/>
      <c r="AK206" s="43"/>
      <c r="AL206" s="43"/>
      <c r="AM206" s="43"/>
      <c r="AN206" s="43"/>
      <c r="AO206" s="43"/>
      <c r="AP206" s="43"/>
    </row>
    <row r="207" spans="5:42" x14ac:dyDescent="0.2"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43"/>
      <c r="AH207" s="43"/>
      <c r="AI207" s="43"/>
      <c r="AJ207" s="43"/>
      <c r="AK207" s="43"/>
      <c r="AL207" s="43"/>
      <c r="AM207" s="43"/>
      <c r="AN207" s="43"/>
      <c r="AO207" s="43"/>
      <c r="AP207" s="43"/>
    </row>
    <row r="208" spans="5:42" x14ac:dyDescent="0.2"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43"/>
      <c r="AH208" s="43"/>
      <c r="AI208" s="43"/>
      <c r="AJ208" s="43"/>
      <c r="AK208" s="43"/>
      <c r="AL208" s="43"/>
      <c r="AM208" s="43"/>
      <c r="AN208" s="43"/>
      <c r="AO208" s="43"/>
      <c r="AP208" s="43"/>
    </row>
    <row r="209" spans="5:42" x14ac:dyDescent="0.2"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  <c r="AH209" s="43"/>
      <c r="AI209" s="43"/>
      <c r="AJ209" s="43"/>
      <c r="AK209" s="43"/>
      <c r="AL209" s="43"/>
      <c r="AM209" s="43"/>
      <c r="AN209" s="43"/>
      <c r="AO209" s="43"/>
      <c r="AP209" s="43"/>
    </row>
    <row r="210" spans="5:42" x14ac:dyDescent="0.2"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43"/>
      <c r="AH210" s="43"/>
      <c r="AI210" s="43"/>
      <c r="AJ210" s="43"/>
      <c r="AK210" s="43"/>
      <c r="AL210" s="43"/>
      <c r="AM210" s="43"/>
      <c r="AN210" s="43"/>
      <c r="AO210" s="43"/>
      <c r="AP210" s="43"/>
    </row>
    <row r="211" spans="5:42" x14ac:dyDescent="0.2"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43"/>
      <c r="AH211" s="43"/>
      <c r="AI211" s="43"/>
      <c r="AJ211" s="43"/>
      <c r="AK211" s="43"/>
      <c r="AL211" s="43"/>
      <c r="AM211" s="43"/>
      <c r="AN211" s="43"/>
      <c r="AO211" s="43"/>
      <c r="AP211" s="43"/>
    </row>
    <row r="212" spans="5:42" x14ac:dyDescent="0.2"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43"/>
      <c r="AH212" s="43"/>
      <c r="AI212" s="43"/>
      <c r="AJ212" s="43"/>
      <c r="AK212" s="43"/>
      <c r="AL212" s="43"/>
      <c r="AM212" s="43"/>
      <c r="AN212" s="43"/>
      <c r="AO212" s="43"/>
      <c r="AP212" s="43"/>
    </row>
    <row r="213" spans="5:42" x14ac:dyDescent="0.2"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43"/>
      <c r="AH213" s="43"/>
      <c r="AI213" s="43"/>
      <c r="AJ213" s="43"/>
      <c r="AK213" s="43"/>
      <c r="AL213" s="43"/>
      <c r="AM213" s="43"/>
      <c r="AN213" s="43"/>
      <c r="AO213" s="43"/>
      <c r="AP213" s="43"/>
    </row>
    <row r="214" spans="5:42" x14ac:dyDescent="0.2"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43"/>
      <c r="AH214" s="43"/>
      <c r="AI214" s="43"/>
      <c r="AJ214" s="43"/>
      <c r="AK214" s="43"/>
      <c r="AL214" s="43"/>
      <c r="AM214" s="43"/>
      <c r="AN214" s="43"/>
      <c r="AO214" s="43"/>
      <c r="AP214" s="43"/>
    </row>
    <row r="215" spans="5:42" x14ac:dyDescent="0.2"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  <c r="AF215" s="43"/>
      <c r="AG215" s="43"/>
      <c r="AH215" s="43"/>
      <c r="AI215" s="43"/>
      <c r="AJ215" s="43"/>
      <c r="AK215" s="43"/>
      <c r="AL215" s="43"/>
      <c r="AM215" s="43"/>
      <c r="AN215" s="43"/>
      <c r="AO215" s="43"/>
      <c r="AP215" s="43"/>
    </row>
    <row r="216" spans="5:42" x14ac:dyDescent="0.2"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3"/>
      <c r="AE216" s="43"/>
      <c r="AF216" s="43"/>
      <c r="AG216" s="43"/>
      <c r="AH216" s="43"/>
      <c r="AI216" s="43"/>
      <c r="AJ216" s="43"/>
      <c r="AK216" s="43"/>
      <c r="AL216" s="43"/>
      <c r="AM216" s="43"/>
      <c r="AN216" s="43"/>
      <c r="AO216" s="43"/>
      <c r="AP216" s="43"/>
    </row>
    <row r="217" spans="5:42" x14ac:dyDescent="0.2"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43"/>
      <c r="AG217" s="43"/>
      <c r="AH217" s="43"/>
      <c r="AI217" s="43"/>
      <c r="AJ217" s="43"/>
      <c r="AK217" s="43"/>
      <c r="AL217" s="43"/>
      <c r="AM217" s="43"/>
      <c r="AN217" s="43"/>
      <c r="AO217" s="43"/>
      <c r="AP217" s="43"/>
    </row>
    <row r="218" spans="5:42" x14ac:dyDescent="0.2"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43"/>
      <c r="AG218" s="43"/>
      <c r="AH218" s="43"/>
      <c r="AI218" s="43"/>
      <c r="AJ218" s="43"/>
      <c r="AK218" s="43"/>
      <c r="AL218" s="43"/>
      <c r="AM218" s="43"/>
      <c r="AN218" s="43"/>
      <c r="AO218" s="43"/>
      <c r="AP218" s="43"/>
    </row>
    <row r="219" spans="5:42" x14ac:dyDescent="0.2"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3"/>
      <c r="AH219" s="43"/>
      <c r="AI219" s="43"/>
      <c r="AJ219" s="43"/>
      <c r="AK219" s="43"/>
      <c r="AL219" s="43"/>
      <c r="AM219" s="43"/>
      <c r="AN219" s="43"/>
      <c r="AO219" s="43"/>
      <c r="AP219" s="43"/>
    </row>
    <row r="220" spans="5:42" x14ac:dyDescent="0.2"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3"/>
      <c r="AH220" s="43"/>
      <c r="AI220" s="43"/>
      <c r="AJ220" s="43"/>
      <c r="AK220" s="43"/>
      <c r="AL220" s="43"/>
      <c r="AM220" s="43"/>
      <c r="AN220" s="43"/>
      <c r="AO220" s="43"/>
      <c r="AP220" s="43"/>
    </row>
    <row r="221" spans="5:42" x14ac:dyDescent="0.2"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3"/>
      <c r="AH221" s="43"/>
      <c r="AI221" s="43"/>
      <c r="AJ221" s="43"/>
      <c r="AK221" s="43"/>
      <c r="AL221" s="43"/>
      <c r="AM221" s="43"/>
      <c r="AN221" s="43"/>
      <c r="AO221" s="43"/>
      <c r="AP221" s="43"/>
    </row>
    <row r="222" spans="5:42" x14ac:dyDescent="0.2"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3"/>
      <c r="AH222" s="43"/>
      <c r="AI222" s="43"/>
      <c r="AJ222" s="43"/>
      <c r="AK222" s="43"/>
      <c r="AL222" s="43"/>
      <c r="AM222" s="43"/>
      <c r="AN222" s="43"/>
      <c r="AO222" s="43"/>
      <c r="AP222" s="43"/>
    </row>
    <row r="223" spans="5:42" x14ac:dyDescent="0.2"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3"/>
      <c r="AE223" s="43"/>
      <c r="AF223" s="43"/>
      <c r="AG223" s="43"/>
      <c r="AH223" s="43"/>
      <c r="AI223" s="43"/>
      <c r="AJ223" s="43"/>
      <c r="AK223" s="43"/>
      <c r="AL223" s="43"/>
      <c r="AM223" s="43"/>
      <c r="AN223" s="43"/>
      <c r="AO223" s="43"/>
      <c r="AP223" s="43"/>
    </row>
    <row r="224" spans="5:42" x14ac:dyDescent="0.2"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  <c r="AD224" s="43"/>
      <c r="AE224" s="43"/>
      <c r="AF224" s="43"/>
      <c r="AG224" s="43"/>
      <c r="AH224" s="43"/>
      <c r="AI224" s="43"/>
      <c r="AJ224" s="43"/>
      <c r="AK224" s="43"/>
      <c r="AL224" s="43"/>
      <c r="AM224" s="43"/>
      <c r="AN224" s="43"/>
      <c r="AO224" s="43"/>
      <c r="AP224" s="43"/>
    </row>
    <row r="225" spans="5:42" x14ac:dyDescent="0.2"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43"/>
      <c r="AH225" s="43"/>
      <c r="AI225" s="43"/>
      <c r="AJ225" s="43"/>
      <c r="AK225" s="43"/>
      <c r="AL225" s="43"/>
      <c r="AM225" s="43"/>
      <c r="AN225" s="43"/>
      <c r="AO225" s="43"/>
      <c r="AP225" s="43"/>
    </row>
    <row r="226" spans="5:42" x14ac:dyDescent="0.2"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43"/>
      <c r="AE226" s="43"/>
      <c r="AF226" s="43"/>
      <c r="AG226" s="43"/>
      <c r="AH226" s="43"/>
      <c r="AI226" s="43"/>
      <c r="AJ226" s="43"/>
      <c r="AK226" s="43"/>
      <c r="AL226" s="43"/>
      <c r="AM226" s="43"/>
      <c r="AN226" s="43"/>
      <c r="AO226" s="43"/>
      <c r="AP226" s="43"/>
    </row>
    <row r="227" spans="5:42" x14ac:dyDescent="0.2"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3"/>
      <c r="AE227" s="43"/>
      <c r="AF227" s="43"/>
      <c r="AG227" s="43"/>
      <c r="AH227" s="43"/>
      <c r="AI227" s="43"/>
      <c r="AJ227" s="43"/>
      <c r="AK227" s="43"/>
      <c r="AL227" s="43"/>
      <c r="AM227" s="43"/>
      <c r="AN227" s="43"/>
      <c r="AO227" s="43"/>
      <c r="AP227" s="43"/>
    </row>
    <row r="228" spans="5:42" x14ac:dyDescent="0.2"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3"/>
      <c r="AG228" s="43"/>
      <c r="AH228" s="43"/>
      <c r="AI228" s="43"/>
      <c r="AJ228" s="43"/>
      <c r="AK228" s="43"/>
      <c r="AL228" s="43"/>
      <c r="AM228" s="43"/>
      <c r="AN228" s="43"/>
      <c r="AO228" s="43"/>
      <c r="AP228" s="43"/>
    </row>
    <row r="229" spans="5:42" x14ac:dyDescent="0.2"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43"/>
      <c r="AH229" s="43"/>
      <c r="AI229" s="43"/>
      <c r="AJ229" s="43"/>
      <c r="AK229" s="43"/>
      <c r="AL229" s="43"/>
      <c r="AM229" s="43"/>
      <c r="AN229" s="43"/>
      <c r="AO229" s="43"/>
      <c r="AP229" s="43"/>
    </row>
    <row r="230" spans="5:42" x14ac:dyDescent="0.2"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3"/>
      <c r="AE230" s="43"/>
      <c r="AF230" s="43"/>
      <c r="AG230" s="43"/>
      <c r="AH230" s="43"/>
      <c r="AI230" s="43"/>
      <c r="AJ230" s="43"/>
      <c r="AK230" s="43"/>
      <c r="AL230" s="43"/>
      <c r="AM230" s="43"/>
      <c r="AN230" s="43"/>
      <c r="AO230" s="43"/>
      <c r="AP230" s="43"/>
    </row>
    <row r="231" spans="5:42" x14ac:dyDescent="0.2"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  <c r="AI231" s="43"/>
      <c r="AJ231" s="43"/>
      <c r="AK231" s="43"/>
      <c r="AL231" s="43"/>
      <c r="AM231" s="43"/>
      <c r="AN231" s="43"/>
      <c r="AO231" s="43"/>
      <c r="AP231" s="43"/>
    </row>
    <row r="232" spans="5:42" x14ac:dyDescent="0.2"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  <c r="AI232" s="43"/>
      <c r="AJ232" s="43"/>
      <c r="AK232" s="43"/>
      <c r="AL232" s="43"/>
      <c r="AM232" s="43"/>
      <c r="AN232" s="43"/>
      <c r="AO232" s="43"/>
      <c r="AP232" s="43"/>
    </row>
    <row r="233" spans="5:42" x14ac:dyDescent="0.2"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  <c r="AI233" s="43"/>
      <c r="AJ233" s="43"/>
      <c r="AK233" s="43"/>
      <c r="AL233" s="43"/>
      <c r="AM233" s="43"/>
      <c r="AN233" s="43"/>
      <c r="AO233" s="43"/>
      <c r="AP233" s="43"/>
    </row>
    <row r="234" spans="5:42" x14ac:dyDescent="0.2"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  <c r="AI234" s="43"/>
      <c r="AJ234" s="43"/>
      <c r="AK234" s="43"/>
      <c r="AL234" s="43"/>
      <c r="AM234" s="43"/>
      <c r="AN234" s="43"/>
      <c r="AO234" s="43"/>
      <c r="AP234" s="43"/>
    </row>
    <row r="235" spans="5:42" x14ac:dyDescent="0.2"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  <c r="AI235" s="43"/>
      <c r="AJ235" s="43"/>
      <c r="AK235" s="43"/>
      <c r="AL235" s="43"/>
      <c r="AM235" s="43"/>
      <c r="AN235" s="43"/>
      <c r="AO235" s="43"/>
      <c r="AP235" s="43"/>
    </row>
    <row r="236" spans="5:42" x14ac:dyDescent="0.2"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  <c r="AI236" s="43"/>
      <c r="AJ236" s="43"/>
      <c r="AK236" s="43"/>
      <c r="AL236" s="43"/>
      <c r="AM236" s="43"/>
      <c r="AN236" s="43"/>
      <c r="AO236" s="43"/>
      <c r="AP236" s="43"/>
    </row>
    <row r="237" spans="5:42" x14ac:dyDescent="0.2"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  <c r="AI237" s="43"/>
      <c r="AJ237" s="43"/>
      <c r="AK237" s="43"/>
      <c r="AL237" s="43"/>
      <c r="AM237" s="43"/>
      <c r="AN237" s="43"/>
      <c r="AO237" s="43"/>
      <c r="AP237" s="43"/>
    </row>
    <row r="238" spans="5:42" x14ac:dyDescent="0.2"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  <c r="AI238" s="43"/>
      <c r="AJ238" s="43"/>
      <c r="AK238" s="43"/>
      <c r="AL238" s="43"/>
      <c r="AM238" s="43"/>
      <c r="AN238" s="43"/>
      <c r="AO238" s="43"/>
      <c r="AP238" s="43"/>
    </row>
    <row r="239" spans="5:42" x14ac:dyDescent="0.2"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  <c r="AI239" s="43"/>
      <c r="AJ239" s="43"/>
      <c r="AK239" s="43"/>
      <c r="AL239" s="43"/>
      <c r="AM239" s="43"/>
      <c r="AN239" s="43"/>
      <c r="AO239" s="43"/>
      <c r="AP239" s="43"/>
    </row>
    <row r="240" spans="5:42" x14ac:dyDescent="0.2"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  <c r="AI240" s="43"/>
      <c r="AJ240" s="43"/>
      <c r="AK240" s="43"/>
      <c r="AL240" s="43"/>
      <c r="AM240" s="43"/>
      <c r="AN240" s="43"/>
      <c r="AO240" s="43"/>
      <c r="AP240" s="43"/>
    </row>
    <row r="241" spans="5:42" x14ac:dyDescent="0.2"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  <c r="AI241" s="43"/>
      <c r="AJ241" s="43"/>
      <c r="AK241" s="43"/>
      <c r="AL241" s="43"/>
      <c r="AM241" s="43"/>
      <c r="AN241" s="43"/>
      <c r="AO241" s="43"/>
      <c r="AP241" s="43"/>
    </row>
    <row r="242" spans="5:42" x14ac:dyDescent="0.2"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  <c r="AI242" s="43"/>
      <c r="AJ242" s="43"/>
      <c r="AK242" s="43"/>
      <c r="AL242" s="43"/>
      <c r="AM242" s="43"/>
      <c r="AN242" s="43"/>
      <c r="AO242" s="43"/>
      <c r="AP242" s="43"/>
    </row>
    <row r="243" spans="5:42" x14ac:dyDescent="0.2"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  <c r="AI243" s="43"/>
      <c r="AJ243" s="43"/>
      <c r="AK243" s="43"/>
      <c r="AL243" s="43"/>
      <c r="AM243" s="43"/>
      <c r="AN243" s="43"/>
      <c r="AO243" s="43"/>
      <c r="AP243" s="43"/>
    </row>
    <row r="244" spans="5:42" x14ac:dyDescent="0.2"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  <c r="AI244" s="43"/>
      <c r="AJ244" s="43"/>
      <c r="AK244" s="43"/>
      <c r="AL244" s="43"/>
      <c r="AM244" s="43"/>
      <c r="AN244" s="43"/>
      <c r="AO244" s="43"/>
      <c r="AP244" s="43"/>
    </row>
    <row r="245" spans="5:42" x14ac:dyDescent="0.2"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  <c r="AI245" s="43"/>
      <c r="AJ245" s="43"/>
      <c r="AK245" s="43"/>
      <c r="AL245" s="43"/>
      <c r="AM245" s="43"/>
      <c r="AN245" s="43"/>
      <c r="AO245" s="43"/>
      <c r="AP245" s="43"/>
    </row>
    <row r="246" spans="5:42" x14ac:dyDescent="0.2"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  <c r="AI246" s="43"/>
      <c r="AJ246" s="43"/>
      <c r="AK246" s="43"/>
      <c r="AL246" s="43"/>
      <c r="AM246" s="43"/>
      <c r="AN246" s="43"/>
      <c r="AO246" s="43"/>
      <c r="AP246" s="43"/>
    </row>
    <row r="247" spans="5:42" x14ac:dyDescent="0.2"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  <c r="AI247" s="43"/>
      <c r="AJ247" s="43"/>
      <c r="AK247" s="43"/>
      <c r="AL247" s="43"/>
      <c r="AM247" s="43"/>
      <c r="AN247" s="43"/>
      <c r="AO247" s="43"/>
      <c r="AP247" s="43"/>
    </row>
    <row r="248" spans="5:42" x14ac:dyDescent="0.2"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  <c r="AI248" s="43"/>
      <c r="AJ248" s="43"/>
      <c r="AK248" s="43"/>
      <c r="AL248" s="43"/>
      <c r="AM248" s="43"/>
      <c r="AN248" s="43"/>
      <c r="AO248" s="43"/>
      <c r="AP248" s="43"/>
    </row>
    <row r="249" spans="5:42" x14ac:dyDescent="0.2"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  <c r="AI249" s="43"/>
      <c r="AJ249" s="43"/>
      <c r="AK249" s="43"/>
      <c r="AL249" s="43"/>
      <c r="AM249" s="43"/>
      <c r="AN249" s="43"/>
      <c r="AO249" s="43"/>
      <c r="AP249" s="43"/>
    </row>
    <row r="250" spans="5:42" x14ac:dyDescent="0.2"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  <c r="AI250" s="43"/>
      <c r="AJ250" s="43"/>
      <c r="AK250" s="43"/>
      <c r="AL250" s="43"/>
      <c r="AM250" s="43"/>
      <c r="AN250" s="43"/>
      <c r="AO250" s="43"/>
      <c r="AP250" s="43"/>
    </row>
    <row r="251" spans="5:42" x14ac:dyDescent="0.2"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  <c r="AI251" s="43"/>
      <c r="AJ251" s="43"/>
      <c r="AK251" s="43"/>
      <c r="AL251" s="43"/>
      <c r="AM251" s="43"/>
      <c r="AN251" s="43"/>
      <c r="AO251" s="43"/>
      <c r="AP251" s="43"/>
    </row>
    <row r="252" spans="5:42" x14ac:dyDescent="0.2"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  <c r="AI252" s="43"/>
      <c r="AJ252" s="43"/>
      <c r="AK252" s="43"/>
      <c r="AL252" s="43"/>
      <c r="AM252" s="43"/>
      <c r="AN252" s="43"/>
      <c r="AO252" s="43"/>
      <c r="AP252" s="43"/>
    </row>
    <row r="253" spans="5:42" x14ac:dyDescent="0.2"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  <c r="AI253" s="43"/>
      <c r="AJ253" s="43"/>
      <c r="AK253" s="43"/>
      <c r="AL253" s="43"/>
      <c r="AM253" s="43"/>
      <c r="AN253" s="43"/>
      <c r="AO253" s="43"/>
      <c r="AP253" s="43"/>
    </row>
    <row r="254" spans="5:42" x14ac:dyDescent="0.2"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  <c r="AI254" s="43"/>
      <c r="AJ254" s="43"/>
      <c r="AK254" s="43"/>
      <c r="AL254" s="43"/>
      <c r="AM254" s="43"/>
      <c r="AN254" s="43"/>
      <c r="AO254" s="43"/>
      <c r="AP254" s="43"/>
    </row>
    <row r="255" spans="5:42" x14ac:dyDescent="0.2"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  <c r="AI255" s="43"/>
      <c r="AJ255" s="43"/>
      <c r="AK255" s="43"/>
      <c r="AL255" s="43"/>
      <c r="AM255" s="43"/>
      <c r="AN255" s="43"/>
      <c r="AO255" s="43"/>
      <c r="AP255" s="43"/>
    </row>
    <row r="256" spans="5:42" x14ac:dyDescent="0.2"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  <c r="AI256" s="43"/>
      <c r="AJ256" s="43"/>
      <c r="AK256" s="43"/>
      <c r="AL256" s="43"/>
      <c r="AM256" s="43"/>
      <c r="AN256" s="43"/>
      <c r="AO256" s="43"/>
      <c r="AP256" s="43"/>
    </row>
    <row r="257" spans="5:42" x14ac:dyDescent="0.2"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  <c r="AI257" s="43"/>
      <c r="AJ257" s="43"/>
      <c r="AK257" s="43"/>
      <c r="AL257" s="43"/>
      <c r="AM257" s="43"/>
      <c r="AN257" s="43"/>
      <c r="AO257" s="43"/>
      <c r="AP257" s="43"/>
    </row>
    <row r="258" spans="5:42" x14ac:dyDescent="0.2"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  <c r="AI258" s="43"/>
      <c r="AJ258" s="43"/>
      <c r="AK258" s="43"/>
      <c r="AL258" s="43"/>
      <c r="AM258" s="43"/>
      <c r="AN258" s="43"/>
      <c r="AO258" s="43"/>
      <c r="AP258" s="43"/>
    </row>
    <row r="259" spans="5:42" x14ac:dyDescent="0.2"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  <c r="AI259" s="43"/>
      <c r="AJ259" s="43"/>
      <c r="AK259" s="43"/>
      <c r="AL259" s="43"/>
      <c r="AM259" s="43"/>
      <c r="AN259" s="43"/>
      <c r="AO259" s="43"/>
      <c r="AP259" s="43"/>
    </row>
    <row r="260" spans="5:42" x14ac:dyDescent="0.2"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  <c r="AI260" s="43"/>
      <c r="AJ260" s="43"/>
      <c r="AK260" s="43"/>
      <c r="AL260" s="43"/>
      <c r="AM260" s="43"/>
      <c r="AN260" s="43"/>
      <c r="AO260" s="43"/>
      <c r="AP260" s="43"/>
    </row>
    <row r="261" spans="5:42" x14ac:dyDescent="0.2"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  <c r="AI261" s="43"/>
      <c r="AJ261" s="43"/>
      <c r="AK261" s="43"/>
      <c r="AL261" s="43"/>
      <c r="AM261" s="43"/>
      <c r="AN261" s="43"/>
      <c r="AO261" s="43"/>
      <c r="AP261" s="43"/>
    </row>
    <row r="262" spans="5:42" x14ac:dyDescent="0.2"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  <c r="AI262" s="43"/>
      <c r="AJ262" s="43"/>
      <c r="AK262" s="43"/>
      <c r="AL262" s="43"/>
      <c r="AM262" s="43"/>
      <c r="AN262" s="43"/>
      <c r="AO262" s="43"/>
      <c r="AP262" s="43"/>
    </row>
    <row r="263" spans="5:42" x14ac:dyDescent="0.2"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  <c r="AI263" s="43"/>
      <c r="AJ263" s="43"/>
      <c r="AK263" s="43"/>
      <c r="AL263" s="43"/>
      <c r="AM263" s="43"/>
      <c r="AN263" s="43"/>
      <c r="AO263" s="43"/>
      <c r="AP263" s="43"/>
    </row>
    <row r="264" spans="5:42" x14ac:dyDescent="0.2"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  <c r="AI264" s="43"/>
      <c r="AJ264" s="43"/>
      <c r="AK264" s="43"/>
      <c r="AL264" s="43"/>
      <c r="AM264" s="43"/>
      <c r="AN264" s="43"/>
      <c r="AO264" s="43"/>
      <c r="AP264" s="43"/>
    </row>
    <row r="265" spans="5:42" x14ac:dyDescent="0.2"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  <c r="AI265" s="43"/>
      <c r="AJ265" s="43"/>
      <c r="AK265" s="43"/>
      <c r="AL265" s="43"/>
      <c r="AM265" s="43"/>
      <c r="AN265" s="43"/>
      <c r="AO265" s="43"/>
      <c r="AP265" s="43"/>
    </row>
    <row r="266" spans="5:42" x14ac:dyDescent="0.2"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  <c r="AI266" s="43"/>
      <c r="AJ266" s="43"/>
      <c r="AK266" s="43"/>
      <c r="AL266" s="43"/>
      <c r="AM266" s="43"/>
      <c r="AN266" s="43"/>
      <c r="AO266" s="43"/>
      <c r="AP266" s="43"/>
    </row>
    <row r="267" spans="5:42" x14ac:dyDescent="0.2"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  <c r="AI267" s="43"/>
      <c r="AJ267" s="43"/>
      <c r="AK267" s="43"/>
      <c r="AL267" s="43"/>
      <c r="AM267" s="43"/>
      <c r="AN267" s="43"/>
      <c r="AO267" s="43"/>
      <c r="AP267" s="43"/>
    </row>
    <row r="268" spans="5:42" x14ac:dyDescent="0.2"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  <c r="AI268" s="43"/>
      <c r="AJ268" s="43"/>
      <c r="AK268" s="43"/>
      <c r="AL268" s="43"/>
      <c r="AM268" s="43"/>
      <c r="AN268" s="43"/>
      <c r="AO268" s="43"/>
      <c r="AP268" s="43"/>
    </row>
    <row r="269" spans="5:42" x14ac:dyDescent="0.2"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  <c r="AI269" s="43"/>
      <c r="AJ269" s="43"/>
      <c r="AK269" s="43"/>
      <c r="AL269" s="43"/>
      <c r="AM269" s="43"/>
      <c r="AN269" s="43"/>
      <c r="AO269" s="43"/>
      <c r="AP269" s="43"/>
    </row>
    <row r="270" spans="5:42" x14ac:dyDescent="0.2"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  <c r="AI270" s="43"/>
      <c r="AJ270" s="43"/>
      <c r="AK270" s="43"/>
      <c r="AL270" s="43"/>
      <c r="AM270" s="43"/>
      <c r="AN270" s="43"/>
      <c r="AO270" s="43"/>
      <c r="AP270" s="43"/>
    </row>
    <row r="271" spans="5:42" x14ac:dyDescent="0.2"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  <c r="AI271" s="43"/>
      <c r="AJ271" s="43"/>
      <c r="AK271" s="43"/>
      <c r="AL271" s="43"/>
      <c r="AM271" s="43"/>
      <c r="AN271" s="43"/>
      <c r="AO271" s="43"/>
      <c r="AP271" s="43"/>
    </row>
    <row r="272" spans="5:42" x14ac:dyDescent="0.2"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  <c r="AI272" s="43"/>
      <c r="AJ272" s="43"/>
      <c r="AK272" s="43"/>
      <c r="AL272" s="43"/>
      <c r="AM272" s="43"/>
      <c r="AN272" s="43"/>
      <c r="AO272" s="43"/>
      <c r="AP272" s="43"/>
    </row>
    <row r="273" spans="5:42" x14ac:dyDescent="0.2"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  <c r="AI273" s="43"/>
      <c r="AJ273" s="43"/>
      <c r="AK273" s="43"/>
      <c r="AL273" s="43"/>
      <c r="AM273" s="43"/>
      <c r="AN273" s="43"/>
      <c r="AO273" s="43"/>
      <c r="AP273" s="43"/>
    </row>
    <row r="274" spans="5:42" x14ac:dyDescent="0.2"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  <c r="AI274" s="43"/>
      <c r="AJ274" s="43"/>
      <c r="AK274" s="43"/>
      <c r="AL274" s="43"/>
      <c r="AM274" s="43"/>
      <c r="AN274" s="43"/>
      <c r="AO274" s="43"/>
      <c r="AP274" s="43"/>
    </row>
    <row r="275" spans="5:42" x14ac:dyDescent="0.2"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  <c r="AI275" s="43"/>
      <c r="AJ275" s="43"/>
      <c r="AK275" s="43"/>
      <c r="AL275" s="43"/>
      <c r="AM275" s="43"/>
      <c r="AN275" s="43"/>
      <c r="AO275" s="43"/>
      <c r="AP275" s="43"/>
    </row>
    <row r="276" spans="5:42" x14ac:dyDescent="0.2"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  <c r="AI276" s="43"/>
      <c r="AJ276" s="43"/>
      <c r="AK276" s="43"/>
      <c r="AL276" s="43"/>
      <c r="AM276" s="43"/>
      <c r="AN276" s="43"/>
      <c r="AO276" s="43"/>
      <c r="AP276" s="43"/>
    </row>
    <row r="277" spans="5:42" x14ac:dyDescent="0.2"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  <c r="AI277" s="43"/>
      <c r="AJ277" s="43"/>
      <c r="AK277" s="43"/>
      <c r="AL277" s="43"/>
      <c r="AM277" s="43"/>
      <c r="AN277" s="43"/>
      <c r="AO277" s="43"/>
      <c r="AP277" s="43"/>
    </row>
    <row r="278" spans="5:42" x14ac:dyDescent="0.2"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  <c r="AI278" s="43"/>
      <c r="AJ278" s="43"/>
      <c r="AK278" s="43"/>
      <c r="AL278" s="43"/>
      <c r="AM278" s="43"/>
      <c r="AN278" s="43"/>
      <c r="AO278" s="43"/>
      <c r="AP278" s="43"/>
    </row>
    <row r="279" spans="5:42" x14ac:dyDescent="0.2"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  <c r="AI279" s="43"/>
      <c r="AJ279" s="43"/>
      <c r="AK279" s="43"/>
      <c r="AL279" s="43"/>
      <c r="AM279" s="43"/>
      <c r="AN279" s="43"/>
      <c r="AO279" s="43"/>
      <c r="AP279" s="43"/>
    </row>
    <row r="280" spans="5:42" x14ac:dyDescent="0.2"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  <c r="AI280" s="43"/>
      <c r="AJ280" s="43"/>
      <c r="AK280" s="43"/>
      <c r="AL280" s="43"/>
      <c r="AM280" s="43"/>
      <c r="AN280" s="43"/>
      <c r="AO280" s="43"/>
      <c r="AP280" s="43"/>
    </row>
    <row r="281" spans="5:42" x14ac:dyDescent="0.2"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  <c r="AI281" s="43"/>
      <c r="AJ281" s="43"/>
      <c r="AK281" s="43"/>
      <c r="AL281" s="43"/>
      <c r="AM281" s="43"/>
      <c r="AN281" s="43"/>
      <c r="AO281" s="43"/>
      <c r="AP281" s="43"/>
    </row>
    <row r="282" spans="5:42" x14ac:dyDescent="0.2"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  <c r="AI282" s="43"/>
      <c r="AJ282" s="43"/>
      <c r="AK282" s="43"/>
      <c r="AL282" s="43"/>
      <c r="AM282" s="43"/>
      <c r="AN282" s="43"/>
      <c r="AO282" s="43"/>
      <c r="AP282" s="43"/>
    </row>
    <row r="283" spans="5:42" x14ac:dyDescent="0.2"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  <c r="AH283" s="43"/>
      <c r="AI283" s="43"/>
      <c r="AJ283" s="43"/>
      <c r="AK283" s="43"/>
      <c r="AL283" s="43"/>
      <c r="AM283" s="43"/>
      <c r="AN283" s="43"/>
      <c r="AO283" s="43"/>
      <c r="AP283" s="43"/>
    </row>
    <row r="284" spans="5:42" x14ac:dyDescent="0.2"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  <c r="AG284" s="43"/>
      <c r="AH284" s="43"/>
      <c r="AI284" s="43"/>
      <c r="AJ284" s="43"/>
      <c r="AK284" s="43"/>
      <c r="AL284" s="43"/>
      <c r="AM284" s="43"/>
      <c r="AN284" s="43"/>
      <c r="AO284" s="43"/>
      <c r="AP284" s="43"/>
    </row>
    <row r="285" spans="5:42" x14ac:dyDescent="0.2"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  <c r="AI285" s="43"/>
      <c r="AJ285" s="43"/>
      <c r="AK285" s="43"/>
      <c r="AL285" s="43"/>
      <c r="AM285" s="43"/>
      <c r="AN285" s="43"/>
      <c r="AO285" s="43"/>
      <c r="AP285" s="43"/>
    </row>
    <row r="286" spans="5:42" x14ac:dyDescent="0.2"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  <c r="AI286" s="43"/>
      <c r="AJ286" s="43"/>
      <c r="AK286" s="43"/>
      <c r="AL286" s="43"/>
      <c r="AM286" s="43"/>
      <c r="AN286" s="43"/>
      <c r="AO286" s="43"/>
      <c r="AP286" s="43"/>
    </row>
    <row r="287" spans="5:42" x14ac:dyDescent="0.2"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  <c r="AI287" s="43"/>
      <c r="AJ287" s="43"/>
      <c r="AK287" s="43"/>
      <c r="AL287" s="43"/>
      <c r="AM287" s="43"/>
      <c r="AN287" s="43"/>
      <c r="AO287" s="43"/>
      <c r="AP287" s="43"/>
    </row>
    <row r="288" spans="5:42" x14ac:dyDescent="0.2"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  <c r="AI288" s="43"/>
      <c r="AJ288" s="43"/>
      <c r="AK288" s="43"/>
      <c r="AL288" s="43"/>
      <c r="AM288" s="43"/>
      <c r="AN288" s="43"/>
      <c r="AO288" s="43"/>
      <c r="AP288" s="43"/>
    </row>
    <row r="289" spans="5:42" x14ac:dyDescent="0.2"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  <c r="AI289" s="43"/>
      <c r="AJ289" s="43"/>
      <c r="AK289" s="43"/>
      <c r="AL289" s="43"/>
      <c r="AM289" s="43"/>
      <c r="AN289" s="43"/>
      <c r="AO289" s="43"/>
      <c r="AP289" s="43"/>
    </row>
    <row r="290" spans="5:42" x14ac:dyDescent="0.2"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  <c r="AI290" s="43"/>
      <c r="AJ290" s="43"/>
      <c r="AK290" s="43"/>
      <c r="AL290" s="43"/>
      <c r="AM290" s="43"/>
      <c r="AN290" s="43"/>
      <c r="AO290" s="43"/>
      <c r="AP290" s="43"/>
    </row>
    <row r="291" spans="5:42" x14ac:dyDescent="0.2"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  <c r="AI291" s="43"/>
      <c r="AJ291" s="43"/>
      <c r="AK291" s="43"/>
      <c r="AL291" s="43"/>
      <c r="AM291" s="43"/>
      <c r="AN291" s="43"/>
      <c r="AO291" s="43"/>
      <c r="AP291" s="43"/>
    </row>
    <row r="292" spans="5:42" x14ac:dyDescent="0.2"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  <c r="AI292" s="43"/>
      <c r="AJ292" s="43"/>
      <c r="AK292" s="43"/>
      <c r="AL292" s="43"/>
      <c r="AM292" s="43"/>
      <c r="AN292" s="43"/>
      <c r="AO292" s="43"/>
      <c r="AP292" s="43"/>
    </row>
    <row r="293" spans="5:42" x14ac:dyDescent="0.2"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  <c r="AH293" s="43"/>
      <c r="AI293" s="43"/>
      <c r="AJ293" s="43"/>
      <c r="AK293" s="43"/>
      <c r="AL293" s="43"/>
      <c r="AM293" s="43"/>
      <c r="AN293" s="43"/>
      <c r="AO293" s="43"/>
      <c r="AP293" s="43"/>
    </row>
    <row r="294" spans="5:42" x14ac:dyDescent="0.2"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  <c r="AG294" s="43"/>
      <c r="AH294" s="43"/>
      <c r="AI294" s="43"/>
      <c r="AJ294" s="43"/>
      <c r="AK294" s="43"/>
      <c r="AL294" s="43"/>
      <c r="AM294" s="43"/>
      <c r="AN294" s="43"/>
      <c r="AO294" s="43"/>
      <c r="AP294" s="43"/>
    </row>
    <row r="295" spans="5:42" x14ac:dyDescent="0.2"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  <c r="AC295" s="43"/>
      <c r="AD295" s="43"/>
      <c r="AE295" s="43"/>
      <c r="AF295" s="43"/>
      <c r="AG295" s="43"/>
      <c r="AH295" s="43"/>
      <c r="AI295" s="43"/>
      <c r="AJ295" s="43"/>
      <c r="AK295" s="43"/>
      <c r="AL295" s="43"/>
      <c r="AM295" s="43"/>
      <c r="AN295" s="43"/>
      <c r="AO295" s="43"/>
      <c r="AP295" s="43"/>
    </row>
    <row r="296" spans="5:42" x14ac:dyDescent="0.2"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  <c r="AB296" s="43"/>
      <c r="AC296" s="43"/>
      <c r="AD296" s="43"/>
      <c r="AE296" s="43"/>
      <c r="AF296" s="43"/>
      <c r="AG296" s="43"/>
      <c r="AH296" s="43"/>
      <c r="AI296" s="43"/>
      <c r="AJ296" s="43"/>
      <c r="AK296" s="43"/>
      <c r="AL296" s="43"/>
      <c r="AM296" s="43"/>
      <c r="AN296" s="43"/>
      <c r="AO296" s="43"/>
      <c r="AP296" s="43"/>
    </row>
    <row r="297" spans="5:42" x14ac:dyDescent="0.2"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  <c r="AB297" s="43"/>
      <c r="AC297" s="43"/>
      <c r="AD297" s="43"/>
      <c r="AE297" s="43"/>
      <c r="AF297" s="43"/>
      <c r="AG297" s="43"/>
      <c r="AH297" s="43"/>
      <c r="AI297" s="43"/>
      <c r="AJ297" s="43"/>
      <c r="AK297" s="43"/>
      <c r="AL297" s="43"/>
      <c r="AM297" s="43"/>
      <c r="AN297" s="43"/>
      <c r="AO297" s="43"/>
      <c r="AP297" s="43"/>
    </row>
    <row r="298" spans="5:42" x14ac:dyDescent="0.2"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  <c r="AB298" s="43"/>
      <c r="AC298" s="43"/>
      <c r="AD298" s="43"/>
      <c r="AE298" s="43"/>
      <c r="AF298" s="43"/>
      <c r="AG298" s="43"/>
      <c r="AH298" s="43"/>
      <c r="AI298" s="43"/>
      <c r="AJ298" s="43"/>
      <c r="AK298" s="43"/>
      <c r="AL298" s="43"/>
      <c r="AM298" s="43"/>
      <c r="AN298" s="43"/>
      <c r="AO298" s="43"/>
      <c r="AP298" s="43"/>
    </row>
    <row r="299" spans="5:42" x14ac:dyDescent="0.2"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  <c r="AC299" s="43"/>
      <c r="AD299" s="43"/>
      <c r="AE299" s="43"/>
      <c r="AF299" s="43"/>
      <c r="AG299" s="43"/>
      <c r="AH299" s="43"/>
      <c r="AI299" s="43"/>
      <c r="AJ299" s="43"/>
      <c r="AK299" s="43"/>
      <c r="AL299" s="43"/>
      <c r="AM299" s="43"/>
      <c r="AN299" s="43"/>
      <c r="AO299" s="43"/>
      <c r="AP299" s="43"/>
    </row>
    <row r="300" spans="5:42" x14ac:dyDescent="0.2"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  <c r="AC300" s="43"/>
      <c r="AD300" s="43"/>
      <c r="AE300" s="43"/>
      <c r="AF300" s="43"/>
      <c r="AG300" s="43"/>
      <c r="AH300" s="43"/>
      <c r="AI300" s="43"/>
      <c r="AJ300" s="43"/>
      <c r="AK300" s="43"/>
      <c r="AL300" s="43"/>
      <c r="AM300" s="43"/>
      <c r="AN300" s="43"/>
      <c r="AO300" s="43"/>
      <c r="AP300" s="43"/>
    </row>
    <row r="301" spans="5:42" x14ac:dyDescent="0.2"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  <c r="AC301" s="43"/>
      <c r="AD301" s="43"/>
      <c r="AE301" s="43"/>
      <c r="AF301" s="43"/>
      <c r="AG301" s="43"/>
      <c r="AH301" s="43"/>
      <c r="AI301" s="43"/>
      <c r="AJ301" s="43"/>
      <c r="AK301" s="43"/>
      <c r="AL301" s="43"/>
      <c r="AM301" s="43"/>
      <c r="AN301" s="43"/>
      <c r="AO301" s="43"/>
      <c r="AP301" s="43"/>
    </row>
    <row r="302" spans="5:42" x14ac:dyDescent="0.2"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  <c r="AB302" s="43"/>
      <c r="AC302" s="43"/>
      <c r="AD302" s="43"/>
      <c r="AE302" s="43"/>
      <c r="AF302" s="43"/>
      <c r="AG302" s="43"/>
      <c r="AH302" s="43"/>
      <c r="AI302" s="43"/>
      <c r="AJ302" s="43"/>
      <c r="AK302" s="43"/>
      <c r="AL302" s="43"/>
      <c r="AM302" s="43"/>
      <c r="AN302" s="43"/>
      <c r="AO302" s="43"/>
      <c r="AP302" s="43"/>
    </row>
    <row r="303" spans="5:42" x14ac:dyDescent="0.2"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  <c r="AC303" s="43"/>
      <c r="AD303" s="43"/>
      <c r="AE303" s="43"/>
      <c r="AF303" s="43"/>
      <c r="AG303" s="43"/>
      <c r="AH303" s="43"/>
      <c r="AI303" s="43"/>
      <c r="AJ303" s="43"/>
      <c r="AK303" s="43"/>
      <c r="AL303" s="43"/>
      <c r="AM303" s="43"/>
      <c r="AN303" s="43"/>
      <c r="AO303" s="43"/>
      <c r="AP303" s="43"/>
    </row>
    <row r="304" spans="5:42" x14ac:dyDescent="0.2"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  <c r="AB304" s="43"/>
      <c r="AC304" s="43"/>
      <c r="AD304" s="43"/>
      <c r="AE304" s="43"/>
      <c r="AF304" s="43"/>
      <c r="AG304" s="43"/>
      <c r="AH304" s="43"/>
      <c r="AI304" s="43"/>
      <c r="AJ304" s="43"/>
      <c r="AK304" s="43"/>
      <c r="AL304" s="43"/>
      <c r="AM304" s="43"/>
      <c r="AN304" s="43"/>
      <c r="AO304" s="43"/>
      <c r="AP304" s="43"/>
    </row>
    <row r="305" spans="5:42" x14ac:dyDescent="0.2"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  <c r="AC305" s="43"/>
      <c r="AD305" s="43"/>
      <c r="AE305" s="43"/>
      <c r="AF305" s="43"/>
      <c r="AG305" s="43"/>
      <c r="AH305" s="43"/>
      <c r="AI305" s="43"/>
      <c r="AJ305" s="43"/>
      <c r="AK305" s="43"/>
      <c r="AL305" s="43"/>
      <c r="AM305" s="43"/>
      <c r="AN305" s="43"/>
      <c r="AO305" s="43"/>
      <c r="AP305" s="43"/>
    </row>
    <row r="306" spans="5:42" x14ac:dyDescent="0.2"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  <c r="AB306" s="43"/>
      <c r="AC306" s="43"/>
      <c r="AD306" s="43"/>
      <c r="AE306" s="43"/>
      <c r="AF306" s="43"/>
      <c r="AG306" s="43"/>
      <c r="AH306" s="43"/>
      <c r="AI306" s="43"/>
      <c r="AJ306" s="43"/>
      <c r="AK306" s="43"/>
      <c r="AL306" s="43"/>
      <c r="AM306" s="43"/>
      <c r="AN306" s="43"/>
      <c r="AO306" s="43"/>
      <c r="AP306" s="43"/>
    </row>
    <row r="307" spans="5:42" x14ac:dyDescent="0.2"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  <c r="AC307" s="43"/>
      <c r="AD307" s="43"/>
      <c r="AE307" s="43"/>
      <c r="AF307" s="43"/>
      <c r="AG307" s="43"/>
      <c r="AH307" s="43"/>
      <c r="AI307" s="43"/>
      <c r="AJ307" s="43"/>
      <c r="AK307" s="43"/>
      <c r="AL307" s="43"/>
      <c r="AM307" s="43"/>
      <c r="AN307" s="43"/>
      <c r="AO307" s="43"/>
      <c r="AP307" s="43"/>
    </row>
    <row r="308" spans="5:42" x14ac:dyDescent="0.2"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  <c r="AB308" s="43"/>
      <c r="AC308" s="43"/>
      <c r="AD308" s="43"/>
      <c r="AE308" s="43"/>
      <c r="AF308" s="43"/>
      <c r="AG308" s="43"/>
      <c r="AH308" s="43"/>
      <c r="AI308" s="43"/>
      <c r="AJ308" s="43"/>
      <c r="AK308" s="43"/>
      <c r="AL308" s="43"/>
      <c r="AM308" s="43"/>
      <c r="AN308" s="43"/>
      <c r="AO308" s="43"/>
      <c r="AP308" s="43"/>
    </row>
    <row r="309" spans="5:42" x14ac:dyDescent="0.2"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  <c r="AC309" s="43"/>
      <c r="AD309" s="43"/>
      <c r="AE309" s="43"/>
      <c r="AF309" s="43"/>
      <c r="AG309" s="43"/>
      <c r="AH309" s="43"/>
      <c r="AI309" s="43"/>
      <c r="AJ309" s="43"/>
      <c r="AK309" s="43"/>
      <c r="AL309" s="43"/>
      <c r="AM309" s="43"/>
      <c r="AN309" s="43"/>
      <c r="AO309" s="43"/>
      <c r="AP309" s="43"/>
    </row>
    <row r="310" spans="5:42" x14ac:dyDescent="0.2"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  <c r="AB310" s="43"/>
      <c r="AC310" s="43"/>
      <c r="AD310" s="43"/>
      <c r="AE310" s="43"/>
      <c r="AF310" s="43"/>
      <c r="AG310" s="43"/>
      <c r="AH310" s="43"/>
      <c r="AI310" s="43"/>
      <c r="AJ310" s="43"/>
      <c r="AK310" s="43"/>
      <c r="AL310" s="43"/>
      <c r="AM310" s="43"/>
      <c r="AN310" s="43"/>
      <c r="AO310" s="43"/>
      <c r="AP310" s="43"/>
    </row>
    <row r="311" spans="5:42" x14ac:dyDescent="0.2"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  <c r="AC311" s="43"/>
      <c r="AD311" s="43"/>
      <c r="AE311" s="43"/>
      <c r="AF311" s="43"/>
      <c r="AG311" s="43"/>
      <c r="AH311" s="43"/>
      <c r="AI311" s="43"/>
      <c r="AJ311" s="43"/>
      <c r="AK311" s="43"/>
      <c r="AL311" s="43"/>
      <c r="AM311" s="43"/>
      <c r="AN311" s="43"/>
      <c r="AO311" s="43"/>
      <c r="AP311" s="43"/>
    </row>
    <row r="312" spans="5:42" x14ac:dyDescent="0.2"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  <c r="AB312" s="43"/>
      <c r="AC312" s="43"/>
      <c r="AD312" s="43"/>
      <c r="AE312" s="43"/>
      <c r="AF312" s="43"/>
      <c r="AG312" s="43"/>
      <c r="AH312" s="43"/>
      <c r="AI312" s="43"/>
      <c r="AJ312" s="43"/>
      <c r="AK312" s="43"/>
      <c r="AL312" s="43"/>
      <c r="AM312" s="43"/>
      <c r="AN312" s="43"/>
      <c r="AO312" s="43"/>
      <c r="AP312" s="43"/>
    </row>
    <row r="313" spans="5:42" x14ac:dyDescent="0.2"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  <c r="AC313" s="43"/>
      <c r="AD313" s="43"/>
      <c r="AE313" s="43"/>
      <c r="AF313" s="43"/>
      <c r="AG313" s="43"/>
      <c r="AH313" s="43"/>
      <c r="AI313" s="43"/>
      <c r="AJ313" s="43"/>
      <c r="AK313" s="43"/>
      <c r="AL313" s="43"/>
      <c r="AM313" s="43"/>
      <c r="AN313" s="43"/>
      <c r="AO313" s="43"/>
      <c r="AP313" s="43"/>
    </row>
    <row r="314" spans="5:42" x14ac:dyDescent="0.2"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  <c r="AB314" s="43"/>
      <c r="AC314" s="43"/>
      <c r="AD314" s="43"/>
      <c r="AE314" s="43"/>
      <c r="AF314" s="43"/>
      <c r="AG314" s="43"/>
      <c r="AH314" s="43"/>
      <c r="AI314" s="43"/>
      <c r="AJ314" s="43"/>
      <c r="AK314" s="43"/>
      <c r="AL314" s="43"/>
      <c r="AM314" s="43"/>
      <c r="AN314" s="43"/>
      <c r="AO314" s="43"/>
      <c r="AP314" s="43"/>
    </row>
    <row r="315" spans="5:42" x14ac:dyDescent="0.2"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  <c r="AC315" s="43"/>
      <c r="AD315" s="43"/>
      <c r="AE315" s="43"/>
      <c r="AF315" s="43"/>
      <c r="AG315" s="43"/>
      <c r="AH315" s="43"/>
      <c r="AI315" s="43"/>
      <c r="AJ315" s="43"/>
      <c r="AK315" s="43"/>
      <c r="AL315" s="43"/>
      <c r="AM315" s="43"/>
      <c r="AN315" s="43"/>
      <c r="AO315" s="43"/>
      <c r="AP315" s="43"/>
    </row>
    <row r="316" spans="5:42" x14ac:dyDescent="0.2"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  <c r="AB316" s="43"/>
      <c r="AC316" s="43"/>
      <c r="AD316" s="43"/>
      <c r="AE316" s="43"/>
      <c r="AF316" s="43"/>
      <c r="AG316" s="43"/>
      <c r="AH316" s="43"/>
      <c r="AI316" s="43"/>
      <c r="AJ316" s="43"/>
      <c r="AK316" s="43"/>
      <c r="AL316" s="43"/>
      <c r="AM316" s="43"/>
      <c r="AN316" s="43"/>
      <c r="AO316" s="43"/>
      <c r="AP316" s="43"/>
    </row>
    <row r="317" spans="5:42" x14ac:dyDescent="0.2"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  <c r="AC317" s="43"/>
      <c r="AD317" s="43"/>
      <c r="AE317" s="43"/>
      <c r="AF317" s="43"/>
      <c r="AG317" s="43"/>
      <c r="AH317" s="43"/>
      <c r="AI317" s="43"/>
      <c r="AJ317" s="43"/>
      <c r="AK317" s="43"/>
      <c r="AL317" s="43"/>
      <c r="AM317" s="43"/>
      <c r="AN317" s="43"/>
      <c r="AO317" s="43"/>
      <c r="AP317" s="43"/>
    </row>
    <row r="318" spans="5:42" x14ac:dyDescent="0.2"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  <c r="AB318" s="43"/>
      <c r="AC318" s="43"/>
      <c r="AD318" s="43"/>
      <c r="AE318" s="43"/>
      <c r="AF318" s="43"/>
      <c r="AG318" s="43"/>
      <c r="AH318" s="43"/>
      <c r="AI318" s="43"/>
      <c r="AJ318" s="43"/>
      <c r="AK318" s="43"/>
      <c r="AL318" s="43"/>
      <c r="AM318" s="43"/>
      <c r="AN318" s="43"/>
      <c r="AO318" s="43"/>
      <c r="AP318" s="43"/>
    </row>
    <row r="319" spans="5:42" x14ac:dyDescent="0.2"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  <c r="AB319" s="43"/>
      <c r="AC319" s="43"/>
      <c r="AD319" s="43"/>
      <c r="AE319" s="43"/>
      <c r="AF319" s="43"/>
      <c r="AG319" s="43"/>
      <c r="AH319" s="43"/>
      <c r="AI319" s="43"/>
      <c r="AJ319" s="43"/>
      <c r="AK319" s="43"/>
      <c r="AL319" s="43"/>
      <c r="AM319" s="43"/>
      <c r="AN319" s="43"/>
      <c r="AO319" s="43"/>
      <c r="AP319" s="43"/>
    </row>
    <row r="320" spans="5:42" x14ac:dyDescent="0.2"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  <c r="AB320" s="43"/>
      <c r="AC320" s="43"/>
      <c r="AD320" s="43"/>
      <c r="AE320" s="43"/>
      <c r="AF320" s="43"/>
      <c r="AG320" s="43"/>
      <c r="AH320" s="43"/>
      <c r="AI320" s="43"/>
      <c r="AJ320" s="43"/>
      <c r="AK320" s="43"/>
      <c r="AL320" s="43"/>
      <c r="AM320" s="43"/>
      <c r="AN320" s="43"/>
      <c r="AO320" s="43"/>
      <c r="AP320" s="43"/>
    </row>
    <row r="321" spans="5:42" x14ac:dyDescent="0.2"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  <c r="AC321" s="43"/>
      <c r="AD321" s="43"/>
      <c r="AE321" s="43"/>
      <c r="AF321" s="43"/>
      <c r="AG321" s="43"/>
      <c r="AH321" s="43"/>
      <c r="AI321" s="43"/>
      <c r="AJ321" s="43"/>
      <c r="AK321" s="43"/>
      <c r="AL321" s="43"/>
      <c r="AM321" s="43"/>
      <c r="AN321" s="43"/>
      <c r="AO321" s="43"/>
      <c r="AP321" s="43"/>
    </row>
    <row r="322" spans="5:42" x14ac:dyDescent="0.2"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  <c r="AB322" s="43"/>
      <c r="AC322" s="43"/>
      <c r="AD322" s="43"/>
      <c r="AE322" s="43"/>
      <c r="AF322" s="43"/>
      <c r="AG322" s="43"/>
      <c r="AH322" s="43"/>
      <c r="AI322" s="43"/>
      <c r="AJ322" s="43"/>
      <c r="AK322" s="43"/>
      <c r="AL322" s="43"/>
      <c r="AM322" s="43"/>
      <c r="AN322" s="43"/>
      <c r="AO322" s="43"/>
      <c r="AP322" s="43"/>
    </row>
    <row r="323" spans="5:42" x14ac:dyDescent="0.2"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  <c r="AC323" s="43"/>
      <c r="AD323" s="43"/>
      <c r="AE323" s="43"/>
      <c r="AF323" s="43"/>
      <c r="AG323" s="43"/>
      <c r="AH323" s="43"/>
      <c r="AI323" s="43"/>
      <c r="AJ323" s="43"/>
      <c r="AK323" s="43"/>
      <c r="AL323" s="43"/>
      <c r="AM323" s="43"/>
      <c r="AN323" s="43"/>
      <c r="AO323" s="43"/>
      <c r="AP323" s="43"/>
    </row>
    <row r="324" spans="5:42" x14ac:dyDescent="0.2"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  <c r="AB324" s="43"/>
      <c r="AC324" s="43"/>
      <c r="AD324" s="43"/>
      <c r="AE324" s="43"/>
      <c r="AF324" s="43"/>
      <c r="AG324" s="43"/>
      <c r="AH324" s="43"/>
      <c r="AI324" s="43"/>
      <c r="AJ324" s="43"/>
      <c r="AK324" s="43"/>
      <c r="AL324" s="43"/>
      <c r="AM324" s="43"/>
      <c r="AN324" s="43"/>
      <c r="AO324" s="43"/>
      <c r="AP324" s="43"/>
    </row>
    <row r="325" spans="5:42" x14ac:dyDescent="0.2"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  <c r="AB325" s="43"/>
      <c r="AC325" s="43"/>
      <c r="AD325" s="43"/>
      <c r="AE325" s="43"/>
      <c r="AF325" s="43"/>
      <c r="AG325" s="43"/>
      <c r="AH325" s="43"/>
      <c r="AI325" s="43"/>
      <c r="AJ325" s="43"/>
      <c r="AK325" s="43"/>
      <c r="AL325" s="43"/>
      <c r="AM325" s="43"/>
      <c r="AN325" s="43"/>
      <c r="AO325" s="43"/>
      <c r="AP325" s="43"/>
    </row>
    <row r="326" spans="5:42" x14ac:dyDescent="0.2"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  <c r="AB326" s="43"/>
      <c r="AC326" s="43"/>
      <c r="AD326" s="43"/>
      <c r="AE326" s="43"/>
      <c r="AF326" s="43"/>
      <c r="AG326" s="43"/>
      <c r="AH326" s="43"/>
      <c r="AI326" s="43"/>
      <c r="AJ326" s="43"/>
      <c r="AK326" s="43"/>
      <c r="AL326" s="43"/>
      <c r="AM326" s="43"/>
      <c r="AN326" s="43"/>
      <c r="AO326" s="43"/>
      <c r="AP326" s="43"/>
    </row>
    <row r="327" spans="5:42" x14ac:dyDescent="0.2"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  <c r="AC327" s="43"/>
      <c r="AD327" s="43"/>
      <c r="AE327" s="43"/>
      <c r="AF327" s="43"/>
      <c r="AG327" s="43"/>
      <c r="AH327" s="43"/>
      <c r="AI327" s="43"/>
      <c r="AJ327" s="43"/>
      <c r="AK327" s="43"/>
      <c r="AL327" s="43"/>
      <c r="AM327" s="43"/>
      <c r="AN327" s="43"/>
      <c r="AO327" s="43"/>
      <c r="AP327" s="43"/>
    </row>
    <row r="328" spans="5:42" x14ac:dyDescent="0.2"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  <c r="AB328" s="43"/>
      <c r="AC328" s="43"/>
      <c r="AD328" s="43"/>
      <c r="AE328" s="43"/>
      <c r="AF328" s="43"/>
      <c r="AG328" s="43"/>
      <c r="AH328" s="43"/>
      <c r="AI328" s="43"/>
      <c r="AJ328" s="43"/>
      <c r="AK328" s="43"/>
      <c r="AL328" s="43"/>
      <c r="AM328" s="43"/>
      <c r="AN328" s="43"/>
      <c r="AO328" s="43"/>
      <c r="AP328" s="43"/>
    </row>
    <row r="329" spans="5:42" x14ac:dyDescent="0.2"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  <c r="AB329" s="43"/>
      <c r="AC329" s="43"/>
      <c r="AD329" s="43"/>
      <c r="AE329" s="43"/>
      <c r="AF329" s="43"/>
      <c r="AG329" s="43"/>
      <c r="AH329" s="43"/>
      <c r="AI329" s="43"/>
      <c r="AJ329" s="43"/>
      <c r="AK329" s="43"/>
      <c r="AL329" s="43"/>
      <c r="AM329" s="43"/>
      <c r="AN329" s="43"/>
      <c r="AO329" s="43"/>
      <c r="AP329" s="43"/>
    </row>
    <row r="330" spans="5:42" x14ac:dyDescent="0.2"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  <c r="AB330" s="43"/>
      <c r="AC330" s="43"/>
      <c r="AD330" s="43"/>
      <c r="AE330" s="43"/>
      <c r="AF330" s="43"/>
      <c r="AG330" s="43"/>
      <c r="AH330" s="43"/>
      <c r="AI330" s="43"/>
      <c r="AJ330" s="43"/>
      <c r="AK330" s="43"/>
      <c r="AL330" s="43"/>
      <c r="AM330" s="43"/>
      <c r="AN330" s="43"/>
      <c r="AO330" s="43"/>
      <c r="AP330" s="43"/>
    </row>
    <row r="331" spans="5:42" x14ac:dyDescent="0.2"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  <c r="AB331" s="43"/>
      <c r="AC331" s="43"/>
      <c r="AD331" s="43"/>
      <c r="AE331" s="43"/>
      <c r="AF331" s="43"/>
      <c r="AG331" s="43"/>
      <c r="AH331" s="43"/>
      <c r="AI331" s="43"/>
      <c r="AJ331" s="43"/>
      <c r="AK331" s="43"/>
      <c r="AL331" s="43"/>
      <c r="AM331" s="43"/>
      <c r="AN331" s="43"/>
      <c r="AO331" s="43"/>
      <c r="AP331" s="43"/>
    </row>
    <row r="332" spans="5:42" x14ac:dyDescent="0.2"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  <c r="AB332" s="43"/>
      <c r="AC332" s="43"/>
      <c r="AD332" s="43"/>
      <c r="AE332" s="43"/>
      <c r="AF332" s="43"/>
      <c r="AG332" s="43"/>
      <c r="AH332" s="43"/>
      <c r="AI332" s="43"/>
      <c r="AJ332" s="43"/>
      <c r="AK332" s="43"/>
      <c r="AL332" s="43"/>
      <c r="AM332" s="43"/>
      <c r="AN332" s="43"/>
      <c r="AO332" s="43"/>
      <c r="AP332" s="43"/>
    </row>
    <row r="333" spans="5:42" x14ac:dyDescent="0.2"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  <c r="AB333" s="43"/>
      <c r="AC333" s="43"/>
      <c r="AD333" s="43"/>
      <c r="AE333" s="43"/>
      <c r="AF333" s="43"/>
      <c r="AG333" s="43"/>
      <c r="AH333" s="43"/>
      <c r="AI333" s="43"/>
      <c r="AJ333" s="43"/>
      <c r="AK333" s="43"/>
      <c r="AL333" s="43"/>
      <c r="AM333" s="43"/>
      <c r="AN333" s="43"/>
      <c r="AO333" s="43"/>
      <c r="AP333" s="43"/>
    </row>
    <row r="334" spans="5:42" x14ac:dyDescent="0.2"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  <c r="AB334" s="43"/>
      <c r="AC334" s="43"/>
      <c r="AD334" s="43"/>
      <c r="AE334" s="43"/>
      <c r="AF334" s="43"/>
      <c r="AG334" s="43"/>
      <c r="AH334" s="43"/>
      <c r="AI334" s="43"/>
      <c r="AJ334" s="43"/>
      <c r="AK334" s="43"/>
      <c r="AL334" s="43"/>
      <c r="AM334" s="43"/>
      <c r="AN334" s="43"/>
      <c r="AO334" s="43"/>
      <c r="AP334" s="43"/>
    </row>
    <row r="335" spans="5:42" x14ac:dyDescent="0.2"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  <c r="AB335" s="43"/>
      <c r="AC335" s="43"/>
      <c r="AD335" s="43"/>
      <c r="AE335" s="43"/>
      <c r="AF335" s="43"/>
      <c r="AG335" s="43"/>
      <c r="AH335" s="43"/>
      <c r="AI335" s="43"/>
      <c r="AJ335" s="43"/>
      <c r="AK335" s="43"/>
      <c r="AL335" s="43"/>
      <c r="AM335" s="43"/>
      <c r="AN335" s="43"/>
      <c r="AO335" s="43"/>
      <c r="AP335" s="43"/>
    </row>
    <row r="336" spans="5:42" x14ac:dyDescent="0.2"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  <c r="AB336" s="43"/>
      <c r="AC336" s="43"/>
      <c r="AD336" s="43"/>
      <c r="AE336" s="43"/>
      <c r="AF336" s="43"/>
      <c r="AG336" s="43"/>
      <c r="AH336" s="43"/>
      <c r="AI336" s="43"/>
      <c r="AJ336" s="43"/>
      <c r="AK336" s="43"/>
      <c r="AL336" s="43"/>
      <c r="AM336" s="43"/>
      <c r="AN336" s="43"/>
      <c r="AO336" s="43"/>
      <c r="AP336" s="43"/>
    </row>
    <row r="337" spans="5:42" x14ac:dyDescent="0.2"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  <c r="AB337" s="43"/>
      <c r="AC337" s="43"/>
      <c r="AD337" s="43"/>
      <c r="AE337" s="43"/>
      <c r="AF337" s="43"/>
      <c r="AG337" s="43"/>
      <c r="AH337" s="43"/>
      <c r="AI337" s="43"/>
      <c r="AJ337" s="43"/>
      <c r="AK337" s="43"/>
      <c r="AL337" s="43"/>
      <c r="AM337" s="43"/>
      <c r="AN337" s="43"/>
      <c r="AO337" s="43"/>
      <c r="AP337" s="43"/>
    </row>
    <row r="338" spans="5:42" x14ac:dyDescent="0.2"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  <c r="AB338" s="43"/>
      <c r="AC338" s="43"/>
      <c r="AD338" s="43"/>
      <c r="AE338" s="43"/>
      <c r="AF338" s="43"/>
      <c r="AG338" s="43"/>
      <c r="AH338" s="43"/>
      <c r="AI338" s="43"/>
      <c r="AJ338" s="43"/>
      <c r="AK338" s="43"/>
      <c r="AL338" s="43"/>
      <c r="AM338" s="43"/>
      <c r="AN338" s="43"/>
      <c r="AO338" s="43"/>
      <c r="AP338" s="43"/>
    </row>
    <row r="339" spans="5:42" x14ac:dyDescent="0.2"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  <c r="AB339" s="43"/>
      <c r="AC339" s="43"/>
      <c r="AD339" s="43"/>
      <c r="AE339" s="43"/>
      <c r="AF339" s="43"/>
      <c r="AG339" s="43"/>
      <c r="AH339" s="43"/>
      <c r="AI339" s="43"/>
      <c r="AJ339" s="43"/>
      <c r="AK339" s="43"/>
      <c r="AL339" s="43"/>
      <c r="AM339" s="43"/>
      <c r="AN339" s="43"/>
      <c r="AO339" s="43"/>
      <c r="AP339" s="43"/>
    </row>
    <row r="340" spans="5:42" x14ac:dyDescent="0.2"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  <c r="AB340" s="43"/>
      <c r="AC340" s="43"/>
      <c r="AD340" s="43"/>
      <c r="AE340" s="43"/>
      <c r="AF340" s="43"/>
      <c r="AG340" s="43"/>
      <c r="AH340" s="43"/>
      <c r="AI340" s="43"/>
      <c r="AJ340" s="43"/>
      <c r="AK340" s="43"/>
      <c r="AL340" s="43"/>
      <c r="AM340" s="43"/>
      <c r="AN340" s="43"/>
      <c r="AO340" s="43"/>
      <c r="AP340" s="43"/>
    </row>
    <row r="341" spans="5:42" x14ac:dyDescent="0.2"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  <c r="AB341" s="43"/>
      <c r="AC341" s="43"/>
      <c r="AD341" s="43"/>
      <c r="AE341" s="43"/>
      <c r="AF341" s="43"/>
      <c r="AG341" s="43"/>
      <c r="AH341" s="43"/>
      <c r="AI341" s="43"/>
      <c r="AJ341" s="43"/>
      <c r="AK341" s="43"/>
      <c r="AL341" s="43"/>
      <c r="AM341" s="43"/>
      <c r="AN341" s="43"/>
      <c r="AO341" s="43"/>
      <c r="AP341" s="43"/>
    </row>
    <row r="342" spans="5:42" x14ac:dyDescent="0.2"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  <c r="AA342" s="43"/>
      <c r="AB342" s="43"/>
      <c r="AC342" s="43"/>
      <c r="AD342" s="43"/>
      <c r="AE342" s="43"/>
      <c r="AF342" s="43"/>
      <c r="AG342" s="43"/>
      <c r="AH342" s="43"/>
      <c r="AI342" s="43"/>
      <c r="AJ342" s="43"/>
      <c r="AK342" s="43"/>
      <c r="AL342" s="43"/>
      <c r="AM342" s="43"/>
      <c r="AN342" s="43"/>
      <c r="AO342" s="43"/>
      <c r="AP342" s="43"/>
    </row>
    <row r="343" spans="5:42" x14ac:dyDescent="0.2"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  <c r="AB343" s="43"/>
      <c r="AC343" s="43"/>
      <c r="AD343" s="43"/>
      <c r="AE343" s="43"/>
      <c r="AF343" s="43"/>
      <c r="AG343" s="43"/>
      <c r="AH343" s="43"/>
      <c r="AI343" s="43"/>
      <c r="AJ343" s="43"/>
      <c r="AK343" s="43"/>
      <c r="AL343" s="43"/>
      <c r="AM343" s="43"/>
      <c r="AN343" s="43"/>
      <c r="AO343" s="43"/>
      <c r="AP343" s="43"/>
    </row>
    <row r="344" spans="5:42" x14ac:dyDescent="0.2"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  <c r="AA344" s="43"/>
      <c r="AB344" s="43"/>
      <c r="AC344" s="43"/>
      <c r="AD344" s="43"/>
      <c r="AE344" s="43"/>
      <c r="AF344" s="43"/>
      <c r="AG344" s="43"/>
      <c r="AH344" s="43"/>
      <c r="AI344" s="43"/>
      <c r="AJ344" s="43"/>
      <c r="AK344" s="43"/>
      <c r="AL344" s="43"/>
      <c r="AM344" s="43"/>
      <c r="AN344" s="43"/>
      <c r="AO344" s="43"/>
      <c r="AP344" s="43"/>
    </row>
    <row r="345" spans="5:42" x14ac:dyDescent="0.2"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  <c r="AB345" s="43"/>
      <c r="AC345" s="43"/>
      <c r="AD345" s="43"/>
      <c r="AE345" s="43"/>
      <c r="AF345" s="43"/>
      <c r="AG345" s="43"/>
      <c r="AH345" s="43"/>
      <c r="AI345" s="43"/>
      <c r="AJ345" s="43"/>
      <c r="AK345" s="43"/>
      <c r="AL345" s="43"/>
      <c r="AM345" s="43"/>
      <c r="AN345" s="43"/>
      <c r="AO345" s="43"/>
      <c r="AP345" s="43"/>
    </row>
    <row r="346" spans="5:42" x14ac:dyDescent="0.2"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  <c r="AB346" s="43"/>
      <c r="AC346" s="43"/>
      <c r="AD346" s="43"/>
      <c r="AE346" s="43"/>
      <c r="AF346" s="43"/>
      <c r="AG346" s="43"/>
      <c r="AH346" s="43"/>
      <c r="AI346" s="43"/>
      <c r="AJ346" s="43"/>
      <c r="AK346" s="43"/>
      <c r="AL346" s="43"/>
      <c r="AM346" s="43"/>
      <c r="AN346" s="43"/>
      <c r="AO346" s="43"/>
      <c r="AP346" s="43"/>
    </row>
    <row r="347" spans="5:42" x14ac:dyDescent="0.2"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  <c r="AB347" s="43"/>
      <c r="AC347" s="43"/>
      <c r="AD347" s="43"/>
      <c r="AE347" s="43"/>
      <c r="AF347" s="43"/>
      <c r="AG347" s="43"/>
      <c r="AH347" s="43"/>
      <c r="AI347" s="43"/>
      <c r="AJ347" s="43"/>
      <c r="AK347" s="43"/>
      <c r="AL347" s="43"/>
      <c r="AM347" s="43"/>
      <c r="AN347" s="43"/>
      <c r="AO347" s="43"/>
      <c r="AP347" s="43"/>
    </row>
    <row r="348" spans="5:42" x14ac:dyDescent="0.2"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43"/>
      <c r="AB348" s="43"/>
      <c r="AC348" s="43"/>
      <c r="AD348" s="43"/>
      <c r="AE348" s="43"/>
      <c r="AF348" s="43"/>
      <c r="AG348" s="43"/>
      <c r="AH348" s="43"/>
      <c r="AI348" s="43"/>
      <c r="AJ348" s="43"/>
      <c r="AK348" s="43"/>
      <c r="AL348" s="43"/>
      <c r="AM348" s="43"/>
      <c r="AN348" s="43"/>
      <c r="AO348" s="43"/>
      <c r="AP348" s="43"/>
    </row>
    <row r="349" spans="5:42" x14ac:dyDescent="0.2"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  <c r="AB349" s="43"/>
      <c r="AC349" s="43"/>
      <c r="AD349" s="43"/>
      <c r="AE349" s="43"/>
      <c r="AF349" s="43"/>
      <c r="AG349" s="43"/>
      <c r="AH349" s="43"/>
      <c r="AI349" s="43"/>
      <c r="AJ349" s="43"/>
      <c r="AK349" s="43"/>
      <c r="AL349" s="43"/>
      <c r="AM349" s="43"/>
      <c r="AN349" s="43"/>
      <c r="AO349" s="43"/>
      <c r="AP349" s="43"/>
    </row>
    <row r="350" spans="5:42" x14ac:dyDescent="0.2"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43"/>
      <c r="AB350" s="43"/>
      <c r="AC350" s="43"/>
      <c r="AD350" s="43"/>
      <c r="AE350" s="43"/>
      <c r="AF350" s="43"/>
      <c r="AG350" s="43"/>
      <c r="AH350" s="43"/>
      <c r="AI350" s="43"/>
      <c r="AJ350" s="43"/>
      <c r="AK350" s="43"/>
      <c r="AL350" s="43"/>
      <c r="AM350" s="43"/>
      <c r="AN350" s="43"/>
      <c r="AO350" s="43"/>
      <c r="AP350" s="43"/>
    </row>
    <row r="351" spans="5:42" x14ac:dyDescent="0.2"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  <c r="AB351" s="43"/>
      <c r="AC351" s="43"/>
      <c r="AD351" s="43"/>
      <c r="AE351" s="43"/>
      <c r="AF351" s="43"/>
      <c r="AG351" s="43"/>
      <c r="AH351" s="43"/>
      <c r="AI351" s="43"/>
      <c r="AJ351" s="43"/>
      <c r="AK351" s="43"/>
      <c r="AL351" s="43"/>
      <c r="AM351" s="43"/>
      <c r="AN351" s="43"/>
      <c r="AO351" s="43"/>
      <c r="AP351" s="43"/>
    </row>
    <row r="352" spans="5:42" x14ac:dyDescent="0.2"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  <c r="AB352" s="43"/>
      <c r="AC352" s="43"/>
      <c r="AD352" s="43"/>
      <c r="AE352" s="43"/>
      <c r="AF352" s="43"/>
      <c r="AG352" s="43"/>
      <c r="AH352" s="43"/>
      <c r="AI352" s="43"/>
      <c r="AJ352" s="43"/>
      <c r="AK352" s="43"/>
      <c r="AL352" s="43"/>
      <c r="AM352" s="43"/>
      <c r="AN352" s="43"/>
      <c r="AO352" s="43"/>
      <c r="AP352" s="43"/>
    </row>
    <row r="353" spans="3:42" x14ac:dyDescent="0.2"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  <c r="AB353" s="43"/>
      <c r="AC353" s="43"/>
      <c r="AD353" s="43"/>
      <c r="AE353" s="43"/>
      <c r="AF353" s="43"/>
      <c r="AG353" s="43"/>
      <c r="AH353" s="43"/>
      <c r="AI353" s="43"/>
      <c r="AJ353" s="43"/>
      <c r="AK353" s="43"/>
      <c r="AL353" s="43"/>
      <c r="AM353" s="43"/>
      <c r="AN353" s="43"/>
      <c r="AO353" s="43"/>
      <c r="AP353" s="43"/>
    </row>
    <row r="354" spans="3:42" x14ac:dyDescent="0.2"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  <c r="AB354" s="43"/>
      <c r="AC354" s="43"/>
      <c r="AD354" s="43"/>
      <c r="AE354" s="43"/>
      <c r="AF354" s="43"/>
      <c r="AG354" s="43"/>
      <c r="AH354" s="43"/>
      <c r="AI354" s="43"/>
      <c r="AJ354" s="43"/>
      <c r="AK354" s="43"/>
      <c r="AL354" s="43"/>
      <c r="AM354" s="43"/>
      <c r="AN354" s="43"/>
      <c r="AO354" s="43"/>
      <c r="AP354" s="43"/>
    </row>
    <row r="355" spans="3:42" x14ac:dyDescent="0.2"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  <c r="AB355" s="43"/>
      <c r="AC355" s="43"/>
      <c r="AD355" s="43"/>
      <c r="AE355" s="43"/>
      <c r="AF355" s="43"/>
      <c r="AG355" s="43"/>
      <c r="AH355" s="43"/>
      <c r="AI355" s="43"/>
      <c r="AJ355" s="43"/>
      <c r="AK355" s="43"/>
      <c r="AL355" s="43"/>
      <c r="AM355" s="43"/>
      <c r="AN355" s="43"/>
      <c r="AO355" s="43"/>
      <c r="AP355" s="43"/>
    </row>
    <row r="356" spans="3:42" x14ac:dyDescent="0.2"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  <c r="AB356" s="43"/>
      <c r="AC356" s="43"/>
      <c r="AD356" s="43"/>
      <c r="AE356" s="43"/>
      <c r="AF356" s="43"/>
      <c r="AG356" s="43"/>
      <c r="AH356" s="43"/>
      <c r="AI356" s="43"/>
      <c r="AJ356" s="43"/>
      <c r="AK356" s="43"/>
      <c r="AL356" s="43"/>
      <c r="AM356" s="43"/>
      <c r="AN356" s="43"/>
      <c r="AO356" s="43"/>
      <c r="AP356" s="43"/>
    </row>
    <row r="357" spans="3:42" x14ac:dyDescent="0.2"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  <c r="AB357" s="43"/>
      <c r="AC357" s="43"/>
      <c r="AD357" s="43"/>
      <c r="AE357" s="43"/>
      <c r="AF357" s="43"/>
      <c r="AG357" s="43"/>
      <c r="AH357" s="43"/>
      <c r="AI357" s="43"/>
      <c r="AJ357" s="43"/>
      <c r="AK357" s="43"/>
      <c r="AL357" s="43"/>
      <c r="AM357" s="43"/>
      <c r="AN357" s="43"/>
      <c r="AO357" s="43"/>
      <c r="AP357" s="43"/>
    </row>
    <row r="358" spans="3:42" x14ac:dyDescent="0.2"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  <c r="AB358" s="43"/>
      <c r="AC358" s="43"/>
      <c r="AD358" s="43"/>
      <c r="AE358" s="43"/>
      <c r="AF358" s="43"/>
      <c r="AG358" s="43"/>
      <c r="AH358" s="43"/>
      <c r="AI358" s="43"/>
      <c r="AJ358" s="43"/>
      <c r="AK358" s="43"/>
      <c r="AL358" s="43"/>
      <c r="AM358" s="43"/>
      <c r="AN358" s="43"/>
      <c r="AO358" s="43"/>
      <c r="AP358" s="43"/>
    </row>
    <row r="359" spans="3:42" x14ac:dyDescent="0.2"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  <c r="AB359" s="43"/>
      <c r="AC359" s="43"/>
      <c r="AD359" s="43"/>
      <c r="AE359" s="43"/>
      <c r="AF359" s="43"/>
      <c r="AG359" s="43"/>
      <c r="AH359" s="43"/>
      <c r="AI359" s="43"/>
      <c r="AJ359" s="43"/>
      <c r="AK359" s="43"/>
      <c r="AL359" s="43"/>
      <c r="AM359" s="43"/>
      <c r="AN359" s="43"/>
      <c r="AO359" s="43"/>
      <c r="AP359" s="43"/>
    </row>
    <row r="360" spans="3:42" x14ac:dyDescent="0.2"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  <c r="AB360" s="43"/>
      <c r="AC360" s="43"/>
      <c r="AD360" s="43"/>
      <c r="AE360" s="43"/>
      <c r="AF360" s="43"/>
      <c r="AG360" s="43"/>
      <c r="AH360" s="43"/>
      <c r="AI360" s="43"/>
      <c r="AJ360" s="43"/>
      <c r="AK360" s="43"/>
      <c r="AL360" s="43"/>
      <c r="AM360" s="43"/>
      <c r="AN360" s="43"/>
      <c r="AO360" s="43"/>
      <c r="AP360" s="43"/>
    </row>
    <row r="361" spans="3:42" x14ac:dyDescent="0.2"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  <c r="AB361" s="43"/>
      <c r="AC361" s="43"/>
      <c r="AD361" s="43"/>
      <c r="AE361" s="43"/>
      <c r="AF361" s="43"/>
      <c r="AG361" s="43"/>
      <c r="AH361" s="43"/>
      <c r="AI361" s="43"/>
      <c r="AJ361" s="43"/>
      <c r="AK361" s="43"/>
      <c r="AL361" s="43"/>
      <c r="AM361" s="43"/>
      <c r="AN361" s="43"/>
      <c r="AO361" s="43"/>
      <c r="AP361" s="43"/>
    </row>
    <row r="362" spans="3:42" x14ac:dyDescent="0.2"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  <c r="AB362" s="43"/>
      <c r="AC362" s="43"/>
      <c r="AD362" s="43"/>
      <c r="AE362" s="43"/>
      <c r="AF362" s="43"/>
      <c r="AG362" s="43"/>
      <c r="AH362" s="43"/>
      <c r="AI362" s="43"/>
      <c r="AJ362" s="43"/>
      <c r="AK362" s="43"/>
      <c r="AL362" s="43"/>
      <c r="AM362" s="43"/>
      <c r="AN362" s="43"/>
      <c r="AO362" s="43"/>
      <c r="AP362" s="43"/>
    </row>
    <row r="363" spans="3:42" x14ac:dyDescent="0.2"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  <c r="AB363" s="43"/>
      <c r="AC363" s="43"/>
      <c r="AD363" s="43"/>
      <c r="AE363" s="43"/>
      <c r="AF363" s="43"/>
      <c r="AG363" s="43"/>
      <c r="AH363" s="43"/>
      <c r="AI363" s="43"/>
      <c r="AJ363" s="43"/>
      <c r="AK363" s="43"/>
      <c r="AL363" s="43"/>
      <c r="AM363" s="43"/>
      <c r="AN363" s="43"/>
      <c r="AO363" s="43"/>
      <c r="AP363" s="43"/>
    </row>
    <row r="364" spans="3:42" x14ac:dyDescent="0.2"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43"/>
      <c r="AB364" s="43"/>
      <c r="AC364" s="43"/>
      <c r="AD364" s="43"/>
      <c r="AE364" s="43"/>
      <c r="AF364" s="43"/>
      <c r="AG364" s="43"/>
      <c r="AH364" s="43"/>
      <c r="AI364" s="43"/>
      <c r="AJ364" s="43"/>
      <c r="AK364" s="43"/>
      <c r="AL364" s="43"/>
      <c r="AM364" s="43"/>
      <c r="AN364" s="43"/>
      <c r="AO364" s="43"/>
      <c r="AP364" s="43"/>
    </row>
    <row r="365" spans="3:42" x14ac:dyDescent="0.2"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  <c r="AB365" s="43"/>
      <c r="AC365" s="43"/>
      <c r="AD365" s="43"/>
      <c r="AE365" s="43"/>
      <c r="AF365" s="43"/>
      <c r="AG365" s="43"/>
      <c r="AH365" s="43"/>
      <c r="AI365" s="43"/>
      <c r="AJ365" s="43"/>
      <c r="AK365" s="43"/>
      <c r="AL365" s="43"/>
      <c r="AM365" s="43"/>
      <c r="AN365" s="43"/>
      <c r="AO365" s="43"/>
      <c r="AP365" s="43"/>
    </row>
    <row r="366" spans="3:42" x14ac:dyDescent="0.2"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  <c r="AB366" s="43"/>
      <c r="AC366" s="43"/>
      <c r="AD366" s="43"/>
      <c r="AE366" s="43"/>
      <c r="AF366" s="43"/>
      <c r="AG366" s="43"/>
      <c r="AH366" s="43"/>
      <c r="AI366" s="43"/>
      <c r="AJ366" s="43"/>
      <c r="AK366" s="43"/>
      <c r="AL366" s="43"/>
      <c r="AM366" s="43"/>
      <c r="AN366" s="43"/>
      <c r="AO366" s="43"/>
      <c r="AP366" s="43"/>
    </row>
    <row r="367" spans="3:42" x14ac:dyDescent="0.2"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  <c r="AB367" s="43"/>
      <c r="AC367" s="43"/>
      <c r="AD367" s="43"/>
      <c r="AE367" s="43"/>
      <c r="AF367" s="43"/>
      <c r="AG367" s="43"/>
      <c r="AH367" s="43"/>
      <c r="AI367" s="43"/>
      <c r="AJ367" s="43"/>
      <c r="AK367" s="43"/>
      <c r="AL367" s="43"/>
      <c r="AM367" s="43"/>
      <c r="AN367" s="43"/>
      <c r="AO367" s="43"/>
      <c r="AP367" s="43"/>
    </row>
    <row r="368" spans="3:42" x14ac:dyDescent="0.2"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  <c r="AB368" s="43"/>
      <c r="AC368" s="43"/>
      <c r="AD368" s="43"/>
      <c r="AE368" s="43"/>
      <c r="AF368" s="43"/>
      <c r="AG368" s="43"/>
      <c r="AH368" s="43"/>
      <c r="AI368" s="43"/>
      <c r="AJ368" s="43"/>
      <c r="AK368" s="43"/>
      <c r="AL368" s="43"/>
      <c r="AM368" s="43"/>
      <c r="AN368" s="43"/>
      <c r="AO368" s="43"/>
      <c r="AP368" s="43"/>
    </row>
    <row r="369" spans="3:42" x14ac:dyDescent="0.2"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  <c r="AB369" s="43"/>
      <c r="AC369" s="43"/>
      <c r="AD369" s="43"/>
      <c r="AE369" s="43"/>
      <c r="AF369" s="43"/>
      <c r="AG369" s="43"/>
      <c r="AH369" s="43"/>
      <c r="AI369" s="43"/>
      <c r="AJ369" s="43"/>
      <c r="AK369" s="43"/>
      <c r="AL369" s="43"/>
      <c r="AM369" s="43"/>
      <c r="AN369" s="43"/>
      <c r="AO369" s="43"/>
      <c r="AP369" s="43"/>
    </row>
    <row r="370" spans="3:42" x14ac:dyDescent="0.2"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  <c r="AB370" s="43"/>
      <c r="AC370" s="43"/>
      <c r="AD370" s="43"/>
      <c r="AE370" s="43"/>
      <c r="AF370" s="43"/>
      <c r="AG370" s="43"/>
      <c r="AH370" s="43"/>
      <c r="AI370" s="43"/>
      <c r="AJ370" s="43"/>
      <c r="AK370" s="43"/>
      <c r="AL370" s="43"/>
      <c r="AM370" s="43"/>
      <c r="AN370" s="43"/>
      <c r="AO370" s="43"/>
      <c r="AP370" s="43"/>
    </row>
    <row r="371" spans="3:42" x14ac:dyDescent="0.2"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  <c r="AB371" s="43"/>
      <c r="AC371" s="43"/>
      <c r="AD371" s="43"/>
      <c r="AE371" s="43"/>
      <c r="AF371" s="43"/>
      <c r="AG371" s="43"/>
      <c r="AH371" s="43"/>
      <c r="AI371" s="43"/>
      <c r="AJ371" s="43"/>
      <c r="AK371" s="43"/>
      <c r="AL371" s="43"/>
      <c r="AM371" s="43"/>
      <c r="AN371" s="43"/>
      <c r="AO371" s="43"/>
      <c r="AP371" s="43"/>
    </row>
    <row r="372" spans="3:42" x14ac:dyDescent="0.2"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  <c r="AB372" s="43"/>
      <c r="AC372" s="43"/>
      <c r="AD372" s="43"/>
      <c r="AE372" s="43"/>
      <c r="AF372" s="43"/>
      <c r="AG372" s="43"/>
      <c r="AH372" s="43"/>
      <c r="AI372" s="43"/>
      <c r="AJ372" s="43"/>
      <c r="AK372" s="43"/>
      <c r="AL372" s="43"/>
      <c r="AM372" s="43"/>
      <c r="AN372" s="43"/>
      <c r="AO372" s="43"/>
      <c r="AP372" s="43"/>
    </row>
    <row r="373" spans="3:42" x14ac:dyDescent="0.2"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  <c r="AB373" s="43"/>
      <c r="AC373" s="43"/>
      <c r="AD373" s="43"/>
      <c r="AE373" s="43"/>
      <c r="AF373" s="43"/>
      <c r="AG373" s="43"/>
      <c r="AH373" s="43"/>
      <c r="AI373" s="43"/>
      <c r="AJ373" s="43"/>
      <c r="AK373" s="43"/>
      <c r="AL373" s="43"/>
      <c r="AM373" s="43"/>
      <c r="AN373" s="43"/>
      <c r="AO373" s="43"/>
      <c r="AP373" s="43"/>
    </row>
    <row r="374" spans="3:42" x14ac:dyDescent="0.2"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  <c r="AB374" s="43"/>
      <c r="AC374" s="43"/>
      <c r="AD374" s="43"/>
      <c r="AE374" s="43"/>
      <c r="AF374" s="43"/>
      <c r="AG374" s="43"/>
      <c r="AH374" s="43"/>
      <c r="AI374" s="43"/>
      <c r="AJ374" s="43"/>
      <c r="AK374" s="43"/>
      <c r="AL374" s="43"/>
      <c r="AM374" s="43"/>
      <c r="AN374" s="43"/>
      <c r="AO374" s="43"/>
      <c r="AP374" s="43"/>
    </row>
    <row r="375" spans="3:42" x14ac:dyDescent="0.2"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  <c r="AB375" s="43"/>
      <c r="AC375" s="43"/>
      <c r="AD375" s="43"/>
      <c r="AE375" s="43"/>
      <c r="AF375" s="43"/>
      <c r="AG375" s="43"/>
      <c r="AH375" s="43"/>
      <c r="AI375" s="43"/>
      <c r="AJ375" s="43"/>
      <c r="AK375" s="43"/>
      <c r="AL375" s="43"/>
      <c r="AM375" s="43"/>
      <c r="AN375" s="43"/>
      <c r="AO375" s="43"/>
      <c r="AP375" s="43"/>
    </row>
    <row r="376" spans="3:42" x14ac:dyDescent="0.2"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  <c r="AB376" s="43"/>
      <c r="AC376" s="43"/>
      <c r="AD376" s="43"/>
      <c r="AE376" s="43"/>
      <c r="AF376" s="43"/>
      <c r="AG376" s="43"/>
      <c r="AH376" s="43"/>
      <c r="AI376" s="43"/>
      <c r="AJ376" s="43"/>
      <c r="AK376" s="43"/>
      <c r="AL376" s="43"/>
    </row>
    <row r="377" spans="3:42" x14ac:dyDescent="0.2"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  <c r="AB377" s="43"/>
      <c r="AC377" s="43"/>
      <c r="AD377" s="43"/>
      <c r="AE377" s="43"/>
      <c r="AF377" s="43"/>
      <c r="AG377" s="43"/>
      <c r="AH377" s="43"/>
      <c r="AI377" s="43"/>
      <c r="AJ377" s="43"/>
      <c r="AK377" s="43"/>
      <c r="AL377" s="43"/>
    </row>
    <row r="378" spans="3:42" x14ac:dyDescent="0.2"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  <c r="AB378" s="43"/>
      <c r="AC378" s="43"/>
      <c r="AD378" s="43"/>
      <c r="AE378" s="43"/>
      <c r="AF378" s="43"/>
      <c r="AG378" s="43"/>
      <c r="AH378" s="43"/>
      <c r="AI378" s="43"/>
      <c r="AJ378" s="43"/>
      <c r="AK378" s="43"/>
      <c r="AL378" s="43"/>
    </row>
    <row r="379" spans="3:42" x14ac:dyDescent="0.2"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  <c r="AB379" s="43"/>
      <c r="AC379" s="43"/>
      <c r="AD379" s="43"/>
      <c r="AE379" s="43"/>
      <c r="AF379" s="43"/>
      <c r="AG379" s="43"/>
      <c r="AH379" s="43"/>
      <c r="AI379" s="43"/>
      <c r="AJ379" s="43"/>
      <c r="AK379" s="43"/>
      <c r="AL379" s="43"/>
    </row>
    <row r="380" spans="3:42" x14ac:dyDescent="0.2"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  <c r="AB380" s="43"/>
      <c r="AC380" s="43"/>
      <c r="AD380" s="43"/>
      <c r="AE380" s="43"/>
      <c r="AF380" s="43"/>
      <c r="AG380" s="43"/>
      <c r="AH380" s="43"/>
      <c r="AI380" s="43"/>
      <c r="AJ380" s="43"/>
      <c r="AK380" s="43"/>
      <c r="AL380" s="43"/>
    </row>
    <row r="381" spans="3:42" x14ac:dyDescent="0.2"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  <c r="AB381" s="43"/>
      <c r="AC381" s="43"/>
      <c r="AD381" s="43"/>
      <c r="AE381" s="43"/>
      <c r="AF381" s="43"/>
      <c r="AG381" s="43"/>
      <c r="AH381" s="43"/>
      <c r="AI381" s="43"/>
      <c r="AJ381" s="43"/>
      <c r="AK381" s="43"/>
      <c r="AL381" s="43"/>
    </row>
    <row r="382" spans="3:42" x14ac:dyDescent="0.2"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  <c r="AB382" s="43"/>
      <c r="AC382" s="43"/>
      <c r="AD382" s="43"/>
      <c r="AE382" s="43"/>
      <c r="AF382" s="43"/>
      <c r="AG382" s="43"/>
      <c r="AH382" s="43"/>
      <c r="AI382" s="43"/>
      <c r="AJ382" s="43"/>
      <c r="AK382" s="43"/>
      <c r="AL382" s="43"/>
    </row>
    <row r="383" spans="3:42" x14ac:dyDescent="0.2"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  <c r="AB383" s="43"/>
      <c r="AC383" s="43"/>
      <c r="AD383" s="43"/>
      <c r="AE383" s="43"/>
      <c r="AF383" s="43"/>
      <c r="AG383" s="43"/>
      <c r="AH383" s="43"/>
      <c r="AI383" s="43"/>
      <c r="AJ383" s="43"/>
      <c r="AK383" s="43"/>
      <c r="AL383" s="43"/>
    </row>
    <row r="384" spans="3:42" x14ac:dyDescent="0.2"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  <c r="AB384" s="43"/>
      <c r="AC384" s="43"/>
      <c r="AD384" s="43"/>
      <c r="AE384" s="43"/>
      <c r="AF384" s="43"/>
      <c r="AG384" s="43"/>
      <c r="AH384" s="43"/>
      <c r="AI384" s="43"/>
      <c r="AJ384" s="43"/>
      <c r="AK384" s="43"/>
      <c r="AL384" s="43"/>
    </row>
    <row r="385" spans="3:38" x14ac:dyDescent="0.2"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  <c r="AB385" s="43"/>
      <c r="AC385" s="43"/>
      <c r="AD385" s="43"/>
      <c r="AE385" s="43"/>
      <c r="AF385" s="43"/>
      <c r="AG385" s="43"/>
      <c r="AH385" s="43"/>
      <c r="AI385" s="43"/>
      <c r="AJ385" s="43"/>
      <c r="AK385" s="43"/>
      <c r="AL385" s="43"/>
    </row>
    <row r="386" spans="3:38" x14ac:dyDescent="0.2"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  <c r="AB386" s="43"/>
      <c r="AC386" s="43"/>
      <c r="AD386" s="43"/>
      <c r="AE386" s="43"/>
      <c r="AF386" s="43"/>
      <c r="AG386" s="43"/>
      <c r="AH386" s="43"/>
      <c r="AI386" s="43"/>
      <c r="AJ386" s="43"/>
      <c r="AK386" s="43"/>
      <c r="AL386" s="43"/>
    </row>
    <row r="387" spans="3:38" x14ac:dyDescent="0.2"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  <c r="AB387" s="43"/>
      <c r="AC387" s="43"/>
      <c r="AD387" s="43"/>
      <c r="AE387" s="43"/>
      <c r="AF387" s="43"/>
      <c r="AG387" s="43"/>
      <c r="AH387" s="43"/>
      <c r="AI387" s="43"/>
      <c r="AJ387" s="43"/>
      <c r="AK387" s="43"/>
      <c r="AL387" s="43"/>
    </row>
    <row r="388" spans="3:38" x14ac:dyDescent="0.2"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  <c r="AB388" s="43"/>
      <c r="AC388" s="43"/>
      <c r="AD388" s="43"/>
      <c r="AE388" s="43"/>
      <c r="AF388" s="43"/>
      <c r="AG388" s="43"/>
      <c r="AH388" s="43"/>
      <c r="AI388" s="43"/>
      <c r="AJ388" s="43"/>
      <c r="AK388" s="43"/>
      <c r="AL388" s="43"/>
    </row>
    <row r="389" spans="3:38" x14ac:dyDescent="0.2"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  <c r="AB389" s="43"/>
      <c r="AC389" s="43"/>
      <c r="AD389" s="43"/>
      <c r="AE389" s="43"/>
      <c r="AF389" s="43"/>
      <c r="AG389" s="43"/>
      <c r="AH389" s="43"/>
      <c r="AI389" s="43"/>
      <c r="AJ389" s="43"/>
      <c r="AK389" s="43"/>
      <c r="AL389" s="43"/>
    </row>
    <row r="390" spans="3:38" x14ac:dyDescent="0.2"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  <c r="AB390" s="43"/>
      <c r="AC390" s="43"/>
      <c r="AD390" s="43"/>
      <c r="AE390" s="43"/>
      <c r="AF390" s="43"/>
      <c r="AG390" s="43"/>
      <c r="AH390" s="43"/>
      <c r="AI390" s="43"/>
      <c r="AJ390" s="43"/>
      <c r="AK390" s="43"/>
      <c r="AL390" s="43"/>
    </row>
    <row r="391" spans="3:38" x14ac:dyDescent="0.2"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  <c r="AB391" s="43"/>
      <c r="AC391" s="43"/>
      <c r="AD391" s="43"/>
      <c r="AE391" s="43"/>
      <c r="AF391" s="43"/>
      <c r="AG391" s="43"/>
      <c r="AH391" s="43"/>
      <c r="AI391" s="43"/>
      <c r="AJ391" s="43"/>
      <c r="AK391" s="43"/>
      <c r="AL391" s="43"/>
    </row>
    <row r="392" spans="3:38" x14ac:dyDescent="0.2"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  <c r="AB392" s="43"/>
      <c r="AC392" s="43"/>
      <c r="AD392" s="43"/>
      <c r="AE392" s="43"/>
      <c r="AF392" s="43"/>
      <c r="AG392" s="43"/>
      <c r="AH392" s="43"/>
      <c r="AI392" s="43"/>
      <c r="AJ392" s="43"/>
      <c r="AK392" s="43"/>
      <c r="AL392" s="43"/>
    </row>
    <row r="393" spans="3:38" x14ac:dyDescent="0.2"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  <c r="AB393" s="43"/>
      <c r="AC393" s="43"/>
      <c r="AD393" s="43"/>
      <c r="AE393" s="43"/>
      <c r="AF393" s="43"/>
      <c r="AG393" s="43"/>
      <c r="AH393" s="43"/>
      <c r="AI393" s="43"/>
      <c r="AJ393" s="43"/>
      <c r="AK393" s="43"/>
      <c r="AL393" s="43"/>
    </row>
    <row r="394" spans="3:38" x14ac:dyDescent="0.2"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  <c r="AB394" s="43"/>
      <c r="AC394" s="43"/>
      <c r="AD394" s="43"/>
      <c r="AE394" s="43"/>
      <c r="AF394" s="43"/>
      <c r="AG394" s="43"/>
      <c r="AH394" s="43"/>
      <c r="AI394" s="43"/>
      <c r="AJ394" s="43"/>
      <c r="AK394" s="43"/>
      <c r="AL394" s="43"/>
    </row>
    <row r="395" spans="3:38" x14ac:dyDescent="0.2"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  <c r="AB395" s="43"/>
      <c r="AC395" s="43"/>
      <c r="AD395" s="43"/>
      <c r="AE395" s="43"/>
      <c r="AF395" s="43"/>
      <c r="AG395" s="43"/>
      <c r="AH395" s="43"/>
      <c r="AI395" s="43"/>
      <c r="AJ395" s="43"/>
      <c r="AK395" s="43"/>
      <c r="AL395" s="43"/>
    </row>
    <row r="396" spans="3:38" x14ac:dyDescent="0.2"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  <c r="AB396" s="43"/>
      <c r="AC396" s="43"/>
      <c r="AD396" s="43"/>
      <c r="AE396" s="43"/>
      <c r="AF396" s="43"/>
      <c r="AG396" s="43"/>
      <c r="AH396" s="43"/>
      <c r="AI396" s="43"/>
      <c r="AJ396" s="43"/>
      <c r="AK396" s="43"/>
      <c r="AL396" s="43"/>
    </row>
    <row r="397" spans="3:38" x14ac:dyDescent="0.2"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  <c r="AB397" s="43"/>
      <c r="AC397" s="43"/>
      <c r="AD397" s="43"/>
      <c r="AE397" s="43"/>
      <c r="AF397" s="43"/>
      <c r="AG397" s="43"/>
      <c r="AH397" s="43"/>
      <c r="AI397" s="43"/>
      <c r="AJ397" s="43"/>
      <c r="AK397" s="43"/>
      <c r="AL397" s="43"/>
    </row>
    <row r="398" spans="3:38" x14ac:dyDescent="0.2"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  <c r="AB398" s="43"/>
      <c r="AC398" s="43"/>
      <c r="AD398" s="43"/>
      <c r="AE398" s="43"/>
      <c r="AF398" s="43"/>
      <c r="AG398" s="43"/>
      <c r="AH398" s="43"/>
      <c r="AI398" s="43"/>
      <c r="AJ398" s="43"/>
      <c r="AK398" s="43"/>
      <c r="AL398" s="43"/>
    </row>
    <row r="399" spans="3:38" x14ac:dyDescent="0.2"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  <c r="AB399" s="43"/>
      <c r="AC399" s="43"/>
      <c r="AD399" s="43"/>
      <c r="AE399" s="43"/>
      <c r="AF399" s="43"/>
      <c r="AG399" s="43"/>
      <c r="AH399" s="43"/>
      <c r="AI399" s="43"/>
      <c r="AJ399" s="43"/>
      <c r="AK399" s="43"/>
      <c r="AL399" s="43"/>
    </row>
    <row r="400" spans="3:38" x14ac:dyDescent="0.2"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  <c r="AB400" s="43"/>
      <c r="AC400" s="43"/>
      <c r="AD400" s="43"/>
      <c r="AE400" s="43"/>
      <c r="AF400" s="43"/>
      <c r="AG400" s="43"/>
      <c r="AH400" s="43"/>
      <c r="AI400" s="43"/>
      <c r="AJ400" s="43"/>
      <c r="AK400" s="43"/>
      <c r="AL400" s="43"/>
    </row>
    <row r="401" spans="3:38" x14ac:dyDescent="0.2"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  <c r="AB401" s="43"/>
      <c r="AC401" s="43"/>
      <c r="AD401" s="43"/>
      <c r="AE401" s="43"/>
      <c r="AF401" s="43"/>
      <c r="AG401" s="43"/>
      <c r="AH401" s="43"/>
      <c r="AI401" s="43"/>
      <c r="AJ401" s="43"/>
      <c r="AK401" s="43"/>
      <c r="AL401" s="43"/>
    </row>
    <row r="402" spans="3:38" x14ac:dyDescent="0.2"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  <c r="AB402" s="43"/>
      <c r="AC402" s="43"/>
      <c r="AD402" s="43"/>
      <c r="AE402" s="43"/>
      <c r="AF402" s="43"/>
      <c r="AG402" s="43"/>
      <c r="AH402" s="43"/>
      <c r="AI402" s="43"/>
      <c r="AJ402" s="43"/>
      <c r="AK402" s="43"/>
      <c r="AL402" s="43"/>
    </row>
    <row r="403" spans="3:38" x14ac:dyDescent="0.2"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  <c r="AB403" s="43"/>
      <c r="AC403" s="43"/>
      <c r="AD403" s="43"/>
      <c r="AE403" s="43"/>
      <c r="AF403" s="43"/>
      <c r="AG403" s="43"/>
      <c r="AH403" s="43"/>
      <c r="AI403" s="43"/>
      <c r="AJ403" s="43"/>
      <c r="AK403" s="43"/>
      <c r="AL403" s="43"/>
    </row>
    <row r="404" spans="3:38" x14ac:dyDescent="0.2"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  <c r="AB404" s="43"/>
      <c r="AC404" s="43"/>
      <c r="AD404" s="43"/>
      <c r="AE404" s="43"/>
      <c r="AF404" s="43"/>
      <c r="AG404" s="43"/>
      <c r="AH404" s="43"/>
      <c r="AI404" s="43"/>
      <c r="AJ404" s="43"/>
      <c r="AK404" s="43"/>
      <c r="AL404" s="43"/>
    </row>
    <row r="405" spans="3:38" x14ac:dyDescent="0.2"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  <c r="AB405" s="43"/>
      <c r="AC405" s="43"/>
      <c r="AD405" s="43"/>
      <c r="AE405" s="43"/>
      <c r="AF405" s="43"/>
      <c r="AG405" s="43"/>
      <c r="AH405" s="43"/>
      <c r="AI405" s="43"/>
      <c r="AJ405" s="43"/>
      <c r="AK405" s="43"/>
      <c r="AL405" s="43"/>
    </row>
    <row r="406" spans="3:38" x14ac:dyDescent="0.2"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  <c r="AA406" s="43"/>
      <c r="AB406" s="43"/>
      <c r="AC406" s="43"/>
      <c r="AD406" s="43"/>
      <c r="AE406" s="43"/>
      <c r="AF406" s="43"/>
      <c r="AG406" s="43"/>
      <c r="AH406" s="43"/>
      <c r="AI406" s="43"/>
      <c r="AJ406" s="43"/>
      <c r="AK406" s="43"/>
      <c r="AL406" s="43"/>
    </row>
    <row r="407" spans="3:38" x14ac:dyDescent="0.2"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  <c r="AB407" s="43"/>
      <c r="AC407" s="43"/>
      <c r="AD407" s="43"/>
      <c r="AE407" s="43"/>
      <c r="AF407" s="43"/>
      <c r="AG407" s="43"/>
      <c r="AH407" s="43"/>
      <c r="AI407" s="43"/>
      <c r="AJ407" s="43"/>
      <c r="AK407" s="43"/>
      <c r="AL407" s="43"/>
    </row>
    <row r="408" spans="3:38" x14ac:dyDescent="0.2"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  <c r="AA408" s="43"/>
      <c r="AB408" s="43"/>
      <c r="AC408" s="43"/>
      <c r="AD408" s="43"/>
      <c r="AE408" s="43"/>
      <c r="AF408" s="43"/>
      <c r="AG408" s="43"/>
      <c r="AH408" s="43"/>
      <c r="AI408" s="43"/>
      <c r="AJ408" s="43"/>
      <c r="AK408" s="43"/>
      <c r="AL408" s="43"/>
    </row>
    <row r="409" spans="3:38" x14ac:dyDescent="0.2"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  <c r="AB409" s="43"/>
      <c r="AC409" s="43"/>
      <c r="AD409" s="43"/>
      <c r="AE409" s="43"/>
      <c r="AF409" s="43"/>
      <c r="AG409" s="43"/>
      <c r="AH409" s="43"/>
      <c r="AI409" s="43"/>
      <c r="AJ409" s="43"/>
      <c r="AK409" s="43"/>
      <c r="AL409" s="43"/>
    </row>
    <row r="410" spans="3:38" x14ac:dyDescent="0.2"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43"/>
      <c r="AB410" s="43"/>
      <c r="AC410" s="43"/>
      <c r="AD410" s="43"/>
      <c r="AE410" s="43"/>
      <c r="AF410" s="43"/>
      <c r="AG410" s="43"/>
      <c r="AH410" s="43"/>
      <c r="AI410" s="43"/>
      <c r="AJ410" s="43"/>
      <c r="AK410" s="43"/>
      <c r="AL410" s="43"/>
    </row>
    <row r="411" spans="3:38" x14ac:dyDescent="0.2"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43"/>
    </row>
    <row r="412" spans="3:38" x14ac:dyDescent="0.2"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43"/>
    </row>
    <row r="413" spans="3:38" x14ac:dyDescent="0.2"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/>
      <c r="AK413" s="43"/>
      <c r="AL413" s="43"/>
    </row>
    <row r="414" spans="3:38" x14ac:dyDescent="0.2"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  <c r="AA414" s="43"/>
      <c r="AB414" s="43"/>
      <c r="AC414" s="43"/>
      <c r="AD414" s="43"/>
      <c r="AE414" s="43"/>
      <c r="AF414" s="43"/>
      <c r="AG414" s="43"/>
      <c r="AH414" s="43"/>
      <c r="AI414" s="43"/>
      <c r="AJ414" s="43"/>
      <c r="AK414" s="43"/>
      <c r="AL414" s="43"/>
    </row>
    <row r="415" spans="3:38" x14ac:dyDescent="0.2"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  <c r="AB415" s="43"/>
      <c r="AC415" s="43"/>
      <c r="AD415" s="43"/>
      <c r="AE415" s="43"/>
      <c r="AF415" s="43"/>
      <c r="AG415" s="43"/>
      <c r="AH415" s="43"/>
      <c r="AI415" s="43"/>
      <c r="AJ415" s="43"/>
      <c r="AK415" s="43"/>
      <c r="AL415" s="43"/>
    </row>
    <row r="416" spans="3:38" x14ac:dyDescent="0.2"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  <c r="AB416" s="43"/>
      <c r="AC416" s="43"/>
      <c r="AD416" s="43"/>
      <c r="AE416" s="43"/>
      <c r="AF416" s="43"/>
      <c r="AG416" s="43"/>
      <c r="AH416" s="43"/>
      <c r="AI416" s="43"/>
      <c r="AJ416" s="43"/>
      <c r="AK416" s="43"/>
      <c r="AL416" s="43"/>
    </row>
    <row r="417" spans="3:38" x14ac:dyDescent="0.2"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  <c r="AA417" s="43"/>
      <c r="AB417" s="43"/>
      <c r="AC417" s="43"/>
      <c r="AD417" s="43"/>
      <c r="AE417" s="43"/>
      <c r="AF417" s="43"/>
      <c r="AG417" s="43"/>
      <c r="AH417" s="43"/>
      <c r="AI417" s="43"/>
      <c r="AJ417" s="43"/>
      <c r="AK417" s="43"/>
      <c r="AL417" s="43"/>
    </row>
    <row r="418" spans="3:38" x14ac:dyDescent="0.2"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43"/>
      <c r="AB418" s="43"/>
      <c r="AC418" s="43"/>
      <c r="AD418" s="43"/>
      <c r="AE418" s="43"/>
      <c r="AF418" s="43"/>
      <c r="AG418" s="43"/>
      <c r="AH418" s="43"/>
      <c r="AI418" s="43"/>
      <c r="AJ418" s="43"/>
      <c r="AK418" s="43"/>
      <c r="AL418" s="43"/>
    </row>
    <row r="419" spans="3:38" x14ac:dyDescent="0.2"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  <c r="AB419" s="43"/>
      <c r="AC419" s="43"/>
      <c r="AD419" s="43"/>
      <c r="AE419" s="43"/>
      <c r="AF419" s="43"/>
      <c r="AG419" s="43"/>
      <c r="AH419" s="43"/>
      <c r="AI419" s="43"/>
      <c r="AJ419" s="43"/>
      <c r="AK419" s="43"/>
      <c r="AL419" s="43"/>
    </row>
    <row r="420" spans="3:38" x14ac:dyDescent="0.2"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  <c r="AB420" s="43"/>
      <c r="AC420" s="43"/>
      <c r="AD420" s="43"/>
      <c r="AE420" s="43"/>
      <c r="AF420" s="43"/>
      <c r="AG420" s="43"/>
      <c r="AH420" s="43"/>
      <c r="AI420" s="43"/>
      <c r="AJ420" s="43"/>
      <c r="AK420" s="43"/>
      <c r="AL420" s="43"/>
    </row>
    <row r="421" spans="3:38" x14ac:dyDescent="0.2"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  <c r="AB421" s="43"/>
      <c r="AC421" s="43"/>
      <c r="AD421" s="43"/>
      <c r="AE421" s="43"/>
      <c r="AF421" s="43"/>
      <c r="AG421" s="43"/>
      <c r="AH421" s="43"/>
      <c r="AI421" s="43"/>
      <c r="AJ421" s="43"/>
      <c r="AK421" s="43"/>
      <c r="AL421" s="43"/>
    </row>
    <row r="422" spans="3:38" x14ac:dyDescent="0.2"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  <c r="AB422" s="43"/>
      <c r="AC422" s="43"/>
      <c r="AD422" s="43"/>
      <c r="AE422" s="43"/>
      <c r="AF422" s="43"/>
      <c r="AG422" s="43"/>
      <c r="AH422" s="43"/>
      <c r="AI422" s="43"/>
      <c r="AJ422" s="43"/>
      <c r="AK422" s="43"/>
      <c r="AL422" s="43"/>
    </row>
    <row r="423" spans="3:38" x14ac:dyDescent="0.2"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  <c r="AB423" s="43"/>
      <c r="AC423" s="43"/>
      <c r="AD423" s="43"/>
      <c r="AE423" s="43"/>
      <c r="AF423" s="43"/>
      <c r="AG423" s="43"/>
      <c r="AH423" s="43"/>
      <c r="AI423" s="43"/>
      <c r="AJ423" s="43"/>
      <c r="AK423" s="43"/>
      <c r="AL423" s="43"/>
    </row>
    <row r="424" spans="3:38" x14ac:dyDescent="0.2"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  <c r="AB424" s="43"/>
      <c r="AC424" s="43"/>
      <c r="AD424" s="43"/>
      <c r="AE424" s="43"/>
      <c r="AF424" s="43"/>
      <c r="AG424" s="43"/>
      <c r="AH424" s="43"/>
      <c r="AI424" s="43"/>
      <c r="AJ424" s="43"/>
      <c r="AK424" s="43"/>
      <c r="AL424" s="43"/>
    </row>
    <row r="425" spans="3:38" x14ac:dyDescent="0.2"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  <c r="AB425" s="43"/>
      <c r="AC425" s="43"/>
      <c r="AD425" s="43"/>
      <c r="AE425" s="43"/>
      <c r="AF425" s="43"/>
      <c r="AG425" s="43"/>
      <c r="AH425" s="43"/>
      <c r="AI425" s="43"/>
      <c r="AJ425" s="43"/>
      <c r="AK425" s="43"/>
      <c r="AL425" s="43"/>
    </row>
    <row r="426" spans="3:38" x14ac:dyDescent="0.2"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  <c r="AB426" s="43"/>
      <c r="AC426" s="43"/>
      <c r="AD426" s="43"/>
      <c r="AE426" s="43"/>
      <c r="AF426" s="43"/>
      <c r="AG426" s="43"/>
      <c r="AH426" s="43"/>
      <c r="AI426" s="43"/>
      <c r="AJ426" s="43"/>
      <c r="AK426" s="43"/>
      <c r="AL426" s="43"/>
    </row>
    <row r="427" spans="3:38" x14ac:dyDescent="0.2"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  <c r="AB427" s="43"/>
      <c r="AC427" s="43"/>
      <c r="AD427" s="43"/>
      <c r="AE427" s="43"/>
      <c r="AF427" s="43"/>
      <c r="AG427" s="43"/>
      <c r="AH427" s="43"/>
      <c r="AI427" s="43"/>
      <c r="AJ427" s="43"/>
      <c r="AK427" s="43"/>
      <c r="AL427" s="43"/>
    </row>
    <row r="428" spans="3:38" x14ac:dyDescent="0.2"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  <c r="AA428" s="43"/>
      <c r="AB428" s="43"/>
      <c r="AC428" s="43"/>
      <c r="AD428" s="43"/>
      <c r="AE428" s="43"/>
      <c r="AF428" s="43"/>
      <c r="AG428" s="43"/>
      <c r="AH428" s="43"/>
      <c r="AI428" s="43"/>
      <c r="AJ428" s="43"/>
      <c r="AK428" s="43"/>
      <c r="AL428" s="43"/>
    </row>
    <row r="429" spans="3:38" x14ac:dyDescent="0.2"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  <c r="AB429" s="43"/>
      <c r="AC429" s="43"/>
      <c r="AD429" s="43"/>
      <c r="AE429" s="43"/>
      <c r="AF429" s="43"/>
      <c r="AG429" s="43"/>
      <c r="AH429" s="43"/>
      <c r="AI429" s="43"/>
      <c r="AJ429" s="43"/>
      <c r="AK429" s="43"/>
      <c r="AL429" s="43"/>
    </row>
    <row r="430" spans="3:38" x14ac:dyDescent="0.2"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  <c r="AB430" s="43"/>
      <c r="AC430" s="43"/>
      <c r="AD430" s="43"/>
      <c r="AE430" s="43"/>
      <c r="AF430" s="43"/>
      <c r="AG430" s="43"/>
      <c r="AH430" s="43"/>
      <c r="AI430" s="43"/>
      <c r="AJ430" s="43"/>
      <c r="AK430" s="43"/>
      <c r="AL430" s="43"/>
    </row>
    <row r="431" spans="3:38" x14ac:dyDescent="0.2"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  <c r="AB431" s="43"/>
      <c r="AC431" s="43"/>
      <c r="AD431" s="43"/>
      <c r="AE431" s="43"/>
      <c r="AF431" s="43"/>
      <c r="AG431" s="43"/>
      <c r="AH431" s="43"/>
      <c r="AI431" s="43"/>
      <c r="AJ431" s="43"/>
      <c r="AK431" s="43"/>
      <c r="AL431" s="43"/>
    </row>
    <row r="432" spans="3:38" x14ac:dyDescent="0.2"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  <c r="AA432" s="43"/>
      <c r="AB432" s="43"/>
      <c r="AC432" s="43"/>
      <c r="AD432" s="43"/>
      <c r="AE432" s="43"/>
      <c r="AF432" s="43"/>
      <c r="AG432" s="43"/>
      <c r="AH432" s="43"/>
      <c r="AI432" s="43"/>
      <c r="AJ432" s="43"/>
      <c r="AK432" s="43"/>
      <c r="AL432" s="43"/>
    </row>
    <row r="433" spans="3:38" x14ac:dyDescent="0.2"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  <c r="AA433" s="43"/>
      <c r="AB433" s="43"/>
      <c r="AC433" s="43"/>
      <c r="AD433" s="43"/>
      <c r="AE433" s="43"/>
      <c r="AF433" s="43"/>
      <c r="AG433" s="43"/>
      <c r="AH433" s="43"/>
      <c r="AI433" s="43"/>
      <c r="AJ433" s="43"/>
      <c r="AK433" s="43"/>
      <c r="AL433" s="43"/>
    </row>
    <row r="434" spans="3:38" x14ac:dyDescent="0.2"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  <c r="AB434" s="43"/>
      <c r="AC434" s="43"/>
      <c r="AD434" s="43"/>
      <c r="AE434" s="43"/>
      <c r="AF434" s="43"/>
      <c r="AG434" s="43"/>
      <c r="AH434" s="43"/>
      <c r="AI434" s="43"/>
      <c r="AJ434" s="43"/>
      <c r="AK434" s="43"/>
      <c r="AL434" s="43"/>
    </row>
    <row r="435" spans="3:38" x14ac:dyDescent="0.2"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  <c r="AB435" s="43"/>
      <c r="AC435" s="43"/>
      <c r="AD435" s="43"/>
      <c r="AE435" s="43"/>
      <c r="AF435" s="43"/>
      <c r="AG435" s="43"/>
      <c r="AH435" s="43"/>
      <c r="AI435" s="43"/>
      <c r="AJ435" s="43"/>
      <c r="AK435" s="43"/>
      <c r="AL435" s="43"/>
    </row>
    <row r="436" spans="3:38" x14ac:dyDescent="0.2"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  <c r="AA436" s="43"/>
      <c r="AB436" s="43"/>
      <c r="AC436" s="43"/>
      <c r="AD436" s="43"/>
      <c r="AE436" s="43"/>
      <c r="AF436" s="43"/>
      <c r="AG436" s="43"/>
      <c r="AH436" s="43"/>
      <c r="AI436" s="43"/>
      <c r="AJ436" s="43"/>
      <c r="AK436" s="43"/>
      <c r="AL436" s="43"/>
    </row>
    <row r="437" spans="3:38" x14ac:dyDescent="0.2"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  <c r="AB437" s="43"/>
      <c r="AC437" s="43"/>
      <c r="AD437" s="43"/>
      <c r="AE437" s="43"/>
      <c r="AF437" s="43"/>
      <c r="AG437" s="43"/>
      <c r="AH437" s="43"/>
      <c r="AI437" s="43"/>
      <c r="AJ437" s="43"/>
      <c r="AK437" s="43"/>
      <c r="AL437" s="43"/>
    </row>
    <row r="438" spans="3:38" x14ac:dyDescent="0.2"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  <c r="AB438" s="43"/>
      <c r="AC438" s="43"/>
      <c r="AD438" s="43"/>
      <c r="AE438" s="43"/>
      <c r="AF438" s="43"/>
      <c r="AG438" s="43"/>
      <c r="AH438" s="43"/>
      <c r="AI438" s="43"/>
      <c r="AJ438" s="43"/>
      <c r="AK438" s="43"/>
      <c r="AL438" s="43"/>
    </row>
    <row r="439" spans="3:38" x14ac:dyDescent="0.2"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  <c r="AA439" s="43"/>
      <c r="AB439" s="43"/>
      <c r="AC439" s="43"/>
      <c r="AD439" s="43"/>
      <c r="AE439" s="43"/>
      <c r="AF439" s="43"/>
      <c r="AG439" s="43"/>
      <c r="AH439" s="43"/>
      <c r="AI439" s="43"/>
      <c r="AJ439" s="43"/>
      <c r="AK439" s="43"/>
      <c r="AL439" s="43"/>
    </row>
    <row r="440" spans="3:38" x14ac:dyDescent="0.2"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  <c r="AA440" s="43"/>
      <c r="AB440" s="43"/>
      <c r="AC440" s="43"/>
      <c r="AD440" s="43"/>
      <c r="AE440" s="43"/>
      <c r="AF440" s="43"/>
      <c r="AG440" s="43"/>
      <c r="AH440" s="43"/>
      <c r="AI440" s="43"/>
      <c r="AJ440" s="43"/>
      <c r="AK440" s="43"/>
      <c r="AL440" s="43"/>
    </row>
    <row r="441" spans="3:38" x14ac:dyDescent="0.2"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  <c r="AA441" s="43"/>
      <c r="AB441" s="43"/>
      <c r="AC441" s="43"/>
      <c r="AD441" s="43"/>
      <c r="AE441" s="43"/>
      <c r="AF441" s="43"/>
      <c r="AG441" s="43"/>
      <c r="AH441" s="43"/>
      <c r="AI441" s="43"/>
      <c r="AJ441" s="43"/>
      <c r="AK441" s="43"/>
      <c r="AL441" s="43"/>
    </row>
    <row r="442" spans="3:38" x14ac:dyDescent="0.2"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  <c r="AA442" s="43"/>
      <c r="AB442" s="43"/>
      <c r="AC442" s="43"/>
      <c r="AD442" s="43"/>
      <c r="AE442" s="43"/>
      <c r="AF442" s="43"/>
      <c r="AG442" s="43"/>
      <c r="AH442" s="43"/>
      <c r="AI442" s="43"/>
      <c r="AJ442" s="43"/>
      <c r="AK442" s="43"/>
      <c r="AL442" s="43"/>
    </row>
    <row r="443" spans="3:38" x14ac:dyDescent="0.2"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  <c r="AA443" s="43"/>
      <c r="AB443" s="43"/>
      <c r="AC443" s="43"/>
      <c r="AD443" s="43"/>
      <c r="AE443" s="43"/>
      <c r="AF443" s="43"/>
      <c r="AG443" s="43"/>
      <c r="AH443" s="43"/>
      <c r="AI443" s="43"/>
      <c r="AJ443" s="43"/>
      <c r="AK443" s="43"/>
      <c r="AL443" s="43"/>
    </row>
    <row r="444" spans="3:38" x14ac:dyDescent="0.2"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  <c r="AA444" s="43"/>
      <c r="AB444" s="43"/>
      <c r="AC444" s="43"/>
      <c r="AD444" s="43"/>
      <c r="AE444" s="43"/>
      <c r="AF444" s="43"/>
      <c r="AG444" s="43"/>
      <c r="AH444" s="43"/>
      <c r="AI444" s="43"/>
      <c r="AJ444" s="43"/>
      <c r="AK444" s="43"/>
      <c r="AL444" s="43"/>
    </row>
    <row r="445" spans="3:38" x14ac:dyDescent="0.2"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  <c r="AA445" s="43"/>
      <c r="AB445" s="43"/>
      <c r="AC445" s="43"/>
      <c r="AD445" s="43"/>
      <c r="AE445" s="43"/>
      <c r="AF445" s="43"/>
      <c r="AG445" s="43"/>
      <c r="AH445" s="43"/>
      <c r="AI445" s="43"/>
      <c r="AJ445" s="43"/>
      <c r="AK445" s="43"/>
      <c r="AL445" s="43"/>
    </row>
    <row r="446" spans="3:38" x14ac:dyDescent="0.2"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  <c r="AA446" s="43"/>
      <c r="AB446" s="43"/>
      <c r="AC446" s="43"/>
      <c r="AD446" s="43"/>
      <c r="AE446" s="43"/>
      <c r="AF446" s="43"/>
      <c r="AG446" s="43"/>
      <c r="AH446" s="43"/>
      <c r="AI446" s="43"/>
      <c r="AJ446" s="43"/>
      <c r="AK446" s="43"/>
      <c r="AL446" s="43"/>
    </row>
    <row r="447" spans="3:38" x14ac:dyDescent="0.2"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  <c r="AA447" s="43"/>
      <c r="AB447" s="43"/>
      <c r="AC447" s="43"/>
      <c r="AD447" s="43"/>
      <c r="AE447" s="43"/>
      <c r="AF447" s="43"/>
      <c r="AG447" s="43"/>
      <c r="AH447" s="43"/>
      <c r="AI447" s="43"/>
      <c r="AJ447" s="43"/>
      <c r="AK447" s="43"/>
      <c r="AL447" s="43"/>
    </row>
    <row r="448" spans="3:38" x14ac:dyDescent="0.2"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  <c r="AA448" s="43"/>
      <c r="AB448" s="43"/>
      <c r="AC448" s="43"/>
      <c r="AD448" s="43"/>
      <c r="AE448" s="43"/>
      <c r="AF448" s="43"/>
      <c r="AG448" s="43"/>
      <c r="AH448" s="43"/>
      <c r="AI448" s="43"/>
      <c r="AJ448" s="43"/>
      <c r="AK448" s="43"/>
      <c r="AL448" s="43"/>
    </row>
    <row r="449" spans="3:38" x14ac:dyDescent="0.2"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  <c r="AA449" s="43"/>
      <c r="AB449" s="43"/>
      <c r="AC449" s="43"/>
      <c r="AD449" s="43"/>
      <c r="AE449" s="43"/>
      <c r="AF449" s="43"/>
      <c r="AG449" s="43"/>
      <c r="AH449" s="43"/>
      <c r="AI449" s="43"/>
      <c r="AJ449" s="43"/>
      <c r="AK449" s="43"/>
      <c r="AL449" s="43"/>
    </row>
    <row r="450" spans="3:38" x14ac:dyDescent="0.2"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  <c r="AA450" s="43"/>
      <c r="AB450" s="43"/>
      <c r="AC450" s="43"/>
      <c r="AD450" s="43"/>
      <c r="AE450" s="43"/>
      <c r="AF450" s="43"/>
      <c r="AG450" s="43"/>
      <c r="AH450" s="43"/>
      <c r="AI450" s="43"/>
      <c r="AJ450" s="43"/>
      <c r="AK450" s="43"/>
      <c r="AL450" s="43"/>
    </row>
    <row r="451" spans="3:38" x14ac:dyDescent="0.2"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  <c r="AA451" s="43"/>
      <c r="AB451" s="43"/>
      <c r="AC451" s="43"/>
      <c r="AD451" s="43"/>
      <c r="AE451" s="43"/>
      <c r="AF451" s="43"/>
      <c r="AG451" s="43"/>
      <c r="AH451" s="43"/>
      <c r="AI451" s="43"/>
      <c r="AJ451" s="43"/>
      <c r="AK451" s="43"/>
      <c r="AL451" s="43"/>
    </row>
    <row r="452" spans="3:38" x14ac:dyDescent="0.2"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  <c r="AA452" s="43"/>
      <c r="AB452" s="43"/>
      <c r="AC452" s="43"/>
      <c r="AD452" s="43"/>
      <c r="AE452" s="43"/>
      <c r="AF452" s="43"/>
      <c r="AG452" s="43"/>
      <c r="AH452" s="43"/>
      <c r="AI452" s="43"/>
      <c r="AJ452" s="43"/>
      <c r="AK452" s="43"/>
      <c r="AL452" s="43"/>
    </row>
    <row r="453" spans="3:38" x14ac:dyDescent="0.2"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  <c r="AA453" s="43"/>
      <c r="AB453" s="43"/>
      <c r="AC453" s="43"/>
      <c r="AD453" s="43"/>
      <c r="AE453" s="43"/>
      <c r="AF453" s="43"/>
      <c r="AG453" s="43"/>
      <c r="AH453" s="43"/>
      <c r="AI453" s="43"/>
      <c r="AJ453" s="43"/>
      <c r="AK453" s="43"/>
      <c r="AL453" s="43"/>
    </row>
    <row r="454" spans="3:38" x14ac:dyDescent="0.2"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  <c r="AA454" s="43"/>
      <c r="AB454" s="43"/>
      <c r="AC454" s="43"/>
      <c r="AD454" s="43"/>
      <c r="AE454" s="43"/>
      <c r="AF454" s="43"/>
      <c r="AG454" s="43"/>
      <c r="AH454" s="43"/>
      <c r="AI454" s="43"/>
      <c r="AJ454" s="43"/>
      <c r="AK454" s="43"/>
      <c r="AL454" s="43"/>
    </row>
    <row r="455" spans="3:38" x14ac:dyDescent="0.2"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  <c r="AA455" s="43"/>
      <c r="AB455" s="43"/>
      <c r="AC455" s="43"/>
      <c r="AD455" s="43"/>
      <c r="AE455" s="43"/>
      <c r="AF455" s="43"/>
      <c r="AG455" s="43"/>
      <c r="AH455" s="43"/>
      <c r="AI455" s="43"/>
      <c r="AJ455" s="43"/>
      <c r="AK455" s="43"/>
      <c r="AL455" s="43"/>
    </row>
    <row r="456" spans="3:38" x14ac:dyDescent="0.2"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  <c r="AA456" s="43"/>
      <c r="AB456" s="43"/>
      <c r="AC456" s="43"/>
      <c r="AD456" s="43"/>
      <c r="AE456" s="43"/>
      <c r="AF456" s="43"/>
      <c r="AG456" s="43"/>
      <c r="AH456" s="43"/>
      <c r="AI456" s="43"/>
      <c r="AJ456" s="43"/>
      <c r="AK456" s="43"/>
      <c r="AL456" s="43"/>
    </row>
    <row r="457" spans="3:38" x14ac:dyDescent="0.2"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  <c r="AA457" s="43"/>
      <c r="AB457" s="43"/>
      <c r="AC457" s="43"/>
      <c r="AD457" s="43"/>
      <c r="AE457" s="43"/>
      <c r="AF457" s="43"/>
      <c r="AG457" s="43"/>
      <c r="AH457" s="43"/>
      <c r="AI457" s="43"/>
      <c r="AJ457" s="43"/>
      <c r="AK457" s="43"/>
      <c r="AL457" s="43"/>
    </row>
    <row r="458" spans="3:38" x14ac:dyDescent="0.2"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  <c r="AA458" s="43"/>
      <c r="AB458" s="43"/>
      <c r="AC458" s="43"/>
      <c r="AD458" s="43"/>
      <c r="AE458" s="43"/>
      <c r="AF458" s="43"/>
      <c r="AG458" s="43"/>
      <c r="AH458" s="43"/>
      <c r="AI458" s="43"/>
      <c r="AJ458" s="43"/>
      <c r="AK458" s="43"/>
      <c r="AL458" s="43"/>
    </row>
    <row r="459" spans="3:38" x14ac:dyDescent="0.2"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  <c r="AA459" s="43"/>
      <c r="AB459" s="43"/>
      <c r="AC459" s="43"/>
      <c r="AD459" s="43"/>
      <c r="AE459" s="43"/>
      <c r="AF459" s="43"/>
      <c r="AG459" s="43"/>
      <c r="AH459" s="43"/>
      <c r="AI459" s="43"/>
      <c r="AJ459" s="43"/>
      <c r="AK459" s="43"/>
      <c r="AL459" s="43"/>
    </row>
    <row r="460" spans="3:38" x14ac:dyDescent="0.2"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  <c r="AA460" s="43"/>
      <c r="AB460" s="43"/>
      <c r="AC460" s="43"/>
      <c r="AD460" s="43"/>
      <c r="AE460" s="43"/>
      <c r="AF460" s="43"/>
      <c r="AG460" s="43"/>
      <c r="AH460" s="43"/>
      <c r="AI460" s="43"/>
      <c r="AJ460" s="43"/>
      <c r="AK460" s="43"/>
      <c r="AL460" s="43"/>
    </row>
    <row r="461" spans="3:38" x14ac:dyDescent="0.2"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  <c r="AA461" s="43"/>
      <c r="AB461" s="43"/>
      <c r="AC461" s="43"/>
      <c r="AD461" s="43"/>
      <c r="AE461" s="43"/>
      <c r="AF461" s="43"/>
      <c r="AG461" s="43"/>
      <c r="AH461" s="43"/>
      <c r="AI461" s="43"/>
      <c r="AJ461" s="43"/>
      <c r="AK461" s="43"/>
      <c r="AL461" s="43"/>
    </row>
    <row r="462" spans="3:38" x14ac:dyDescent="0.2"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  <c r="AA462" s="43"/>
      <c r="AB462" s="43"/>
      <c r="AC462" s="43"/>
      <c r="AD462" s="43"/>
      <c r="AE462" s="43"/>
      <c r="AF462" s="43"/>
      <c r="AG462" s="43"/>
      <c r="AH462" s="43"/>
      <c r="AI462" s="43"/>
      <c r="AJ462" s="43"/>
      <c r="AK462" s="43"/>
      <c r="AL462" s="43"/>
    </row>
    <row r="463" spans="3:38" x14ac:dyDescent="0.2"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  <c r="AA463" s="43"/>
      <c r="AB463" s="43"/>
      <c r="AC463" s="43"/>
      <c r="AD463" s="43"/>
      <c r="AE463" s="43"/>
      <c r="AF463" s="43"/>
      <c r="AG463" s="43"/>
      <c r="AH463" s="43"/>
      <c r="AI463" s="43"/>
      <c r="AJ463" s="43"/>
      <c r="AK463" s="43"/>
      <c r="AL463" s="43"/>
    </row>
    <row r="464" spans="3:38" x14ac:dyDescent="0.2"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  <c r="AA464" s="43"/>
      <c r="AB464" s="43"/>
      <c r="AC464" s="43"/>
      <c r="AD464" s="43"/>
      <c r="AE464" s="43"/>
      <c r="AF464" s="43"/>
      <c r="AG464" s="43"/>
      <c r="AH464" s="43"/>
      <c r="AI464" s="43"/>
      <c r="AJ464" s="43"/>
      <c r="AK464" s="43"/>
      <c r="AL464" s="43"/>
    </row>
    <row r="465" spans="3:38" x14ac:dyDescent="0.2"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  <c r="AA465" s="43"/>
      <c r="AB465" s="43"/>
      <c r="AC465" s="43"/>
      <c r="AD465" s="43"/>
      <c r="AE465" s="43"/>
      <c r="AF465" s="43"/>
      <c r="AG465" s="43"/>
      <c r="AH465" s="43"/>
      <c r="AI465" s="43"/>
      <c r="AJ465" s="43"/>
      <c r="AK465" s="43"/>
      <c r="AL465" s="43"/>
    </row>
    <row r="466" spans="3:38" x14ac:dyDescent="0.2"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  <c r="AA466" s="43"/>
      <c r="AB466" s="43"/>
      <c r="AC466" s="43"/>
      <c r="AD466" s="43"/>
      <c r="AE466" s="43"/>
      <c r="AF466" s="43"/>
      <c r="AG466" s="43"/>
      <c r="AH466" s="43"/>
      <c r="AI466" s="43"/>
      <c r="AJ466" s="43"/>
      <c r="AK466" s="43"/>
      <c r="AL466" s="43"/>
    </row>
    <row r="467" spans="3:38" x14ac:dyDescent="0.2"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  <c r="AA467" s="43"/>
      <c r="AB467" s="43"/>
      <c r="AC467" s="43"/>
      <c r="AD467" s="43"/>
      <c r="AE467" s="43"/>
      <c r="AF467" s="43"/>
      <c r="AG467" s="43"/>
      <c r="AH467" s="43"/>
      <c r="AI467" s="43"/>
      <c r="AJ467" s="43"/>
      <c r="AK467" s="43"/>
      <c r="AL467" s="43"/>
    </row>
    <row r="468" spans="3:38" x14ac:dyDescent="0.2"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  <c r="AA468" s="43"/>
      <c r="AB468" s="43"/>
      <c r="AC468" s="43"/>
      <c r="AD468" s="43"/>
      <c r="AE468" s="43"/>
      <c r="AF468" s="43"/>
      <c r="AG468" s="43"/>
      <c r="AH468" s="43"/>
      <c r="AI468" s="43"/>
      <c r="AJ468" s="43"/>
      <c r="AK468" s="43"/>
      <c r="AL468" s="43"/>
    </row>
    <row r="469" spans="3:38" x14ac:dyDescent="0.2"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  <c r="AA469" s="43"/>
      <c r="AB469" s="43"/>
      <c r="AC469" s="43"/>
      <c r="AD469" s="43"/>
      <c r="AE469" s="43"/>
      <c r="AF469" s="43"/>
      <c r="AG469" s="43"/>
      <c r="AH469" s="43"/>
      <c r="AI469" s="43"/>
      <c r="AJ469" s="43"/>
      <c r="AK469" s="43"/>
      <c r="AL469" s="43"/>
    </row>
    <row r="470" spans="3:38" x14ac:dyDescent="0.2"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  <c r="AA470" s="43"/>
      <c r="AB470" s="43"/>
      <c r="AC470" s="43"/>
      <c r="AD470" s="43"/>
      <c r="AE470" s="43"/>
      <c r="AF470" s="43"/>
      <c r="AG470" s="43"/>
      <c r="AH470" s="43"/>
      <c r="AI470" s="43"/>
      <c r="AJ470" s="43"/>
      <c r="AK470" s="43"/>
      <c r="AL470" s="43"/>
    </row>
    <row r="471" spans="3:38" x14ac:dyDescent="0.2"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  <c r="AA471" s="43"/>
      <c r="AB471" s="43"/>
      <c r="AC471" s="43"/>
      <c r="AD471" s="43"/>
      <c r="AE471" s="43"/>
      <c r="AF471" s="43"/>
      <c r="AG471" s="43"/>
      <c r="AH471" s="43"/>
      <c r="AI471" s="43"/>
      <c r="AJ471" s="43"/>
      <c r="AK471" s="43"/>
      <c r="AL471" s="43"/>
    </row>
    <row r="472" spans="3:38" x14ac:dyDescent="0.2"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  <c r="AA472" s="43"/>
      <c r="AB472" s="43"/>
      <c r="AC472" s="43"/>
      <c r="AD472" s="43"/>
      <c r="AE472" s="43"/>
      <c r="AF472" s="43"/>
      <c r="AG472" s="43"/>
      <c r="AH472" s="43"/>
      <c r="AI472" s="43"/>
      <c r="AJ472" s="43"/>
      <c r="AK472" s="43"/>
      <c r="AL472" s="43"/>
    </row>
    <row r="473" spans="3:38" x14ac:dyDescent="0.2"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  <c r="AA473" s="43"/>
      <c r="AB473" s="43"/>
      <c r="AC473" s="43"/>
      <c r="AD473" s="43"/>
      <c r="AE473" s="43"/>
      <c r="AF473" s="43"/>
      <c r="AG473" s="43"/>
      <c r="AH473" s="43"/>
      <c r="AI473" s="43"/>
      <c r="AJ473" s="43"/>
      <c r="AK473" s="43"/>
      <c r="AL473" s="43"/>
    </row>
    <row r="474" spans="3:38" x14ac:dyDescent="0.2"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  <c r="AA474" s="43"/>
      <c r="AB474" s="43"/>
      <c r="AC474" s="43"/>
      <c r="AD474" s="43"/>
      <c r="AE474" s="43"/>
      <c r="AF474" s="43"/>
      <c r="AG474" s="43"/>
      <c r="AH474" s="43"/>
      <c r="AI474" s="43"/>
      <c r="AJ474" s="43"/>
      <c r="AK474" s="43"/>
      <c r="AL474" s="43"/>
    </row>
    <row r="475" spans="3:38" x14ac:dyDescent="0.2"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  <c r="AA475" s="43"/>
      <c r="AB475" s="43"/>
      <c r="AC475" s="43"/>
      <c r="AD475" s="43"/>
      <c r="AE475" s="43"/>
      <c r="AF475" s="43"/>
      <c r="AG475" s="43"/>
      <c r="AH475" s="43"/>
      <c r="AI475" s="43"/>
      <c r="AJ475" s="43"/>
      <c r="AK475" s="43"/>
      <c r="AL475" s="43"/>
    </row>
    <row r="476" spans="3:38" x14ac:dyDescent="0.2"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  <c r="AA476" s="43"/>
      <c r="AB476" s="43"/>
      <c r="AC476" s="43"/>
      <c r="AD476" s="43"/>
      <c r="AE476" s="43"/>
      <c r="AF476" s="43"/>
      <c r="AG476" s="43"/>
      <c r="AH476" s="43"/>
      <c r="AI476" s="43"/>
      <c r="AJ476" s="43"/>
      <c r="AK476" s="43"/>
      <c r="AL476" s="43"/>
    </row>
    <row r="477" spans="3:38" x14ac:dyDescent="0.2"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  <c r="AA477" s="43"/>
      <c r="AB477" s="43"/>
      <c r="AC477" s="43"/>
      <c r="AD477" s="43"/>
      <c r="AE477" s="43"/>
      <c r="AF477" s="43"/>
      <c r="AG477" s="43"/>
      <c r="AH477" s="43"/>
      <c r="AI477" s="43"/>
      <c r="AJ477" s="43"/>
      <c r="AK477" s="43"/>
      <c r="AL477" s="43"/>
    </row>
    <row r="478" spans="3:38" x14ac:dyDescent="0.2"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  <c r="AA478" s="43"/>
      <c r="AB478" s="43"/>
      <c r="AC478" s="43"/>
      <c r="AD478" s="43"/>
      <c r="AE478" s="43"/>
      <c r="AF478" s="43"/>
      <c r="AG478" s="43"/>
      <c r="AH478" s="43"/>
      <c r="AI478" s="43"/>
      <c r="AJ478" s="43"/>
      <c r="AK478" s="43"/>
      <c r="AL478" s="43"/>
    </row>
    <row r="479" spans="3:38" x14ac:dyDescent="0.2"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  <c r="AA479" s="43"/>
      <c r="AB479" s="43"/>
      <c r="AC479" s="43"/>
      <c r="AD479" s="43"/>
      <c r="AE479" s="43"/>
      <c r="AF479" s="43"/>
      <c r="AG479" s="43"/>
      <c r="AH479" s="43"/>
      <c r="AI479" s="43"/>
      <c r="AJ479" s="43"/>
      <c r="AK479" s="43"/>
      <c r="AL479" s="43"/>
    </row>
    <row r="480" spans="3:38" x14ac:dyDescent="0.2"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  <c r="AA480" s="43"/>
      <c r="AB480" s="43"/>
      <c r="AC480" s="43"/>
      <c r="AD480" s="43"/>
      <c r="AE480" s="43"/>
      <c r="AF480" s="43"/>
      <c r="AG480" s="43"/>
      <c r="AH480" s="43"/>
      <c r="AI480" s="43"/>
      <c r="AJ480" s="43"/>
      <c r="AK480" s="43"/>
      <c r="AL480" s="43"/>
    </row>
    <row r="481" spans="3:38" x14ac:dyDescent="0.2"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  <c r="AA481" s="43"/>
      <c r="AB481" s="43"/>
      <c r="AC481" s="43"/>
      <c r="AD481" s="43"/>
      <c r="AE481" s="43"/>
      <c r="AF481" s="43"/>
      <c r="AG481" s="43"/>
      <c r="AH481" s="43"/>
      <c r="AI481" s="43"/>
      <c r="AJ481" s="43"/>
      <c r="AK481" s="43"/>
      <c r="AL481" s="43"/>
    </row>
    <row r="482" spans="3:38" x14ac:dyDescent="0.2"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  <c r="AA482" s="43"/>
      <c r="AB482" s="43"/>
      <c r="AC482" s="43"/>
      <c r="AD482" s="43"/>
      <c r="AE482" s="43"/>
      <c r="AF482" s="43"/>
      <c r="AG482" s="43"/>
      <c r="AH482" s="43"/>
      <c r="AI482" s="43"/>
      <c r="AJ482" s="43"/>
      <c r="AK482" s="43"/>
      <c r="AL482" s="43"/>
    </row>
    <row r="483" spans="3:38" x14ac:dyDescent="0.2"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  <c r="AA483" s="43"/>
      <c r="AB483" s="43"/>
      <c r="AC483" s="43"/>
      <c r="AD483" s="43"/>
      <c r="AE483" s="43"/>
      <c r="AF483" s="43"/>
      <c r="AG483" s="43"/>
      <c r="AH483" s="43"/>
      <c r="AI483" s="43"/>
      <c r="AJ483" s="43"/>
      <c r="AK483" s="43"/>
      <c r="AL483" s="43"/>
    </row>
    <row r="484" spans="3:38" x14ac:dyDescent="0.2"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  <c r="AA484" s="43"/>
      <c r="AB484" s="43"/>
      <c r="AC484" s="43"/>
      <c r="AD484" s="43"/>
      <c r="AE484" s="43"/>
      <c r="AF484" s="43"/>
      <c r="AG484" s="43"/>
      <c r="AH484" s="43"/>
      <c r="AI484" s="43"/>
      <c r="AJ484" s="43"/>
      <c r="AK484" s="43"/>
      <c r="AL484" s="43"/>
    </row>
    <row r="485" spans="3:38" x14ac:dyDescent="0.2"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  <c r="AA485" s="43"/>
      <c r="AB485" s="43"/>
      <c r="AC485" s="43"/>
      <c r="AD485" s="43"/>
      <c r="AE485" s="43"/>
      <c r="AF485" s="43"/>
      <c r="AG485" s="43"/>
      <c r="AH485" s="43"/>
      <c r="AI485" s="43"/>
      <c r="AJ485" s="43"/>
      <c r="AK485" s="43"/>
      <c r="AL485" s="43"/>
    </row>
    <row r="486" spans="3:38" x14ac:dyDescent="0.2"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  <c r="AA486" s="43"/>
      <c r="AB486" s="43"/>
      <c r="AC486" s="43"/>
      <c r="AD486" s="43"/>
      <c r="AE486" s="43"/>
      <c r="AF486" s="43"/>
      <c r="AG486" s="43"/>
      <c r="AH486" s="43"/>
      <c r="AI486" s="43"/>
      <c r="AJ486" s="43"/>
      <c r="AK486" s="43"/>
      <c r="AL486" s="43"/>
    </row>
    <row r="487" spans="3:38" x14ac:dyDescent="0.2"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  <c r="AA487" s="43"/>
      <c r="AB487" s="43"/>
      <c r="AC487" s="43"/>
      <c r="AD487" s="43"/>
      <c r="AE487" s="43"/>
      <c r="AF487" s="43"/>
      <c r="AG487" s="43"/>
      <c r="AH487" s="43"/>
      <c r="AI487" s="43"/>
      <c r="AJ487" s="43"/>
      <c r="AK487" s="43"/>
      <c r="AL487" s="43"/>
    </row>
    <row r="488" spans="3:38" x14ac:dyDescent="0.2"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  <c r="AA488" s="43"/>
      <c r="AB488" s="43"/>
      <c r="AC488" s="43"/>
      <c r="AD488" s="43"/>
      <c r="AE488" s="43"/>
      <c r="AF488" s="43"/>
      <c r="AG488" s="43"/>
      <c r="AH488" s="43"/>
      <c r="AI488" s="43"/>
      <c r="AJ488" s="43"/>
      <c r="AK488" s="43"/>
      <c r="AL488" s="43"/>
    </row>
  </sheetData>
  <hyperlinks>
    <hyperlink ref="A1" location="Main!A1" display="Main" xr:uid="{CC138716-09F5-4ABE-BEA5-318C6F758074}"/>
  </hyperlink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7FE6-5AF0-4FF3-A39B-0B25DA51672D}">
  <dimension ref="A1:AB175"/>
  <sheetViews>
    <sheetView zoomScale="200" zoomScaleNormal="200" workbookViewId="0">
      <pane xSplit="2" ySplit="2" topLeftCell="G3" activePane="bottomRight" state="frozen"/>
      <selection pane="topRight" activeCell="C1" sqref="C1"/>
      <selection pane="bottomLeft" activeCell="A3" sqref="A3"/>
      <selection pane="bottomRight" activeCell="I1" sqref="I1"/>
    </sheetView>
  </sheetViews>
  <sheetFormatPr defaultRowHeight="12.75" x14ac:dyDescent="0.2"/>
  <cols>
    <col min="1" max="1" width="4.5703125" style="4" customWidth="1"/>
    <col min="2" max="2" width="43.5703125" style="4" bestFit="1" customWidth="1"/>
    <col min="3" max="13" width="9.140625" style="4"/>
    <col min="14" max="17" width="9" style="4" bestFit="1" customWidth="1"/>
    <col min="18" max="16384" width="9.140625" style="4"/>
  </cols>
  <sheetData>
    <row r="1" spans="1:28" x14ac:dyDescent="0.2">
      <c r="A1" s="63" t="s">
        <v>7</v>
      </c>
      <c r="R1" s="26"/>
    </row>
    <row r="2" spans="1:28" x14ac:dyDescent="0.2">
      <c r="C2" s="57" t="s">
        <v>141</v>
      </c>
      <c r="D2" s="57" t="s">
        <v>142</v>
      </c>
      <c r="E2" s="57" t="s">
        <v>143</v>
      </c>
      <c r="F2" s="57" t="s">
        <v>144</v>
      </c>
      <c r="G2" s="57" t="s">
        <v>247</v>
      </c>
      <c r="H2" s="57" t="s">
        <v>248</v>
      </c>
      <c r="I2" s="88" t="s">
        <v>277</v>
      </c>
      <c r="J2" s="88" t="s">
        <v>278</v>
      </c>
      <c r="K2" s="57"/>
      <c r="L2" s="57" t="s">
        <v>8</v>
      </c>
      <c r="M2" s="57" t="s">
        <v>9</v>
      </c>
      <c r="N2" s="57" t="s">
        <v>10</v>
      </c>
      <c r="O2" s="57" t="s">
        <v>11</v>
      </c>
      <c r="P2" s="57" t="s">
        <v>12</v>
      </c>
      <c r="Q2" s="57" t="s">
        <v>13</v>
      </c>
      <c r="R2" s="57" t="s">
        <v>14</v>
      </c>
      <c r="S2" s="57" t="s">
        <v>261</v>
      </c>
      <c r="T2" s="57" t="s">
        <v>262</v>
      </c>
      <c r="U2" s="57" t="s">
        <v>263</v>
      </c>
      <c r="V2" s="57" t="s">
        <v>264</v>
      </c>
      <c r="W2" s="57" t="s">
        <v>265</v>
      </c>
      <c r="X2" s="57" t="s">
        <v>266</v>
      </c>
      <c r="Y2" s="57" t="s">
        <v>267</v>
      </c>
      <c r="Z2" s="57" t="s">
        <v>268</v>
      </c>
      <c r="AA2" s="57" t="s">
        <v>270</v>
      </c>
      <c r="AB2" s="57" t="s">
        <v>269</v>
      </c>
    </row>
    <row r="3" spans="1:28" x14ac:dyDescent="0.2">
      <c r="B3" s="4" t="s">
        <v>147</v>
      </c>
      <c r="C3" s="21"/>
      <c r="D3" s="21"/>
      <c r="E3" s="21"/>
      <c r="F3" s="21">
        <v>1254</v>
      </c>
      <c r="G3" s="21">
        <v>1245</v>
      </c>
      <c r="H3" s="21">
        <v>1255</v>
      </c>
      <c r="I3" s="21">
        <v>1253</v>
      </c>
      <c r="J3" s="21"/>
      <c r="K3" s="21"/>
      <c r="L3" s="21"/>
      <c r="M3" s="21"/>
      <c r="N3" s="21"/>
      <c r="O3" s="21"/>
      <c r="P3" s="21">
        <v>1108</v>
      </c>
      <c r="Q3" s="21">
        <v>1213</v>
      </c>
      <c r="R3" s="21">
        <v>1254</v>
      </c>
      <c r="S3" s="21">
        <v>1255</v>
      </c>
      <c r="T3" s="21">
        <f>+S3*(1+4%)</f>
        <v>1305.2</v>
      </c>
      <c r="U3" s="21">
        <f t="shared" ref="U3:AB3" si="0">+T3*(1+4%)</f>
        <v>1357.4080000000001</v>
      </c>
      <c r="V3" s="21">
        <f t="shared" si="0"/>
        <v>1411.7043200000003</v>
      </c>
      <c r="W3" s="21">
        <f t="shared" si="0"/>
        <v>1468.1724928000003</v>
      </c>
      <c r="X3" s="21">
        <f t="shared" si="0"/>
        <v>1526.8993925120003</v>
      </c>
      <c r="Y3" s="21">
        <f t="shared" si="0"/>
        <v>1587.9753682124804</v>
      </c>
      <c r="Z3" s="21">
        <f t="shared" si="0"/>
        <v>1651.4943829409797</v>
      </c>
      <c r="AA3" s="21">
        <f t="shared" si="0"/>
        <v>1717.5541582586188</v>
      </c>
      <c r="AB3" s="21">
        <f t="shared" si="0"/>
        <v>1786.2563245889637</v>
      </c>
    </row>
    <row r="4" spans="1:28" x14ac:dyDescent="0.2">
      <c r="B4" s="4" t="s">
        <v>149</v>
      </c>
      <c r="C4" s="21"/>
      <c r="D4" s="21"/>
      <c r="E4" s="21"/>
      <c r="F4" s="21">
        <v>553</v>
      </c>
      <c r="G4" s="21">
        <v>543</v>
      </c>
      <c r="H4" s="21">
        <v>539</v>
      </c>
      <c r="I4" s="21">
        <v>533</v>
      </c>
      <c r="J4" s="21"/>
      <c r="K4" s="21"/>
      <c r="L4" s="21"/>
      <c r="M4" s="21"/>
      <c r="N4" s="21"/>
      <c r="O4" s="21"/>
      <c r="P4" s="21">
        <v>518</v>
      </c>
      <c r="Q4" s="21">
        <v>550</v>
      </c>
      <c r="R4" s="21">
        <v>553</v>
      </c>
      <c r="S4" s="21">
        <v>539</v>
      </c>
      <c r="T4" s="21">
        <f>+S4*(1+2%)</f>
        <v>549.78</v>
      </c>
      <c r="U4" s="21">
        <f t="shared" ref="U4:Y4" si="1">+T4*(1+2%)</f>
        <v>560.77559999999994</v>
      </c>
      <c r="V4" s="21">
        <f t="shared" si="1"/>
        <v>571.99111199999993</v>
      </c>
      <c r="W4" s="21">
        <f t="shared" si="1"/>
        <v>583.43093423999994</v>
      </c>
      <c r="X4" s="21">
        <f t="shared" si="1"/>
        <v>595.09955292479992</v>
      </c>
      <c r="Y4" s="21">
        <f t="shared" si="1"/>
        <v>607.00154398329596</v>
      </c>
      <c r="Z4" s="21">
        <f t="shared" ref="Z4:AB4" si="2">+Y4*(1+2%)</f>
        <v>619.14157486296187</v>
      </c>
      <c r="AA4" s="21">
        <f t="shared" si="2"/>
        <v>631.52440636022118</v>
      </c>
      <c r="AB4" s="21">
        <f t="shared" si="2"/>
        <v>644.15489448742562</v>
      </c>
    </row>
    <row r="5" spans="1:28" x14ac:dyDescent="0.2">
      <c r="B5" s="4" t="s">
        <v>148</v>
      </c>
      <c r="C5" s="21"/>
      <c r="D5" s="21"/>
      <c r="E5" s="21"/>
      <c r="F5" s="21">
        <v>2019</v>
      </c>
      <c r="G5" s="21">
        <v>1991</v>
      </c>
      <c r="H5" s="21">
        <v>1905</v>
      </c>
      <c r="I5" s="21">
        <v>1832</v>
      </c>
      <c r="J5" s="21"/>
      <c r="K5" s="21"/>
      <c r="L5" s="21"/>
      <c r="M5" s="21"/>
      <c r="N5" s="21"/>
      <c r="O5" s="21"/>
      <c r="P5" s="21">
        <v>1829</v>
      </c>
      <c r="Q5" s="21">
        <v>2003</v>
      </c>
      <c r="R5" s="21">
        <v>2019</v>
      </c>
      <c r="S5" s="21">
        <v>1905</v>
      </c>
      <c r="T5" s="21">
        <f>+S5*(1+3%)</f>
        <v>1962.15</v>
      </c>
      <c r="U5" s="21">
        <f t="shared" ref="U5:Y5" si="3">+T5*(1+3%)</f>
        <v>2021.0145000000002</v>
      </c>
      <c r="V5" s="21">
        <f t="shared" si="3"/>
        <v>2081.6449350000003</v>
      </c>
      <c r="W5" s="21">
        <f t="shared" si="3"/>
        <v>2144.0942830500003</v>
      </c>
      <c r="X5" s="21">
        <f t="shared" si="3"/>
        <v>2208.4171115415002</v>
      </c>
      <c r="Y5" s="21">
        <f t="shared" si="3"/>
        <v>2274.6696248877452</v>
      </c>
      <c r="Z5" s="21">
        <f t="shared" ref="Z5:AB5" si="4">+Y5*(1+3%)</f>
        <v>2342.9097136343776</v>
      </c>
      <c r="AA5" s="21">
        <f t="shared" si="4"/>
        <v>2413.1970050434088</v>
      </c>
      <c r="AB5" s="21">
        <f t="shared" si="4"/>
        <v>2485.5929151947112</v>
      </c>
    </row>
    <row r="6" spans="1:28" x14ac:dyDescent="0.2">
      <c r="B6" s="4" t="s">
        <v>150</v>
      </c>
      <c r="C6" s="21"/>
      <c r="D6" s="21"/>
      <c r="E6" s="21"/>
      <c r="F6" s="21">
        <v>510</v>
      </c>
      <c r="G6" s="21">
        <v>508</v>
      </c>
      <c r="H6" s="21">
        <v>520</v>
      </c>
      <c r="I6" s="21">
        <v>511</v>
      </c>
      <c r="J6" s="21"/>
      <c r="K6" s="21"/>
      <c r="L6" s="21"/>
      <c r="M6" s="21"/>
      <c r="N6" s="21"/>
      <c r="O6" s="21"/>
      <c r="P6" s="21">
        <v>496</v>
      </c>
      <c r="Q6" s="21">
        <v>497</v>
      </c>
      <c r="R6" s="21">
        <v>510</v>
      </c>
      <c r="S6" s="21">
        <v>520</v>
      </c>
      <c r="T6" s="21">
        <f>+S6*(1+1%)</f>
        <v>525.20000000000005</v>
      </c>
      <c r="U6" s="21">
        <f t="shared" ref="U6:Y6" si="5">+T6*(1+1%)</f>
        <v>530.452</v>
      </c>
      <c r="V6" s="21">
        <f t="shared" si="5"/>
        <v>535.75652000000002</v>
      </c>
      <c r="W6" s="21">
        <f t="shared" si="5"/>
        <v>541.11408519999998</v>
      </c>
      <c r="X6" s="21">
        <f t="shared" si="5"/>
        <v>546.52522605199999</v>
      </c>
      <c r="Y6" s="21">
        <f t="shared" si="5"/>
        <v>551.99047831252005</v>
      </c>
      <c r="Z6" s="21">
        <f t="shared" ref="Z6:AB6" si="6">+Y6*(1+1%)</f>
        <v>557.51038309564524</v>
      </c>
      <c r="AA6" s="21">
        <f t="shared" si="6"/>
        <v>563.08548692660167</v>
      </c>
      <c r="AB6" s="21">
        <f t="shared" si="6"/>
        <v>568.71634179586772</v>
      </c>
    </row>
    <row r="7" spans="1:28" x14ac:dyDescent="0.2">
      <c r="B7" s="4" t="s">
        <v>151</v>
      </c>
      <c r="C7" s="21"/>
      <c r="D7" s="21"/>
      <c r="E7" s="21"/>
      <c r="F7" s="21">
        <v>1193</v>
      </c>
      <c r="G7" s="21">
        <v>1222</v>
      </c>
      <c r="H7" s="21">
        <v>1232</v>
      </c>
      <c r="I7" s="21">
        <v>1237</v>
      </c>
      <c r="J7" s="21"/>
      <c r="K7" s="21"/>
      <c r="L7" s="21"/>
      <c r="M7" s="21"/>
      <c r="N7" s="21"/>
      <c r="O7" s="21"/>
      <c r="P7" s="21">
        <v>1054</v>
      </c>
      <c r="Q7" s="21">
        <v>1128</v>
      </c>
      <c r="R7" s="21">
        <v>1193</v>
      </c>
      <c r="S7" s="21">
        <v>1232</v>
      </c>
      <c r="T7" s="21">
        <f>+S7*(1+2%)</f>
        <v>1256.6400000000001</v>
      </c>
      <c r="U7" s="21">
        <f t="shared" ref="U7:Y7" si="7">+T7*(1+2%)</f>
        <v>1281.7728000000002</v>
      </c>
      <c r="V7" s="21">
        <f t="shared" si="7"/>
        <v>1307.4082560000002</v>
      </c>
      <c r="W7" s="21">
        <f t="shared" si="7"/>
        <v>1333.5564211200001</v>
      </c>
      <c r="X7" s="21">
        <f t="shared" si="7"/>
        <v>1360.2275495424001</v>
      </c>
      <c r="Y7" s="21">
        <f t="shared" si="7"/>
        <v>1387.4321005332481</v>
      </c>
      <c r="Z7" s="21">
        <f t="shared" ref="Z7:AB7" si="8">+Y7*(1+2%)</f>
        <v>1415.1807425439131</v>
      </c>
      <c r="AA7" s="21">
        <f t="shared" si="8"/>
        <v>1443.4843573947915</v>
      </c>
      <c r="AB7" s="21">
        <f t="shared" si="8"/>
        <v>1472.3540445426872</v>
      </c>
    </row>
    <row r="8" spans="1:28" x14ac:dyDescent="0.2">
      <c r="B8" s="4" t="s">
        <v>152</v>
      </c>
      <c r="C8" s="21"/>
      <c r="D8" s="21"/>
      <c r="E8" s="21"/>
      <c r="F8" s="21">
        <v>778</v>
      </c>
      <c r="G8" s="21">
        <v>804</v>
      </c>
      <c r="H8" s="21">
        <v>832</v>
      </c>
      <c r="I8" s="21">
        <v>851</v>
      </c>
      <c r="J8" s="21"/>
      <c r="K8" s="21"/>
      <c r="L8" s="21"/>
      <c r="M8" s="21"/>
      <c r="N8" s="21"/>
      <c r="O8" s="21"/>
      <c r="P8" s="21">
        <v>659</v>
      </c>
      <c r="Q8" s="21">
        <v>706</v>
      </c>
      <c r="R8" s="21">
        <v>778</v>
      </c>
      <c r="S8" s="21">
        <v>832</v>
      </c>
      <c r="T8" s="21">
        <f>+S8*(1+2%)</f>
        <v>848.64</v>
      </c>
      <c r="U8" s="21">
        <f t="shared" ref="U8:Y8" si="9">+T8*(1+2%)</f>
        <v>865.61279999999999</v>
      </c>
      <c r="V8" s="21">
        <f t="shared" si="9"/>
        <v>882.92505600000004</v>
      </c>
      <c r="W8" s="21">
        <f t="shared" si="9"/>
        <v>900.58355712000002</v>
      </c>
      <c r="X8" s="21">
        <f t="shared" si="9"/>
        <v>918.59522826240004</v>
      </c>
      <c r="Y8" s="21">
        <f t="shared" si="9"/>
        <v>936.96713282764802</v>
      </c>
      <c r="Z8" s="21">
        <f t="shared" ref="Z8:AB8" si="10">+Y8*(1+2%)</f>
        <v>955.70647548420095</v>
      </c>
      <c r="AA8" s="21">
        <f t="shared" si="10"/>
        <v>974.82060499388501</v>
      </c>
      <c r="AB8" s="21">
        <f t="shared" si="10"/>
        <v>994.31701709376273</v>
      </c>
    </row>
    <row r="9" spans="1:28" x14ac:dyDescent="0.2">
      <c r="B9" s="18" t="s">
        <v>153</v>
      </c>
      <c r="C9" s="64"/>
      <c r="D9" s="64"/>
      <c r="E9" s="64"/>
      <c r="F9" s="64">
        <f>+SUM(F3:F8)</f>
        <v>6307</v>
      </c>
      <c r="G9" s="64">
        <f>+SUM(G3:G8)</f>
        <v>6313</v>
      </c>
      <c r="H9" s="64">
        <f>+SUM(H3:H8)</f>
        <v>6283</v>
      </c>
      <c r="I9" s="64">
        <f>+SUM(I3:I8)</f>
        <v>6217</v>
      </c>
      <c r="J9" s="64"/>
      <c r="K9" s="64"/>
      <c r="L9" s="64"/>
      <c r="M9" s="64"/>
      <c r="N9" s="64"/>
      <c r="O9" s="64"/>
      <c r="P9" s="64">
        <v>5664</v>
      </c>
      <c r="Q9" s="64">
        <v>6097</v>
      </c>
      <c r="R9" s="64">
        <v>6307</v>
      </c>
      <c r="S9" s="64">
        <v>6307</v>
      </c>
      <c r="T9" s="64">
        <f>+SUM(T3:T8)</f>
        <v>6447.6100000000006</v>
      </c>
      <c r="U9" s="64">
        <f t="shared" ref="U9:Y9" si="11">+SUM(U3:U8)</f>
        <v>6617.0357000000013</v>
      </c>
      <c r="V9" s="64">
        <f t="shared" si="11"/>
        <v>6791.4301990000004</v>
      </c>
      <c r="W9" s="64">
        <f t="shared" si="11"/>
        <v>6970.9517735299996</v>
      </c>
      <c r="X9" s="64">
        <f t="shared" si="11"/>
        <v>7155.7640608351003</v>
      </c>
      <c r="Y9" s="64">
        <f t="shared" si="11"/>
        <v>7346.0362487569373</v>
      </c>
      <c r="Z9" s="64">
        <f t="shared" ref="Z9" si="12">+SUM(Z3:Z8)</f>
        <v>7541.9432725620782</v>
      </c>
      <c r="AA9" s="64">
        <f t="shared" ref="AA9" si="13">+SUM(AA3:AA8)</f>
        <v>7743.6660189775266</v>
      </c>
      <c r="AB9" s="64">
        <f t="shared" ref="AB9" si="14">+SUM(AB3:AB8)</f>
        <v>7951.3915377034182</v>
      </c>
    </row>
    <row r="10" spans="1:28" x14ac:dyDescent="0.2">
      <c r="B10" s="4" t="s">
        <v>260</v>
      </c>
      <c r="C10" s="64"/>
      <c r="D10" s="64"/>
      <c r="E10" s="64"/>
      <c r="F10" s="65">
        <f t="shared" ref="F10" si="15">+F19/F9</f>
        <v>6.8187727921357224</v>
      </c>
      <c r="G10" s="65">
        <f>+G19/G9</f>
        <v>6.3060351655314433</v>
      </c>
      <c r="H10" s="65">
        <f t="shared" ref="H10:I10" si="16">+H19/H9</f>
        <v>6.5250676428457739</v>
      </c>
      <c r="I10" s="65">
        <f t="shared" si="16"/>
        <v>6.2158597394241593</v>
      </c>
      <c r="J10" s="64"/>
      <c r="K10" s="64"/>
      <c r="L10" s="65" t="e">
        <f t="shared" ref="L10:S10" si="17">+L19/L9</f>
        <v>#DIV/0!</v>
      </c>
      <c r="M10" s="65" t="e">
        <f t="shared" si="17"/>
        <v>#DIV/0!</v>
      </c>
      <c r="N10" s="65" t="e">
        <f t="shared" si="17"/>
        <v>#DIV/0!</v>
      </c>
      <c r="O10" s="65" t="e">
        <f t="shared" si="17"/>
        <v>#DIV/0!</v>
      </c>
      <c r="P10" s="65">
        <f t="shared" si="17"/>
        <v>13.980225988700566</v>
      </c>
      <c r="Q10" s="65">
        <f t="shared" si="17"/>
        <v>14.130391996063638</v>
      </c>
      <c r="R10" s="65">
        <f t="shared" si="17"/>
        <v>13.426827334707468</v>
      </c>
      <c r="S10" s="65">
        <f t="shared" si="17"/>
        <v>12.812272078642778</v>
      </c>
      <c r="T10" s="4">
        <v>13</v>
      </c>
      <c r="U10" s="4">
        <v>13.4</v>
      </c>
      <c r="V10" s="4">
        <v>13.8</v>
      </c>
      <c r="W10" s="4">
        <v>14.2</v>
      </c>
      <c r="X10" s="4">
        <v>14.6</v>
      </c>
      <c r="Y10" s="4">
        <v>15</v>
      </c>
      <c r="Z10" s="4">
        <v>15</v>
      </c>
      <c r="AA10" s="4">
        <v>15</v>
      </c>
      <c r="AB10" s="4">
        <v>15</v>
      </c>
    </row>
    <row r="11" spans="1:28" x14ac:dyDescent="0.2"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</row>
    <row r="12" spans="1:28" x14ac:dyDescent="0.2">
      <c r="A12" s="58" t="s">
        <v>17</v>
      </c>
      <c r="B12" s="59" t="s">
        <v>16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</row>
    <row r="13" spans="1:28" x14ac:dyDescent="0.2">
      <c r="B13" s="4" t="s">
        <v>18</v>
      </c>
      <c r="C13" s="21">
        <v>3181</v>
      </c>
      <c r="D13" s="21">
        <f t="shared" ref="D13:D18" si="18">Q13-C13</f>
        <v>3421</v>
      </c>
      <c r="E13" s="21">
        <v>2807</v>
      </c>
      <c r="F13" s="21">
        <f t="shared" ref="F13:F18" si="19">+R13-SUM(E13)</f>
        <v>3055</v>
      </c>
      <c r="G13" s="21">
        <v>2588</v>
      </c>
      <c r="H13" s="21">
        <f>+S13-G13</f>
        <v>2770</v>
      </c>
      <c r="I13" s="21">
        <v>2598</v>
      </c>
      <c r="J13" s="21"/>
      <c r="K13" s="21"/>
      <c r="L13" s="21">
        <v>5143</v>
      </c>
      <c r="M13" s="21">
        <v>5576</v>
      </c>
      <c r="N13" s="21">
        <v>4755</v>
      </c>
      <c r="O13" s="21">
        <v>5974</v>
      </c>
      <c r="P13" s="21">
        <v>7099</v>
      </c>
      <c r="Q13" s="21">
        <v>6602</v>
      </c>
      <c r="R13" s="21">
        <v>5862</v>
      </c>
      <c r="S13" s="21">
        <v>5358</v>
      </c>
      <c r="T13" s="21"/>
      <c r="U13" s="21"/>
      <c r="V13" s="21"/>
      <c r="W13" s="21"/>
      <c r="X13" s="21"/>
    </row>
    <row r="14" spans="1:28" x14ac:dyDescent="0.2">
      <c r="B14" s="4" t="s">
        <v>19</v>
      </c>
      <c r="C14" s="21">
        <v>21162</v>
      </c>
      <c r="D14" s="21">
        <f t="shared" si="18"/>
        <v>21007</v>
      </c>
      <c r="E14" s="21">
        <v>20771</v>
      </c>
      <c r="F14" s="21">
        <f t="shared" si="19"/>
        <v>20289</v>
      </c>
      <c r="G14" s="21">
        <v>19115</v>
      </c>
      <c r="H14" s="21">
        <f t="shared" ref="H14:I33" si="20">+S14-G14</f>
        <v>18655</v>
      </c>
      <c r="I14" s="21">
        <v>18146</v>
      </c>
      <c r="J14" s="21"/>
      <c r="K14" s="21"/>
      <c r="L14" s="21">
        <v>18455</v>
      </c>
      <c r="M14" s="21">
        <v>22237</v>
      </c>
      <c r="N14" s="21">
        <v>21207</v>
      </c>
      <c r="O14" s="21">
        <v>30896</v>
      </c>
      <c r="P14" s="21">
        <v>38648</v>
      </c>
      <c r="Q14" s="21">
        <v>42169</v>
      </c>
      <c r="R14" s="21">
        <v>41060</v>
      </c>
      <c r="S14" s="21">
        <v>37770</v>
      </c>
      <c r="T14" s="21"/>
      <c r="U14" s="21"/>
      <c r="V14" s="21"/>
      <c r="W14" s="21"/>
      <c r="X14" s="21"/>
    </row>
    <row r="15" spans="1:28" x14ac:dyDescent="0.2">
      <c r="B15" s="4" t="s">
        <v>24</v>
      </c>
      <c r="C15" s="21">
        <v>4028</v>
      </c>
      <c r="D15" s="21">
        <f t="shared" si="18"/>
        <v>4243</v>
      </c>
      <c r="E15" s="21">
        <v>4136</v>
      </c>
      <c r="F15" s="21">
        <f t="shared" si="19"/>
        <v>4282</v>
      </c>
      <c r="G15" s="21">
        <v>4082</v>
      </c>
      <c r="H15" s="21">
        <f t="shared" si="20"/>
        <v>4092</v>
      </c>
      <c r="I15" s="21">
        <v>3914</v>
      </c>
      <c r="J15" s="21"/>
      <c r="K15" s="21"/>
      <c r="L15" s="21">
        <v>6092</v>
      </c>
      <c r="M15" s="21">
        <v>6835</v>
      </c>
      <c r="N15" s="21">
        <v>5248</v>
      </c>
      <c r="O15" s="21">
        <v>6608</v>
      </c>
      <c r="P15" s="21">
        <v>7722</v>
      </c>
      <c r="Q15" s="21">
        <v>8271</v>
      </c>
      <c r="R15" s="21">
        <v>8418</v>
      </c>
      <c r="S15" s="21">
        <v>8174</v>
      </c>
      <c r="T15" s="21"/>
      <c r="U15" s="21"/>
      <c r="V15" s="21"/>
      <c r="W15" s="21"/>
      <c r="X15" s="21"/>
    </row>
    <row r="16" spans="1:28" x14ac:dyDescent="0.2">
      <c r="B16" s="4" t="s">
        <v>233</v>
      </c>
      <c r="C16" s="21">
        <v>5427</v>
      </c>
      <c r="D16" s="21">
        <f t="shared" si="18"/>
        <v>5475</v>
      </c>
      <c r="E16" s="21">
        <v>5150</v>
      </c>
      <c r="F16" s="21">
        <f t="shared" si="19"/>
        <v>5427</v>
      </c>
      <c r="G16" s="21">
        <v>5090</v>
      </c>
      <c r="H16" s="21">
        <f t="shared" si="20"/>
        <v>5396</v>
      </c>
      <c r="I16" s="21">
        <v>5225</v>
      </c>
      <c r="J16" s="21"/>
      <c r="K16" s="21"/>
      <c r="L16" s="21">
        <v>4123</v>
      </c>
      <c r="M16" s="21">
        <v>4405</v>
      </c>
      <c r="N16" s="21">
        <v>3356</v>
      </c>
      <c r="O16" s="21">
        <v>8694</v>
      </c>
      <c r="P16" s="21">
        <v>10581</v>
      </c>
      <c r="Q16" s="21">
        <v>10902</v>
      </c>
      <c r="R16" s="21">
        <v>10577</v>
      </c>
      <c r="S16" s="21">
        <v>10486</v>
      </c>
      <c r="T16" s="21"/>
      <c r="U16" s="21"/>
      <c r="V16" s="21"/>
      <c r="W16" s="21"/>
      <c r="X16" s="21"/>
    </row>
    <row r="17" spans="2:28" x14ac:dyDescent="0.2">
      <c r="B17" s="4" t="s">
        <v>21</v>
      </c>
      <c r="C17" s="21">
        <v>8355</v>
      </c>
      <c r="D17" s="21">
        <f t="shared" si="18"/>
        <v>9530</v>
      </c>
      <c r="E17" s="21">
        <v>8632</v>
      </c>
      <c r="F17" s="21">
        <f t="shared" si="19"/>
        <v>9630</v>
      </c>
      <c r="G17" s="21">
        <v>8620</v>
      </c>
      <c r="H17" s="21">
        <f t="shared" si="20"/>
        <v>9728</v>
      </c>
      <c r="I17" s="21">
        <v>8406</v>
      </c>
      <c r="J17" s="21"/>
      <c r="K17" s="21"/>
      <c r="L17" s="21">
        <v>13646</v>
      </c>
      <c r="M17" s="21">
        <v>14791</v>
      </c>
      <c r="N17" s="21">
        <v>10155</v>
      </c>
      <c r="O17" s="21">
        <v>11754</v>
      </c>
      <c r="P17" s="21">
        <v>14852</v>
      </c>
      <c r="Q17" s="21">
        <v>17885</v>
      </c>
      <c r="R17" s="21">
        <v>18262</v>
      </c>
      <c r="S17" s="21">
        <v>18348</v>
      </c>
      <c r="T17" s="21"/>
      <c r="U17" s="21"/>
      <c r="V17" s="21"/>
      <c r="W17" s="21"/>
      <c r="X17" s="21"/>
    </row>
    <row r="18" spans="2:28" x14ac:dyDescent="0.2">
      <c r="B18" s="4" t="s">
        <v>22</v>
      </c>
      <c r="C18" s="21">
        <v>87</v>
      </c>
      <c r="D18" s="21">
        <f t="shared" si="18"/>
        <v>237</v>
      </c>
      <c r="E18" s="21">
        <v>181</v>
      </c>
      <c r="F18" s="21">
        <f t="shared" si="19"/>
        <v>323</v>
      </c>
      <c r="G18" s="21">
        <v>315</v>
      </c>
      <c r="H18" s="21">
        <f t="shared" si="20"/>
        <v>356</v>
      </c>
      <c r="I18" s="21">
        <v>356</v>
      </c>
      <c r="J18" s="21"/>
      <c r="K18" s="21"/>
      <c r="L18" s="21">
        <v>-633</v>
      </c>
      <c r="M18" s="21">
        <v>-174</v>
      </c>
      <c r="N18" s="21">
        <v>-70</v>
      </c>
      <c r="O18" s="21">
        <v>0</v>
      </c>
      <c r="P18" s="21">
        <v>0</v>
      </c>
      <c r="Q18" s="21">
        <v>324</v>
      </c>
      <c r="R18" s="21">
        <v>504</v>
      </c>
      <c r="S18" s="21">
        <v>671</v>
      </c>
      <c r="T18" s="21"/>
      <c r="U18" s="21"/>
      <c r="V18" s="21"/>
      <c r="W18" s="21"/>
      <c r="X18" s="21"/>
    </row>
    <row r="19" spans="2:28" x14ac:dyDescent="0.2">
      <c r="B19" s="18" t="s">
        <v>23</v>
      </c>
      <c r="C19" s="64">
        <f>SUM(C13:C18)</f>
        <v>42240</v>
      </c>
      <c r="D19" s="64">
        <f t="shared" ref="D19:G19" si="21">SUM(D13:D18)</f>
        <v>43913</v>
      </c>
      <c r="E19" s="64">
        <f t="shared" si="21"/>
        <v>41677</v>
      </c>
      <c r="F19" s="64">
        <f t="shared" si="21"/>
        <v>43006</v>
      </c>
      <c r="G19" s="64">
        <f t="shared" si="21"/>
        <v>39810</v>
      </c>
      <c r="H19" s="64">
        <f t="shared" si="20"/>
        <v>40997</v>
      </c>
      <c r="I19" s="64">
        <v>38644</v>
      </c>
      <c r="J19" s="64"/>
      <c r="K19" s="64"/>
      <c r="L19" s="64">
        <v>46826</v>
      </c>
      <c r="M19" s="64">
        <v>53670</v>
      </c>
      <c r="N19" s="64">
        <v>44651</v>
      </c>
      <c r="O19" s="64">
        <v>64215</v>
      </c>
      <c r="P19" s="64">
        <v>79184</v>
      </c>
      <c r="Q19" s="64">
        <v>86153</v>
      </c>
      <c r="R19" s="64">
        <v>84683</v>
      </c>
      <c r="S19" s="64">
        <f>+SUM(S13:S18)</f>
        <v>80807</v>
      </c>
      <c r="T19" s="64">
        <f>+T9*T10</f>
        <v>83818.930000000008</v>
      </c>
      <c r="U19" s="64">
        <f t="shared" ref="U19:AB19" si="22">+U9*U10</f>
        <v>88668.278380000018</v>
      </c>
      <c r="V19" s="64">
        <f t="shared" si="22"/>
        <v>93721.736746200011</v>
      </c>
      <c r="W19" s="64">
        <f t="shared" si="22"/>
        <v>98987.515184125994</v>
      </c>
      <c r="X19" s="64">
        <f t="shared" si="22"/>
        <v>104474.15528819246</v>
      </c>
      <c r="Y19" s="64">
        <f t="shared" si="22"/>
        <v>110190.54373135406</v>
      </c>
      <c r="Z19" s="64">
        <f t="shared" si="22"/>
        <v>113129.14908843118</v>
      </c>
      <c r="AA19" s="64">
        <f t="shared" si="22"/>
        <v>116154.9902846629</v>
      </c>
      <c r="AB19" s="64">
        <f t="shared" si="22"/>
        <v>119270.87306555128</v>
      </c>
    </row>
    <row r="20" spans="2:28" x14ac:dyDescent="0.2">
      <c r="B20" s="4" t="s">
        <v>30</v>
      </c>
      <c r="C20" s="21">
        <v>12923</v>
      </c>
      <c r="D20" s="21">
        <f>Q20-C20</f>
        <v>13953</v>
      </c>
      <c r="E20" s="21">
        <v>12984</v>
      </c>
      <c r="F20" s="21">
        <f>+R20-SUM(E20)</f>
        <v>14934</v>
      </c>
      <c r="G20" s="21">
        <v>13200</v>
      </c>
      <c r="H20" s="21">
        <f t="shared" si="20"/>
        <v>14079</v>
      </c>
      <c r="I20" s="21">
        <v>12708</v>
      </c>
      <c r="J20" s="21"/>
      <c r="K20" s="21"/>
      <c r="L20" s="21">
        <v>15625</v>
      </c>
      <c r="M20" s="21">
        <v>18123</v>
      </c>
      <c r="N20" s="21">
        <v>15871</v>
      </c>
      <c r="O20" s="21">
        <v>20355</v>
      </c>
      <c r="P20" s="21">
        <v>24988</v>
      </c>
      <c r="Q20" s="21">
        <v>26876</v>
      </c>
      <c r="R20" s="21">
        <v>27918</v>
      </c>
      <c r="S20" s="21">
        <v>27279</v>
      </c>
      <c r="T20" s="21"/>
      <c r="U20" s="21"/>
      <c r="V20" s="21"/>
      <c r="W20" s="21"/>
      <c r="X20" s="21"/>
    </row>
    <row r="21" spans="2:28" x14ac:dyDescent="0.2">
      <c r="B21" s="4" t="s">
        <v>31</v>
      </c>
      <c r="C21" s="21">
        <f t="shared" ref="C21:D21" si="23">C19-C20</f>
        <v>29317</v>
      </c>
      <c r="D21" s="21">
        <f t="shared" si="23"/>
        <v>29960</v>
      </c>
      <c r="E21" s="21">
        <f t="shared" ref="E21" si="24">E19-E20</f>
        <v>28693</v>
      </c>
      <c r="F21" s="21">
        <f t="shared" ref="F21:I21" si="25">F19-F20</f>
        <v>28072</v>
      </c>
      <c r="G21" s="21">
        <f t="shared" si="25"/>
        <v>26610</v>
      </c>
      <c r="H21" s="21">
        <f t="shared" si="25"/>
        <v>26918</v>
      </c>
      <c r="I21" s="21">
        <f t="shared" si="25"/>
        <v>25936</v>
      </c>
      <c r="J21" s="21"/>
      <c r="K21" s="21"/>
      <c r="L21" s="21">
        <f t="shared" ref="L21:P21" si="26">L19-L20</f>
        <v>31201</v>
      </c>
      <c r="M21" s="21">
        <f t="shared" si="26"/>
        <v>35547</v>
      </c>
      <c r="N21" s="21">
        <f t="shared" si="26"/>
        <v>28780</v>
      </c>
      <c r="O21" s="21">
        <f t="shared" si="26"/>
        <v>43860</v>
      </c>
      <c r="P21" s="21">
        <f t="shared" si="26"/>
        <v>54196</v>
      </c>
      <c r="Q21" s="21">
        <f>Q19-Q20</f>
        <v>59277</v>
      </c>
      <c r="R21" s="21">
        <f>R19-R20</f>
        <v>56765</v>
      </c>
      <c r="S21" s="21">
        <f>S19-S20</f>
        <v>53528</v>
      </c>
      <c r="T21" s="21"/>
      <c r="U21" s="21"/>
      <c r="V21" s="21"/>
      <c r="W21" s="21"/>
      <c r="X21" s="21"/>
    </row>
    <row r="22" spans="2:28" x14ac:dyDescent="0.2">
      <c r="B22" s="4" t="s">
        <v>32</v>
      </c>
      <c r="C22" s="21">
        <v>14915</v>
      </c>
      <c r="D22" s="21">
        <f>Q22-C22</f>
        <v>15853</v>
      </c>
      <c r="E22" s="21">
        <v>14999</v>
      </c>
      <c r="F22" s="21">
        <f>+R22-SUM(E22)</f>
        <v>16003</v>
      </c>
      <c r="G22" s="21">
        <v>14732</v>
      </c>
      <c r="H22" s="21">
        <f t="shared" si="20"/>
        <v>15182</v>
      </c>
      <c r="I22" s="21">
        <v>14392</v>
      </c>
      <c r="J22" s="21"/>
      <c r="K22" s="21"/>
      <c r="L22" s="21">
        <v>17755</v>
      </c>
      <c r="M22" s="21">
        <v>20207</v>
      </c>
      <c r="N22" s="21">
        <v>16792</v>
      </c>
      <c r="O22" s="21">
        <v>22308</v>
      </c>
      <c r="P22" s="21">
        <v>28151</v>
      </c>
      <c r="Q22" s="21">
        <v>30768</v>
      </c>
      <c r="R22" s="21">
        <v>31002</v>
      </c>
      <c r="S22" s="21">
        <v>29914</v>
      </c>
      <c r="T22" s="21"/>
      <c r="U22" s="21"/>
      <c r="V22" s="21"/>
      <c r="W22" s="21"/>
      <c r="X22" s="21"/>
    </row>
    <row r="23" spans="2:28" x14ac:dyDescent="0.2">
      <c r="B23" s="4" t="s">
        <v>34</v>
      </c>
      <c r="C23" s="21">
        <v>2823</v>
      </c>
      <c r="D23" s="21">
        <f>Q23-C23</f>
        <v>2891</v>
      </c>
      <c r="E23" s="21">
        <v>3035</v>
      </c>
      <c r="F23" s="21">
        <f>+R23-SUM(E23)</f>
        <v>3185</v>
      </c>
      <c r="G23" s="21">
        <v>2889</v>
      </c>
      <c r="H23" s="21">
        <f t="shared" si="20"/>
        <v>3045</v>
      </c>
      <c r="I23" s="21">
        <v>2876</v>
      </c>
      <c r="J23" s="21"/>
      <c r="K23" s="21"/>
      <c r="L23" s="21">
        <v>3466</v>
      </c>
      <c r="M23" s="21">
        <v>3864</v>
      </c>
      <c r="N23" s="21">
        <v>3641</v>
      </c>
      <c r="O23" s="21">
        <v>4414</v>
      </c>
      <c r="P23" s="21">
        <v>5027</v>
      </c>
      <c r="Q23" s="21">
        <v>5714</v>
      </c>
      <c r="R23" s="21">
        <v>6220</v>
      </c>
      <c r="S23" s="21">
        <v>5934</v>
      </c>
      <c r="T23" s="21"/>
      <c r="U23" s="21"/>
      <c r="V23" s="21"/>
      <c r="W23" s="21"/>
      <c r="X23" s="21"/>
    </row>
    <row r="24" spans="2:28" x14ac:dyDescent="0.2">
      <c r="B24" s="4" t="s">
        <v>33</v>
      </c>
      <c r="C24" s="21">
        <v>-5</v>
      </c>
      <c r="D24" s="21">
        <f>Q24-C24</f>
        <v>12</v>
      </c>
      <c r="E24" s="21">
        <v>-6</v>
      </c>
      <c r="F24" s="21">
        <f>+R24-SUM(E24)</f>
        <v>34</v>
      </c>
      <c r="G24" s="21">
        <v>23</v>
      </c>
      <c r="H24" s="21">
        <f t="shared" si="20"/>
        <v>52</v>
      </c>
      <c r="I24" s="21">
        <v>23</v>
      </c>
      <c r="J24" s="21"/>
      <c r="K24" s="21"/>
      <c r="L24" s="21">
        <v>23</v>
      </c>
      <c r="M24" s="21">
        <v>28</v>
      </c>
      <c r="N24" s="21">
        <v>-42</v>
      </c>
      <c r="O24" s="21">
        <v>13</v>
      </c>
      <c r="P24" s="21">
        <v>37</v>
      </c>
      <c r="Q24" s="21">
        <v>7</v>
      </c>
      <c r="R24" s="21">
        <v>28</v>
      </c>
      <c r="S24" s="21">
        <v>75</v>
      </c>
      <c r="T24" s="21"/>
      <c r="U24" s="21"/>
      <c r="V24" s="21"/>
      <c r="W24" s="21"/>
      <c r="X24" s="21"/>
    </row>
    <row r="25" spans="2:28" x14ac:dyDescent="0.2">
      <c r="B25" s="4" t="s">
        <v>39</v>
      </c>
      <c r="C25" s="21">
        <v>-10</v>
      </c>
      <c r="D25" s="21">
        <f>Q25-C25</f>
        <v>-232</v>
      </c>
      <c r="E25" s="21">
        <v>-29</v>
      </c>
      <c r="F25" s="21">
        <f>+R25-SUM(E25)</f>
        <v>-635</v>
      </c>
      <c r="G25" s="21">
        <v>-14</v>
      </c>
      <c r="H25" s="21">
        <f t="shared" si="20"/>
        <v>-642</v>
      </c>
      <c r="I25" s="21">
        <v>23</v>
      </c>
      <c r="J25" s="21"/>
      <c r="K25" s="21"/>
      <c r="L25" s="21">
        <v>-126</v>
      </c>
      <c r="M25" s="21">
        <v>-231</v>
      </c>
      <c r="N25" s="21">
        <v>-333</v>
      </c>
      <c r="O25" s="21">
        <v>4</v>
      </c>
      <c r="P25" s="21">
        <v>-54</v>
      </c>
      <c r="Q25" s="21">
        <v>-242</v>
      </c>
      <c r="R25" s="21">
        <v>-664</v>
      </c>
      <c r="S25" s="21">
        <v>-656</v>
      </c>
      <c r="T25" s="21"/>
      <c r="U25" s="21"/>
      <c r="V25" s="21"/>
      <c r="W25" s="21"/>
      <c r="X25" s="21"/>
    </row>
    <row r="26" spans="2:28" x14ac:dyDescent="0.2">
      <c r="B26" s="4" t="s">
        <v>35</v>
      </c>
      <c r="C26" s="21">
        <f t="shared" ref="C26:I26" si="27">C21-C22-C23+C24+C25</f>
        <v>11564</v>
      </c>
      <c r="D26" s="21">
        <f t="shared" si="27"/>
        <v>10996</v>
      </c>
      <c r="E26" s="21">
        <f t="shared" si="27"/>
        <v>10624</v>
      </c>
      <c r="F26" s="21">
        <f t="shared" si="27"/>
        <v>8283</v>
      </c>
      <c r="G26" s="21">
        <f t="shared" si="27"/>
        <v>8998</v>
      </c>
      <c r="H26" s="21">
        <f t="shared" si="27"/>
        <v>8101</v>
      </c>
      <c r="I26" s="21">
        <f t="shared" si="27"/>
        <v>8714</v>
      </c>
      <c r="J26" s="21"/>
      <c r="K26" s="21"/>
      <c r="L26" s="21">
        <f t="shared" ref="L26:P26" si="28">L21-L22-L23+L24+L25</f>
        <v>9877</v>
      </c>
      <c r="M26" s="21">
        <f t="shared" si="28"/>
        <v>11273</v>
      </c>
      <c r="N26" s="21">
        <f t="shared" si="28"/>
        <v>7972</v>
      </c>
      <c r="O26" s="21">
        <f t="shared" si="28"/>
        <v>17155</v>
      </c>
      <c r="P26" s="21">
        <f t="shared" si="28"/>
        <v>21001</v>
      </c>
      <c r="Q26" s="21">
        <f>Q21-Q22-Q23+Q24+Q25</f>
        <v>22560</v>
      </c>
      <c r="R26" s="21">
        <f>R21-R22-R23+R24+R25</f>
        <v>18907</v>
      </c>
      <c r="S26" s="21">
        <f>S21-S22-S23+S24+S25</f>
        <v>17099</v>
      </c>
      <c r="T26" s="21"/>
      <c r="U26" s="21"/>
      <c r="V26" s="21"/>
      <c r="W26" s="21"/>
      <c r="X26" s="21"/>
    </row>
    <row r="27" spans="2:28" x14ac:dyDescent="0.2">
      <c r="B27" s="4" t="s">
        <v>36</v>
      </c>
      <c r="C27" s="21">
        <v>171</v>
      </c>
      <c r="D27" s="21">
        <f>Q27-C27</f>
        <v>196</v>
      </c>
      <c r="E27" s="21">
        <v>235</v>
      </c>
      <c r="F27" s="21">
        <f>+R27-SUM(E27)</f>
        <v>207</v>
      </c>
      <c r="G27" s="21">
        <v>211</v>
      </c>
      <c r="H27" s="21">
        <f t="shared" si="20"/>
        <v>137</v>
      </c>
      <c r="I27" s="21">
        <v>192</v>
      </c>
      <c r="J27" s="21"/>
      <c r="K27" s="21"/>
      <c r="L27" s="21">
        <v>117</v>
      </c>
      <c r="M27" s="21">
        <v>107</v>
      </c>
      <c r="N27" s="21">
        <v>35</v>
      </c>
      <c r="O27" s="21">
        <v>-41</v>
      </c>
      <c r="P27" s="21">
        <v>17</v>
      </c>
      <c r="Q27" s="21">
        <v>367</v>
      </c>
      <c r="R27" s="21">
        <v>442</v>
      </c>
      <c r="S27" s="21">
        <v>348</v>
      </c>
      <c r="T27" s="21"/>
      <c r="U27" s="21"/>
      <c r="V27" s="21"/>
      <c r="W27" s="21"/>
      <c r="X27" s="21"/>
    </row>
    <row r="28" spans="2:28" x14ac:dyDescent="0.2">
      <c r="B28" s="4" t="s">
        <v>37</v>
      </c>
      <c r="C28" s="21">
        <v>160</v>
      </c>
      <c r="D28" s="21">
        <f>Q28-C28</f>
        <v>233</v>
      </c>
      <c r="E28" s="21">
        <v>241</v>
      </c>
      <c r="F28" s="21">
        <f>+R28-SUM(E28)</f>
        <v>269</v>
      </c>
      <c r="G28" s="21">
        <v>278</v>
      </c>
      <c r="H28" s="21">
        <f t="shared" si="20"/>
        <v>275</v>
      </c>
      <c r="I28" s="21">
        <v>261</v>
      </c>
      <c r="J28" s="21"/>
      <c r="K28" s="21"/>
      <c r="L28" s="21">
        <v>0</v>
      </c>
      <c r="M28" s="21">
        <v>290</v>
      </c>
      <c r="N28" s="21">
        <v>281</v>
      </c>
      <c r="O28" s="21">
        <v>242</v>
      </c>
      <c r="P28" s="21">
        <v>254</v>
      </c>
      <c r="Q28" s="21">
        <v>393</v>
      </c>
      <c r="R28" s="21">
        <v>510</v>
      </c>
      <c r="S28" s="21">
        <v>553</v>
      </c>
      <c r="T28" s="21"/>
      <c r="U28" s="21"/>
      <c r="V28" s="21"/>
      <c r="W28" s="21"/>
      <c r="X28" s="21"/>
    </row>
    <row r="29" spans="2:28" x14ac:dyDescent="0.2">
      <c r="B29" s="4" t="s">
        <v>38</v>
      </c>
      <c r="C29" s="21">
        <v>798</v>
      </c>
      <c r="D29" s="21">
        <f>Q29-C29</f>
        <v>-973</v>
      </c>
      <c r="E29" s="21">
        <v>221</v>
      </c>
      <c r="F29" s="21">
        <f>+R29-SUM(E29)</f>
        <v>-61</v>
      </c>
      <c r="G29" s="21">
        <v>54</v>
      </c>
      <c r="H29" s="21">
        <f t="shared" si="20"/>
        <v>446</v>
      </c>
      <c r="I29" s="21">
        <v>341</v>
      </c>
      <c r="J29" s="21"/>
      <c r="K29" s="21"/>
      <c r="L29" s="21">
        <v>-271</v>
      </c>
      <c r="M29" s="21">
        <v>-162</v>
      </c>
      <c r="N29" s="21">
        <v>-292</v>
      </c>
      <c r="O29" s="21">
        <v>254</v>
      </c>
      <c r="P29" s="21">
        <v>-617</v>
      </c>
      <c r="Q29" s="21">
        <v>-175</v>
      </c>
      <c r="R29" s="21">
        <v>160</v>
      </c>
      <c r="S29" s="21">
        <v>500</v>
      </c>
      <c r="T29" s="21"/>
      <c r="U29" s="21"/>
      <c r="V29" s="21"/>
      <c r="W29" s="21"/>
      <c r="X29" s="21"/>
    </row>
    <row r="30" spans="2:28" x14ac:dyDescent="0.2">
      <c r="B30" s="4" t="s">
        <v>40</v>
      </c>
      <c r="C30" s="21">
        <f t="shared" ref="C30:I30" si="29">C26-C27-C28+C29</f>
        <v>12031</v>
      </c>
      <c r="D30" s="21">
        <f t="shared" si="29"/>
        <v>9594</v>
      </c>
      <c r="E30" s="21">
        <f t="shared" si="29"/>
        <v>10369</v>
      </c>
      <c r="F30" s="21">
        <f t="shared" si="29"/>
        <v>7746</v>
      </c>
      <c r="G30" s="21">
        <f t="shared" si="29"/>
        <v>8563</v>
      </c>
      <c r="H30" s="21">
        <f t="shared" si="29"/>
        <v>8135</v>
      </c>
      <c r="I30" s="21">
        <f t="shared" si="29"/>
        <v>8602</v>
      </c>
      <c r="J30" s="21"/>
      <c r="K30" s="21"/>
      <c r="L30" s="21">
        <f t="shared" ref="L30:O30" si="30">L26-L27-L28+L29</f>
        <v>9489</v>
      </c>
      <c r="M30" s="21">
        <f t="shared" si="30"/>
        <v>10714</v>
      </c>
      <c r="N30" s="21">
        <f t="shared" si="30"/>
        <v>7364</v>
      </c>
      <c r="O30" s="21">
        <f t="shared" si="30"/>
        <v>17208</v>
      </c>
      <c r="P30" s="21">
        <f>P26-P27-P28+P29</f>
        <v>20113</v>
      </c>
      <c r="Q30" s="21">
        <f>Q26-Q27-Q28+Q29</f>
        <v>21625</v>
      </c>
      <c r="R30" s="21">
        <f>R26-R27-R28+R29</f>
        <v>18115</v>
      </c>
      <c r="S30" s="21">
        <f>S26-S27-S28+S29</f>
        <v>16698</v>
      </c>
      <c r="T30" s="21"/>
      <c r="U30" s="21"/>
      <c r="V30" s="21"/>
      <c r="W30" s="21"/>
      <c r="X30" s="21"/>
    </row>
    <row r="31" spans="2:28" x14ac:dyDescent="0.2">
      <c r="B31" s="4" t="s">
        <v>41</v>
      </c>
      <c r="C31" s="21">
        <v>3129</v>
      </c>
      <c r="D31" s="21">
        <f>Q31-C31</f>
        <v>2544</v>
      </c>
      <c r="E31" s="21">
        <v>2805</v>
      </c>
      <c r="F31" s="21">
        <f>+R31-SUM(E31)</f>
        <v>2352</v>
      </c>
      <c r="G31" s="21">
        <v>2648</v>
      </c>
      <c r="H31" s="21">
        <f t="shared" si="20"/>
        <v>2828</v>
      </c>
      <c r="I31" s="21">
        <v>2583</v>
      </c>
      <c r="J31" s="21"/>
      <c r="K31" s="21"/>
      <c r="L31" s="21">
        <v>2499</v>
      </c>
      <c r="M31" s="21">
        <v>2932</v>
      </c>
      <c r="N31" s="21">
        <v>2409</v>
      </c>
      <c r="O31" s="21">
        <v>4510</v>
      </c>
      <c r="P31" s="21">
        <v>5362</v>
      </c>
      <c r="Q31" s="21">
        <v>5673</v>
      </c>
      <c r="R31" s="21">
        <v>5157</v>
      </c>
      <c r="S31" s="21">
        <v>5476</v>
      </c>
      <c r="T31" s="21"/>
      <c r="U31" s="21"/>
      <c r="V31" s="21"/>
      <c r="W31" s="21"/>
      <c r="X31" s="21"/>
    </row>
    <row r="32" spans="2:28" x14ac:dyDescent="0.2">
      <c r="B32" s="4" t="s">
        <v>42</v>
      </c>
      <c r="C32" s="21">
        <f t="shared" ref="C32:I32" si="31">C30-C31</f>
        <v>8902</v>
      </c>
      <c r="D32" s="21">
        <f t="shared" si="31"/>
        <v>7050</v>
      </c>
      <c r="E32" s="21">
        <f t="shared" si="31"/>
        <v>7564</v>
      </c>
      <c r="F32" s="21">
        <f t="shared" si="31"/>
        <v>5394</v>
      </c>
      <c r="G32" s="21">
        <f t="shared" si="31"/>
        <v>5915</v>
      </c>
      <c r="H32" s="21">
        <f t="shared" si="31"/>
        <v>5307</v>
      </c>
      <c r="I32" s="21">
        <f t="shared" si="31"/>
        <v>6019</v>
      </c>
      <c r="J32" s="21"/>
      <c r="K32" s="21"/>
      <c r="L32" s="21">
        <f t="shared" ref="L32:P32" si="32">L30-L31</f>
        <v>6990</v>
      </c>
      <c r="M32" s="21">
        <f t="shared" si="32"/>
        <v>7782</v>
      </c>
      <c r="N32" s="21">
        <f t="shared" si="32"/>
        <v>4955</v>
      </c>
      <c r="O32" s="21">
        <f t="shared" si="32"/>
        <v>12698</v>
      </c>
      <c r="P32" s="21">
        <f t="shared" si="32"/>
        <v>14751</v>
      </c>
      <c r="Q32" s="21">
        <f>Q30-Q31</f>
        <v>15952</v>
      </c>
      <c r="R32" s="21">
        <f>R30-R31</f>
        <v>12958</v>
      </c>
      <c r="S32" s="21">
        <f>S30-S31</f>
        <v>11222</v>
      </c>
      <c r="T32" s="21"/>
      <c r="U32" s="21"/>
      <c r="V32" s="21"/>
      <c r="W32" s="21"/>
      <c r="X32" s="21"/>
    </row>
    <row r="33" spans="2:28" x14ac:dyDescent="0.2">
      <c r="B33" s="4" t="s">
        <v>43</v>
      </c>
      <c r="C33" s="21">
        <v>421</v>
      </c>
      <c r="D33" s="21">
        <f>Q33-C33</f>
        <v>357</v>
      </c>
      <c r="E33" s="21">
        <v>297</v>
      </c>
      <c r="F33" s="21">
        <f>+R33-SUM(E33)</f>
        <v>111</v>
      </c>
      <c r="G33" s="21">
        <v>217</v>
      </c>
      <c r="H33" s="21">
        <f t="shared" si="20"/>
        <v>127</v>
      </c>
      <c r="I33" s="21">
        <v>322</v>
      </c>
      <c r="J33" s="21"/>
      <c r="K33" s="21"/>
      <c r="L33" s="21">
        <v>636</v>
      </c>
      <c r="M33" s="21">
        <v>611</v>
      </c>
      <c r="N33" s="21">
        <v>253</v>
      </c>
      <c r="O33" s="21">
        <v>662</v>
      </c>
      <c r="P33" s="21">
        <v>667</v>
      </c>
      <c r="Q33" s="21">
        <v>778</v>
      </c>
      <c r="R33" s="21">
        <v>408</v>
      </c>
      <c r="S33" s="21">
        <v>344</v>
      </c>
      <c r="T33" s="21"/>
      <c r="U33" s="21"/>
      <c r="V33" s="21"/>
      <c r="W33" s="21"/>
      <c r="X33" s="21"/>
    </row>
    <row r="34" spans="2:28" x14ac:dyDescent="0.2">
      <c r="B34" s="4" t="s">
        <v>44</v>
      </c>
      <c r="C34" s="61">
        <f t="shared" ref="C34:I34" si="33">C32-C33</f>
        <v>8481</v>
      </c>
      <c r="D34" s="61">
        <f t="shared" si="33"/>
        <v>6693</v>
      </c>
      <c r="E34" s="61">
        <f t="shared" si="33"/>
        <v>7267</v>
      </c>
      <c r="F34" s="61">
        <f t="shared" si="33"/>
        <v>5283</v>
      </c>
      <c r="G34" s="61">
        <f t="shared" si="33"/>
        <v>5698</v>
      </c>
      <c r="H34" s="61">
        <f t="shared" si="33"/>
        <v>5180</v>
      </c>
      <c r="I34" s="61">
        <f t="shared" si="33"/>
        <v>5697</v>
      </c>
      <c r="J34" s="61"/>
      <c r="K34" s="61"/>
      <c r="L34" s="61">
        <f t="shared" ref="L34:P34" si="34">L32-L33</f>
        <v>6354</v>
      </c>
      <c r="M34" s="61">
        <f t="shared" si="34"/>
        <v>7171</v>
      </c>
      <c r="N34" s="61">
        <f t="shared" si="34"/>
        <v>4702</v>
      </c>
      <c r="O34" s="61">
        <f t="shared" si="34"/>
        <v>12036</v>
      </c>
      <c r="P34" s="61">
        <f t="shared" si="34"/>
        <v>14084</v>
      </c>
      <c r="Q34" s="61">
        <f>Q32-Q33</f>
        <v>15174</v>
      </c>
      <c r="R34" s="61">
        <f>R32-R33</f>
        <v>12550</v>
      </c>
      <c r="S34" s="61">
        <f>S32-S33</f>
        <v>10878</v>
      </c>
      <c r="T34" s="43"/>
      <c r="U34" s="43"/>
      <c r="V34" s="43"/>
      <c r="W34" s="43"/>
    </row>
    <row r="35" spans="2:28" x14ac:dyDescent="0.2"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</row>
    <row r="36" spans="2:28" x14ac:dyDescent="0.2">
      <c r="B36" s="4" t="s">
        <v>45</v>
      </c>
      <c r="C36" s="43">
        <f t="shared" ref="C36:D36" si="35">C34/C37</f>
        <v>16.946498427814134</v>
      </c>
      <c r="D36" s="43">
        <f t="shared" si="35"/>
        <v>13.384485251035171</v>
      </c>
      <c r="E36" s="43">
        <f>E34/E37</f>
        <v>14.546990462482997</v>
      </c>
      <c r="F36" s="43">
        <f>F34/F37</f>
        <v>10.578429337118234</v>
      </c>
      <c r="G36" s="43">
        <f>G34/G37</f>
        <v>11.431683634651689</v>
      </c>
      <c r="H36" s="43">
        <f>H34/H37</f>
        <v>10.408149347861128</v>
      </c>
      <c r="I36" s="43">
        <f>I34/I37</f>
        <v>11.518697852151053</v>
      </c>
      <c r="J36" s="43"/>
      <c r="K36" s="43"/>
      <c r="L36" s="43">
        <f t="shared" ref="L36:N36" si="36">L34/L37</f>
        <v>12.636587082877103</v>
      </c>
      <c r="M36" s="43">
        <f t="shared" si="36"/>
        <v>14.250261065835947</v>
      </c>
      <c r="N36" s="43">
        <f t="shared" si="36"/>
        <v>9.335305741944449</v>
      </c>
      <c r="O36" s="43">
        <f t="shared" ref="O36:P36" si="37">O34/O37</f>
        <v>23.898605674015062</v>
      </c>
      <c r="P36" s="43">
        <f t="shared" si="37"/>
        <v>28.049033167312558</v>
      </c>
      <c r="Q36" s="43">
        <f>Q34/Q37</f>
        <v>30.344566937075005</v>
      </c>
      <c r="R36" s="43">
        <f>R34/R37</f>
        <v>25.129526439680834</v>
      </c>
      <c r="S36" s="43">
        <f>S34/S37</f>
        <v>21.857113630508369</v>
      </c>
      <c r="T36" s="43"/>
      <c r="U36" s="43"/>
      <c r="V36" s="43"/>
      <c r="W36" s="43"/>
    </row>
    <row r="37" spans="2:28" x14ac:dyDescent="0.2">
      <c r="B37" s="4" t="s">
        <v>2</v>
      </c>
      <c r="C37" s="43">
        <v>500.45736799999997</v>
      </c>
      <c r="D37" s="43">
        <v>500.05658599999998</v>
      </c>
      <c r="E37" s="43">
        <v>499.55349999999999</v>
      </c>
      <c r="F37" s="43">
        <v>499.41251499999998</v>
      </c>
      <c r="G37" s="43">
        <v>498.43926599999998</v>
      </c>
      <c r="H37" s="43">
        <v>497.68693999999999</v>
      </c>
      <c r="I37" s="89">
        <v>494.587155</v>
      </c>
      <c r="J37" s="43"/>
      <c r="K37" s="43"/>
      <c r="L37" s="43">
        <v>502.82564100000002</v>
      </c>
      <c r="M37" s="43">
        <v>503.21885099999997</v>
      </c>
      <c r="N37" s="43">
        <v>503.67927200000003</v>
      </c>
      <c r="O37" s="43">
        <v>503.62770799999998</v>
      </c>
      <c r="P37" s="43">
        <v>502.12069400000001</v>
      </c>
      <c r="Q37" s="43">
        <v>500.05656800000003</v>
      </c>
      <c r="R37" s="43">
        <v>499.41251499999998</v>
      </c>
      <c r="S37" s="43">
        <v>497.68693999999999</v>
      </c>
      <c r="T37" s="43"/>
      <c r="U37" s="43"/>
      <c r="V37" s="43"/>
      <c r="W37" s="43"/>
    </row>
    <row r="38" spans="2:28" x14ac:dyDescent="0.2"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</row>
    <row r="39" spans="2:28" x14ac:dyDescent="0.2">
      <c r="B39" s="4" t="s">
        <v>18</v>
      </c>
      <c r="C39" s="26"/>
      <c r="D39" s="26"/>
      <c r="E39" s="26">
        <f t="shared" ref="E39:F43" si="38">+E13/C13-1</f>
        <v>-0.11757309022320028</v>
      </c>
      <c r="F39" s="26">
        <f t="shared" si="38"/>
        <v>-0.10698626132709732</v>
      </c>
      <c r="G39" s="26">
        <f t="shared" ref="G39:G43" si="39">+G13/E13-1</f>
        <v>-7.8019237620235105E-2</v>
      </c>
      <c r="H39" s="26">
        <f t="shared" ref="H39:H43" si="40">+H13/F13-1</f>
        <v>-9.3289689034369849E-2</v>
      </c>
      <c r="I39" s="26">
        <f t="shared" ref="I39:I43" si="41">+I13/G13-1</f>
        <v>3.8639876352395408E-3</v>
      </c>
      <c r="J39" s="26">
        <f t="shared" ref="J39:J43" si="42">+J13/H13-1</f>
        <v>-1</v>
      </c>
      <c r="K39" s="26"/>
      <c r="L39" s="26"/>
      <c r="M39" s="26">
        <f t="shared" ref="M39:S43" si="43">+M13/L13-1</f>
        <v>8.4192105774839598E-2</v>
      </c>
      <c r="N39" s="26">
        <f t="shared" si="43"/>
        <v>-0.14723816355810615</v>
      </c>
      <c r="O39" s="26">
        <f t="shared" si="43"/>
        <v>0.25636172450052586</v>
      </c>
      <c r="P39" s="26">
        <f t="shared" si="43"/>
        <v>0.18831603615667891</v>
      </c>
      <c r="Q39" s="26">
        <f t="shared" si="43"/>
        <v>-7.0009860543738589E-2</v>
      </c>
      <c r="R39" s="26">
        <f t="shared" si="43"/>
        <v>-0.11208724628900335</v>
      </c>
      <c r="S39" s="26">
        <f t="shared" si="43"/>
        <v>-8.5977482088024582E-2</v>
      </c>
      <c r="T39" s="43"/>
      <c r="U39" s="43"/>
      <c r="V39" s="43"/>
      <c r="W39" s="43"/>
    </row>
    <row r="40" spans="2:28" x14ac:dyDescent="0.2">
      <c r="B40" s="4" t="s">
        <v>19</v>
      </c>
      <c r="C40" s="26"/>
      <c r="D40" s="26"/>
      <c r="E40" s="26">
        <f t="shared" si="38"/>
        <v>-1.8476514507135389E-2</v>
      </c>
      <c r="F40" s="26">
        <f t="shared" si="38"/>
        <v>-3.4179083162755308E-2</v>
      </c>
      <c r="G40" s="26">
        <f t="shared" si="39"/>
        <v>-7.972654181310479E-2</v>
      </c>
      <c r="H40" s="26">
        <f t="shared" si="40"/>
        <v>-8.0536251170585049E-2</v>
      </c>
      <c r="I40" s="26">
        <f t="shared" si="41"/>
        <v>-5.069317290086317E-2</v>
      </c>
      <c r="J40" s="26">
        <f t="shared" si="42"/>
        <v>-1</v>
      </c>
      <c r="K40" s="26"/>
      <c r="L40" s="26"/>
      <c r="M40" s="26">
        <f t="shared" si="43"/>
        <v>0.20493091303169875</v>
      </c>
      <c r="N40" s="26">
        <f t="shared" si="43"/>
        <v>-4.6319197733507234E-2</v>
      </c>
      <c r="O40" s="26">
        <f t="shared" si="43"/>
        <v>0.45687744612627901</v>
      </c>
      <c r="P40" s="26">
        <f t="shared" si="43"/>
        <v>0.25090626618332479</v>
      </c>
      <c r="Q40" s="26">
        <f t="shared" si="43"/>
        <v>9.1104326226454146E-2</v>
      </c>
      <c r="R40" s="26">
        <f t="shared" si="43"/>
        <v>-2.6298939979605862E-2</v>
      </c>
      <c r="S40" s="26">
        <f t="shared" si="43"/>
        <v>-8.0126643935703901E-2</v>
      </c>
      <c r="T40" s="43"/>
      <c r="U40" s="43"/>
      <c r="V40" s="43"/>
      <c r="W40" s="43"/>
    </row>
    <row r="41" spans="2:28" x14ac:dyDescent="0.2">
      <c r="B41" s="4" t="s">
        <v>24</v>
      </c>
      <c r="C41" s="26"/>
      <c r="D41" s="26"/>
      <c r="E41" s="26">
        <f t="shared" si="38"/>
        <v>2.6812313803376453E-2</v>
      </c>
      <c r="F41" s="26">
        <f t="shared" si="38"/>
        <v>9.191609710110793E-3</v>
      </c>
      <c r="G41" s="26">
        <f t="shared" si="39"/>
        <v>-1.3056092843326872E-2</v>
      </c>
      <c r="H41" s="26">
        <f t="shared" si="40"/>
        <v>-4.4371788883699192E-2</v>
      </c>
      <c r="I41" s="26">
        <f t="shared" si="41"/>
        <v>-4.1156295933366005E-2</v>
      </c>
      <c r="J41" s="26">
        <f t="shared" si="42"/>
        <v>-1</v>
      </c>
      <c r="K41" s="26"/>
      <c r="L41" s="26"/>
      <c r="M41" s="26">
        <f t="shared" si="43"/>
        <v>0.12196323046618507</v>
      </c>
      <c r="N41" s="26">
        <f t="shared" si="43"/>
        <v>-0.23218727139722017</v>
      </c>
      <c r="O41" s="26">
        <f t="shared" si="43"/>
        <v>0.25914634146341453</v>
      </c>
      <c r="P41" s="26">
        <f t="shared" si="43"/>
        <v>0.16858353510895885</v>
      </c>
      <c r="Q41" s="26">
        <f t="shared" si="43"/>
        <v>7.1095571095571186E-2</v>
      </c>
      <c r="R41" s="26">
        <f t="shared" si="43"/>
        <v>1.7772941603191983E-2</v>
      </c>
      <c r="S41" s="26">
        <f t="shared" si="43"/>
        <v>-2.8985507246376829E-2</v>
      </c>
      <c r="T41" s="43"/>
      <c r="U41" s="43"/>
      <c r="V41" s="43"/>
      <c r="W41" s="43"/>
    </row>
    <row r="42" spans="2:28" x14ac:dyDescent="0.2">
      <c r="B42" s="4" t="s">
        <v>233</v>
      </c>
      <c r="C42" s="26"/>
      <c r="D42" s="26"/>
      <c r="E42" s="26">
        <f t="shared" si="38"/>
        <v>-5.1041090842085857E-2</v>
      </c>
      <c r="F42" s="26">
        <f t="shared" si="38"/>
        <v>-8.7671232876712635E-3</v>
      </c>
      <c r="G42" s="26">
        <f t="shared" si="39"/>
        <v>-1.1650485436893177E-2</v>
      </c>
      <c r="H42" s="26">
        <f t="shared" si="40"/>
        <v>-5.7121798415330494E-3</v>
      </c>
      <c r="I42" s="26">
        <f t="shared" si="41"/>
        <v>2.6522593320235766E-2</v>
      </c>
      <c r="J42" s="26">
        <f t="shared" si="42"/>
        <v>-1</v>
      </c>
      <c r="K42" s="26"/>
      <c r="L42" s="26"/>
      <c r="M42" s="26">
        <f t="shared" si="43"/>
        <v>6.8396798447732277E-2</v>
      </c>
      <c r="N42" s="26">
        <f t="shared" si="43"/>
        <v>-0.23813847900113505</v>
      </c>
      <c r="O42" s="26">
        <f t="shared" si="43"/>
        <v>1.5905840286054826</v>
      </c>
      <c r="P42" s="26">
        <f t="shared" si="43"/>
        <v>0.21704623878536933</v>
      </c>
      <c r="Q42" s="26">
        <f t="shared" si="43"/>
        <v>3.0337397221434692E-2</v>
      </c>
      <c r="R42" s="26">
        <f t="shared" si="43"/>
        <v>-2.9811043845165974E-2</v>
      </c>
      <c r="S42" s="26">
        <f t="shared" si="43"/>
        <v>-8.6035737921905664E-3</v>
      </c>
      <c r="T42" s="43"/>
      <c r="U42" s="43"/>
      <c r="V42" s="43"/>
      <c r="W42" s="43"/>
    </row>
    <row r="43" spans="2:28" x14ac:dyDescent="0.2">
      <c r="B43" s="4" t="s">
        <v>21</v>
      </c>
      <c r="C43" s="26"/>
      <c r="D43" s="26"/>
      <c r="E43" s="26">
        <f t="shared" si="38"/>
        <v>3.3153800119688714E-2</v>
      </c>
      <c r="F43" s="26">
        <f t="shared" si="38"/>
        <v>1.0493179433368249E-2</v>
      </c>
      <c r="G43" s="26">
        <f t="shared" si="39"/>
        <v>-1.3901760889712955E-3</v>
      </c>
      <c r="H43" s="26">
        <f t="shared" si="40"/>
        <v>1.0176531671858724E-2</v>
      </c>
      <c r="I43" s="26">
        <f t="shared" si="41"/>
        <v>-2.4825986078886308E-2</v>
      </c>
      <c r="J43" s="26">
        <f t="shared" si="42"/>
        <v>-1</v>
      </c>
      <c r="K43" s="26"/>
      <c r="L43" s="26"/>
      <c r="M43" s="26">
        <f t="shared" si="43"/>
        <v>8.3907372123699142E-2</v>
      </c>
      <c r="N43" s="26">
        <f t="shared" si="43"/>
        <v>-0.31343384490568593</v>
      </c>
      <c r="O43" s="26">
        <f t="shared" si="43"/>
        <v>0.15745937961595269</v>
      </c>
      <c r="P43" s="26">
        <f t="shared" si="43"/>
        <v>0.26356984856219157</v>
      </c>
      <c r="Q43" s="26">
        <f t="shared" si="43"/>
        <v>0.20421492054942103</v>
      </c>
      <c r="R43" s="26">
        <f t="shared" si="43"/>
        <v>2.1079116578138102E-2</v>
      </c>
      <c r="S43" s="26">
        <f t="shared" si="43"/>
        <v>4.7092322856203683E-3</v>
      </c>
      <c r="T43" s="43"/>
      <c r="U43" s="43"/>
      <c r="V43" s="43"/>
      <c r="W43" s="43"/>
    </row>
    <row r="44" spans="2:28" s="18" customFormat="1" x14ac:dyDescent="0.2">
      <c r="B44" s="18" t="s">
        <v>46</v>
      </c>
      <c r="C44" s="66"/>
      <c r="D44" s="66"/>
      <c r="E44" s="67">
        <f t="shared" ref="E44" si="44">+E19/C19-1</f>
        <v>-1.3328598484848464E-2</v>
      </c>
      <c r="F44" s="67">
        <f>+F19/D19-1</f>
        <v>-2.0654475895520719E-2</v>
      </c>
      <c r="G44" s="67">
        <f t="shared" ref="G44" si="45">+G19/E19-1</f>
        <v>-4.4796890371187947E-2</v>
      </c>
      <c r="H44" s="67">
        <f t="shared" ref="H44" si="46">+H19/F19-1</f>
        <v>-4.6714411942519685E-2</v>
      </c>
      <c r="I44" s="67">
        <f t="shared" ref="I44" si="47">+I19/G19-1</f>
        <v>-2.9289123335845213E-2</v>
      </c>
      <c r="J44" s="67">
        <f t="shared" ref="J44" si="48">+J19/H19-1</f>
        <v>-1</v>
      </c>
      <c r="K44" s="67"/>
      <c r="L44" s="66"/>
      <c r="M44" s="67">
        <f t="shared" ref="M44:S44" si="49">+M19/L19-1</f>
        <v>0.14615811728526884</v>
      </c>
      <c r="N44" s="67">
        <f t="shared" si="49"/>
        <v>-0.16804546301471956</v>
      </c>
      <c r="O44" s="67">
        <f t="shared" si="49"/>
        <v>0.43815368076862771</v>
      </c>
      <c r="P44" s="67">
        <f t="shared" si="49"/>
        <v>0.23310752939344392</v>
      </c>
      <c r="Q44" s="67">
        <f t="shared" si="49"/>
        <v>8.8010204081632626E-2</v>
      </c>
      <c r="R44" s="67">
        <f t="shared" si="49"/>
        <v>-1.7062667579770818E-2</v>
      </c>
      <c r="S44" s="67">
        <f t="shared" si="49"/>
        <v>-4.577069777877496E-2</v>
      </c>
      <c r="T44" s="67">
        <f t="shared" ref="T44" si="50">+T19/S19-1</f>
        <v>3.7273132278144328E-2</v>
      </c>
      <c r="U44" s="67">
        <f t="shared" ref="U44" si="51">+U19/T19-1</f>
        <v>5.7855049927265867E-2</v>
      </c>
      <c r="V44" s="67">
        <f t="shared" ref="V44" si="52">+V19/U19-1</f>
        <v>5.6992855376561069E-2</v>
      </c>
      <c r="W44" s="67">
        <f t="shared" ref="W44" si="53">+W19/V19-1</f>
        <v>5.6185241767187977E-2</v>
      </c>
      <c r="X44" s="67">
        <f t="shared" ref="X44" si="54">+X19/W19-1</f>
        <v>5.5427597044544585E-2</v>
      </c>
      <c r="Y44" s="67">
        <f t="shared" ref="Y44" si="55">+Y19/X19-1</f>
        <v>5.4715813948367664E-2</v>
      </c>
      <c r="Z44" s="67">
        <f t="shared" ref="Z44" si="56">+Z19/Y19-1</f>
        <v>2.6668398735207877E-2</v>
      </c>
      <c r="AA44" s="67">
        <f t="shared" ref="AA44" si="57">+AA19/Z19-1</f>
        <v>2.6746786487949814E-2</v>
      </c>
      <c r="AB44" s="67">
        <f t="shared" ref="AB44" si="58">+AB19/AA19-1</f>
        <v>2.6825216663117324E-2</v>
      </c>
    </row>
    <row r="45" spans="2:28" x14ac:dyDescent="0.2">
      <c r="B45" s="4" t="s">
        <v>47</v>
      </c>
      <c r="C45" s="26">
        <f t="shared" ref="C45:F45" si="59">C21/C19</f>
        <v>0.69405776515151518</v>
      </c>
      <c r="D45" s="26">
        <f t="shared" si="59"/>
        <v>0.68225810124564479</v>
      </c>
      <c r="E45" s="26">
        <f t="shared" si="59"/>
        <v>0.6884612616071214</v>
      </c>
      <c r="F45" s="26">
        <f t="shared" si="59"/>
        <v>0.65274612844719337</v>
      </c>
      <c r="G45" s="26">
        <f t="shared" ref="G45:K45" si="60">G21/G19</f>
        <v>0.66842501883948757</v>
      </c>
      <c r="H45" s="26">
        <f t="shared" si="60"/>
        <v>0.6565846281435227</v>
      </c>
      <c r="I45" s="26">
        <f t="shared" si="60"/>
        <v>0.67115205465272743</v>
      </c>
      <c r="J45" s="26" t="e">
        <f t="shared" si="60"/>
        <v>#DIV/0!</v>
      </c>
      <c r="K45" s="26"/>
      <c r="L45" s="26">
        <f t="shared" ref="L45:R45" si="61">L21/L19</f>
        <v>0.66631785760047835</v>
      </c>
      <c r="M45" s="26">
        <f t="shared" si="61"/>
        <v>0.66232532140860811</v>
      </c>
      <c r="N45" s="26">
        <f t="shared" si="61"/>
        <v>0.6445544332713713</v>
      </c>
      <c r="O45" s="26">
        <f t="shared" si="61"/>
        <v>0.68301798645176359</v>
      </c>
      <c r="P45" s="26">
        <f t="shared" si="61"/>
        <v>0.68443119822186305</v>
      </c>
      <c r="Q45" s="26">
        <f t="shared" si="61"/>
        <v>0.68804336471161776</v>
      </c>
      <c r="R45" s="26">
        <f t="shared" si="61"/>
        <v>0.67032344154080514</v>
      </c>
      <c r="S45" s="26">
        <v>0.67</v>
      </c>
      <c r="T45" s="43"/>
      <c r="U45" s="43"/>
      <c r="V45" s="43"/>
      <c r="W45" s="43"/>
    </row>
    <row r="46" spans="2:28" x14ac:dyDescent="0.2">
      <c r="B46" s="4" t="s">
        <v>48</v>
      </c>
      <c r="C46" s="26">
        <f t="shared" ref="C46:F46" si="62">C26/C19</f>
        <v>0.27376893939393937</v>
      </c>
      <c r="D46" s="26">
        <f t="shared" si="62"/>
        <v>0.25040420832099836</v>
      </c>
      <c r="E46" s="26">
        <f t="shared" si="62"/>
        <v>0.25491278163015574</v>
      </c>
      <c r="F46" s="26">
        <f t="shared" si="62"/>
        <v>0.19260103241408175</v>
      </c>
      <c r="G46" s="26">
        <f t="shared" ref="G46:K46" si="63">G26/G19</f>
        <v>0.2260236121577493</v>
      </c>
      <c r="H46" s="26">
        <f t="shared" si="63"/>
        <v>0.19759982437739346</v>
      </c>
      <c r="I46" s="26">
        <f t="shared" si="63"/>
        <v>0.2254942552530794</v>
      </c>
      <c r="J46" s="26" t="e">
        <f t="shared" si="63"/>
        <v>#DIV/0!</v>
      </c>
      <c r="K46" s="26"/>
      <c r="L46" s="26">
        <f t="shared" ref="L46:R46" si="64">L26/L19</f>
        <v>0.21092982531072482</v>
      </c>
      <c r="M46" s="26">
        <f t="shared" si="64"/>
        <v>0.21004285448108814</v>
      </c>
      <c r="N46" s="26">
        <f t="shared" si="64"/>
        <v>0.17854023426127075</v>
      </c>
      <c r="O46" s="26">
        <f t="shared" si="64"/>
        <v>0.26714941991746477</v>
      </c>
      <c r="P46" s="26">
        <f t="shared" si="64"/>
        <v>0.265217720751667</v>
      </c>
      <c r="Q46" s="26">
        <f t="shared" si="64"/>
        <v>0.26185971469362646</v>
      </c>
      <c r="R46" s="26">
        <f t="shared" si="64"/>
        <v>0.22326795224543297</v>
      </c>
      <c r="S46" s="26">
        <v>0.23</v>
      </c>
      <c r="T46" s="26">
        <f>+S46+1.5%</f>
        <v>0.245</v>
      </c>
      <c r="U46" s="26">
        <f t="shared" ref="U46:X46" si="65">+T46+1.5%</f>
        <v>0.26</v>
      </c>
      <c r="V46" s="26">
        <f t="shared" si="65"/>
        <v>0.27500000000000002</v>
      </c>
      <c r="W46" s="26">
        <f t="shared" si="65"/>
        <v>0.29000000000000004</v>
      </c>
      <c r="X46" s="26">
        <f t="shared" si="65"/>
        <v>0.30500000000000005</v>
      </c>
      <c r="Y46" s="60">
        <f>+X46-1%</f>
        <v>0.29500000000000004</v>
      </c>
      <c r="Z46" s="60">
        <f t="shared" ref="Z46:AB46" si="66">+Y46-1%</f>
        <v>0.28500000000000003</v>
      </c>
      <c r="AA46" s="60">
        <f t="shared" si="66"/>
        <v>0.27500000000000002</v>
      </c>
      <c r="AB46" s="60">
        <f t="shared" si="66"/>
        <v>0.26500000000000001</v>
      </c>
    </row>
    <row r="47" spans="2:28" x14ac:dyDescent="0.2">
      <c r="B47" s="4" t="s">
        <v>49</v>
      </c>
      <c r="C47" s="26">
        <f t="shared" ref="C47:F47" si="67">C34/C19</f>
        <v>0.20078124999999999</v>
      </c>
      <c r="D47" s="26">
        <f t="shared" si="67"/>
        <v>0.15241500239109149</v>
      </c>
      <c r="E47" s="26">
        <f t="shared" si="67"/>
        <v>0.17436475754013006</v>
      </c>
      <c r="F47" s="26">
        <f t="shared" si="67"/>
        <v>0.1228433241873227</v>
      </c>
      <c r="G47" s="26">
        <f t="shared" ref="G47:K47" si="68">G34/G19</f>
        <v>0.14312986686762119</v>
      </c>
      <c r="H47" s="26">
        <f t="shared" si="68"/>
        <v>0.12635070858843331</v>
      </c>
      <c r="I47" s="26">
        <f t="shared" si="68"/>
        <v>0.14742262705724046</v>
      </c>
      <c r="J47" s="26" t="e">
        <f t="shared" si="68"/>
        <v>#DIV/0!</v>
      </c>
      <c r="K47" s="26"/>
      <c r="L47" s="26">
        <f t="shared" ref="L47:R47" si="69">L34/L19</f>
        <v>0.13569384529961986</v>
      </c>
      <c r="M47" s="26">
        <f t="shared" si="69"/>
        <v>0.13361281907956027</v>
      </c>
      <c r="N47" s="26">
        <f t="shared" si="69"/>
        <v>0.10530559225997178</v>
      </c>
      <c r="O47" s="26">
        <f t="shared" si="69"/>
        <v>0.18743284279373978</v>
      </c>
      <c r="P47" s="26">
        <f t="shared" si="69"/>
        <v>0.17786421499292787</v>
      </c>
      <c r="Q47" s="26">
        <f t="shared" si="69"/>
        <v>0.17612851554792056</v>
      </c>
      <c r="R47" s="26">
        <f t="shared" si="69"/>
        <v>0.14819975673984154</v>
      </c>
      <c r="S47" s="26">
        <v>0.14000000000000001</v>
      </c>
      <c r="T47" s="43"/>
      <c r="U47" s="43"/>
      <c r="V47" s="43"/>
      <c r="W47" s="43"/>
    </row>
    <row r="48" spans="2:28" x14ac:dyDescent="0.2">
      <c r="B48" s="4" t="s">
        <v>50</v>
      </c>
      <c r="C48" s="26">
        <f t="shared" ref="C48:F48" si="70">C31/C30</f>
        <v>0.26007813149364145</v>
      </c>
      <c r="D48" s="26">
        <f t="shared" si="70"/>
        <v>0.26516572858036275</v>
      </c>
      <c r="E48" s="26">
        <f t="shared" si="70"/>
        <v>0.27051788986401776</v>
      </c>
      <c r="F48" s="26">
        <f t="shared" si="70"/>
        <v>0.30364058869093724</v>
      </c>
      <c r="G48" s="26">
        <f t="shared" ref="G48:K48" si="71">G31/G30</f>
        <v>0.30923741679317995</v>
      </c>
      <c r="H48" s="26">
        <f t="shared" si="71"/>
        <v>0.34763368162261832</v>
      </c>
      <c r="I48" s="26">
        <f t="shared" si="71"/>
        <v>0.30027900488258547</v>
      </c>
      <c r="J48" s="26" t="e">
        <f t="shared" si="71"/>
        <v>#DIV/0!</v>
      </c>
      <c r="K48" s="26"/>
      <c r="L48" s="26">
        <f t="shared" ref="L48:R48" si="72">L31/L30</f>
        <v>0.26335757192538728</v>
      </c>
      <c r="M48" s="26">
        <f t="shared" si="72"/>
        <v>0.27366063095015869</v>
      </c>
      <c r="N48" s="26">
        <f t="shared" si="72"/>
        <v>0.32713199348180338</v>
      </c>
      <c r="O48" s="26">
        <f t="shared" si="72"/>
        <v>0.26208740120874013</v>
      </c>
      <c r="P48" s="26">
        <f t="shared" si="72"/>
        <v>0.26659374533883556</v>
      </c>
      <c r="Q48" s="26">
        <f t="shared" si="72"/>
        <v>0.26233526011560693</v>
      </c>
      <c r="R48" s="26">
        <f t="shared" si="72"/>
        <v>0.28468120342257797</v>
      </c>
      <c r="S48" s="26">
        <v>0.28999999999999998</v>
      </c>
      <c r="T48" s="43"/>
      <c r="U48" s="43"/>
      <c r="V48" s="43"/>
      <c r="W48" s="43"/>
    </row>
    <row r="49" spans="1:24" x14ac:dyDescent="0.2"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R49" s="43"/>
      <c r="S49" s="43"/>
      <c r="T49" s="43"/>
      <c r="U49" s="43"/>
      <c r="V49" s="43"/>
      <c r="W49" s="43"/>
    </row>
    <row r="50" spans="1:24" x14ac:dyDescent="0.2">
      <c r="A50" s="58" t="s">
        <v>17</v>
      </c>
      <c r="B50" s="59" t="s">
        <v>51</v>
      </c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</row>
    <row r="51" spans="1:24" x14ac:dyDescent="0.2">
      <c r="B51" s="4" t="s">
        <v>52</v>
      </c>
      <c r="C51" s="21"/>
      <c r="D51" s="21"/>
      <c r="E51" s="21">
        <v>25895</v>
      </c>
      <c r="F51" s="21"/>
      <c r="G51" s="21">
        <v>25043</v>
      </c>
      <c r="H51" s="21"/>
      <c r="I51" s="21"/>
      <c r="J51" s="21"/>
      <c r="K51" s="21"/>
      <c r="L51" s="21">
        <v>17254</v>
      </c>
      <c r="M51" s="21">
        <v>17212</v>
      </c>
      <c r="N51" s="21">
        <v>17012</v>
      </c>
      <c r="O51" s="21">
        <v>24551</v>
      </c>
      <c r="P51" s="21">
        <v>25432</v>
      </c>
      <c r="Q51" s="21">
        <v>25589</v>
      </c>
      <c r="R51" s="21">
        <v>26280</v>
      </c>
      <c r="S51" s="21">
        <v>23129</v>
      </c>
      <c r="T51" s="43"/>
      <c r="U51" s="43"/>
      <c r="V51" s="43"/>
      <c r="W51" s="43"/>
    </row>
    <row r="52" spans="1:24" x14ac:dyDescent="0.2">
      <c r="B52" s="4" t="s">
        <v>53</v>
      </c>
      <c r="C52" s="21"/>
      <c r="D52" s="21"/>
      <c r="E52" s="21">
        <v>21379</v>
      </c>
      <c r="F52" s="21"/>
      <c r="G52" s="21">
        <v>18365</v>
      </c>
      <c r="H52" s="21"/>
      <c r="I52" s="21"/>
      <c r="J52" s="21"/>
      <c r="K52" s="21"/>
      <c r="L52" s="21">
        <v>13727</v>
      </c>
      <c r="M52" s="21">
        <v>16034</v>
      </c>
      <c r="N52" s="21">
        <v>16042</v>
      </c>
      <c r="O52" s="21">
        <v>25904</v>
      </c>
      <c r="P52" s="21">
        <v>24782</v>
      </c>
      <c r="Q52" s="21">
        <v>24022</v>
      </c>
      <c r="R52" s="21">
        <v>20307</v>
      </c>
      <c r="S52" s="21">
        <v>18315</v>
      </c>
      <c r="T52" s="43"/>
      <c r="U52" s="43"/>
      <c r="V52" s="43"/>
      <c r="W52" s="43"/>
    </row>
    <row r="53" spans="1:24" x14ac:dyDescent="0.2">
      <c r="B53" s="4" t="s">
        <v>54</v>
      </c>
      <c r="C53" s="21"/>
      <c r="D53" s="21"/>
      <c r="E53" s="21">
        <v>28531</v>
      </c>
      <c r="F53" s="21"/>
      <c r="G53" s="21">
        <v>29403</v>
      </c>
      <c r="H53" s="21"/>
      <c r="I53" s="21"/>
      <c r="J53" s="21"/>
      <c r="K53" s="21"/>
      <c r="L53" s="21">
        <v>15112</v>
      </c>
      <c r="M53" s="21">
        <v>18533</v>
      </c>
      <c r="N53" s="21">
        <v>18224</v>
      </c>
      <c r="O53" s="21">
        <v>20193</v>
      </c>
      <c r="P53" s="21">
        <v>23055</v>
      </c>
      <c r="Q53" s="21">
        <v>27331</v>
      </c>
      <c r="R53" s="21">
        <v>29886</v>
      </c>
      <c r="S53" s="21">
        <v>29728</v>
      </c>
      <c r="T53" s="43"/>
      <c r="U53" s="43"/>
      <c r="V53" s="43"/>
      <c r="W53" s="43"/>
    </row>
    <row r="54" spans="1:24" x14ac:dyDescent="0.2">
      <c r="B54" s="4" t="s">
        <v>55</v>
      </c>
      <c r="C54" s="21"/>
      <c r="D54" s="21"/>
      <c r="E54" s="21">
        <v>16060</v>
      </c>
      <c r="F54" s="21"/>
      <c r="G54" s="21">
        <v>15724</v>
      </c>
      <c r="H54" s="21"/>
      <c r="I54" s="21"/>
      <c r="J54" s="21"/>
      <c r="K54" s="21"/>
      <c r="L54" s="21">
        <v>0</v>
      </c>
      <c r="M54" s="21">
        <v>12409</v>
      </c>
      <c r="N54" s="21">
        <v>12521</v>
      </c>
      <c r="O54" s="21">
        <v>13705</v>
      </c>
      <c r="P54" s="21">
        <v>14615</v>
      </c>
      <c r="Q54" s="21">
        <v>15679</v>
      </c>
      <c r="R54" s="21">
        <v>16620</v>
      </c>
      <c r="S54" s="21">
        <v>14860</v>
      </c>
      <c r="T54" s="43"/>
      <c r="U54" s="43"/>
      <c r="V54" s="43"/>
      <c r="W54" s="43"/>
    </row>
    <row r="55" spans="1:24" x14ac:dyDescent="0.2">
      <c r="B55" s="4" t="s">
        <v>56</v>
      </c>
      <c r="C55" s="21"/>
      <c r="D55" s="21"/>
      <c r="E55" s="21">
        <v>1388</v>
      </c>
      <c r="F55" s="21"/>
      <c r="G55" s="21">
        <v>1259</v>
      </c>
      <c r="H55" s="21"/>
      <c r="I55" s="21"/>
      <c r="J55" s="21"/>
      <c r="K55" s="21"/>
      <c r="L55" s="21">
        <v>638</v>
      </c>
      <c r="M55" s="21">
        <v>1074</v>
      </c>
      <c r="N55" s="21">
        <v>990</v>
      </c>
      <c r="O55" s="21">
        <v>1084</v>
      </c>
      <c r="P55" s="21">
        <v>1066</v>
      </c>
      <c r="Q55" s="21">
        <v>991</v>
      </c>
      <c r="R55" s="21">
        <v>1343</v>
      </c>
      <c r="S55" s="21">
        <v>1214</v>
      </c>
      <c r="T55" s="43"/>
      <c r="U55" s="43"/>
      <c r="V55" s="43"/>
      <c r="W55" s="43"/>
    </row>
    <row r="56" spans="1:24" x14ac:dyDescent="0.2">
      <c r="B56" s="4" t="s">
        <v>57</v>
      </c>
      <c r="C56" s="21"/>
      <c r="D56" s="21"/>
      <c r="E56" s="21">
        <v>1146</v>
      </c>
      <c r="F56" s="21"/>
      <c r="G56" s="21">
        <v>1640</v>
      </c>
      <c r="H56" s="21"/>
      <c r="I56" s="21"/>
      <c r="J56" s="21"/>
      <c r="K56" s="21"/>
      <c r="L56" s="21">
        <v>1100</v>
      </c>
      <c r="M56" s="21">
        <v>915</v>
      </c>
      <c r="N56" s="21">
        <v>739</v>
      </c>
      <c r="O56" s="21">
        <v>1363</v>
      </c>
      <c r="P56" s="21">
        <v>1109</v>
      </c>
      <c r="Q56" s="21">
        <v>1363</v>
      </c>
      <c r="R56" s="21">
        <v>1632</v>
      </c>
      <c r="S56" s="21">
        <v>1891</v>
      </c>
      <c r="T56" s="43"/>
      <c r="U56" s="43"/>
      <c r="V56" s="43"/>
      <c r="W56" s="43"/>
    </row>
    <row r="57" spans="1:24" x14ac:dyDescent="0.2">
      <c r="B57" s="4" t="s">
        <v>22</v>
      </c>
      <c r="C57" s="21"/>
      <c r="D57" s="21"/>
      <c r="E57" s="21">
        <v>1032</v>
      </c>
      <c r="F57" s="21"/>
      <c r="G57" s="21">
        <v>1150</v>
      </c>
      <c r="H57" s="21"/>
      <c r="I57" s="21"/>
      <c r="J57" s="21"/>
      <c r="K57" s="21"/>
      <c r="L57" s="21">
        <v>986</v>
      </c>
      <c r="M57" s="21">
        <v>1546</v>
      </c>
      <c r="N57" s="21">
        <v>845</v>
      </c>
      <c r="O57" s="21">
        <v>1054</v>
      </c>
      <c r="P57" s="21">
        <v>1186</v>
      </c>
      <c r="Q57" s="21">
        <v>1017</v>
      </c>
      <c r="R57" s="21">
        <v>1106</v>
      </c>
      <c r="S57" s="21">
        <v>983</v>
      </c>
      <c r="T57" s="43"/>
      <c r="U57" s="43"/>
      <c r="V57" s="43"/>
      <c r="W57" s="43"/>
    </row>
    <row r="58" spans="1:24" x14ac:dyDescent="0.2">
      <c r="B58" s="4" t="s">
        <v>58</v>
      </c>
      <c r="C58" s="21"/>
      <c r="D58" s="21"/>
      <c r="E58" s="21">
        <v>4094</v>
      </c>
      <c r="F58" s="21"/>
      <c r="G58" s="21">
        <v>4092</v>
      </c>
      <c r="H58" s="21"/>
      <c r="I58" s="21"/>
      <c r="J58" s="21"/>
      <c r="K58" s="21"/>
      <c r="L58" s="21">
        <v>1932</v>
      </c>
      <c r="M58" s="21">
        <v>2274</v>
      </c>
      <c r="N58" s="21">
        <v>2325</v>
      </c>
      <c r="O58" s="21">
        <v>3156</v>
      </c>
      <c r="P58" s="21">
        <v>3661</v>
      </c>
      <c r="Q58" s="21">
        <v>3992</v>
      </c>
      <c r="R58" s="21">
        <v>4545</v>
      </c>
      <c r="S58" s="21">
        <v>3738</v>
      </c>
      <c r="T58" s="43"/>
      <c r="U58" s="43"/>
      <c r="V58" s="43"/>
      <c r="W58" s="43"/>
    </row>
    <row r="59" spans="1:24" x14ac:dyDescent="0.2">
      <c r="B59" s="4" t="s">
        <v>59</v>
      </c>
      <c r="C59" s="21"/>
      <c r="D59" s="21"/>
      <c r="E59" s="21">
        <f t="shared" ref="E59:G59" si="73">SUM(E51:E58)</f>
        <v>99525</v>
      </c>
      <c r="F59" s="21">
        <f t="shared" si="73"/>
        <v>0</v>
      </c>
      <c r="G59" s="21">
        <f t="shared" si="73"/>
        <v>96676</v>
      </c>
      <c r="H59" s="21"/>
      <c r="I59" s="21"/>
      <c r="J59" s="21"/>
      <c r="K59" s="21"/>
      <c r="L59" s="21">
        <f t="shared" ref="L59:P59" si="74">SUM(L51:L58)</f>
        <v>50749</v>
      </c>
      <c r="M59" s="21">
        <f t="shared" si="74"/>
        <v>69997</v>
      </c>
      <c r="N59" s="21">
        <f t="shared" si="74"/>
        <v>68698</v>
      </c>
      <c r="O59" s="21">
        <f t="shared" si="74"/>
        <v>91010</v>
      </c>
      <c r="P59" s="21">
        <f t="shared" si="74"/>
        <v>94906</v>
      </c>
      <c r="Q59" s="21">
        <f>SUM(Q51:Q58)</f>
        <v>99984</v>
      </c>
      <c r="R59" s="21">
        <f>SUM(R51:R58)</f>
        <v>101719</v>
      </c>
      <c r="S59" s="21">
        <f>SUM(S51:S58)</f>
        <v>93858</v>
      </c>
      <c r="T59" s="43"/>
      <c r="U59" s="43"/>
      <c r="V59" s="43"/>
      <c r="W59" s="43"/>
    </row>
    <row r="60" spans="1:24" x14ac:dyDescent="0.2">
      <c r="B60" s="4" t="s">
        <v>60</v>
      </c>
      <c r="C60" s="21"/>
      <c r="D60" s="21"/>
      <c r="E60" s="21">
        <v>24295</v>
      </c>
      <c r="F60" s="21"/>
      <c r="G60" s="21">
        <v>23090</v>
      </c>
      <c r="H60" s="21"/>
      <c r="I60" s="21"/>
      <c r="J60" s="21"/>
      <c r="K60" s="21"/>
      <c r="L60" s="21">
        <v>12485</v>
      </c>
      <c r="M60" s="21">
        <v>13717</v>
      </c>
      <c r="N60" s="21">
        <v>13016</v>
      </c>
      <c r="O60" s="21">
        <v>16549</v>
      </c>
      <c r="P60" s="21">
        <v>20319</v>
      </c>
      <c r="Q60" s="21">
        <v>22952</v>
      </c>
      <c r="R60" s="21">
        <v>23669</v>
      </c>
      <c r="S60" s="21">
        <v>22659</v>
      </c>
      <c r="T60" s="21"/>
      <c r="U60" s="21"/>
      <c r="V60" s="21"/>
      <c r="W60" s="21"/>
      <c r="X60" s="21"/>
    </row>
    <row r="61" spans="1:24" x14ac:dyDescent="0.2">
      <c r="B61" s="4" t="s">
        <v>61</v>
      </c>
      <c r="C61" s="21"/>
      <c r="D61" s="21"/>
      <c r="E61" s="21">
        <v>4448</v>
      </c>
      <c r="F61" s="21"/>
      <c r="G61" s="21">
        <v>4257</v>
      </c>
      <c r="H61" s="21"/>
      <c r="I61" s="21"/>
      <c r="J61" s="21"/>
      <c r="K61" s="21"/>
      <c r="L61" s="21">
        <v>3222</v>
      </c>
      <c r="M61" s="21">
        <v>3450</v>
      </c>
      <c r="N61" s="21">
        <v>2756</v>
      </c>
      <c r="O61" s="21">
        <v>3787</v>
      </c>
      <c r="P61" s="21">
        <v>4258</v>
      </c>
      <c r="Q61" s="21">
        <v>4728</v>
      </c>
      <c r="R61" s="21">
        <v>4730</v>
      </c>
      <c r="S61" s="21">
        <v>4332</v>
      </c>
      <c r="T61" s="21"/>
      <c r="U61" s="21"/>
      <c r="V61" s="21"/>
      <c r="W61" s="21"/>
      <c r="X61" s="21"/>
    </row>
    <row r="62" spans="1:24" x14ac:dyDescent="0.2">
      <c r="B62" s="4" t="s">
        <v>62</v>
      </c>
      <c r="C62" s="21"/>
      <c r="D62" s="21"/>
      <c r="E62" s="21">
        <v>733</v>
      </c>
      <c r="F62" s="21"/>
      <c r="G62" s="21">
        <v>581</v>
      </c>
      <c r="H62" s="21"/>
      <c r="I62" s="21"/>
      <c r="J62" s="21"/>
      <c r="K62" s="21"/>
      <c r="L62" s="21">
        <v>366</v>
      </c>
      <c r="M62" s="21">
        <v>406</v>
      </c>
      <c r="N62" s="21">
        <v>392</v>
      </c>
      <c r="O62" s="21">
        <v>338</v>
      </c>
      <c r="P62" s="21">
        <v>375</v>
      </c>
      <c r="Q62" s="21">
        <v>533</v>
      </c>
      <c r="R62" s="21">
        <v>986</v>
      </c>
      <c r="S62" s="21">
        <v>758</v>
      </c>
      <c r="T62" s="21"/>
      <c r="U62" s="21"/>
      <c r="V62" s="21"/>
      <c r="W62" s="21"/>
      <c r="X62" s="21"/>
    </row>
    <row r="63" spans="1:24" x14ac:dyDescent="0.2">
      <c r="B63" s="4" t="s">
        <v>22</v>
      </c>
      <c r="C63" s="21"/>
      <c r="D63" s="21"/>
      <c r="E63" s="21">
        <v>8293</v>
      </c>
      <c r="F63" s="21"/>
      <c r="G63" s="21">
        <v>8795</v>
      </c>
      <c r="H63" s="21"/>
      <c r="I63" s="21"/>
      <c r="J63" s="21"/>
      <c r="K63" s="21"/>
      <c r="L63" s="21">
        <v>2868</v>
      </c>
      <c r="M63" s="21">
        <v>3264</v>
      </c>
      <c r="N63" s="21">
        <v>3846</v>
      </c>
      <c r="O63" s="21">
        <v>5606</v>
      </c>
      <c r="P63" s="21">
        <v>7488</v>
      </c>
      <c r="Q63" s="21">
        <v>7723</v>
      </c>
      <c r="R63" s="21">
        <v>8455</v>
      </c>
      <c r="S63" s="21">
        <f>8840+2796</f>
        <v>11636</v>
      </c>
      <c r="T63" s="21"/>
      <c r="U63" s="21"/>
      <c r="V63" s="21"/>
      <c r="W63" s="21"/>
      <c r="X63" s="21"/>
    </row>
    <row r="64" spans="1:24" x14ac:dyDescent="0.2">
      <c r="B64" s="4" t="s">
        <v>63</v>
      </c>
      <c r="C64" s="21"/>
      <c r="D64" s="21"/>
      <c r="E64" s="21">
        <v>7155</v>
      </c>
      <c r="F64" s="21"/>
      <c r="G64" s="21">
        <v>8176</v>
      </c>
      <c r="H64" s="21"/>
      <c r="I64" s="21"/>
      <c r="J64" s="21"/>
      <c r="K64" s="21"/>
      <c r="L64" s="21">
        <v>4610</v>
      </c>
      <c r="M64" s="21">
        <v>5673</v>
      </c>
      <c r="N64" s="21">
        <v>19963</v>
      </c>
      <c r="O64" s="21">
        <v>8021</v>
      </c>
      <c r="P64" s="21">
        <v>7300</v>
      </c>
      <c r="Q64" s="21">
        <v>7774</v>
      </c>
      <c r="R64" s="21">
        <v>9631</v>
      </c>
      <c r="S64" s="21">
        <v>8794</v>
      </c>
      <c r="T64" s="21"/>
      <c r="U64" s="21"/>
      <c r="V64" s="21"/>
      <c r="W64" s="21"/>
      <c r="X64" s="21"/>
    </row>
    <row r="65" spans="2:24" x14ac:dyDescent="0.2">
      <c r="B65" s="4" t="s">
        <v>64</v>
      </c>
      <c r="C65" s="21">
        <f t="shared" ref="C65:H65" si="75">SUM(C60:C64)</f>
        <v>0</v>
      </c>
      <c r="D65" s="21">
        <f t="shared" si="75"/>
        <v>0</v>
      </c>
      <c r="E65" s="21">
        <f t="shared" si="75"/>
        <v>44924</v>
      </c>
      <c r="F65" s="21">
        <f t="shared" si="75"/>
        <v>0</v>
      </c>
      <c r="G65" s="21">
        <f t="shared" ref="G65" si="76">SUM(G60:G64)</f>
        <v>44899</v>
      </c>
      <c r="H65" s="21">
        <f t="shared" si="75"/>
        <v>0</v>
      </c>
      <c r="I65" s="21"/>
      <c r="J65" s="21"/>
      <c r="K65" s="21"/>
      <c r="L65" s="21">
        <f t="shared" ref="L65:P65" si="77">SUM(L60:L64)</f>
        <v>23551</v>
      </c>
      <c r="M65" s="21">
        <f t="shared" si="77"/>
        <v>26510</v>
      </c>
      <c r="N65" s="21">
        <f t="shared" si="77"/>
        <v>39973</v>
      </c>
      <c r="O65" s="21">
        <f t="shared" si="77"/>
        <v>34301</v>
      </c>
      <c r="P65" s="21">
        <f t="shared" si="77"/>
        <v>39740</v>
      </c>
      <c r="Q65" s="21">
        <f>SUM(Q60:Q64)</f>
        <v>43710</v>
      </c>
      <c r="R65" s="21">
        <f>SUM(R60:R64)</f>
        <v>47471</v>
      </c>
      <c r="S65" s="21">
        <f>SUM(S60:S64)</f>
        <v>48179</v>
      </c>
      <c r="T65" s="21"/>
      <c r="U65" s="21"/>
      <c r="V65" s="21"/>
      <c r="W65" s="21"/>
      <c r="X65" s="21"/>
    </row>
    <row r="66" spans="2:24" x14ac:dyDescent="0.2">
      <c r="B66" s="18" t="s">
        <v>65</v>
      </c>
      <c r="C66" s="64">
        <f t="shared" ref="C66:H66" si="78">C59+C65</f>
        <v>0</v>
      </c>
      <c r="D66" s="64">
        <f t="shared" si="78"/>
        <v>0</v>
      </c>
      <c r="E66" s="64">
        <f t="shared" si="78"/>
        <v>144449</v>
      </c>
      <c r="F66" s="64">
        <f t="shared" si="78"/>
        <v>0</v>
      </c>
      <c r="G66" s="64">
        <f t="shared" si="78"/>
        <v>141575</v>
      </c>
      <c r="H66" s="64">
        <f t="shared" si="78"/>
        <v>0</v>
      </c>
      <c r="I66" s="64"/>
      <c r="J66" s="64"/>
      <c r="K66" s="21"/>
      <c r="L66" s="64">
        <f t="shared" ref="L66:S66" si="79">L59+L65</f>
        <v>74300</v>
      </c>
      <c r="M66" s="64">
        <f t="shared" si="79"/>
        <v>96507</v>
      </c>
      <c r="N66" s="64">
        <f t="shared" si="79"/>
        <v>108671</v>
      </c>
      <c r="O66" s="64">
        <f t="shared" si="79"/>
        <v>125311</v>
      </c>
      <c r="P66" s="64">
        <f t="shared" si="79"/>
        <v>134646</v>
      </c>
      <c r="Q66" s="64">
        <f t="shared" si="79"/>
        <v>143694</v>
      </c>
      <c r="R66" s="64">
        <f t="shared" si="79"/>
        <v>149190</v>
      </c>
      <c r="S66" s="64">
        <f t="shared" si="79"/>
        <v>142037</v>
      </c>
      <c r="T66" s="21"/>
      <c r="U66" s="21"/>
      <c r="V66" s="21"/>
      <c r="W66" s="21"/>
      <c r="X66" s="21"/>
    </row>
    <row r="67" spans="2:24" x14ac:dyDescent="0.2">
      <c r="B67" s="4" t="s">
        <v>66</v>
      </c>
      <c r="C67" s="21"/>
      <c r="D67" s="21"/>
      <c r="E67" s="21">
        <v>64805</v>
      </c>
      <c r="F67" s="21"/>
      <c r="G67" s="21">
        <v>65295</v>
      </c>
      <c r="H67" s="21"/>
      <c r="I67" s="21"/>
      <c r="J67" s="21"/>
      <c r="K67" s="21"/>
      <c r="L67" s="21">
        <v>32293</v>
      </c>
      <c r="M67" s="21">
        <v>36586</v>
      </c>
      <c r="N67" s="21">
        <v>37412</v>
      </c>
      <c r="O67" s="21">
        <v>47119</v>
      </c>
      <c r="P67" s="21">
        <v>55111</v>
      </c>
      <c r="Q67" s="21">
        <v>61017</v>
      </c>
      <c r="R67" s="21">
        <v>67517</v>
      </c>
      <c r="S67" s="21">
        <v>67472</v>
      </c>
      <c r="T67" s="21"/>
      <c r="U67" s="21"/>
      <c r="V67" s="21"/>
      <c r="W67" s="21"/>
      <c r="X67" s="21"/>
    </row>
    <row r="68" spans="2:24" x14ac:dyDescent="0.2">
      <c r="B68" s="4" t="s">
        <v>43</v>
      </c>
      <c r="C68" s="21"/>
      <c r="D68" s="21"/>
      <c r="E68" s="21">
        <v>1675</v>
      </c>
      <c r="F68" s="21"/>
      <c r="G68" s="21">
        <v>1580</v>
      </c>
      <c r="H68" s="21"/>
      <c r="I68" s="21"/>
      <c r="J68" s="21"/>
      <c r="K68" s="21"/>
      <c r="L68" s="21">
        <v>1664</v>
      </c>
      <c r="M68" s="21">
        <v>1779</v>
      </c>
      <c r="N68" s="21">
        <v>1417</v>
      </c>
      <c r="O68" s="21">
        <v>1790</v>
      </c>
      <c r="P68" s="21">
        <v>1493</v>
      </c>
      <c r="Q68" s="21">
        <v>1684</v>
      </c>
      <c r="R68" s="21">
        <v>1770</v>
      </c>
      <c r="S68" s="21">
        <v>1477</v>
      </c>
      <c r="T68" s="21"/>
      <c r="U68" s="21"/>
      <c r="V68" s="21"/>
      <c r="W68" s="21"/>
      <c r="X68" s="21"/>
    </row>
    <row r="69" spans="2:24" x14ac:dyDescent="0.2">
      <c r="B69" s="18" t="s">
        <v>67</v>
      </c>
      <c r="C69" s="64">
        <f t="shared" ref="C69:H69" si="80">SUM(C67:C68)</f>
        <v>0</v>
      </c>
      <c r="D69" s="64">
        <f t="shared" si="80"/>
        <v>0</v>
      </c>
      <c r="E69" s="64">
        <f t="shared" si="80"/>
        <v>66480</v>
      </c>
      <c r="F69" s="64">
        <f t="shared" si="80"/>
        <v>0</v>
      </c>
      <c r="G69" s="64">
        <f t="shared" si="80"/>
        <v>66875</v>
      </c>
      <c r="H69" s="64">
        <f t="shared" si="80"/>
        <v>0</v>
      </c>
      <c r="I69" s="64"/>
      <c r="J69" s="64"/>
      <c r="K69" s="21"/>
      <c r="L69" s="64">
        <f t="shared" ref="L69:P69" si="81">SUM(L67:L68)</f>
        <v>33957</v>
      </c>
      <c r="M69" s="64">
        <f t="shared" si="81"/>
        <v>38365</v>
      </c>
      <c r="N69" s="64">
        <f t="shared" si="81"/>
        <v>38829</v>
      </c>
      <c r="O69" s="64">
        <f t="shared" si="81"/>
        <v>48909</v>
      </c>
      <c r="P69" s="64">
        <f t="shared" si="81"/>
        <v>56604</v>
      </c>
      <c r="Q69" s="64">
        <f>SUM(Q67:Q68)</f>
        <v>62701</v>
      </c>
      <c r="R69" s="64">
        <f>SUM(R67:R68)</f>
        <v>69287</v>
      </c>
      <c r="S69" s="64">
        <f>SUM(S67:S68)</f>
        <v>68949</v>
      </c>
      <c r="T69" s="21"/>
      <c r="U69" s="21"/>
      <c r="V69" s="21"/>
      <c r="W69" s="21"/>
      <c r="X69" s="21"/>
    </row>
    <row r="70" spans="2:24" x14ac:dyDescent="0.2">
      <c r="B70" s="4" t="s">
        <v>68</v>
      </c>
      <c r="C70" s="21"/>
      <c r="D70" s="21"/>
      <c r="E70" s="21">
        <v>11540</v>
      </c>
      <c r="F70" s="21"/>
      <c r="G70" s="21">
        <v>12454</v>
      </c>
      <c r="H70" s="21"/>
      <c r="I70" s="21"/>
      <c r="J70" s="21"/>
      <c r="K70" s="21"/>
      <c r="L70" s="21">
        <v>6005</v>
      </c>
      <c r="M70" s="21">
        <v>5101</v>
      </c>
      <c r="N70" s="21">
        <v>14065</v>
      </c>
      <c r="O70" s="21">
        <v>12165</v>
      </c>
      <c r="P70" s="21">
        <v>10380</v>
      </c>
      <c r="Q70" s="21">
        <v>11227</v>
      </c>
      <c r="R70" s="21">
        <v>12091</v>
      </c>
      <c r="S70" s="21">
        <v>12418</v>
      </c>
      <c r="T70" s="21"/>
      <c r="U70" s="21"/>
      <c r="V70" s="21"/>
      <c r="W70" s="21"/>
      <c r="X70" s="21"/>
    </row>
    <row r="71" spans="2:24" x14ac:dyDescent="0.2">
      <c r="B71" s="4" t="s">
        <v>69</v>
      </c>
      <c r="C71" s="21"/>
      <c r="D71" s="21"/>
      <c r="E71" s="21">
        <v>14226</v>
      </c>
      <c r="F71" s="21"/>
      <c r="G71" s="21">
        <v>14128</v>
      </c>
      <c r="H71" s="21"/>
      <c r="I71" s="21"/>
      <c r="J71" s="21"/>
      <c r="K71" s="21"/>
      <c r="L71" s="21">
        <v>0</v>
      </c>
      <c r="M71" s="21">
        <v>10373</v>
      </c>
      <c r="N71" s="21">
        <v>10665</v>
      </c>
      <c r="O71" s="21">
        <v>11887</v>
      </c>
      <c r="P71" s="21">
        <v>12776</v>
      </c>
      <c r="Q71" s="21">
        <v>13810</v>
      </c>
      <c r="R71" s="21">
        <v>14860</v>
      </c>
      <c r="S71" s="21">
        <v>13384</v>
      </c>
      <c r="T71" s="21"/>
      <c r="U71" s="21"/>
      <c r="V71" s="21"/>
      <c r="W71" s="21"/>
      <c r="X71" s="21"/>
    </row>
    <row r="72" spans="2:24" x14ac:dyDescent="0.2">
      <c r="B72" s="4" t="s">
        <v>72</v>
      </c>
      <c r="C72" s="21"/>
      <c r="D72" s="21"/>
      <c r="E72" s="21">
        <v>3689</v>
      </c>
      <c r="F72" s="21"/>
      <c r="G72" s="21">
        <v>3494</v>
      </c>
      <c r="H72" s="21"/>
      <c r="I72" s="21"/>
      <c r="J72" s="21"/>
      <c r="K72" s="21"/>
      <c r="L72" s="21">
        <v>3188</v>
      </c>
      <c r="M72" s="21">
        <v>3812</v>
      </c>
      <c r="N72" s="21">
        <v>3322</v>
      </c>
      <c r="O72" s="21">
        <v>3980</v>
      </c>
      <c r="P72" s="21">
        <v>3902</v>
      </c>
      <c r="Q72" s="21">
        <v>3880</v>
      </c>
      <c r="R72" s="21">
        <v>3856</v>
      </c>
      <c r="S72" s="21">
        <v>3546</v>
      </c>
      <c r="T72" s="21"/>
      <c r="U72" s="21"/>
      <c r="V72" s="21"/>
      <c r="W72" s="21"/>
      <c r="X72" s="21"/>
    </row>
    <row r="73" spans="2:24" x14ac:dyDescent="0.2">
      <c r="B73" s="4" t="s">
        <v>70</v>
      </c>
      <c r="C73" s="21"/>
      <c r="D73" s="21"/>
      <c r="E73" s="21">
        <v>7200</v>
      </c>
      <c r="F73" s="21"/>
      <c r="G73" s="21">
        <v>7172</v>
      </c>
      <c r="H73" s="21"/>
      <c r="I73" s="21"/>
      <c r="J73" s="21"/>
      <c r="K73" s="21"/>
      <c r="L73" s="21">
        <v>5036</v>
      </c>
      <c r="M73" s="21">
        <v>5498</v>
      </c>
      <c r="N73" s="21">
        <v>5481</v>
      </c>
      <c r="O73" s="21">
        <v>6704</v>
      </c>
      <c r="P73" s="21">
        <v>6952</v>
      </c>
      <c r="Q73" s="21">
        <v>7012</v>
      </c>
      <c r="R73" s="21">
        <v>7344</v>
      </c>
      <c r="S73" s="21">
        <v>6993</v>
      </c>
      <c r="T73" s="21"/>
      <c r="U73" s="21"/>
      <c r="V73" s="21"/>
      <c r="W73" s="21"/>
      <c r="X73" s="21"/>
    </row>
    <row r="74" spans="2:24" x14ac:dyDescent="0.2">
      <c r="B74" s="4" t="s">
        <v>154</v>
      </c>
      <c r="C74" s="21"/>
      <c r="D74" s="21"/>
      <c r="E74" s="21">
        <v>8789</v>
      </c>
      <c r="F74" s="21"/>
      <c r="G74" s="21">
        <v>7015</v>
      </c>
      <c r="H74" s="21"/>
      <c r="I74" s="21"/>
      <c r="J74" s="21"/>
      <c r="K74" s="21"/>
      <c r="L74" s="21">
        <v>9281</v>
      </c>
      <c r="M74" s="21">
        <v>10735</v>
      </c>
      <c r="N74" s="21">
        <v>10991</v>
      </c>
      <c r="O74" s="21">
        <v>13677</v>
      </c>
      <c r="P74" s="21">
        <v>12489</v>
      </c>
      <c r="Q74" s="21">
        <v>11919</v>
      </c>
      <c r="R74" s="21">
        <v>8056</v>
      </c>
      <c r="S74" s="21">
        <v>6331</v>
      </c>
      <c r="T74" s="21"/>
      <c r="U74" s="21"/>
      <c r="V74" s="21"/>
      <c r="W74" s="21"/>
      <c r="X74" s="21"/>
    </row>
    <row r="75" spans="2:24" x14ac:dyDescent="0.2">
      <c r="B75" s="4" t="s">
        <v>71</v>
      </c>
      <c r="C75" s="21">
        <f t="shared" ref="C75:H75" si="82">SUM(C70:C74)</f>
        <v>0</v>
      </c>
      <c r="D75" s="21">
        <f t="shared" si="82"/>
        <v>0</v>
      </c>
      <c r="E75" s="21">
        <f t="shared" si="82"/>
        <v>45444</v>
      </c>
      <c r="F75" s="21">
        <f t="shared" si="82"/>
        <v>0</v>
      </c>
      <c r="G75" s="21">
        <f t="shared" si="82"/>
        <v>44263</v>
      </c>
      <c r="H75" s="21">
        <f t="shared" si="82"/>
        <v>0</v>
      </c>
      <c r="I75" s="21"/>
      <c r="J75" s="21"/>
      <c r="K75" s="21"/>
      <c r="L75" s="21">
        <f t="shared" ref="L75:P75" si="83">SUM(L70:L74)</f>
        <v>23510</v>
      </c>
      <c r="M75" s="21">
        <f t="shared" si="83"/>
        <v>35519</v>
      </c>
      <c r="N75" s="21">
        <f t="shared" si="83"/>
        <v>44524</v>
      </c>
      <c r="O75" s="21">
        <f t="shared" si="83"/>
        <v>48413</v>
      </c>
      <c r="P75" s="21">
        <f t="shared" si="83"/>
        <v>46499</v>
      </c>
      <c r="Q75" s="21">
        <f>SUM(Q70:Q74)</f>
        <v>47848</v>
      </c>
      <c r="R75" s="21">
        <f>SUM(R70:R74)</f>
        <v>46207</v>
      </c>
      <c r="S75" s="21">
        <f>SUM(S70:S74)</f>
        <v>42672</v>
      </c>
      <c r="T75" s="21"/>
      <c r="U75" s="21"/>
      <c r="V75" s="21"/>
      <c r="W75" s="21"/>
      <c r="X75" s="21"/>
    </row>
    <row r="76" spans="2:24" x14ac:dyDescent="0.2">
      <c r="B76" s="4" t="s">
        <v>73</v>
      </c>
      <c r="C76" s="21"/>
      <c r="D76" s="21"/>
      <c r="E76" s="21">
        <v>11770</v>
      </c>
      <c r="F76" s="21"/>
      <c r="G76" s="21">
        <v>9927</v>
      </c>
      <c r="H76" s="21"/>
      <c r="I76" s="21"/>
      <c r="J76" s="21"/>
      <c r="K76" s="21"/>
      <c r="L76" s="21">
        <v>5027</v>
      </c>
      <c r="M76" s="21">
        <v>7610</v>
      </c>
      <c r="N76" s="21">
        <v>10638</v>
      </c>
      <c r="O76" s="21">
        <v>8075</v>
      </c>
      <c r="P76" s="21">
        <v>9359</v>
      </c>
      <c r="Q76" s="21">
        <v>10680</v>
      </c>
      <c r="R76" s="21">
        <v>10851</v>
      </c>
      <c r="S76" s="21">
        <v>7925</v>
      </c>
      <c r="T76" s="21"/>
      <c r="U76" s="21"/>
      <c r="V76" s="21"/>
      <c r="W76" s="21"/>
      <c r="X76" s="21"/>
    </row>
    <row r="77" spans="2:24" x14ac:dyDescent="0.2">
      <c r="B77" s="4" t="s">
        <v>74</v>
      </c>
      <c r="C77" s="21"/>
      <c r="D77" s="21"/>
      <c r="E77" s="21">
        <v>2819</v>
      </c>
      <c r="F77" s="21"/>
      <c r="G77" s="21">
        <v>2784</v>
      </c>
      <c r="H77" s="21"/>
      <c r="I77" s="21"/>
      <c r="J77" s="21"/>
      <c r="K77" s="21"/>
      <c r="L77" s="21">
        <v>0</v>
      </c>
      <c r="M77" s="21">
        <v>2172</v>
      </c>
      <c r="N77" s="21">
        <v>2163</v>
      </c>
      <c r="O77" s="21">
        <v>2387</v>
      </c>
      <c r="P77" s="21">
        <v>2632</v>
      </c>
      <c r="Q77" s="21">
        <v>2728</v>
      </c>
      <c r="R77" s="21">
        <v>2972</v>
      </c>
      <c r="S77" s="21">
        <v>2634</v>
      </c>
      <c r="T77" s="21"/>
      <c r="U77" s="21"/>
      <c r="V77" s="21"/>
      <c r="W77" s="21"/>
      <c r="X77" s="21"/>
    </row>
    <row r="78" spans="2:24" x14ac:dyDescent="0.2">
      <c r="B78" s="4" t="s">
        <v>75</v>
      </c>
      <c r="C78" s="21"/>
      <c r="D78" s="21"/>
      <c r="E78" s="21">
        <v>8210</v>
      </c>
      <c r="F78" s="21"/>
      <c r="G78" s="21">
        <v>7736</v>
      </c>
      <c r="H78" s="21"/>
      <c r="I78" s="21"/>
      <c r="J78" s="21"/>
      <c r="K78" s="21"/>
      <c r="L78" s="21">
        <v>5314</v>
      </c>
      <c r="M78" s="21">
        <v>5814</v>
      </c>
      <c r="N78" s="21">
        <v>5098</v>
      </c>
      <c r="O78" s="21">
        <v>7086</v>
      </c>
      <c r="P78" s="21">
        <v>8788</v>
      </c>
      <c r="Q78" s="21">
        <v>9049</v>
      </c>
      <c r="R78" s="21">
        <v>8630</v>
      </c>
      <c r="S78" s="21">
        <v>8223</v>
      </c>
      <c r="T78" s="21"/>
      <c r="U78" s="21"/>
      <c r="V78" s="21"/>
      <c r="W78" s="21"/>
      <c r="X78" s="21"/>
    </row>
    <row r="79" spans="2:24" x14ac:dyDescent="0.2">
      <c r="B79" s="4" t="s">
        <v>41</v>
      </c>
      <c r="C79" s="21"/>
      <c r="D79" s="21"/>
      <c r="E79" s="21">
        <v>1463</v>
      </c>
      <c r="F79" s="21"/>
      <c r="G79" s="21">
        <v>1193</v>
      </c>
      <c r="H79" s="21"/>
      <c r="I79" s="21"/>
      <c r="J79" s="21"/>
      <c r="K79" s="21"/>
      <c r="L79" s="21">
        <v>538</v>
      </c>
      <c r="M79" s="21">
        <v>722</v>
      </c>
      <c r="N79" s="21">
        <v>721</v>
      </c>
      <c r="O79" s="21">
        <v>1267</v>
      </c>
      <c r="P79" s="21">
        <v>1211</v>
      </c>
      <c r="Q79" s="21">
        <v>1148</v>
      </c>
      <c r="R79" s="21">
        <v>1231</v>
      </c>
      <c r="S79" s="21">
        <v>828</v>
      </c>
      <c r="T79" s="21"/>
      <c r="U79" s="21"/>
      <c r="V79" s="21"/>
      <c r="W79" s="21"/>
      <c r="X79" s="21"/>
    </row>
    <row r="80" spans="2:24" x14ac:dyDescent="0.2">
      <c r="B80" s="4" t="s">
        <v>76</v>
      </c>
      <c r="C80" s="21"/>
      <c r="D80" s="21"/>
      <c r="E80" s="21">
        <v>8263</v>
      </c>
      <c r="F80" s="21"/>
      <c r="G80" s="21">
        <v>8797</v>
      </c>
      <c r="H80" s="21"/>
      <c r="I80" s="21"/>
      <c r="J80" s="21"/>
      <c r="K80" s="21"/>
      <c r="L80" s="21">
        <v>5954</v>
      </c>
      <c r="M80" s="21">
        <v>6305</v>
      </c>
      <c r="N80" s="21">
        <v>6698</v>
      </c>
      <c r="O80" s="21">
        <v>9174</v>
      </c>
      <c r="P80" s="21">
        <v>9553</v>
      </c>
      <c r="Q80" s="21">
        <v>9540</v>
      </c>
      <c r="R80" s="21">
        <v>10012</v>
      </c>
      <c r="S80" s="21">
        <f>9190+1616</f>
        <v>10806</v>
      </c>
      <c r="T80" s="21"/>
      <c r="U80" s="21"/>
      <c r="V80" s="21"/>
      <c r="W80" s="21"/>
      <c r="X80" s="21"/>
    </row>
    <row r="81" spans="1:24" x14ac:dyDescent="0.2">
      <c r="B81" s="4" t="s">
        <v>77</v>
      </c>
      <c r="C81" s="21">
        <f t="shared" ref="C81:H81" si="84">SUM(C76:C80)</f>
        <v>0</v>
      </c>
      <c r="D81" s="21">
        <f t="shared" si="84"/>
        <v>0</v>
      </c>
      <c r="E81" s="21">
        <f t="shared" si="84"/>
        <v>32525</v>
      </c>
      <c r="F81" s="21">
        <f t="shared" si="84"/>
        <v>0</v>
      </c>
      <c r="G81" s="21">
        <f t="shared" si="84"/>
        <v>30437</v>
      </c>
      <c r="H81" s="21">
        <f t="shared" si="84"/>
        <v>0</v>
      </c>
      <c r="I81" s="21"/>
      <c r="J81" s="21"/>
      <c r="K81" s="21"/>
      <c r="L81" s="21">
        <f t="shared" ref="L81:P81" si="85">SUM(L76:L80)</f>
        <v>16833</v>
      </c>
      <c r="M81" s="21">
        <f t="shared" si="85"/>
        <v>22623</v>
      </c>
      <c r="N81" s="21">
        <f t="shared" si="85"/>
        <v>25318</v>
      </c>
      <c r="O81" s="21">
        <f t="shared" si="85"/>
        <v>27989</v>
      </c>
      <c r="P81" s="21">
        <f t="shared" si="85"/>
        <v>31543</v>
      </c>
      <c r="Q81" s="21">
        <f>SUM(Q76:Q80)</f>
        <v>33145</v>
      </c>
      <c r="R81" s="21">
        <f>SUM(R76:R80)</f>
        <v>33696</v>
      </c>
      <c r="S81" s="21">
        <f>SUM(S76:S80)</f>
        <v>30416</v>
      </c>
      <c r="T81" s="21"/>
      <c r="U81" s="21"/>
      <c r="V81" s="21"/>
      <c r="W81" s="21"/>
      <c r="X81" s="21"/>
    </row>
    <row r="82" spans="1:24" x14ac:dyDescent="0.2">
      <c r="B82" s="18" t="s">
        <v>78</v>
      </c>
      <c r="C82" s="64">
        <f t="shared" ref="C82:H82" si="86">C81+C75+C69</f>
        <v>0</v>
      </c>
      <c r="D82" s="64">
        <f t="shared" si="86"/>
        <v>0</v>
      </c>
      <c r="E82" s="64">
        <f t="shared" si="86"/>
        <v>144449</v>
      </c>
      <c r="F82" s="64">
        <f t="shared" si="86"/>
        <v>0</v>
      </c>
      <c r="G82" s="64">
        <f t="shared" si="86"/>
        <v>141575</v>
      </c>
      <c r="H82" s="64">
        <f t="shared" si="86"/>
        <v>0</v>
      </c>
      <c r="I82" s="64"/>
      <c r="J82" s="64"/>
      <c r="K82" s="21"/>
      <c r="L82" s="64">
        <f t="shared" ref="L82:S82" si="87">L81+L75+L69</f>
        <v>74300</v>
      </c>
      <c r="M82" s="64">
        <f t="shared" si="87"/>
        <v>96507</v>
      </c>
      <c r="N82" s="64">
        <f t="shared" si="87"/>
        <v>108671</v>
      </c>
      <c r="O82" s="64">
        <f t="shared" si="87"/>
        <v>125311</v>
      </c>
      <c r="P82" s="64">
        <f t="shared" si="87"/>
        <v>134646</v>
      </c>
      <c r="Q82" s="64">
        <f t="shared" si="87"/>
        <v>143694</v>
      </c>
      <c r="R82" s="64">
        <f t="shared" si="87"/>
        <v>149190</v>
      </c>
      <c r="S82" s="64">
        <f t="shared" si="87"/>
        <v>142037</v>
      </c>
      <c r="T82" s="21"/>
      <c r="U82" s="21"/>
      <c r="V82" s="21"/>
      <c r="W82" s="21"/>
      <c r="X82" s="21"/>
    </row>
    <row r="83" spans="1:24" x14ac:dyDescent="0.2"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</row>
    <row r="84" spans="1:24" x14ac:dyDescent="0.2"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</row>
    <row r="85" spans="1:24" x14ac:dyDescent="0.2">
      <c r="A85" s="58" t="s">
        <v>17</v>
      </c>
      <c r="B85" s="59" t="s">
        <v>79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</row>
    <row r="86" spans="1:24" x14ac:dyDescent="0.2">
      <c r="B86" s="4" t="s">
        <v>35</v>
      </c>
      <c r="C86" s="21">
        <f t="shared" ref="C86:H86" si="88">C26</f>
        <v>11564</v>
      </c>
      <c r="D86" s="21">
        <f t="shared" si="88"/>
        <v>10996</v>
      </c>
      <c r="E86" s="21">
        <f t="shared" si="88"/>
        <v>10624</v>
      </c>
      <c r="F86" s="21">
        <f t="shared" si="88"/>
        <v>8283</v>
      </c>
      <c r="G86" s="21">
        <f t="shared" si="88"/>
        <v>8998</v>
      </c>
      <c r="H86" s="21">
        <f t="shared" si="88"/>
        <v>8101</v>
      </c>
      <c r="I86" s="21"/>
      <c r="J86" s="21"/>
      <c r="K86" s="21"/>
      <c r="L86" s="21">
        <f t="shared" ref="L86:S86" si="89">L26</f>
        <v>9877</v>
      </c>
      <c r="M86" s="21">
        <f t="shared" si="89"/>
        <v>11273</v>
      </c>
      <c r="N86" s="21">
        <f t="shared" si="89"/>
        <v>7972</v>
      </c>
      <c r="O86" s="21">
        <f t="shared" si="89"/>
        <v>17155</v>
      </c>
      <c r="P86" s="21">
        <f t="shared" si="89"/>
        <v>21001</v>
      </c>
      <c r="Q86" s="21">
        <f t="shared" si="89"/>
        <v>22560</v>
      </c>
      <c r="R86" s="21">
        <f t="shared" si="89"/>
        <v>18907</v>
      </c>
      <c r="S86" s="21">
        <f t="shared" si="89"/>
        <v>17099</v>
      </c>
      <c r="T86" s="21"/>
      <c r="U86" s="21"/>
      <c r="V86" s="21"/>
      <c r="W86" s="21"/>
      <c r="X86" s="21"/>
    </row>
    <row r="87" spans="1:24" x14ac:dyDescent="0.2">
      <c r="B87" s="4" t="s">
        <v>33</v>
      </c>
      <c r="C87" s="21"/>
      <c r="D87" s="21"/>
      <c r="E87" s="21">
        <v>9</v>
      </c>
      <c r="F87" s="21"/>
      <c r="G87" s="21">
        <v>-9</v>
      </c>
      <c r="H87" s="21"/>
      <c r="I87" s="21"/>
      <c r="J87" s="21"/>
      <c r="K87" s="21"/>
      <c r="L87" s="21">
        <v>5</v>
      </c>
      <c r="M87" s="21">
        <v>-10</v>
      </c>
      <c r="N87" s="21">
        <v>64</v>
      </c>
      <c r="O87" s="21">
        <v>41</v>
      </c>
      <c r="P87" s="21">
        <v>26</v>
      </c>
      <c r="Q87" s="21">
        <v>42</v>
      </c>
      <c r="R87" s="21">
        <v>29</v>
      </c>
      <c r="S87" s="21">
        <v>13</v>
      </c>
      <c r="T87" s="21"/>
      <c r="U87" s="21"/>
      <c r="V87" s="21"/>
      <c r="W87" s="21"/>
      <c r="X87" s="21"/>
    </row>
    <row r="88" spans="1:24" x14ac:dyDescent="0.2">
      <c r="B88" s="4" t="s">
        <v>80</v>
      </c>
      <c r="C88" s="21"/>
      <c r="D88" s="21"/>
      <c r="E88" s="21">
        <v>1691</v>
      </c>
      <c r="F88" s="21"/>
      <c r="G88" s="21">
        <v>1866</v>
      </c>
      <c r="H88" s="21"/>
      <c r="I88" s="21"/>
      <c r="J88" s="21"/>
      <c r="K88" s="21"/>
      <c r="L88" s="21">
        <v>2302</v>
      </c>
      <c r="M88" s="21">
        <v>2700</v>
      </c>
      <c r="N88" s="21">
        <v>3478</v>
      </c>
      <c r="O88" s="21">
        <v>3139</v>
      </c>
      <c r="P88" s="21">
        <v>3219</v>
      </c>
      <c r="Q88" s="21">
        <v>4146</v>
      </c>
      <c r="R88" s="21">
        <v>4568</v>
      </c>
      <c r="S88" s="21">
        <v>4858</v>
      </c>
      <c r="T88" s="21"/>
      <c r="U88" s="21"/>
      <c r="V88" s="21"/>
      <c r="W88" s="21"/>
      <c r="X88" s="21"/>
    </row>
    <row r="89" spans="1:24" x14ac:dyDescent="0.2">
      <c r="B89" s="4" t="s">
        <v>81</v>
      </c>
      <c r="C89" s="21"/>
      <c r="D89" s="21"/>
      <c r="E89" s="21">
        <v>1549</v>
      </c>
      <c r="F89" s="21"/>
      <c r="G89" s="21">
        <v>1595</v>
      </c>
      <c r="H89" s="21"/>
      <c r="I89" s="21"/>
      <c r="J89" s="21"/>
      <c r="K89" s="21"/>
      <c r="L89" s="21">
        <v>0</v>
      </c>
      <c r="M89" s="21">
        <v>2408</v>
      </c>
      <c r="N89" s="21">
        <v>2572</v>
      </c>
      <c r="O89" s="21">
        <v>2691</v>
      </c>
      <c r="P89" s="21">
        <v>3007</v>
      </c>
      <c r="Q89" s="21">
        <v>3031</v>
      </c>
      <c r="R89" s="21">
        <v>3228</v>
      </c>
      <c r="S89" s="21">
        <v>3143</v>
      </c>
      <c r="T89" s="21"/>
      <c r="U89" s="21"/>
      <c r="V89" s="21"/>
      <c r="W89" s="21"/>
      <c r="X89" s="21"/>
    </row>
    <row r="90" spans="1:24" x14ac:dyDescent="0.2">
      <c r="B90" s="4" t="s">
        <v>82</v>
      </c>
      <c r="C90" s="21"/>
      <c r="D90" s="21"/>
      <c r="E90" s="21">
        <v>-79</v>
      </c>
      <c r="F90" s="21"/>
      <c r="G90" s="21">
        <v>-163</v>
      </c>
      <c r="H90" s="21"/>
      <c r="I90" s="21"/>
      <c r="J90" s="21"/>
      <c r="K90" s="21"/>
      <c r="L90" s="21">
        <v>-219</v>
      </c>
      <c r="M90" s="21">
        <v>-266</v>
      </c>
      <c r="N90" s="21">
        <v>-89</v>
      </c>
      <c r="O90" s="21">
        <v>-405</v>
      </c>
      <c r="P90" s="21">
        <v>-483</v>
      </c>
      <c r="Q90" s="21">
        <v>-259</v>
      </c>
      <c r="R90" s="21">
        <v>488</v>
      </c>
      <c r="S90" s="21">
        <v>-172</v>
      </c>
      <c r="T90" s="21"/>
      <c r="U90" s="21"/>
      <c r="V90" s="21"/>
      <c r="W90" s="21"/>
      <c r="X90" s="21"/>
    </row>
    <row r="91" spans="1:24" x14ac:dyDescent="0.2">
      <c r="B91" s="4" t="s">
        <v>84</v>
      </c>
      <c r="C91" s="21"/>
      <c r="D91" s="21"/>
      <c r="E91" s="21">
        <v>-189</v>
      </c>
      <c r="F91" s="21"/>
      <c r="G91" s="21">
        <v>-104</v>
      </c>
      <c r="H91" s="21"/>
      <c r="I91" s="21"/>
      <c r="J91" s="21"/>
      <c r="K91" s="21"/>
      <c r="L91" s="21">
        <v>-113</v>
      </c>
      <c r="M91" s="21">
        <v>-124</v>
      </c>
      <c r="N91" s="21">
        <v>-59</v>
      </c>
      <c r="O91" s="21">
        <v>71</v>
      </c>
      <c r="P91" s="21">
        <v>-74</v>
      </c>
      <c r="Q91" s="21">
        <v>-457</v>
      </c>
      <c r="R91" s="21">
        <v>-357</v>
      </c>
      <c r="S91" s="21">
        <v>-290</v>
      </c>
      <c r="T91" s="21"/>
      <c r="U91" s="21"/>
      <c r="V91" s="21"/>
      <c r="W91" s="21"/>
      <c r="X91" s="21"/>
    </row>
    <row r="92" spans="1:24" x14ac:dyDescent="0.2">
      <c r="B92" s="4" t="s">
        <v>85</v>
      </c>
      <c r="C92" s="21"/>
      <c r="D92" s="21"/>
      <c r="E92" s="21">
        <v>-230</v>
      </c>
      <c r="F92" s="21"/>
      <c r="G92" s="21">
        <v>-269</v>
      </c>
      <c r="H92" s="21"/>
      <c r="I92" s="21"/>
      <c r="J92" s="21"/>
      <c r="K92" s="21"/>
      <c r="L92" s="21">
        <v>0</v>
      </c>
      <c r="M92" s="21">
        <v>-239</v>
      </c>
      <c r="N92" s="21">
        <v>-290</v>
      </c>
      <c r="O92" s="21">
        <v>-231</v>
      </c>
      <c r="P92" s="21">
        <v>-240</v>
      </c>
      <c r="Q92" s="21">
        <v>-356</v>
      </c>
      <c r="R92" s="21">
        <v>-483</v>
      </c>
      <c r="S92" s="21">
        <v>-545</v>
      </c>
      <c r="T92" s="21"/>
      <c r="U92" s="21"/>
      <c r="V92" s="21"/>
      <c r="W92" s="21"/>
      <c r="X92" s="21"/>
    </row>
    <row r="93" spans="1:24" x14ac:dyDescent="0.2">
      <c r="B93" s="4" t="s">
        <v>86</v>
      </c>
      <c r="C93" s="21"/>
      <c r="D93" s="21"/>
      <c r="E93" s="21">
        <v>-2580</v>
      </c>
      <c r="F93" s="21"/>
      <c r="G93" s="21">
        <v>-2043</v>
      </c>
      <c r="H93" s="21"/>
      <c r="I93" s="21"/>
      <c r="J93" s="21"/>
      <c r="K93" s="21"/>
      <c r="L93" s="21">
        <v>-2275</v>
      </c>
      <c r="M93" s="21">
        <v>-2940</v>
      </c>
      <c r="N93" s="21">
        <v>-2385</v>
      </c>
      <c r="O93" s="21">
        <v>-4239</v>
      </c>
      <c r="P93" s="21">
        <v>-5604</v>
      </c>
      <c r="Q93" s="21">
        <v>-5730</v>
      </c>
      <c r="R93" s="21">
        <v>-5531</v>
      </c>
      <c r="S93" s="21">
        <v>-4656</v>
      </c>
      <c r="T93" s="21"/>
      <c r="U93" s="21"/>
      <c r="V93" s="21"/>
      <c r="W93" s="21"/>
      <c r="X93" s="21"/>
    </row>
    <row r="94" spans="1:24" x14ac:dyDescent="0.2">
      <c r="B94" s="4" t="s">
        <v>83</v>
      </c>
      <c r="C94" s="21"/>
      <c r="D94" s="21"/>
      <c r="E94" s="21">
        <v>-3511</v>
      </c>
      <c r="F94" s="21"/>
      <c r="G94" s="21">
        <v>-1990</v>
      </c>
      <c r="H94" s="21"/>
      <c r="I94" s="21"/>
      <c r="J94" s="21"/>
      <c r="K94" s="21"/>
      <c r="L94" s="21">
        <v>-1087</v>
      </c>
      <c r="M94" s="21">
        <v>-1154</v>
      </c>
      <c r="N94" s="21">
        <v>-367</v>
      </c>
      <c r="O94" s="21">
        <v>426</v>
      </c>
      <c r="P94" s="21">
        <v>-3019</v>
      </c>
      <c r="Q94" s="21">
        <v>-4577</v>
      </c>
      <c r="R94" s="21">
        <v>-1925</v>
      </c>
      <c r="S94" s="21">
        <v>-576</v>
      </c>
      <c r="T94" s="21"/>
      <c r="U94" s="21"/>
      <c r="V94" s="21"/>
      <c r="W94" s="21"/>
      <c r="X94" s="21"/>
    </row>
    <row r="95" spans="1:24" x14ac:dyDescent="0.2">
      <c r="B95" s="18" t="s">
        <v>87</v>
      </c>
      <c r="C95" s="64">
        <f t="shared" ref="C95:H95" si="90">SUM(C86:C94)</f>
        <v>11564</v>
      </c>
      <c r="D95" s="64">
        <f t="shared" si="90"/>
        <v>10996</v>
      </c>
      <c r="E95" s="64">
        <f t="shared" si="90"/>
        <v>7284</v>
      </c>
      <c r="F95" s="64">
        <f t="shared" si="90"/>
        <v>8283</v>
      </c>
      <c r="G95" s="64">
        <f t="shared" si="90"/>
        <v>7881</v>
      </c>
      <c r="H95" s="64">
        <f t="shared" si="90"/>
        <v>8101</v>
      </c>
      <c r="I95" s="64"/>
      <c r="J95" s="64"/>
      <c r="K95" s="21"/>
      <c r="L95" s="64">
        <f t="shared" ref="L95:P95" si="91">SUM(L86:L94)</f>
        <v>8490</v>
      </c>
      <c r="M95" s="64">
        <f t="shared" si="91"/>
        <v>11648</v>
      </c>
      <c r="N95" s="64">
        <f t="shared" si="91"/>
        <v>10896</v>
      </c>
      <c r="O95" s="64">
        <f t="shared" si="91"/>
        <v>18648</v>
      </c>
      <c r="P95" s="64">
        <f t="shared" si="91"/>
        <v>17833</v>
      </c>
      <c r="Q95" s="64">
        <f>SUM(Q86:Q94)</f>
        <v>18400</v>
      </c>
      <c r="R95" s="64">
        <f>SUM(R86:R94)</f>
        <v>18924</v>
      </c>
      <c r="S95" s="64">
        <f>SUM(S86:S94)</f>
        <v>18874</v>
      </c>
      <c r="T95" s="21"/>
      <c r="U95" s="21"/>
      <c r="V95" s="21"/>
      <c r="W95" s="21"/>
      <c r="X95" s="21"/>
    </row>
    <row r="96" spans="1:24" x14ac:dyDescent="0.2">
      <c r="B96" s="4" t="s">
        <v>88</v>
      </c>
      <c r="C96" s="21"/>
      <c r="D96" s="21"/>
      <c r="E96" s="21">
        <v>-2728</v>
      </c>
      <c r="F96" s="21"/>
      <c r="G96" s="21">
        <v>-2360</v>
      </c>
      <c r="H96" s="21"/>
      <c r="I96" s="21"/>
      <c r="J96" s="21"/>
      <c r="K96" s="21"/>
      <c r="L96" s="21">
        <v>-3038</v>
      </c>
      <c r="M96" s="21">
        <v>-3294</v>
      </c>
      <c r="N96" s="21">
        <v>-2478</v>
      </c>
      <c r="O96" s="21">
        <v>-2664</v>
      </c>
      <c r="P96" s="21">
        <v>-4969</v>
      </c>
      <c r="Q96" s="21">
        <v>-7478</v>
      </c>
      <c r="R96" s="21">
        <v>-5531</v>
      </c>
      <c r="S96" s="21">
        <v>-4567</v>
      </c>
      <c r="T96" s="21"/>
      <c r="U96" s="21"/>
      <c r="V96" s="21"/>
      <c r="W96" s="21"/>
      <c r="X96" s="21"/>
    </row>
    <row r="97" spans="2:24" x14ac:dyDescent="0.2">
      <c r="B97" s="4" t="s">
        <v>93</v>
      </c>
      <c r="C97" s="21"/>
      <c r="D97" s="21"/>
      <c r="E97" s="21">
        <v>-400</v>
      </c>
      <c r="F97" s="21"/>
      <c r="G97" s="21">
        <v>21</v>
      </c>
      <c r="H97" s="21"/>
      <c r="I97" s="21"/>
      <c r="J97" s="21"/>
      <c r="K97" s="21"/>
      <c r="L97" s="21">
        <v>-17</v>
      </c>
      <c r="M97" s="21">
        <v>-2478</v>
      </c>
      <c r="N97" s="21">
        <v>-536</v>
      </c>
      <c r="O97" s="21">
        <v>-13226</v>
      </c>
      <c r="P97" s="21">
        <v>-809</v>
      </c>
      <c r="Q97" s="21">
        <v>-721</v>
      </c>
      <c r="R97" s="21">
        <v>-438</v>
      </c>
      <c r="S97" s="21">
        <v>149</v>
      </c>
      <c r="T97" s="21"/>
      <c r="U97" s="21"/>
      <c r="V97" s="21"/>
      <c r="W97" s="21"/>
      <c r="X97" s="21"/>
    </row>
    <row r="98" spans="2:24" x14ac:dyDescent="0.2">
      <c r="B98" s="4" t="s">
        <v>89</v>
      </c>
      <c r="C98" s="21"/>
      <c r="D98" s="21"/>
      <c r="E98" s="21">
        <v>2</v>
      </c>
      <c r="F98" s="21"/>
      <c r="G98" s="21">
        <v>1</v>
      </c>
      <c r="H98" s="21"/>
      <c r="I98" s="21"/>
      <c r="J98" s="21"/>
      <c r="K98" s="21"/>
      <c r="L98" s="21">
        <v>18</v>
      </c>
      <c r="M98" s="21">
        <v>8</v>
      </c>
      <c r="N98" s="21">
        <v>12</v>
      </c>
      <c r="O98" s="21">
        <v>10</v>
      </c>
      <c r="P98" s="21">
        <v>7</v>
      </c>
      <c r="Q98" s="21">
        <v>5</v>
      </c>
      <c r="R98" s="21">
        <v>9</v>
      </c>
      <c r="S98" s="21">
        <v>21</v>
      </c>
      <c r="T98" s="21"/>
      <c r="U98" s="21"/>
      <c r="V98" s="21"/>
      <c r="W98" s="21"/>
      <c r="X98" s="21"/>
    </row>
    <row r="99" spans="2:24" x14ac:dyDescent="0.2">
      <c r="B99" s="4" t="s">
        <v>99</v>
      </c>
      <c r="C99" s="21"/>
      <c r="D99" s="21"/>
      <c r="E99" s="21">
        <v>-38</v>
      </c>
      <c r="F99" s="21"/>
      <c r="G99" s="21">
        <v>-114</v>
      </c>
      <c r="H99" s="21"/>
      <c r="I99" s="21"/>
      <c r="J99" s="21"/>
      <c r="K99" s="21"/>
      <c r="L99" s="21">
        <v>-402</v>
      </c>
      <c r="M99" s="21">
        <v>-105</v>
      </c>
      <c r="N99" s="21">
        <v>63</v>
      </c>
      <c r="O99" s="21">
        <v>-99</v>
      </c>
      <c r="P99" s="21">
        <v>-149</v>
      </c>
      <c r="Q99" s="21">
        <v>-116</v>
      </c>
      <c r="R99" s="21">
        <v>-579</v>
      </c>
      <c r="S99" s="21">
        <v>-243</v>
      </c>
      <c r="T99" s="21"/>
      <c r="U99" s="21"/>
      <c r="V99" s="21"/>
      <c r="W99" s="21"/>
      <c r="X99" s="21"/>
    </row>
    <row r="100" spans="2:24" x14ac:dyDescent="0.2">
      <c r="B100" s="18" t="s">
        <v>90</v>
      </c>
      <c r="C100" s="64">
        <f t="shared" ref="C100:H100" si="92">SUM(C96:C99)</f>
        <v>0</v>
      </c>
      <c r="D100" s="64">
        <f t="shared" si="92"/>
        <v>0</v>
      </c>
      <c r="E100" s="64">
        <f t="shared" si="92"/>
        <v>-3164</v>
      </c>
      <c r="F100" s="64">
        <f t="shared" si="92"/>
        <v>0</v>
      </c>
      <c r="G100" s="64">
        <f t="shared" si="92"/>
        <v>-2452</v>
      </c>
      <c r="H100" s="64">
        <f t="shared" si="92"/>
        <v>0</v>
      </c>
      <c r="I100" s="64"/>
      <c r="J100" s="64"/>
      <c r="K100" s="21"/>
      <c r="L100" s="64">
        <f t="shared" ref="L100:P100" si="93">SUM(L96:L99)</f>
        <v>-3439</v>
      </c>
      <c r="M100" s="64">
        <f t="shared" si="93"/>
        <v>-5869</v>
      </c>
      <c r="N100" s="64">
        <f t="shared" si="93"/>
        <v>-2939</v>
      </c>
      <c r="O100" s="64">
        <f t="shared" si="93"/>
        <v>-15979</v>
      </c>
      <c r="P100" s="64">
        <f t="shared" si="93"/>
        <v>-5920</v>
      </c>
      <c r="Q100" s="64">
        <f>SUM(Q96:Q99)</f>
        <v>-8310</v>
      </c>
      <c r="R100" s="64">
        <f>SUM(R96:R99)</f>
        <v>-6539</v>
      </c>
      <c r="S100" s="64">
        <f>SUM(S96:S99)</f>
        <v>-4640</v>
      </c>
      <c r="T100" s="21"/>
      <c r="U100" s="21"/>
      <c r="V100" s="21"/>
      <c r="W100" s="21"/>
      <c r="X100" s="21"/>
    </row>
    <row r="101" spans="2:24" x14ac:dyDescent="0.2">
      <c r="B101" s="4" t="s">
        <v>91</v>
      </c>
      <c r="C101" s="21"/>
      <c r="D101" s="21"/>
      <c r="E101" s="21">
        <v>-4215</v>
      </c>
      <c r="F101" s="21"/>
      <c r="G101" s="21">
        <v>-4060</v>
      </c>
      <c r="H101" s="21"/>
      <c r="I101" s="21"/>
      <c r="J101" s="21"/>
      <c r="K101" s="21"/>
      <c r="L101" s="21">
        <v>-3090</v>
      </c>
      <c r="M101" s="21">
        <v>-3678</v>
      </c>
      <c r="N101" s="21">
        <v>-2799</v>
      </c>
      <c r="O101" s="21">
        <v>-4161</v>
      </c>
      <c r="P101" s="21">
        <v>-6774</v>
      </c>
      <c r="Q101" s="21">
        <v>-7159</v>
      </c>
      <c r="R101" s="21">
        <v>-7322</v>
      </c>
      <c r="S101" s="21">
        <v>-7123</v>
      </c>
      <c r="T101" s="21"/>
      <c r="U101" s="21"/>
      <c r="V101" s="21"/>
      <c r="W101" s="21"/>
      <c r="X101" s="21"/>
    </row>
    <row r="102" spans="2:24" x14ac:dyDescent="0.2">
      <c r="B102" s="4" t="s">
        <v>92</v>
      </c>
      <c r="C102" s="21"/>
      <c r="D102" s="21"/>
      <c r="E102" s="21">
        <v>-104</v>
      </c>
      <c r="F102" s="21"/>
      <c r="G102" s="21">
        <v>-68</v>
      </c>
      <c r="H102" s="21"/>
      <c r="I102" s="21"/>
      <c r="J102" s="21"/>
      <c r="K102" s="21"/>
      <c r="L102" s="21">
        <v>-236</v>
      </c>
      <c r="M102" s="21">
        <v>-21</v>
      </c>
      <c r="N102" s="21">
        <v>-67</v>
      </c>
      <c r="O102" s="21">
        <v>-435</v>
      </c>
      <c r="P102" s="21">
        <v>-351</v>
      </c>
      <c r="Q102" s="21">
        <v>-17</v>
      </c>
      <c r="R102" s="21">
        <v>-173</v>
      </c>
      <c r="S102" s="21">
        <v>-1091</v>
      </c>
      <c r="T102" s="21"/>
      <c r="U102" s="21"/>
      <c r="V102" s="21"/>
      <c r="W102" s="21"/>
      <c r="X102" s="21"/>
    </row>
    <row r="103" spans="2:24" x14ac:dyDescent="0.2">
      <c r="B103" s="4" t="s">
        <v>94</v>
      </c>
      <c r="C103" s="21"/>
      <c r="D103" s="21"/>
      <c r="E103" s="21">
        <v>-4</v>
      </c>
      <c r="F103" s="21"/>
      <c r="G103" s="21">
        <v>-1239</v>
      </c>
      <c r="H103" s="21"/>
      <c r="I103" s="21"/>
      <c r="J103" s="21"/>
      <c r="K103" s="21"/>
      <c r="L103" s="21">
        <v>-205</v>
      </c>
      <c r="M103" s="21">
        <v>54</v>
      </c>
      <c r="N103" s="21">
        <v>27</v>
      </c>
      <c r="O103" s="21">
        <v>-552</v>
      </c>
      <c r="P103" s="21">
        <v>-1604</v>
      </c>
      <c r="Q103" s="21">
        <v>-1569</v>
      </c>
      <c r="R103" s="21">
        <v>-224</v>
      </c>
      <c r="S103" s="21">
        <v>-1634</v>
      </c>
      <c r="T103" s="21"/>
      <c r="U103" s="21"/>
      <c r="V103" s="21"/>
      <c r="W103" s="21"/>
      <c r="X103" s="21"/>
    </row>
    <row r="104" spans="2:24" x14ac:dyDescent="0.2">
      <c r="B104" s="4" t="s">
        <v>95</v>
      </c>
      <c r="C104" s="21"/>
      <c r="D104" s="21"/>
      <c r="E104" s="21">
        <v>3587</v>
      </c>
      <c r="F104" s="21"/>
      <c r="G104" s="21">
        <v>2319</v>
      </c>
      <c r="H104" s="21"/>
      <c r="I104" s="21"/>
      <c r="J104" s="21"/>
      <c r="K104" s="21"/>
      <c r="L104" s="21">
        <v>1529</v>
      </c>
      <c r="M104" s="21">
        <v>2837</v>
      </c>
      <c r="N104" s="21">
        <v>17499</v>
      </c>
      <c r="O104" s="21">
        <v>251</v>
      </c>
      <c r="P104" s="21">
        <v>3774</v>
      </c>
      <c r="Q104" s="21">
        <v>5990</v>
      </c>
      <c r="R104" s="21">
        <v>3595</v>
      </c>
      <c r="S104" s="21">
        <v>2095</v>
      </c>
      <c r="T104" s="21"/>
      <c r="U104" s="21"/>
      <c r="V104" s="21"/>
      <c r="W104" s="21"/>
      <c r="X104" s="21"/>
    </row>
    <row r="105" spans="2:24" x14ac:dyDescent="0.2">
      <c r="B105" s="4" t="s">
        <v>96</v>
      </c>
      <c r="C105" s="21"/>
      <c r="D105" s="21"/>
      <c r="E105" s="21">
        <v>-2783</v>
      </c>
      <c r="F105" s="21"/>
      <c r="G105" s="21">
        <v>-2289</v>
      </c>
      <c r="H105" s="21"/>
      <c r="I105" s="21"/>
      <c r="J105" s="21"/>
      <c r="K105" s="21"/>
      <c r="L105" s="21">
        <v>-2174</v>
      </c>
      <c r="M105" s="21">
        <v>-1810</v>
      </c>
      <c r="N105" s="21">
        <v>-5024</v>
      </c>
      <c r="O105" s="21">
        <v>-6413</v>
      </c>
      <c r="P105" s="21">
        <v>-3891</v>
      </c>
      <c r="Q105" s="21">
        <v>-3968</v>
      </c>
      <c r="R105" s="21">
        <v>-3676</v>
      </c>
      <c r="S105" s="21">
        <v>-4228</v>
      </c>
      <c r="T105" s="21"/>
      <c r="U105" s="21"/>
      <c r="V105" s="21"/>
      <c r="W105" s="21"/>
      <c r="X105" s="21"/>
    </row>
    <row r="106" spans="2:24" x14ac:dyDescent="0.2">
      <c r="B106" s="4" t="s">
        <v>97</v>
      </c>
      <c r="C106" s="21"/>
      <c r="D106" s="21"/>
      <c r="E106" s="21">
        <v>-1426</v>
      </c>
      <c r="F106" s="21"/>
      <c r="G106" s="21">
        <v>-1489</v>
      </c>
      <c r="H106" s="21"/>
      <c r="I106" s="21"/>
      <c r="J106" s="21"/>
      <c r="K106" s="21"/>
      <c r="L106" s="21">
        <v>0</v>
      </c>
      <c r="M106" s="21">
        <v>-2187</v>
      </c>
      <c r="N106" s="21">
        <v>-2302</v>
      </c>
      <c r="O106" s="21">
        <v>-2453</v>
      </c>
      <c r="P106" s="21">
        <v>-2751</v>
      </c>
      <c r="Q106" s="21">
        <v>-2818</v>
      </c>
      <c r="R106" s="21">
        <v>-2915</v>
      </c>
      <c r="S106" s="21">
        <v>-2974</v>
      </c>
      <c r="T106" s="21"/>
      <c r="U106" s="21"/>
      <c r="V106" s="21"/>
      <c r="W106" s="21"/>
      <c r="X106" s="21"/>
    </row>
    <row r="107" spans="2:24" x14ac:dyDescent="0.2">
      <c r="B107" s="4" t="s">
        <v>98</v>
      </c>
      <c r="C107" s="21"/>
      <c r="D107" s="21"/>
      <c r="E107" s="21">
        <v>0</v>
      </c>
      <c r="F107" s="21"/>
      <c r="G107" s="21">
        <v>59</v>
      </c>
      <c r="H107" s="21"/>
      <c r="I107" s="21"/>
      <c r="J107" s="21"/>
      <c r="K107" s="21"/>
      <c r="L107" s="21">
        <v>-147</v>
      </c>
      <c r="M107" s="21">
        <v>71</v>
      </c>
      <c r="N107" s="21">
        <v>69</v>
      </c>
      <c r="O107" s="21">
        <v>-1393</v>
      </c>
      <c r="P107" s="21">
        <v>-1088</v>
      </c>
      <c r="Q107" s="21">
        <v>144</v>
      </c>
      <c r="R107" s="21">
        <v>-1</v>
      </c>
      <c r="S107" s="21">
        <v>59</v>
      </c>
      <c r="T107" s="21"/>
      <c r="U107" s="21"/>
      <c r="V107" s="21"/>
      <c r="W107" s="21"/>
      <c r="X107" s="21"/>
    </row>
    <row r="108" spans="2:24" x14ac:dyDescent="0.2">
      <c r="B108" s="18" t="s">
        <v>100</v>
      </c>
      <c r="C108" s="64">
        <f t="shared" ref="C108:H108" si="94">SUM(C101:C107)</f>
        <v>0</v>
      </c>
      <c r="D108" s="64">
        <f t="shared" si="94"/>
        <v>0</v>
      </c>
      <c r="E108" s="64">
        <f t="shared" si="94"/>
        <v>-4945</v>
      </c>
      <c r="F108" s="64">
        <f t="shared" si="94"/>
        <v>0</v>
      </c>
      <c r="G108" s="64">
        <f t="shared" si="94"/>
        <v>-6767</v>
      </c>
      <c r="H108" s="64">
        <f t="shared" si="94"/>
        <v>0</v>
      </c>
      <c r="I108" s="64"/>
      <c r="J108" s="64"/>
      <c r="K108" s="21"/>
      <c r="L108" s="64">
        <f t="shared" ref="L108:P108" si="95">SUM(L101:L107)</f>
        <v>-4323</v>
      </c>
      <c r="M108" s="64">
        <f t="shared" si="95"/>
        <v>-4734</v>
      </c>
      <c r="N108" s="64">
        <f t="shared" si="95"/>
        <v>7403</v>
      </c>
      <c r="O108" s="64">
        <f t="shared" si="95"/>
        <v>-15156</v>
      </c>
      <c r="P108" s="64">
        <f t="shared" si="95"/>
        <v>-12685</v>
      </c>
      <c r="Q108" s="64">
        <f>SUM(Q101:Q107)</f>
        <v>-9397</v>
      </c>
      <c r="R108" s="64">
        <f>SUM(R101:R107)</f>
        <v>-10716</v>
      </c>
      <c r="S108" s="64">
        <f>SUM(S101:S107)</f>
        <v>-14896</v>
      </c>
      <c r="T108" s="21"/>
      <c r="U108" s="21"/>
      <c r="V108" s="21"/>
      <c r="W108" s="21"/>
      <c r="X108" s="21"/>
    </row>
    <row r="109" spans="2:24" x14ac:dyDescent="0.2">
      <c r="B109" s="4" t="s">
        <v>102</v>
      </c>
      <c r="C109" s="21"/>
      <c r="D109" s="21"/>
      <c r="E109" s="21">
        <v>18</v>
      </c>
      <c r="F109" s="21"/>
      <c r="G109" s="21">
        <v>-117</v>
      </c>
      <c r="H109" s="21"/>
      <c r="I109" s="21"/>
      <c r="J109" s="21"/>
      <c r="K109" s="21"/>
      <c r="L109" s="21">
        <v>68</v>
      </c>
      <c r="M109" s="21">
        <v>39</v>
      </c>
      <c r="N109" s="21">
        <v>-1052</v>
      </c>
      <c r="O109" s="21">
        <v>498</v>
      </c>
      <c r="P109" s="21">
        <v>55</v>
      </c>
      <c r="Q109" s="21">
        <v>-273</v>
      </c>
      <c r="R109" s="21">
        <v>80</v>
      </c>
      <c r="S109" s="21">
        <v>-248</v>
      </c>
      <c r="T109" s="21"/>
      <c r="U109" s="21"/>
      <c r="V109" s="21"/>
      <c r="W109" s="21"/>
      <c r="X109" s="21"/>
    </row>
    <row r="110" spans="2:24" x14ac:dyDescent="0.2">
      <c r="B110" s="18" t="s">
        <v>101</v>
      </c>
      <c r="C110" s="64">
        <f t="shared" ref="C110:H110" si="96">C95+C100+C108+C109</f>
        <v>11564</v>
      </c>
      <c r="D110" s="64">
        <f t="shared" si="96"/>
        <v>10996</v>
      </c>
      <c r="E110" s="64">
        <f t="shared" si="96"/>
        <v>-807</v>
      </c>
      <c r="F110" s="64">
        <f t="shared" si="96"/>
        <v>8283</v>
      </c>
      <c r="G110" s="64">
        <f t="shared" si="96"/>
        <v>-1455</v>
      </c>
      <c r="H110" s="64">
        <f t="shared" si="96"/>
        <v>8101</v>
      </c>
      <c r="I110" s="64"/>
      <c r="J110" s="64"/>
      <c r="K110" s="21"/>
      <c r="L110" s="64">
        <f t="shared" ref="L110:S110" si="97">L95+L100+L108+L109</f>
        <v>796</v>
      </c>
      <c r="M110" s="64">
        <f t="shared" si="97"/>
        <v>1084</v>
      </c>
      <c r="N110" s="64">
        <f t="shared" si="97"/>
        <v>14308</v>
      </c>
      <c r="O110" s="64">
        <f t="shared" si="97"/>
        <v>-11989</v>
      </c>
      <c r="P110" s="64">
        <f t="shared" si="97"/>
        <v>-717</v>
      </c>
      <c r="Q110" s="64">
        <f t="shared" si="97"/>
        <v>420</v>
      </c>
      <c r="R110" s="64">
        <f t="shared" si="97"/>
        <v>1749</v>
      </c>
      <c r="S110" s="64">
        <f t="shared" si="97"/>
        <v>-910</v>
      </c>
      <c r="T110" s="21"/>
      <c r="U110" s="21"/>
      <c r="V110" s="21"/>
      <c r="W110" s="21"/>
      <c r="X110" s="21"/>
    </row>
    <row r="111" spans="2:24" x14ac:dyDescent="0.2">
      <c r="B111" s="4" t="s">
        <v>103</v>
      </c>
      <c r="C111" s="21"/>
      <c r="D111" s="21"/>
      <c r="E111" s="21">
        <v>7520</v>
      </c>
      <c r="F111" s="21"/>
      <c r="G111" s="21">
        <v>9269</v>
      </c>
      <c r="H111" s="21"/>
      <c r="I111" s="21"/>
      <c r="J111" s="21"/>
      <c r="K111" s="21"/>
      <c r="L111" s="21">
        <f>L112-L110</f>
        <v>3618</v>
      </c>
      <c r="M111" s="21">
        <f>M112-M110</f>
        <v>4414</v>
      </c>
      <c r="N111" s="21">
        <f>N112-N110</f>
        <v>5498</v>
      </c>
      <c r="O111" s="21">
        <f>O112-O110</f>
        <v>19806</v>
      </c>
      <c r="P111" s="21">
        <f>P112-P110</f>
        <v>7817</v>
      </c>
      <c r="Q111" s="21">
        <v>7100</v>
      </c>
      <c r="R111" s="21">
        <f>+Q112</f>
        <v>7520</v>
      </c>
      <c r="S111" s="21">
        <v>9269</v>
      </c>
      <c r="T111" s="21"/>
      <c r="U111" s="21"/>
      <c r="V111" s="21"/>
      <c r="W111" s="21"/>
      <c r="X111" s="21"/>
    </row>
    <row r="112" spans="2:24" x14ac:dyDescent="0.2">
      <c r="B112" s="4" t="s">
        <v>104</v>
      </c>
      <c r="C112" s="21"/>
      <c r="D112" s="21"/>
      <c r="E112" s="21">
        <v>6713</v>
      </c>
      <c r="F112" s="21"/>
      <c r="G112" s="21">
        <v>7814</v>
      </c>
      <c r="H112" s="21"/>
      <c r="I112" s="21"/>
      <c r="J112" s="21"/>
      <c r="K112" s="21"/>
      <c r="L112" s="21">
        <f>M111</f>
        <v>4414</v>
      </c>
      <c r="M112" s="21">
        <f>N111</f>
        <v>5498</v>
      </c>
      <c r="N112" s="21">
        <f>O111</f>
        <v>19806</v>
      </c>
      <c r="O112" s="21">
        <f>P111</f>
        <v>7817</v>
      </c>
      <c r="P112" s="21">
        <f>Q111</f>
        <v>7100</v>
      </c>
      <c r="Q112" s="21">
        <f>Q111+Q110</f>
        <v>7520</v>
      </c>
      <c r="R112" s="21">
        <f>+R110+R111</f>
        <v>9269</v>
      </c>
      <c r="S112" s="21">
        <f>+S110+S111</f>
        <v>8359</v>
      </c>
      <c r="T112" s="21"/>
      <c r="U112" s="21"/>
      <c r="V112" s="21"/>
      <c r="W112" s="21"/>
      <c r="X112" s="21"/>
    </row>
    <row r="113" spans="2:24" x14ac:dyDescent="0.2"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21"/>
      <c r="S113" s="21"/>
      <c r="T113" s="21"/>
      <c r="U113" s="21"/>
      <c r="V113" s="21"/>
      <c r="W113" s="21"/>
      <c r="X113" s="21"/>
    </row>
    <row r="114" spans="2:24" x14ac:dyDescent="0.2">
      <c r="B114" s="4" t="s">
        <v>249</v>
      </c>
      <c r="C114" s="43"/>
      <c r="D114" s="43"/>
      <c r="E114" s="61">
        <f>+E95+E96</f>
        <v>4556</v>
      </c>
      <c r="F114" s="43"/>
      <c r="G114" s="61">
        <f>+G95+G96</f>
        <v>5521</v>
      </c>
      <c r="H114" s="43"/>
      <c r="I114" s="43"/>
      <c r="J114" s="43"/>
      <c r="K114" s="43"/>
      <c r="L114" s="61">
        <f t="shared" ref="L114:S114" si="98">+L95+L96</f>
        <v>5452</v>
      </c>
      <c r="M114" s="61">
        <f t="shared" si="98"/>
        <v>8354</v>
      </c>
      <c r="N114" s="61">
        <f t="shared" si="98"/>
        <v>8418</v>
      </c>
      <c r="O114" s="61">
        <f t="shared" si="98"/>
        <v>15984</v>
      </c>
      <c r="P114" s="61">
        <f t="shared" si="98"/>
        <v>12864</v>
      </c>
      <c r="Q114" s="61">
        <f t="shared" si="98"/>
        <v>10922</v>
      </c>
      <c r="R114" s="61">
        <f t="shared" si="98"/>
        <v>13393</v>
      </c>
      <c r="S114" s="61">
        <f t="shared" si="98"/>
        <v>14307</v>
      </c>
      <c r="T114" s="21"/>
      <c r="U114" s="21"/>
      <c r="V114" s="21"/>
      <c r="W114" s="21"/>
      <c r="X114" s="21"/>
    </row>
    <row r="115" spans="2:24" x14ac:dyDescent="0.2"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21"/>
      <c r="S115" s="21"/>
      <c r="T115" s="21"/>
      <c r="U115" s="21"/>
      <c r="V115" s="21"/>
      <c r="W115" s="21"/>
      <c r="X115" s="21"/>
    </row>
    <row r="116" spans="2:24" x14ac:dyDescent="0.2"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21"/>
      <c r="S116" s="21"/>
      <c r="T116" s="21"/>
      <c r="U116" s="21"/>
      <c r="V116" s="21"/>
      <c r="W116" s="21"/>
      <c r="X116" s="21"/>
    </row>
    <row r="117" spans="2:24" x14ac:dyDescent="0.2"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21"/>
      <c r="S117" s="21"/>
      <c r="T117" s="21"/>
      <c r="U117" s="21"/>
      <c r="V117" s="21"/>
      <c r="W117" s="21"/>
      <c r="X117" s="21"/>
    </row>
    <row r="118" spans="2:24" x14ac:dyDescent="0.2"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21"/>
      <c r="S118" s="21"/>
      <c r="T118" s="21"/>
      <c r="U118" s="21"/>
      <c r="V118" s="21"/>
      <c r="W118" s="21"/>
      <c r="X118" s="21"/>
    </row>
    <row r="119" spans="2:24" x14ac:dyDescent="0.2"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21"/>
      <c r="S119" s="21"/>
      <c r="T119" s="21"/>
      <c r="U119" s="21"/>
      <c r="V119" s="21"/>
      <c r="W119" s="21"/>
      <c r="X119" s="21"/>
    </row>
    <row r="120" spans="2:24" x14ac:dyDescent="0.2"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21"/>
      <c r="S120" s="21"/>
      <c r="T120" s="21"/>
      <c r="U120" s="21"/>
      <c r="V120" s="21"/>
      <c r="W120" s="21"/>
      <c r="X120" s="21"/>
    </row>
    <row r="121" spans="2:24" x14ac:dyDescent="0.2"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21"/>
      <c r="S121" s="21"/>
      <c r="T121" s="21"/>
      <c r="U121" s="21"/>
      <c r="V121" s="21"/>
      <c r="W121" s="21"/>
      <c r="X121" s="21"/>
    </row>
    <row r="122" spans="2:24" x14ac:dyDescent="0.2"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21"/>
      <c r="S122" s="21"/>
      <c r="T122" s="21"/>
      <c r="U122" s="21"/>
      <c r="V122" s="21"/>
      <c r="W122" s="21"/>
      <c r="X122" s="21"/>
    </row>
    <row r="123" spans="2:24" x14ac:dyDescent="0.2"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21"/>
      <c r="S123" s="21"/>
      <c r="T123" s="21"/>
      <c r="U123" s="21"/>
      <c r="V123" s="21"/>
      <c r="W123" s="21"/>
      <c r="X123" s="21"/>
    </row>
    <row r="124" spans="2:24" x14ac:dyDescent="0.2"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21"/>
      <c r="S124" s="21"/>
      <c r="T124" s="21"/>
      <c r="U124" s="21"/>
      <c r="V124" s="21"/>
      <c r="W124" s="21"/>
      <c r="X124" s="21"/>
    </row>
    <row r="125" spans="2:24" x14ac:dyDescent="0.2"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21"/>
      <c r="S125" s="21"/>
      <c r="T125" s="21"/>
      <c r="U125" s="21"/>
      <c r="V125" s="21"/>
      <c r="W125" s="21"/>
      <c r="X125" s="21"/>
    </row>
    <row r="126" spans="2:24" x14ac:dyDescent="0.2"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21"/>
      <c r="S126" s="21"/>
      <c r="T126" s="21"/>
      <c r="U126" s="21"/>
      <c r="V126" s="21"/>
      <c r="W126" s="21"/>
      <c r="X126" s="21"/>
    </row>
    <row r="127" spans="2:24" x14ac:dyDescent="0.2"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21"/>
      <c r="S127" s="21"/>
      <c r="T127" s="21"/>
      <c r="U127" s="21"/>
      <c r="V127" s="21"/>
      <c r="W127" s="21"/>
      <c r="X127" s="21"/>
    </row>
    <row r="128" spans="2:24" x14ac:dyDescent="0.2"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21"/>
      <c r="S128" s="21"/>
      <c r="T128" s="21"/>
      <c r="U128" s="21"/>
      <c r="V128" s="21"/>
      <c r="W128" s="21"/>
      <c r="X128" s="21"/>
    </row>
    <row r="129" spans="3:24" x14ac:dyDescent="0.2"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21"/>
      <c r="S129" s="21"/>
      <c r="T129" s="21"/>
      <c r="U129" s="21"/>
      <c r="V129" s="21"/>
      <c r="W129" s="21"/>
      <c r="X129" s="21"/>
    </row>
    <row r="130" spans="3:24" x14ac:dyDescent="0.2"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21"/>
      <c r="S130" s="21"/>
      <c r="T130" s="21"/>
      <c r="U130" s="21"/>
      <c r="V130" s="21"/>
      <c r="W130" s="21"/>
      <c r="X130" s="21"/>
    </row>
    <row r="131" spans="3:24" x14ac:dyDescent="0.2"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21"/>
      <c r="S131" s="21"/>
      <c r="T131" s="21"/>
      <c r="U131" s="21"/>
      <c r="V131" s="21"/>
      <c r="W131" s="21"/>
      <c r="X131" s="21"/>
    </row>
    <row r="132" spans="3:24" x14ac:dyDescent="0.2"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21"/>
      <c r="S132" s="21"/>
      <c r="T132" s="21"/>
      <c r="U132" s="21"/>
      <c r="V132" s="21"/>
      <c r="W132" s="21"/>
      <c r="X132" s="21"/>
    </row>
    <row r="133" spans="3:24" x14ac:dyDescent="0.2"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21"/>
      <c r="S133" s="21"/>
      <c r="T133" s="21"/>
      <c r="U133" s="21"/>
      <c r="V133" s="21"/>
      <c r="W133" s="21"/>
      <c r="X133" s="21"/>
    </row>
    <row r="134" spans="3:24" x14ac:dyDescent="0.2"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21"/>
      <c r="S134" s="21"/>
      <c r="T134" s="21"/>
      <c r="U134" s="21"/>
      <c r="V134" s="21"/>
      <c r="W134" s="21"/>
      <c r="X134" s="21"/>
    </row>
    <row r="135" spans="3:24" x14ac:dyDescent="0.2"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21"/>
      <c r="S135" s="21"/>
      <c r="T135" s="21"/>
      <c r="U135" s="21"/>
      <c r="V135" s="21"/>
      <c r="W135" s="21"/>
      <c r="X135" s="21"/>
    </row>
    <row r="136" spans="3:24" x14ac:dyDescent="0.2"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21"/>
      <c r="S136" s="21"/>
      <c r="T136" s="21"/>
      <c r="U136" s="21"/>
      <c r="V136" s="21"/>
      <c r="W136" s="21"/>
      <c r="X136" s="21"/>
    </row>
    <row r="137" spans="3:24" x14ac:dyDescent="0.2"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21"/>
      <c r="S137" s="21"/>
      <c r="T137" s="21"/>
      <c r="U137" s="21"/>
      <c r="V137" s="21"/>
      <c r="W137" s="21"/>
      <c r="X137" s="21"/>
    </row>
    <row r="138" spans="3:24" x14ac:dyDescent="0.2"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21"/>
      <c r="S138" s="21"/>
      <c r="T138" s="21"/>
      <c r="U138" s="21"/>
      <c r="V138" s="21"/>
      <c r="W138" s="21"/>
      <c r="X138" s="21"/>
    </row>
    <row r="139" spans="3:24" x14ac:dyDescent="0.2"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21"/>
      <c r="S139" s="21"/>
      <c r="T139" s="21"/>
      <c r="U139" s="21"/>
      <c r="V139" s="21"/>
      <c r="W139" s="21"/>
      <c r="X139" s="21"/>
    </row>
    <row r="140" spans="3:24" x14ac:dyDescent="0.2"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21"/>
      <c r="S140" s="21"/>
      <c r="T140" s="21"/>
      <c r="U140" s="21"/>
      <c r="V140" s="21"/>
      <c r="W140" s="21"/>
      <c r="X140" s="21"/>
    </row>
    <row r="141" spans="3:24" x14ac:dyDescent="0.2"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21"/>
      <c r="S141" s="21"/>
      <c r="T141" s="21"/>
      <c r="U141" s="21"/>
      <c r="V141" s="21"/>
      <c r="W141" s="21"/>
      <c r="X141" s="21"/>
    </row>
    <row r="142" spans="3:24" x14ac:dyDescent="0.2"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21"/>
      <c r="S142" s="21"/>
      <c r="T142" s="21"/>
      <c r="U142" s="21"/>
      <c r="V142" s="21"/>
      <c r="W142" s="21"/>
      <c r="X142" s="21"/>
    </row>
    <row r="143" spans="3:24" x14ac:dyDescent="0.2"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21"/>
      <c r="S143" s="21"/>
      <c r="T143" s="21"/>
      <c r="U143" s="21"/>
      <c r="V143" s="21"/>
      <c r="W143" s="21"/>
      <c r="X143" s="21"/>
    </row>
    <row r="144" spans="3:24" x14ac:dyDescent="0.2"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21"/>
      <c r="S144" s="21"/>
      <c r="T144" s="21"/>
      <c r="U144" s="21"/>
      <c r="V144" s="21"/>
      <c r="W144" s="21"/>
      <c r="X144" s="21"/>
    </row>
    <row r="145" spans="3:24" x14ac:dyDescent="0.2"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21"/>
      <c r="S145" s="21"/>
      <c r="T145" s="21"/>
      <c r="U145" s="21"/>
      <c r="V145" s="21"/>
      <c r="W145" s="21"/>
      <c r="X145" s="21"/>
    </row>
    <row r="146" spans="3:24" x14ac:dyDescent="0.2"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21"/>
      <c r="S146" s="21"/>
      <c r="T146" s="21"/>
      <c r="U146" s="21"/>
      <c r="V146" s="21"/>
      <c r="W146" s="21"/>
      <c r="X146" s="21"/>
    </row>
    <row r="147" spans="3:24" x14ac:dyDescent="0.2"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21"/>
      <c r="S147" s="21"/>
      <c r="T147" s="21"/>
      <c r="U147" s="21"/>
      <c r="V147" s="21"/>
      <c r="W147" s="21"/>
      <c r="X147" s="21"/>
    </row>
    <row r="148" spans="3:24" x14ac:dyDescent="0.2"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21"/>
      <c r="S148" s="21"/>
      <c r="T148" s="21"/>
      <c r="U148" s="21"/>
      <c r="V148" s="21"/>
      <c r="W148" s="21"/>
      <c r="X148" s="21"/>
    </row>
    <row r="149" spans="3:24" x14ac:dyDescent="0.2"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21"/>
      <c r="S149" s="21"/>
      <c r="T149" s="21"/>
      <c r="U149" s="21"/>
      <c r="V149" s="21"/>
      <c r="W149" s="21"/>
      <c r="X149" s="21"/>
    </row>
    <row r="150" spans="3:24" x14ac:dyDescent="0.2"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21"/>
      <c r="S150" s="21"/>
      <c r="T150" s="21"/>
      <c r="U150" s="21"/>
      <c r="V150" s="21"/>
      <c r="W150" s="21"/>
      <c r="X150" s="21"/>
    </row>
    <row r="151" spans="3:24" x14ac:dyDescent="0.2"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21"/>
      <c r="S151" s="21"/>
      <c r="T151" s="21"/>
      <c r="U151" s="21"/>
      <c r="V151" s="21"/>
      <c r="W151" s="21"/>
      <c r="X151" s="21"/>
    </row>
    <row r="152" spans="3:24" x14ac:dyDescent="0.2"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21"/>
      <c r="S152" s="21"/>
      <c r="T152" s="21"/>
      <c r="U152" s="21"/>
      <c r="V152" s="21"/>
      <c r="W152" s="21"/>
      <c r="X152" s="21"/>
    </row>
    <row r="153" spans="3:24" x14ac:dyDescent="0.2"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21"/>
      <c r="S153" s="21"/>
      <c r="T153" s="21"/>
      <c r="U153" s="21"/>
      <c r="V153" s="21"/>
      <c r="W153" s="21"/>
      <c r="X153" s="21"/>
    </row>
    <row r="154" spans="3:24" x14ac:dyDescent="0.2"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21"/>
      <c r="S154" s="21"/>
      <c r="T154" s="21"/>
      <c r="U154" s="21"/>
      <c r="V154" s="21"/>
      <c r="W154" s="21"/>
      <c r="X154" s="21"/>
    </row>
    <row r="155" spans="3:24" x14ac:dyDescent="0.2"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21"/>
      <c r="S155" s="21"/>
      <c r="T155" s="21"/>
      <c r="U155" s="21"/>
      <c r="V155" s="21"/>
      <c r="W155" s="21"/>
      <c r="X155" s="21"/>
    </row>
    <row r="156" spans="3:24" x14ac:dyDescent="0.2"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21"/>
      <c r="S156" s="21"/>
      <c r="T156" s="21"/>
      <c r="U156" s="21"/>
      <c r="V156" s="21"/>
      <c r="W156" s="21"/>
      <c r="X156" s="21"/>
    </row>
    <row r="157" spans="3:24" x14ac:dyDescent="0.2"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21"/>
      <c r="S157" s="21"/>
      <c r="T157" s="21"/>
      <c r="U157" s="21"/>
      <c r="V157" s="21"/>
      <c r="W157" s="21"/>
      <c r="X157" s="21"/>
    </row>
    <row r="158" spans="3:24" x14ac:dyDescent="0.2"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21"/>
      <c r="S158" s="21"/>
      <c r="T158" s="21"/>
      <c r="U158" s="21"/>
      <c r="V158" s="21"/>
      <c r="W158" s="21"/>
      <c r="X158" s="21"/>
    </row>
    <row r="159" spans="3:24" x14ac:dyDescent="0.2"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21"/>
      <c r="S159" s="21"/>
      <c r="T159" s="21"/>
      <c r="U159" s="21"/>
      <c r="V159" s="21"/>
      <c r="W159" s="21"/>
      <c r="X159" s="21"/>
    </row>
    <row r="160" spans="3:24" x14ac:dyDescent="0.2"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21"/>
      <c r="S160" s="21"/>
      <c r="T160" s="21"/>
      <c r="U160" s="21"/>
      <c r="V160" s="21"/>
      <c r="W160" s="21"/>
      <c r="X160" s="21"/>
    </row>
    <row r="161" spans="3:24" x14ac:dyDescent="0.2"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21"/>
      <c r="S161" s="21"/>
      <c r="T161" s="21"/>
      <c r="U161" s="21"/>
      <c r="V161" s="21"/>
      <c r="W161" s="21"/>
      <c r="X161" s="21"/>
    </row>
    <row r="162" spans="3:24" x14ac:dyDescent="0.2"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21"/>
      <c r="S162" s="21"/>
      <c r="T162" s="21"/>
      <c r="U162" s="21"/>
      <c r="V162" s="21"/>
      <c r="W162" s="21"/>
      <c r="X162" s="21"/>
    </row>
    <row r="163" spans="3:24" x14ac:dyDescent="0.2"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21"/>
      <c r="S163" s="21"/>
      <c r="T163" s="21"/>
      <c r="U163" s="21"/>
      <c r="V163" s="21"/>
      <c r="W163" s="21"/>
      <c r="X163" s="21"/>
    </row>
    <row r="164" spans="3:24" x14ac:dyDescent="0.2"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21"/>
      <c r="S164" s="21"/>
      <c r="T164" s="21"/>
      <c r="U164" s="21"/>
      <c r="V164" s="21"/>
      <c r="W164" s="21"/>
      <c r="X164" s="21"/>
    </row>
    <row r="165" spans="3:24" x14ac:dyDescent="0.2"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21"/>
      <c r="S165" s="21"/>
      <c r="T165" s="21"/>
      <c r="U165" s="21"/>
      <c r="V165" s="21"/>
      <c r="W165" s="21"/>
      <c r="X165" s="21"/>
    </row>
    <row r="166" spans="3:24" x14ac:dyDescent="0.2"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21"/>
      <c r="S166" s="21"/>
      <c r="T166" s="21"/>
      <c r="U166" s="21"/>
      <c r="V166" s="21"/>
      <c r="W166" s="21"/>
      <c r="X166" s="21"/>
    </row>
    <row r="167" spans="3:24" x14ac:dyDescent="0.2"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21"/>
      <c r="S167" s="21"/>
      <c r="T167" s="21"/>
      <c r="U167" s="21"/>
      <c r="V167" s="21"/>
      <c r="W167" s="21"/>
      <c r="X167" s="21"/>
    </row>
    <row r="168" spans="3:24" x14ac:dyDescent="0.2"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21"/>
      <c r="S168" s="21"/>
      <c r="T168" s="21"/>
      <c r="U168" s="21"/>
      <c r="V168" s="21"/>
      <c r="W168" s="21"/>
      <c r="X168" s="21"/>
    </row>
    <row r="169" spans="3:24" x14ac:dyDescent="0.2"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21"/>
      <c r="S169" s="21"/>
      <c r="T169" s="21"/>
      <c r="U169" s="21"/>
      <c r="V169" s="21"/>
      <c r="W169" s="21"/>
      <c r="X169" s="21"/>
    </row>
    <row r="170" spans="3:24" x14ac:dyDescent="0.2"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21"/>
      <c r="S170" s="21"/>
      <c r="T170" s="21"/>
      <c r="U170" s="21"/>
      <c r="V170" s="21"/>
      <c r="W170" s="21"/>
      <c r="X170" s="21"/>
    </row>
    <row r="171" spans="3:24" x14ac:dyDescent="0.2"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21"/>
      <c r="S171" s="21"/>
      <c r="T171" s="21"/>
      <c r="U171" s="21"/>
      <c r="V171" s="21"/>
      <c r="W171" s="21"/>
      <c r="X171" s="21"/>
    </row>
    <row r="172" spans="3:24" x14ac:dyDescent="0.2"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21"/>
      <c r="S172" s="21"/>
      <c r="T172" s="21"/>
      <c r="U172" s="21"/>
      <c r="V172" s="21"/>
      <c r="W172" s="21"/>
      <c r="X172" s="21"/>
    </row>
    <row r="173" spans="3:24" x14ac:dyDescent="0.2"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21"/>
      <c r="S173" s="21"/>
      <c r="T173" s="21"/>
      <c r="U173" s="21"/>
      <c r="V173" s="21"/>
      <c r="W173" s="21"/>
      <c r="X173" s="21"/>
    </row>
    <row r="174" spans="3:24" x14ac:dyDescent="0.2"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21"/>
      <c r="S174" s="21"/>
      <c r="T174" s="21"/>
      <c r="U174" s="21"/>
      <c r="V174" s="21"/>
      <c r="W174" s="21"/>
      <c r="X174" s="21"/>
    </row>
    <row r="175" spans="3:24" x14ac:dyDescent="0.2">
      <c r="R175" s="21"/>
      <c r="S175" s="21"/>
      <c r="T175" s="21"/>
      <c r="U175" s="21"/>
      <c r="V175" s="21"/>
      <c r="W175" s="21"/>
      <c r="X175" s="21"/>
    </row>
  </sheetData>
  <hyperlinks>
    <hyperlink ref="A1" location="Main!A1" display="Main" xr:uid="{FC066F34-74BC-41EF-9CD1-B7164790878E}"/>
  </hyperlink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D4BFD-8B54-4F0A-B988-F0D31C1B811E}">
  <dimension ref="A2:M42"/>
  <sheetViews>
    <sheetView zoomScale="200" zoomScaleNormal="200" workbookViewId="0">
      <pane xSplit="2" ySplit="2" topLeftCell="H3" activePane="bottomRight" state="frozen"/>
      <selection pane="topRight" activeCell="C1" sqref="C1"/>
      <selection pane="bottomLeft" activeCell="A3" sqref="A3"/>
      <selection pane="bottomRight" activeCell="K2" sqref="K2"/>
    </sheetView>
  </sheetViews>
  <sheetFormatPr defaultRowHeight="12.75" x14ac:dyDescent="0.2"/>
  <cols>
    <col min="1" max="1" width="4.28515625" style="4" customWidth="1"/>
    <col min="2" max="2" width="19.5703125" style="4" bestFit="1" customWidth="1"/>
    <col min="3" max="16384" width="9.140625" style="4"/>
  </cols>
  <sheetData>
    <row r="2" spans="1:13" x14ac:dyDescent="0.2">
      <c r="D2" s="57" t="s">
        <v>8</v>
      </c>
      <c r="E2" s="57" t="s">
        <v>9</v>
      </c>
      <c r="F2" s="57" t="s">
        <v>10</v>
      </c>
      <c r="G2" s="57" t="s">
        <v>11</v>
      </c>
      <c r="H2" s="57" t="s">
        <v>12</v>
      </c>
      <c r="I2" s="57" t="s">
        <v>13</v>
      </c>
      <c r="J2" s="57" t="s">
        <v>14</v>
      </c>
      <c r="K2" s="77" t="s">
        <v>261</v>
      </c>
      <c r="M2" s="57" t="s">
        <v>135</v>
      </c>
    </row>
    <row r="3" spans="1:13" x14ac:dyDescent="0.2">
      <c r="A3" s="58" t="s">
        <v>17</v>
      </c>
      <c r="B3" s="59" t="s">
        <v>105</v>
      </c>
    </row>
    <row r="4" spans="1:13" x14ac:dyDescent="0.2">
      <c r="B4" s="4" t="s">
        <v>106</v>
      </c>
      <c r="D4" s="26">
        <f>Model!L34/Model!L69</f>
        <v>0.18711900344553406</v>
      </c>
      <c r="E4" s="26">
        <f>Model!M34/Model!M69</f>
        <v>0.18691515704418091</v>
      </c>
      <c r="F4" s="26">
        <f>Model!N34/Model!N69</f>
        <v>0.12109505781761055</v>
      </c>
      <c r="G4" s="26">
        <f>Model!O34/Model!O69</f>
        <v>0.24608967674661106</v>
      </c>
      <c r="H4" s="26">
        <f>Model!P34/Model!P69</f>
        <v>0.24881633806798106</v>
      </c>
      <c r="I4" s="26">
        <f>Model!Q34/Model!Q69</f>
        <v>0.24200570963780482</v>
      </c>
      <c r="J4" s="26">
        <f>Model!R34/Model!R69</f>
        <v>0.1811306594310621</v>
      </c>
      <c r="K4" s="26">
        <f>Model!S34/Model!S69</f>
        <v>0.157768785624157</v>
      </c>
      <c r="M4" s="60">
        <f>AVERAGE(G4:I4,D4:E4)</f>
        <v>0.22218917698842239</v>
      </c>
    </row>
    <row r="5" spans="1:13" x14ac:dyDescent="0.2">
      <c r="B5" s="4" t="s">
        <v>107</v>
      </c>
      <c r="D5" s="26">
        <f>Model!L26/Model!L66</f>
        <v>0.13293405114401077</v>
      </c>
      <c r="E5" s="26">
        <f>Model!M26/Model!M66</f>
        <v>0.11681017957246624</v>
      </c>
      <c r="F5" s="26">
        <f>Model!N26/Model!N66</f>
        <v>7.3359037829779788E-2</v>
      </c>
      <c r="G5" s="26">
        <f>Model!O26/Model!O66</f>
        <v>0.13689939430696427</v>
      </c>
      <c r="H5" s="26">
        <f>Model!P26/Model!P66</f>
        <v>0.15597195609227157</v>
      </c>
      <c r="I5" s="26">
        <f>Model!Q26/Model!Q66</f>
        <v>0.1570002922877782</v>
      </c>
      <c r="J5" s="26">
        <f>Model!R26/Model!R66</f>
        <v>0.12673101414303908</v>
      </c>
      <c r="K5" s="26">
        <f>Model!S26/Model!S66</f>
        <v>0.12038412526313566</v>
      </c>
      <c r="M5" s="60">
        <f t="shared" ref="M5:M12" si="0">AVERAGE(G5:I5,D5:E5)</f>
        <v>0.1399231746806982</v>
      </c>
    </row>
    <row r="6" spans="1:13" x14ac:dyDescent="0.2">
      <c r="B6" s="4" t="s">
        <v>108</v>
      </c>
      <c r="D6" s="26">
        <f>(Model!L26*(1-Model!L48))/(Model!L69+Model!L70+Model!L71+Model!L76+Model!L77-Model!L64-Model!L55-Model!L56)</f>
        <v>0.18829267519197093</v>
      </c>
      <c r="E6" s="26">
        <f>(Model!M26*(1-Model!M48))/(Model!M69+Model!M70+Model!M71+Model!M76+Model!M77-Model!M64-Model!M55-Model!M56)</f>
        <v>0.14632183754711237</v>
      </c>
      <c r="F6" s="26">
        <f>(Model!N26*(1-Model!N48))/(Model!N69+Model!N70+Model!N71+Model!N76+Model!N77-Model!N64-Model!N55-Model!N56)</f>
        <v>9.8121455841864783E-2</v>
      </c>
      <c r="G6" s="26">
        <f>(Model!O26*(1-Model!O48))/(Model!O69+Model!O70+Model!O71+Model!O76+Model!O77-Model!O64-Model!O55-Model!O56)</f>
        <v>0.17351642289444263</v>
      </c>
      <c r="H6" s="26">
        <f>(Model!P26*(1-Model!P48))/(Model!P69+Model!P70+Model!P71+Model!P76+Model!P77-Model!P64-Model!P55-Model!P56)</f>
        <v>0.18720240111501668</v>
      </c>
      <c r="I6" s="26">
        <f>(Model!Q26*(1-Model!Q48))/(Model!Q69+Model!Q70+Model!Q71+Model!Q76+Model!Q77-Model!Q64-Model!Q55-Model!Q56)</f>
        <v>0.18283983972172435</v>
      </c>
      <c r="J6" s="26">
        <f>(Model!R26*(1-Model!R48))/(Model!R69+Model!R70+Model!R71+Model!R76+Model!R77-Model!R64-Model!R55-Model!R56)</f>
        <v>0.13877720472925267</v>
      </c>
      <c r="K6" s="26">
        <f>(Model!S26*(1-Model!S48))/(Model!S69+Model!S70+Model!S71+Model!S76+Model!S77-Model!S64-Model!S55-Model!S56)</f>
        <v>0.12996638511524339</v>
      </c>
      <c r="M6" s="60">
        <f t="shared" si="0"/>
        <v>0.17563463529405338</v>
      </c>
    </row>
    <row r="7" spans="1:13" x14ac:dyDescent="0.2">
      <c r="B7" s="4" t="s">
        <v>109</v>
      </c>
      <c r="D7" s="26">
        <f>Model!L26/(Model!L59+Model!L60+Model!L61+Model!L62+Model!L63-Model!L57-Model!L55-Model!L78)</f>
        <v>0.15739737378888322</v>
      </c>
      <c r="E7" s="26">
        <f>Model!M26/(Model!M59+Model!M60+Model!M61+Model!M62+Model!M63-Model!M57-Model!M55-Model!M78)</f>
        <v>0.13680825242718447</v>
      </c>
      <c r="F7" s="26">
        <f>Model!N26/(Model!N59+Model!N60+Model!N61+Model!N62+Model!N63-Model!N57-Model!N55-Model!N78)</f>
        <v>9.748700703148884E-2</v>
      </c>
      <c r="G7" s="26">
        <f>Model!O26/(Model!O59+Model!O60+Model!O61+Model!O62+Model!O63-Model!O57-Model!O55-Model!O78)</f>
        <v>0.15874558140395684</v>
      </c>
      <c r="H7" s="26">
        <f>Model!P26/(Model!P59+Model!P60+Model!P61+Model!P62+Model!P63-Model!P57-Model!P55-Model!P78)</f>
        <v>0.18056678073358209</v>
      </c>
      <c r="I7" s="26">
        <f>Model!Q26/(Model!Q59+Model!Q60+Model!Q61+Model!Q62+Model!Q63-Model!Q57-Model!Q55-Model!Q78)</f>
        <v>0.18067802311333223</v>
      </c>
      <c r="J7" s="26">
        <f>Model!R26/(Model!R59+Model!R60+Model!R61+Model!R62+Model!R63-Model!R57-Model!R55-Model!R78)</f>
        <v>0.14715909090909091</v>
      </c>
      <c r="K7" s="26">
        <f>Model!S26/(Model!S59+Model!S60+Model!S61+Model!S62+Model!S63-Model!S57-Model!S55-Model!S78)</f>
        <v>0.1392165962401179</v>
      </c>
      <c r="M7" s="60">
        <f t="shared" si="0"/>
        <v>0.16283920229338777</v>
      </c>
    </row>
    <row r="9" spans="1:13" x14ac:dyDescent="0.2">
      <c r="B9" s="4" t="s">
        <v>110</v>
      </c>
      <c r="D9" s="26">
        <f>1-(-Model!L101/Model!L34)</f>
        <v>0.51369216241737492</v>
      </c>
      <c r="E9" s="26">
        <f>1-(-Model!M101/Model!M34)</f>
        <v>0.48710082275833222</v>
      </c>
      <c r="F9" s="26">
        <f>1-(-Model!N101/Model!N34)</f>
        <v>0.40472139515099959</v>
      </c>
      <c r="G9" s="26">
        <f>1-(-Model!O101/Model!O34)</f>
        <v>0.65428713858424725</v>
      </c>
      <c r="H9" s="26">
        <f>1-(-Model!P101/Model!P34)</f>
        <v>0.5190286850326612</v>
      </c>
      <c r="I9" s="26">
        <f>1-(-Model!Q101/Model!Q34)</f>
        <v>0.5282061420851456</v>
      </c>
      <c r="J9" s="26">
        <f>1-(-Model!R101/Model!R34)</f>
        <v>0.41657370517928283</v>
      </c>
      <c r="K9" s="26">
        <f>1-(-Model!S101/Model!S34)</f>
        <v>0.34519213090641665</v>
      </c>
      <c r="M9" s="60">
        <f t="shared" si="0"/>
        <v>0.54046299017555233</v>
      </c>
    </row>
    <row r="10" spans="1:13" x14ac:dyDescent="0.2">
      <c r="B10" s="4" t="s">
        <v>111</v>
      </c>
      <c r="D10" s="60">
        <f t="shared" ref="D10:H10" si="1">D9*D4</f>
        <v>9.6121565509320619E-2</v>
      </c>
      <c r="E10" s="60">
        <f t="shared" si="1"/>
        <v>9.10465267822234E-2</v>
      </c>
      <c r="F10" s="60">
        <f t="shared" si="1"/>
        <v>4.9009760745834303E-2</v>
      </c>
      <c r="G10" s="60">
        <f t="shared" si="1"/>
        <v>0.16101331043366252</v>
      </c>
      <c r="H10" s="60">
        <f t="shared" si="1"/>
        <v>0.12914281676206629</v>
      </c>
      <c r="I10" s="60">
        <f>I9*I4</f>
        <v>0.12782890225036284</v>
      </c>
      <c r="J10" s="60">
        <f>J9*J4</f>
        <v>7.5454269920764344E-2</v>
      </c>
      <c r="K10" s="60">
        <f>K9*K4</f>
        <v>5.4460543300120387E-2</v>
      </c>
      <c r="M10" s="60">
        <f t="shared" si="0"/>
        <v>0.12103062434752712</v>
      </c>
    </row>
    <row r="11" spans="1:13" x14ac:dyDescent="0.2">
      <c r="B11" s="4" t="s">
        <v>112</v>
      </c>
      <c r="D11" s="26">
        <f>(-Model!L94-Model!L96)/(Model!L26*(1-Model!L48))</f>
        <v>0.56694661938408963</v>
      </c>
      <c r="E11" s="26">
        <f>(-Model!M94-Model!M96)/(Model!M26*(1-Model!M48))</f>
        <v>0.54323242811754713</v>
      </c>
      <c r="F11" s="26">
        <f>(-Model!N94-Model!N96)/(Model!N26*(1-Model!N48))</f>
        <v>0.5303775120084776</v>
      </c>
      <c r="G11" s="26">
        <f>(-Model!O94-Model!O96)/(Model!O26*(1-Model!O48))</f>
        <v>0.17679274314101018</v>
      </c>
      <c r="H11" s="26">
        <f>(-Model!P94-Model!P96)/(Model!P26*(1-Model!P48))</f>
        <v>0.51862502868958626</v>
      </c>
      <c r="I11" s="26">
        <f>(-Model!Q94-Model!Q96)/(Model!Q26*(1-Model!Q48))</f>
        <v>0.72438440932282666</v>
      </c>
      <c r="J11" s="26">
        <f>(-Model!R94-Model!R96)/(Model!R26*(1-Model!R48))</f>
        <v>0.55129447226570283</v>
      </c>
      <c r="K11" s="26">
        <f>(-Model!S94-Model!S96)/(Model!S26*(1-Model!S48))</f>
        <v>0.42363073699227943</v>
      </c>
      <c r="M11" s="60">
        <f t="shared" si="0"/>
        <v>0.50599624573101187</v>
      </c>
    </row>
    <row r="12" spans="1:13" x14ac:dyDescent="0.2">
      <c r="B12" s="4" t="s">
        <v>111</v>
      </c>
      <c r="D12" s="60">
        <f t="shared" ref="D12:H12" si="2">D11*D6</f>
        <v>0.10675189565487436</v>
      </c>
      <c r="E12" s="60">
        <f t="shared" si="2"/>
        <v>7.9486767097339123E-2</v>
      </c>
      <c r="F12" s="60">
        <f t="shared" si="2"/>
        <v>5.2041413624057946E-2</v>
      </c>
      <c r="G12" s="60">
        <f t="shared" si="2"/>
        <v>3.0676444383524095E-2</v>
      </c>
      <c r="H12" s="60">
        <f t="shared" si="2"/>
        <v>9.7087850649034968E-2</v>
      </c>
      <c r="I12" s="60">
        <f>I11*I6</f>
        <v>0.13244632929750158</v>
      </c>
      <c r="J12" s="60">
        <f>J11*J6</f>
        <v>7.650710584372275E-2</v>
      </c>
      <c r="K12" s="60">
        <f>K11*K6</f>
        <v>5.5057755510592971E-2</v>
      </c>
      <c r="M12" s="60">
        <f t="shared" si="0"/>
        <v>8.9289857416454829E-2</v>
      </c>
    </row>
    <row r="13" spans="1:13" x14ac:dyDescent="0.2">
      <c r="J13" s="26"/>
    </row>
    <row r="14" spans="1:13" x14ac:dyDescent="0.2">
      <c r="A14" s="58" t="s">
        <v>17</v>
      </c>
      <c r="B14" s="59" t="s">
        <v>113</v>
      </c>
      <c r="J14" s="26"/>
    </row>
    <row r="15" spans="1:13" x14ac:dyDescent="0.2">
      <c r="B15" s="4" t="s">
        <v>114</v>
      </c>
      <c r="D15" s="26">
        <f>D32/Model!L69</f>
        <v>0.13793915834732162</v>
      </c>
      <c r="E15" s="26">
        <f>E32/Model!M69</f>
        <v>0.45859507363482338</v>
      </c>
      <c r="F15" s="26">
        <f>F32/Model!N69</f>
        <v>0.40791676324396714</v>
      </c>
      <c r="G15" s="26">
        <f>G32/Model!O69</f>
        <v>0.49164775399210781</v>
      </c>
      <c r="H15" s="26">
        <f>H32/Model!P69</f>
        <v>0.45353685251925657</v>
      </c>
      <c r="I15" s="26">
        <f>I32/Model!Q69</f>
        <v>0.45161959139407665</v>
      </c>
      <c r="J15" s="26">
        <f>J32/Model!R69</f>
        <v>0.40654090955013206</v>
      </c>
      <c r="K15" s="26">
        <f>K32/Model!S69</f>
        <v>0.35478397076099727</v>
      </c>
      <c r="M15" s="60">
        <f t="shared" ref="M15:M16" si="3">AVERAGE(G15:I15,D15:E15)</f>
        <v>0.39866768597751723</v>
      </c>
    </row>
    <row r="16" spans="1:13" x14ac:dyDescent="0.2">
      <c r="B16" s="4" t="s">
        <v>115</v>
      </c>
      <c r="D16" s="26">
        <f>D32/(Model!L26+Model!L88)</f>
        <v>0.38459643648903852</v>
      </c>
      <c r="E16" s="26">
        <f>E32/(Model!M26+Model!M88)</f>
        <v>1.25914263221928</v>
      </c>
      <c r="F16" s="26">
        <f>F32/(Model!N26+Model!N88)</f>
        <v>1.3833187772925764</v>
      </c>
      <c r="G16" s="26">
        <f>G32/(Model!O26+Model!O88)</f>
        <v>1.1848822312013403</v>
      </c>
      <c r="H16" s="26">
        <f>H32/(Model!P26+Model!P88)</f>
        <v>1.0599504541701072</v>
      </c>
      <c r="I16" s="26">
        <f>I32/(Model!Q26+Model!Q88)</f>
        <v>1.0603235228038643</v>
      </c>
      <c r="J16" s="26">
        <f>J32/(Model!R26+Model!R88)</f>
        <v>1.1999148029818956</v>
      </c>
      <c r="K16" s="26">
        <f>K32/(Model!S26+Model!S88)</f>
        <v>1.1140866238557179</v>
      </c>
      <c r="M16" s="60">
        <f t="shared" si="3"/>
        <v>0.98977905537672606</v>
      </c>
    </row>
    <row r="17" spans="1:13" x14ac:dyDescent="0.2">
      <c r="J17" s="26"/>
    </row>
    <row r="19" spans="1:13" x14ac:dyDescent="0.2">
      <c r="A19" s="58" t="s">
        <v>17</v>
      </c>
      <c r="B19" s="59" t="s">
        <v>116</v>
      </c>
    </row>
    <row r="20" spans="1:13" x14ac:dyDescent="0.2">
      <c r="B20" s="4" t="s">
        <v>117</v>
      </c>
      <c r="D20" s="42">
        <f>Model!L61/Model!L19*360</f>
        <v>24.770853799171402</v>
      </c>
      <c r="E20" s="42">
        <f>Model!M61/Model!M19*360</f>
        <v>23.141419787590831</v>
      </c>
      <c r="F20" s="42">
        <f>Model!N61/Model!N19*360</f>
        <v>22.220331011623479</v>
      </c>
      <c r="G20" s="42">
        <f>Model!O61/Model!O19*360</f>
        <v>21.230553608969867</v>
      </c>
      <c r="H20" s="42">
        <f>Model!P61/Model!P19*360</f>
        <v>19.358456253788646</v>
      </c>
      <c r="I20" s="42">
        <f>Model!Q61/Model!Q19*360</f>
        <v>19.756479751140414</v>
      </c>
      <c r="J20" s="42">
        <f>Model!R61/Model!R19*360</f>
        <v>20.10793193439061</v>
      </c>
      <c r="K20" s="42">
        <f>Model!S61/Model!S19*360</f>
        <v>19.299318128379966</v>
      </c>
      <c r="L20" s="42"/>
      <c r="M20" s="42">
        <f>AVERAGE(G20:I20,D20:F20)</f>
        <v>21.746349035380774</v>
      </c>
    </row>
    <row r="21" spans="1:13" x14ac:dyDescent="0.2">
      <c r="B21" s="4" t="s">
        <v>118</v>
      </c>
      <c r="D21" s="42">
        <f>Model!L78/Model!L19*360</f>
        <v>40.854226284542776</v>
      </c>
      <c r="E21" s="42">
        <f>Model!M78/Model!M19*360</f>
        <v>38.998323085522635</v>
      </c>
      <c r="F21" s="42">
        <f>Model!N78/Model!N19*360</f>
        <v>41.102774853866656</v>
      </c>
      <c r="G21" s="42">
        <f>Model!O78/Model!O19*360</f>
        <v>39.725297827610376</v>
      </c>
      <c r="H21" s="42">
        <f>Model!P78/Model!P19*360</f>
        <v>39.953525964841383</v>
      </c>
      <c r="I21" s="42">
        <f>Model!Q78/Model!Q19*360</f>
        <v>37.812264227595094</v>
      </c>
      <c r="J21" s="42">
        <f>Model!R78/Model!R19*360</f>
        <v>36.687410696361724</v>
      </c>
      <c r="K21" s="42">
        <f>Model!S78/Model!S19*360</f>
        <v>36.633954979147845</v>
      </c>
      <c r="L21" s="42"/>
      <c r="M21" s="42">
        <f t="shared" ref="M21:M25" si="4">AVERAGE(G21:I21,D21:F21)</f>
        <v>39.741068707329823</v>
      </c>
    </row>
    <row r="22" spans="1:13" x14ac:dyDescent="0.2">
      <c r="B22" s="4" t="s">
        <v>119</v>
      </c>
      <c r="D22" s="26">
        <f>Model!L60/Model!L66</f>
        <v>0.1680349932705249</v>
      </c>
      <c r="E22" s="26">
        <f>Model!M60/Model!M66</f>
        <v>0.14213476742619707</v>
      </c>
      <c r="F22" s="26">
        <f>Model!N60/Model!N66</f>
        <v>0.11977436482594252</v>
      </c>
      <c r="G22" s="26">
        <f>Model!O60/Model!O66</f>
        <v>0.13206342619562528</v>
      </c>
      <c r="H22" s="26">
        <f>Model!P60/Model!P66</f>
        <v>0.15090682233412059</v>
      </c>
      <c r="I22" s="26">
        <f>Model!Q60/Model!Q66</f>
        <v>0.15972831155093462</v>
      </c>
      <c r="J22" s="26">
        <f>Model!R60/Model!R66</f>
        <v>0.15865004356860379</v>
      </c>
      <c r="K22" s="26">
        <f>Model!S60/Model!S66</f>
        <v>0.15952885515745896</v>
      </c>
      <c r="L22" s="26"/>
      <c r="M22" s="26">
        <f>AVERAGE(D22:I22)</f>
        <v>0.14544044760055749</v>
      </c>
    </row>
    <row r="23" spans="1:13" x14ac:dyDescent="0.2">
      <c r="B23" s="4" t="s">
        <v>120</v>
      </c>
      <c r="D23" s="42">
        <f>Model!L20/Model!L60</f>
        <v>1.2515018021625952</v>
      </c>
      <c r="E23" s="42">
        <f>Model!M20/Model!M60</f>
        <v>1.3212072610629146</v>
      </c>
      <c r="F23" s="42">
        <f>Model!N20/Model!N60</f>
        <v>1.2193454210202828</v>
      </c>
      <c r="G23" s="42">
        <f>Model!O20/Model!O60</f>
        <v>1.2299836848147925</v>
      </c>
      <c r="H23" s="42">
        <f>Model!P20/Model!P60</f>
        <v>1.2297849303607462</v>
      </c>
      <c r="I23" s="42">
        <f>Model!Q20/Model!Q60</f>
        <v>1.1709654932032068</v>
      </c>
      <c r="J23" s="42">
        <f>Model!R20/Model!R60</f>
        <v>1.1795175123579364</v>
      </c>
      <c r="K23" s="42">
        <f>Model!S20/Model!S60</f>
        <v>1.2038924930491195</v>
      </c>
      <c r="L23" s="42"/>
      <c r="M23" s="42">
        <f t="shared" si="4"/>
        <v>1.2371314321040898</v>
      </c>
    </row>
    <row r="24" spans="1:13" x14ac:dyDescent="0.2">
      <c r="B24" s="4" t="s">
        <v>121</v>
      </c>
      <c r="D24" s="42">
        <f t="shared" ref="D24:H24" si="5">360/D23</f>
        <v>287.65439999999995</v>
      </c>
      <c r="E24" s="42">
        <f t="shared" si="5"/>
        <v>272.47806654527398</v>
      </c>
      <c r="F24" s="42">
        <f t="shared" si="5"/>
        <v>295.24037552769198</v>
      </c>
      <c r="G24" s="42">
        <f t="shared" si="5"/>
        <v>292.68680913780395</v>
      </c>
      <c r="H24" s="42">
        <f t="shared" si="5"/>
        <v>292.73411237393947</v>
      </c>
      <c r="I24" s="42">
        <f>360/I23</f>
        <v>307.43860693555587</v>
      </c>
      <c r="J24" s="42">
        <f>360/J23</f>
        <v>305.20954223081884</v>
      </c>
      <c r="K24" s="42">
        <f>360/K23</f>
        <v>299.03002309468826</v>
      </c>
      <c r="L24" s="42"/>
      <c r="M24" s="42">
        <f t="shared" si="4"/>
        <v>291.37206175337752</v>
      </c>
    </row>
    <row r="25" spans="1:13" x14ac:dyDescent="0.2">
      <c r="B25" s="4" t="s">
        <v>122</v>
      </c>
      <c r="D25" s="42">
        <f t="shared" ref="D25:H25" si="6">D24+D20-D21</f>
        <v>271.57102751462855</v>
      </c>
      <c r="E25" s="42">
        <f t="shared" si="6"/>
        <v>256.62116324734217</v>
      </c>
      <c r="F25" s="42">
        <f t="shared" si="6"/>
        <v>276.35793168544882</v>
      </c>
      <c r="G25" s="42">
        <f t="shared" si="6"/>
        <v>274.19206491916339</v>
      </c>
      <c r="H25" s="42">
        <f t="shared" si="6"/>
        <v>272.13904266288671</v>
      </c>
      <c r="I25" s="42">
        <f>I24+I20-I21</f>
        <v>289.38282245910119</v>
      </c>
      <c r="J25" s="42">
        <f>J24+J20-J21</f>
        <v>288.63006346884771</v>
      </c>
      <c r="K25" s="42">
        <f>K24+K20-K21</f>
        <v>281.69538624392038</v>
      </c>
      <c r="L25" s="42"/>
      <c r="M25" s="42">
        <f t="shared" si="4"/>
        <v>273.37734208142848</v>
      </c>
    </row>
    <row r="28" spans="1:13" x14ac:dyDescent="0.2">
      <c r="A28" s="58" t="s">
        <v>17</v>
      </c>
      <c r="B28" s="59" t="s">
        <v>123</v>
      </c>
    </row>
    <row r="29" spans="1:13" x14ac:dyDescent="0.2">
      <c r="B29" s="4" t="s">
        <v>1</v>
      </c>
      <c r="D29" s="4">
        <v>258.2</v>
      </c>
      <c r="E29" s="4">
        <v>414.6</v>
      </c>
      <c r="F29" s="4">
        <v>510.9</v>
      </c>
      <c r="G29" s="4">
        <v>730</v>
      </c>
      <c r="H29" s="4">
        <v>679.9</v>
      </c>
      <c r="I29" s="4">
        <v>733.6</v>
      </c>
      <c r="J29" s="4">
        <v>635.4</v>
      </c>
      <c r="K29" s="4">
        <v>641.79999999999995</v>
      </c>
    </row>
    <row r="30" spans="1:13" x14ac:dyDescent="0.2">
      <c r="B30" s="4" t="s">
        <v>124</v>
      </c>
      <c r="D30" s="42">
        <f>Model!L37</f>
        <v>502.82564100000002</v>
      </c>
      <c r="E30" s="42">
        <f>Model!M37</f>
        <v>503.21885099999997</v>
      </c>
      <c r="F30" s="42">
        <f>Model!N37</f>
        <v>503.67927200000003</v>
      </c>
      <c r="G30" s="42">
        <f>Model!O37</f>
        <v>503.62770799999998</v>
      </c>
      <c r="H30" s="42">
        <f>Model!P37</f>
        <v>502.12069400000001</v>
      </c>
      <c r="I30" s="42">
        <f>Model!Q37</f>
        <v>500.05656800000003</v>
      </c>
      <c r="J30" s="42">
        <f>Model!R37</f>
        <v>499.41251499999998</v>
      </c>
      <c r="K30" s="42">
        <f>Model!S37</f>
        <v>497.68693999999999</v>
      </c>
      <c r="L30" s="42"/>
    </row>
    <row r="31" spans="1:13" x14ac:dyDescent="0.2">
      <c r="B31" s="4" t="s">
        <v>3</v>
      </c>
      <c r="D31" s="61">
        <f t="shared" ref="D31:H31" si="7">D30*D29</f>
        <v>129829.5805062</v>
      </c>
      <c r="E31" s="61">
        <f t="shared" si="7"/>
        <v>208634.53562459999</v>
      </c>
      <c r="F31" s="61">
        <f t="shared" si="7"/>
        <v>257329.74006479999</v>
      </c>
      <c r="G31" s="61">
        <f t="shared" si="7"/>
        <v>367648.22684000002</v>
      </c>
      <c r="H31" s="61">
        <f t="shared" si="7"/>
        <v>341391.85985060001</v>
      </c>
      <c r="I31" s="61">
        <f>I30*I29</f>
        <v>366841.49828480004</v>
      </c>
      <c r="J31" s="61">
        <f>J30*J29</f>
        <v>317326.712031</v>
      </c>
      <c r="K31" s="61">
        <f>K30*K29</f>
        <v>319415.47809199995</v>
      </c>
      <c r="L31" s="61"/>
    </row>
    <row r="32" spans="1:13" x14ac:dyDescent="0.2">
      <c r="B32" s="4" t="s">
        <v>125</v>
      </c>
      <c r="D32" s="43">
        <f>(Model!L76+Model!L77+Model!L70+Model!L71-Model!L64-Model!L55-Model!L56)</f>
        <v>4684</v>
      </c>
      <c r="E32" s="43">
        <f>(Model!M76+Model!M77+Model!M70+Model!M71-Model!M64-Model!M55-Model!M56)</f>
        <v>17594</v>
      </c>
      <c r="F32" s="43">
        <f>(Model!N76+Model!N77+Model!N70+Model!N71-Model!N64-Model!N55-Model!N56)</f>
        <v>15839</v>
      </c>
      <c r="G32" s="43">
        <f>(Model!O76+Model!O77+Model!O70+Model!O71-Model!O64-Model!O55-Model!O56)</f>
        <v>24046</v>
      </c>
      <c r="H32" s="43">
        <f>(Model!P76+Model!P77+Model!P70+Model!P71-Model!P64-Model!P55-Model!P56)</f>
        <v>25672</v>
      </c>
      <c r="I32" s="43">
        <f>(Model!Q76+Model!Q77+Model!Q70+Model!Q71-Model!Q64-Model!Q55-Model!Q56)</f>
        <v>28317</v>
      </c>
      <c r="J32" s="61">
        <f>(Model!R76+Model!R77+Model!R70+Model!R71-Model!R64-Model!R55-Model!R56)</f>
        <v>28168</v>
      </c>
      <c r="K32" s="61">
        <f>(Model!S76+Model!S77+Model!S70+Model!S71-Model!S64-Model!S55-Model!S56)</f>
        <v>24462</v>
      </c>
      <c r="L32" s="61"/>
    </row>
    <row r="33" spans="2:13" x14ac:dyDescent="0.2">
      <c r="B33" s="4" t="s">
        <v>6</v>
      </c>
      <c r="D33" s="61">
        <f t="shared" ref="D33:H33" si="8">D31+D32</f>
        <v>134513.5805062</v>
      </c>
      <c r="E33" s="61">
        <f t="shared" si="8"/>
        <v>226228.53562459999</v>
      </c>
      <c r="F33" s="61">
        <f t="shared" si="8"/>
        <v>273168.74006480002</v>
      </c>
      <c r="G33" s="61">
        <f t="shared" si="8"/>
        <v>391694.22684000002</v>
      </c>
      <c r="H33" s="61">
        <f t="shared" si="8"/>
        <v>367063.85985060001</v>
      </c>
      <c r="I33" s="61">
        <f>I31+I32</f>
        <v>395158.49828480004</v>
      </c>
      <c r="J33" s="61">
        <f>J31+J32</f>
        <v>345494.712031</v>
      </c>
      <c r="K33" s="61">
        <f>K31+K32</f>
        <v>343877.47809199995</v>
      </c>
      <c r="L33" s="61"/>
    </row>
    <row r="34" spans="2:13" x14ac:dyDescent="0.2">
      <c r="B34" s="4" t="s">
        <v>134</v>
      </c>
      <c r="D34" s="43">
        <f>Model!L26*(1-Model!L46)+Model!L88+Model!L94+Model!L96+Model!L89</f>
        <v>5970.6461154059725</v>
      </c>
      <c r="E34" s="43">
        <f>Model!M26*(1-Model!M46)+Model!M88+Model!M94+Model!M96+Model!M89</f>
        <v>9565.1869014346939</v>
      </c>
      <c r="F34" s="43">
        <f>Model!N26*(1-Model!N46)+Model!N88+Model!N94+Model!N96+Model!N89</f>
        <v>9753.6772524691496</v>
      </c>
      <c r="G34" s="43">
        <f>Model!O26*(1-Model!O46)+Model!O88+Model!O94+Model!O96+Model!O89</f>
        <v>16164.051701315891</v>
      </c>
      <c r="H34" s="43">
        <f>Model!P26*(1-Model!P46)+Model!P88+Model!P94+Model!P96+Model!P89</f>
        <v>13669.162646494238</v>
      </c>
      <c r="I34" s="43">
        <f>Model!Q26*(1-Model!Q46)+Model!Q88+Model!Q94+Model!Q96+Model!Q89</f>
        <v>11774.444836511786</v>
      </c>
      <c r="J34" s="43">
        <f>Model!R26*(1-Model!R46)+Model!R88+Model!R94+Model!R96+Model!R89</f>
        <v>15025.672826895599</v>
      </c>
      <c r="K34" s="43">
        <f>Model!S26*(1-Model!S46)+Model!S88+Model!S94+Model!S96+Model!S89</f>
        <v>16024.23</v>
      </c>
      <c r="L34" s="43"/>
    </row>
    <row r="35" spans="2:13" x14ac:dyDescent="0.2">
      <c r="B35" s="59" t="s">
        <v>126</v>
      </c>
    </row>
    <row r="36" spans="2:13" x14ac:dyDescent="0.2">
      <c r="B36" s="4" t="s">
        <v>127</v>
      </c>
      <c r="D36" s="42">
        <f>D31/Model!L34</f>
        <v>20.432732216902739</v>
      </c>
      <c r="E36" s="42">
        <f>E31/Model!M34</f>
        <v>29.094203824375956</v>
      </c>
      <c r="F36" s="42">
        <f>F31/Model!N34</f>
        <v>54.727720132879625</v>
      </c>
      <c r="G36" s="42">
        <f>G31/Model!O34</f>
        <v>30.545715091392491</v>
      </c>
      <c r="H36" s="42">
        <f>H31/Model!P34</f>
        <v>24.239694678401023</v>
      </c>
      <c r="I36" s="42">
        <f>I31/Model!Q34</f>
        <v>24.175662204085938</v>
      </c>
      <c r="J36" s="42">
        <f>Main!I6/Model!R34</f>
        <v>18.13759895043825</v>
      </c>
      <c r="K36" s="42">
        <f>Main!J6/Model!S34</f>
        <v>0</v>
      </c>
      <c r="L36" s="42"/>
      <c r="M36" s="42">
        <f>AVERAGE(G36:I36,D36:E36)</f>
        <v>25.697601603031632</v>
      </c>
    </row>
    <row r="37" spans="2:13" x14ac:dyDescent="0.2">
      <c r="B37" s="4" t="s">
        <v>128</v>
      </c>
      <c r="D37" s="62"/>
      <c r="E37" s="62">
        <f>E36/((Model!M34/Model!L34-1)*100)</f>
        <v>2.2627242484710504</v>
      </c>
      <c r="F37" s="62">
        <f>F36/((Model!N34/Model!M34-1)*100)</f>
        <v>-1.5895199719436202</v>
      </c>
      <c r="G37" s="62">
        <f>G36/((Model!O34/Model!N34-1)*100)</f>
        <v>0.19583576814797859</v>
      </c>
      <c r="H37" s="62">
        <f>H36/((Model!P34/Model!O34-1)*100)</f>
        <v>1.4245554938927476</v>
      </c>
      <c r="I37" s="62">
        <f>I36/((Model!Q34/Model!P34-1)*100)</f>
        <v>3.1237617108472171</v>
      </c>
      <c r="J37" s="42">
        <f>J36/-2</f>
        <v>-9.0687994752191248</v>
      </c>
      <c r="K37" s="42">
        <f>K36/-2</f>
        <v>0</v>
      </c>
      <c r="L37" s="42"/>
      <c r="M37" s="62">
        <f>AVERAGE(G37:I37,E37)</f>
        <v>1.7517193053397484</v>
      </c>
    </row>
    <row r="38" spans="2:13" x14ac:dyDescent="0.2">
      <c r="B38" s="4" t="s">
        <v>129</v>
      </c>
      <c r="D38" s="42">
        <f>D31/Model!L69</f>
        <v>3.8233524900962981</v>
      </c>
      <c r="E38" s="42">
        <f>E31/Model!M69</f>
        <v>5.4381476769086401</v>
      </c>
      <c r="F38" s="42">
        <f>F31/Model!N69</f>
        <v>6.6272564337170667</v>
      </c>
      <c r="G38" s="42">
        <f>G31/Model!O69</f>
        <v>7.5169851528348568</v>
      </c>
      <c r="H38" s="42">
        <f>H31/Model!P69</f>
        <v>6.0312320657656704</v>
      </c>
      <c r="I38" s="42">
        <f>I31/Model!Q69</f>
        <v>5.8506482876636738</v>
      </c>
      <c r="J38" s="42">
        <f>J31/Model!R69</f>
        <v>4.5798881757183887</v>
      </c>
      <c r="K38" s="42">
        <f>K31/Model!S69</f>
        <v>4.6326339481645844</v>
      </c>
      <c r="L38" s="42"/>
      <c r="M38" s="42">
        <f>AVERAGE(G38:I38,D38:E38)</f>
        <v>5.7320731346538283</v>
      </c>
    </row>
    <row r="39" spans="2:13" x14ac:dyDescent="0.2">
      <c r="B39" s="59" t="s">
        <v>130</v>
      </c>
    </row>
    <row r="40" spans="2:13" x14ac:dyDescent="0.2">
      <c r="B40" s="4" t="s">
        <v>131</v>
      </c>
      <c r="D40" s="42">
        <f>D33/Model!L19</f>
        <v>2.872625902408918</v>
      </c>
      <c r="E40" s="42">
        <f>E33/Model!M19</f>
        <v>4.2151767397913167</v>
      </c>
      <c r="F40" s="42">
        <f>F33/Model!N19</f>
        <v>6.1178638790799766</v>
      </c>
      <c r="G40" s="42">
        <f>G33/Model!O19</f>
        <v>6.0997310105115634</v>
      </c>
      <c r="H40" s="42">
        <f>H33/Model!P19</f>
        <v>4.6355811761290164</v>
      </c>
      <c r="I40" s="42">
        <f>I33/Model!Q19</f>
        <v>4.5867061888129266</v>
      </c>
      <c r="J40" s="42">
        <f>J33/Model!R19</f>
        <v>4.0798591456490678</v>
      </c>
      <c r="M40" s="42">
        <f>AVERAGE(G40:I40,D40:E40)</f>
        <v>4.4819642035307483</v>
      </c>
    </row>
    <row r="41" spans="2:13" x14ac:dyDescent="0.2">
      <c r="B41" s="4" t="s">
        <v>132</v>
      </c>
      <c r="D41" s="42">
        <f>Ratios!D33/(Model!L26+Model!L88+Model!L89)</f>
        <v>11.044714714360785</v>
      </c>
      <c r="E41" s="42">
        <f>Ratios!E33/(Model!M26+Model!M88+Model!M89)</f>
        <v>13.81042278399365</v>
      </c>
      <c r="F41" s="42">
        <f>Ratios!F33/(Model!N26+Model!N88+Model!N89)</f>
        <v>19.48143917164456</v>
      </c>
      <c r="G41" s="42">
        <f>Ratios!G33/(Model!O26+Model!O88+Model!O89)</f>
        <v>17.04129766543398</v>
      </c>
      <c r="H41" s="42">
        <f>Ratios!H33/(Model!P26+Model!P88+Model!P89)</f>
        <v>13.481612364586624</v>
      </c>
      <c r="I41" s="42">
        <f>Ratios!I33/(Model!Q26+Model!Q88+Model!Q89)</f>
        <v>13.288445313407541</v>
      </c>
      <c r="J41" s="42">
        <f>Ratios!J33/(Model!R26+Model!R88+Model!R89)</f>
        <v>12.938423099689174</v>
      </c>
      <c r="M41" s="42">
        <f t="shared" ref="M41:M42" si="9">AVERAGE(G41:I41,D41:E41)</f>
        <v>13.733298568356517</v>
      </c>
    </row>
    <row r="42" spans="2:13" x14ac:dyDescent="0.2">
      <c r="B42" s="4" t="s">
        <v>133</v>
      </c>
      <c r="D42" s="42">
        <f>D33/Model!L26</f>
        <v>13.61887015350815</v>
      </c>
      <c r="E42" s="42">
        <f>E33/Model!M26</f>
        <v>20.068174897950854</v>
      </c>
      <c r="F42" s="42">
        <f>F33/Model!N26</f>
        <v>34.266023590667338</v>
      </c>
      <c r="G42" s="42">
        <f>G33/Model!O26</f>
        <v>22.832656767123289</v>
      </c>
      <c r="H42" s="42">
        <f>H33/Model!P26</f>
        <v>17.4783991167373</v>
      </c>
      <c r="I42" s="42">
        <f>I33/Model!Q26</f>
        <v>17.515890881418443</v>
      </c>
      <c r="J42" s="42">
        <f>J33/Model!R26</f>
        <v>18.273375576823398</v>
      </c>
      <c r="M42" s="42">
        <f t="shared" si="9"/>
        <v>18.302798363347609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8662E-1F68-4C99-A2E3-6A8F101E112D}">
  <dimension ref="A1:AE76"/>
  <sheetViews>
    <sheetView showGridLines="0" workbookViewId="0">
      <selection activeCell="A2" sqref="A2"/>
    </sheetView>
  </sheetViews>
  <sheetFormatPr defaultRowHeight="12.75" x14ac:dyDescent="0.2"/>
  <cols>
    <col min="1" max="1" width="5.42578125" style="4" bestFit="1" customWidth="1"/>
    <col min="2" max="2" width="9.140625" style="4"/>
    <col min="3" max="4" width="9.28515625" style="4" bestFit="1" customWidth="1"/>
    <col min="5" max="5" width="11.28515625" style="4" bestFit="1" customWidth="1"/>
    <col min="6" max="21" width="9.28515625" style="4" bestFit="1" customWidth="1"/>
    <col min="22" max="22" width="10.140625" style="4" bestFit="1" customWidth="1"/>
    <col min="23" max="16384" width="9.140625" style="4"/>
  </cols>
  <sheetData>
    <row r="1" spans="1:31" x14ac:dyDescent="0.2">
      <c r="A1" s="1" t="s">
        <v>7</v>
      </c>
      <c r="B1" s="2" t="s">
        <v>202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x14ac:dyDescent="0.2">
      <c r="E2" s="5"/>
    </row>
    <row r="3" spans="1:31" x14ac:dyDescent="0.2">
      <c r="B3" s="4" t="s">
        <v>155</v>
      </c>
      <c r="E3" s="6" t="s">
        <v>146</v>
      </c>
      <c r="G3" s="4" t="s">
        <v>156</v>
      </c>
      <c r="J3" s="6">
        <f>+Main!I4</f>
        <v>459.1</v>
      </c>
      <c r="L3" s="4" t="s">
        <v>156</v>
      </c>
      <c r="O3" s="6">
        <f>+J3</f>
        <v>459.1</v>
      </c>
    </row>
    <row r="4" spans="1:31" x14ac:dyDescent="0.2">
      <c r="B4" s="4" t="s">
        <v>157</v>
      </c>
      <c r="E4" s="7">
        <f ca="1">+TODAY()</f>
        <v>46231</v>
      </c>
      <c r="G4" s="4" t="s">
        <v>158</v>
      </c>
      <c r="J4" s="8">
        <f ca="1">V62</f>
        <v>463.48603537592669</v>
      </c>
      <c r="L4" s="4" t="s">
        <v>159</v>
      </c>
      <c r="O4" s="9">
        <f>+J15+O15+T15</f>
        <v>0</v>
      </c>
    </row>
    <row r="5" spans="1:31" x14ac:dyDescent="0.2">
      <c r="B5" s="4" t="s">
        <v>160</v>
      </c>
      <c r="E5" s="10">
        <v>46022</v>
      </c>
      <c r="G5" s="4" t="s">
        <v>161</v>
      </c>
      <c r="J5" s="11">
        <f ca="1">J4/J3-1</f>
        <v>9.5535512435780401E-3</v>
      </c>
      <c r="L5" s="4" t="s">
        <v>161</v>
      </c>
      <c r="O5" s="11">
        <f>O4/O3-1</f>
        <v>-1</v>
      </c>
    </row>
    <row r="7" spans="1:31" x14ac:dyDescent="0.2">
      <c r="A7" s="12" t="s">
        <v>17</v>
      </c>
      <c r="B7" s="13" t="s">
        <v>162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</row>
    <row r="8" spans="1:31" x14ac:dyDescent="0.2">
      <c r="A8" s="12"/>
    </row>
    <row r="9" spans="1:31" x14ac:dyDescent="0.2">
      <c r="A9" s="12"/>
      <c r="B9" s="14" t="s">
        <v>163</v>
      </c>
      <c r="C9" s="15"/>
      <c r="D9" s="15"/>
      <c r="E9" s="15"/>
      <c r="G9" s="14" t="s">
        <v>164</v>
      </c>
      <c r="H9" s="14"/>
      <c r="I9" s="15"/>
      <c r="J9" s="15"/>
      <c r="L9" s="14" t="s">
        <v>165</v>
      </c>
      <c r="M9" s="15"/>
      <c r="N9" s="15"/>
      <c r="O9" s="15"/>
      <c r="Q9" s="14" t="s">
        <v>166</v>
      </c>
      <c r="R9" s="15"/>
      <c r="S9" s="15"/>
      <c r="T9" s="15"/>
    </row>
    <row r="10" spans="1:31" x14ac:dyDescent="0.2">
      <c r="A10" s="12"/>
      <c r="B10" s="16" t="s">
        <v>167</v>
      </c>
      <c r="G10" s="16" t="s">
        <v>167</v>
      </c>
      <c r="H10" s="16"/>
      <c r="I10" s="16" t="s">
        <v>168</v>
      </c>
      <c r="J10" s="16" t="s">
        <v>169</v>
      </c>
      <c r="L10" s="16" t="s">
        <v>167</v>
      </c>
      <c r="N10" s="16" t="s">
        <v>168</v>
      </c>
      <c r="O10" s="16" t="s">
        <v>169</v>
      </c>
      <c r="Q10" s="16" t="s">
        <v>167</v>
      </c>
      <c r="S10" s="16" t="s">
        <v>168</v>
      </c>
      <c r="T10" s="16" t="s">
        <v>169</v>
      </c>
    </row>
    <row r="11" spans="1:31" x14ac:dyDescent="0.2">
      <c r="B11" s="4" t="s">
        <v>23</v>
      </c>
      <c r="E11" s="17">
        <v>2</v>
      </c>
      <c r="G11" s="4" t="s">
        <v>170</v>
      </c>
      <c r="K11" s="18"/>
      <c r="L11" s="4" t="s">
        <v>170</v>
      </c>
      <c r="Q11" s="4" t="s">
        <v>170</v>
      </c>
    </row>
    <row r="12" spans="1:31" x14ac:dyDescent="0.2">
      <c r="B12" s="4" t="s">
        <v>171</v>
      </c>
      <c r="E12" s="17">
        <v>2</v>
      </c>
      <c r="G12" s="4" t="s">
        <v>171</v>
      </c>
      <c r="L12" s="4" t="s">
        <v>171</v>
      </c>
      <c r="Q12" s="4" t="s">
        <v>171</v>
      </c>
    </row>
    <row r="13" spans="1:31" x14ac:dyDescent="0.2">
      <c r="B13" s="4" t="s">
        <v>172</v>
      </c>
      <c r="E13" s="17">
        <v>2</v>
      </c>
      <c r="G13" s="4" t="s">
        <v>173</v>
      </c>
      <c r="J13" s="19"/>
      <c r="O13" s="19"/>
      <c r="T13" s="19"/>
    </row>
    <row r="14" spans="1:31" x14ac:dyDescent="0.2">
      <c r="B14" s="4" t="s">
        <v>174</v>
      </c>
      <c r="E14" s="17">
        <v>2</v>
      </c>
      <c r="G14" s="4" t="s">
        <v>175</v>
      </c>
      <c r="J14" s="19"/>
      <c r="L14" s="4" t="s">
        <v>175</v>
      </c>
      <c r="O14" s="19"/>
      <c r="Q14" s="4" t="s">
        <v>175</v>
      </c>
      <c r="T14" s="19"/>
    </row>
    <row r="15" spans="1:31" x14ac:dyDescent="0.2">
      <c r="B15" s="4" t="s">
        <v>108</v>
      </c>
      <c r="E15" s="17">
        <v>2</v>
      </c>
      <c r="G15" s="4" t="s">
        <v>176</v>
      </c>
      <c r="J15" s="19"/>
      <c r="L15" s="4" t="s">
        <v>176</v>
      </c>
      <c r="O15" s="19"/>
      <c r="Q15" s="4" t="s">
        <v>176</v>
      </c>
      <c r="T15" s="19"/>
    </row>
    <row r="17" spans="1:22" x14ac:dyDescent="0.2">
      <c r="B17" s="16" t="s">
        <v>177</v>
      </c>
    </row>
    <row r="18" spans="1:22" x14ac:dyDescent="0.2">
      <c r="B18" s="4" t="s">
        <v>172</v>
      </c>
      <c r="E18" s="19">
        <f>CHOOSE(E13,J18,O18,T18)</f>
        <v>0.09</v>
      </c>
      <c r="G18" s="4" t="s">
        <v>172</v>
      </c>
      <c r="J18" s="19">
        <v>0.1</v>
      </c>
      <c r="L18" s="4" t="s">
        <v>172</v>
      </c>
      <c r="O18" s="19">
        <v>0.09</v>
      </c>
      <c r="Q18" s="4" t="s">
        <v>172</v>
      </c>
      <c r="T18" s="19">
        <v>0.08</v>
      </c>
    </row>
    <row r="19" spans="1:22" x14ac:dyDescent="0.2">
      <c r="B19" s="4" t="s">
        <v>174</v>
      </c>
      <c r="E19" s="19">
        <f>CHOOSE(E14,J19,O19,T19)</f>
        <v>0.02</v>
      </c>
      <c r="G19" s="4" t="s">
        <v>174</v>
      </c>
      <c r="J19" s="19">
        <v>0.01</v>
      </c>
      <c r="L19" s="4" t="s">
        <v>174</v>
      </c>
      <c r="O19" s="19">
        <v>0.02</v>
      </c>
      <c r="Q19" s="4" t="s">
        <v>174</v>
      </c>
      <c r="T19" s="19">
        <v>0.03</v>
      </c>
    </row>
    <row r="20" spans="1:22" x14ac:dyDescent="0.2">
      <c r="B20" s="4" t="s">
        <v>178</v>
      </c>
      <c r="E20" s="19">
        <f>CHOOSE(E15,J20,O20,T20)</f>
        <v>0.11</v>
      </c>
      <c r="G20" s="4" t="s">
        <v>178</v>
      </c>
      <c r="J20" s="19">
        <v>0.1</v>
      </c>
      <c r="L20" s="4" t="s">
        <v>178</v>
      </c>
      <c r="O20" s="19">
        <v>0.11</v>
      </c>
      <c r="Q20" s="4" t="s">
        <v>178</v>
      </c>
      <c r="T20" s="19">
        <v>0.12</v>
      </c>
    </row>
    <row r="24" spans="1:22" x14ac:dyDescent="0.2">
      <c r="A24" s="12" t="s">
        <v>17</v>
      </c>
      <c r="B24" s="13" t="s">
        <v>179</v>
      </c>
      <c r="C24" s="13"/>
      <c r="D24" s="13"/>
      <c r="E24" s="13"/>
      <c r="F24" s="13"/>
      <c r="G24" s="20">
        <v>19</v>
      </c>
      <c r="H24" s="20">
        <f>G24+1</f>
        <v>20</v>
      </c>
      <c r="I24" s="20">
        <f t="shared" ref="I24:V24" si="0">H24+1</f>
        <v>21</v>
      </c>
      <c r="J24" s="20">
        <f t="shared" si="0"/>
        <v>22</v>
      </c>
      <c r="K24" s="20">
        <f t="shared" si="0"/>
        <v>23</v>
      </c>
      <c r="L24" s="20">
        <f t="shared" si="0"/>
        <v>24</v>
      </c>
      <c r="M24" s="20">
        <f t="shared" si="0"/>
        <v>25</v>
      </c>
      <c r="N24" s="20">
        <f t="shared" si="0"/>
        <v>26</v>
      </c>
      <c r="O24" s="20">
        <f t="shared" si="0"/>
        <v>27</v>
      </c>
      <c r="P24" s="20">
        <f t="shared" si="0"/>
        <v>28</v>
      </c>
      <c r="Q24" s="20">
        <f t="shared" si="0"/>
        <v>29</v>
      </c>
      <c r="R24" s="20">
        <f t="shared" si="0"/>
        <v>30</v>
      </c>
      <c r="S24" s="20">
        <f t="shared" si="0"/>
        <v>31</v>
      </c>
      <c r="T24" s="20">
        <f t="shared" si="0"/>
        <v>32</v>
      </c>
      <c r="U24" s="20">
        <f t="shared" si="0"/>
        <v>33</v>
      </c>
      <c r="V24" s="20">
        <f t="shared" si="0"/>
        <v>34</v>
      </c>
    </row>
    <row r="25" spans="1:22" x14ac:dyDescent="0.2">
      <c r="B25" s="4" t="s">
        <v>170</v>
      </c>
      <c r="G25" s="21">
        <f>+Model!M19</f>
        <v>53670</v>
      </c>
      <c r="H25" s="21">
        <f>+Model!N19</f>
        <v>44651</v>
      </c>
      <c r="I25" s="21">
        <f>+Model!O19</f>
        <v>64215</v>
      </c>
      <c r="J25" s="21">
        <f>+Model!P19</f>
        <v>79184</v>
      </c>
      <c r="K25" s="21">
        <f>+Model!Q19</f>
        <v>86153</v>
      </c>
      <c r="L25" s="21">
        <f>+Model!R19</f>
        <v>84683</v>
      </c>
      <c r="M25" s="21">
        <f ca="1">L25*(1+M26)</f>
        <v>80807</v>
      </c>
      <c r="N25" s="21">
        <f t="shared" ref="N25:V25" ca="1" si="1">M25*(1+N26)</f>
        <v>83818.930000000008</v>
      </c>
      <c r="O25" s="21">
        <f t="shared" ca="1" si="1"/>
        <v>88668.278380000018</v>
      </c>
      <c r="P25" s="21">
        <f t="shared" ca="1" si="1"/>
        <v>93721.736746200011</v>
      </c>
      <c r="Q25" s="21">
        <f t="shared" ca="1" si="1"/>
        <v>98987.515184126009</v>
      </c>
      <c r="R25" s="21">
        <f t="shared" ca="1" si="1"/>
        <v>104474.15528819249</v>
      </c>
      <c r="S25" s="21">
        <f t="shared" ca="1" si="1"/>
        <v>110190.5437313541</v>
      </c>
      <c r="T25" s="21">
        <f t="shared" ca="1" si="1"/>
        <v>113129.14908843122</v>
      </c>
      <c r="U25" s="21">
        <f t="shared" ca="1" si="1"/>
        <v>116154.99028466294</v>
      </c>
      <c r="V25" s="21">
        <f t="shared" ca="1" si="1"/>
        <v>119270.87306555131</v>
      </c>
    </row>
    <row r="26" spans="1:22" x14ac:dyDescent="0.2">
      <c r="B26" s="22" t="s">
        <v>180</v>
      </c>
      <c r="C26" s="23"/>
      <c r="G26" s="24"/>
      <c r="H26" s="25">
        <f t="shared" ref="H26:L26" si="2">H25/G25-1</f>
        <v>-0.16804546301471956</v>
      </c>
      <c r="I26" s="25">
        <f t="shared" si="2"/>
        <v>0.43815368076862771</v>
      </c>
      <c r="J26" s="25">
        <f t="shared" si="2"/>
        <v>0.23310752939344392</v>
      </c>
      <c r="K26" s="25">
        <f t="shared" si="2"/>
        <v>8.8010204081632626E-2</v>
      </c>
      <c r="L26" s="25">
        <f t="shared" si="2"/>
        <v>-1.7062667579770818E-2</v>
      </c>
      <c r="M26" s="25" cm="1">
        <f t="array" aca="1" ref="M26" ca="1">OFFSET(M26,$E$11,,)</f>
        <v>-4.577069777877496E-2</v>
      </c>
      <c r="N26" s="25" cm="1">
        <f t="array" aca="1" ref="N26" ca="1">OFFSET(N26,$E$11,,)</f>
        <v>3.7273132278144328E-2</v>
      </c>
      <c r="O26" s="25" cm="1">
        <f t="array" aca="1" ref="O26" ca="1">OFFSET(O26,$E$11,,)</f>
        <v>5.7855049927265867E-2</v>
      </c>
      <c r="P26" s="25" cm="1">
        <f t="array" aca="1" ref="P26" ca="1">OFFSET(P26,$E$11,,)</f>
        <v>5.6992855376561069E-2</v>
      </c>
      <c r="Q26" s="25" cm="1">
        <f t="array" aca="1" ref="Q26" ca="1">OFFSET(Q26,$E$11,,)</f>
        <v>5.6185241767187977E-2</v>
      </c>
      <c r="R26" s="25" cm="1">
        <f t="array" aca="1" ref="R26" ca="1">OFFSET(R26,$E$11,,)</f>
        <v>5.5427597044544585E-2</v>
      </c>
      <c r="S26" s="25" cm="1">
        <f t="array" aca="1" ref="S26" ca="1">OFFSET(S26,$E$11,,)</f>
        <v>5.4715813948367664E-2</v>
      </c>
      <c r="T26" s="25" cm="1">
        <f t="array" aca="1" ref="T26" ca="1">OFFSET(T26,$E$11,,)</f>
        <v>2.6668398735207877E-2</v>
      </c>
      <c r="U26" s="25" cm="1">
        <f t="array" aca="1" ref="U26" ca="1">OFFSET(U26,$E$11,,)</f>
        <v>2.6746786487949814E-2</v>
      </c>
      <c r="V26" s="25" cm="1">
        <f t="array" aca="1" ref="V26" ca="1">OFFSET(V26,$E$11,,)</f>
        <v>2.6825216663117324E-2</v>
      </c>
    </row>
    <row r="27" spans="1:22" x14ac:dyDescent="0.2">
      <c r="B27" s="22" t="s">
        <v>164</v>
      </c>
      <c r="C27" s="23"/>
      <c r="I27" s="26"/>
      <c r="J27" s="26"/>
      <c r="K27" s="26"/>
      <c r="L27" s="26"/>
      <c r="M27" s="27">
        <f>+M28-2%</f>
        <v>-6.5770697778774964E-2</v>
      </c>
      <c r="N27" s="27">
        <f t="shared" ref="N27:V27" si="3">+N28-2%</f>
        <v>1.7273132278144327E-2</v>
      </c>
      <c r="O27" s="27">
        <f t="shared" si="3"/>
        <v>3.7855049927265863E-2</v>
      </c>
      <c r="P27" s="27">
        <f t="shared" si="3"/>
        <v>3.6992855376561065E-2</v>
      </c>
      <c r="Q27" s="27">
        <f t="shared" si="3"/>
        <v>3.6185241767187973E-2</v>
      </c>
      <c r="R27" s="27">
        <f t="shared" si="3"/>
        <v>3.5427597044544581E-2</v>
      </c>
      <c r="S27" s="27">
        <f t="shared" si="3"/>
        <v>3.471581394836766E-2</v>
      </c>
      <c r="T27" s="27">
        <f t="shared" si="3"/>
        <v>6.6683987352078762E-3</v>
      </c>
      <c r="U27" s="27">
        <f t="shared" si="3"/>
        <v>6.7467864879498136E-3</v>
      </c>
      <c r="V27" s="27">
        <f t="shared" si="3"/>
        <v>6.8252166631173235E-3</v>
      </c>
    </row>
    <row r="28" spans="1:22" x14ac:dyDescent="0.2">
      <c r="B28" s="22" t="s">
        <v>181</v>
      </c>
      <c r="C28" s="23"/>
      <c r="I28" s="26"/>
      <c r="J28" s="26"/>
      <c r="K28" s="26"/>
      <c r="L28" s="26"/>
      <c r="M28" s="27">
        <f>+Model!S44</f>
        <v>-4.577069777877496E-2</v>
      </c>
      <c r="N28" s="27">
        <f>+Model!T44</f>
        <v>3.7273132278144328E-2</v>
      </c>
      <c r="O28" s="27">
        <f>+Model!U44</f>
        <v>5.7855049927265867E-2</v>
      </c>
      <c r="P28" s="27">
        <f>+Model!V44</f>
        <v>5.6992855376561069E-2</v>
      </c>
      <c r="Q28" s="27">
        <f>+Model!W44</f>
        <v>5.6185241767187977E-2</v>
      </c>
      <c r="R28" s="27">
        <f>+Model!X44</f>
        <v>5.5427597044544585E-2</v>
      </c>
      <c r="S28" s="27">
        <f>+Model!Y44</f>
        <v>5.4715813948367664E-2</v>
      </c>
      <c r="T28" s="27">
        <f>+Model!Z44</f>
        <v>2.6668398735207877E-2</v>
      </c>
      <c r="U28" s="27">
        <f>+Model!AA44</f>
        <v>2.6746786487949814E-2</v>
      </c>
      <c r="V28" s="27">
        <f>+Model!AB44</f>
        <v>2.6825216663117324E-2</v>
      </c>
    </row>
    <row r="29" spans="1:22" x14ac:dyDescent="0.2">
      <c r="B29" s="22" t="s">
        <v>182</v>
      </c>
      <c r="C29" s="23"/>
      <c r="I29" s="26"/>
      <c r="J29" s="26"/>
      <c r="K29" s="26"/>
      <c r="L29" s="26"/>
      <c r="M29" s="27">
        <f>+M28+2%</f>
        <v>-2.577069777877496E-2</v>
      </c>
      <c r="N29" s="27">
        <f t="shared" ref="N29:V29" si="4">+N28+2%</f>
        <v>5.7273132278144331E-2</v>
      </c>
      <c r="O29" s="27">
        <f t="shared" si="4"/>
        <v>7.7855049927265871E-2</v>
      </c>
      <c r="P29" s="27">
        <f t="shared" si="4"/>
        <v>7.6992855376561073E-2</v>
      </c>
      <c r="Q29" s="27">
        <f t="shared" si="4"/>
        <v>7.6185241767187981E-2</v>
      </c>
      <c r="R29" s="27">
        <f t="shared" si="4"/>
        <v>7.5427597044544589E-2</v>
      </c>
      <c r="S29" s="27">
        <f t="shared" si="4"/>
        <v>7.4715813948367668E-2</v>
      </c>
      <c r="T29" s="27">
        <f t="shared" si="4"/>
        <v>4.6668398735207881E-2</v>
      </c>
      <c r="U29" s="27">
        <f t="shared" si="4"/>
        <v>4.6746786487949818E-2</v>
      </c>
      <c r="V29" s="27">
        <f t="shared" si="4"/>
        <v>4.6825216663117328E-2</v>
      </c>
    </row>
    <row r="31" spans="1:22" x14ac:dyDescent="0.2">
      <c r="B31" s="4" t="s">
        <v>171</v>
      </c>
      <c r="G31" s="21">
        <f>+Model!M26</f>
        <v>11273</v>
      </c>
      <c r="H31" s="21">
        <f>+Model!N26</f>
        <v>7972</v>
      </c>
      <c r="I31" s="21">
        <f>+Model!O26</f>
        <v>17155</v>
      </c>
      <c r="J31" s="21">
        <f>+Model!P26</f>
        <v>21001</v>
      </c>
      <c r="K31" s="21">
        <f>+Model!Q26</f>
        <v>22560</v>
      </c>
      <c r="L31" s="21">
        <f>+Model!R26</f>
        <v>18907</v>
      </c>
      <c r="M31" s="21">
        <f ca="1">M32*M25</f>
        <v>18585.61</v>
      </c>
      <c r="N31" s="21">
        <f t="shared" ref="N31:V31" ca="1" si="5">N32*N25</f>
        <v>20535.637850000003</v>
      </c>
      <c r="O31" s="21">
        <f t="shared" ca="1" si="5"/>
        <v>23053.752378800007</v>
      </c>
      <c r="P31" s="21">
        <f t="shared" ca="1" si="5"/>
        <v>25773.477605205004</v>
      </c>
      <c r="Q31" s="21">
        <f t="shared" ca="1" si="5"/>
        <v>28706.379403396546</v>
      </c>
      <c r="R31" s="21">
        <f t="shared" ca="1" si="5"/>
        <v>31864.617362898713</v>
      </c>
      <c r="S31" s="21">
        <f t="shared" ca="1" si="5"/>
        <v>32506.210400749464</v>
      </c>
      <c r="T31" s="21">
        <f t="shared" ca="1" si="5"/>
        <v>32241.8074902029</v>
      </c>
      <c r="U31" s="21">
        <f t="shared" ca="1" si="5"/>
        <v>31942.622328282312</v>
      </c>
      <c r="V31" s="21">
        <f t="shared" ca="1" si="5"/>
        <v>31606.781362371097</v>
      </c>
    </row>
    <row r="32" spans="1:22" x14ac:dyDescent="0.2">
      <c r="B32" s="22" t="s">
        <v>183</v>
      </c>
      <c r="G32" s="25">
        <f>G31/G25</f>
        <v>0.21004285448108814</v>
      </c>
      <c r="H32" s="25">
        <f t="shared" ref="H32:L32" si="6">H31/H25</f>
        <v>0.17854023426127075</v>
      </c>
      <c r="I32" s="25">
        <f t="shared" si="6"/>
        <v>0.26714941991746477</v>
      </c>
      <c r="J32" s="25">
        <f t="shared" si="6"/>
        <v>0.265217720751667</v>
      </c>
      <c r="K32" s="25">
        <f t="shared" si="6"/>
        <v>0.26185971469362646</v>
      </c>
      <c r="L32" s="25">
        <f t="shared" si="6"/>
        <v>0.22326795224543297</v>
      </c>
      <c r="M32" s="25" cm="1">
        <f t="array" aca="1" ref="M32" ca="1">OFFSET(M32,$E$12,,)</f>
        <v>0.23</v>
      </c>
      <c r="N32" s="25" cm="1">
        <f t="array" aca="1" ref="N32" ca="1">OFFSET(N32,$E$12,,)</f>
        <v>0.245</v>
      </c>
      <c r="O32" s="25" cm="1">
        <f t="array" aca="1" ref="O32" ca="1">OFFSET(O32,$E$12,,)</f>
        <v>0.26</v>
      </c>
      <c r="P32" s="25" cm="1">
        <f t="array" aca="1" ref="P32" ca="1">OFFSET(P32,$E$12,,)</f>
        <v>0.27500000000000002</v>
      </c>
      <c r="Q32" s="25" cm="1">
        <f t="array" aca="1" ref="Q32" ca="1">OFFSET(Q32,$E$12,,)</f>
        <v>0.29000000000000004</v>
      </c>
      <c r="R32" s="25" cm="1">
        <f t="array" aca="1" ref="R32" ca="1">OFFSET(R32,$E$12,,)</f>
        <v>0.30500000000000005</v>
      </c>
      <c r="S32" s="25" cm="1">
        <f t="array" aca="1" ref="S32" ca="1">OFFSET(S32,$E$12,,)</f>
        <v>0.29500000000000004</v>
      </c>
      <c r="T32" s="25" cm="1">
        <f t="array" aca="1" ref="T32" ca="1">OFFSET(T32,$E$12,,)</f>
        <v>0.28500000000000003</v>
      </c>
      <c r="U32" s="25" cm="1">
        <f t="array" aca="1" ref="U32" ca="1">OFFSET(U32,$E$12,,)</f>
        <v>0.27500000000000002</v>
      </c>
      <c r="V32" s="25" cm="1">
        <f t="array" aca="1" ref="V32" ca="1">OFFSET(V32,$E$12,,)</f>
        <v>0.26500000000000001</v>
      </c>
    </row>
    <row r="33" spans="2:22" x14ac:dyDescent="0.2">
      <c r="B33" s="22" t="s">
        <v>164</v>
      </c>
      <c r="M33" s="27">
        <f>+M34-2%</f>
        <v>0.21000000000000002</v>
      </c>
      <c r="N33" s="27">
        <f t="shared" ref="N33:V33" si="7">+N34-2%</f>
        <v>0.22500000000000001</v>
      </c>
      <c r="O33" s="27">
        <f t="shared" si="7"/>
        <v>0.24000000000000002</v>
      </c>
      <c r="P33" s="27">
        <f t="shared" si="7"/>
        <v>0.255</v>
      </c>
      <c r="Q33" s="27">
        <f t="shared" si="7"/>
        <v>0.27</v>
      </c>
      <c r="R33" s="27">
        <f t="shared" si="7"/>
        <v>0.28500000000000003</v>
      </c>
      <c r="S33" s="27">
        <f t="shared" si="7"/>
        <v>0.27500000000000002</v>
      </c>
      <c r="T33" s="27">
        <f t="shared" si="7"/>
        <v>0.26500000000000001</v>
      </c>
      <c r="U33" s="27">
        <f t="shared" si="7"/>
        <v>0.255</v>
      </c>
      <c r="V33" s="27">
        <f t="shared" si="7"/>
        <v>0.24500000000000002</v>
      </c>
    </row>
    <row r="34" spans="2:22" x14ac:dyDescent="0.2">
      <c r="B34" s="22" t="s">
        <v>181</v>
      </c>
      <c r="M34" s="27">
        <f>+Model!S46</f>
        <v>0.23</v>
      </c>
      <c r="N34" s="27">
        <f>+Model!T46</f>
        <v>0.245</v>
      </c>
      <c r="O34" s="27">
        <f>+Model!U46</f>
        <v>0.26</v>
      </c>
      <c r="P34" s="27">
        <f>+Model!V46</f>
        <v>0.27500000000000002</v>
      </c>
      <c r="Q34" s="27">
        <f>+Model!W46</f>
        <v>0.29000000000000004</v>
      </c>
      <c r="R34" s="27">
        <f>+Model!X46</f>
        <v>0.30500000000000005</v>
      </c>
      <c r="S34" s="27">
        <f>+Model!Y46</f>
        <v>0.29500000000000004</v>
      </c>
      <c r="T34" s="27">
        <f>+Model!Z46</f>
        <v>0.28500000000000003</v>
      </c>
      <c r="U34" s="27">
        <f>+Model!AA46</f>
        <v>0.27500000000000002</v>
      </c>
      <c r="V34" s="27">
        <f>+Model!AB46</f>
        <v>0.26500000000000001</v>
      </c>
    </row>
    <row r="35" spans="2:22" x14ac:dyDescent="0.2">
      <c r="B35" s="22" t="s">
        <v>182</v>
      </c>
      <c r="M35" s="27">
        <f>+M34+2%</f>
        <v>0.25</v>
      </c>
      <c r="N35" s="27">
        <f t="shared" ref="N35:V35" si="8">+N34+2%</f>
        <v>0.26500000000000001</v>
      </c>
      <c r="O35" s="27">
        <f t="shared" si="8"/>
        <v>0.28000000000000003</v>
      </c>
      <c r="P35" s="27">
        <f t="shared" si="8"/>
        <v>0.29500000000000004</v>
      </c>
      <c r="Q35" s="27">
        <f t="shared" si="8"/>
        <v>0.31000000000000005</v>
      </c>
      <c r="R35" s="27">
        <f t="shared" si="8"/>
        <v>0.32500000000000007</v>
      </c>
      <c r="S35" s="27">
        <f t="shared" si="8"/>
        <v>0.31500000000000006</v>
      </c>
      <c r="T35" s="27">
        <f t="shared" si="8"/>
        <v>0.30500000000000005</v>
      </c>
      <c r="U35" s="27">
        <f t="shared" si="8"/>
        <v>0.29500000000000004</v>
      </c>
      <c r="V35" s="27">
        <f t="shared" si="8"/>
        <v>0.28500000000000003</v>
      </c>
    </row>
    <row r="37" spans="2:22" x14ac:dyDescent="0.2">
      <c r="B37" s="4" t="s">
        <v>184</v>
      </c>
      <c r="G37" s="21">
        <f>+Model!M31</f>
        <v>2932</v>
      </c>
      <c r="H37" s="21">
        <f>+Model!N31</f>
        <v>2409</v>
      </c>
      <c r="I37" s="21">
        <f>+Model!O31</f>
        <v>4510</v>
      </c>
      <c r="J37" s="21">
        <f>+Model!P31</f>
        <v>5362</v>
      </c>
      <c r="K37" s="21">
        <f>+Model!Q31</f>
        <v>5673</v>
      </c>
      <c r="L37" s="21">
        <f>+Model!R31</f>
        <v>5157</v>
      </c>
      <c r="M37" s="21">
        <f ca="1">M38*M31</f>
        <v>5018.1147000000001</v>
      </c>
      <c r="N37" s="21">
        <f t="shared" ref="N37:V37" ca="1" si="9">N38*N31</f>
        <v>5955.3349765000003</v>
      </c>
      <c r="O37" s="21">
        <f t="shared" ca="1" si="9"/>
        <v>6685.588189852002</v>
      </c>
      <c r="P37" s="21">
        <f t="shared" ca="1" si="9"/>
        <v>7474.3085055094507</v>
      </c>
      <c r="Q37" s="21">
        <f t="shared" ca="1" si="9"/>
        <v>8324.8500269849974</v>
      </c>
      <c r="R37" s="21">
        <f t="shared" ca="1" si="9"/>
        <v>9240.7390352406255</v>
      </c>
      <c r="S37" s="21">
        <f t="shared" ca="1" si="9"/>
        <v>9426.8010162173432</v>
      </c>
      <c r="T37" s="21">
        <f t="shared" ca="1" si="9"/>
        <v>9350.1241721588412</v>
      </c>
      <c r="U37" s="21">
        <f t="shared" ca="1" si="9"/>
        <v>9263.3604752018691</v>
      </c>
      <c r="V37" s="21">
        <f t="shared" ca="1" si="9"/>
        <v>9165.966595087617</v>
      </c>
    </row>
    <row r="38" spans="2:22" x14ac:dyDescent="0.2">
      <c r="B38" s="23" t="s">
        <v>185</v>
      </c>
      <c r="G38" s="25">
        <f t="shared" ref="G38:L38" si="10">G37/G31</f>
        <v>0.2600904816818948</v>
      </c>
      <c r="H38" s="25">
        <f t="shared" si="10"/>
        <v>0.30218263923733063</v>
      </c>
      <c r="I38" s="25">
        <f t="shared" si="10"/>
        <v>0.26289711454386477</v>
      </c>
      <c r="J38" s="25">
        <f t="shared" si="10"/>
        <v>0.25532117518213421</v>
      </c>
      <c r="K38" s="25">
        <f t="shared" si="10"/>
        <v>0.25146276595744682</v>
      </c>
      <c r="L38" s="25">
        <f t="shared" si="10"/>
        <v>0.27275612207119054</v>
      </c>
      <c r="M38" s="25">
        <v>0.27</v>
      </c>
      <c r="N38" s="25">
        <v>0.28999999999999998</v>
      </c>
      <c r="O38" s="25">
        <v>0.28999999999999998</v>
      </c>
      <c r="P38" s="25">
        <v>0.28999999999999998</v>
      </c>
      <c r="Q38" s="25">
        <v>0.28999999999999998</v>
      </c>
      <c r="R38" s="25">
        <v>0.28999999999999998</v>
      </c>
      <c r="S38" s="25">
        <v>0.28999999999999998</v>
      </c>
      <c r="T38" s="25">
        <v>0.28999999999999998</v>
      </c>
      <c r="U38" s="25">
        <v>0.28999999999999998</v>
      </c>
      <c r="V38" s="25">
        <v>0.28999999999999998</v>
      </c>
    </row>
    <row r="39" spans="2:22" x14ac:dyDescent="0.2">
      <c r="B39" s="23"/>
    </row>
    <row r="40" spans="2:22" x14ac:dyDescent="0.2">
      <c r="B40" s="28" t="s">
        <v>186</v>
      </c>
      <c r="C40" s="29"/>
      <c r="D40" s="29"/>
      <c r="E40" s="29"/>
      <c r="F40" s="29"/>
      <c r="G40" s="30">
        <f t="shared" ref="G40:V40" si="11">G31-G37</f>
        <v>8341</v>
      </c>
      <c r="H40" s="30">
        <f t="shared" si="11"/>
        <v>5563</v>
      </c>
      <c r="I40" s="30">
        <f t="shared" si="11"/>
        <v>12645</v>
      </c>
      <c r="J40" s="30">
        <f t="shared" si="11"/>
        <v>15639</v>
      </c>
      <c r="K40" s="30">
        <f t="shared" si="11"/>
        <v>16887</v>
      </c>
      <c r="L40" s="30">
        <f t="shared" si="11"/>
        <v>13750</v>
      </c>
      <c r="M40" s="30">
        <f t="shared" ca="1" si="11"/>
        <v>13567.4953</v>
      </c>
      <c r="N40" s="30">
        <f t="shared" ca="1" si="11"/>
        <v>14580.302873500003</v>
      </c>
      <c r="O40" s="30">
        <f t="shared" ca="1" si="11"/>
        <v>16368.164188948005</v>
      </c>
      <c r="P40" s="30">
        <f t="shared" ca="1" si="11"/>
        <v>18299.169099695551</v>
      </c>
      <c r="Q40" s="30">
        <f t="shared" ca="1" si="11"/>
        <v>20381.529376411549</v>
      </c>
      <c r="R40" s="30">
        <f t="shared" ca="1" si="11"/>
        <v>22623.878327658087</v>
      </c>
      <c r="S40" s="30">
        <f t="shared" ca="1" si="11"/>
        <v>23079.409384532119</v>
      </c>
      <c r="T40" s="30">
        <f t="shared" ca="1" si="11"/>
        <v>22891.683318044059</v>
      </c>
      <c r="U40" s="30">
        <f t="shared" ca="1" si="11"/>
        <v>22679.261853080443</v>
      </c>
      <c r="V40" s="31">
        <f t="shared" ca="1" si="11"/>
        <v>22440.814767283482</v>
      </c>
    </row>
    <row r="42" spans="2:22" x14ac:dyDescent="0.2">
      <c r="B42" s="4" t="s">
        <v>187</v>
      </c>
      <c r="G42" s="21">
        <f>+Model!M88+Model!M89</f>
        <v>5108</v>
      </c>
      <c r="H42" s="21">
        <f>+Model!N88+Model!N89</f>
        <v>6050</v>
      </c>
      <c r="I42" s="21">
        <f>+Model!O88+Model!O89</f>
        <v>5830</v>
      </c>
      <c r="J42" s="21">
        <f>+Model!P88+Model!P89</f>
        <v>6226</v>
      </c>
      <c r="K42" s="21">
        <f>+Model!Q88+Model!Q89</f>
        <v>7177</v>
      </c>
      <c r="L42" s="21">
        <f>+Model!R88+Model!R89</f>
        <v>7796</v>
      </c>
      <c r="M42" s="21">
        <f ca="1">M43*M25</f>
        <v>7757.4719999999998</v>
      </c>
      <c r="N42" s="21">
        <f t="shared" ref="N42:V42" ca="1" si="12">N43*N25</f>
        <v>8046.6172800000013</v>
      </c>
      <c r="O42" s="21">
        <f t="shared" ca="1" si="12"/>
        <v>8512.1547244800022</v>
      </c>
      <c r="P42" s="21">
        <f t="shared" ca="1" si="12"/>
        <v>8997.2867276352008</v>
      </c>
      <c r="Q42" s="21">
        <f t="shared" ca="1" si="12"/>
        <v>9502.8014576760979</v>
      </c>
      <c r="R42" s="21">
        <f t="shared" ca="1" si="12"/>
        <v>10029.518907666479</v>
      </c>
      <c r="S42" s="21">
        <f t="shared" ca="1" si="12"/>
        <v>10578.292198209994</v>
      </c>
      <c r="T42" s="21">
        <f t="shared" ca="1" si="12"/>
        <v>10860.398312489398</v>
      </c>
      <c r="U42" s="21">
        <f t="shared" ca="1" si="12"/>
        <v>11150.879067327642</v>
      </c>
      <c r="V42" s="21">
        <f t="shared" ca="1" si="12"/>
        <v>11450.003814292926</v>
      </c>
    </row>
    <row r="43" spans="2:22" x14ac:dyDescent="0.2">
      <c r="B43" s="22" t="s">
        <v>183</v>
      </c>
      <c r="C43" s="24"/>
      <c r="D43" s="24"/>
      <c r="E43" s="24"/>
      <c r="F43" s="24"/>
      <c r="G43" s="32">
        <f t="shared" ref="G43:L43" si="13">G42/G25</f>
        <v>9.5174212781814788E-2</v>
      </c>
      <c r="H43" s="32">
        <f t="shared" si="13"/>
        <v>0.13549528565989563</v>
      </c>
      <c r="I43" s="32">
        <f t="shared" si="13"/>
        <v>9.0788756521062053E-2</v>
      </c>
      <c r="J43" s="32">
        <f t="shared" si="13"/>
        <v>7.8626995352596485E-2</v>
      </c>
      <c r="K43" s="32">
        <f t="shared" si="13"/>
        <v>8.3305282462595609E-2</v>
      </c>
      <c r="L43" s="32">
        <f t="shared" si="13"/>
        <v>9.2060980362056136E-2</v>
      </c>
      <c r="M43" s="33">
        <v>9.6000000000000002E-2</v>
      </c>
      <c r="N43" s="33">
        <v>9.6000000000000002E-2</v>
      </c>
      <c r="O43" s="33">
        <v>9.6000000000000002E-2</v>
      </c>
      <c r="P43" s="33">
        <v>9.6000000000000002E-2</v>
      </c>
      <c r="Q43" s="33">
        <v>9.6000000000000002E-2</v>
      </c>
      <c r="R43" s="33">
        <v>9.6000000000000002E-2</v>
      </c>
      <c r="S43" s="33">
        <v>9.6000000000000002E-2</v>
      </c>
      <c r="T43" s="33">
        <v>9.6000000000000002E-2</v>
      </c>
      <c r="U43" s="33">
        <v>9.6000000000000002E-2</v>
      </c>
      <c r="V43" s="33">
        <v>9.6000000000000002E-2</v>
      </c>
    </row>
    <row r="45" spans="2:22" x14ac:dyDescent="0.2">
      <c r="B45" s="4" t="s">
        <v>88</v>
      </c>
      <c r="G45" s="21">
        <f>+Model!M96</f>
        <v>-3294</v>
      </c>
      <c r="H45" s="21">
        <f>+Model!N96</f>
        <v>-2478</v>
      </c>
      <c r="I45" s="21">
        <f>+Model!O96</f>
        <v>-2664</v>
      </c>
      <c r="J45" s="21">
        <f>+Model!P96</f>
        <v>-4969</v>
      </c>
      <c r="K45" s="21">
        <f>+Model!Q96</f>
        <v>-7478</v>
      </c>
      <c r="L45" s="21">
        <f>+Model!R96</f>
        <v>-5531</v>
      </c>
      <c r="M45" s="21">
        <f ca="1">M46*M25</f>
        <v>-5252.4549999999999</v>
      </c>
      <c r="N45" s="21">
        <f t="shared" ref="N45:V45" ca="1" si="14">N46*N25</f>
        <v>-5448.2304500000009</v>
      </c>
      <c r="O45" s="21">
        <f t="shared" ca="1" si="14"/>
        <v>-5763.4380947000018</v>
      </c>
      <c r="P45" s="21">
        <f t="shared" ca="1" si="14"/>
        <v>-6091.9128885030013</v>
      </c>
      <c r="Q45" s="21">
        <f t="shared" ca="1" si="14"/>
        <v>-6335.2009717840647</v>
      </c>
      <c r="R45" s="21">
        <f t="shared" ca="1" si="14"/>
        <v>-6581.8717831561271</v>
      </c>
      <c r="S45" s="21">
        <f t="shared" ca="1" si="14"/>
        <v>-6831.8137113439543</v>
      </c>
      <c r="T45" s="21">
        <f t="shared" ca="1" si="14"/>
        <v>-6900.8780943943048</v>
      </c>
      <c r="U45" s="21">
        <f t="shared" ca="1" si="14"/>
        <v>-6969.2994170797765</v>
      </c>
      <c r="V45" s="21">
        <f t="shared" ca="1" si="14"/>
        <v>-7036.9815108675266</v>
      </c>
    </row>
    <row r="46" spans="2:22" x14ac:dyDescent="0.2">
      <c r="B46" s="22" t="s">
        <v>183</v>
      </c>
      <c r="G46" s="32">
        <f t="shared" ref="G46:L46" si="15">G45/G25</f>
        <v>-6.1375069871436559E-2</v>
      </c>
      <c r="H46" s="32">
        <f t="shared" si="15"/>
        <v>-5.5497077333094447E-2</v>
      </c>
      <c r="I46" s="32">
        <f t="shared" si="15"/>
        <v>-4.1485634197617381E-2</v>
      </c>
      <c r="J46" s="32">
        <f t="shared" si="15"/>
        <v>-6.2752576278035974E-2</v>
      </c>
      <c r="K46" s="32">
        <f t="shared" si="15"/>
        <v>-8.6799066776548695E-2</v>
      </c>
      <c r="L46" s="32">
        <f t="shared" si="15"/>
        <v>-6.5314171675542904E-2</v>
      </c>
      <c r="M46" s="33">
        <v>-6.5000000000000002E-2</v>
      </c>
      <c r="N46" s="33">
        <v>-6.5000000000000002E-2</v>
      </c>
      <c r="O46" s="33">
        <v>-6.5000000000000002E-2</v>
      </c>
      <c r="P46" s="33">
        <v>-6.5000000000000002E-2</v>
      </c>
      <c r="Q46" s="33">
        <f>+P46+0.1%</f>
        <v>-6.4000000000000001E-2</v>
      </c>
      <c r="R46" s="33">
        <f t="shared" ref="R46:V46" si="16">+Q46+0.1%</f>
        <v>-6.3E-2</v>
      </c>
      <c r="S46" s="33">
        <f t="shared" si="16"/>
        <v>-6.2E-2</v>
      </c>
      <c r="T46" s="33">
        <f t="shared" si="16"/>
        <v>-6.0999999999999999E-2</v>
      </c>
      <c r="U46" s="33">
        <f t="shared" si="16"/>
        <v>-0.06</v>
      </c>
      <c r="V46" s="33">
        <f t="shared" si="16"/>
        <v>-5.8999999999999997E-2</v>
      </c>
    </row>
    <row r="48" spans="2:22" x14ac:dyDescent="0.2">
      <c r="B48" s="4" t="s">
        <v>83</v>
      </c>
      <c r="G48" s="21">
        <f>+Model!M94</f>
        <v>-1154</v>
      </c>
      <c r="H48" s="21">
        <f>+Model!N94</f>
        <v>-367</v>
      </c>
      <c r="I48" s="21">
        <f>+Model!O94</f>
        <v>426</v>
      </c>
      <c r="J48" s="21">
        <f>+Model!P94</f>
        <v>-3019</v>
      </c>
      <c r="K48" s="21">
        <f>+Model!Q94</f>
        <v>-4577</v>
      </c>
      <c r="L48" s="21">
        <f>+Model!R94</f>
        <v>-1925</v>
      </c>
      <c r="M48" s="21">
        <f ca="1">M49*M25</f>
        <v>-1858.5609999999999</v>
      </c>
      <c r="N48" s="21">
        <f t="shared" ref="N48:V48" ca="1" si="17">N49*N25</f>
        <v>-1927.8353900000002</v>
      </c>
      <c r="O48" s="21">
        <f t="shared" ca="1" si="17"/>
        <v>-2039.3704027400004</v>
      </c>
      <c r="P48" s="21">
        <f t="shared" ca="1" si="17"/>
        <v>-2155.5999451626003</v>
      </c>
      <c r="Q48" s="21">
        <f t="shared" ca="1" si="17"/>
        <v>-2276.7128492348979</v>
      </c>
      <c r="R48" s="21">
        <f t="shared" ca="1" si="17"/>
        <v>-2402.905571628427</v>
      </c>
      <c r="S48" s="21">
        <f t="shared" ca="1" si="17"/>
        <v>-2534.3825058211442</v>
      </c>
      <c r="T48" s="21">
        <f t="shared" ca="1" si="17"/>
        <v>-2601.9704290339182</v>
      </c>
      <c r="U48" s="21">
        <f t="shared" ca="1" si="17"/>
        <v>-2671.5647765472477</v>
      </c>
      <c r="V48" s="21">
        <f t="shared" ca="1" si="17"/>
        <v>-2743.2300805076802</v>
      </c>
    </row>
    <row r="49" spans="2:24" x14ac:dyDescent="0.2">
      <c r="B49" s="22" t="s">
        <v>183</v>
      </c>
      <c r="G49" s="32">
        <f t="shared" ref="G49:L49" si="18">G48/G25</f>
        <v>-2.150177007639277E-2</v>
      </c>
      <c r="H49" s="32">
        <f t="shared" si="18"/>
        <v>-8.2193007995341651E-3</v>
      </c>
      <c r="I49" s="32">
        <f t="shared" si="18"/>
        <v>6.6339640270964726E-3</v>
      </c>
      <c r="J49" s="32">
        <f t="shared" si="18"/>
        <v>-3.81263891695292E-2</v>
      </c>
      <c r="K49" s="32">
        <f t="shared" si="18"/>
        <v>-5.3126414634429443E-2</v>
      </c>
      <c r="L49" s="32">
        <f t="shared" si="18"/>
        <v>-2.2731835197147006E-2</v>
      </c>
      <c r="M49" s="33">
        <v>-2.3E-2</v>
      </c>
      <c r="N49" s="33">
        <v>-2.3E-2</v>
      </c>
      <c r="O49" s="33">
        <v>-2.3E-2</v>
      </c>
      <c r="P49" s="33">
        <v>-2.3E-2</v>
      </c>
      <c r="Q49" s="33">
        <v>-2.3E-2</v>
      </c>
      <c r="R49" s="33">
        <v>-2.3E-2</v>
      </c>
      <c r="S49" s="33">
        <v>-2.3E-2</v>
      </c>
      <c r="T49" s="33">
        <v>-2.3E-2</v>
      </c>
      <c r="U49" s="33">
        <v>-2.3E-2</v>
      </c>
      <c r="V49" s="33">
        <v>-2.3E-2</v>
      </c>
    </row>
    <row r="51" spans="2:24" x14ac:dyDescent="0.2">
      <c r="B51" s="34" t="s">
        <v>188</v>
      </c>
      <c r="C51" s="35"/>
      <c r="D51" s="35"/>
      <c r="E51" s="35"/>
      <c r="F51" s="35"/>
      <c r="G51" s="36">
        <f>G40+G42+G45+G48</f>
        <v>9001</v>
      </c>
      <c r="H51" s="36">
        <f t="shared" ref="H51:U51" si="19">H40+H42+H45+H48</f>
        <v>8768</v>
      </c>
      <c r="I51" s="36">
        <f t="shared" si="19"/>
        <v>16237</v>
      </c>
      <c r="J51" s="36">
        <f t="shared" si="19"/>
        <v>13877</v>
      </c>
      <c r="K51" s="36">
        <f t="shared" si="19"/>
        <v>12009</v>
      </c>
      <c r="L51" s="36">
        <f t="shared" si="19"/>
        <v>14090</v>
      </c>
      <c r="M51" s="36">
        <f ca="1">M40+M42+M45+M48</f>
        <v>14213.951300000001</v>
      </c>
      <c r="N51" s="36">
        <f t="shared" ca="1" si="19"/>
        <v>15250.8543135</v>
      </c>
      <c r="O51" s="36">
        <f t="shared" ca="1" si="19"/>
        <v>17077.510415988003</v>
      </c>
      <c r="P51" s="36">
        <f t="shared" ca="1" si="19"/>
        <v>19048.94299366515</v>
      </c>
      <c r="Q51" s="36">
        <f t="shared" ca="1" si="19"/>
        <v>21272.417013068687</v>
      </c>
      <c r="R51" s="36">
        <f t="shared" ca="1" si="19"/>
        <v>23668.619880540013</v>
      </c>
      <c r="S51" s="36">
        <f t="shared" ca="1" si="19"/>
        <v>24291.505365577013</v>
      </c>
      <c r="T51" s="36">
        <f t="shared" ca="1" si="19"/>
        <v>24249.233107105236</v>
      </c>
      <c r="U51" s="36">
        <f t="shared" ca="1" si="19"/>
        <v>24189.276726781063</v>
      </c>
      <c r="V51" s="37">
        <f ca="1">V40+V42+V45+V48</f>
        <v>24110.606990201202</v>
      </c>
    </row>
    <row r="52" spans="2:24" x14ac:dyDescent="0.2">
      <c r="B52" s="38" t="s">
        <v>189</v>
      </c>
      <c r="C52" s="39"/>
      <c r="D52" s="39"/>
      <c r="E52" s="39"/>
      <c r="F52" s="39"/>
      <c r="G52" s="40"/>
      <c r="H52" s="40"/>
      <c r="I52" s="40"/>
      <c r="J52" s="40"/>
      <c r="K52" s="40"/>
      <c r="L52" s="40"/>
      <c r="M52" s="40">
        <f ca="1">(M51/(1+$E$18)^M53)*M53</f>
        <v>7813.6051059640859</v>
      </c>
      <c r="N52" s="40">
        <f ca="1">N51/(1+$E$18)^N53</f>
        <v>13312.005110393064</v>
      </c>
      <c r="O52" s="40">
        <f t="shared" ref="O52:U52" ca="1" si="20">O51/(1+$E$18)^O53</f>
        <v>13675.630690911114</v>
      </c>
      <c r="P52" s="40">
        <f t="shared" ca="1" si="20"/>
        <v>13994.81589163615</v>
      </c>
      <c r="Q52" s="40">
        <f t="shared" ca="1" si="20"/>
        <v>14337.936330448239</v>
      </c>
      <c r="R52" s="40">
        <f t="shared" ca="1" si="20"/>
        <v>14635.792593850876</v>
      </c>
      <c r="S52" s="40">
        <f t="shared" ca="1" si="20"/>
        <v>13780.698869573003</v>
      </c>
      <c r="T52" s="40">
        <f t="shared" ca="1" si="20"/>
        <v>12620.841830102525</v>
      </c>
      <c r="U52" s="40">
        <f t="shared" ca="1" si="20"/>
        <v>11550.125431050108</v>
      </c>
      <c r="V52" s="41">
        <f ca="1">V51/(1+$E$18)^V53</f>
        <v>10561.98298951958</v>
      </c>
    </row>
    <row r="53" spans="2:24" x14ac:dyDescent="0.2">
      <c r="B53" s="4" t="s">
        <v>190</v>
      </c>
      <c r="M53" s="42">
        <f ca="1">YEARFRAC(E4,E5)</f>
        <v>0.57777777777777772</v>
      </c>
      <c r="N53" s="42">
        <f ca="1">M53+1</f>
        <v>1.5777777777777777</v>
      </c>
      <c r="O53" s="42">
        <f ca="1">N53+1</f>
        <v>2.5777777777777775</v>
      </c>
      <c r="P53" s="42">
        <f t="shared" ref="P53:V53" ca="1" si="21">O53+1</f>
        <v>3.5777777777777775</v>
      </c>
      <c r="Q53" s="42">
        <f t="shared" ca="1" si="21"/>
        <v>4.5777777777777775</v>
      </c>
      <c r="R53" s="42">
        <f t="shared" ca="1" si="21"/>
        <v>5.5777777777777775</v>
      </c>
      <c r="S53" s="42">
        <f t="shared" ca="1" si="21"/>
        <v>6.5777777777777775</v>
      </c>
      <c r="T53" s="42">
        <f t="shared" ca="1" si="21"/>
        <v>7.5777777777777775</v>
      </c>
      <c r="U53" s="42">
        <f t="shared" ca="1" si="21"/>
        <v>8.5777777777777775</v>
      </c>
      <c r="V53" s="42">
        <f t="shared" ca="1" si="21"/>
        <v>9.5777777777777775</v>
      </c>
    </row>
    <row r="54" spans="2:24" x14ac:dyDescent="0.2">
      <c r="B54" s="4" t="s">
        <v>191</v>
      </c>
      <c r="N54" s="43"/>
      <c r="O54" s="43"/>
      <c r="P54" s="43"/>
      <c r="Q54" s="43"/>
      <c r="V54" s="21">
        <f ca="1">SUM(M52:V52)</f>
        <v>126283.43484344875</v>
      </c>
    </row>
    <row r="55" spans="2:24" x14ac:dyDescent="0.2">
      <c r="B55" s="4" t="s">
        <v>192</v>
      </c>
      <c r="N55" s="43"/>
      <c r="O55" s="43"/>
      <c r="P55" s="43"/>
      <c r="Q55" s="43"/>
      <c r="V55" s="21">
        <f ca="1">+(V40*(1+E19))*(1-(E19/E20))/(E18-E19)</f>
        <v>267541.14229047066</v>
      </c>
      <c r="X55" s="44" t="s">
        <v>193</v>
      </c>
    </row>
    <row r="56" spans="2:24" x14ac:dyDescent="0.2">
      <c r="B56" s="3" t="s">
        <v>194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45"/>
      <c r="O56" s="45"/>
      <c r="P56" s="45"/>
      <c r="Q56" s="45"/>
      <c r="R56" s="45"/>
      <c r="S56" s="45"/>
      <c r="T56" s="45"/>
      <c r="U56" s="45"/>
      <c r="V56" s="46">
        <f ca="1">V55/(1+E18)^V53</f>
        <v>117200.07692120768</v>
      </c>
    </row>
    <row r="57" spans="2:24" x14ac:dyDescent="0.2">
      <c r="B57" s="47" t="s">
        <v>195</v>
      </c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8"/>
      <c r="O57" s="48"/>
      <c r="P57" s="48"/>
      <c r="Q57" s="48"/>
      <c r="R57" s="48"/>
      <c r="S57" s="48"/>
      <c r="T57" s="48"/>
      <c r="U57" s="48"/>
      <c r="V57" s="49">
        <f ca="1">V54+V56</f>
        <v>243483.51176465643</v>
      </c>
    </row>
    <row r="58" spans="2:24" x14ac:dyDescent="0.2">
      <c r="B58" s="4" t="s">
        <v>196</v>
      </c>
      <c r="N58" s="43"/>
      <c r="O58" s="43"/>
      <c r="P58" s="43"/>
      <c r="Q58" s="43"/>
      <c r="V58" s="50">
        <f>+Main!I7</f>
        <v>6803</v>
      </c>
    </row>
    <row r="59" spans="2:24" x14ac:dyDescent="0.2">
      <c r="B59" s="3" t="s">
        <v>197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45"/>
      <c r="O59" s="45"/>
      <c r="P59" s="45"/>
      <c r="Q59" s="45"/>
      <c r="R59" s="45"/>
      <c r="S59" s="45"/>
      <c r="T59" s="45"/>
      <c r="U59" s="45"/>
      <c r="V59" s="46">
        <f>+Main!I8</f>
        <v>20485</v>
      </c>
    </row>
    <row r="60" spans="2:24" x14ac:dyDescent="0.2">
      <c r="B60" s="4" t="s">
        <v>198</v>
      </c>
      <c r="N60" s="43"/>
      <c r="O60" s="43"/>
      <c r="P60" s="43"/>
      <c r="Q60" s="43"/>
      <c r="V60" s="50">
        <f ca="1">V57+V58-V59</f>
        <v>229801.51176465643</v>
      </c>
    </row>
    <row r="61" spans="2:24" x14ac:dyDescent="0.2">
      <c r="B61" s="3" t="s">
        <v>199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45"/>
      <c r="O61" s="45"/>
      <c r="P61" s="45"/>
      <c r="Q61" s="45"/>
      <c r="R61" s="45"/>
      <c r="S61" s="45"/>
      <c r="T61" s="45"/>
      <c r="U61" s="45"/>
      <c r="V61" s="46">
        <f>+Main!I5</f>
        <v>495.81108</v>
      </c>
    </row>
    <row r="62" spans="2:24" x14ac:dyDescent="0.2">
      <c r="B62" s="4" t="s">
        <v>156</v>
      </c>
      <c r="V62" s="50">
        <f ca="1">V60/V61</f>
        <v>463.48603537592669</v>
      </c>
    </row>
    <row r="66" spans="1:22" x14ac:dyDescent="0.2">
      <c r="A66" s="12" t="s">
        <v>17</v>
      </c>
      <c r="B66" s="13" t="s">
        <v>200</v>
      </c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</row>
    <row r="68" spans="1:22" x14ac:dyDescent="0.2">
      <c r="B68" s="51"/>
      <c r="C68" s="82" t="s">
        <v>174</v>
      </c>
      <c r="D68" s="82"/>
      <c r="E68" s="82"/>
      <c r="F68" s="82"/>
      <c r="G68" s="82"/>
      <c r="H68" s="82"/>
      <c r="I68" s="82"/>
      <c r="J68" s="83"/>
      <c r="M68" s="51"/>
      <c r="N68" s="84" t="s">
        <v>201</v>
      </c>
      <c r="O68" s="84"/>
      <c r="P68" s="84"/>
      <c r="Q68" s="84"/>
      <c r="R68" s="84"/>
      <c r="S68" s="84"/>
      <c r="T68" s="84"/>
      <c r="U68" s="85"/>
    </row>
    <row r="69" spans="1:22" x14ac:dyDescent="0.2">
      <c r="B69" s="86" t="s">
        <v>172</v>
      </c>
      <c r="C69" s="52">
        <f ca="1">+J4</f>
        <v>463.48603537592669</v>
      </c>
      <c r="D69" s="53">
        <v>0.01</v>
      </c>
      <c r="E69" s="53">
        <v>1.4999999999999999E-2</v>
      </c>
      <c r="F69" s="53">
        <v>0.02</v>
      </c>
      <c r="G69" s="53">
        <v>2.5000000000000001E-2</v>
      </c>
      <c r="H69" s="53">
        <v>0.03</v>
      </c>
      <c r="I69" s="53">
        <v>3.5000000000000003E-2</v>
      </c>
      <c r="J69" s="53">
        <v>0.04</v>
      </c>
      <c r="M69" s="86" t="s">
        <v>172</v>
      </c>
      <c r="N69" s="52">
        <f ca="1">+J4</f>
        <v>463.48603537592669</v>
      </c>
      <c r="O69" s="53">
        <v>0.08</v>
      </c>
      <c r="P69" s="53">
        <v>0.09</v>
      </c>
      <c r="Q69" s="53">
        <v>0.1</v>
      </c>
      <c r="R69" s="53">
        <v>0.11</v>
      </c>
      <c r="S69" s="53">
        <v>0.12</v>
      </c>
      <c r="T69" s="53">
        <v>0.13</v>
      </c>
      <c r="U69" s="53">
        <v>0.14000000000000001</v>
      </c>
    </row>
    <row r="70" spans="1:22" x14ac:dyDescent="0.2">
      <c r="B70" s="86"/>
      <c r="C70" s="54">
        <v>0.06</v>
      </c>
      <c r="D70" s="55">
        <f t="dataTable" ref="D70:J76" dt2D="1" dtr="1" r1="E19" r2="E18" ca="1"/>
        <v>742.60098678763256</v>
      </c>
      <c r="E70" s="55">
        <v>771.51281285980508</v>
      </c>
      <c r="F70" s="55">
        <v>807.3582442796029</v>
      </c>
      <c r="G70" s="56">
        <v>853.10882619600761</v>
      </c>
      <c r="H70" s="55">
        <v>913.71713385732346</v>
      </c>
      <c r="I70" s="55">
        <v>998.09780271049669</v>
      </c>
      <c r="J70" s="55">
        <v>1124.0801036494206</v>
      </c>
      <c r="M70" s="86"/>
      <c r="N70" s="54">
        <v>0.06</v>
      </c>
      <c r="O70" s="55">
        <f t="dataTable" ref="O70:U76" dt2D="1" dtr="1" r1="E20" r2="E18" ca="1"/>
        <v>762.32251520564159</v>
      </c>
      <c r="P70" s="55">
        <v>780.6704048283666</v>
      </c>
      <c r="Q70" s="55">
        <v>795.34871652654658</v>
      </c>
      <c r="R70" s="56">
        <v>807.3582442796029</v>
      </c>
      <c r="S70" s="55">
        <v>817.36618407381616</v>
      </c>
      <c r="T70" s="55">
        <v>825.83444082276628</v>
      </c>
      <c r="U70" s="55">
        <v>833.09294660758053</v>
      </c>
    </row>
    <row r="71" spans="1:22" x14ac:dyDescent="0.2">
      <c r="B71" s="86"/>
      <c r="C71" s="54">
        <v>7.0000000000000007E-2</v>
      </c>
      <c r="D71" s="55">
        <v>615.00462844672211</v>
      </c>
      <c r="E71" s="55">
        <v>630.03796585577413</v>
      </c>
      <c r="F71" s="55">
        <v>647.86274292255905</v>
      </c>
      <c r="G71" s="56">
        <v>669.40943953298768</v>
      </c>
      <c r="H71" s="55">
        <v>696.07377551592651</v>
      </c>
      <c r="I71" s="55">
        <v>730.04902488816583</v>
      </c>
      <c r="J71" s="55">
        <v>774.99064434435559</v>
      </c>
      <c r="M71" s="86"/>
      <c r="N71" s="54">
        <v>7.0000000000000007E-2</v>
      </c>
      <c r="O71" s="55">
        <v>614.93288583869628</v>
      </c>
      <c r="P71" s="55">
        <v>628.3487535395293</v>
      </c>
      <c r="Q71" s="55">
        <v>639.08144770019567</v>
      </c>
      <c r="R71" s="56">
        <v>647.86274292255905</v>
      </c>
      <c r="S71" s="55">
        <v>655.18048894119511</v>
      </c>
      <c r="T71" s="55">
        <v>661.37242788004119</v>
      </c>
      <c r="U71" s="55">
        <v>666.6798041133377</v>
      </c>
    </row>
    <row r="72" spans="1:22" x14ac:dyDescent="0.2">
      <c r="B72" s="86"/>
      <c r="C72" s="54">
        <v>0.08</v>
      </c>
      <c r="D72" s="56">
        <v>523.52831214548098</v>
      </c>
      <c r="E72" s="56">
        <v>531.52255718007234</v>
      </c>
      <c r="F72" s="56">
        <v>540.68510866085558</v>
      </c>
      <c r="G72" s="56">
        <v>551.33459561861048</v>
      </c>
      <c r="H72" s="56">
        <v>563.9170986964283</v>
      </c>
      <c r="I72" s="56">
        <v>579.07695660099705</v>
      </c>
      <c r="J72" s="56">
        <v>597.78067739234791</v>
      </c>
      <c r="M72" s="86"/>
      <c r="N72" s="54">
        <v>0.08</v>
      </c>
      <c r="O72" s="56">
        <v>515.58274654614786</v>
      </c>
      <c r="P72" s="56">
        <v>525.80963481510287</v>
      </c>
      <c r="Q72" s="56">
        <v>533.9911454302669</v>
      </c>
      <c r="R72" s="56">
        <v>540.68510866085558</v>
      </c>
      <c r="S72" s="56">
        <v>546.26341135301288</v>
      </c>
      <c r="T72" s="56">
        <v>550.98351363099221</v>
      </c>
      <c r="U72" s="56">
        <v>555.02931558354589</v>
      </c>
    </row>
    <row r="73" spans="1:22" x14ac:dyDescent="0.2">
      <c r="B73" s="86"/>
      <c r="C73" s="54">
        <v>0.09</v>
      </c>
      <c r="D73" s="55">
        <v>454.66682782221204</v>
      </c>
      <c r="E73" s="55">
        <v>458.84254020652554</v>
      </c>
      <c r="F73" s="55">
        <v>463.48603537592669</v>
      </c>
      <c r="G73" s="56">
        <v>468.70526320389695</v>
      </c>
      <c r="H73" s="55">
        <v>474.6441568550789</v>
      </c>
      <c r="I73" s="55">
        <v>481.49898882671198</v>
      </c>
      <c r="J73" s="55">
        <v>489.54454061493146</v>
      </c>
      <c r="M73" s="86"/>
      <c r="N73" s="54">
        <v>0.09</v>
      </c>
      <c r="O73" s="55">
        <v>443.78765938003869</v>
      </c>
      <c r="P73" s="55">
        <v>451.81292367465971</v>
      </c>
      <c r="Q73" s="55">
        <v>458.23313511035656</v>
      </c>
      <c r="R73" s="56">
        <v>463.48603537592669</v>
      </c>
      <c r="S73" s="55">
        <v>467.86345226390176</v>
      </c>
      <c r="T73" s="55">
        <v>471.56742039988075</v>
      </c>
      <c r="U73" s="55">
        <v>474.74225023071983</v>
      </c>
    </row>
    <row r="74" spans="1:22" x14ac:dyDescent="0.2">
      <c r="B74" s="86"/>
      <c r="C74" s="54">
        <v>0.1</v>
      </c>
      <c r="D74" s="55">
        <v>400.91299225796649</v>
      </c>
      <c r="E74" s="55">
        <v>402.92610071471995</v>
      </c>
      <c r="F74" s="55">
        <v>405.08762869576492</v>
      </c>
      <c r="G74" s="56">
        <v>407.42726010595959</v>
      </c>
      <c r="H74" s="55">
        <v>409.98315996583619</v>
      </c>
      <c r="I74" s="55">
        <v>412.80523637916735</v>
      </c>
      <c r="J74" s="55">
        <v>415.96003348431685</v>
      </c>
      <c r="M74" s="86"/>
      <c r="N74" s="54">
        <v>0.1</v>
      </c>
      <c r="O74" s="55">
        <v>389.29511667695056</v>
      </c>
      <c r="P74" s="55">
        <v>395.72910305498601</v>
      </c>
      <c r="Q74" s="55">
        <v>400.87629215741441</v>
      </c>
      <c r="R74" s="56">
        <v>405.08762869576492</v>
      </c>
      <c r="S74" s="55">
        <v>408.59707581105692</v>
      </c>
      <c r="T74" s="55">
        <v>411.56660798553492</v>
      </c>
      <c r="U74" s="55">
        <v>414.11192127794453</v>
      </c>
    </row>
    <row r="75" spans="1:22" x14ac:dyDescent="0.2">
      <c r="B75" s="86"/>
      <c r="C75" s="54">
        <v>0.11</v>
      </c>
      <c r="D75" s="55">
        <v>357.75910902239485</v>
      </c>
      <c r="E75" s="55">
        <v>358.51630150437143</v>
      </c>
      <c r="F75" s="55">
        <v>359.27349398634817</v>
      </c>
      <c r="G75" s="56">
        <v>360.03068646832492</v>
      </c>
      <c r="H75" s="55">
        <v>360.78787895030155</v>
      </c>
      <c r="I75" s="55">
        <v>361.54507143227829</v>
      </c>
      <c r="J75" s="55">
        <v>362.30226391425492</v>
      </c>
      <c r="M75" s="86"/>
      <c r="N75" s="54">
        <v>0.11</v>
      </c>
      <c r="O75" s="55">
        <v>346.40122179274454</v>
      </c>
      <c r="P75" s="55">
        <v>351.64548083458305</v>
      </c>
      <c r="Q75" s="55">
        <v>355.84088806805391</v>
      </c>
      <c r="R75" s="56">
        <v>359.27349398634817</v>
      </c>
      <c r="S75" s="55">
        <v>362.13399891826015</v>
      </c>
      <c r="T75" s="55">
        <v>364.55442616833943</v>
      </c>
      <c r="U75" s="55">
        <v>366.6290780969789</v>
      </c>
    </row>
    <row r="76" spans="1:22" x14ac:dyDescent="0.2">
      <c r="B76" s="87"/>
      <c r="C76" s="54">
        <v>0.12</v>
      </c>
      <c r="D76" s="55">
        <v>322.33394079348074</v>
      </c>
      <c r="E76" s="55">
        <v>322.35499730821994</v>
      </c>
      <c r="F76" s="55">
        <v>322.30867297579368</v>
      </c>
      <c r="G76" s="56">
        <v>322.18432871507031</v>
      </c>
      <c r="H76" s="55">
        <v>321.96896120466715</v>
      </c>
      <c r="I76" s="55">
        <v>321.64650751817004</v>
      </c>
      <c r="J76" s="55">
        <v>321.19688899756147</v>
      </c>
      <c r="M76" s="87"/>
      <c r="N76" s="54">
        <v>0.12</v>
      </c>
      <c r="O76" s="55">
        <v>311.67723868394859</v>
      </c>
      <c r="P76" s="55">
        <v>316.00856376581135</v>
      </c>
      <c r="Q76" s="55">
        <v>319.47362383130167</v>
      </c>
      <c r="R76" s="56">
        <v>322.30867297579368</v>
      </c>
      <c r="S76" s="55">
        <v>324.67121392953703</v>
      </c>
      <c r="T76" s="55">
        <v>326.67028704424291</v>
      </c>
      <c r="U76" s="55">
        <v>328.3837782854194</v>
      </c>
    </row>
  </sheetData>
  <mergeCells count="4">
    <mergeCell ref="C68:J68"/>
    <mergeCell ref="N68:U68"/>
    <mergeCell ref="B69:B76"/>
    <mergeCell ref="M69:M76"/>
  </mergeCells>
  <conditionalFormatting sqref="D70:J76">
    <cfRule type="cellIs" dxfId="3" priority="3" operator="lessThan">
      <formula>$J$3</formula>
    </cfRule>
    <cfRule type="cellIs" dxfId="2" priority="4" operator="greaterThan">
      <formula>$J$3</formula>
    </cfRule>
  </conditionalFormatting>
  <conditionalFormatting sqref="O70:U76">
    <cfRule type="cellIs" dxfId="1" priority="1" operator="lessThan">
      <formula>$J$3</formula>
    </cfRule>
    <cfRule type="cellIs" dxfId="0" priority="2" operator="greaterThan">
      <formula>$J$3</formula>
    </cfRule>
  </conditionalFormatting>
  <dataValidations count="1">
    <dataValidation type="list" allowBlank="1" showInputMessage="1" showErrorMessage="1" sqref="E11:E15" xr:uid="{4250AEE4-A10A-4128-834C-29643EEFCA3D}">
      <formula1>"1,2,3"</formula1>
    </dataValidation>
  </dataValidations>
  <hyperlinks>
    <hyperlink ref="A1" location="Main!A1" display="Main" xr:uid="{22FC0707-AEF9-4A16-B61B-A6D65A89932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Quarters</vt:lpstr>
      <vt:lpstr>Model</vt:lpstr>
      <vt:lpstr>Ratios</vt:lpstr>
      <vt:lpstr>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2024-06-15T14:59:41Z</dcterms:created>
  <dcterms:modified xsi:type="dcterms:W3CDTF">2026-07-28T10:32:04Z</dcterms:modified>
</cp:coreProperties>
</file>