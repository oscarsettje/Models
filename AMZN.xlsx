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820FBDD-20CD-4A72-9B49-C1F8526740C8}" xr6:coauthVersionLast="47" xr6:coauthVersionMax="47" xr10:uidLastSave="{00000000-0000-0000-0000-000000000000}"/>
  <bookViews>
    <workbookView xWindow="19095" yWindow="0" windowWidth="19410" windowHeight="20985" activeTab="1" xr2:uid="{479CF3AA-260E-4E31-88AC-4C0599CDC74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/>
  <c r="P29" i="2"/>
  <c r="P28" i="2"/>
  <c r="P8" i="2"/>
  <c r="P10" i="2" s="1"/>
  <c r="I6" i="1"/>
  <c r="O34" i="2"/>
  <c r="O33" i="2"/>
  <c r="O32" i="2"/>
  <c r="O31" i="2"/>
  <c r="O30" i="2"/>
  <c r="O29" i="2"/>
  <c r="O28" i="2"/>
  <c r="O25" i="2"/>
  <c r="O23" i="2"/>
  <c r="O20" i="2"/>
  <c r="O16" i="2"/>
  <c r="O10" i="2"/>
  <c r="O8" i="2"/>
  <c r="AA10" i="2"/>
  <c r="AA16" i="2" s="1"/>
  <c r="AA20" i="2" s="1"/>
  <c r="AA23" i="2" s="1"/>
  <c r="AA25" i="2" s="1"/>
  <c r="N8" i="2"/>
  <c r="M30" i="2"/>
  <c r="M29" i="2"/>
  <c r="M28" i="2"/>
  <c r="M8" i="2"/>
  <c r="L30" i="2"/>
  <c r="L29" i="2"/>
  <c r="L28" i="2"/>
  <c r="L8" i="2"/>
  <c r="K28" i="2"/>
  <c r="I28" i="2"/>
  <c r="H28" i="2"/>
  <c r="G28" i="2"/>
  <c r="K30" i="2"/>
  <c r="K29" i="2"/>
  <c r="K8" i="2"/>
  <c r="K10" i="2" s="1"/>
  <c r="K16" i="2" s="1"/>
  <c r="K20" i="2" s="1"/>
  <c r="K23" i="2" s="1"/>
  <c r="K25" i="2" s="1"/>
  <c r="J22" i="2"/>
  <c r="J19" i="2"/>
  <c r="J18" i="2"/>
  <c r="J17" i="2"/>
  <c r="J15" i="2"/>
  <c r="J14" i="2"/>
  <c r="J13" i="2"/>
  <c r="J12" i="2"/>
  <c r="J11" i="2"/>
  <c r="J9" i="2"/>
  <c r="F22" i="2"/>
  <c r="F19" i="2"/>
  <c r="F18" i="2"/>
  <c r="F17" i="2"/>
  <c r="F15" i="2"/>
  <c r="F14" i="2"/>
  <c r="F13" i="2"/>
  <c r="F12" i="2"/>
  <c r="F11" i="2"/>
  <c r="F9" i="2"/>
  <c r="V16" i="2"/>
  <c r="V20" i="2" s="1"/>
  <c r="V23" i="2" s="1"/>
  <c r="V25" i="2" s="1"/>
  <c r="U16" i="2"/>
  <c r="U20" i="2" s="1"/>
  <c r="U23" i="2" s="1"/>
  <c r="U25" i="2" s="1"/>
  <c r="T16" i="2"/>
  <c r="T20" i="2" s="1"/>
  <c r="T23" i="2" s="1"/>
  <c r="W10" i="2"/>
  <c r="W16" i="2" s="1"/>
  <c r="W20" i="2" s="1"/>
  <c r="W23" i="2" s="1"/>
  <c r="W25" i="2" s="1"/>
  <c r="Y10" i="2"/>
  <c r="Y16" i="2" s="1"/>
  <c r="Y20" i="2" s="1"/>
  <c r="Y23" i="2" s="1"/>
  <c r="Y25" i="2" s="1"/>
  <c r="Z10" i="2"/>
  <c r="Z16" i="2" s="1"/>
  <c r="Z20" i="2" s="1"/>
  <c r="Z23" i="2" s="1"/>
  <c r="Z25" i="2" s="1"/>
  <c r="X8" i="2"/>
  <c r="X10" i="2" s="1"/>
  <c r="X16" i="2" s="1"/>
  <c r="X20" i="2" s="1"/>
  <c r="X23" i="2" s="1"/>
  <c r="X25" i="2" s="1"/>
  <c r="F7" i="2"/>
  <c r="F6" i="2"/>
  <c r="J7" i="2"/>
  <c r="N30" i="2" s="1"/>
  <c r="J6" i="2"/>
  <c r="N29" i="2" s="1"/>
  <c r="F5" i="2"/>
  <c r="F4" i="2"/>
  <c r="F3" i="2"/>
  <c r="J5" i="2"/>
  <c r="J4" i="2"/>
  <c r="J3" i="2"/>
  <c r="H30" i="2"/>
  <c r="G30" i="2"/>
  <c r="H29" i="2"/>
  <c r="G29" i="2"/>
  <c r="I30" i="2"/>
  <c r="I29" i="2"/>
  <c r="D21" i="2"/>
  <c r="F21" i="2" s="1"/>
  <c r="H21" i="2"/>
  <c r="J21" i="2" s="1"/>
  <c r="I8" i="2"/>
  <c r="G8" i="2"/>
  <c r="G10" i="2" s="1"/>
  <c r="E8" i="2"/>
  <c r="E10" i="2" s="1"/>
  <c r="D8" i="2"/>
  <c r="D10" i="2" s="1"/>
  <c r="C8" i="2"/>
  <c r="C10" i="2" s="1"/>
  <c r="H8" i="2"/>
  <c r="H31" i="2" s="1"/>
  <c r="I5" i="1"/>
  <c r="P31" i="2" l="1"/>
  <c r="P16" i="2"/>
  <c r="P32" i="2"/>
  <c r="J30" i="2"/>
  <c r="N10" i="2"/>
  <c r="M31" i="2"/>
  <c r="M10" i="2"/>
  <c r="L31" i="2"/>
  <c r="L10" i="2"/>
  <c r="J28" i="2"/>
  <c r="N28" i="2"/>
  <c r="K33" i="2"/>
  <c r="K31" i="2"/>
  <c r="K32" i="2"/>
  <c r="K34" i="2"/>
  <c r="G32" i="2"/>
  <c r="I8" i="1"/>
  <c r="J8" i="2"/>
  <c r="J29" i="2"/>
  <c r="F8" i="2"/>
  <c r="F10" i="2" s="1"/>
  <c r="F32" i="2" s="1"/>
  <c r="G31" i="2"/>
  <c r="I31" i="2"/>
  <c r="H10" i="2"/>
  <c r="H32" i="2" s="1"/>
  <c r="I10" i="2"/>
  <c r="I32" i="2" s="1"/>
  <c r="C32" i="2"/>
  <c r="C16" i="2"/>
  <c r="D32" i="2"/>
  <c r="D16" i="2"/>
  <c r="E32" i="2"/>
  <c r="E16" i="2"/>
  <c r="G16" i="2"/>
  <c r="P33" i="2" l="1"/>
  <c r="P20" i="2"/>
  <c r="N16" i="2"/>
  <c r="N32" i="2"/>
  <c r="M16" i="2"/>
  <c r="M32" i="2"/>
  <c r="L16" i="2"/>
  <c r="L32" i="2"/>
  <c r="J10" i="2"/>
  <c r="N31" i="2"/>
  <c r="J31" i="2"/>
  <c r="H16" i="2"/>
  <c r="H33" i="2" s="1"/>
  <c r="F16" i="2"/>
  <c r="F20" i="2" s="1"/>
  <c r="F23" i="2" s="1"/>
  <c r="I16" i="2"/>
  <c r="I20" i="2" s="1"/>
  <c r="I23" i="2" s="1"/>
  <c r="G20" i="2"/>
  <c r="G23" i="2" s="1"/>
  <c r="G33" i="2"/>
  <c r="J32" i="2"/>
  <c r="J16" i="2"/>
  <c r="E20" i="2"/>
  <c r="E23" i="2" s="1"/>
  <c r="E33" i="2"/>
  <c r="D20" i="2"/>
  <c r="D23" i="2" s="1"/>
  <c r="D33" i="2"/>
  <c r="C33" i="2"/>
  <c r="C20" i="2"/>
  <c r="C23" i="2" s="1"/>
  <c r="P34" i="2" l="1"/>
  <c r="P23" i="2"/>
  <c r="P25" i="2" s="1"/>
  <c r="N20" i="2"/>
  <c r="N33" i="2"/>
  <c r="M20" i="2"/>
  <c r="M33" i="2"/>
  <c r="L20" i="2"/>
  <c r="L33" i="2"/>
  <c r="H20" i="2"/>
  <c r="H23" i="2" s="1"/>
  <c r="H25" i="2" s="1"/>
  <c r="F33" i="2"/>
  <c r="I33" i="2"/>
  <c r="E34" i="2"/>
  <c r="E25" i="2"/>
  <c r="F34" i="2"/>
  <c r="F25" i="2"/>
  <c r="J20" i="2"/>
  <c r="J23" i="2" s="1"/>
  <c r="J33" i="2"/>
  <c r="G34" i="2"/>
  <c r="G25" i="2"/>
  <c r="I34" i="2"/>
  <c r="I25" i="2"/>
  <c r="C25" i="2"/>
  <c r="C34" i="2"/>
  <c r="D34" i="2"/>
  <c r="D25" i="2"/>
  <c r="N34" i="2" l="1"/>
  <c r="N23" i="2"/>
  <c r="N25" i="2" s="1"/>
  <c r="M23" i="2"/>
  <c r="M25" i="2" s="1"/>
  <c r="M34" i="2"/>
  <c r="L23" i="2"/>
  <c r="L25" i="2" s="1"/>
  <c r="L34" i="2"/>
  <c r="H34" i="2"/>
  <c r="J34" i="2"/>
  <c r="J25" i="2"/>
</calcChain>
</file>

<file path=xl/sharedStrings.xml><?xml version="1.0" encoding="utf-8"?>
<sst xmlns="http://schemas.openxmlformats.org/spreadsheetml/2006/main" count="78" uniqueCount="73">
  <si>
    <t>Amazon</t>
  </si>
  <si>
    <t>numbers in mio USD</t>
  </si>
  <si>
    <t>Businessmodel</t>
  </si>
  <si>
    <t>x</t>
  </si>
  <si>
    <t>Price</t>
  </si>
  <si>
    <t>Shares</t>
  </si>
  <si>
    <t>MC</t>
  </si>
  <si>
    <t>Cash</t>
  </si>
  <si>
    <t>Debt</t>
  </si>
  <si>
    <t>EV</t>
  </si>
  <si>
    <t>Q224</t>
  </si>
  <si>
    <t>Main</t>
  </si>
  <si>
    <t>Q123</t>
  </si>
  <si>
    <t>Q223</t>
  </si>
  <si>
    <t>Q323</t>
  </si>
  <si>
    <t>Q423</t>
  </si>
  <si>
    <t>Q124</t>
  </si>
  <si>
    <t>Q324</t>
  </si>
  <si>
    <t>Q424</t>
  </si>
  <si>
    <t>Revenue</t>
  </si>
  <si>
    <t>Products</t>
  </si>
  <si>
    <t>Services</t>
  </si>
  <si>
    <t>COGS</t>
  </si>
  <si>
    <t>Gross Profit</t>
  </si>
  <si>
    <t>Fulfilment</t>
  </si>
  <si>
    <t>R&amp;D</t>
  </si>
  <si>
    <t>GA</t>
  </si>
  <si>
    <t>SM</t>
  </si>
  <si>
    <t>Operating Income</t>
  </si>
  <si>
    <t>Other expenses</t>
  </si>
  <si>
    <t>Interest Expense</t>
  </si>
  <si>
    <t>Interest Income</t>
  </si>
  <si>
    <t>Pretax Income</t>
  </si>
  <si>
    <t>Tax Expense</t>
  </si>
  <si>
    <t>Net Income</t>
  </si>
  <si>
    <t>EPS</t>
  </si>
  <si>
    <t>Revenue Growth</t>
  </si>
  <si>
    <t>Operating Margin</t>
  </si>
  <si>
    <t>Gross Margin</t>
  </si>
  <si>
    <t>Tax Rate</t>
  </si>
  <si>
    <t>IR</t>
  </si>
  <si>
    <t>Equity Investments</t>
  </si>
  <si>
    <t>Product Growth</t>
  </si>
  <si>
    <t>Service Growth</t>
  </si>
  <si>
    <t>North America</t>
  </si>
  <si>
    <t xml:space="preserve">International </t>
  </si>
  <si>
    <t>AWS</t>
  </si>
  <si>
    <t>FY18</t>
  </si>
  <si>
    <t>FY19</t>
  </si>
  <si>
    <t>FY20</t>
  </si>
  <si>
    <t>FY21</t>
  </si>
  <si>
    <t>FY22</t>
  </si>
  <si>
    <t>FY23</t>
  </si>
  <si>
    <t>FY24</t>
  </si>
  <si>
    <t>Employees</t>
  </si>
  <si>
    <t>Management</t>
  </si>
  <si>
    <t>CEO:</t>
  </si>
  <si>
    <t>CEO Web Services:</t>
  </si>
  <si>
    <t>Mathhew S. Garman</t>
  </si>
  <si>
    <t>CEO Stores:</t>
  </si>
  <si>
    <t>Andrew R Jassy</t>
  </si>
  <si>
    <t>Douglas J. Herrington</t>
  </si>
  <si>
    <t>Founded: 1994 by Jeff Bezos</t>
  </si>
  <si>
    <t>Q125</t>
  </si>
  <si>
    <t>Q225</t>
  </si>
  <si>
    <t>Q325</t>
  </si>
  <si>
    <t>Q425</t>
  </si>
  <si>
    <t>AWS Growth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</si>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</sst>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4" fillId="0" borderId="0" xfId="0" applyFont="1"/>
    <xf numFmtId="0" fontId="8" fillId="0" borderId="0" xfId="1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4" fontId="7" fillId="0" borderId="0" xfId="0" applyNumberFormat="1" applyFont="1"/>
    <xf numFmtId="165" fontId="4" fillId="0" borderId="0" xfId="0" applyNumberFormat="1" applyFont="1"/>
    <xf numFmtId="9" fontId="4" fillId="0" borderId="0" xfId="2" applyFont="1"/>
    <xf numFmtId="9" fontId="7" fillId="0" borderId="0" xfId="2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.aboutamazon.com/overview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4186-A05E-45BD-BBFF-EE190D3291BA}">
  <dimension ref="A1:J15"/>
  <sheetViews>
    <sheetView topLeftCell="C1" zoomScale="200" zoomScaleNormal="200" workbookViewId="0">
      <selection activeCell="I8" sqref="I8"/>
    </sheetView>
  </sheetViews>
  <sheetFormatPr defaultRowHeight="12.75" x14ac:dyDescent="0.2"/>
  <cols>
    <col min="1" max="1" width="4.42578125" style="2" customWidth="1"/>
    <col min="2" max="8" width="9.140625" style="2"/>
    <col min="9" max="9" width="10.140625" style="2" bestFit="1" customWidth="1"/>
    <col min="10" max="16384" width="9.140625" style="2"/>
  </cols>
  <sheetData>
    <row r="1" spans="1:10" x14ac:dyDescent="0.2">
      <c r="A1" s="1" t="s">
        <v>0</v>
      </c>
    </row>
    <row r="2" spans="1:10" x14ac:dyDescent="0.2">
      <c r="A2" s="2" t="s">
        <v>1</v>
      </c>
    </row>
    <row r="3" spans="1:10" x14ac:dyDescent="0.2">
      <c r="H3" s="2" t="s">
        <v>4</v>
      </c>
      <c r="I3" s="2">
        <v>261.29000000000002</v>
      </c>
    </row>
    <row r="4" spans="1:10" x14ac:dyDescent="0.2">
      <c r="B4" s="3" t="s">
        <v>40</v>
      </c>
      <c r="H4" s="2" t="s">
        <v>5</v>
      </c>
      <c r="I4" s="4">
        <v>10786.313571999999</v>
      </c>
      <c r="J4" s="16" t="s">
        <v>70</v>
      </c>
    </row>
    <row r="5" spans="1:10" x14ac:dyDescent="0.2">
      <c r="H5" s="2" t="s">
        <v>6</v>
      </c>
      <c r="I5" s="4">
        <f>I3*I4</f>
        <v>2818355.8732278799</v>
      </c>
    </row>
    <row r="6" spans="1:10" x14ac:dyDescent="0.2">
      <c r="A6" s="6" t="s">
        <v>3</v>
      </c>
      <c r="B6" s="7" t="s">
        <v>2</v>
      </c>
      <c r="H6" s="2" t="s">
        <v>7</v>
      </c>
      <c r="I6" s="4">
        <f>86810+36219</f>
        <v>123029</v>
      </c>
      <c r="J6" s="16" t="s">
        <v>70</v>
      </c>
    </row>
    <row r="7" spans="1:10" x14ac:dyDescent="0.2">
      <c r="H7" s="2" t="s">
        <v>8</v>
      </c>
      <c r="I7" s="4">
        <v>65648</v>
      </c>
      <c r="J7" s="16" t="s">
        <v>70</v>
      </c>
    </row>
    <row r="8" spans="1:10" x14ac:dyDescent="0.2">
      <c r="H8" s="2" t="s">
        <v>9</v>
      </c>
      <c r="I8" s="4">
        <f>I5-I6+I7</f>
        <v>2760974.8732278799</v>
      </c>
    </row>
    <row r="10" spans="1:10" x14ac:dyDescent="0.2">
      <c r="H10" s="2" t="s">
        <v>54</v>
      </c>
    </row>
    <row r="11" spans="1:10" x14ac:dyDescent="0.2">
      <c r="H11" s="2" t="s">
        <v>62</v>
      </c>
    </row>
    <row r="12" spans="1:10" x14ac:dyDescent="0.2">
      <c r="H12" s="8" t="s">
        <v>55</v>
      </c>
    </row>
    <row r="13" spans="1:10" x14ac:dyDescent="0.2">
      <c r="H13" s="2" t="s">
        <v>56</v>
      </c>
      <c r="J13" s="2" t="s">
        <v>60</v>
      </c>
    </row>
    <row r="14" spans="1:10" x14ac:dyDescent="0.2">
      <c r="H14" s="2" t="s">
        <v>57</v>
      </c>
      <c r="J14" s="2" t="s">
        <v>58</v>
      </c>
    </row>
    <row r="15" spans="1:10" x14ac:dyDescent="0.2">
      <c r="H15" s="2" t="s">
        <v>59</v>
      </c>
      <c r="J15" s="2" t="s">
        <v>61</v>
      </c>
    </row>
  </sheetData>
  <hyperlinks>
    <hyperlink ref="B4" r:id="rId1" xr:uid="{B61FF109-E557-45D6-A64A-C4508A53BE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51AB-88E4-47B4-A48F-9BD557A151E9}">
  <dimension ref="A1:AE484"/>
  <sheetViews>
    <sheetView tabSelected="1" zoomScale="200" zoomScaleNormal="200" workbookViewId="0">
      <pane xSplit="2" ySplit="2" topLeftCell="L12" activePane="bottomRight" state="frozen"/>
      <selection pane="topRight" activeCell="C1" sqref="C1"/>
      <selection pane="bottomLeft" activeCell="A3" sqref="A3"/>
      <selection pane="bottomRight" activeCell="P40" sqref="P40"/>
    </sheetView>
  </sheetViews>
  <sheetFormatPr defaultRowHeight="12.75" x14ac:dyDescent="0.2"/>
  <cols>
    <col min="1" max="1" width="4.7109375" style="2" bestFit="1" customWidth="1"/>
    <col min="2" max="2" width="18.140625" style="2" customWidth="1"/>
    <col min="3" max="16384" width="9.140625" style="2"/>
  </cols>
  <sheetData>
    <row r="1" spans="1:27" x14ac:dyDescent="0.2">
      <c r="A1" s="3" t="s">
        <v>11</v>
      </c>
    </row>
    <row r="2" spans="1:27" x14ac:dyDescent="0.2"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10</v>
      </c>
      <c r="I2" s="5" t="s">
        <v>17</v>
      </c>
      <c r="J2" s="5" t="s">
        <v>18</v>
      </c>
      <c r="K2" s="5" t="s">
        <v>63</v>
      </c>
      <c r="L2" s="5" t="s">
        <v>64</v>
      </c>
      <c r="M2" s="5" t="s">
        <v>65</v>
      </c>
      <c r="N2" s="5" t="s">
        <v>66</v>
      </c>
      <c r="O2" s="15" t="s">
        <v>69</v>
      </c>
      <c r="P2" s="15" t="s">
        <v>70</v>
      </c>
      <c r="Q2" s="15" t="s">
        <v>71</v>
      </c>
      <c r="R2" s="15" t="s">
        <v>72</v>
      </c>
      <c r="T2" s="5" t="s">
        <v>47</v>
      </c>
      <c r="U2" s="5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13" t="s">
        <v>68</v>
      </c>
    </row>
    <row r="3" spans="1:27" x14ac:dyDescent="0.2">
      <c r="B3" s="2" t="s">
        <v>44</v>
      </c>
      <c r="C3" s="4">
        <v>76881</v>
      </c>
      <c r="D3" s="4">
        <v>82546</v>
      </c>
      <c r="E3" s="4">
        <v>87887</v>
      </c>
      <c r="F3" s="4">
        <f>+Z3-SUM(C3:E3)</f>
        <v>140183</v>
      </c>
      <c r="G3" s="4">
        <v>86341</v>
      </c>
      <c r="H3" s="4">
        <v>90033</v>
      </c>
      <c r="I3" s="4">
        <v>95537</v>
      </c>
      <c r="J3" s="4">
        <f>+Z3-SUM(G3:I3)</f>
        <v>115586</v>
      </c>
      <c r="K3" s="4">
        <v>92887</v>
      </c>
      <c r="L3" s="4">
        <v>100068</v>
      </c>
      <c r="M3" s="4">
        <v>106267</v>
      </c>
      <c r="N3" s="4">
        <v>127083</v>
      </c>
      <c r="O3" s="4">
        <v>104143</v>
      </c>
      <c r="P3" s="4">
        <v>116177</v>
      </c>
      <c r="Q3" s="4"/>
      <c r="R3" s="4"/>
      <c r="S3" s="4"/>
      <c r="T3" s="4"/>
      <c r="U3" s="4"/>
      <c r="V3" s="4"/>
      <c r="W3" s="4"/>
      <c r="X3" s="4"/>
      <c r="Y3" s="4">
        <v>352828</v>
      </c>
      <c r="Z3" s="4">
        <v>387497</v>
      </c>
      <c r="AA3" s="4">
        <v>426305</v>
      </c>
    </row>
    <row r="4" spans="1:27" x14ac:dyDescent="0.2">
      <c r="B4" s="2" t="s">
        <v>45</v>
      </c>
      <c r="C4" s="4">
        <v>29123</v>
      </c>
      <c r="D4" s="4">
        <v>29697</v>
      </c>
      <c r="E4" s="4">
        <v>32137</v>
      </c>
      <c r="F4" s="4">
        <f t="shared" ref="F4:F22" si="0">+Z4-SUM(C4:E4)</f>
        <v>51949</v>
      </c>
      <c r="G4" s="4">
        <v>31935</v>
      </c>
      <c r="H4" s="4">
        <v>31663</v>
      </c>
      <c r="I4" s="4">
        <v>35888</v>
      </c>
      <c r="J4" s="4">
        <f t="shared" ref="J4:J22" si="1">+Z4-SUM(G4:I4)</f>
        <v>43420</v>
      </c>
      <c r="K4" s="4">
        <v>33513</v>
      </c>
      <c r="L4" s="4">
        <v>36761</v>
      </c>
      <c r="M4" s="4">
        <v>40896</v>
      </c>
      <c r="N4" s="14">
        <v>50724</v>
      </c>
      <c r="O4" s="14">
        <v>39789</v>
      </c>
      <c r="P4" s="14">
        <v>42197</v>
      </c>
      <c r="Q4" s="14"/>
      <c r="R4" s="14"/>
      <c r="S4" s="4"/>
      <c r="T4" s="4"/>
      <c r="U4" s="4"/>
      <c r="V4" s="4"/>
      <c r="W4" s="4"/>
      <c r="X4" s="4"/>
      <c r="Y4" s="4">
        <v>131200</v>
      </c>
      <c r="Z4" s="4">
        <v>142906</v>
      </c>
      <c r="AA4" s="4">
        <v>161894</v>
      </c>
    </row>
    <row r="5" spans="1:27" x14ac:dyDescent="0.2">
      <c r="B5" s="2" t="s">
        <v>46</v>
      </c>
      <c r="C5" s="4">
        <v>21354</v>
      </c>
      <c r="D5" s="4">
        <v>22140</v>
      </c>
      <c r="E5" s="4">
        <v>23059</v>
      </c>
      <c r="F5" s="4">
        <f t="shared" si="0"/>
        <v>40003</v>
      </c>
      <c r="G5" s="4">
        <v>25037</v>
      </c>
      <c r="H5" s="4">
        <v>26281</v>
      </c>
      <c r="I5" s="4">
        <v>27452</v>
      </c>
      <c r="J5" s="4">
        <f t="shared" si="1"/>
        <v>27786</v>
      </c>
      <c r="K5" s="4">
        <v>29267</v>
      </c>
      <c r="L5" s="4">
        <v>30873</v>
      </c>
      <c r="M5" s="4">
        <v>33006</v>
      </c>
      <c r="N5" s="4">
        <v>35579</v>
      </c>
      <c r="O5" s="4">
        <v>37587</v>
      </c>
      <c r="P5" s="4">
        <v>42232</v>
      </c>
      <c r="Q5" s="4"/>
      <c r="R5" s="4"/>
      <c r="S5" s="4"/>
      <c r="T5" s="4"/>
      <c r="U5" s="4"/>
      <c r="V5" s="4"/>
      <c r="W5" s="4"/>
      <c r="X5" s="4"/>
      <c r="Y5" s="4">
        <v>90757</v>
      </c>
      <c r="Z5" s="4">
        <v>106556</v>
      </c>
      <c r="AA5" s="4">
        <v>128725</v>
      </c>
    </row>
    <row r="6" spans="1:27" x14ac:dyDescent="0.2">
      <c r="B6" s="2" t="s">
        <v>20</v>
      </c>
      <c r="C6" s="4">
        <v>56981</v>
      </c>
      <c r="D6" s="4">
        <v>59032</v>
      </c>
      <c r="E6" s="4">
        <v>63171</v>
      </c>
      <c r="F6" s="4">
        <f t="shared" si="0"/>
        <v>93127</v>
      </c>
      <c r="G6" s="4">
        <v>60915</v>
      </c>
      <c r="H6" s="4">
        <v>61569</v>
      </c>
      <c r="I6" s="4">
        <v>67601</v>
      </c>
      <c r="J6" s="4">
        <f t="shared" si="1"/>
        <v>82226</v>
      </c>
      <c r="K6" s="4">
        <v>63970</v>
      </c>
      <c r="L6" s="4">
        <v>68246</v>
      </c>
      <c r="M6" s="4">
        <v>74058</v>
      </c>
      <c r="N6" s="4">
        <v>89992</v>
      </c>
      <c r="O6" s="4">
        <v>71304</v>
      </c>
      <c r="P6" s="4">
        <v>77602</v>
      </c>
      <c r="Q6" s="4"/>
      <c r="R6" s="4"/>
      <c r="S6" s="4"/>
      <c r="T6" s="4"/>
      <c r="U6" s="4"/>
      <c r="V6" s="4"/>
      <c r="W6" s="4"/>
      <c r="X6" s="4">
        <v>242901</v>
      </c>
      <c r="Y6" s="4">
        <v>255887</v>
      </c>
      <c r="Z6" s="4">
        <v>272311</v>
      </c>
      <c r="AA6" s="4">
        <v>296266</v>
      </c>
    </row>
    <row r="7" spans="1:27" x14ac:dyDescent="0.2">
      <c r="B7" s="2" t="s">
        <v>21</v>
      </c>
      <c r="C7" s="4">
        <v>70377</v>
      </c>
      <c r="D7" s="4">
        <v>75351</v>
      </c>
      <c r="E7" s="4">
        <v>79912</v>
      </c>
      <c r="F7" s="4">
        <f t="shared" si="0"/>
        <v>140008</v>
      </c>
      <c r="G7" s="4">
        <v>82398</v>
      </c>
      <c r="H7" s="4">
        <v>86408</v>
      </c>
      <c r="I7" s="4">
        <v>91276</v>
      </c>
      <c r="J7" s="4">
        <f t="shared" si="1"/>
        <v>105566</v>
      </c>
      <c r="K7" s="4">
        <v>91697</v>
      </c>
      <c r="L7" s="4">
        <v>99456</v>
      </c>
      <c r="M7" s="4">
        <v>106111</v>
      </c>
      <c r="N7" s="4">
        <v>123394</v>
      </c>
      <c r="O7" s="4">
        <v>110215</v>
      </c>
      <c r="P7" s="4">
        <v>123004</v>
      </c>
      <c r="Q7" s="4"/>
      <c r="R7" s="4"/>
      <c r="S7" s="4"/>
      <c r="T7" s="4"/>
      <c r="U7" s="4"/>
      <c r="V7" s="4"/>
      <c r="W7" s="4"/>
      <c r="X7" s="4">
        <v>271082</v>
      </c>
      <c r="Y7" s="4">
        <v>318898</v>
      </c>
      <c r="Z7" s="4">
        <v>365648</v>
      </c>
      <c r="AA7" s="4">
        <v>420658</v>
      </c>
    </row>
    <row r="8" spans="1:27" x14ac:dyDescent="0.2">
      <c r="B8" s="1" t="s">
        <v>19</v>
      </c>
      <c r="C8" s="9">
        <f t="shared" ref="C8:F8" si="2">SUM(C6:C7)</f>
        <v>127358</v>
      </c>
      <c r="D8" s="9">
        <f t="shared" si="2"/>
        <v>134383</v>
      </c>
      <c r="E8" s="9">
        <f t="shared" si="2"/>
        <v>143083</v>
      </c>
      <c r="F8" s="9">
        <f t="shared" si="2"/>
        <v>233135</v>
      </c>
      <c r="G8" s="9">
        <f>SUM(G6:G7)</f>
        <v>143313</v>
      </c>
      <c r="H8" s="9">
        <f>SUM(H6:H7)</f>
        <v>147977</v>
      </c>
      <c r="I8" s="9">
        <f t="shared" ref="I8:P8" si="3">SUM(I6:I7)</f>
        <v>158877</v>
      </c>
      <c r="J8" s="9">
        <f t="shared" si="3"/>
        <v>187792</v>
      </c>
      <c r="K8" s="9">
        <f t="shared" si="3"/>
        <v>155667</v>
      </c>
      <c r="L8" s="9">
        <f t="shared" si="3"/>
        <v>167702</v>
      </c>
      <c r="M8" s="9">
        <f t="shared" si="3"/>
        <v>180169</v>
      </c>
      <c r="N8" s="9">
        <f t="shared" si="3"/>
        <v>213386</v>
      </c>
      <c r="O8" s="9">
        <f t="shared" si="3"/>
        <v>181519</v>
      </c>
      <c r="P8" s="9">
        <f t="shared" si="3"/>
        <v>200606</v>
      </c>
      <c r="Q8" s="9"/>
      <c r="R8" s="9"/>
      <c r="S8" s="4"/>
      <c r="T8" s="4"/>
      <c r="U8" s="4"/>
      <c r="V8" s="9"/>
      <c r="W8" s="9"/>
      <c r="X8" s="9">
        <f>+X6+X7</f>
        <v>513983</v>
      </c>
      <c r="Y8" s="9">
        <v>574785</v>
      </c>
      <c r="Z8" s="9">
        <v>637959</v>
      </c>
      <c r="AA8" s="9">
        <v>716924</v>
      </c>
    </row>
    <row r="9" spans="1:27" x14ac:dyDescent="0.2">
      <c r="B9" s="2" t="s">
        <v>22</v>
      </c>
      <c r="C9" s="4">
        <v>67791</v>
      </c>
      <c r="D9" s="4">
        <v>69373</v>
      </c>
      <c r="E9" s="4">
        <v>75022</v>
      </c>
      <c r="F9" s="4">
        <f t="shared" si="0"/>
        <v>114102</v>
      </c>
      <c r="G9" s="4">
        <v>72633</v>
      </c>
      <c r="H9" s="4">
        <v>73785</v>
      </c>
      <c r="I9" s="4">
        <v>80977</v>
      </c>
      <c r="J9" s="4">
        <f t="shared" si="1"/>
        <v>98893</v>
      </c>
      <c r="K9" s="4">
        <v>76976</v>
      </c>
      <c r="L9" s="4">
        <v>80809</v>
      </c>
      <c r="M9" s="4">
        <v>88670</v>
      </c>
      <c r="N9" s="4">
        <v>109959</v>
      </c>
      <c r="O9" s="4">
        <v>87463</v>
      </c>
      <c r="P9" s="4">
        <v>95778</v>
      </c>
      <c r="Q9" s="4"/>
      <c r="R9" s="4"/>
      <c r="S9" s="4"/>
      <c r="T9" s="4"/>
      <c r="U9" s="4"/>
      <c r="V9" s="4"/>
      <c r="W9" s="4"/>
      <c r="X9" s="4">
        <v>288831</v>
      </c>
      <c r="Y9" s="4">
        <v>304739</v>
      </c>
      <c r="Z9" s="4">
        <v>326288</v>
      </c>
      <c r="AA9" s="4">
        <v>356414</v>
      </c>
    </row>
    <row r="10" spans="1:27" x14ac:dyDescent="0.2">
      <c r="B10" s="2" t="s">
        <v>23</v>
      </c>
      <c r="C10" s="4">
        <f t="shared" ref="C10" si="4">C8-C9</f>
        <v>59567</v>
      </c>
      <c r="D10" s="4">
        <f>D8-D9</f>
        <v>65010</v>
      </c>
      <c r="E10" s="4">
        <f t="shared" ref="E10:J10" si="5">E8-E9</f>
        <v>68061</v>
      </c>
      <c r="F10" s="4">
        <f t="shared" si="5"/>
        <v>119033</v>
      </c>
      <c r="G10" s="4">
        <f t="shared" si="5"/>
        <v>70680</v>
      </c>
      <c r="H10" s="4">
        <f t="shared" si="5"/>
        <v>74192</v>
      </c>
      <c r="I10" s="4">
        <f t="shared" si="5"/>
        <v>77900</v>
      </c>
      <c r="J10" s="4">
        <f t="shared" si="5"/>
        <v>88899</v>
      </c>
      <c r="K10" s="4">
        <f>K8-K9</f>
        <v>78691</v>
      </c>
      <c r="L10" s="4">
        <f>L8-L9</f>
        <v>86893</v>
      </c>
      <c r="M10" s="4">
        <f>M8-M9</f>
        <v>91499</v>
      </c>
      <c r="N10" s="4">
        <f>N8-N9</f>
        <v>103427</v>
      </c>
      <c r="O10" s="4">
        <f>O8-O9</f>
        <v>94056</v>
      </c>
      <c r="P10" s="4">
        <f>P8-P9</f>
        <v>104828</v>
      </c>
      <c r="Q10" s="4"/>
      <c r="R10" s="4"/>
      <c r="S10" s="4"/>
      <c r="T10" s="4"/>
      <c r="U10" s="4"/>
      <c r="V10" s="4"/>
      <c r="W10" s="4">
        <f t="shared" ref="W10:Y10" si="6">+W8-W9</f>
        <v>0</v>
      </c>
      <c r="X10" s="4">
        <f t="shared" si="6"/>
        <v>225152</v>
      </c>
      <c r="Y10" s="4">
        <f t="shared" si="6"/>
        <v>270046</v>
      </c>
      <c r="Z10" s="4">
        <f>+Z8-Z9</f>
        <v>311671</v>
      </c>
      <c r="AA10" s="4">
        <f>+AA8-AA9</f>
        <v>360510</v>
      </c>
    </row>
    <row r="11" spans="1:27" x14ac:dyDescent="0.2">
      <c r="B11" s="2" t="s">
        <v>24</v>
      </c>
      <c r="C11" s="4">
        <v>20905</v>
      </c>
      <c r="D11" s="4">
        <v>21305</v>
      </c>
      <c r="E11" s="4">
        <v>22314</v>
      </c>
      <c r="F11" s="4">
        <f t="shared" si="0"/>
        <v>33981</v>
      </c>
      <c r="G11" s="4">
        <v>22317</v>
      </c>
      <c r="H11" s="4">
        <v>23566</v>
      </c>
      <c r="I11" s="4">
        <v>24660</v>
      </c>
      <c r="J11" s="4">
        <f t="shared" si="1"/>
        <v>27962</v>
      </c>
      <c r="K11" s="4">
        <v>24593</v>
      </c>
      <c r="L11" s="4">
        <v>25976</v>
      </c>
      <c r="M11" s="4">
        <v>27679</v>
      </c>
      <c r="N11" s="4">
        <v>30826</v>
      </c>
      <c r="O11" s="4">
        <v>27289</v>
      </c>
      <c r="P11" s="4">
        <v>29633</v>
      </c>
      <c r="Q11" s="4"/>
      <c r="R11" s="4"/>
      <c r="S11" s="4"/>
      <c r="T11" s="4"/>
      <c r="U11" s="4"/>
      <c r="V11" s="4"/>
      <c r="W11" s="4"/>
      <c r="X11" s="4">
        <v>84299</v>
      </c>
      <c r="Y11" s="4">
        <v>90619</v>
      </c>
      <c r="Z11" s="4">
        <v>98505</v>
      </c>
      <c r="AA11" s="4">
        <v>109074</v>
      </c>
    </row>
    <row r="12" spans="1:27" x14ac:dyDescent="0.2">
      <c r="B12" s="2" t="s">
        <v>25</v>
      </c>
      <c r="C12" s="4">
        <v>20450</v>
      </c>
      <c r="D12" s="4">
        <v>21931</v>
      </c>
      <c r="E12" s="4">
        <v>21203</v>
      </c>
      <c r="F12" s="4">
        <f t="shared" si="0"/>
        <v>24960</v>
      </c>
      <c r="G12" s="4">
        <v>20424</v>
      </c>
      <c r="H12" s="4">
        <v>22304</v>
      </c>
      <c r="I12" s="4">
        <v>22245</v>
      </c>
      <c r="J12" s="4">
        <f t="shared" si="1"/>
        <v>23571</v>
      </c>
      <c r="K12" s="4">
        <v>22994</v>
      </c>
      <c r="L12" s="4">
        <v>27166</v>
      </c>
      <c r="M12" s="4">
        <v>28962</v>
      </c>
      <c r="N12" s="4">
        <v>29399</v>
      </c>
      <c r="O12" s="4">
        <v>29567</v>
      </c>
      <c r="P12" s="4">
        <v>33158</v>
      </c>
      <c r="Q12" s="4"/>
      <c r="R12" s="4"/>
      <c r="S12" s="4"/>
      <c r="T12" s="4"/>
      <c r="U12" s="4"/>
      <c r="V12" s="4"/>
      <c r="W12" s="4"/>
      <c r="X12" s="4">
        <v>73213</v>
      </c>
      <c r="Y12" s="4">
        <v>85622</v>
      </c>
      <c r="Z12" s="4">
        <v>88544</v>
      </c>
      <c r="AA12" s="4">
        <v>108521</v>
      </c>
    </row>
    <row r="13" spans="1:27" x14ac:dyDescent="0.2">
      <c r="B13" s="2" t="s">
        <v>27</v>
      </c>
      <c r="C13" s="4">
        <v>10172</v>
      </c>
      <c r="D13" s="4">
        <v>10745</v>
      </c>
      <c r="E13" s="4">
        <v>10551</v>
      </c>
      <c r="F13" s="4">
        <f t="shared" si="0"/>
        <v>12439</v>
      </c>
      <c r="G13" s="4">
        <v>9662</v>
      </c>
      <c r="H13" s="4">
        <v>10512</v>
      </c>
      <c r="I13" s="4">
        <v>10609</v>
      </c>
      <c r="J13" s="4">
        <f t="shared" si="1"/>
        <v>13124</v>
      </c>
      <c r="K13" s="4">
        <v>9763</v>
      </c>
      <c r="L13" s="4">
        <v>11416</v>
      </c>
      <c r="M13" s="4">
        <v>11686</v>
      </c>
      <c r="N13" s="4">
        <v>14264</v>
      </c>
      <c r="O13" s="4">
        <v>10314</v>
      </c>
      <c r="P13" s="4">
        <v>11698</v>
      </c>
      <c r="Q13" s="4"/>
      <c r="R13" s="4"/>
      <c r="S13" s="4"/>
      <c r="T13" s="4"/>
      <c r="U13" s="4"/>
      <c r="V13" s="4"/>
      <c r="W13" s="4"/>
      <c r="X13" s="4">
        <v>42238</v>
      </c>
      <c r="Y13" s="4">
        <v>44370</v>
      </c>
      <c r="Z13" s="4">
        <v>43907</v>
      </c>
      <c r="AA13" s="4">
        <v>47129</v>
      </c>
    </row>
    <row r="14" spans="1:27" x14ac:dyDescent="0.2">
      <c r="B14" s="2" t="s">
        <v>26</v>
      </c>
      <c r="C14" s="4">
        <v>3043</v>
      </c>
      <c r="D14" s="4">
        <v>3202</v>
      </c>
      <c r="E14" s="4">
        <v>2561</v>
      </c>
      <c r="F14" s="4">
        <f t="shared" si="0"/>
        <v>2553</v>
      </c>
      <c r="G14" s="4">
        <v>2742</v>
      </c>
      <c r="H14" s="4">
        <v>3041</v>
      </c>
      <c r="I14" s="4">
        <v>2713</v>
      </c>
      <c r="J14" s="4">
        <f t="shared" si="1"/>
        <v>2863</v>
      </c>
      <c r="K14" s="4">
        <v>2628</v>
      </c>
      <c r="L14" s="4">
        <v>2965</v>
      </c>
      <c r="M14" s="4">
        <v>2875</v>
      </c>
      <c r="N14" s="4">
        <v>2704</v>
      </c>
      <c r="O14" s="4">
        <v>2587</v>
      </c>
      <c r="P14" s="4">
        <v>2788</v>
      </c>
      <c r="Q14" s="4"/>
      <c r="R14" s="4"/>
      <c r="S14" s="4"/>
      <c r="T14" s="4"/>
      <c r="U14" s="4"/>
      <c r="V14" s="4"/>
      <c r="W14" s="4"/>
      <c r="X14" s="4">
        <v>11891</v>
      </c>
      <c r="Y14" s="4">
        <v>11816</v>
      </c>
      <c r="Z14" s="4">
        <v>11359</v>
      </c>
      <c r="AA14" s="4">
        <v>11172</v>
      </c>
    </row>
    <row r="15" spans="1:27" x14ac:dyDescent="0.2">
      <c r="B15" s="2" t="s">
        <v>29</v>
      </c>
      <c r="C15" s="4">
        <v>223</v>
      </c>
      <c r="D15" s="4">
        <v>146</v>
      </c>
      <c r="E15" s="4">
        <v>244</v>
      </c>
      <c r="F15" s="4">
        <f t="shared" si="0"/>
        <v>150</v>
      </c>
      <c r="G15" s="4">
        <v>228</v>
      </c>
      <c r="H15" s="4">
        <v>97</v>
      </c>
      <c r="I15" s="4">
        <v>262</v>
      </c>
      <c r="J15" s="4">
        <f t="shared" si="1"/>
        <v>176</v>
      </c>
      <c r="K15" s="4">
        <v>308</v>
      </c>
      <c r="L15" s="4">
        <v>199</v>
      </c>
      <c r="M15" s="4">
        <v>2875</v>
      </c>
      <c r="N15" s="4">
        <v>1257</v>
      </c>
      <c r="O15" s="4">
        <v>447</v>
      </c>
      <c r="P15" s="4">
        <v>90</v>
      </c>
      <c r="Q15" s="4"/>
      <c r="R15" s="4"/>
      <c r="S15" s="4"/>
      <c r="T15" s="4"/>
      <c r="U15" s="4"/>
      <c r="V15" s="4"/>
      <c r="W15" s="4"/>
      <c r="X15" s="4">
        <v>1263</v>
      </c>
      <c r="Y15" s="4">
        <v>767</v>
      </c>
      <c r="Z15" s="4">
        <v>763</v>
      </c>
      <c r="AA15" s="4">
        <v>4639</v>
      </c>
    </row>
    <row r="16" spans="1:27" x14ac:dyDescent="0.2">
      <c r="B16" s="2" t="s">
        <v>28</v>
      </c>
      <c r="C16" s="4">
        <f t="shared" ref="C16:G16" si="7">C10-SUM(C11:C15)</f>
        <v>4774</v>
      </c>
      <c r="D16" s="4">
        <f t="shared" si="7"/>
        <v>7681</v>
      </c>
      <c r="E16" s="4">
        <f t="shared" si="7"/>
        <v>11188</v>
      </c>
      <c r="F16" s="4">
        <f t="shared" si="7"/>
        <v>44950</v>
      </c>
      <c r="G16" s="4">
        <f t="shared" si="7"/>
        <v>15307</v>
      </c>
      <c r="H16" s="4">
        <f>H10-SUM(H11:H15)</f>
        <v>14672</v>
      </c>
      <c r="I16" s="4">
        <f t="shared" ref="I16:AA16" si="8">I10-SUM(I11:I15)</f>
        <v>17411</v>
      </c>
      <c r="J16" s="4">
        <f t="shared" si="8"/>
        <v>21203</v>
      </c>
      <c r="K16" s="4">
        <f>K10-SUM(K11:K15)</f>
        <v>18405</v>
      </c>
      <c r="L16" s="4">
        <f>L10-SUM(L11:L15)</f>
        <v>19171</v>
      </c>
      <c r="M16" s="4">
        <f>M10-SUM(M11:M15)</f>
        <v>17422</v>
      </c>
      <c r="N16" s="4">
        <f>N10-SUM(N11:N15)</f>
        <v>24977</v>
      </c>
      <c r="O16" s="4">
        <f>O10-SUM(O11:O15)</f>
        <v>23852</v>
      </c>
      <c r="P16" s="4">
        <f>P10-SUM(P11:P15)</f>
        <v>27461</v>
      </c>
      <c r="Q16" s="4"/>
      <c r="R16" s="4"/>
      <c r="S16" s="4"/>
      <c r="T16" s="4">
        <f t="shared" si="8"/>
        <v>0</v>
      </c>
      <c r="U16" s="4">
        <f t="shared" si="8"/>
        <v>0</v>
      </c>
      <c r="V16" s="4">
        <f t="shared" si="8"/>
        <v>0</v>
      </c>
      <c r="W16" s="4">
        <f t="shared" si="8"/>
        <v>0</v>
      </c>
      <c r="X16" s="4">
        <f t="shared" si="8"/>
        <v>12248</v>
      </c>
      <c r="Y16" s="4">
        <f t="shared" si="8"/>
        <v>36852</v>
      </c>
      <c r="Z16" s="4">
        <f t="shared" si="8"/>
        <v>68593</v>
      </c>
      <c r="AA16" s="4">
        <f t="shared" si="8"/>
        <v>79975</v>
      </c>
    </row>
    <row r="17" spans="2:31" x14ac:dyDescent="0.2">
      <c r="B17" s="2" t="s">
        <v>31</v>
      </c>
      <c r="C17" s="4">
        <v>611</v>
      </c>
      <c r="D17" s="4">
        <v>661</v>
      </c>
      <c r="E17" s="4">
        <v>776</v>
      </c>
      <c r="F17" s="4">
        <f t="shared" si="0"/>
        <v>2629</v>
      </c>
      <c r="G17" s="4">
        <v>993</v>
      </c>
      <c r="H17" s="4">
        <v>1180</v>
      </c>
      <c r="I17" s="4">
        <v>1256</v>
      </c>
      <c r="J17" s="4">
        <f t="shared" si="1"/>
        <v>1248</v>
      </c>
      <c r="K17" s="4">
        <v>1066</v>
      </c>
      <c r="L17" s="4">
        <v>1085</v>
      </c>
      <c r="M17" s="4">
        <v>1100</v>
      </c>
      <c r="N17" s="4">
        <v>1130</v>
      </c>
      <c r="O17" s="4">
        <v>1135</v>
      </c>
      <c r="P17" s="4">
        <v>1295</v>
      </c>
      <c r="Q17" s="4"/>
      <c r="R17" s="4"/>
      <c r="S17" s="4"/>
      <c r="T17" s="4"/>
      <c r="U17" s="4"/>
      <c r="V17" s="4"/>
      <c r="W17" s="4"/>
      <c r="X17" s="4">
        <v>989</v>
      </c>
      <c r="Y17" s="4">
        <v>2949</v>
      </c>
      <c r="Z17" s="4">
        <v>4677</v>
      </c>
      <c r="AA17" s="4">
        <v>4381</v>
      </c>
    </row>
    <row r="18" spans="2:31" x14ac:dyDescent="0.2">
      <c r="B18" s="2" t="s">
        <v>30</v>
      </c>
      <c r="C18" s="4">
        <v>823</v>
      </c>
      <c r="D18" s="4">
        <v>840</v>
      </c>
      <c r="E18" s="4">
        <v>806</v>
      </c>
      <c r="F18" s="4">
        <f t="shared" si="0"/>
        <v>-63</v>
      </c>
      <c r="G18" s="4">
        <v>644</v>
      </c>
      <c r="H18" s="4">
        <v>589</v>
      </c>
      <c r="I18" s="4">
        <v>603</v>
      </c>
      <c r="J18" s="4">
        <f t="shared" si="1"/>
        <v>570</v>
      </c>
      <c r="K18" s="4">
        <v>541</v>
      </c>
      <c r="L18" s="4">
        <v>516</v>
      </c>
      <c r="M18" s="4">
        <v>538</v>
      </c>
      <c r="N18" s="4">
        <v>679</v>
      </c>
      <c r="O18" s="4">
        <v>800</v>
      </c>
      <c r="P18" s="4">
        <v>1314</v>
      </c>
      <c r="Q18" s="4"/>
      <c r="R18" s="4"/>
      <c r="S18" s="4"/>
      <c r="T18" s="4"/>
      <c r="U18" s="4"/>
      <c r="V18" s="4"/>
      <c r="W18" s="4"/>
      <c r="X18" s="4">
        <v>2367</v>
      </c>
      <c r="Y18" s="4">
        <v>3182</v>
      </c>
      <c r="Z18" s="4">
        <v>2406</v>
      </c>
      <c r="AA18" s="4">
        <v>2274</v>
      </c>
    </row>
    <row r="19" spans="2:31" x14ac:dyDescent="0.2">
      <c r="B19" s="2" t="s">
        <v>29</v>
      </c>
      <c r="C19" s="4">
        <v>443</v>
      </c>
      <c r="D19" s="4">
        <v>-61</v>
      </c>
      <c r="E19" s="4">
        <v>-1031</v>
      </c>
      <c r="F19" s="4">
        <f t="shared" si="0"/>
        <v>2899</v>
      </c>
      <c r="G19" s="4">
        <v>2673</v>
      </c>
      <c r="H19" s="4">
        <v>18</v>
      </c>
      <c r="I19" s="4">
        <v>27</v>
      </c>
      <c r="J19" s="4">
        <f t="shared" si="1"/>
        <v>-468</v>
      </c>
      <c r="K19" s="4">
        <v>-2749</v>
      </c>
      <c r="L19" s="4">
        <v>-1117</v>
      </c>
      <c r="M19" s="4">
        <v>-10186</v>
      </c>
      <c r="N19" s="4">
        <v>-1177</v>
      </c>
      <c r="O19" s="4">
        <v>-15647</v>
      </c>
      <c r="P19" s="4">
        <v>-53415</v>
      </c>
      <c r="Q19" s="4"/>
      <c r="R19" s="4"/>
      <c r="S19" s="4"/>
      <c r="T19" s="4"/>
      <c r="U19" s="4"/>
      <c r="V19" s="4"/>
      <c r="W19" s="4"/>
      <c r="X19" s="4">
        <v>16806</v>
      </c>
      <c r="Y19" s="4">
        <v>-938</v>
      </c>
      <c r="Z19" s="4">
        <v>2250</v>
      </c>
      <c r="AA19" s="4">
        <v>-15229</v>
      </c>
    </row>
    <row r="20" spans="2:31" x14ac:dyDescent="0.2">
      <c r="B20" s="2" t="s">
        <v>32</v>
      </c>
      <c r="C20" s="4">
        <f t="shared" ref="C20:G20" si="9">C16+C17-C18-C19</f>
        <v>4119</v>
      </c>
      <c r="D20" s="4">
        <f>D16+D17-D18-D19</f>
        <v>7563</v>
      </c>
      <c r="E20" s="4">
        <f t="shared" si="9"/>
        <v>12189</v>
      </c>
      <c r="F20" s="4">
        <f t="shared" si="9"/>
        <v>44743</v>
      </c>
      <c r="G20" s="4">
        <f t="shared" si="9"/>
        <v>12983</v>
      </c>
      <c r="H20" s="4">
        <f>H16+H17-H18-H19</f>
        <v>15245</v>
      </c>
      <c r="I20" s="4">
        <f t="shared" ref="I20:AA20" si="10">I16+I17-I18-I19</f>
        <v>18037</v>
      </c>
      <c r="J20" s="4">
        <f t="shared" si="10"/>
        <v>22349</v>
      </c>
      <c r="K20" s="4">
        <f t="shared" si="10"/>
        <v>21679</v>
      </c>
      <c r="L20" s="4">
        <f t="shared" si="10"/>
        <v>20857</v>
      </c>
      <c r="M20" s="4">
        <f t="shared" si="10"/>
        <v>28170</v>
      </c>
      <c r="N20" s="4">
        <f t="shared" si="10"/>
        <v>26605</v>
      </c>
      <c r="O20" s="4">
        <f t="shared" si="10"/>
        <v>39834</v>
      </c>
      <c r="P20" s="4">
        <f t="shared" si="10"/>
        <v>80857</v>
      </c>
      <c r="Q20" s="4"/>
      <c r="R20" s="4"/>
      <c r="S20" s="4"/>
      <c r="T20" s="4">
        <f t="shared" si="10"/>
        <v>0</v>
      </c>
      <c r="U20" s="4">
        <f t="shared" si="10"/>
        <v>0</v>
      </c>
      <c r="V20" s="4">
        <f t="shared" si="10"/>
        <v>0</v>
      </c>
      <c r="W20" s="4">
        <f t="shared" si="10"/>
        <v>0</v>
      </c>
      <c r="X20" s="4">
        <f t="shared" si="10"/>
        <v>-5936</v>
      </c>
      <c r="Y20" s="4">
        <f t="shared" si="10"/>
        <v>37557</v>
      </c>
      <c r="Z20" s="4">
        <f t="shared" si="10"/>
        <v>68614</v>
      </c>
      <c r="AA20" s="4">
        <f t="shared" si="10"/>
        <v>97311</v>
      </c>
    </row>
    <row r="21" spans="2:31" x14ac:dyDescent="0.2">
      <c r="B21" s="2" t="s">
        <v>33</v>
      </c>
      <c r="C21" s="4">
        <v>948</v>
      </c>
      <c r="D21" s="4">
        <f>804</f>
        <v>804</v>
      </c>
      <c r="E21" s="4">
        <v>2306</v>
      </c>
      <c r="F21" s="4">
        <f t="shared" si="0"/>
        <v>5207</v>
      </c>
      <c r="G21" s="4">
        <v>2467</v>
      </c>
      <c r="H21" s="4">
        <f>1767</f>
        <v>1767</v>
      </c>
      <c r="I21" s="4">
        <v>2706</v>
      </c>
      <c r="J21" s="4">
        <f t="shared" si="1"/>
        <v>2325</v>
      </c>
      <c r="K21" s="4">
        <v>4553</v>
      </c>
      <c r="L21" s="4">
        <v>2678</v>
      </c>
      <c r="M21" s="4">
        <v>6910</v>
      </c>
      <c r="N21" s="4">
        <v>4946</v>
      </c>
      <c r="O21" s="4">
        <v>9560</v>
      </c>
      <c r="P21" s="4">
        <v>18199</v>
      </c>
      <c r="Q21" s="4"/>
      <c r="R21" s="4"/>
      <c r="S21" s="4"/>
      <c r="T21" s="4"/>
      <c r="U21" s="4"/>
      <c r="V21" s="4"/>
      <c r="W21" s="4"/>
      <c r="X21" s="4">
        <v>-3217</v>
      </c>
      <c r="Y21" s="4">
        <v>7120</v>
      </c>
      <c r="Z21" s="4">
        <v>9265</v>
      </c>
      <c r="AA21" s="4">
        <v>19087</v>
      </c>
    </row>
    <row r="22" spans="2:31" x14ac:dyDescent="0.2">
      <c r="B22" s="2" t="s">
        <v>41</v>
      </c>
      <c r="C22" s="4">
        <v>-1</v>
      </c>
      <c r="D22" s="4">
        <v>9</v>
      </c>
      <c r="E22" s="4">
        <v>4</v>
      </c>
      <c r="F22" s="4">
        <f t="shared" si="0"/>
        <v>89</v>
      </c>
      <c r="G22" s="4">
        <v>85</v>
      </c>
      <c r="H22" s="4">
        <v>-7</v>
      </c>
      <c r="I22" s="4">
        <v>3</v>
      </c>
      <c r="J22" s="4">
        <f t="shared" si="1"/>
        <v>20</v>
      </c>
      <c r="K22" s="4">
        <v>-1</v>
      </c>
      <c r="L22" s="4">
        <v>15</v>
      </c>
      <c r="M22" s="4">
        <v>73</v>
      </c>
      <c r="N22" s="4">
        <v>467</v>
      </c>
      <c r="O22" s="4">
        <v>19</v>
      </c>
      <c r="P22" s="4">
        <v>11</v>
      </c>
      <c r="Q22" s="4"/>
      <c r="R22" s="4"/>
      <c r="S22" s="4"/>
      <c r="T22" s="4"/>
      <c r="U22" s="4"/>
      <c r="V22" s="4"/>
      <c r="W22" s="4"/>
      <c r="X22" s="4">
        <v>3</v>
      </c>
      <c r="Y22" s="4">
        <v>12</v>
      </c>
      <c r="Z22" s="4">
        <v>101</v>
      </c>
      <c r="AA22" s="4">
        <v>554</v>
      </c>
    </row>
    <row r="23" spans="2:31" x14ac:dyDescent="0.2">
      <c r="B23" s="2" t="s">
        <v>34</v>
      </c>
      <c r="C23" s="4">
        <f t="shared" ref="C23:H23" si="11">+C20-C21-C22</f>
        <v>3172</v>
      </c>
      <c r="D23" s="4">
        <f t="shared" si="11"/>
        <v>6750</v>
      </c>
      <c r="E23" s="4">
        <f t="shared" si="11"/>
        <v>9879</v>
      </c>
      <c r="F23" s="4">
        <f t="shared" si="11"/>
        <v>39447</v>
      </c>
      <c r="G23" s="4">
        <f t="shared" si="11"/>
        <v>10431</v>
      </c>
      <c r="H23" s="4">
        <f t="shared" si="11"/>
        <v>13485</v>
      </c>
      <c r="I23" s="4">
        <f>+I20-I21-I22</f>
        <v>15328</v>
      </c>
      <c r="J23" s="4">
        <f t="shared" ref="J23:AA23" si="12">+J20-J21-J22</f>
        <v>20004</v>
      </c>
      <c r="K23" s="4">
        <f t="shared" si="12"/>
        <v>17127</v>
      </c>
      <c r="L23" s="4">
        <f t="shared" si="12"/>
        <v>18164</v>
      </c>
      <c r="M23" s="4">
        <f t="shared" si="12"/>
        <v>21187</v>
      </c>
      <c r="N23" s="4">
        <f t="shared" si="12"/>
        <v>21192</v>
      </c>
      <c r="O23" s="4">
        <f t="shared" si="12"/>
        <v>30255</v>
      </c>
      <c r="P23" s="4">
        <f t="shared" si="12"/>
        <v>62647</v>
      </c>
      <c r="Q23" s="4"/>
      <c r="R23" s="4"/>
      <c r="S23" s="4"/>
      <c r="T23" s="4">
        <f t="shared" si="12"/>
        <v>0</v>
      </c>
      <c r="U23" s="4">
        <f t="shared" si="12"/>
        <v>0</v>
      </c>
      <c r="V23" s="4">
        <f t="shared" si="12"/>
        <v>0</v>
      </c>
      <c r="W23" s="4">
        <f t="shared" si="12"/>
        <v>0</v>
      </c>
      <c r="X23" s="4">
        <f t="shared" si="12"/>
        <v>-2722</v>
      </c>
      <c r="Y23" s="4">
        <f t="shared" si="12"/>
        <v>30425</v>
      </c>
      <c r="Z23" s="4">
        <f t="shared" si="12"/>
        <v>59248</v>
      </c>
      <c r="AA23" s="4">
        <f t="shared" si="12"/>
        <v>77670</v>
      </c>
    </row>
    <row r="24" spans="2:31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31" x14ac:dyDescent="0.2">
      <c r="B25" s="2" t="s">
        <v>35</v>
      </c>
      <c r="C25" s="10">
        <f t="shared" ref="C25" si="13">C23/C26</f>
        <v>0.30946341463414634</v>
      </c>
      <c r="D25" s="10">
        <f>D23/D26</f>
        <v>0.65629557608167233</v>
      </c>
      <c r="E25" s="10">
        <f t="shared" ref="E25:I25" si="14">E23/E26</f>
        <v>0.9570819608602984</v>
      </c>
      <c r="F25" s="10">
        <f t="shared" si="14"/>
        <v>3.828319099378882</v>
      </c>
      <c r="G25" s="10">
        <f t="shared" si="14"/>
        <v>1.0036563071297988</v>
      </c>
      <c r="H25" s="10">
        <f t="shared" si="14"/>
        <v>1.2908011869436202</v>
      </c>
      <c r="I25" s="10">
        <f t="shared" si="14"/>
        <v>1.4596705075707075</v>
      </c>
      <c r="J25" s="10">
        <f t="shared" ref="J25:P25" si="15">J23/J26</f>
        <v>1.9100544256659984</v>
      </c>
      <c r="K25" s="10">
        <f t="shared" si="15"/>
        <v>1.6152975572951052</v>
      </c>
      <c r="L25" s="10">
        <f t="shared" si="15"/>
        <v>1.7076243301682805</v>
      </c>
      <c r="M25" s="10">
        <f t="shared" si="15"/>
        <v>1.984916619823871</v>
      </c>
      <c r="N25" s="10">
        <f t="shared" si="15"/>
        <v>1.9788962554860399</v>
      </c>
      <c r="O25" s="10">
        <f t="shared" si="15"/>
        <v>2.8162524434515497</v>
      </c>
      <c r="P25" s="10">
        <f t="shared" si="15"/>
        <v>5.8173460859875572</v>
      </c>
      <c r="Q25" s="10"/>
      <c r="R25" s="10"/>
      <c r="S25" s="4"/>
      <c r="T25" s="4"/>
      <c r="U25" s="10" t="e">
        <f t="shared" ref="U25:Y25" si="16">+U23/U26</f>
        <v>#DIV/0!</v>
      </c>
      <c r="V25" s="10" t="e">
        <f t="shared" si="16"/>
        <v>#DIV/0!</v>
      </c>
      <c r="W25" s="10" t="e">
        <f t="shared" si="16"/>
        <v>#DIV/0!</v>
      </c>
      <c r="X25" s="10">
        <f t="shared" si="16"/>
        <v>-0.2671508489547551</v>
      </c>
      <c r="Y25" s="10">
        <f t="shared" si="16"/>
        <v>2.9527368012422359</v>
      </c>
      <c r="Z25" s="10">
        <f>+Z23/Z26</f>
        <v>5.6572137878353859</v>
      </c>
      <c r="AA25" s="10">
        <f>+AA23/AA26</f>
        <v>7.2888513513513518</v>
      </c>
    </row>
    <row r="26" spans="2:31" x14ac:dyDescent="0.2">
      <c r="B26" s="2" t="s">
        <v>5</v>
      </c>
      <c r="C26" s="4">
        <v>10250</v>
      </c>
      <c r="D26" s="4">
        <v>10285</v>
      </c>
      <c r="E26" s="4">
        <v>10322</v>
      </c>
      <c r="F26" s="4">
        <v>10304</v>
      </c>
      <c r="G26" s="4">
        <v>10393</v>
      </c>
      <c r="H26" s="4">
        <v>10447</v>
      </c>
      <c r="I26" s="4">
        <v>10501</v>
      </c>
      <c r="J26" s="4">
        <v>10473</v>
      </c>
      <c r="K26" s="4">
        <v>10603</v>
      </c>
      <c r="L26" s="4">
        <v>10637</v>
      </c>
      <c r="M26" s="4">
        <v>10674</v>
      </c>
      <c r="N26" s="4">
        <v>10709</v>
      </c>
      <c r="O26" s="4">
        <v>10743</v>
      </c>
      <c r="P26" s="4">
        <v>10769</v>
      </c>
      <c r="Q26" s="4"/>
      <c r="R26" s="4"/>
      <c r="S26" s="4"/>
      <c r="T26" s="4"/>
      <c r="U26" s="4"/>
      <c r="V26" s="4"/>
      <c r="W26" s="4"/>
      <c r="X26" s="4">
        <v>10189</v>
      </c>
      <c r="Y26" s="4">
        <v>10304</v>
      </c>
      <c r="Z26" s="4">
        <v>10473</v>
      </c>
      <c r="AA26" s="4">
        <v>10656</v>
      </c>
      <c r="AB26" s="4"/>
      <c r="AC26" s="4"/>
      <c r="AD26" s="4"/>
      <c r="AE26" s="4"/>
    </row>
    <row r="27" spans="2:31" x14ac:dyDescent="0.2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2:31" x14ac:dyDescent="0.2">
      <c r="B28" s="2" t="s">
        <v>67</v>
      </c>
      <c r="C28" s="4"/>
      <c r="D28" s="4"/>
      <c r="E28" s="4"/>
      <c r="F28" s="4"/>
      <c r="G28" s="11">
        <f>G5/C5-1</f>
        <v>0.17247354125690739</v>
      </c>
      <c r="H28" s="11">
        <f t="shared" ref="H28:P28" si="17">H5/D5-1</f>
        <v>0.18703703703703711</v>
      </c>
      <c r="I28" s="11">
        <f t="shared" si="17"/>
        <v>0.1905112971074201</v>
      </c>
      <c r="J28" s="11">
        <f t="shared" si="17"/>
        <v>-0.30540209484288683</v>
      </c>
      <c r="K28" s="11">
        <f t="shared" si="17"/>
        <v>0.1689499540679793</v>
      </c>
      <c r="L28" s="11">
        <f t="shared" si="17"/>
        <v>0.17472698907956308</v>
      </c>
      <c r="M28" s="11">
        <f t="shared" si="17"/>
        <v>0.20231677109135937</v>
      </c>
      <c r="N28" s="11">
        <f t="shared" si="17"/>
        <v>0.28046498236521988</v>
      </c>
      <c r="O28" s="11">
        <f t="shared" si="17"/>
        <v>0.28427922233231961</v>
      </c>
      <c r="P28" s="11">
        <f t="shared" si="17"/>
        <v>0.36792666731448187</v>
      </c>
      <c r="Q28" s="11"/>
      <c r="R28" s="11"/>
      <c r="S28" s="4"/>
      <c r="T28" s="4"/>
      <c r="U28" s="4"/>
      <c r="V28" s="4"/>
      <c r="W28" s="4"/>
      <c r="X28" s="4"/>
      <c r="Y28" s="4"/>
      <c r="Z28" s="4"/>
    </row>
    <row r="29" spans="2:31" x14ac:dyDescent="0.2">
      <c r="B29" s="2" t="s">
        <v>42</v>
      </c>
      <c r="C29" s="4"/>
      <c r="D29" s="4"/>
      <c r="E29" s="4"/>
      <c r="F29" s="4"/>
      <c r="G29" s="11">
        <f>G6/C6-1</f>
        <v>6.9040557378775347E-2</v>
      </c>
      <c r="H29" s="11">
        <f t="shared" ref="H29:H30" si="18">H6/D6-1</f>
        <v>4.2976690608483636E-2</v>
      </c>
      <c r="I29" s="11">
        <f t="shared" ref="I29:P31" si="19">I6/E6-1</f>
        <v>7.0127115290243847E-2</v>
      </c>
      <c r="J29" s="11">
        <f t="shared" si="19"/>
        <v>-0.11705520418353432</v>
      </c>
      <c r="K29" s="11">
        <f t="shared" si="19"/>
        <v>5.0151850939834208E-2</v>
      </c>
      <c r="L29" s="11">
        <f t="shared" si="19"/>
        <v>0.10844743296139292</v>
      </c>
      <c r="M29" s="11">
        <f t="shared" si="19"/>
        <v>9.5516338515702515E-2</v>
      </c>
      <c r="N29" s="11">
        <f t="shared" si="19"/>
        <v>9.4447011894048138E-2</v>
      </c>
      <c r="O29" s="11">
        <f t="shared" si="19"/>
        <v>0.1146474910114117</v>
      </c>
      <c r="P29" s="11">
        <f t="shared" si="19"/>
        <v>0.13709228379685245</v>
      </c>
      <c r="Q29" s="11"/>
      <c r="R29" s="11"/>
      <c r="S29" s="4"/>
      <c r="T29" s="4"/>
      <c r="U29" s="4"/>
      <c r="V29" s="4"/>
      <c r="W29" s="4"/>
      <c r="X29" s="4"/>
      <c r="Y29" s="4"/>
      <c r="Z29" s="4"/>
    </row>
    <row r="30" spans="2:31" x14ac:dyDescent="0.2">
      <c r="B30" s="2" t="s">
        <v>43</v>
      </c>
      <c r="C30" s="4"/>
      <c r="D30" s="4"/>
      <c r="E30" s="4"/>
      <c r="F30" s="4"/>
      <c r="G30" s="11">
        <f>G7/C7-1</f>
        <v>0.17080864486977276</v>
      </c>
      <c r="H30" s="11">
        <f t="shared" si="18"/>
        <v>0.14673992382317413</v>
      </c>
      <c r="I30" s="11">
        <f t="shared" si="19"/>
        <v>0.14220642706977671</v>
      </c>
      <c r="J30" s="11">
        <f t="shared" si="19"/>
        <v>-0.24600022855836812</v>
      </c>
      <c r="K30" s="11">
        <f t="shared" si="19"/>
        <v>0.11285468093885775</v>
      </c>
      <c r="L30" s="11">
        <f t="shared" si="19"/>
        <v>0.15100453661697988</v>
      </c>
      <c r="M30" s="11">
        <f t="shared" si="19"/>
        <v>0.16252903282352427</v>
      </c>
      <c r="N30" s="11">
        <f t="shared" si="19"/>
        <v>0.168880131860637</v>
      </c>
      <c r="O30" s="11">
        <f t="shared" si="19"/>
        <v>0.20194771911840093</v>
      </c>
      <c r="P30" s="11">
        <f t="shared" si="19"/>
        <v>0.23676801801801806</v>
      </c>
      <c r="Q30" s="11"/>
      <c r="R30" s="11"/>
      <c r="S30" s="4"/>
      <c r="T30" s="4"/>
      <c r="U30" s="4"/>
      <c r="V30" s="4"/>
      <c r="W30" s="4"/>
      <c r="X30" s="4"/>
      <c r="Y30" s="4"/>
      <c r="Z30" s="4"/>
    </row>
    <row r="31" spans="2:31" x14ac:dyDescent="0.2">
      <c r="B31" s="1" t="s">
        <v>36</v>
      </c>
      <c r="C31" s="9"/>
      <c r="D31" s="9"/>
      <c r="E31" s="9"/>
      <c r="F31" s="9"/>
      <c r="G31" s="12">
        <f>G8/C8-1</f>
        <v>0.12527677884388888</v>
      </c>
      <c r="H31" s="12">
        <f>H8/D8-1</f>
        <v>0.10115862869559389</v>
      </c>
      <c r="I31" s="12">
        <f t="shared" si="19"/>
        <v>0.11038348371225104</v>
      </c>
      <c r="J31" s="12">
        <f t="shared" si="19"/>
        <v>-0.19449246144937482</v>
      </c>
      <c r="K31" s="12">
        <f t="shared" si="19"/>
        <v>8.6202926461660834E-2</v>
      </c>
      <c r="L31" s="12">
        <f t="shared" si="19"/>
        <v>0.13329774221669588</v>
      </c>
      <c r="M31" s="12">
        <f t="shared" si="19"/>
        <v>0.13401562214795093</v>
      </c>
      <c r="N31" s="12">
        <f t="shared" si="19"/>
        <v>0.13628908579705201</v>
      </c>
      <c r="O31" s="12">
        <f t="shared" si="19"/>
        <v>0.16607244952366274</v>
      </c>
      <c r="P31" s="12">
        <f t="shared" si="19"/>
        <v>0.19620517346245125</v>
      </c>
      <c r="Q31" s="12"/>
      <c r="R31" s="12"/>
      <c r="S31" s="4"/>
      <c r="T31" s="4"/>
      <c r="U31" s="4"/>
      <c r="V31" s="4"/>
      <c r="W31" s="4"/>
      <c r="X31" s="4"/>
      <c r="Y31" s="4"/>
      <c r="Z31" s="4"/>
    </row>
    <row r="32" spans="2:31" x14ac:dyDescent="0.2">
      <c r="B32" s="2" t="s">
        <v>38</v>
      </c>
      <c r="C32" s="11">
        <f t="shared" ref="C32:G32" si="20">C10/C8</f>
        <v>0.46771306082067871</v>
      </c>
      <c r="D32" s="11">
        <f t="shared" si="20"/>
        <v>0.48376654785203488</v>
      </c>
      <c r="E32" s="11">
        <f t="shared" si="20"/>
        <v>0.47567495789157344</v>
      </c>
      <c r="F32" s="11">
        <f t="shared" si="20"/>
        <v>0.51057541767645354</v>
      </c>
      <c r="G32" s="11">
        <f t="shared" si="20"/>
        <v>0.49318624269954575</v>
      </c>
      <c r="H32" s="11">
        <f>H10/H8</f>
        <v>0.50137521371564497</v>
      </c>
      <c r="I32" s="11">
        <f t="shared" ref="I32:J32" si="21">I10/I8</f>
        <v>0.49031640829069029</v>
      </c>
      <c r="J32" s="11">
        <f t="shared" si="21"/>
        <v>0.47339077276987307</v>
      </c>
      <c r="K32" s="11">
        <f>K10/K8</f>
        <v>0.50550855351487467</v>
      </c>
      <c r="L32" s="11">
        <f>L10/L8</f>
        <v>0.51813931855314788</v>
      </c>
      <c r="M32" s="11">
        <f>M10/M8</f>
        <v>0.50785096215220149</v>
      </c>
      <c r="N32" s="11">
        <f>N10/N8</f>
        <v>0.48469440356911886</v>
      </c>
      <c r="O32" s="11">
        <f>O10/O8</f>
        <v>0.51816063332213158</v>
      </c>
      <c r="P32" s="11">
        <f>P10/P8</f>
        <v>0.52255665334037871</v>
      </c>
      <c r="Q32" s="11"/>
      <c r="R32" s="11"/>
      <c r="S32" s="4"/>
      <c r="T32" s="4"/>
      <c r="U32" s="4"/>
      <c r="V32" s="4"/>
      <c r="W32" s="4"/>
      <c r="X32" s="4"/>
      <c r="Y32" s="4"/>
      <c r="Z32" s="4"/>
    </row>
    <row r="33" spans="2:26" x14ac:dyDescent="0.2">
      <c r="B33" s="2" t="s">
        <v>37</v>
      </c>
      <c r="C33" s="11">
        <f t="shared" ref="C33:G33" si="22">C16/C8</f>
        <v>3.7484885126964934E-2</v>
      </c>
      <c r="D33" s="11">
        <f t="shared" si="22"/>
        <v>5.7157527365812637E-2</v>
      </c>
      <c r="E33" s="11">
        <f t="shared" si="22"/>
        <v>7.8192377850618167E-2</v>
      </c>
      <c r="F33" s="11">
        <f t="shared" si="22"/>
        <v>0.1928067428743003</v>
      </c>
      <c r="G33" s="11">
        <f t="shared" si="22"/>
        <v>0.10680817511321374</v>
      </c>
      <c r="H33" s="11">
        <f>H16/H8</f>
        <v>9.9150543665569649E-2</v>
      </c>
      <c r="I33" s="11">
        <f t="shared" ref="I33:J33" si="23">I16/I8</f>
        <v>0.1095879202150091</v>
      </c>
      <c r="J33" s="11">
        <f t="shared" si="23"/>
        <v>0.1129068330919315</v>
      </c>
      <c r="K33" s="11">
        <f t="shared" ref="K33:L33" si="24">K16/K8</f>
        <v>0.11823315153500742</v>
      </c>
      <c r="L33" s="11">
        <f t="shared" si="24"/>
        <v>0.11431586981669867</v>
      </c>
      <c r="M33" s="11">
        <f t="shared" ref="M33:N33" si="25">M16/M8</f>
        <v>9.6698100117112273E-2</v>
      </c>
      <c r="N33" s="11">
        <f t="shared" si="25"/>
        <v>0.11705079058607407</v>
      </c>
      <c r="O33" s="11">
        <f t="shared" ref="O33:P33" si="26">O16/O8</f>
        <v>0.13140222235688825</v>
      </c>
      <c r="P33" s="11">
        <f t="shared" si="26"/>
        <v>0.1368902226254449</v>
      </c>
      <c r="Q33" s="11"/>
      <c r="R33" s="11"/>
      <c r="S33" s="4"/>
      <c r="T33" s="4"/>
      <c r="U33" s="4"/>
      <c r="V33" s="4"/>
      <c r="W33" s="4"/>
      <c r="X33" s="4"/>
      <c r="Y33" s="4"/>
      <c r="Z33" s="4"/>
    </row>
    <row r="34" spans="2:26" x14ac:dyDescent="0.2">
      <c r="B34" s="2" t="s">
        <v>39</v>
      </c>
      <c r="C34" s="11">
        <f t="shared" ref="C34:G34" si="27">C21/C20</f>
        <v>0.23015294974508377</v>
      </c>
      <c r="D34" s="11">
        <f t="shared" si="27"/>
        <v>0.10630702102340341</v>
      </c>
      <c r="E34" s="11">
        <f t="shared" si="27"/>
        <v>0.18918697185987365</v>
      </c>
      <c r="F34" s="11">
        <f t="shared" si="27"/>
        <v>0.11637574592673715</v>
      </c>
      <c r="G34" s="11">
        <f t="shared" si="27"/>
        <v>0.1900177154740815</v>
      </c>
      <c r="H34" s="11">
        <f>H21/H20</f>
        <v>0.11590685470646113</v>
      </c>
      <c r="I34" s="11">
        <f t="shared" ref="I34:J34" si="28">I21/I20</f>
        <v>0.15002494871652713</v>
      </c>
      <c r="J34" s="11">
        <f t="shared" si="28"/>
        <v>0.10403150029084075</v>
      </c>
      <c r="K34" s="11">
        <f t="shared" ref="K34:L34" si="29">K21/K20</f>
        <v>0.21001891231145348</v>
      </c>
      <c r="L34" s="11">
        <f t="shared" si="29"/>
        <v>0.1283981397132857</v>
      </c>
      <c r="M34" s="11">
        <f t="shared" ref="M34:N34" si="30">M21/M20</f>
        <v>0.2452964146254881</v>
      </c>
      <c r="N34" s="11">
        <f t="shared" si="30"/>
        <v>0.18590490509302762</v>
      </c>
      <c r="O34" s="11">
        <f t="shared" ref="O34:P34" si="31">O21/O20</f>
        <v>0.23999598333082292</v>
      </c>
      <c r="P34" s="11">
        <f t="shared" si="31"/>
        <v>0.22507636939287878</v>
      </c>
      <c r="Q34" s="11"/>
      <c r="R34" s="11"/>
      <c r="S34" s="4"/>
      <c r="T34" s="4"/>
      <c r="U34" s="4"/>
      <c r="V34" s="4"/>
      <c r="W34" s="4"/>
      <c r="X34" s="4"/>
      <c r="Y34" s="4"/>
      <c r="Z34" s="4"/>
    </row>
    <row r="35" spans="2:26" x14ac:dyDescent="0.2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2:26" x14ac:dyDescent="0.2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2:26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2:26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26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26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26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26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26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26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26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26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26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26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3:26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3:26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3:26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3:26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3:26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3:26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3:26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3:26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3:26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3:26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3:26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3:26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3:26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3:26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3:26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3:26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3:26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3:26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3:26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3:26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3:26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3:26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3:26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3:26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3:26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3:26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3:26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3:26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3:26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3:26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3:26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3:26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3:26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3:26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3:26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3:26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3:26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3:26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3:26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3:26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3:26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3:26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3:26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3:26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3:26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3:26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3:26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3:26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3:26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3:26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3:26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3:26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3:26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3:26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3:26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3:26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3:26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3:26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3:26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3:26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3:26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3:26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3:26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3:26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3:26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3:26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3:26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3:26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3:26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3:26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3:26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3:26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3:26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3:26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3:26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3:26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3:26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3:26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3:26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3:26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3:26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3:26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3:26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3:26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3:26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3:26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3:26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3:26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3:26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3:26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3:26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3:26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3:26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3:26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3:26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3:26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3:26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3:26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3:26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3:26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3:26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3:26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3:26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3:26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3:26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3:26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3:26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3:26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3:26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3:26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3:26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3:26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3:26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3:26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3:26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3:26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3:26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3:26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3:26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3:26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3:26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3:26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3:26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3:26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3:26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3:26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3:26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3:26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3:26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3:26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3:26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3:26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3:26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3:26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3:26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3:26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3:26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3:26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3:26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3:26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3:26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3:26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3:26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3:26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3:26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3:26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3:26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3:26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3:26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3:26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3:26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3:26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3:26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3:26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3:26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3:26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3:26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3:26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3:26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3:26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3:26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3:26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3:26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3:26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3:26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3:26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3:26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3:26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3:26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3:26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3:26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3:26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3:26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3:26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3:26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3:26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3:26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3:26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3:26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3:26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3:26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3:26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3:26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3:26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3:26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3:26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3:26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3:26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3:26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3:26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3:26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3:26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3:26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3:26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3:26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3:26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3:26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3:26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3:26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3:26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3:26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3:26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3:26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3:26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3:26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3:26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3:26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3:26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3:26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3:26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3:26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3:26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3:26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3:26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3:26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3:26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3:26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3:26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3:26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3:26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3:26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3:26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3:26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3:26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3:26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3:26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3:26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3:26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3:26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3:26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3:26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3:26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3:26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3:26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3:26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3:26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3:26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3:26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3:26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3:26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3:26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3:26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3:26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3:26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3:26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3:26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3:26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3:26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3:26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3:26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3:26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3:26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3:26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3:26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3:26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3:26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3:26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3:26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3:26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3:26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3:26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3:26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3:26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3:26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3:26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3:26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3:26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3:26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3:26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3:26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3:26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3:26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3:26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3:26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3:26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3:26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3:26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3:26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3:26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3:26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3:26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3:26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3:26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3:26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3:26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3:26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3:26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3:26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3:26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3:26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3:26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3:26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3:26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3:26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3:26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3:26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3:26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3:26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3:26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3:26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3:26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3:26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3:26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3:26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3:26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3:26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3:26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3:26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3:26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3:26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3:26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3:26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3:26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3:26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3:26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3:26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3:26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3:26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3:26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3:26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3:26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3:26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3:26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3:26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3:26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3:26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3:26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3:26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3:26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3:26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3:26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3:26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3:26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3:26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3:26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3:26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3:26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3:26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3:26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3:26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3:26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3:26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3:26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3:26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3:26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3:26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3:26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3:26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3:26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3:26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3:26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3:26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3:26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3:26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3:26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3:26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3:26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3:26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3:26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3:26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3:26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3:26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3:26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3:26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3:26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3:26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3:26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3:26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3:26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3:26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3:26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3:26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3:26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3:26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3:26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3:26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3:26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3:26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3:26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3:26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3:26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3:26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3:26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3:26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3:26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3:26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3:26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3:26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3:26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3:26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3:26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3:26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3:26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3:26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3:26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3:26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3:26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3:26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3:26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3:26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3:26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3:26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3:26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3:26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3:26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3:26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3:26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3:26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3:26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3:26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3:26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3:26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3:26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3:26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3:26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3:26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3:26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3:26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3:26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3:26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3:26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3:26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3:26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3:26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3:26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3:26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3:26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3:26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3:26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3:26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3:26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3:26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3:26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3:26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3:26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3:26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</sheetData>
  <hyperlinks>
    <hyperlink ref="A1" location="Main!A1" display="Main" xr:uid="{33F6241E-2759-4E87-88A2-AB9699C445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2024-10-01T08:35:06Z</dcterms:created>
  <dcterms:modified xsi:type="dcterms:W3CDTF">2026-07-31T11:37:20Z</dcterms:modified>
</cp:coreProperties>
</file>