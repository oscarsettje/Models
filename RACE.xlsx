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847B4EC6-6470-4464-89DE-83BE46580EAF}" xr6:coauthVersionLast="47" xr6:coauthVersionMax="47" xr10:uidLastSave="{00000000-0000-0000-0000-000000000000}"/>
  <bookViews>
    <workbookView xWindow="19095" yWindow="0" windowWidth="19410" windowHeight="20925" activeTab="1" xr2:uid="{175A7000-C55F-4819-AB9F-1BE087EDC274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2" l="1"/>
  <c r="E36" i="2"/>
  <c r="D36" i="2"/>
  <c r="F35" i="2"/>
  <c r="E35" i="2"/>
  <c r="D35" i="2"/>
  <c r="F34" i="2"/>
  <c r="E34" i="2"/>
  <c r="D34" i="2"/>
  <c r="G36" i="2"/>
  <c r="G35" i="2"/>
  <c r="G34" i="2"/>
  <c r="F32" i="2"/>
  <c r="E32" i="2"/>
  <c r="D32" i="2"/>
  <c r="F31" i="2"/>
  <c r="E31" i="2"/>
  <c r="D31" i="2"/>
  <c r="F33" i="2"/>
  <c r="E33" i="2"/>
  <c r="D33" i="2"/>
  <c r="G33" i="2"/>
  <c r="G32" i="2"/>
  <c r="G31" i="2"/>
  <c r="F30" i="2"/>
  <c r="E30" i="2"/>
  <c r="G30" i="2"/>
  <c r="F29" i="2"/>
  <c r="E29" i="2"/>
  <c r="D29" i="2"/>
  <c r="G29" i="2"/>
  <c r="H5" i="1"/>
  <c r="G26" i="2"/>
  <c r="G24" i="2"/>
  <c r="G22" i="2"/>
  <c r="G19" i="2"/>
  <c r="G14" i="2"/>
  <c r="E26" i="2"/>
  <c r="D26" i="2"/>
  <c r="F26" i="2"/>
  <c r="G7" i="2"/>
  <c r="H4" i="1"/>
  <c r="E14" i="2"/>
  <c r="E19" i="2" s="1"/>
  <c r="E22" i="2" s="1"/>
  <c r="E24" i="2" s="1"/>
  <c r="D14" i="2"/>
  <c r="D19" i="2" s="1"/>
  <c r="D22" i="2" s="1"/>
  <c r="D24" i="2" s="1"/>
  <c r="F14" i="2"/>
  <c r="F19" i="2" s="1"/>
  <c r="F22" i="2" s="1"/>
  <c r="F24" i="2" s="1"/>
  <c r="D7" i="2"/>
  <c r="E7" i="2"/>
  <c r="F7" i="2"/>
  <c r="H7" i="1" l="1"/>
</calcChain>
</file>

<file path=xl/sharedStrings.xml><?xml version="1.0" encoding="utf-8"?>
<sst xmlns="http://schemas.openxmlformats.org/spreadsheetml/2006/main" count="56" uniqueCount="53">
  <si>
    <t>Ferrari</t>
  </si>
  <si>
    <t>numbers in mio EUR</t>
  </si>
  <si>
    <t>Price</t>
  </si>
  <si>
    <t>Shares</t>
  </si>
  <si>
    <t>MC</t>
  </si>
  <si>
    <t>Cash</t>
  </si>
  <si>
    <t>Debt</t>
  </si>
  <si>
    <t>EV</t>
  </si>
  <si>
    <t>Main</t>
  </si>
  <si>
    <t>FY21</t>
  </si>
  <si>
    <t>FY22</t>
  </si>
  <si>
    <t>FY23</t>
  </si>
  <si>
    <t>FY24</t>
  </si>
  <si>
    <t>Car Shipments</t>
  </si>
  <si>
    <t>Average Car Price</t>
  </si>
  <si>
    <t>Revenues</t>
  </si>
  <si>
    <t>Race</t>
  </si>
  <si>
    <t>IR</t>
  </si>
  <si>
    <t>Notes</t>
  </si>
  <si>
    <t>2024: three new models: 12Cilindri, 12 Cilindri Spider, F80</t>
  </si>
  <si>
    <t>Segments</t>
  </si>
  <si>
    <t>Cars</t>
  </si>
  <si>
    <t>Scuderia Ferrari</t>
  </si>
  <si>
    <t>Employees: 5.435</t>
  </si>
  <si>
    <t>EMEA Cars</t>
  </si>
  <si>
    <t>Americas Cars</t>
  </si>
  <si>
    <t>APAC Cars</t>
  </si>
  <si>
    <t>COGS</t>
  </si>
  <si>
    <t>Gross Profit</t>
  </si>
  <si>
    <t>SG&amp;A</t>
  </si>
  <si>
    <t>R&amp;D</t>
  </si>
  <si>
    <t>Other Expenses</t>
  </si>
  <si>
    <t>Results from subsidaries</t>
  </si>
  <si>
    <t>Operating Income</t>
  </si>
  <si>
    <t>Interest Income</t>
  </si>
  <si>
    <t>Interest Expense</t>
  </si>
  <si>
    <t xml:space="preserve">Pretax Income </t>
  </si>
  <si>
    <t>Tax Expense</t>
  </si>
  <si>
    <t>Net Income</t>
  </si>
  <si>
    <t>Cars and spare parts</t>
  </si>
  <si>
    <t>Sponsorships &amp; Commercial</t>
  </si>
  <si>
    <t>Other</t>
  </si>
  <si>
    <t>FY25</t>
  </si>
  <si>
    <t>EPS</t>
  </si>
  <si>
    <t>Q425</t>
  </si>
  <si>
    <t>Car Shipments Growth</t>
  </si>
  <si>
    <t>Cars Rev Growth</t>
  </si>
  <si>
    <t>Sponsors Rev Growth</t>
  </si>
  <si>
    <t>Other Growth</t>
  </si>
  <si>
    <t>Revenue Growth</t>
  </si>
  <si>
    <t>Gross Margin</t>
  </si>
  <si>
    <t>Operating Margin</t>
  </si>
  <si>
    <t>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</si>
</sst>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#,##0.0;\(#,##0.0\)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7" fillId="0" borderId="0" applyFont="0" applyFill="0" applyBorder="0" applyAlignment="0" applyProtection="0"/>
  </cellStyleXfs>
  <cellXfs count="14">
    <xf numFmtId="0" fontId="0" fillId="0" borderId="0" xfId="0"/>
    <xf numFmtId="0" fontId="4" fillId="0" borderId="0" xfId="0" applyFont="1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right"/>
    </xf>
    <xf numFmtId="0" fontId="5" fillId="0" borderId="0" xfId="1" applyFont="1"/>
    <xf numFmtId="0" fontId="6" fillId="0" borderId="0" xfId="0" applyFont="1" applyAlignment="1">
      <alignment horizontal="left"/>
    </xf>
    <xf numFmtId="164" fontId="4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0" fontId="8" fillId="0" borderId="0" xfId="0" applyFont="1"/>
    <xf numFmtId="9" fontId="2" fillId="0" borderId="0" xfId="2" applyFont="1"/>
    <xf numFmtId="9" fontId="4" fillId="0" borderId="0" xfId="2" applyFont="1"/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151281</xdr:colOff>
      <xdr:row>14</xdr:row>
      <xdr:rowOff>108416</xdr:rowOff>
    </xdr:from>
    <xdr:to>
      <xdr:col>13</xdr:col>
      <xdr:colOff>16810</xdr:colOff>
      <xdr:row>25</xdr:row>
      <xdr:rowOff>43882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3E5773-E881-C95E-052B-2CE80B709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016" y="2383210"/>
          <a:ext cx="7194176" cy="17228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ferrari.com/en-EN/corporate/investo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120D1-676B-4902-B4A7-0A4DA5B0F7B3}">
  <dimension ref="A1:I14"/>
  <sheetViews>
    <sheetView zoomScale="170" zoomScaleNormal="170" workbookViewId="0">
      <selection activeCell="H7" sqref="H7"/>
    </sheetView>
  </sheetViews>
  <sheetFormatPr defaultRowHeight="12.75" x14ac:dyDescent="0.2"/>
  <cols>
    <col min="1" max="1" width="3.85546875" style="2" customWidth="1"/>
    <col min="2" max="16384" width="9.140625" style="2"/>
  </cols>
  <sheetData>
    <row r="1" spans="1:9" x14ac:dyDescent="0.2">
      <c r="A1" s="1" t="s">
        <v>0</v>
      </c>
    </row>
    <row r="2" spans="1:9" x14ac:dyDescent="0.2">
      <c r="A2" s="2" t="s">
        <v>1</v>
      </c>
      <c r="G2" s="2" t="s">
        <v>2</v>
      </c>
      <c r="H2" s="2">
        <v>296.39999999999998</v>
      </c>
    </row>
    <row r="3" spans="1:9" x14ac:dyDescent="0.2">
      <c r="G3" s="2" t="s">
        <v>3</v>
      </c>
      <c r="H3" s="3">
        <v>178.125</v>
      </c>
      <c r="I3" s="9" t="s">
        <v>44</v>
      </c>
    </row>
    <row r="4" spans="1:9" x14ac:dyDescent="0.2">
      <c r="B4" s="2" t="s">
        <v>16</v>
      </c>
      <c r="G4" s="2" t="s">
        <v>4</v>
      </c>
      <c r="H4" s="3">
        <f>+H2*H3</f>
        <v>52796.249999999993</v>
      </c>
    </row>
    <row r="5" spans="1:9" x14ac:dyDescent="0.2">
      <c r="B5" s="5" t="s">
        <v>17</v>
      </c>
      <c r="G5" s="2" t="s">
        <v>5</v>
      </c>
      <c r="H5" s="3">
        <f>1467.711+78.085</f>
        <v>1545.796</v>
      </c>
      <c r="I5" s="9" t="s">
        <v>44</v>
      </c>
    </row>
    <row r="6" spans="1:9" x14ac:dyDescent="0.2">
      <c r="G6" s="2" t="s">
        <v>6</v>
      </c>
      <c r="H6" s="3">
        <v>2884.22</v>
      </c>
      <c r="I6" s="9" t="s">
        <v>44</v>
      </c>
    </row>
    <row r="7" spans="1:9" x14ac:dyDescent="0.2">
      <c r="B7" s="11" t="s">
        <v>20</v>
      </c>
      <c r="G7" s="2" t="s">
        <v>7</v>
      </c>
      <c r="H7" s="3">
        <f>+H4-H5+H6</f>
        <v>54134.673999999992</v>
      </c>
    </row>
    <row r="8" spans="1:9" x14ac:dyDescent="0.2">
      <c r="B8" s="2" t="s">
        <v>21</v>
      </c>
    </row>
    <row r="9" spans="1:9" x14ac:dyDescent="0.2">
      <c r="B9" s="2" t="s">
        <v>22</v>
      </c>
      <c r="G9" s="2" t="s">
        <v>23</v>
      </c>
    </row>
    <row r="12" spans="1:9" x14ac:dyDescent="0.2">
      <c r="B12" s="4"/>
    </row>
    <row r="13" spans="1:9" x14ac:dyDescent="0.2">
      <c r="B13" s="6" t="s">
        <v>18</v>
      </c>
    </row>
    <row r="14" spans="1:9" x14ac:dyDescent="0.2">
      <c r="B14" s="2" t="s">
        <v>19</v>
      </c>
    </row>
  </sheetData>
  <hyperlinks>
    <hyperlink ref="B5" r:id="rId1" xr:uid="{39BD3AD8-1DB2-4519-B716-EC5E3AF4728C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CFB8A-F0CD-4246-A4B5-40685DD14F0D}">
  <dimension ref="A1:CF534"/>
  <sheetViews>
    <sheetView tabSelected="1" zoomScale="200" zoomScaleNormal="200"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G34" sqref="D34:G36"/>
    </sheetView>
  </sheetViews>
  <sheetFormatPr defaultRowHeight="12.75" x14ac:dyDescent="0.2"/>
  <cols>
    <col min="1" max="1" width="5.42578125" style="2" bestFit="1" customWidth="1"/>
    <col min="2" max="2" width="24.85546875" style="2" customWidth="1"/>
    <col min="3" max="16384" width="9.140625" style="2"/>
  </cols>
  <sheetData>
    <row r="1" spans="1:84" x14ac:dyDescent="0.2">
      <c r="A1" s="5" t="s">
        <v>8</v>
      </c>
    </row>
    <row r="2" spans="1:84" x14ac:dyDescent="0.2">
      <c r="C2" s="4" t="s">
        <v>9</v>
      </c>
      <c r="D2" s="4" t="s">
        <v>10</v>
      </c>
      <c r="E2" s="4" t="s">
        <v>11</v>
      </c>
      <c r="F2" s="4" t="s">
        <v>12</v>
      </c>
      <c r="G2" s="9" t="s">
        <v>42</v>
      </c>
    </row>
    <row r="3" spans="1:84" x14ac:dyDescent="0.2">
      <c r="B3" s="2" t="s">
        <v>24</v>
      </c>
      <c r="C3" s="3"/>
      <c r="D3" s="3">
        <v>5958</v>
      </c>
      <c r="E3" s="3">
        <v>6063</v>
      </c>
      <c r="F3" s="3">
        <v>6204</v>
      </c>
      <c r="G3" s="3">
        <v>6346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84" x14ac:dyDescent="0.2">
      <c r="B4" s="2" t="s">
        <v>25</v>
      </c>
      <c r="C4" s="3"/>
      <c r="D4" s="3">
        <v>3447</v>
      </c>
      <c r="E4" s="3">
        <v>3811</v>
      </c>
      <c r="F4" s="3">
        <v>4003</v>
      </c>
      <c r="G4" s="3">
        <v>3937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84" x14ac:dyDescent="0.2">
      <c r="B5" s="2" t="s">
        <v>26</v>
      </c>
      <c r="C5" s="3"/>
      <c r="D5" s="3">
        <v>2264</v>
      </c>
      <c r="E5" s="3">
        <v>2299</v>
      </c>
      <c r="F5" s="3">
        <v>2383</v>
      </c>
      <c r="G5" s="3">
        <v>3401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84" x14ac:dyDescent="0.2">
      <c r="B6" s="1" t="s">
        <v>13</v>
      </c>
      <c r="C6" s="7"/>
      <c r="D6" s="7">
        <v>13221</v>
      </c>
      <c r="E6" s="7">
        <v>13663</v>
      </c>
      <c r="F6" s="7">
        <v>13752</v>
      </c>
      <c r="G6" s="7">
        <v>13640</v>
      </c>
      <c r="H6" s="7"/>
      <c r="I6" s="7"/>
      <c r="J6" s="7"/>
      <c r="K6" s="7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</row>
    <row r="7" spans="1:84" x14ac:dyDescent="0.2">
      <c r="B7" s="2" t="s">
        <v>14</v>
      </c>
      <c r="C7" s="3"/>
      <c r="D7" s="3">
        <f>+D12/D6*100000</f>
        <v>38537.175705317299</v>
      </c>
      <c r="E7" s="3">
        <f>+E12/E6*100000</f>
        <v>43694.649784088411</v>
      </c>
      <c r="F7" s="3">
        <f>+F12/F6*100000</f>
        <v>48552.937754508435</v>
      </c>
      <c r="G7" s="3">
        <f>+G12/G6*100000</f>
        <v>52388.3284457478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</row>
    <row r="8" spans="1:84" x14ac:dyDescent="0.2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</row>
    <row r="9" spans="1:84" x14ac:dyDescent="0.2">
      <c r="B9" s="2" t="s">
        <v>39</v>
      </c>
      <c r="C9" s="3"/>
      <c r="D9" s="3">
        <v>4321</v>
      </c>
      <c r="E9" s="3">
        <v>5119</v>
      </c>
      <c r="F9" s="3">
        <v>5728</v>
      </c>
      <c r="G9" s="3">
        <v>6005.2430000000004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</row>
    <row r="10" spans="1:84" x14ac:dyDescent="0.2">
      <c r="B10" s="2" t="s">
        <v>40</v>
      </c>
      <c r="C10" s="3"/>
      <c r="D10" s="3">
        <v>499</v>
      </c>
      <c r="E10" s="3">
        <v>572</v>
      </c>
      <c r="F10" s="3">
        <v>670</v>
      </c>
      <c r="G10" s="3">
        <v>819.55100000000004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</row>
    <row r="11" spans="1:84" x14ac:dyDescent="0.2">
      <c r="B11" s="2" t="s">
        <v>41</v>
      </c>
      <c r="C11" s="3"/>
      <c r="D11" s="3">
        <v>275</v>
      </c>
      <c r="E11" s="3">
        <v>279</v>
      </c>
      <c r="F11" s="3">
        <v>279</v>
      </c>
      <c r="G11" s="3">
        <v>320.97399999999999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</row>
    <row r="12" spans="1:84" x14ac:dyDescent="0.2">
      <c r="B12" s="1" t="s">
        <v>15</v>
      </c>
      <c r="C12" s="7"/>
      <c r="D12" s="7">
        <v>5095</v>
      </c>
      <c r="E12" s="7">
        <v>5970</v>
      </c>
      <c r="F12" s="7">
        <v>6677</v>
      </c>
      <c r="G12" s="7">
        <v>7145.768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</row>
    <row r="13" spans="1:84" x14ac:dyDescent="0.2">
      <c r="B13" s="2" t="s">
        <v>27</v>
      </c>
      <c r="C13" s="3"/>
      <c r="D13" s="3">
        <v>2649</v>
      </c>
      <c r="E13" s="3">
        <v>2996</v>
      </c>
      <c r="F13" s="3">
        <v>3330</v>
      </c>
      <c r="G13" s="3">
        <v>3452.971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</row>
    <row r="14" spans="1:84" x14ac:dyDescent="0.2">
      <c r="B14" s="2" t="s">
        <v>28</v>
      </c>
      <c r="C14" s="3"/>
      <c r="D14" s="3">
        <f t="shared" ref="D14:E14" si="0">+D12-D13</f>
        <v>2446</v>
      </c>
      <c r="E14" s="3">
        <f t="shared" si="0"/>
        <v>2974</v>
      </c>
      <c r="F14" s="3">
        <f>+F12-F13</f>
        <v>3347</v>
      </c>
      <c r="G14" s="3">
        <f>+G12-G13</f>
        <v>3692.797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</row>
    <row r="15" spans="1:84" x14ac:dyDescent="0.2">
      <c r="B15" s="2" t="s">
        <v>29</v>
      </c>
      <c r="C15" s="3"/>
      <c r="D15" s="3">
        <v>428</v>
      </c>
      <c r="E15" s="3">
        <v>463</v>
      </c>
      <c r="F15" s="3">
        <v>561</v>
      </c>
      <c r="G15" s="3">
        <v>642.49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</row>
    <row r="16" spans="1:84" x14ac:dyDescent="0.2">
      <c r="B16" s="2" t="s">
        <v>30</v>
      </c>
      <c r="C16" s="3"/>
      <c r="D16" s="3">
        <v>776</v>
      </c>
      <c r="E16" s="3">
        <v>882</v>
      </c>
      <c r="F16" s="3">
        <v>894</v>
      </c>
      <c r="G16" s="3">
        <v>918.86099999999999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</row>
    <row r="17" spans="2:84" x14ac:dyDescent="0.2">
      <c r="B17" s="2" t="s">
        <v>31</v>
      </c>
      <c r="C17" s="3"/>
      <c r="D17" s="3">
        <v>21</v>
      </c>
      <c r="E17" s="3">
        <v>18</v>
      </c>
      <c r="F17" s="3">
        <v>12</v>
      </c>
      <c r="G17" s="3">
        <v>34.302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</row>
    <row r="18" spans="2:84" x14ac:dyDescent="0.2">
      <c r="B18" s="2" t="s">
        <v>32</v>
      </c>
      <c r="C18" s="3"/>
      <c r="D18" s="3">
        <v>6</v>
      </c>
      <c r="E18" s="3">
        <v>6</v>
      </c>
      <c r="F18" s="3">
        <v>8</v>
      </c>
      <c r="G18" s="3">
        <v>12.571999999999999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</row>
    <row r="19" spans="2:84" x14ac:dyDescent="0.2">
      <c r="B19" s="2" t="s">
        <v>33</v>
      </c>
      <c r="C19" s="3"/>
      <c r="D19" s="3">
        <f t="shared" ref="D19:E19" si="1">+D14-SUM(D15:D17)+D18</f>
        <v>1227</v>
      </c>
      <c r="E19" s="3">
        <f t="shared" si="1"/>
        <v>1617</v>
      </c>
      <c r="F19" s="3">
        <f>+F14-SUM(F15:F17)+F18</f>
        <v>1888</v>
      </c>
      <c r="G19" s="3">
        <f>+G14-SUM(G15:G17)+G18</f>
        <v>2109.7160000000003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</row>
    <row r="20" spans="2:84" x14ac:dyDescent="0.2">
      <c r="B20" s="2" t="s">
        <v>34</v>
      </c>
      <c r="C20" s="3"/>
      <c r="D20" s="3">
        <v>84</v>
      </c>
      <c r="E20" s="3">
        <v>132</v>
      </c>
      <c r="F20" s="3">
        <v>147</v>
      </c>
      <c r="G20" s="3">
        <v>168.14500000000001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</row>
    <row r="21" spans="2:84" x14ac:dyDescent="0.2">
      <c r="B21" s="2" t="s">
        <v>35</v>
      </c>
      <c r="C21" s="3"/>
      <c r="D21" s="3">
        <v>133</v>
      </c>
      <c r="E21" s="3">
        <v>147</v>
      </c>
      <c r="F21" s="3">
        <v>146</v>
      </c>
      <c r="G21" s="3">
        <v>214.226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</row>
    <row r="22" spans="2:84" x14ac:dyDescent="0.2">
      <c r="B22" s="2" t="s">
        <v>36</v>
      </c>
      <c r="C22" s="3"/>
      <c r="D22" s="3">
        <f t="shared" ref="D22:E22" si="2">+D19+D20-D21</f>
        <v>1178</v>
      </c>
      <c r="E22" s="3">
        <f t="shared" si="2"/>
        <v>1602</v>
      </c>
      <c r="F22" s="3">
        <f>+F19+F20-F21</f>
        <v>1889</v>
      </c>
      <c r="G22" s="3">
        <f>+G19+G20-G21</f>
        <v>2063.6350000000002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</row>
    <row r="23" spans="2:84" x14ac:dyDescent="0.2">
      <c r="B23" s="2" t="s">
        <v>37</v>
      </c>
      <c r="C23" s="3"/>
      <c r="D23" s="3">
        <v>239</v>
      </c>
      <c r="E23" s="3">
        <v>345</v>
      </c>
      <c r="F23" s="3">
        <v>363</v>
      </c>
      <c r="G23" s="3">
        <v>464.11900000000003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</row>
    <row r="24" spans="2:84" x14ac:dyDescent="0.2">
      <c r="B24" s="2" t="s">
        <v>38</v>
      </c>
      <c r="C24" s="3"/>
      <c r="D24" s="3">
        <f t="shared" ref="D24:E24" si="3">+D22-D23</f>
        <v>939</v>
      </c>
      <c r="E24" s="3">
        <f t="shared" si="3"/>
        <v>1257</v>
      </c>
      <c r="F24" s="3">
        <f>+F22-F23</f>
        <v>1526</v>
      </c>
      <c r="G24" s="3">
        <f>+G22-G23</f>
        <v>1599.5160000000001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</row>
    <row r="25" spans="2:84" x14ac:dyDescent="0.2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</row>
    <row r="26" spans="2:84" x14ac:dyDescent="0.2">
      <c r="B26" s="8" t="s">
        <v>43</v>
      </c>
      <c r="C26" s="3"/>
      <c r="D26" s="10">
        <f t="shared" ref="D26:E26" si="4">+D24/D27</f>
        <v>5.1357500711019712</v>
      </c>
      <c r="E26" s="10">
        <f t="shared" si="4"/>
        <v>6.9363204944266634</v>
      </c>
      <c r="F26" s="10">
        <f>+F24/F27</f>
        <v>8.4898994675731458</v>
      </c>
      <c r="G26" s="10">
        <f>+G24/G27</f>
        <v>8.9797389473684213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</row>
    <row r="27" spans="2:84" x14ac:dyDescent="0.2">
      <c r="B27" s="8" t="s">
        <v>3</v>
      </c>
      <c r="C27" s="3"/>
      <c r="D27" s="3">
        <v>182.83600000000001</v>
      </c>
      <c r="E27" s="3">
        <v>181.22</v>
      </c>
      <c r="F27" s="3">
        <v>179.74299999999999</v>
      </c>
      <c r="G27" s="3">
        <v>178.125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</row>
    <row r="28" spans="2:84" x14ac:dyDescent="0.2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</row>
    <row r="29" spans="2:84" x14ac:dyDescent="0.2">
      <c r="B29" s="8" t="s">
        <v>45</v>
      </c>
      <c r="C29" s="3"/>
      <c r="D29" s="12" t="e">
        <f t="shared" ref="D29:G29" si="5">+D6/C6-1</f>
        <v>#DIV/0!</v>
      </c>
      <c r="E29" s="12">
        <f t="shared" si="5"/>
        <v>3.3431661750245922E-2</v>
      </c>
      <c r="F29" s="12">
        <f t="shared" si="5"/>
        <v>6.5139427651321746E-3</v>
      </c>
      <c r="G29" s="12">
        <f>+G6/F6-1</f>
        <v>-8.1442699243746697E-3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</row>
    <row r="30" spans="2:84" x14ac:dyDescent="0.2">
      <c r="B30" s="8" t="s">
        <v>46</v>
      </c>
      <c r="C30" s="3"/>
      <c r="D30" s="3"/>
      <c r="E30" s="12">
        <f t="shared" ref="E30:G30" si="6">+E9/D9-1</f>
        <v>0.18467947234436477</v>
      </c>
      <c r="F30" s="12">
        <f t="shared" si="6"/>
        <v>0.11896854854463768</v>
      </c>
      <c r="G30" s="12">
        <f>+G9/F9-1</f>
        <v>4.8401361731843728E-2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</row>
    <row r="31" spans="2:84" x14ac:dyDescent="0.2">
      <c r="B31" s="8" t="s">
        <v>47</v>
      </c>
      <c r="C31" s="3"/>
      <c r="D31" s="12" t="e">
        <f t="shared" ref="D31:G32" si="7">+D10/C10-1</f>
        <v>#DIV/0!</v>
      </c>
      <c r="E31" s="12">
        <f t="shared" si="7"/>
        <v>0.14629258517034072</v>
      </c>
      <c r="F31" s="12">
        <f t="shared" si="7"/>
        <v>0.17132867132867124</v>
      </c>
      <c r="G31" s="12">
        <f t="shared" ref="G31:G33" si="8">+G10/F10-1</f>
        <v>0.22321044776119403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</row>
    <row r="32" spans="2:84" x14ac:dyDescent="0.2">
      <c r="B32" s="8" t="s">
        <v>48</v>
      </c>
      <c r="C32" s="3"/>
      <c r="D32" s="12" t="e">
        <f t="shared" si="7"/>
        <v>#DIV/0!</v>
      </c>
      <c r="E32" s="12">
        <f t="shared" si="7"/>
        <v>1.4545454545454639E-2</v>
      </c>
      <c r="F32" s="12">
        <f t="shared" si="7"/>
        <v>0</v>
      </c>
      <c r="G32" s="12">
        <f t="shared" si="8"/>
        <v>0.15044444444444438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</row>
    <row r="33" spans="2:84" x14ac:dyDescent="0.2">
      <c r="B33" s="8" t="s">
        <v>49</v>
      </c>
      <c r="C33" s="3"/>
      <c r="D33" s="13" t="e">
        <f t="shared" ref="D33:G33" si="9">+D12/C12-1</f>
        <v>#DIV/0!</v>
      </c>
      <c r="E33" s="13">
        <f t="shared" si="9"/>
        <v>0.17173699705593726</v>
      </c>
      <c r="F33" s="13">
        <f t="shared" si="9"/>
        <v>0.11842546063651582</v>
      </c>
      <c r="G33" s="13">
        <f t="shared" si="8"/>
        <v>7.0206380110828137E-2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</row>
    <row r="34" spans="2:84" x14ac:dyDescent="0.2">
      <c r="B34" s="8" t="s">
        <v>50</v>
      </c>
      <c r="C34" s="3"/>
      <c r="D34" s="12">
        <f t="shared" ref="D34:G34" si="10">+D14/D12</f>
        <v>0.48007850834151128</v>
      </c>
      <c r="E34" s="12">
        <f t="shared" si="10"/>
        <v>0.49815745393634842</v>
      </c>
      <c r="F34" s="12">
        <f t="shared" si="10"/>
        <v>0.50127302680844688</v>
      </c>
      <c r="G34" s="12">
        <f>+G14/G12</f>
        <v>0.51678098141445394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</row>
    <row r="35" spans="2:84" x14ac:dyDescent="0.2">
      <c r="B35" s="8" t="s">
        <v>51</v>
      </c>
      <c r="C35" s="3"/>
      <c r="D35" s="12">
        <f t="shared" ref="D35:G35" si="11">+D19/D12</f>
        <v>0.24082433758586849</v>
      </c>
      <c r="E35" s="12">
        <f t="shared" si="11"/>
        <v>0.27085427135678392</v>
      </c>
      <c r="F35" s="12">
        <f t="shared" si="11"/>
        <v>0.28276171933503069</v>
      </c>
      <c r="G35" s="12">
        <f>+G19/G12</f>
        <v>0.29523992382624237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</row>
    <row r="36" spans="2:84" x14ac:dyDescent="0.2">
      <c r="B36" s="8" t="s">
        <v>52</v>
      </c>
      <c r="C36" s="3"/>
      <c r="D36" s="12">
        <f t="shared" ref="D36:G36" si="12">+D23/D22</f>
        <v>0.20288624787775891</v>
      </c>
      <c r="E36" s="12">
        <f t="shared" si="12"/>
        <v>0.21535580524344569</v>
      </c>
      <c r="F36" s="12">
        <f t="shared" si="12"/>
        <v>0.19216516675489678</v>
      </c>
      <c r="G36" s="12">
        <f>+G23/G22</f>
        <v>0.22490362879094414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</row>
    <row r="37" spans="2:84" x14ac:dyDescent="0.2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</row>
    <row r="38" spans="2:84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</row>
    <row r="39" spans="2:84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</row>
    <row r="40" spans="2:84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</row>
    <row r="41" spans="2:84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</row>
    <row r="42" spans="2:84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</row>
    <row r="43" spans="2:84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</row>
    <row r="44" spans="2:84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</row>
    <row r="45" spans="2:84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</row>
    <row r="46" spans="2:84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</row>
    <row r="47" spans="2:84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</row>
    <row r="48" spans="2:84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</row>
    <row r="49" spans="3:84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</row>
    <row r="50" spans="3:84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</row>
    <row r="51" spans="3:84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</row>
    <row r="52" spans="3:84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</row>
    <row r="53" spans="3:84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</row>
    <row r="54" spans="3:84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</row>
    <row r="55" spans="3:84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</row>
    <row r="56" spans="3:84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</row>
    <row r="57" spans="3:84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</row>
    <row r="58" spans="3:84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</row>
    <row r="59" spans="3:84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</row>
    <row r="60" spans="3:84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</row>
    <row r="61" spans="3:84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</row>
    <row r="62" spans="3:84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</row>
    <row r="63" spans="3:84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</row>
    <row r="64" spans="3:84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</row>
    <row r="65" spans="3:84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</row>
    <row r="66" spans="3:84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</row>
    <row r="67" spans="3:84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</row>
    <row r="68" spans="3:84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</row>
    <row r="69" spans="3:84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</row>
    <row r="70" spans="3:84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</row>
    <row r="71" spans="3:84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</row>
    <row r="72" spans="3:84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</row>
    <row r="73" spans="3:84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</row>
    <row r="74" spans="3:84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</row>
    <row r="75" spans="3:84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</row>
    <row r="76" spans="3:84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</row>
    <row r="77" spans="3:84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</row>
    <row r="78" spans="3:84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</row>
    <row r="79" spans="3:84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</row>
    <row r="80" spans="3:84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</row>
    <row r="81" spans="3:84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</row>
    <row r="82" spans="3:84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</row>
    <row r="83" spans="3:84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</row>
    <row r="84" spans="3:84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</row>
    <row r="85" spans="3:84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</row>
    <row r="86" spans="3:84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</row>
    <row r="87" spans="3:84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</row>
    <row r="88" spans="3:84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</row>
    <row r="89" spans="3:84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</row>
    <row r="90" spans="3:84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</row>
    <row r="91" spans="3:84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</row>
    <row r="92" spans="3:84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</row>
    <row r="93" spans="3:84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</row>
    <row r="94" spans="3:84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</row>
    <row r="95" spans="3:84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</row>
    <row r="96" spans="3:84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</row>
    <row r="97" spans="3:84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</row>
    <row r="98" spans="3:84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</row>
    <row r="99" spans="3:84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</row>
    <row r="100" spans="3:84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</row>
    <row r="101" spans="3:84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</row>
    <row r="102" spans="3:84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</row>
    <row r="103" spans="3:84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</row>
    <row r="104" spans="3:84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</row>
    <row r="105" spans="3:84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</row>
    <row r="106" spans="3:84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</row>
    <row r="107" spans="3:84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</row>
    <row r="108" spans="3:84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</row>
    <row r="109" spans="3:84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</row>
    <row r="110" spans="3:84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</row>
    <row r="111" spans="3:84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</row>
    <row r="112" spans="3:84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</row>
    <row r="113" spans="3:84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</row>
    <row r="114" spans="3:84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</row>
    <row r="115" spans="3:84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</row>
    <row r="116" spans="3:84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</row>
    <row r="117" spans="3:84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</row>
    <row r="118" spans="3:84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</row>
    <row r="119" spans="3:84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</row>
    <row r="120" spans="3:84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</row>
    <row r="121" spans="3:84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</row>
    <row r="122" spans="3:84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</row>
    <row r="123" spans="3:84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</row>
    <row r="124" spans="3:84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</row>
    <row r="125" spans="3:84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</row>
    <row r="126" spans="3:84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</row>
    <row r="127" spans="3:84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</row>
    <row r="128" spans="3:84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</row>
    <row r="129" spans="3:84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</row>
    <row r="130" spans="3:84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</row>
    <row r="131" spans="3:84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</row>
    <row r="132" spans="3:84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</row>
    <row r="133" spans="3:84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</row>
    <row r="134" spans="3:84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</row>
    <row r="135" spans="3:84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</row>
    <row r="136" spans="3:84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</row>
    <row r="137" spans="3:84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</row>
    <row r="138" spans="3:84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</row>
    <row r="139" spans="3:84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</row>
    <row r="140" spans="3:84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</row>
    <row r="141" spans="3:84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</row>
    <row r="142" spans="3:84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</row>
    <row r="143" spans="3:84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</row>
    <row r="144" spans="3:84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</row>
    <row r="145" spans="3:84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</row>
    <row r="146" spans="3:84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</row>
    <row r="147" spans="3:84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</row>
    <row r="148" spans="3:84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</row>
    <row r="149" spans="3:84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</row>
    <row r="150" spans="3:84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</row>
    <row r="151" spans="3:84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</row>
    <row r="152" spans="3:84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</row>
    <row r="153" spans="3:84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</row>
    <row r="154" spans="3:84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</row>
    <row r="155" spans="3:84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</row>
    <row r="156" spans="3:84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</row>
    <row r="157" spans="3:84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</row>
    <row r="158" spans="3:84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</row>
    <row r="159" spans="3:84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</row>
    <row r="160" spans="3:84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</row>
    <row r="161" spans="3:84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</row>
    <row r="162" spans="3:84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</row>
    <row r="163" spans="3:84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</row>
    <row r="164" spans="3:84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</row>
    <row r="165" spans="3:84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</row>
    <row r="166" spans="3:84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</row>
    <row r="167" spans="3:84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</row>
    <row r="168" spans="3:84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</row>
    <row r="169" spans="3:84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</row>
    <row r="170" spans="3:84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</row>
    <row r="171" spans="3:84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</row>
    <row r="172" spans="3:84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</row>
    <row r="173" spans="3:84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</row>
    <row r="174" spans="3:84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</row>
    <row r="175" spans="3:84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</row>
    <row r="176" spans="3:84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</row>
    <row r="177" spans="3:84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</row>
    <row r="178" spans="3:84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</row>
    <row r="179" spans="3:84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</row>
    <row r="180" spans="3:84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</row>
    <row r="181" spans="3:84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</row>
    <row r="182" spans="3:84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</row>
    <row r="183" spans="3:84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</row>
    <row r="184" spans="3:84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</row>
    <row r="185" spans="3:84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</row>
    <row r="186" spans="3:84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</row>
    <row r="187" spans="3:84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</row>
    <row r="188" spans="3:84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</row>
    <row r="189" spans="3:84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</row>
    <row r="190" spans="3:84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</row>
    <row r="191" spans="3:84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</row>
    <row r="192" spans="3:84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</row>
    <row r="193" spans="3:84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</row>
    <row r="194" spans="3:84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</row>
    <row r="195" spans="3:84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</row>
    <row r="196" spans="3:84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</row>
    <row r="197" spans="3:84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</row>
    <row r="198" spans="3:84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</row>
    <row r="199" spans="3:84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</row>
    <row r="200" spans="3:84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</row>
    <row r="201" spans="3:84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</row>
    <row r="202" spans="3:84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</row>
    <row r="203" spans="3:84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</row>
    <row r="204" spans="3:84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</row>
    <row r="205" spans="3:84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</row>
    <row r="206" spans="3:84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</row>
    <row r="207" spans="3:84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</row>
    <row r="208" spans="3:84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</row>
    <row r="209" spans="3:84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</row>
    <row r="210" spans="3:84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</row>
    <row r="211" spans="3:84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</row>
    <row r="212" spans="3:84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</row>
    <row r="213" spans="3:84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</row>
    <row r="214" spans="3:84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</row>
    <row r="215" spans="3:84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</row>
    <row r="216" spans="3:84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</row>
    <row r="217" spans="3:84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</row>
    <row r="218" spans="3:84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</row>
    <row r="219" spans="3:84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</row>
    <row r="220" spans="3:84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</row>
    <row r="221" spans="3:84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</row>
    <row r="222" spans="3:84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</row>
    <row r="223" spans="3:84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</row>
    <row r="224" spans="3:84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</row>
    <row r="225" spans="3:84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</row>
    <row r="226" spans="3:84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</row>
    <row r="227" spans="3:84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</row>
    <row r="228" spans="3:84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</row>
    <row r="229" spans="3:84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</row>
    <row r="230" spans="3:84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</row>
    <row r="231" spans="3:84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</row>
    <row r="232" spans="3:84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</row>
    <row r="233" spans="3:84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</row>
    <row r="234" spans="3:84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</row>
    <row r="235" spans="3:84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</row>
    <row r="236" spans="3:84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</row>
    <row r="237" spans="3:84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</row>
    <row r="238" spans="3:84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</row>
    <row r="239" spans="3:84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</row>
    <row r="240" spans="3:84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</row>
    <row r="241" spans="3:84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</row>
    <row r="242" spans="3:84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</row>
    <row r="243" spans="3:84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</row>
    <row r="244" spans="3:84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</row>
    <row r="245" spans="3:84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</row>
    <row r="246" spans="3:84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</row>
    <row r="247" spans="3:84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</row>
    <row r="248" spans="3:84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</row>
    <row r="249" spans="3:84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</row>
    <row r="250" spans="3:84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</row>
    <row r="251" spans="3:84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</row>
    <row r="252" spans="3:84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</row>
    <row r="253" spans="3:84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</row>
    <row r="254" spans="3:84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</row>
    <row r="255" spans="3:84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</row>
    <row r="256" spans="3:84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</row>
    <row r="257" spans="3:84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</row>
    <row r="258" spans="3:84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</row>
    <row r="259" spans="3:84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</row>
    <row r="260" spans="3:84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</row>
    <row r="261" spans="3:84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</row>
    <row r="262" spans="3:84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</row>
    <row r="263" spans="3:84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</row>
    <row r="264" spans="3:84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</row>
    <row r="265" spans="3:84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</row>
    <row r="266" spans="3:84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</row>
    <row r="267" spans="3:84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</row>
    <row r="268" spans="3:84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</row>
    <row r="269" spans="3:84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</row>
    <row r="270" spans="3:84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</row>
    <row r="271" spans="3:84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</row>
    <row r="272" spans="3:84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</row>
    <row r="273" spans="3:84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</row>
    <row r="274" spans="3:84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</row>
    <row r="275" spans="3:84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</row>
    <row r="276" spans="3:84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</row>
    <row r="277" spans="3:84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</row>
    <row r="278" spans="3:84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</row>
    <row r="279" spans="3:84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</row>
    <row r="280" spans="3:84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</row>
    <row r="281" spans="3:84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</row>
    <row r="282" spans="3:84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</row>
    <row r="283" spans="3:84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</row>
    <row r="284" spans="3:84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</row>
    <row r="285" spans="3:84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</row>
    <row r="286" spans="3:84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</row>
    <row r="287" spans="3:84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</row>
    <row r="288" spans="3:84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</row>
    <row r="289" spans="3:84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</row>
    <row r="290" spans="3:84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</row>
    <row r="291" spans="3:84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</row>
    <row r="292" spans="3:84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</row>
    <row r="293" spans="3:84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</row>
    <row r="294" spans="3:84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</row>
    <row r="295" spans="3:84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</row>
    <row r="296" spans="3:84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</row>
    <row r="297" spans="3:84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</row>
    <row r="298" spans="3:84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</row>
    <row r="299" spans="3:84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</row>
    <row r="300" spans="3:84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</row>
    <row r="301" spans="3:84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</row>
    <row r="302" spans="3:84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</row>
    <row r="303" spans="3:84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</row>
    <row r="304" spans="3:84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</row>
    <row r="305" spans="3:84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</row>
    <row r="306" spans="3:84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</row>
    <row r="307" spans="3:84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</row>
    <row r="308" spans="3:84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</row>
    <row r="309" spans="3:84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</row>
    <row r="310" spans="3:84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</row>
    <row r="311" spans="3:84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</row>
    <row r="312" spans="3:84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</row>
    <row r="313" spans="3:84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</row>
    <row r="314" spans="3:84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</row>
    <row r="315" spans="3:84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</row>
    <row r="316" spans="3:84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</row>
    <row r="317" spans="3:84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</row>
    <row r="318" spans="3:84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</row>
    <row r="319" spans="3:84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</row>
    <row r="320" spans="3:84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</row>
    <row r="321" spans="3:84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</row>
    <row r="322" spans="3:84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</row>
    <row r="323" spans="3:84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</row>
    <row r="324" spans="3:84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</row>
    <row r="325" spans="3:84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</row>
    <row r="326" spans="3:84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</row>
    <row r="327" spans="3:84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</row>
    <row r="328" spans="3:84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</row>
    <row r="329" spans="3:84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</row>
    <row r="330" spans="3:84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</row>
    <row r="331" spans="3:84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</row>
    <row r="332" spans="3:84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</row>
    <row r="333" spans="3:84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</row>
    <row r="334" spans="3:84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</row>
    <row r="335" spans="3:84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</row>
    <row r="336" spans="3:84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</row>
    <row r="337" spans="3:84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</row>
    <row r="338" spans="3:84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</row>
    <row r="339" spans="3:84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</row>
    <row r="340" spans="3:84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</row>
    <row r="341" spans="3:84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</row>
    <row r="342" spans="3:84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</row>
    <row r="343" spans="3:84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</row>
    <row r="344" spans="3:84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</row>
    <row r="345" spans="3:84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</row>
    <row r="346" spans="3:84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</row>
    <row r="347" spans="3:84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</row>
    <row r="348" spans="3:84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</row>
    <row r="349" spans="3:84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</row>
    <row r="350" spans="3:84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</row>
    <row r="351" spans="3:84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</row>
    <row r="352" spans="3:84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</row>
    <row r="353" spans="3:84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</row>
    <row r="354" spans="3:84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</row>
    <row r="355" spans="3:84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</row>
    <row r="356" spans="3:84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</row>
    <row r="357" spans="3:84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</row>
    <row r="358" spans="3:84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</row>
    <row r="359" spans="3:84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</row>
    <row r="360" spans="3:84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</row>
    <row r="361" spans="3:84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</row>
    <row r="362" spans="3:84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</row>
    <row r="363" spans="3:84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</row>
    <row r="364" spans="3:84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</row>
    <row r="365" spans="3:84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</row>
    <row r="366" spans="3:84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</row>
    <row r="367" spans="3:84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</row>
    <row r="368" spans="3:84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</row>
    <row r="369" spans="3:84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</row>
    <row r="370" spans="3:84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</row>
    <row r="371" spans="3:84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</row>
    <row r="372" spans="3:84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</row>
    <row r="373" spans="3:84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</row>
    <row r="374" spans="3:84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</row>
    <row r="375" spans="3:84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</row>
    <row r="376" spans="3:84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</row>
    <row r="377" spans="3:84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</row>
    <row r="378" spans="3:84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</row>
    <row r="379" spans="3:84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</row>
    <row r="380" spans="3:84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</row>
    <row r="381" spans="3:84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</row>
    <row r="382" spans="3:84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</row>
    <row r="383" spans="3:84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</row>
    <row r="384" spans="3:84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</row>
    <row r="385" spans="3:84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</row>
    <row r="386" spans="3:84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</row>
    <row r="387" spans="3:84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</row>
    <row r="388" spans="3:84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</row>
    <row r="389" spans="3:84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</row>
    <row r="390" spans="3:84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</row>
    <row r="391" spans="3:84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</row>
    <row r="392" spans="3:84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</row>
    <row r="393" spans="3:84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</row>
    <row r="394" spans="3:84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</row>
    <row r="395" spans="3:84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</row>
    <row r="396" spans="3:84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</row>
    <row r="397" spans="3:84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</row>
    <row r="398" spans="3:84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</row>
    <row r="399" spans="3:84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</row>
    <row r="400" spans="3:84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</row>
    <row r="401" spans="3:84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</row>
    <row r="402" spans="3:84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</row>
    <row r="403" spans="3:84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</row>
    <row r="404" spans="3:84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</row>
    <row r="405" spans="3:84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</row>
    <row r="406" spans="3:84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</row>
    <row r="407" spans="3:84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</row>
    <row r="408" spans="3:84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</row>
    <row r="409" spans="3:84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</row>
    <row r="410" spans="3:84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</row>
    <row r="411" spans="3:84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</row>
    <row r="412" spans="3:84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</row>
    <row r="413" spans="3:84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</row>
    <row r="414" spans="3:84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</row>
    <row r="415" spans="3:84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</row>
    <row r="416" spans="3:84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</row>
    <row r="417" spans="3:84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</row>
    <row r="418" spans="3:84" x14ac:dyDescent="0.2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</row>
    <row r="419" spans="3:84" x14ac:dyDescent="0.2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</row>
    <row r="420" spans="3:84" x14ac:dyDescent="0.2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</row>
    <row r="421" spans="3:84" x14ac:dyDescent="0.2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</row>
    <row r="422" spans="3:84" x14ac:dyDescent="0.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</row>
    <row r="423" spans="3:84" x14ac:dyDescent="0.2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</row>
    <row r="424" spans="3:84" x14ac:dyDescent="0.2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</row>
    <row r="425" spans="3:84" x14ac:dyDescent="0.2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</row>
    <row r="426" spans="3:84" x14ac:dyDescent="0.2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</row>
    <row r="427" spans="3:84" x14ac:dyDescent="0.2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</row>
    <row r="428" spans="3:84" x14ac:dyDescent="0.2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</row>
    <row r="429" spans="3:84" x14ac:dyDescent="0.2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</row>
    <row r="430" spans="3:84" x14ac:dyDescent="0.2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</row>
    <row r="431" spans="3:84" x14ac:dyDescent="0.2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</row>
    <row r="432" spans="3:84" x14ac:dyDescent="0.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</row>
    <row r="433" spans="3:84" x14ac:dyDescent="0.2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</row>
    <row r="434" spans="3:84" x14ac:dyDescent="0.2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</row>
    <row r="435" spans="3:84" x14ac:dyDescent="0.2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</row>
    <row r="436" spans="3:84" x14ac:dyDescent="0.2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</row>
    <row r="437" spans="3:84" x14ac:dyDescent="0.2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</row>
    <row r="438" spans="3:84" x14ac:dyDescent="0.2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</row>
    <row r="439" spans="3:84" x14ac:dyDescent="0.2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</row>
    <row r="440" spans="3:84" x14ac:dyDescent="0.2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</row>
    <row r="441" spans="3:84" x14ac:dyDescent="0.2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</row>
    <row r="442" spans="3:84" x14ac:dyDescent="0.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</row>
    <row r="443" spans="3:84" x14ac:dyDescent="0.2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</row>
    <row r="444" spans="3:84" x14ac:dyDescent="0.2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</row>
    <row r="445" spans="3:84" x14ac:dyDescent="0.2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</row>
    <row r="446" spans="3:84" x14ac:dyDescent="0.2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</row>
    <row r="447" spans="3:84" x14ac:dyDescent="0.2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</row>
    <row r="448" spans="3:84" x14ac:dyDescent="0.2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</row>
    <row r="449" spans="3:84" x14ac:dyDescent="0.2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</row>
    <row r="450" spans="3:84" x14ac:dyDescent="0.2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</row>
    <row r="451" spans="3:84" x14ac:dyDescent="0.2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</row>
    <row r="452" spans="3:84" x14ac:dyDescent="0.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</row>
    <row r="453" spans="3:84" x14ac:dyDescent="0.2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</row>
    <row r="454" spans="3:84" x14ac:dyDescent="0.2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</row>
    <row r="455" spans="3:84" x14ac:dyDescent="0.2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</row>
    <row r="456" spans="3:84" x14ac:dyDescent="0.2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</row>
    <row r="457" spans="3:84" x14ac:dyDescent="0.2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</row>
    <row r="458" spans="3:84" x14ac:dyDescent="0.2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</row>
    <row r="459" spans="3:84" x14ac:dyDescent="0.2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</row>
    <row r="460" spans="3:84" x14ac:dyDescent="0.2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</row>
    <row r="461" spans="3:84" x14ac:dyDescent="0.2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</row>
    <row r="462" spans="3:84" x14ac:dyDescent="0.2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</row>
    <row r="463" spans="3:84" x14ac:dyDescent="0.2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</row>
    <row r="464" spans="3:84" x14ac:dyDescent="0.2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</row>
    <row r="465" spans="3:84" x14ac:dyDescent="0.2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</row>
    <row r="466" spans="3:84" x14ac:dyDescent="0.2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</row>
    <row r="467" spans="3:84" x14ac:dyDescent="0.2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</row>
    <row r="468" spans="3:84" x14ac:dyDescent="0.2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</row>
    <row r="469" spans="3:84" x14ac:dyDescent="0.2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</row>
    <row r="470" spans="3:84" x14ac:dyDescent="0.2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</row>
    <row r="471" spans="3:84" x14ac:dyDescent="0.2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</row>
    <row r="472" spans="3:84" x14ac:dyDescent="0.2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</row>
    <row r="473" spans="3:84" x14ac:dyDescent="0.2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</row>
    <row r="474" spans="3:84" x14ac:dyDescent="0.2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</row>
    <row r="475" spans="3:84" x14ac:dyDescent="0.2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</row>
    <row r="476" spans="3:84" x14ac:dyDescent="0.2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</row>
    <row r="477" spans="3:84" x14ac:dyDescent="0.2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</row>
    <row r="478" spans="3:84" x14ac:dyDescent="0.2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</row>
    <row r="479" spans="3:84" x14ac:dyDescent="0.2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</row>
    <row r="480" spans="3:84" x14ac:dyDescent="0.2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</row>
    <row r="481" spans="3:84" x14ac:dyDescent="0.2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</row>
    <row r="482" spans="3:84" x14ac:dyDescent="0.2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</row>
    <row r="483" spans="3:84" x14ac:dyDescent="0.2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</row>
    <row r="484" spans="3:84" x14ac:dyDescent="0.2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</row>
    <row r="485" spans="3:84" x14ac:dyDescent="0.2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</row>
    <row r="486" spans="3:84" x14ac:dyDescent="0.2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</row>
    <row r="487" spans="3:84" x14ac:dyDescent="0.2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</row>
    <row r="488" spans="3:84" x14ac:dyDescent="0.2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</row>
    <row r="489" spans="3:84" x14ac:dyDescent="0.2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</row>
    <row r="490" spans="3:84" x14ac:dyDescent="0.2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</row>
    <row r="491" spans="3:84" x14ac:dyDescent="0.2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</row>
    <row r="492" spans="3:84" x14ac:dyDescent="0.2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</row>
    <row r="493" spans="3:84" x14ac:dyDescent="0.2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</row>
    <row r="494" spans="3:84" x14ac:dyDescent="0.2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</row>
    <row r="495" spans="3:84" x14ac:dyDescent="0.2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</row>
    <row r="496" spans="3:84" x14ac:dyDescent="0.2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</row>
    <row r="497" spans="3:84" x14ac:dyDescent="0.2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</row>
    <row r="498" spans="3:84" x14ac:dyDescent="0.2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</row>
    <row r="499" spans="3:84" x14ac:dyDescent="0.2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</row>
    <row r="500" spans="3:84" x14ac:dyDescent="0.2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</row>
    <row r="501" spans="3:84" x14ac:dyDescent="0.2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</row>
    <row r="502" spans="3:84" x14ac:dyDescent="0.2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</row>
    <row r="503" spans="3:84" x14ac:dyDescent="0.2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</row>
    <row r="504" spans="3:84" x14ac:dyDescent="0.2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</row>
    <row r="505" spans="3:84" x14ac:dyDescent="0.2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</row>
    <row r="506" spans="3:84" x14ac:dyDescent="0.2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</row>
    <row r="507" spans="3:84" x14ac:dyDescent="0.2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</row>
    <row r="508" spans="3:84" x14ac:dyDescent="0.2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</row>
    <row r="509" spans="3:84" x14ac:dyDescent="0.2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</row>
    <row r="510" spans="3:84" x14ac:dyDescent="0.2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</row>
    <row r="511" spans="3:84" x14ac:dyDescent="0.2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</row>
    <row r="512" spans="3:84" x14ac:dyDescent="0.2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</row>
    <row r="513" spans="3:84" x14ac:dyDescent="0.2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</row>
    <row r="514" spans="3:84" x14ac:dyDescent="0.2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</row>
    <row r="515" spans="3:84" x14ac:dyDescent="0.2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</row>
    <row r="516" spans="3:84" x14ac:dyDescent="0.2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</row>
    <row r="517" spans="3:84" x14ac:dyDescent="0.2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</row>
    <row r="518" spans="3:84" x14ac:dyDescent="0.2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</row>
    <row r="519" spans="3:84" x14ac:dyDescent="0.2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</row>
    <row r="520" spans="3:84" x14ac:dyDescent="0.2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</row>
    <row r="521" spans="3:84" x14ac:dyDescent="0.2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</row>
    <row r="522" spans="3:84" x14ac:dyDescent="0.2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</row>
    <row r="523" spans="3:84" x14ac:dyDescent="0.2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</row>
    <row r="524" spans="3:84" x14ac:dyDescent="0.2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</row>
    <row r="525" spans="3:84" x14ac:dyDescent="0.2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</row>
    <row r="526" spans="3:84" x14ac:dyDescent="0.2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</row>
    <row r="527" spans="3:84" x14ac:dyDescent="0.2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</row>
    <row r="528" spans="3:84" x14ac:dyDescent="0.2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</row>
    <row r="529" spans="3:84" x14ac:dyDescent="0.2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</row>
    <row r="530" spans="3:84" x14ac:dyDescent="0.2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</row>
    <row r="531" spans="3:84" x14ac:dyDescent="0.2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</row>
    <row r="532" spans="3:84" x14ac:dyDescent="0.2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</row>
    <row r="533" spans="3:84" x14ac:dyDescent="0.2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</row>
    <row r="534" spans="3:84" x14ac:dyDescent="0.2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</row>
  </sheetData>
  <hyperlinks>
    <hyperlink ref="A1" location="Main!A1" display="Main" xr:uid="{DE4A452B-9493-48EF-902C-2672B26969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2025-03-24T12:28:22Z</dcterms:created>
  <dcterms:modified xsi:type="dcterms:W3CDTF">2026-03-11T16:03:06Z</dcterms:modified>
</cp:coreProperties>
</file>