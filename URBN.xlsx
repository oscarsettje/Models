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B0496A15-73AA-4132-A7CC-B82FF9E79C83}" xr6:coauthVersionLast="47" xr6:coauthVersionMax="47" xr10:uidLastSave="{00000000-0000-0000-0000-000000000000}"/>
  <bookViews>
    <workbookView xWindow="19095" yWindow="0" windowWidth="19410" windowHeight="20985" xr2:uid="{74F0CBED-AE29-49BC-826C-5A327DCF0A9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P28" i="2"/>
  <c r="P26" i="2"/>
  <c r="P24" i="2"/>
  <c r="P40" i="2" s="1"/>
  <c r="P22" i="2"/>
  <c r="P20" i="2"/>
  <c r="P7" i="2"/>
  <c r="P39" i="2"/>
  <c r="P38" i="2"/>
  <c r="P37" i="2"/>
  <c r="P36" i="2"/>
  <c r="P35" i="2"/>
  <c r="P34" i="2"/>
  <c r="P33" i="2"/>
  <c r="P32" i="2"/>
  <c r="P3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28" i="2"/>
  <c r="O26" i="2"/>
  <c r="O24" i="2"/>
  <c r="O22" i="2"/>
  <c r="O20" i="2"/>
  <c r="O7" i="2"/>
  <c r="N28" i="2"/>
  <c r="N26" i="2"/>
  <c r="N24" i="2"/>
  <c r="N22" i="2"/>
  <c r="N20" i="2"/>
  <c r="M40" i="2"/>
  <c r="M39" i="2"/>
  <c r="M38" i="2"/>
  <c r="M37" i="2"/>
  <c r="M36" i="2"/>
  <c r="M35" i="2"/>
  <c r="M34" i="2"/>
  <c r="M33" i="2"/>
  <c r="M32" i="2"/>
  <c r="M28" i="2"/>
  <c r="M26" i="2"/>
  <c r="M24" i="2"/>
  <c r="M22" i="2"/>
  <c r="M19" i="2"/>
  <c r="M20" i="2"/>
  <c r="L40" i="2"/>
  <c r="L39" i="2"/>
  <c r="L38" i="2"/>
  <c r="L37" i="2"/>
  <c r="L36" i="2"/>
  <c r="L35" i="2"/>
  <c r="L34" i="2"/>
  <c r="L33" i="2"/>
  <c r="L32" i="2"/>
  <c r="L28" i="2"/>
  <c r="L20" i="2"/>
  <c r="L22" i="2" s="1"/>
  <c r="L24" i="2" s="1"/>
  <c r="L26" i="2" s="1"/>
  <c r="J5" i="2"/>
  <c r="J7" i="2" s="1"/>
  <c r="H31" i="2"/>
  <c r="G31" i="2"/>
  <c r="I31" i="2"/>
  <c r="K40" i="2"/>
  <c r="K39" i="2"/>
  <c r="K38" i="2"/>
  <c r="K37" i="2"/>
  <c r="J36" i="2"/>
  <c r="I36" i="2"/>
  <c r="H36" i="2"/>
  <c r="G36" i="2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K36" i="2"/>
  <c r="K35" i="2"/>
  <c r="K34" i="2"/>
  <c r="K33" i="2"/>
  <c r="K32" i="2"/>
  <c r="E5" i="2"/>
  <c r="E7" i="2" s="1"/>
  <c r="N7" i="2"/>
  <c r="M7" i="2"/>
  <c r="M31" i="2" s="1"/>
  <c r="L7" i="2"/>
  <c r="L31" i="2" s="1"/>
  <c r="K7" i="2"/>
  <c r="K31" i="2" s="1"/>
  <c r="H7" i="2"/>
  <c r="G7" i="2"/>
  <c r="F7" i="2"/>
  <c r="D7" i="2"/>
  <c r="C7" i="2"/>
  <c r="I7" i="2"/>
  <c r="G19" i="2"/>
  <c r="G20" i="2" s="1"/>
  <c r="G22" i="2" s="1"/>
  <c r="G24" i="2" s="1"/>
  <c r="G26" i="2" s="1"/>
  <c r="G28" i="2" s="1"/>
  <c r="K20" i="2"/>
  <c r="K22" i="2" s="1"/>
  <c r="K24" i="2" s="1"/>
  <c r="K26" i="2" s="1"/>
  <c r="K28" i="2" s="1"/>
  <c r="F21" i="2"/>
  <c r="F19" i="2"/>
  <c r="F20" i="2" s="1"/>
  <c r="H37" i="2"/>
  <c r="G37" i="2"/>
  <c r="J37" i="2"/>
  <c r="I37" i="2"/>
  <c r="J20" i="2"/>
  <c r="J22" i="2" s="1"/>
  <c r="J24" i="2" s="1"/>
  <c r="J26" i="2" s="1"/>
  <c r="J28" i="2" s="1"/>
  <c r="H20" i="2"/>
  <c r="H22" i="2" s="1"/>
  <c r="H24" i="2" s="1"/>
  <c r="H26" i="2" s="1"/>
  <c r="H28" i="2" s="1"/>
  <c r="D20" i="2"/>
  <c r="D22" i="2" s="1"/>
  <c r="D24" i="2" s="1"/>
  <c r="D26" i="2" s="1"/>
  <c r="D28" i="2" s="1"/>
  <c r="C20" i="2"/>
  <c r="C22" i="2" s="1"/>
  <c r="C24" i="2" s="1"/>
  <c r="C26" i="2" s="1"/>
  <c r="C28" i="2" s="1"/>
  <c r="E19" i="2"/>
  <c r="E20" i="2" s="1"/>
  <c r="E22" i="2" s="1"/>
  <c r="E24" i="2" s="1"/>
  <c r="E26" i="2" s="1"/>
  <c r="E28" i="2" s="1"/>
  <c r="I20" i="2"/>
  <c r="I22" i="2" s="1"/>
  <c r="I24" i="2" s="1"/>
  <c r="I26" i="2" s="1"/>
  <c r="I28" i="2" s="1"/>
  <c r="J4" i="1"/>
  <c r="J31" i="2" l="1"/>
  <c r="J7" i="1"/>
  <c r="F22" i="2"/>
  <c r="F24" i="2" s="1"/>
  <c r="F26" i="2" s="1"/>
  <c r="F28" i="2" s="1"/>
  <c r="I39" i="2"/>
  <c r="I38" i="2"/>
  <c r="I40" i="2"/>
  <c r="G39" i="2"/>
  <c r="G40" i="2"/>
  <c r="C38" i="2"/>
  <c r="D38" i="2"/>
  <c r="E38" i="2"/>
  <c r="G38" i="2"/>
  <c r="H38" i="2"/>
  <c r="C39" i="2"/>
  <c r="D39" i="2"/>
  <c r="E39" i="2"/>
  <c r="H39" i="2"/>
  <c r="C40" i="2"/>
  <c r="D40" i="2"/>
  <c r="E40" i="2"/>
  <c r="H40" i="2"/>
  <c r="F38" i="2"/>
  <c r="J38" i="2"/>
  <c r="J39" i="2"/>
  <c r="J40" i="2"/>
  <c r="F40" i="2" l="1"/>
  <c r="F39" i="2"/>
</calcChain>
</file>

<file path=xl/sharedStrings.xml><?xml version="1.0" encoding="utf-8"?>
<sst xmlns="http://schemas.openxmlformats.org/spreadsheetml/2006/main" count="65" uniqueCount="61">
  <si>
    <t>URBN</t>
  </si>
  <si>
    <t>Urban Outfiters</t>
  </si>
  <si>
    <t>numbers in mio USD</t>
  </si>
  <si>
    <t>IR</t>
  </si>
  <si>
    <t>Price</t>
  </si>
  <si>
    <t>Shares</t>
  </si>
  <si>
    <t>MC</t>
  </si>
  <si>
    <t>Cash</t>
  </si>
  <si>
    <t>Debt</t>
  </si>
  <si>
    <t>EV</t>
  </si>
  <si>
    <t>Main</t>
  </si>
  <si>
    <t>Q125</t>
  </si>
  <si>
    <t>Q124</t>
  </si>
  <si>
    <t>Q224</t>
  </si>
  <si>
    <t>Q324</t>
  </si>
  <si>
    <t>Q424</t>
  </si>
  <si>
    <t>Q225</t>
  </si>
  <si>
    <t>Q325</t>
  </si>
  <si>
    <t>Q425</t>
  </si>
  <si>
    <t>Revenue</t>
  </si>
  <si>
    <t>COGS</t>
  </si>
  <si>
    <t>Gross Profit</t>
  </si>
  <si>
    <t>Operating Expenses</t>
  </si>
  <si>
    <t>Operating Income</t>
  </si>
  <si>
    <t>Other Income</t>
  </si>
  <si>
    <t>Pretax Income</t>
  </si>
  <si>
    <t>Tax Expense</t>
  </si>
  <si>
    <t>Net Income</t>
  </si>
  <si>
    <t>EPS</t>
  </si>
  <si>
    <t>Gross Margin</t>
  </si>
  <si>
    <t xml:space="preserve">Operating Margin </t>
  </si>
  <si>
    <t>Tax Rate</t>
  </si>
  <si>
    <t>Revenue Growth</t>
  </si>
  <si>
    <t>Anthroplogie Revenue</t>
  </si>
  <si>
    <t>Free People Revenue</t>
  </si>
  <si>
    <t>Urban Outfiters Revenue</t>
  </si>
  <si>
    <t>Nuuly Revenue</t>
  </si>
  <si>
    <t>Menus &amp; Venues Revenue</t>
  </si>
  <si>
    <t>Retail Revenue</t>
  </si>
  <si>
    <t>Subscription Revenue</t>
  </si>
  <si>
    <t>Wholesale Revenue</t>
  </si>
  <si>
    <t>Q126</t>
  </si>
  <si>
    <t>Q226</t>
  </si>
  <si>
    <t>Q326</t>
  </si>
  <si>
    <t>Q426</t>
  </si>
  <si>
    <t>Urban Outfiters Stores</t>
  </si>
  <si>
    <t>Anthropologie Stores</t>
  </si>
  <si>
    <t>Free People Stores</t>
  </si>
  <si>
    <t>Menus &amp; Venues Stores</t>
  </si>
  <si>
    <t xml:space="preserve">Total Stores </t>
  </si>
  <si>
    <t>Franchise Stores</t>
  </si>
  <si>
    <t>Store Growth</t>
  </si>
  <si>
    <t>Anthroplogie Growth</t>
  </si>
  <si>
    <t>Free People Growth</t>
  </si>
  <si>
    <t>Urban Outfiters Growth</t>
  </si>
  <si>
    <t>Nuuly Growth</t>
  </si>
  <si>
    <t>Menus &amp; Venues Growth</t>
  </si>
  <si>
    <t>Q127</t>
  </si>
  <si>
    <t>Q227</t>
  </si>
  <si>
    <t>Q327</t>
  </si>
  <si>
    <t>Q427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</si>
</sst>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#,#00;\(#,##0.0\)"/>
    <numFmt numFmtId="166" formatCode="#,##0.0;\(#,##0.0\)"/>
    <numFmt numFmtId="167" formatCode="#,##0;\(#,##0\)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6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0" fontId="7" fillId="0" borderId="0" xfId="2" applyFont="1"/>
    <xf numFmtId="167" fontId="3" fillId="0" borderId="0" xfId="0" applyNumberFormat="1" applyFont="1" applyAlignment="1">
      <alignment horizontal="right"/>
    </xf>
    <xf numFmtId="166" fontId="3" fillId="0" borderId="0" xfId="0" applyNumberFormat="1" applyFont="1"/>
    <xf numFmtId="167" fontId="6" fillId="0" borderId="0" xfId="0" applyNumberFormat="1" applyFont="1" applyAlignment="1">
      <alignment horizontal="right"/>
    </xf>
    <xf numFmtId="166" fontId="6" fillId="0" borderId="0" xfId="0" applyNumberFormat="1" applyFont="1"/>
    <xf numFmtId="166" fontId="3" fillId="0" borderId="0" xfId="0" applyNumberFormat="1" applyFont="1" applyAlignment="1">
      <alignment horizontal="right"/>
    </xf>
    <xf numFmtId="165" fontId="3" fillId="0" borderId="0" xfId="0" applyNumberFormat="1" applyFont="1"/>
    <xf numFmtId="4" fontId="3" fillId="0" borderId="0" xfId="0" applyNumberFormat="1" applyFont="1"/>
    <xf numFmtId="9" fontId="3" fillId="0" borderId="0" xfId="1" applyFont="1"/>
    <xf numFmtId="164" fontId="6" fillId="0" borderId="0" xfId="0" applyNumberFormat="1" applyFont="1"/>
    <xf numFmtId="9" fontId="6" fillId="0" borderId="0" xfId="1" applyFont="1"/>
    <xf numFmtId="0" fontId="2" fillId="0" borderId="0" xfId="0" applyFont="1" applyAlignment="1">
      <alignment horizontal="right"/>
    </xf>
    <xf numFmtId="167" fontId="3" fillId="0" borderId="0" xfId="0" applyNumberFormat="1" applyFont="1"/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or.urb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5A65-7955-473E-AB8C-4FB37DA242DC}">
  <dimension ref="A1:K7"/>
  <sheetViews>
    <sheetView tabSelected="1" topLeftCell="C1" zoomScale="200" zoomScaleNormal="200" workbookViewId="0">
      <selection activeCell="J9" sqref="J9:J10"/>
    </sheetView>
  </sheetViews>
  <sheetFormatPr defaultRowHeight="12.75" x14ac:dyDescent="0.2"/>
  <cols>
    <col min="1" max="1" width="4.28515625" style="2" customWidth="1"/>
    <col min="2" max="16384" width="9.140625" style="2"/>
  </cols>
  <sheetData>
    <row r="1" spans="1:11" x14ac:dyDescent="0.2">
      <c r="A1" s="1" t="s">
        <v>1</v>
      </c>
    </row>
    <row r="2" spans="1:11" x14ac:dyDescent="0.2">
      <c r="A2" s="2" t="s">
        <v>2</v>
      </c>
      <c r="I2" s="2" t="s">
        <v>4</v>
      </c>
      <c r="J2" s="2">
        <v>79.900000000000006</v>
      </c>
    </row>
    <row r="3" spans="1:11" x14ac:dyDescent="0.2">
      <c r="I3" s="2" t="s">
        <v>5</v>
      </c>
      <c r="J3" s="3">
        <v>85.633606999999998</v>
      </c>
      <c r="K3" s="18" t="s">
        <v>58</v>
      </c>
    </row>
    <row r="4" spans="1:11" x14ac:dyDescent="0.2">
      <c r="B4" s="2" t="s">
        <v>0</v>
      </c>
      <c r="I4" s="2" t="s">
        <v>6</v>
      </c>
      <c r="J4" s="3">
        <f>+J2*J3</f>
        <v>6842.1251993000005</v>
      </c>
      <c r="K4" s="4"/>
    </row>
    <row r="5" spans="1:11" x14ac:dyDescent="0.2">
      <c r="B5" s="5" t="s">
        <v>3</v>
      </c>
      <c r="I5" s="2" t="s">
        <v>7</v>
      </c>
      <c r="J5" s="3">
        <f>598.756+117.371</f>
        <v>716.12699999999995</v>
      </c>
      <c r="K5" s="18" t="s">
        <v>58</v>
      </c>
    </row>
    <row r="6" spans="1:11" x14ac:dyDescent="0.2">
      <c r="I6" s="2" t="s">
        <v>8</v>
      </c>
      <c r="J6" s="3">
        <v>0</v>
      </c>
      <c r="K6" s="18" t="s">
        <v>58</v>
      </c>
    </row>
    <row r="7" spans="1:11" x14ac:dyDescent="0.2">
      <c r="I7" s="2" t="s">
        <v>9</v>
      </c>
      <c r="J7" s="3">
        <f>+J4-J5+J6</f>
        <v>6125.9981993000001</v>
      </c>
    </row>
  </sheetData>
  <hyperlinks>
    <hyperlink ref="B5" r:id="rId1" xr:uid="{905FEC71-AF3C-440D-AD91-F767599A27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58D4-685D-4455-97E5-6E84929D73B9}">
  <dimension ref="A1:BH348"/>
  <sheetViews>
    <sheetView zoomScale="200" zoomScaleNormal="20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S1" sqref="S1"/>
    </sheetView>
  </sheetViews>
  <sheetFormatPr defaultRowHeight="12.75" x14ac:dyDescent="0.2"/>
  <cols>
    <col min="1" max="1" width="5.42578125" style="2" bestFit="1" customWidth="1"/>
    <col min="2" max="2" width="31.85546875" style="2" customWidth="1"/>
    <col min="3" max="16384" width="9.140625" style="2"/>
  </cols>
  <sheetData>
    <row r="1" spans="1:18" x14ac:dyDescent="0.2">
      <c r="A1" s="5" t="s">
        <v>10</v>
      </c>
    </row>
    <row r="2" spans="1:18" x14ac:dyDescent="0.2">
      <c r="C2" s="4" t="s">
        <v>12</v>
      </c>
      <c r="D2" s="4" t="s">
        <v>13</v>
      </c>
      <c r="E2" s="4" t="s">
        <v>14</v>
      </c>
      <c r="F2" s="4" t="s">
        <v>15</v>
      </c>
      <c r="G2" s="4" t="s">
        <v>11</v>
      </c>
      <c r="H2" s="4" t="s">
        <v>16</v>
      </c>
      <c r="I2" s="4" t="s">
        <v>17</v>
      </c>
      <c r="J2" s="4" t="s">
        <v>18</v>
      </c>
      <c r="K2" s="4" t="s">
        <v>41</v>
      </c>
      <c r="L2" s="4" t="s">
        <v>42</v>
      </c>
      <c r="M2" s="4" t="s">
        <v>43</v>
      </c>
      <c r="N2" s="4" t="s">
        <v>44</v>
      </c>
      <c r="O2" s="16" t="s">
        <v>57</v>
      </c>
      <c r="P2" s="16" t="s">
        <v>58</v>
      </c>
      <c r="Q2" s="16" t="s">
        <v>59</v>
      </c>
      <c r="R2" s="16" t="s">
        <v>60</v>
      </c>
    </row>
    <row r="3" spans="1:18" x14ac:dyDescent="0.2">
      <c r="B3" s="2" t="s">
        <v>45</v>
      </c>
      <c r="C3" s="6"/>
      <c r="D3" s="6"/>
      <c r="E3" s="6">
        <v>262</v>
      </c>
      <c r="F3" s="6">
        <v>262</v>
      </c>
      <c r="G3" s="6"/>
      <c r="H3" s="6"/>
      <c r="I3" s="6">
        <v>264</v>
      </c>
      <c r="J3" s="6">
        <v>255</v>
      </c>
      <c r="K3" s="6">
        <v>255</v>
      </c>
      <c r="L3" s="6">
        <v>257</v>
      </c>
      <c r="M3" s="6">
        <v>258</v>
      </c>
      <c r="N3" s="6">
        <v>253</v>
      </c>
      <c r="O3" s="6">
        <v>252</v>
      </c>
      <c r="P3" s="6">
        <v>252</v>
      </c>
      <c r="Q3" s="7"/>
      <c r="R3" s="7"/>
    </row>
    <row r="4" spans="1:18" x14ac:dyDescent="0.2">
      <c r="B4" s="2" t="s">
        <v>46</v>
      </c>
      <c r="C4" s="6"/>
      <c r="D4" s="6"/>
      <c r="E4" s="6">
        <v>237</v>
      </c>
      <c r="F4" s="6">
        <v>237</v>
      </c>
      <c r="G4" s="6"/>
      <c r="H4" s="6"/>
      <c r="I4" s="6">
        <v>242</v>
      </c>
      <c r="J4" s="6">
        <v>239</v>
      </c>
      <c r="K4" s="6">
        <v>239</v>
      </c>
      <c r="L4" s="6">
        <v>243</v>
      </c>
      <c r="M4" s="6">
        <v>248</v>
      </c>
      <c r="N4" s="6">
        <v>254</v>
      </c>
      <c r="O4" s="6">
        <v>256</v>
      </c>
      <c r="P4" s="6">
        <v>257</v>
      </c>
      <c r="Q4" s="7"/>
      <c r="R4" s="7"/>
    </row>
    <row r="5" spans="1:18" x14ac:dyDescent="0.2">
      <c r="B5" s="2" t="s">
        <v>47</v>
      </c>
      <c r="C5" s="6"/>
      <c r="D5" s="6"/>
      <c r="E5" s="6">
        <f>160+38</f>
        <v>198</v>
      </c>
      <c r="F5" s="6">
        <v>198</v>
      </c>
      <c r="G5" s="6"/>
      <c r="H5" s="6"/>
      <c r="I5" s="6">
        <v>216</v>
      </c>
      <c r="J5" s="6">
        <f>167+63</f>
        <v>230</v>
      </c>
      <c r="K5" s="6">
        <v>230</v>
      </c>
      <c r="L5" s="6">
        <v>247</v>
      </c>
      <c r="M5" s="6">
        <v>253</v>
      </c>
      <c r="N5" s="6">
        <v>268</v>
      </c>
      <c r="O5" s="6">
        <v>276</v>
      </c>
      <c r="P5" s="6">
        <v>284</v>
      </c>
      <c r="Q5" s="7"/>
      <c r="R5" s="7"/>
    </row>
    <row r="6" spans="1:18" x14ac:dyDescent="0.2">
      <c r="B6" s="2" t="s">
        <v>48</v>
      </c>
      <c r="C6" s="6"/>
      <c r="D6" s="6"/>
      <c r="E6" s="6">
        <v>9</v>
      </c>
      <c r="F6" s="6">
        <v>9</v>
      </c>
      <c r="G6" s="6"/>
      <c r="H6" s="6"/>
      <c r="I6" s="6">
        <v>9</v>
      </c>
      <c r="J6" s="6">
        <v>9</v>
      </c>
      <c r="K6" s="6">
        <v>9</v>
      </c>
      <c r="L6" s="6">
        <v>9</v>
      </c>
      <c r="M6" s="6">
        <v>9</v>
      </c>
      <c r="N6" s="6">
        <v>9</v>
      </c>
      <c r="O6" s="6">
        <v>8</v>
      </c>
      <c r="P6" s="6">
        <v>8</v>
      </c>
      <c r="Q6" s="7"/>
      <c r="R6" s="7"/>
    </row>
    <row r="7" spans="1:18" s="1" customFormat="1" x14ac:dyDescent="0.2">
      <c r="A7" s="2"/>
      <c r="B7" s="1" t="s">
        <v>49</v>
      </c>
      <c r="C7" s="8">
        <f t="shared" ref="C7:H7" si="0">+SUM(C3:C6)</f>
        <v>0</v>
      </c>
      <c r="D7" s="8">
        <f t="shared" si="0"/>
        <v>0</v>
      </c>
      <c r="E7" s="8">
        <f t="shared" si="0"/>
        <v>706</v>
      </c>
      <c r="F7" s="8">
        <f t="shared" si="0"/>
        <v>706</v>
      </c>
      <c r="G7" s="8">
        <f t="shared" si="0"/>
        <v>0</v>
      </c>
      <c r="H7" s="8">
        <f t="shared" si="0"/>
        <v>0</v>
      </c>
      <c r="I7" s="8">
        <f>+SUM(I3:I6)</f>
        <v>731</v>
      </c>
      <c r="J7" s="8">
        <f t="shared" ref="J7:P7" si="1">+SUM(J3:J6)</f>
        <v>733</v>
      </c>
      <c r="K7" s="8">
        <f t="shared" si="1"/>
        <v>733</v>
      </c>
      <c r="L7" s="8">
        <f t="shared" si="1"/>
        <v>756</v>
      </c>
      <c r="M7" s="8">
        <f t="shared" si="1"/>
        <v>768</v>
      </c>
      <c r="N7" s="8">
        <f t="shared" si="1"/>
        <v>784</v>
      </c>
      <c r="O7" s="8">
        <f t="shared" si="1"/>
        <v>792</v>
      </c>
      <c r="P7" s="8">
        <f t="shared" si="1"/>
        <v>801</v>
      </c>
      <c r="Q7" s="9"/>
      <c r="R7" s="9"/>
    </row>
    <row r="8" spans="1:18" x14ac:dyDescent="0.2">
      <c r="B8" s="2" t="s">
        <v>50</v>
      </c>
      <c r="C8" s="6"/>
      <c r="D8" s="6"/>
      <c r="E8" s="6">
        <v>9</v>
      </c>
      <c r="F8" s="6">
        <v>9</v>
      </c>
      <c r="G8" s="6"/>
      <c r="H8" s="6"/>
      <c r="I8" s="6">
        <v>9</v>
      </c>
      <c r="J8" s="6">
        <v>9</v>
      </c>
      <c r="K8" s="6">
        <v>9</v>
      </c>
      <c r="L8" s="6">
        <v>9</v>
      </c>
      <c r="M8" s="6">
        <v>9</v>
      </c>
      <c r="N8" s="6">
        <v>9</v>
      </c>
      <c r="O8" s="6">
        <v>9</v>
      </c>
      <c r="P8" s="17">
        <v>9</v>
      </c>
      <c r="Q8" s="7"/>
      <c r="R8" s="7"/>
    </row>
    <row r="9" spans="1:18" x14ac:dyDescent="0.2">
      <c r="C9" s="4"/>
      <c r="D9" s="4"/>
      <c r="E9" s="10"/>
      <c r="F9" s="10"/>
      <c r="G9" s="10"/>
      <c r="H9" s="10"/>
      <c r="I9" s="10"/>
      <c r="J9" s="10"/>
      <c r="K9" s="7"/>
      <c r="L9" s="7"/>
      <c r="M9" s="7"/>
      <c r="N9" s="7"/>
      <c r="O9" s="7"/>
      <c r="P9" s="7"/>
      <c r="Q9" s="7"/>
      <c r="R9" s="7"/>
    </row>
    <row r="10" spans="1:18" x14ac:dyDescent="0.2">
      <c r="B10" s="2" t="s">
        <v>33</v>
      </c>
      <c r="C10" s="10">
        <v>473.64</v>
      </c>
      <c r="D10" s="10">
        <v>530.08699999999999</v>
      </c>
      <c r="E10" s="10">
        <v>549.81899999999996</v>
      </c>
      <c r="F10" s="10">
        <v>679.524</v>
      </c>
      <c r="G10" s="10">
        <v>526.38499999999999</v>
      </c>
      <c r="H10" s="10">
        <v>569.1</v>
      </c>
      <c r="I10" s="10">
        <v>587.923</v>
      </c>
      <c r="J10" s="10">
        <v>743.03</v>
      </c>
      <c r="K10" s="7">
        <v>569.93100000000004</v>
      </c>
      <c r="L10" s="7">
        <v>606.95399999999995</v>
      </c>
      <c r="M10" s="7">
        <v>634.82799999999997</v>
      </c>
      <c r="N10" s="7">
        <v>774.89800000000002</v>
      </c>
      <c r="O10" s="7">
        <v>589.07299999999998</v>
      </c>
      <c r="P10" s="7">
        <v>634.53499999999997</v>
      </c>
      <c r="Q10" s="7"/>
      <c r="R10" s="7"/>
    </row>
    <row r="11" spans="1:18" x14ac:dyDescent="0.2">
      <c r="B11" s="2" t="s">
        <v>34</v>
      </c>
      <c r="C11" s="10">
        <v>273.73500000000001</v>
      </c>
      <c r="D11" s="10">
        <v>331.20100000000002</v>
      </c>
      <c r="E11" s="10">
        <v>331.77199999999999</v>
      </c>
      <c r="F11" s="10">
        <v>362.26600000000002</v>
      </c>
      <c r="G11" s="10">
        <v>318.69099999999997</v>
      </c>
      <c r="H11" s="10">
        <v>365.12900000000002</v>
      </c>
      <c r="I11" s="10">
        <v>365.85700000000003</v>
      </c>
      <c r="J11" s="10">
        <v>310.61799999999999</v>
      </c>
      <c r="K11" s="7">
        <v>353.11200000000002</v>
      </c>
      <c r="L11" s="7">
        <v>415.01400000000001</v>
      </c>
      <c r="M11" s="7">
        <v>399.27199999999999</v>
      </c>
      <c r="N11" s="7">
        <v>451.02300000000002</v>
      </c>
      <c r="O11" s="7">
        <v>411.71899999999999</v>
      </c>
      <c r="P11" s="7">
        <v>478.053</v>
      </c>
      <c r="Q11" s="7"/>
      <c r="R11" s="7"/>
    </row>
    <row r="12" spans="1:18" x14ac:dyDescent="0.2">
      <c r="B12" s="2" t="s">
        <v>35</v>
      </c>
      <c r="C12" s="10">
        <v>308.70800000000003</v>
      </c>
      <c r="D12" s="10">
        <v>346.42399999999998</v>
      </c>
      <c r="E12" s="10">
        <v>324.375</v>
      </c>
      <c r="F12" s="10">
        <v>372.56599999999997</v>
      </c>
      <c r="G12" s="10">
        <v>270.25799999999998</v>
      </c>
      <c r="H12" s="10">
        <v>316.71499999999997</v>
      </c>
      <c r="I12" s="10">
        <v>300.577</v>
      </c>
      <c r="J12" s="10">
        <v>360.19200000000001</v>
      </c>
      <c r="K12" s="7">
        <v>273.505</v>
      </c>
      <c r="L12" s="7">
        <v>333.17099999999999</v>
      </c>
      <c r="M12" s="7">
        <v>339.84800000000001</v>
      </c>
      <c r="N12" s="7">
        <v>405.10500000000002</v>
      </c>
      <c r="O12" s="7">
        <v>304.72699999999998</v>
      </c>
      <c r="P12" s="7">
        <v>360.01499999999999</v>
      </c>
      <c r="Q12" s="7"/>
      <c r="R12" s="7"/>
    </row>
    <row r="13" spans="1:18" x14ac:dyDescent="0.2">
      <c r="B13" s="2" t="s">
        <v>36</v>
      </c>
      <c r="C13" s="10">
        <v>51.47</v>
      </c>
      <c r="D13" s="10">
        <v>55.792999999999999</v>
      </c>
      <c r="E13" s="10">
        <v>65.516000000000005</v>
      </c>
      <c r="F13" s="10">
        <v>63.08</v>
      </c>
      <c r="G13" s="10">
        <v>77.941999999999993</v>
      </c>
      <c r="H13" s="10">
        <v>90.695999999999998</v>
      </c>
      <c r="I13" s="10">
        <v>97.231999999999999</v>
      </c>
      <c r="J13" s="10">
        <v>122.524</v>
      </c>
      <c r="K13" s="7">
        <v>124.354</v>
      </c>
      <c r="L13" s="7">
        <v>138.93199999999999</v>
      </c>
      <c r="M13" s="7">
        <v>144.62899999999999</v>
      </c>
      <c r="N13" s="7">
        <v>160.50299999999999</v>
      </c>
      <c r="O13" s="7">
        <v>167.26400000000001</v>
      </c>
      <c r="P13" s="7">
        <v>178.60499999999999</v>
      </c>
      <c r="Q13" s="7"/>
      <c r="R13" s="7"/>
    </row>
    <row r="14" spans="1:18" x14ac:dyDescent="0.2">
      <c r="B14" s="2" t="s">
        <v>37</v>
      </c>
      <c r="C14" s="10">
        <v>6.1210000000000004</v>
      </c>
      <c r="D14" s="10">
        <v>8.69</v>
      </c>
      <c r="E14" s="10">
        <v>9.6920000000000002</v>
      </c>
      <c r="F14" s="10">
        <v>8.7579999999999991</v>
      </c>
      <c r="G14" s="10">
        <v>7.4560000000000004</v>
      </c>
      <c r="H14" s="10">
        <v>10.319000000000001</v>
      </c>
      <c r="I14" s="10">
        <v>10.266</v>
      </c>
      <c r="J14" s="10">
        <v>9.7560000000000002</v>
      </c>
      <c r="K14" s="7">
        <v>8.5990000000000002</v>
      </c>
      <c r="L14" s="7">
        <v>10.683999999999999</v>
      </c>
      <c r="M14" s="7">
        <v>10.773</v>
      </c>
      <c r="N14" s="7">
        <v>10.241</v>
      </c>
      <c r="O14" s="7">
        <v>8.5619999999999994</v>
      </c>
      <c r="P14" s="7">
        <v>10.707000000000001</v>
      </c>
      <c r="Q14" s="7"/>
      <c r="R14" s="7"/>
    </row>
    <row r="15" spans="1:18" x14ac:dyDescent="0.2">
      <c r="B15" s="2" t="s">
        <v>38</v>
      </c>
      <c r="C15" s="10">
        <v>1004.101</v>
      </c>
      <c r="D15" s="10">
        <v>1160.0889999999999</v>
      </c>
      <c r="E15" s="10">
        <v>1145.7660000000001</v>
      </c>
      <c r="F15" s="10">
        <v>1368.742</v>
      </c>
      <c r="G15" s="10">
        <v>1062.6849999999999</v>
      </c>
      <c r="H15" s="10">
        <v>1196.4559999999999</v>
      </c>
      <c r="I15" s="10">
        <v>1182.557</v>
      </c>
      <c r="J15" s="10">
        <v>1454.9960000000001</v>
      </c>
      <c r="K15" s="7">
        <v>1130.51</v>
      </c>
      <c r="L15" s="7">
        <v>1289.269</v>
      </c>
      <c r="M15" s="7">
        <v>1296.454</v>
      </c>
      <c r="N15" s="7">
        <v>1566.443</v>
      </c>
      <c r="O15" s="7">
        <v>1220.914</v>
      </c>
      <c r="P15" s="7">
        <v>1392.52</v>
      </c>
      <c r="Q15" s="7"/>
      <c r="R15" s="7"/>
    </row>
    <row r="16" spans="1:18" x14ac:dyDescent="0.2">
      <c r="B16" s="2" t="s">
        <v>39</v>
      </c>
      <c r="C16" s="10">
        <v>51.47</v>
      </c>
      <c r="D16" s="10">
        <v>55.792999999999999</v>
      </c>
      <c r="E16" s="10">
        <v>65.516000000000005</v>
      </c>
      <c r="F16" s="10">
        <v>63.08</v>
      </c>
      <c r="G16" s="10">
        <v>77.941999999999993</v>
      </c>
      <c r="H16" s="10">
        <v>90.695999999999998</v>
      </c>
      <c r="I16" s="10">
        <v>97.231999999999999</v>
      </c>
      <c r="J16" s="10">
        <v>112.524</v>
      </c>
      <c r="K16" s="7">
        <v>124.53400000000001</v>
      </c>
      <c r="L16" s="7">
        <v>138.93199999999999</v>
      </c>
      <c r="M16" s="7">
        <v>144.62899999999999</v>
      </c>
      <c r="N16" s="7">
        <v>160.50299999999999</v>
      </c>
      <c r="O16" s="7">
        <v>167.26400000000001</v>
      </c>
      <c r="P16" s="7">
        <v>178.60499999999999</v>
      </c>
      <c r="Q16" s="7"/>
      <c r="R16" s="7"/>
    </row>
    <row r="17" spans="2:60" x14ac:dyDescent="0.2">
      <c r="B17" s="2" t="s">
        <v>40</v>
      </c>
      <c r="C17" s="10">
        <v>58.103000000000002</v>
      </c>
      <c r="D17" s="10">
        <v>56.313000000000002</v>
      </c>
      <c r="E17" s="10">
        <v>69.891999999999996</v>
      </c>
      <c r="F17" s="10">
        <v>54.372</v>
      </c>
      <c r="G17" s="10">
        <v>60.104999999999997</v>
      </c>
      <c r="H17" s="10">
        <v>64.807000000000002</v>
      </c>
      <c r="I17" s="10">
        <v>82.066000000000003</v>
      </c>
      <c r="J17" s="10">
        <v>68.599999999999994</v>
      </c>
      <c r="K17" s="7">
        <v>74.637</v>
      </c>
      <c r="L17" s="7">
        <v>76.554000000000002</v>
      </c>
      <c r="M17" s="7">
        <v>88.266999999999996</v>
      </c>
      <c r="N17" s="7">
        <v>74.823999999999998</v>
      </c>
      <c r="O17" s="7">
        <v>93.167000000000002</v>
      </c>
      <c r="P17" s="7">
        <v>90.79</v>
      </c>
      <c r="Q17" s="7"/>
      <c r="R17" s="7"/>
    </row>
    <row r="18" spans="2:60" x14ac:dyDescent="0.2">
      <c r="B18" s="1" t="s">
        <v>19</v>
      </c>
      <c r="C18" s="9">
        <v>1113.6574000000001</v>
      </c>
      <c r="D18" s="9">
        <v>1272.1949999999999</v>
      </c>
      <c r="E18" s="9">
        <v>1281.174</v>
      </c>
      <c r="F18" s="9">
        <v>1486.194</v>
      </c>
      <c r="G18" s="9">
        <v>1200.732</v>
      </c>
      <c r="H18" s="9">
        <v>1351.9590000000001</v>
      </c>
      <c r="I18" s="9">
        <v>1361.855</v>
      </c>
      <c r="J18" s="9">
        <v>1636.12</v>
      </c>
      <c r="K18" s="9">
        <v>1329.501</v>
      </c>
      <c r="L18" s="9">
        <v>1504.7550000000001</v>
      </c>
      <c r="M18" s="9">
        <v>1529.35</v>
      </c>
      <c r="N18" s="9">
        <v>1801.77</v>
      </c>
      <c r="O18" s="9">
        <v>1481.345</v>
      </c>
      <c r="P18" s="9">
        <v>1661.915</v>
      </c>
      <c r="Q18" s="7"/>
      <c r="R18" s="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2:60" x14ac:dyDescent="0.2">
      <c r="B19" s="2" t="s">
        <v>20</v>
      </c>
      <c r="C19" s="11">
        <v>742.44299999999998</v>
      </c>
      <c r="D19" s="7">
        <v>816.61400000000003</v>
      </c>
      <c r="E19" s="7">
        <f>825.375+1.392</f>
        <v>826.76700000000005</v>
      </c>
      <c r="F19" s="7">
        <f>1041.526+10.483</f>
        <v>1052.009</v>
      </c>
      <c r="G19" s="7">
        <f>787.746+4.601</f>
        <v>792.34699999999998</v>
      </c>
      <c r="H19" s="7"/>
      <c r="I19" s="7">
        <v>864.53599999999994</v>
      </c>
      <c r="J19" s="7">
        <v>1108.4390000000001</v>
      </c>
      <c r="K19" s="7">
        <v>840.43700000000001</v>
      </c>
      <c r="L19" s="7">
        <v>938.59400000000005</v>
      </c>
      <c r="M19" s="7">
        <f>964.034+1.989</f>
        <v>966.02300000000002</v>
      </c>
      <c r="N19" s="7">
        <v>1202.569</v>
      </c>
      <c r="O19" s="7">
        <v>938.779</v>
      </c>
      <c r="P19" s="7">
        <v>940.36400000000003</v>
      </c>
      <c r="Q19" s="7"/>
      <c r="R19" s="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</row>
    <row r="20" spans="2:60" x14ac:dyDescent="0.2">
      <c r="B20" s="2" t="s">
        <v>21</v>
      </c>
      <c r="C20" s="3">
        <f t="shared" ref="C20:H20" si="2">+C18-C19</f>
        <v>371.21440000000007</v>
      </c>
      <c r="D20" s="7">
        <f t="shared" si="2"/>
        <v>455.5809999999999</v>
      </c>
      <c r="E20" s="3">
        <f t="shared" si="2"/>
        <v>454.40699999999993</v>
      </c>
      <c r="F20" s="3">
        <f t="shared" si="2"/>
        <v>434.18499999999995</v>
      </c>
      <c r="G20" s="3">
        <f>+G18-G19</f>
        <v>408.38499999999999</v>
      </c>
      <c r="H20" s="3">
        <f t="shared" si="2"/>
        <v>1351.9590000000001</v>
      </c>
      <c r="I20" s="3">
        <f>+I18-I19</f>
        <v>497.31900000000007</v>
      </c>
      <c r="J20" s="3">
        <f t="shared" ref="J20:P20" si="3">+J18-J19</f>
        <v>527.68099999999981</v>
      </c>
      <c r="K20" s="3">
        <f t="shared" si="3"/>
        <v>489.06399999999996</v>
      </c>
      <c r="L20" s="3">
        <f t="shared" si="3"/>
        <v>566.16100000000006</v>
      </c>
      <c r="M20" s="3">
        <f t="shared" si="3"/>
        <v>563.32699999999988</v>
      </c>
      <c r="N20" s="3">
        <f t="shared" si="3"/>
        <v>599.20100000000002</v>
      </c>
      <c r="O20" s="3">
        <f t="shared" si="3"/>
        <v>542.56600000000003</v>
      </c>
      <c r="P20" s="3">
        <f t="shared" si="3"/>
        <v>721.55099999999993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</row>
    <row r="21" spans="2:60" x14ac:dyDescent="0.2">
      <c r="B21" s="2" t="s">
        <v>22</v>
      </c>
      <c r="C21" s="3">
        <v>299.84800000000001</v>
      </c>
      <c r="D21" s="7">
        <v>323.483</v>
      </c>
      <c r="E21" s="3">
        <v>345.42899999999997</v>
      </c>
      <c r="F21" s="3">
        <f>370.445+6.404</f>
        <v>376.84899999999999</v>
      </c>
      <c r="G21" s="3">
        <v>333.76100000000002</v>
      </c>
      <c r="H21" s="3"/>
      <c r="I21" s="3">
        <v>368.62799999999999</v>
      </c>
      <c r="J21" s="3">
        <v>402.36700000000002</v>
      </c>
      <c r="K21" s="3">
        <v>360.84699999999998</v>
      </c>
      <c r="L21" s="3">
        <v>391.774</v>
      </c>
      <c r="M21" s="3">
        <v>419.00799999999998</v>
      </c>
      <c r="N21" s="3">
        <v>440.5</v>
      </c>
      <c r="O21" s="3">
        <v>402.88499999999999</v>
      </c>
      <c r="P21" s="3">
        <v>432.81200000000001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</row>
    <row r="22" spans="2:60" x14ac:dyDescent="0.2">
      <c r="B22" s="2" t="s">
        <v>23</v>
      </c>
      <c r="C22" s="3">
        <f t="shared" ref="C22:H22" si="4">+C20-C21</f>
        <v>71.366400000000056</v>
      </c>
      <c r="D22" s="7">
        <f t="shared" si="4"/>
        <v>132.0979999999999</v>
      </c>
      <c r="E22" s="3">
        <f t="shared" si="4"/>
        <v>108.97799999999995</v>
      </c>
      <c r="F22" s="3">
        <f t="shared" si="4"/>
        <v>57.335999999999956</v>
      </c>
      <c r="G22" s="3">
        <f t="shared" si="4"/>
        <v>74.623999999999967</v>
      </c>
      <c r="H22" s="3">
        <f t="shared" si="4"/>
        <v>1351.9590000000001</v>
      </c>
      <c r="I22" s="3">
        <f>+I20-I21</f>
        <v>128.69100000000009</v>
      </c>
      <c r="J22" s="3">
        <f t="shared" ref="J22:P22" si="5">+J20-J21</f>
        <v>125.31399999999979</v>
      </c>
      <c r="K22" s="3">
        <f t="shared" si="5"/>
        <v>128.21699999999998</v>
      </c>
      <c r="L22" s="3">
        <f t="shared" si="5"/>
        <v>174.38700000000006</v>
      </c>
      <c r="M22" s="3">
        <f t="shared" si="5"/>
        <v>144.3189999999999</v>
      </c>
      <c r="N22" s="3">
        <f t="shared" si="5"/>
        <v>158.70100000000002</v>
      </c>
      <c r="O22" s="3">
        <f t="shared" si="5"/>
        <v>139.68100000000004</v>
      </c>
      <c r="P22" s="3">
        <f t="shared" si="5"/>
        <v>288.73899999999992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</row>
    <row r="23" spans="2:60" x14ac:dyDescent="0.2">
      <c r="B23" s="2" t="s">
        <v>24</v>
      </c>
      <c r="C23" s="3">
        <v>1.0189999999999999</v>
      </c>
      <c r="D23" s="7">
        <v>3.399</v>
      </c>
      <c r="E23" s="3">
        <v>0.70499999999999996</v>
      </c>
      <c r="F23" s="3">
        <v>6.6890000000000001</v>
      </c>
      <c r="G23" s="3">
        <v>6.2460000000000004</v>
      </c>
      <c r="H23" s="3"/>
      <c r="I23" s="3">
        <v>7.141</v>
      </c>
      <c r="J23" s="3">
        <v>5.5919999999999996</v>
      </c>
      <c r="K23" s="3">
        <v>9.6460000000000008</v>
      </c>
      <c r="L23" s="3">
        <v>8.8859999999999992</v>
      </c>
      <c r="M23" s="3">
        <v>8.1259999999999994</v>
      </c>
      <c r="N23" s="3">
        <v>-35.395000000000003</v>
      </c>
      <c r="O23" s="3">
        <v>6.1849999999999996</v>
      </c>
      <c r="P23" s="3">
        <v>9.8010000000000002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</row>
    <row r="24" spans="2:60" x14ac:dyDescent="0.2">
      <c r="B24" s="2" t="s">
        <v>25</v>
      </c>
      <c r="C24" s="3">
        <f t="shared" ref="C24:H24" si="6">+C22+C23</f>
        <v>72.385400000000061</v>
      </c>
      <c r="D24" s="7">
        <f t="shared" si="6"/>
        <v>135.4969999999999</v>
      </c>
      <c r="E24" s="3">
        <f t="shared" si="6"/>
        <v>109.68299999999995</v>
      </c>
      <c r="F24" s="3">
        <f t="shared" si="6"/>
        <v>64.024999999999949</v>
      </c>
      <c r="G24" s="3">
        <f t="shared" si="6"/>
        <v>80.869999999999962</v>
      </c>
      <c r="H24" s="3">
        <f t="shared" si="6"/>
        <v>1351.9590000000001</v>
      </c>
      <c r="I24" s="3">
        <f>+I22+I23</f>
        <v>135.83200000000008</v>
      </c>
      <c r="J24" s="3">
        <f t="shared" ref="J24:P24" si="7">+J22+J23</f>
        <v>130.90599999999981</v>
      </c>
      <c r="K24" s="3">
        <f t="shared" si="7"/>
        <v>137.863</v>
      </c>
      <c r="L24" s="3">
        <f t="shared" si="7"/>
        <v>183.27300000000005</v>
      </c>
      <c r="M24" s="3">
        <f t="shared" si="7"/>
        <v>152.44499999999991</v>
      </c>
      <c r="N24" s="3">
        <f t="shared" si="7"/>
        <v>123.30600000000001</v>
      </c>
      <c r="O24" s="3">
        <f t="shared" si="7"/>
        <v>145.86600000000004</v>
      </c>
      <c r="P24" s="3">
        <f t="shared" si="7"/>
        <v>298.53999999999991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</row>
    <row r="25" spans="2:60" x14ac:dyDescent="0.2">
      <c r="B25" s="2" t="s">
        <v>26</v>
      </c>
      <c r="C25" s="3">
        <v>19.585000000000001</v>
      </c>
      <c r="D25" s="7">
        <v>31.405000000000001</v>
      </c>
      <c r="E25" s="3">
        <v>26.669</v>
      </c>
      <c r="F25" s="3">
        <v>16.274000000000001</v>
      </c>
      <c r="G25" s="3">
        <v>19.105</v>
      </c>
      <c r="H25" s="3"/>
      <c r="I25" s="3">
        <v>32.920999999999999</v>
      </c>
      <c r="J25" s="3">
        <v>10.605</v>
      </c>
      <c r="K25" s="3">
        <v>29.526</v>
      </c>
      <c r="L25" s="3">
        <v>39.408000000000001</v>
      </c>
      <c r="M25" s="3">
        <v>36.003999999999998</v>
      </c>
      <c r="N25" s="3">
        <v>27.039000000000001</v>
      </c>
      <c r="O25" s="3">
        <v>30.161000000000001</v>
      </c>
      <c r="P25" s="3">
        <v>57.889000000000003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</row>
    <row r="26" spans="2:60" x14ac:dyDescent="0.2">
      <c r="B26" s="2" t="s">
        <v>27</v>
      </c>
      <c r="C26" s="3">
        <f t="shared" ref="C26:H26" si="8">+C24-C25</f>
        <v>52.80040000000006</v>
      </c>
      <c r="D26" s="7">
        <f t="shared" si="8"/>
        <v>104.0919999999999</v>
      </c>
      <c r="E26" s="3">
        <f t="shared" si="8"/>
        <v>83.013999999999953</v>
      </c>
      <c r="F26" s="3">
        <f t="shared" si="8"/>
        <v>47.750999999999948</v>
      </c>
      <c r="G26" s="3">
        <f t="shared" si="8"/>
        <v>61.764999999999958</v>
      </c>
      <c r="H26" s="3">
        <f t="shared" si="8"/>
        <v>1351.9590000000001</v>
      </c>
      <c r="I26" s="3">
        <f>+I24-I25</f>
        <v>102.91100000000009</v>
      </c>
      <c r="J26" s="3">
        <f t="shared" ref="J26:P26" si="9">+J24-J25</f>
        <v>120.3009999999998</v>
      </c>
      <c r="K26" s="3">
        <f t="shared" si="9"/>
        <v>108.337</v>
      </c>
      <c r="L26" s="3">
        <f t="shared" si="9"/>
        <v>143.86500000000007</v>
      </c>
      <c r="M26" s="3">
        <f t="shared" si="9"/>
        <v>116.44099999999992</v>
      </c>
      <c r="N26" s="3">
        <f t="shared" si="9"/>
        <v>96.26700000000001</v>
      </c>
      <c r="O26" s="3">
        <f t="shared" si="9"/>
        <v>115.70500000000004</v>
      </c>
      <c r="P26" s="3">
        <f t="shared" si="9"/>
        <v>240.6509999999999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</row>
    <row r="27" spans="2:60" x14ac:dyDescent="0.2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</row>
    <row r="28" spans="2:60" x14ac:dyDescent="0.2">
      <c r="B28" s="2" t="s">
        <v>28</v>
      </c>
      <c r="C28" s="12">
        <f t="shared" ref="C28:H28" si="10">+C26/C29</f>
        <v>0.57097137759469985</v>
      </c>
      <c r="D28" s="12">
        <f t="shared" si="10"/>
        <v>1.1223838790083711</v>
      </c>
      <c r="E28" s="12">
        <f t="shared" si="10"/>
        <v>0.89473314805349191</v>
      </c>
      <c r="F28" s="12">
        <f t="shared" si="10"/>
        <v>0.51463372102672778</v>
      </c>
      <c r="G28" s="12">
        <f t="shared" si="10"/>
        <v>0.66325139892192531</v>
      </c>
      <c r="H28" s="12" t="e">
        <f t="shared" si="10"/>
        <v>#DIV/0!</v>
      </c>
      <c r="I28" s="12">
        <f>+I26/I29</f>
        <v>1.1153175438373473</v>
      </c>
      <c r="J28" s="12">
        <f t="shared" ref="J28:K28" si="11">+J26/J29</f>
        <v>1.3036594728452351</v>
      </c>
      <c r="K28" s="12">
        <f t="shared" si="11"/>
        <v>1.1807537519887217</v>
      </c>
      <c r="L28" s="12">
        <f>+L26/L29</f>
        <v>1.6044283449074521</v>
      </c>
      <c r="M28" s="12">
        <f>+M26/M29</f>
        <v>1.2980157763076512</v>
      </c>
      <c r="N28" s="12">
        <f>+N26/N29</f>
        <v>1.0733148390082932</v>
      </c>
      <c r="O28" s="12">
        <f>+O26/O29</f>
        <v>1.3222846312836081</v>
      </c>
      <c r="P28" s="12">
        <f>+P26/P29</f>
        <v>2.8102401432185369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</row>
    <row r="29" spans="2:60" x14ac:dyDescent="0.2">
      <c r="B29" s="2" t="s">
        <v>5</v>
      </c>
      <c r="C29" s="3">
        <v>92.474688</v>
      </c>
      <c r="D29" s="3">
        <v>92.741888000000003</v>
      </c>
      <c r="E29" s="3">
        <v>92.780736000000005</v>
      </c>
      <c r="F29" s="3">
        <v>92.786379999999994</v>
      </c>
      <c r="G29" s="3">
        <v>93.124567999999996</v>
      </c>
      <c r="H29" s="3"/>
      <c r="I29" s="3">
        <v>92.270583000000002</v>
      </c>
      <c r="J29" s="3">
        <v>92.279465999999999</v>
      </c>
      <c r="K29" s="3">
        <v>91.752408000000003</v>
      </c>
      <c r="L29" s="3">
        <v>89.667451</v>
      </c>
      <c r="M29" s="3">
        <v>89.706922000000006</v>
      </c>
      <c r="N29" s="3">
        <v>89.691297000000006</v>
      </c>
      <c r="O29" s="3">
        <v>87.503853000000007</v>
      </c>
      <c r="P29" s="3">
        <v>85.633606999999998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</row>
    <row r="30" spans="2:60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</row>
    <row r="31" spans="2:60" x14ac:dyDescent="0.2">
      <c r="B31" s="2" t="s">
        <v>51</v>
      </c>
      <c r="C31" s="3"/>
      <c r="D31" s="3"/>
      <c r="E31" s="3"/>
      <c r="F31" s="3"/>
      <c r="G31" s="13" t="e">
        <f t="shared" ref="G31:H31" si="12">+G7/C7-1</f>
        <v>#DIV/0!</v>
      </c>
      <c r="H31" s="13" t="e">
        <f t="shared" si="12"/>
        <v>#DIV/0!</v>
      </c>
      <c r="I31" s="13">
        <f>+I7/E7-1</f>
        <v>3.5410764872521261E-2</v>
      </c>
      <c r="J31" s="13">
        <f t="shared" ref="J31:M31" si="13">+J7/F7-1</f>
        <v>3.82436260623229E-2</v>
      </c>
      <c r="K31" s="13" t="e">
        <f t="shared" si="13"/>
        <v>#DIV/0!</v>
      </c>
      <c r="L31" s="13" t="e">
        <f t="shared" si="13"/>
        <v>#DIV/0!</v>
      </c>
      <c r="M31" s="13">
        <f t="shared" si="13"/>
        <v>5.0615595075239384E-2</v>
      </c>
      <c r="N31" s="13">
        <f t="shared" ref="N31" si="14">+N7/J7-1</f>
        <v>6.9577080491132426E-2</v>
      </c>
      <c r="O31" s="13">
        <f t="shared" ref="O31:P31" si="15">+O7/K7-1</f>
        <v>8.0491132332878523E-2</v>
      </c>
      <c r="P31" s="13">
        <f t="shared" si="15"/>
        <v>5.9523809523809534E-2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</row>
    <row r="32" spans="2:60" x14ac:dyDescent="0.2">
      <c r="B32" s="2" t="s">
        <v>52</v>
      </c>
      <c r="C32" s="13"/>
      <c r="D32" s="13"/>
      <c r="E32" s="13"/>
      <c r="F32" s="13"/>
      <c r="G32" s="13">
        <f t="shared" ref="G32:J36" si="16">+G10/C10-1</f>
        <v>0.11136094924415163</v>
      </c>
      <c r="H32" s="13">
        <f t="shared" si="16"/>
        <v>7.359735288735636E-2</v>
      </c>
      <c r="I32" s="13">
        <f t="shared" si="16"/>
        <v>6.930280692373314E-2</v>
      </c>
      <c r="J32" s="13">
        <f t="shared" si="16"/>
        <v>9.345659608784973E-2</v>
      </c>
      <c r="K32" s="13">
        <f>+K10/G10-1</f>
        <v>8.272652146242776E-2</v>
      </c>
      <c r="L32" s="13">
        <f>+L10/H10-1</f>
        <v>6.6515550869794327E-2</v>
      </c>
      <c r="M32" s="13">
        <f>+M10/I10-1</f>
        <v>7.9780855656267802E-2</v>
      </c>
      <c r="N32" s="13">
        <f t="shared" ref="N32:P36" si="17">+N10/J10-1</f>
        <v>4.2889250770493881E-2</v>
      </c>
      <c r="O32" s="13">
        <f t="shared" si="17"/>
        <v>3.3586521877209563E-2</v>
      </c>
      <c r="P32" s="13">
        <f t="shared" si="17"/>
        <v>4.5441664442445351E-2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</row>
    <row r="33" spans="2:60" x14ac:dyDescent="0.2">
      <c r="B33" s="2" t="s">
        <v>53</v>
      </c>
      <c r="C33" s="13"/>
      <c r="D33" s="13"/>
      <c r="E33" s="13"/>
      <c r="F33" s="13"/>
      <c r="G33" s="13">
        <f t="shared" si="16"/>
        <v>0.16423183005461461</v>
      </c>
      <c r="H33" s="13">
        <f t="shared" si="16"/>
        <v>0.10243930422915382</v>
      </c>
      <c r="I33" s="13">
        <f t="shared" si="16"/>
        <v>0.10273621643779474</v>
      </c>
      <c r="J33" s="13">
        <f t="shared" si="16"/>
        <v>-0.14256927230267269</v>
      </c>
      <c r="K33" s="13">
        <f t="shared" ref="K33:M36" si="18">+K11/G11-1</f>
        <v>0.10800744294630249</v>
      </c>
      <c r="L33" s="13">
        <f t="shared" si="18"/>
        <v>0.1366229469584721</v>
      </c>
      <c r="M33" s="13">
        <f t="shared" si="18"/>
        <v>9.1333499154040876E-2</v>
      </c>
      <c r="N33" s="13">
        <f t="shared" si="17"/>
        <v>0.45201823461615231</v>
      </c>
      <c r="O33" s="13">
        <f t="shared" si="17"/>
        <v>0.16597283581413258</v>
      </c>
      <c r="P33" s="13">
        <f t="shared" si="17"/>
        <v>0.15189608061414783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</row>
    <row r="34" spans="2:60" x14ac:dyDescent="0.2">
      <c r="B34" s="2" t="s">
        <v>54</v>
      </c>
      <c r="C34" s="13"/>
      <c r="D34" s="13"/>
      <c r="E34" s="13"/>
      <c r="F34" s="13"/>
      <c r="G34" s="13">
        <f t="shared" si="16"/>
        <v>-0.12455135597393019</v>
      </c>
      <c r="H34" s="13">
        <f t="shared" si="16"/>
        <v>-8.5759069810405708E-2</v>
      </c>
      <c r="I34" s="13">
        <f t="shared" si="16"/>
        <v>-7.3365703275529826E-2</v>
      </c>
      <c r="J34" s="13">
        <f t="shared" si="16"/>
        <v>-3.3212907243280299E-2</v>
      </c>
      <c r="K34" s="13">
        <f t="shared" si="18"/>
        <v>1.2014445455823752E-2</v>
      </c>
      <c r="L34" s="13">
        <f t="shared" si="18"/>
        <v>5.1958385299085919E-2</v>
      </c>
      <c r="M34" s="13">
        <f t="shared" si="18"/>
        <v>0.13065204589838886</v>
      </c>
      <c r="N34" s="13">
        <f t="shared" si="17"/>
        <v>0.12469183102345416</v>
      </c>
      <c r="O34" s="13">
        <f t="shared" si="17"/>
        <v>0.11415513427542456</v>
      </c>
      <c r="P34" s="13">
        <f t="shared" si="17"/>
        <v>8.0571238192999939E-2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</row>
    <row r="35" spans="2:60" x14ac:dyDescent="0.2">
      <c r="B35" s="2" t="s">
        <v>55</v>
      </c>
      <c r="C35" s="13"/>
      <c r="D35" s="13"/>
      <c r="E35" s="13"/>
      <c r="F35" s="13"/>
      <c r="G35" s="13">
        <f t="shared" si="16"/>
        <v>0.51431902078880887</v>
      </c>
      <c r="H35" s="13">
        <f t="shared" si="16"/>
        <v>0.62558026992633486</v>
      </c>
      <c r="I35" s="13">
        <f t="shared" si="16"/>
        <v>0.48409548812503811</v>
      </c>
      <c r="J35" s="13">
        <f t="shared" si="16"/>
        <v>0.94235890932149657</v>
      </c>
      <c r="K35" s="13">
        <f t="shared" si="18"/>
        <v>0.59546842523928056</v>
      </c>
      <c r="L35" s="13">
        <f t="shared" si="18"/>
        <v>0.53184263914615859</v>
      </c>
      <c r="M35" s="13">
        <f t="shared" si="18"/>
        <v>0.48746297515221326</v>
      </c>
      <c r="N35" s="13">
        <f t="shared" si="17"/>
        <v>0.30997192386797678</v>
      </c>
      <c r="O35" s="13">
        <f t="shared" si="17"/>
        <v>0.34506328706756517</v>
      </c>
      <c r="P35" s="13">
        <f t="shared" si="17"/>
        <v>0.28555696311864809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</row>
    <row r="36" spans="2:60" x14ac:dyDescent="0.2">
      <c r="B36" s="2" t="s">
        <v>56</v>
      </c>
      <c r="C36" s="13"/>
      <c r="D36" s="13"/>
      <c r="E36" s="13"/>
      <c r="F36" s="13"/>
      <c r="G36" s="13">
        <f t="shared" si="16"/>
        <v>0.21810161738278055</v>
      </c>
      <c r="H36" s="13">
        <f t="shared" si="16"/>
        <v>0.18745684695051801</v>
      </c>
      <c r="I36" s="13">
        <f t="shared" si="16"/>
        <v>5.9224102352455565E-2</v>
      </c>
      <c r="J36" s="13">
        <f t="shared" si="16"/>
        <v>0.11395295729618637</v>
      </c>
      <c r="K36" s="13">
        <f t="shared" si="18"/>
        <v>0.15329935622317592</v>
      </c>
      <c r="L36" s="13">
        <f t="shared" si="18"/>
        <v>3.5371644539199387E-2</v>
      </c>
      <c r="M36" s="13">
        <f t="shared" si="18"/>
        <v>4.9386323787258934E-2</v>
      </c>
      <c r="N36" s="13">
        <f t="shared" si="17"/>
        <v>4.9712997129971237E-2</v>
      </c>
      <c r="O36" s="13">
        <f t="shared" si="17"/>
        <v>-4.3028259099896493E-3</v>
      </c>
      <c r="P36" s="13">
        <f t="shared" si="17"/>
        <v>2.1527517783603844E-3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</row>
    <row r="37" spans="2:60" x14ac:dyDescent="0.2">
      <c r="B37" s="1" t="s">
        <v>32</v>
      </c>
      <c r="C37" s="14"/>
      <c r="D37" s="14"/>
      <c r="E37" s="14"/>
      <c r="F37" s="14"/>
      <c r="G37" s="15">
        <f t="shared" ref="G37:M37" si="19">+G18/C18-1</f>
        <v>7.8187959780090299E-2</v>
      </c>
      <c r="H37" s="15">
        <f t="shared" si="19"/>
        <v>6.2697935458007725E-2</v>
      </c>
      <c r="I37" s="15">
        <f t="shared" si="19"/>
        <v>6.2974272034868051E-2</v>
      </c>
      <c r="J37" s="15">
        <f t="shared" si="19"/>
        <v>0.10087915844095718</v>
      </c>
      <c r="K37" s="15">
        <f t="shared" si="19"/>
        <v>0.10724208232977883</v>
      </c>
      <c r="L37" s="15">
        <f t="shared" si="19"/>
        <v>0.11301822022709263</v>
      </c>
      <c r="M37" s="15">
        <f t="shared" si="19"/>
        <v>0.12299033303839235</v>
      </c>
      <c r="N37" s="15">
        <f t="shared" ref="N37" si="20">+N18/J18-1</f>
        <v>0.10124562990489694</v>
      </c>
      <c r="O37" s="15">
        <f t="shared" ref="O37:P37" si="21">+O18/K18-1</f>
        <v>0.1142112717478212</v>
      </c>
      <c r="P37" s="15">
        <f t="shared" si="21"/>
        <v>0.10444225139640673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</row>
    <row r="38" spans="2:60" x14ac:dyDescent="0.2">
      <c r="B38" s="2" t="s">
        <v>29</v>
      </c>
      <c r="C38" s="13">
        <f t="shared" ref="C38:H38" si="22">+C20/C18</f>
        <v>0.33332908307348386</v>
      </c>
      <c r="D38" s="13">
        <f t="shared" si="22"/>
        <v>0.35810626515589195</v>
      </c>
      <c r="E38" s="13">
        <f t="shared" si="22"/>
        <v>0.35468016054025442</v>
      </c>
      <c r="F38" s="13">
        <f t="shared" si="22"/>
        <v>0.29214557453468387</v>
      </c>
      <c r="G38" s="13">
        <f t="shared" si="22"/>
        <v>0.34011336418118282</v>
      </c>
      <c r="H38" s="13">
        <f t="shared" si="22"/>
        <v>1</v>
      </c>
      <c r="I38" s="13">
        <f>+I20/I18</f>
        <v>0.36517764372859085</v>
      </c>
      <c r="J38" s="13">
        <f>+J20/J18</f>
        <v>0.32251974182822768</v>
      </c>
      <c r="K38" s="13">
        <f>+K20/K18</f>
        <v>0.36785530811936207</v>
      </c>
      <c r="L38" s="13">
        <f>+L20/L18</f>
        <v>0.37624796063146493</v>
      </c>
      <c r="M38" s="13">
        <f>+M20/M18</f>
        <v>0.36834406774119721</v>
      </c>
      <c r="N38" s="13">
        <f t="shared" ref="N38:O38" si="23">+N20/N18</f>
        <v>0.33256242472679642</v>
      </c>
      <c r="O38" s="13">
        <f t="shared" si="23"/>
        <v>0.36626579223610978</v>
      </c>
      <c r="P38" s="13">
        <f t="shared" ref="P38" si="24">+P20/P18</f>
        <v>0.43416841414873802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</row>
    <row r="39" spans="2:60" x14ac:dyDescent="0.2">
      <c r="B39" s="2" t="s">
        <v>30</v>
      </c>
      <c r="C39" s="13">
        <f t="shared" ref="C39:H39" si="25">+C22/C18</f>
        <v>6.4082903772740216E-2</v>
      </c>
      <c r="D39" s="13">
        <f t="shared" si="25"/>
        <v>0.10383471087372605</v>
      </c>
      <c r="E39" s="13">
        <f t="shared" si="25"/>
        <v>8.5061045572264155E-2</v>
      </c>
      <c r="F39" s="13">
        <f t="shared" si="25"/>
        <v>3.8579081869527097E-2</v>
      </c>
      <c r="G39" s="13">
        <f t="shared" si="25"/>
        <v>6.2148755925552052E-2</v>
      </c>
      <c r="H39" s="13">
        <f t="shared" si="25"/>
        <v>1</v>
      </c>
      <c r="I39" s="13">
        <f>+I22/I18</f>
        <v>9.4496844377705475E-2</v>
      </c>
      <c r="J39" s="13">
        <f>+J22/J18</f>
        <v>7.6592181502579154E-2</v>
      </c>
      <c r="K39" s="13">
        <f>+K22/K18</f>
        <v>9.6439942504744247E-2</v>
      </c>
      <c r="L39" s="13">
        <f>+L22/L18</f>
        <v>0.1158906267133188</v>
      </c>
      <c r="M39" s="13">
        <f>+M22/M18</f>
        <v>9.4366234020989245E-2</v>
      </c>
      <c r="N39" s="13">
        <f t="shared" ref="N39:O39" si="26">+N22/N18</f>
        <v>8.8080609622759848E-2</v>
      </c>
      <c r="O39" s="13">
        <f t="shared" si="26"/>
        <v>9.4293361775953641E-2</v>
      </c>
      <c r="P39" s="13">
        <f t="shared" ref="P39" si="27">+P22/P18</f>
        <v>0.1737387291167117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</row>
    <row r="40" spans="2:60" x14ac:dyDescent="0.2">
      <c r="B40" s="2" t="s">
        <v>31</v>
      </c>
      <c r="C40" s="13">
        <f t="shared" ref="C40:H40" si="28">+C25/C24</f>
        <v>0.27056561129730561</v>
      </c>
      <c r="D40" s="13">
        <f t="shared" si="28"/>
        <v>0.23177634929186641</v>
      </c>
      <c r="E40" s="13">
        <f t="shared" si="28"/>
        <v>0.24314615756315941</v>
      </c>
      <c r="F40" s="13">
        <f t="shared" si="28"/>
        <v>0.25418196017180811</v>
      </c>
      <c r="G40" s="13">
        <f t="shared" si="28"/>
        <v>0.23624335353035747</v>
      </c>
      <c r="H40" s="13">
        <f t="shared" si="28"/>
        <v>0</v>
      </c>
      <c r="I40" s="13">
        <f>+I25/I24</f>
        <v>0.24236556923258129</v>
      </c>
      <c r="J40" s="13">
        <f>+J25/J24</f>
        <v>8.1012329457778989E-2</v>
      </c>
      <c r="K40" s="13">
        <f>+K25/K24</f>
        <v>0.21416913892777611</v>
      </c>
      <c r="L40" s="13">
        <f>+L25/L24</f>
        <v>0.2150234895483786</v>
      </c>
      <c r="M40" s="13">
        <f>+M25/M24</f>
        <v>0.23617698186231112</v>
      </c>
      <c r="N40" s="13">
        <f t="shared" ref="N40:O40" si="29">+N25/N24</f>
        <v>0.21928373315167143</v>
      </c>
      <c r="O40" s="13">
        <f t="shared" si="29"/>
        <v>0.20677196879327597</v>
      </c>
      <c r="P40" s="13">
        <f t="shared" ref="P40" si="30">+P25/P24</f>
        <v>0.1939070141354593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</row>
    <row r="41" spans="2:60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</row>
    <row r="42" spans="2:60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</row>
    <row r="43" spans="2:60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</row>
    <row r="44" spans="2:60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</row>
    <row r="45" spans="2:60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</row>
    <row r="46" spans="2:60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</row>
    <row r="47" spans="2:60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</row>
    <row r="48" spans="2:60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</row>
    <row r="49" spans="3:60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</row>
    <row r="50" spans="3:60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</row>
    <row r="51" spans="3:60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</row>
    <row r="52" spans="3:60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</row>
    <row r="53" spans="3:60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</row>
    <row r="54" spans="3:60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</row>
    <row r="55" spans="3:60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</row>
    <row r="56" spans="3:60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</row>
    <row r="57" spans="3:60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</row>
    <row r="58" spans="3:60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</row>
    <row r="59" spans="3:60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</row>
    <row r="60" spans="3:60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</row>
    <row r="61" spans="3:60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</row>
    <row r="62" spans="3:60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</row>
    <row r="63" spans="3:60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</row>
    <row r="64" spans="3:60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</row>
    <row r="65" spans="3:60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</row>
    <row r="66" spans="3:60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</row>
    <row r="67" spans="3:60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</row>
    <row r="68" spans="3:60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</row>
    <row r="69" spans="3:60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</row>
    <row r="70" spans="3:60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</row>
    <row r="71" spans="3:60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</row>
    <row r="72" spans="3:60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</row>
    <row r="73" spans="3:60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</row>
    <row r="74" spans="3:60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</row>
    <row r="75" spans="3:60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</row>
    <row r="76" spans="3:60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</row>
    <row r="77" spans="3:60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3:60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</row>
    <row r="79" spans="3:60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</row>
    <row r="80" spans="3:60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</row>
    <row r="81" spans="3:60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</row>
    <row r="82" spans="3:60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</row>
    <row r="83" spans="3:60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</row>
    <row r="84" spans="3:60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</row>
    <row r="85" spans="3:60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</row>
    <row r="86" spans="3:60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</row>
    <row r="87" spans="3:60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</row>
    <row r="88" spans="3:60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</row>
    <row r="89" spans="3:60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</row>
    <row r="90" spans="3:60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</row>
    <row r="91" spans="3:60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</row>
    <row r="92" spans="3:60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</row>
    <row r="93" spans="3:60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</row>
    <row r="94" spans="3:60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</row>
    <row r="95" spans="3:60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</row>
    <row r="96" spans="3:60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</row>
    <row r="97" spans="3:60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</row>
    <row r="98" spans="3:60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</row>
    <row r="99" spans="3:60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</row>
    <row r="100" spans="3:60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</row>
    <row r="101" spans="3:60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</row>
    <row r="102" spans="3:60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</row>
    <row r="103" spans="3:60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</row>
    <row r="104" spans="3:60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</row>
    <row r="105" spans="3:60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</row>
    <row r="106" spans="3:60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</row>
    <row r="107" spans="3:60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</row>
    <row r="108" spans="3:60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</row>
    <row r="109" spans="3:60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</row>
    <row r="110" spans="3:60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</row>
    <row r="111" spans="3:60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</row>
    <row r="112" spans="3:60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</row>
    <row r="113" spans="3:60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</row>
    <row r="114" spans="3:60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</row>
    <row r="115" spans="3:60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</row>
    <row r="116" spans="3:60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</row>
    <row r="117" spans="3:60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</row>
    <row r="118" spans="3:60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</row>
    <row r="119" spans="3:60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</row>
    <row r="120" spans="3:60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</row>
    <row r="121" spans="3:60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</row>
    <row r="122" spans="3:60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</row>
    <row r="123" spans="3:60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</row>
    <row r="124" spans="3:60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</row>
    <row r="125" spans="3:60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</row>
    <row r="126" spans="3:60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</row>
    <row r="127" spans="3:60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</row>
    <row r="128" spans="3:60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</row>
    <row r="129" spans="3:60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</row>
    <row r="130" spans="3:60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</row>
    <row r="131" spans="3:60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</row>
    <row r="132" spans="3:60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</row>
    <row r="133" spans="3:60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</row>
    <row r="134" spans="3:60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</row>
    <row r="135" spans="3:60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</row>
    <row r="136" spans="3:60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</row>
    <row r="137" spans="3:60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</row>
    <row r="138" spans="3:60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</row>
    <row r="139" spans="3:60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</row>
    <row r="140" spans="3:60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</row>
    <row r="141" spans="3:60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</row>
    <row r="142" spans="3:60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</row>
    <row r="143" spans="3:60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</row>
    <row r="144" spans="3:60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</row>
    <row r="145" spans="3:60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</row>
    <row r="146" spans="3:60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</row>
    <row r="147" spans="3:60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</row>
    <row r="148" spans="3:60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</row>
    <row r="149" spans="3:60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</row>
    <row r="150" spans="3:60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</row>
    <row r="151" spans="3:60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</row>
    <row r="152" spans="3:60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</row>
    <row r="153" spans="3:60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</row>
    <row r="154" spans="3:60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</row>
    <row r="155" spans="3:60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</row>
    <row r="156" spans="3:60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</row>
    <row r="157" spans="3:60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</row>
    <row r="158" spans="3:60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</row>
    <row r="159" spans="3:60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</row>
    <row r="160" spans="3:60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</row>
    <row r="161" spans="3:60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</row>
    <row r="162" spans="3:60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</row>
    <row r="163" spans="3:60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</row>
    <row r="164" spans="3:60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</row>
    <row r="165" spans="3:60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</row>
    <row r="166" spans="3:60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</row>
    <row r="167" spans="3:60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</row>
    <row r="168" spans="3:60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</row>
    <row r="169" spans="3:60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</row>
    <row r="170" spans="3:60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</row>
    <row r="171" spans="3:60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</row>
    <row r="172" spans="3:60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</row>
    <row r="173" spans="3:60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</row>
    <row r="174" spans="3:60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</row>
    <row r="175" spans="3:60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</row>
    <row r="176" spans="3:60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</row>
    <row r="177" spans="3:60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</row>
    <row r="178" spans="3:60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</row>
    <row r="179" spans="3:60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</row>
    <row r="180" spans="3:60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</row>
    <row r="181" spans="3:60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</row>
    <row r="182" spans="3:60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</row>
    <row r="183" spans="3:60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</row>
    <row r="184" spans="3:60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</row>
    <row r="185" spans="3:60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</row>
    <row r="186" spans="3:60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</row>
    <row r="187" spans="3:60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</row>
    <row r="188" spans="3:60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</row>
    <row r="189" spans="3:60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</row>
    <row r="190" spans="3:60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</row>
    <row r="191" spans="3:60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</row>
    <row r="192" spans="3:60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</row>
    <row r="193" spans="3:60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</row>
    <row r="194" spans="3:60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</row>
    <row r="195" spans="3:60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</row>
    <row r="196" spans="3:60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</row>
    <row r="197" spans="3:60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</row>
    <row r="198" spans="3:60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</row>
    <row r="199" spans="3:60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</row>
    <row r="200" spans="3:60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</row>
    <row r="201" spans="3:60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</row>
    <row r="202" spans="3:60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</row>
    <row r="203" spans="3:60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</row>
    <row r="204" spans="3:60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</row>
    <row r="205" spans="3:60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</row>
    <row r="206" spans="3:60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</row>
    <row r="207" spans="3:60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</row>
    <row r="208" spans="3:60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</row>
    <row r="209" spans="3:60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</row>
    <row r="210" spans="3:60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</row>
    <row r="211" spans="3:60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</row>
    <row r="212" spans="3:60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</row>
    <row r="213" spans="3:60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</row>
    <row r="214" spans="3:60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</row>
    <row r="215" spans="3:60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</row>
    <row r="216" spans="3:60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</row>
    <row r="217" spans="3:60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</row>
    <row r="218" spans="3:60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</row>
    <row r="219" spans="3:60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</row>
    <row r="220" spans="3:60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</row>
    <row r="221" spans="3:60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</row>
    <row r="222" spans="3:60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</row>
    <row r="223" spans="3:60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</row>
    <row r="224" spans="3:60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</row>
    <row r="225" spans="3:60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</row>
    <row r="226" spans="3:60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</row>
    <row r="227" spans="3:60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</row>
    <row r="228" spans="3:60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</row>
    <row r="229" spans="3:60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</row>
    <row r="230" spans="3:60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</row>
    <row r="231" spans="3:60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</row>
    <row r="232" spans="3:60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</row>
    <row r="233" spans="3:60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</row>
    <row r="234" spans="3:60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</row>
    <row r="235" spans="3:60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</row>
    <row r="236" spans="3:60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</row>
    <row r="237" spans="3:60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</row>
    <row r="238" spans="3:60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</row>
    <row r="239" spans="3:60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</row>
    <row r="240" spans="3:60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</row>
    <row r="241" spans="3:60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</row>
    <row r="242" spans="3:60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</row>
    <row r="243" spans="3:60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</row>
    <row r="244" spans="3:60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</row>
    <row r="245" spans="3:60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</row>
    <row r="246" spans="3:60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</row>
    <row r="247" spans="3:60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</row>
    <row r="248" spans="3:60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</row>
    <row r="249" spans="3:60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</row>
    <row r="250" spans="3:60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</row>
    <row r="251" spans="3:60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</row>
    <row r="252" spans="3:60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</row>
    <row r="253" spans="3:60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</row>
    <row r="254" spans="3:60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</row>
    <row r="255" spans="3:60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</row>
    <row r="256" spans="3:60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</row>
    <row r="257" spans="3:60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</row>
    <row r="258" spans="3:60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</row>
    <row r="259" spans="3:60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</row>
    <row r="260" spans="3:60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</row>
    <row r="261" spans="3:60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</row>
    <row r="262" spans="3:60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</row>
    <row r="263" spans="3:60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</row>
    <row r="264" spans="3:60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</row>
    <row r="265" spans="3:60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</row>
    <row r="266" spans="3:60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</row>
    <row r="267" spans="3:60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</row>
    <row r="268" spans="3:60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</row>
    <row r="269" spans="3:60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</row>
    <row r="270" spans="3:60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</row>
    <row r="271" spans="3:60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</row>
    <row r="272" spans="3:60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</row>
    <row r="273" spans="3:60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</row>
    <row r="274" spans="3:60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</row>
    <row r="275" spans="3:60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</row>
    <row r="276" spans="3:60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</row>
    <row r="277" spans="3:60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</row>
    <row r="278" spans="3:60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</row>
    <row r="279" spans="3:60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</row>
    <row r="280" spans="3:60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</row>
    <row r="281" spans="3:60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</row>
    <row r="282" spans="3:60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</row>
    <row r="283" spans="3:60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</row>
    <row r="284" spans="3:60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</row>
    <row r="285" spans="3:60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</row>
    <row r="286" spans="3:60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</row>
    <row r="287" spans="3:60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</row>
    <row r="288" spans="3:60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</row>
    <row r="289" spans="3:60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</row>
    <row r="290" spans="3:60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</row>
    <row r="291" spans="3:60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</row>
    <row r="292" spans="3:60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</row>
    <row r="293" spans="3:60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</row>
    <row r="294" spans="3:60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</row>
    <row r="295" spans="3:60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</row>
    <row r="296" spans="3:60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</row>
    <row r="297" spans="3:60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</row>
    <row r="298" spans="3:60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</row>
    <row r="299" spans="3:60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</row>
    <row r="300" spans="3:60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</row>
    <row r="301" spans="3:60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</row>
    <row r="302" spans="3:60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</row>
    <row r="303" spans="3:60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</row>
    <row r="304" spans="3:60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</row>
    <row r="305" spans="3:60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</row>
    <row r="306" spans="3:60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</row>
    <row r="307" spans="3:60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</row>
    <row r="308" spans="3:60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</row>
    <row r="309" spans="3:60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</row>
    <row r="310" spans="3:60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</row>
    <row r="311" spans="3:60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</row>
    <row r="312" spans="3:60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</row>
    <row r="313" spans="3:60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</row>
    <row r="314" spans="3:60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</row>
    <row r="315" spans="3:60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</row>
    <row r="316" spans="3:60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</row>
    <row r="317" spans="3:60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</row>
    <row r="318" spans="3:60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</row>
    <row r="319" spans="3:60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</row>
    <row r="320" spans="3:60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</row>
    <row r="321" spans="3:60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</row>
    <row r="322" spans="3:60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</row>
    <row r="323" spans="3:60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</row>
    <row r="324" spans="3:60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</row>
    <row r="325" spans="3:60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</row>
    <row r="326" spans="3:60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</row>
    <row r="327" spans="3:60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</row>
    <row r="328" spans="3:60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</row>
    <row r="329" spans="3:60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</row>
    <row r="330" spans="3:60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</row>
    <row r="331" spans="3:60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</row>
    <row r="332" spans="3:60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</row>
    <row r="333" spans="3:60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</row>
    <row r="334" spans="3:60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</row>
    <row r="335" spans="3:60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</row>
    <row r="336" spans="3:60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</row>
    <row r="337" spans="3:60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</row>
    <row r="338" spans="3:60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</row>
    <row r="339" spans="3:60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</row>
    <row r="340" spans="3:60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</row>
    <row r="341" spans="3:60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</row>
    <row r="342" spans="3:60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</row>
    <row r="343" spans="3:60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</row>
    <row r="344" spans="3:60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</row>
    <row r="345" spans="3:60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</row>
    <row r="346" spans="3:60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</row>
    <row r="347" spans="3:60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</row>
    <row r="348" spans="3:60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</row>
  </sheetData>
  <hyperlinks>
    <hyperlink ref="A1" location="Main!A1" display="Main" xr:uid="{AFB9ED4F-CDB6-4C54-90B7-79A04B67C0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2025-02-10T16:02:36Z</dcterms:created>
  <dcterms:modified xsi:type="dcterms:W3CDTF">2026-08-27T08:31:55Z</dcterms:modified>
</cp:coreProperties>
</file>