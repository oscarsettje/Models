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90B32A80-1D7A-407C-8326-3041430C4D21}" xr6:coauthVersionLast="47" xr6:coauthVersionMax="47" xr10:uidLastSave="{00000000-0000-0000-0000-000000000000}"/>
  <bookViews>
    <workbookView xWindow="19095" yWindow="0" windowWidth="19410" windowHeight="20925" xr2:uid="{40E26FA9-FA23-47D9-8A0D-17BDAE3930E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P29" i="2"/>
  <c r="P28" i="2"/>
  <c r="P27" i="2"/>
  <c r="P24" i="2"/>
  <c r="P23" i="2"/>
  <c r="P22" i="2"/>
  <c r="P19" i="2"/>
  <c r="P17" i="2"/>
  <c r="P15" i="2"/>
  <c r="P13" i="2"/>
  <c r="P11" i="2"/>
  <c r="P8" i="2"/>
  <c r="P5" i="2"/>
  <c r="O29" i="2"/>
  <c r="O28" i="2"/>
  <c r="O27" i="2"/>
  <c r="O24" i="2"/>
  <c r="O23" i="2"/>
  <c r="O22" i="2"/>
  <c r="O19" i="2"/>
  <c r="O17" i="2"/>
  <c r="O15" i="2"/>
  <c r="O13" i="2"/>
  <c r="O11" i="2"/>
  <c r="O8" i="2"/>
  <c r="O5" i="2"/>
  <c r="Z26" i="2"/>
  <c r="Z25" i="2"/>
  <c r="Z23" i="2"/>
  <c r="Z22" i="2"/>
  <c r="Z5" i="2"/>
  <c r="X26" i="2"/>
  <c r="W26" i="2"/>
  <c r="X25" i="2"/>
  <c r="W25" i="2"/>
  <c r="Y25" i="2"/>
  <c r="Y26" i="2"/>
  <c r="X23" i="2"/>
  <c r="X22" i="2"/>
  <c r="Y23" i="2"/>
  <c r="Y22" i="2"/>
  <c r="N23" i="2"/>
  <c r="M23" i="2"/>
  <c r="N22" i="2"/>
  <c r="M22" i="2"/>
  <c r="K23" i="2"/>
  <c r="J23" i="2"/>
  <c r="I23" i="2"/>
  <c r="H23" i="2"/>
  <c r="G23" i="2"/>
  <c r="K22" i="2"/>
  <c r="J22" i="2"/>
  <c r="I22" i="2"/>
  <c r="H22" i="2"/>
  <c r="G22" i="2"/>
  <c r="L23" i="2"/>
  <c r="L22" i="2"/>
  <c r="N5" i="2"/>
  <c r="M5" i="2"/>
  <c r="L5" i="2"/>
  <c r="K5" i="2"/>
  <c r="X5" i="2"/>
  <c r="W5" i="2"/>
  <c r="V5" i="2"/>
  <c r="V8" i="2" s="1"/>
  <c r="U5" i="2"/>
  <c r="U8" i="2" s="1"/>
  <c r="T5" i="2"/>
  <c r="T8" i="2" s="1"/>
  <c r="Y5" i="2"/>
  <c r="D5" i="2"/>
  <c r="J5" i="2"/>
  <c r="I5" i="2"/>
  <c r="G5" i="2"/>
  <c r="F5" i="2"/>
  <c r="F8" i="2" s="1"/>
  <c r="E5" i="2"/>
  <c r="E8" i="2" s="1"/>
  <c r="C5" i="2"/>
  <c r="C8" i="2" s="1"/>
  <c r="H5" i="2"/>
  <c r="H8" i="2" s="1"/>
  <c r="H4" i="1"/>
  <c r="F11" i="2" l="1"/>
  <c r="F27" i="2"/>
  <c r="E11" i="2"/>
  <c r="E27" i="2"/>
  <c r="C11" i="2"/>
  <c r="C27" i="2"/>
  <c r="H11" i="2"/>
  <c r="H27" i="2"/>
  <c r="M24" i="2"/>
  <c r="Z24" i="2"/>
  <c r="Z8" i="2"/>
  <c r="N24" i="2"/>
  <c r="N8" i="2"/>
  <c r="L8" i="2"/>
  <c r="L24" i="2"/>
  <c r="K8" i="2"/>
  <c r="K24" i="2"/>
  <c r="X8" i="2"/>
  <c r="X24" i="2"/>
  <c r="W8" i="2"/>
  <c r="W24" i="2"/>
  <c r="V11" i="2"/>
  <c r="V27" i="2"/>
  <c r="U11" i="2"/>
  <c r="U27" i="2"/>
  <c r="T11" i="2"/>
  <c r="T27" i="2"/>
  <c r="Y8" i="2"/>
  <c r="Y24" i="2"/>
  <c r="D8" i="2"/>
  <c r="H24" i="2"/>
  <c r="J8" i="2"/>
  <c r="J24" i="2"/>
  <c r="I8" i="2"/>
  <c r="I24" i="2"/>
  <c r="G8" i="2"/>
  <c r="G24" i="2"/>
  <c r="H7" i="1"/>
  <c r="M8" i="2"/>
  <c r="M11" i="2" s="1"/>
  <c r="M13" i="2" l="1"/>
  <c r="M28" i="2"/>
  <c r="F28" i="2"/>
  <c r="F13" i="2"/>
  <c r="E28" i="2"/>
  <c r="E13" i="2"/>
  <c r="C28" i="2"/>
  <c r="C13" i="2"/>
  <c r="H28" i="2"/>
  <c r="H13" i="2"/>
  <c r="Z27" i="2"/>
  <c r="Z11" i="2"/>
  <c r="N11" i="2"/>
  <c r="N27" i="2"/>
  <c r="L27" i="2"/>
  <c r="L11" i="2"/>
  <c r="K27" i="2"/>
  <c r="K11" i="2"/>
  <c r="X27" i="2"/>
  <c r="X11" i="2"/>
  <c r="W27" i="2"/>
  <c r="W11" i="2"/>
  <c r="V28" i="2"/>
  <c r="V13" i="2"/>
  <c r="U28" i="2"/>
  <c r="U13" i="2"/>
  <c r="T28" i="2"/>
  <c r="T13" i="2"/>
  <c r="Y27" i="2"/>
  <c r="Y11" i="2"/>
  <c r="D27" i="2"/>
  <c r="D11" i="2"/>
  <c r="J27" i="2"/>
  <c r="J11" i="2"/>
  <c r="I27" i="2"/>
  <c r="I11" i="2"/>
  <c r="G27" i="2"/>
  <c r="G11" i="2"/>
  <c r="M27" i="2"/>
  <c r="M29" i="2"/>
  <c r="M15" i="2"/>
  <c r="M17" i="2" s="1"/>
  <c r="M19" i="2" s="1"/>
  <c r="F29" i="2" l="1"/>
  <c r="F15" i="2"/>
  <c r="F17" i="2" s="1"/>
  <c r="F19" i="2" s="1"/>
  <c r="E29" i="2"/>
  <c r="E15" i="2"/>
  <c r="E17" i="2" s="1"/>
  <c r="E19" i="2" s="1"/>
  <c r="C29" i="2"/>
  <c r="C15" i="2"/>
  <c r="C17" i="2" s="1"/>
  <c r="C19" i="2" s="1"/>
  <c r="H29" i="2"/>
  <c r="H15" i="2"/>
  <c r="H17" i="2" s="1"/>
  <c r="H19" i="2" s="1"/>
  <c r="Z13" i="2"/>
  <c r="Z28" i="2"/>
  <c r="N13" i="2"/>
  <c r="N28" i="2"/>
  <c r="L28" i="2"/>
  <c r="L13" i="2"/>
  <c r="K28" i="2"/>
  <c r="K13" i="2"/>
  <c r="X28" i="2"/>
  <c r="X13" i="2"/>
  <c r="W28" i="2"/>
  <c r="W13" i="2"/>
  <c r="V29" i="2"/>
  <c r="V15" i="2"/>
  <c r="V17" i="2" s="1"/>
  <c r="U29" i="2"/>
  <c r="U15" i="2"/>
  <c r="U17" i="2" s="1"/>
  <c r="T29" i="2"/>
  <c r="T15" i="2"/>
  <c r="T17" i="2" s="1"/>
  <c r="Y28" i="2"/>
  <c r="Y13" i="2"/>
  <c r="D28" i="2"/>
  <c r="D13" i="2"/>
  <c r="J28" i="2"/>
  <c r="J13" i="2"/>
  <c r="I28" i="2"/>
  <c r="I13" i="2"/>
  <c r="G28" i="2"/>
  <c r="G13" i="2"/>
  <c r="Z15" i="2" l="1"/>
  <c r="Z17" i="2" s="1"/>
  <c r="Z19" i="2" s="1"/>
  <c r="Z29" i="2"/>
  <c r="N15" i="2"/>
  <c r="N17" i="2" s="1"/>
  <c r="N19" i="2" s="1"/>
  <c r="N29" i="2"/>
  <c r="L29" i="2"/>
  <c r="L15" i="2"/>
  <c r="L17" i="2" s="1"/>
  <c r="L19" i="2" s="1"/>
  <c r="K29" i="2"/>
  <c r="K15" i="2"/>
  <c r="K17" i="2" s="1"/>
  <c r="K19" i="2" s="1"/>
  <c r="X29" i="2"/>
  <c r="X15" i="2"/>
  <c r="X17" i="2" s="1"/>
  <c r="X19" i="2" s="1"/>
  <c r="W29" i="2"/>
  <c r="W15" i="2"/>
  <c r="W17" i="2" s="1"/>
  <c r="W19" i="2" s="1"/>
  <c r="Y29" i="2"/>
  <c r="Y15" i="2"/>
  <c r="Y17" i="2" s="1"/>
  <c r="Y19" i="2" s="1"/>
  <c r="D29" i="2"/>
  <c r="D15" i="2"/>
  <c r="D17" i="2" s="1"/>
  <c r="D19" i="2" s="1"/>
  <c r="J29" i="2"/>
  <c r="J15" i="2"/>
  <c r="J17" i="2" s="1"/>
  <c r="J19" i="2" s="1"/>
  <c r="I29" i="2"/>
  <c r="I15" i="2"/>
  <c r="I17" i="2" s="1"/>
  <c r="I19" i="2" s="1"/>
  <c r="G29" i="2"/>
  <c r="G15" i="2"/>
  <c r="G17" i="2" s="1"/>
  <c r="G19" i="2" s="1"/>
</calcChain>
</file>

<file path=xl/sharedStrings.xml><?xml version="1.0" encoding="utf-8"?>
<sst xmlns="http://schemas.openxmlformats.org/spreadsheetml/2006/main" count="92" uniqueCount="60">
  <si>
    <t>numbers in mio EUR</t>
  </si>
  <si>
    <t>ASML</t>
  </si>
  <si>
    <t>Price</t>
  </si>
  <si>
    <t>Shares</t>
  </si>
  <si>
    <t>MC</t>
  </si>
  <si>
    <t>Cash</t>
  </si>
  <si>
    <t>Debt</t>
  </si>
  <si>
    <t>EV</t>
  </si>
  <si>
    <t>IR</t>
  </si>
  <si>
    <t>Q224</t>
  </si>
  <si>
    <t>Main</t>
  </si>
  <si>
    <t>Q123</t>
  </si>
  <si>
    <t>Q223</t>
  </si>
  <si>
    <t>Q323</t>
  </si>
  <si>
    <t>Q423</t>
  </si>
  <si>
    <t>Q124</t>
  </si>
  <si>
    <t>Q324</t>
  </si>
  <si>
    <t>Q424</t>
  </si>
  <si>
    <t>Serive and Field Options</t>
  </si>
  <si>
    <t>System Revenue</t>
  </si>
  <si>
    <t>Revenue</t>
  </si>
  <si>
    <t>Gross Profit</t>
  </si>
  <si>
    <t>R&amp;D</t>
  </si>
  <si>
    <t>SGA</t>
  </si>
  <si>
    <t>Operating Profit</t>
  </si>
  <si>
    <t>Interest Income &amp; other</t>
  </si>
  <si>
    <t>Pretax Income</t>
  </si>
  <si>
    <t>Tax Expense</t>
  </si>
  <si>
    <t>Net Income</t>
  </si>
  <si>
    <t>Income after Taxes</t>
  </si>
  <si>
    <t>Equity Investments</t>
  </si>
  <si>
    <t>EUR/USD</t>
  </si>
  <si>
    <t>EPS</t>
  </si>
  <si>
    <t>FY19</t>
  </si>
  <si>
    <t>FY20</t>
  </si>
  <si>
    <t>FY21</t>
  </si>
  <si>
    <t>FY22</t>
  </si>
  <si>
    <t>FY23</t>
  </si>
  <si>
    <t>FY24</t>
  </si>
  <si>
    <t>COGS Systems</t>
  </si>
  <si>
    <t>COGS Services</t>
  </si>
  <si>
    <t>Q125</t>
  </si>
  <si>
    <t>Q225</t>
  </si>
  <si>
    <t>Q325</t>
  </si>
  <si>
    <t>Q425</t>
  </si>
  <si>
    <t>System Growth</t>
  </si>
  <si>
    <t>Revenue Growth</t>
  </si>
  <si>
    <t>Systems Gross Margin</t>
  </si>
  <si>
    <t>Gross Margin</t>
  </si>
  <si>
    <t>Operating Margin</t>
  </si>
  <si>
    <t>Tax Rate</t>
  </si>
  <si>
    <t>Service Growth</t>
  </si>
  <si>
    <t>Service Gross Margin</t>
  </si>
  <si>
    <t>n.a.</t>
  </si>
  <si>
    <t>FY25</t>
  </si>
  <si>
    <t>Supply Chain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</si>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</sst>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;\(#,##0.0\)"/>
    <numFmt numFmtId="166" formatCode="#,##0.00;\(#,##0.00\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7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8" fillId="0" borderId="0" xfId="1" applyFont="1"/>
    <xf numFmtId="0" fontId="9" fillId="0" borderId="0" xfId="0" applyFont="1"/>
    <xf numFmtId="165" fontId="4" fillId="0" borderId="0" xfId="0" applyNumberFormat="1" applyFont="1"/>
    <xf numFmtId="165" fontId="7" fillId="0" borderId="0" xfId="0" applyNumberFormat="1" applyFont="1"/>
    <xf numFmtId="166" fontId="4" fillId="0" borderId="0" xfId="0" applyNumberFormat="1" applyFont="1"/>
    <xf numFmtId="9" fontId="4" fillId="0" borderId="0" xfId="2" applyFont="1"/>
    <xf numFmtId="9" fontId="7" fillId="0" borderId="0" xfId="2" applyFont="1"/>
    <xf numFmtId="165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5" fontId="1" fillId="0" borderId="0" xfId="0" applyNumberFormat="1" applyFont="1"/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12</xdr:row>
      <xdr:rowOff>19052</xdr:rowOff>
    </xdr:from>
    <xdr:to>
      <xdr:col>6</xdr:col>
      <xdr:colOff>273821</xdr:colOff>
      <xdr:row>36</xdr:row>
      <xdr:rowOff>52390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4838E7-525E-9628-0874-045B4353B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49" y="1962152"/>
          <a:ext cx="3331347" cy="3919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asml.com/en/inves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8A75-D845-4CB2-8AA6-DF55F6437223}">
  <dimension ref="A1:I12"/>
  <sheetViews>
    <sheetView tabSelected="1" zoomScale="200" zoomScaleNormal="200" workbookViewId="0">
      <selection activeCell="H7" sqref="H7"/>
    </sheetView>
  </sheetViews>
  <sheetFormatPr defaultRowHeight="12.75" x14ac:dyDescent="0.2"/>
  <cols>
    <col min="1" max="1" width="3.85546875" style="2" customWidth="1"/>
    <col min="2" max="16384" width="9.140625" style="2"/>
  </cols>
  <sheetData>
    <row r="1" spans="1:9" x14ac:dyDescent="0.2">
      <c r="A1" s="1" t="s">
        <v>1</v>
      </c>
    </row>
    <row r="2" spans="1:9" x14ac:dyDescent="0.2">
      <c r="A2" s="2" t="s">
        <v>0</v>
      </c>
      <c r="G2" s="2" t="s">
        <v>2</v>
      </c>
      <c r="H2" s="3">
        <v>1537</v>
      </c>
    </row>
    <row r="3" spans="1:9" x14ac:dyDescent="0.2">
      <c r="G3" s="2" t="s">
        <v>3</v>
      </c>
      <c r="H3" s="15">
        <v>384.5</v>
      </c>
      <c r="I3" s="16" t="s">
        <v>57</v>
      </c>
    </row>
    <row r="4" spans="1:9" x14ac:dyDescent="0.2">
      <c r="B4" s="2" t="s">
        <v>1</v>
      </c>
      <c r="D4" s="2" t="s">
        <v>31</v>
      </c>
      <c r="E4" s="2">
        <v>1.1000000000000001</v>
      </c>
      <c r="G4" s="2" t="s">
        <v>4</v>
      </c>
      <c r="H4" s="3">
        <f>+H2*H3</f>
        <v>590976.5</v>
      </c>
    </row>
    <row r="5" spans="1:9" x14ac:dyDescent="0.2">
      <c r="B5" s="5" t="s">
        <v>8</v>
      </c>
      <c r="G5" s="2" t="s">
        <v>5</v>
      </c>
      <c r="H5" s="3">
        <f>6671.9+909.6</f>
        <v>7581.5</v>
      </c>
      <c r="I5" s="16" t="s">
        <v>57</v>
      </c>
    </row>
    <row r="6" spans="1:9" x14ac:dyDescent="0.2">
      <c r="G6" s="2" t="s">
        <v>6</v>
      </c>
      <c r="H6" s="3">
        <v>1984.4</v>
      </c>
      <c r="I6" s="16" t="s">
        <v>57</v>
      </c>
    </row>
    <row r="7" spans="1:9" x14ac:dyDescent="0.2">
      <c r="G7" s="2" t="s">
        <v>7</v>
      </c>
      <c r="H7" s="3">
        <f>+H4-H5+H6</f>
        <v>585379.4</v>
      </c>
    </row>
    <row r="9" spans="1:9" x14ac:dyDescent="0.2">
      <c r="B9" s="6"/>
    </row>
    <row r="12" spans="1:9" x14ac:dyDescent="0.2">
      <c r="B12" s="6" t="s">
        <v>55</v>
      </c>
    </row>
  </sheetData>
  <hyperlinks>
    <hyperlink ref="B5" r:id="rId1" xr:uid="{A5A99CB4-DE86-4507-AEEC-A1552DBC366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5578-A882-4F6B-ABA9-9B08D3236B05}">
  <dimension ref="A1:AS360"/>
  <sheetViews>
    <sheetView zoomScale="200" zoomScaleNormal="20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T22" sqref="T22"/>
    </sheetView>
  </sheetViews>
  <sheetFormatPr defaultRowHeight="12.75" x14ac:dyDescent="0.2"/>
  <cols>
    <col min="1" max="1" width="4.7109375" style="2" bestFit="1" customWidth="1"/>
    <col min="2" max="2" width="22.28515625" style="2" bestFit="1" customWidth="1"/>
    <col min="3" max="16384" width="9.140625" style="2"/>
  </cols>
  <sheetData>
    <row r="1" spans="1:45" x14ac:dyDescent="0.2">
      <c r="A1" s="5" t="s">
        <v>10</v>
      </c>
    </row>
    <row r="2" spans="1:45" x14ac:dyDescent="0.2"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9</v>
      </c>
      <c r="I2" s="4" t="s">
        <v>16</v>
      </c>
      <c r="J2" s="4" t="s">
        <v>17</v>
      </c>
      <c r="K2" s="4" t="s">
        <v>41</v>
      </c>
      <c r="L2" s="4" t="s">
        <v>42</v>
      </c>
      <c r="M2" s="4" t="s">
        <v>43</v>
      </c>
      <c r="N2" s="4" t="s">
        <v>44</v>
      </c>
      <c r="O2" s="14" t="s">
        <v>56</v>
      </c>
      <c r="P2" s="14" t="s">
        <v>57</v>
      </c>
      <c r="Q2" s="14" t="s">
        <v>58</v>
      </c>
      <c r="R2" s="14" t="s">
        <v>59</v>
      </c>
      <c r="T2" s="4" t="s">
        <v>33</v>
      </c>
      <c r="U2" s="4" t="s">
        <v>34</v>
      </c>
      <c r="V2" s="4" t="s">
        <v>35</v>
      </c>
      <c r="W2" s="4" t="s">
        <v>36</v>
      </c>
      <c r="X2" s="4" t="s">
        <v>37</v>
      </c>
      <c r="Y2" s="4" t="s">
        <v>38</v>
      </c>
      <c r="Z2" s="13" t="s">
        <v>54</v>
      </c>
    </row>
    <row r="3" spans="1:45" x14ac:dyDescent="0.2">
      <c r="B3" s="2" t="s">
        <v>19</v>
      </c>
      <c r="C3" s="7"/>
      <c r="D3" s="7">
        <v>4760.8999999999996</v>
      </c>
      <c r="E3" s="7">
        <v>5682.5</v>
      </c>
      <c r="F3" s="7"/>
      <c r="G3" s="7">
        <v>3965.9</v>
      </c>
      <c r="H3" s="7">
        <v>5606.1</v>
      </c>
      <c r="I3" s="7">
        <v>5308.2</v>
      </c>
      <c r="J3" s="7">
        <v>7115.9</v>
      </c>
      <c r="K3" s="7">
        <v>5740.4</v>
      </c>
      <c r="L3" s="7">
        <v>5596.1</v>
      </c>
      <c r="M3" s="7">
        <v>5553.8</v>
      </c>
      <c r="N3" s="7"/>
      <c r="O3" s="7">
        <v>6279.4</v>
      </c>
      <c r="P3" s="7">
        <v>6564.8</v>
      </c>
      <c r="Q3" s="7"/>
      <c r="R3" s="7"/>
      <c r="S3" s="7"/>
      <c r="T3" s="7"/>
      <c r="U3" s="7"/>
      <c r="V3" s="7"/>
      <c r="W3" s="7">
        <v>15430.3</v>
      </c>
      <c r="X3" s="7">
        <v>21938.6</v>
      </c>
      <c r="Y3" s="7">
        <v>21768.7</v>
      </c>
      <c r="Z3" s="7">
        <v>24474.3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 spans="1:45" x14ac:dyDescent="0.2">
      <c r="B4" s="2" t="s">
        <v>18</v>
      </c>
      <c r="C4" s="7"/>
      <c r="D4" s="7">
        <v>1481.9</v>
      </c>
      <c r="E4" s="7">
        <v>1554.5</v>
      </c>
      <c r="F4" s="7"/>
      <c r="G4" s="7">
        <v>1324.1</v>
      </c>
      <c r="H4" s="7">
        <v>1296.2</v>
      </c>
      <c r="I4" s="7">
        <v>1364.8</v>
      </c>
      <c r="J4" s="7">
        <v>2146.9</v>
      </c>
      <c r="K4" s="7">
        <v>2001.1</v>
      </c>
      <c r="L4" s="7">
        <v>2095.6</v>
      </c>
      <c r="M4" s="7">
        <v>1962.2</v>
      </c>
      <c r="N4" s="7"/>
      <c r="O4" s="7">
        <v>2487.5</v>
      </c>
      <c r="P4" s="7">
        <v>2761.7</v>
      </c>
      <c r="Q4" s="7"/>
      <c r="R4" s="7"/>
      <c r="S4" s="7"/>
      <c r="T4" s="7"/>
      <c r="U4" s="7"/>
      <c r="V4" s="7"/>
      <c r="W4" s="7">
        <v>5743.1</v>
      </c>
      <c r="X4" s="7">
        <v>5619.9</v>
      </c>
      <c r="Y4" s="7">
        <v>6494.2</v>
      </c>
      <c r="Z4" s="7">
        <v>8193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</row>
    <row r="5" spans="1:45" x14ac:dyDescent="0.2">
      <c r="B5" s="1" t="s">
        <v>20</v>
      </c>
      <c r="C5" s="8">
        <f t="shared" ref="C5:G5" si="0">+C3+C4</f>
        <v>0</v>
      </c>
      <c r="D5" s="8">
        <f t="shared" si="0"/>
        <v>6242.7999999999993</v>
      </c>
      <c r="E5" s="8">
        <f t="shared" si="0"/>
        <v>7237</v>
      </c>
      <c r="F5" s="8">
        <f t="shared" si="0"/>
        <v>0</v>
      </c>
      <c r="G5" s="8">
        <f t="shared" si="0"/>
        <v>5290</v>
      </c>
      <c r="H5" s="8">
        <f>+H3+H4</f>
        <v>6902.3</v>
      </c>
      <c r="I5" s="8">
        <f t="shared" ref="I5:P5" si="1">+I3+I4</f>
        <v>6673</v>
      </c>
      <c r="J5" s="8">
        <f t="shared" si="1"/>
        <v>9262.7999999999993</v>
      </c>
      <c r="K5" s="8">
        <f t="shared" si="1"/>
        <v>7741.5</v>
      </c>
      <c r="L5" s="8">
        <f t="shared" si="1"/>
        <v>7691.7000000000007</v>
      </c>
      <c r="M5" s="8">
        <f t="shared" si="1"/>
        <v>7516</v>
      </c>
      <c r="N5" s="8">
        <f t="shared" si="1"/>
        <v>0</v>
      </c>
      <c r="O5" s="8">
        <f t="shared" si="1"/>
        <v>8766.9</v>
      </c>
      <c r="P5" s="8">
        <f t="shared" si="1"/>
        <v>9326.5</v>
      </c>
      <c r="Q5" s="8"/>
      <c r="R5" s="8"/>
      <c r="S5" s="7"/>
      <c r="T5" s="8">
        <f t="shared" ref="T5:X5" si="2">+T3+T4</f>
        <v>0</v>
      </c>
      <c r="U5" s="8">
        <f t="shared" si="2"/>
        <v>0</v>
      </c>
      <c r="V5" s="8">
        <f t="shared" si="2"/>
        <v>0</v>
      </c>
      <c r="W5" s="8">
        <f t="shared" si="2"/>
        <v>21173.4</v>
      </c>
      <c r="X5" s="8">
        <f t="shared" si="2"/>
        <v>27558.5</v>
      </c>
      <c r="Y5" s="8">
        <f>+Y3+Y4</f>
        <v>28262.9</v>
      </c>
      <c r="Z5" s="8">
        <f>+Z3+Z4</f>
        <v>32667.3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</row>
    <row r="6" spans="1:45" x14ac:dyDescent="0.2">
      <c r="B6" s="2" t="s">
        <v>39</v>
      </c>
      <c r="C6" s="7"/>
      <c r="D6" s="7">
        <v>3030.6</v>
      </c>
      <c r="E6" s="7">
        <v>3519.7</v>
      </c>
      <c r="F6" s="7"/>
      <c r="G6" s="7">
        <v>2593.4</v>
      </c>
      <c r="H6" s="7">
        <v>3358.3</v>
      </c>
      <c r="I6" s="7">
        <v>3211.4</v>
      </c>
      <c r="J6" s="7">
        <v>4473</v>
      </c>
      <c r="K6" s="7">
        <v>3561.8</v>
      </c>
      <c r="L6" s="7">
        <v>3562.2</v>
      </c>
      <c r="M6" s="7">
        <v>3635.7</v>
      </c>
      <c r="N6" s="7"/>
      <c r="O6" s="7">
        <v>4121.8999999999996</v>
      </c>
      <c r="P6" s="7">
        <v>4291.1000000000004</v>
      </c>
      <c r="Q6" s="7"/>
      <c r="R6" s="7"/>
      <c r="S6" s="7"/>
      <c r="T6" s="7"/>
      <c r="U6" s="7"/>
      <c r="V6" s="7"/>
      <c r="W6" s="7">
        <v>7582.3</v>
      </c>
      <c r="X6" s="7">
        <v>10151</v>
      </c>
      <c r="Y6" s="7">
        <v>10406.9</v>
      </c>
      <c r="Z6" s="7">
        <v>11384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1:45" x14ac:dyDescent="0.2">
      <c r="B7" s="2" t="s">
        <v>40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/>
      <c r="R7" s="7"/>
      <c r="S7" s="7"/>
      <c r="T7" s="7"/>
      <c r="U7" s="7"/>
      <c r="V7" s="7"/>
      <c r="W7" s="7">
        <v>2891</v>
      </c>
      <c r="X7" s="7">
        <v>3271.4</v>
      </c>
      <c r="Y7" s="7">
        <v>3364</v>
      </c>
      <c r="Z7" s="7">
        <v>4025.3</v>
      </c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</row>
    <row r="8" spans="1:45" x14ac:dyDescent="0.2">
      <c r="B8" s="2" t="s">
        <v>21</v>
      </c>
      <c r="C8" s="7">
        <f>+C5-C6</f>
        <v>0</v>
      </c>
      <c r="D8" s="7">
        <f>+D5-D6</f>
        <v>3212.1999999999994</v>
      </c>
      <c r="E8" s="7">
        <f t="shared" ref="E8:P8" si="3">+E5-E6</f>
        <v>3717.3</v>
      </c>
      <c r="F8" s="7">
        <f t="shared" si="3"/>
        <v>0</v>
      </c>
      <c r="G8" s="7">
        <f t="shared" si="3"/>
        <v>2696.6</v>
      </c>
      <c r="H8" s="7">
        <f t="shared" si="3"/>
        <v>3544</v>
      </c>
      <c r="I8" s="7">
        <f t="shared" si="3"/>
        <v>3461.6</v>
      </c>
      <c r="J8" s="7">
        <f t="shared" si="3"/>
        <v>4789.7999999999993</v>
      </c>
      <c r="K8" s="7">
        <f t="shared" si="3"/>
        <v>4179.7</v>
      </c>
      <c r="L8" s="7">
        <f t="shared" si="3"/>
        <v>4129.5000000000009</v>
      </c>
      <c r="M8" s="7">
        <f t="shared" si="3"/>
        <v>3880.3</v>
      </c>
      <c r="N8" s="7">
        <f t="shared" si="3"/>
        <v>0</v>
      </c>
      <c r="O8" s="7">
        <f t="shared" si="3"/>
        <v>4645</v>
      </c>
      <c r="P8" s="7">
        <f t="shared" si="3"/>
        <v>5035.3999999999996</v>
      </c>
      <c r="Q8" s="7"/>
      <c r="R8" s="7"/>
      <c r="S8" s="7"/>
      <c r="T8" s="7">
        <f t="shared" ref="T8:X8" si="4">+T5-SUM(T6:T7)</f>
        <v>0</v>
      </c>
      <c r="U8" s="7">
        <f t="shared" si="4"/>
        <v>0</v>
      </c>
      <c r="V8" s="7">
        <f t="shared" si="4"/>
        <v>0</v>
      </c>
      <c r="W8" s="7">
        <f t="shared" si="4"/>
        <v>10700.100000000002</v>
      </c>
      <c r="X8" s="7">
        <f t="shared" si="4"/>
        <v>14136.1</v>
      </c>
      <c r="Y8" s="7">
        <f>+Y5-SUM(Y6:Y7)</f>
        <v>14492.000000000002</v>
      </c>
      <c r="Z8" s="7">
        <f>+Z5-SUM(Z6:Z7)</f>
        <v>17258</v>
      </c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</row>
    <row r="9" spans="1:45" x14ac:dyDescent="0.2">
      <c r="B9" s="2" t="s">
        <v>22</v>
      </c>
      <c r="C9" s="7"/>
      <c r="D9" s="7">
        <v>1100.5999999999999</v>
      </c>
      <c r="E9" s="7">
        <v>1041.3</v>
      </c>
      <c r="F9" s="7"/>
      <c r="G9" s="7">
        <v>1031.9000000000001</v>
      </c>
      <c r="H9" s="7">
        <v>999.9</v>
      </c>
      <c r="I9" s="7">
        <v>991.4</v>
      </c>
      <c r="J9" s="7">
        <v>1116</v>
      </c>
      <c r="K9" s="7">
        <v>1161.0999999999999</v>
      </c>
      <c r="L9" s="7">
        <v>1166.7</v>
      </c>
      <c r="M9" s="7">
        <v>1108.7</v>
      </c>
      <c r="N9" s="7"/>
      <c r="O9" s="7">
        <v>1184.9000000000001</v>
      </c>
      <c r="P9" s="7">
        <v>1276.5999999999999</v>
      </c>
      <c r="Q9" s="7"/>
      <c r="R9" s="7"/>
      <c r="S9" s="7"/>
      <c r="T9" s="7"/>
      <c r="U9" s="7"/>
      <c r="V9" s="7"/>
      <c r="W9" s="7">
        <v>3253.5</v>
      </c>
      <c r="X9" s="7">
        <v>3980.6</v>
      </c>
      <c r="Y9" s="7">
        <v>4303.7</v>
      </c>
      <c r="Z9" s="7">
        <v>4698.8</v>
      </c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</row>
    <row r="10" spans="1:45" x14ac:dyDescent="0.2">
      <c r="B10" s="2" t="s">
        <v>23</v>
      </c>
      <c r="C10" s="7"/>
      <c r="D10" s="7">
        <v>277</v>
      </c>
      <c r="E10" s="7">
        <v>284.10000000000002</v>
      </c>
      <c r="F10" s="7"/>
      <c r="G10" s="7">
        <v>273.3</v>
      </c>
      <c r="H10" s="7">
        <v>281.10000000000002</v>
      </c>
      <c r="I10" s="7">
        <v>287.8</v>
      </c>
      <c r="J10" s="7">
        <v>318.39999999999998</v>
      </c>
      <c r="K10" s="7">
        <v>280.7</v>
      </c>
      <c r="L10" s="7">
        <v>298.7</v>
      </c>
      <c r="M10" s="7">
        <v>303.2</v>
      </c>
      <c r="N10" s="7"/>
      <c r="O10" s="7">
        <v>302.3</v>
      </c>
      <c r="P10" s="7">
        <v>302.7</v>
      </c>
      <c r="Q10" s="7"/>
      <c r="R10" s="7"/>
      <c r="S10" s="7"/>
      <c r="T10" s="7"/>
      <c r="U10" s="7"/>
      <c r="V10" s="7"/>
      <c r="W10" s="7">
        <v>945.9</v>
      </c>
      <c r="X10" s="7">
        <v>1113.2</v>
      </c>
      <c r="Y10" s="7">
        <v>1165.7</v>
      </c>
      <c r="Z10" s="7">
        <v>1257.8</v>
      </c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</row>
    <row r="11" spans="1:45" x14ac:dyDescent="0.2">
      <c r="B11" s="2" t="s">
        <v>24</v>
      </c>
      <c r="C11" s="7">
        <f>+C8-SUM(C9:C10)</f>
        <v>0</v>
      </c>
      <c r="D11" s="7">
        <f>+D8-SUM(D9:D10)</f>
        <v>1834.5999999999995</v>
      </c>
      <c r="E11" s="7">
        <f t="shared" ref="E11:Z11" si="5">+E8-SUM(E9:E10)</f>
        <v>2391.9</v>
      </c>
      <c r="F11" s="7">
        <f t="shared" si="5"/>
        <v>0</v>
      </c>
      <c r="G11" s="7">
        <f t="shared" si="5"/>
        <v>1391.3999999999999</v>
      </c>
      <c r="H11" s="7">
        <f t="shared" si="5"/>
        <v>2263</v>
      </c>
      <c r="I11" s="7">
        <f t="shared" si="5"/>
        <v>2182.3999999999996</v>
      </c>
      <c r="J11" s="7">
        <f t="shared" si="5"/>
        <v>3355.3999999999992</v>
      </c>
      <c r="K11" s="7">
        <f t="shared" si="5"/>
        <v>2737.8999999999996</v>
      </c>
      <c r="L11" s="7">
        <f t="shared" si="5"/>
        <v>2664.1000000000008</v>
      </c>
      <c r="M11" s="7">
        <f t="shared" si="5"/>
        <v>2468.4</v>
      </c>
      <c r="N11" s="7">
        <f t="shared" si="5"/>
        <v>0</v>
      </c>
      <c r="O11" s="7">
        <f t="shared" si="5"/>
        <v>3157.8</v>
      </c>
      <c r="P11" s="7">
        <f t="shared" si="5"/>
        <v>3456.0999999999995</v>
      </c>
      <c r="Q11" s="7"/>
      <c r="R11" s="7"/>
      <c r="S11" s="7"/>
      <c r="T11" s="7">
        <f t="shared" si="5"/>
        <v>0</v>
      </c>
      <c r="U11" s="7">
        <f t="shared" si="5"/>
        <v>0</v>
      </c>
      <c r="V11" s="7">
        <f t="shared" si="5"/>
        <v>0</v>
      </c>
      <c r="W11" s="7">
        <f t="shared" si="5"/>
        <v>6500.7000000000025</v>
      </c>
      <c r="X11" s="7">
        <f t="shared" si="5"/>
        <v>9042.2999999999993</v>
      </c>
      <c r="Y11" s="7">
        <f t="shared" si="5"/>
        <v>9022.6000000000022</v>
      </c>
      <c r="Z11" s="7">
        <f t="shared" si="5"/>
        <v>11301.4</v>
      </c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</row>
    <row r="12" spans="1:45" x14ac:dyDescent="0.2">
      <c r="B12" s="2" t="s">
        <v>25</v>
      </c>
      <c r="C12" s="7"/>
      <c r="D12" s="7">
        <v>-11.9</v>
      </c>
      <c r="E12" s="7">
        <v>5.2</v>
      </c>
      <c r="F12" s="7"/>
      <c r="G12" s="7">
        <v>26.2</v>
      </c>
      <c r="H12" s="7">
        <v>16.7</v>
      </c>
      <c r="I12" s="7">
        <v>7.1</v>
      </c>
      <c r="J12" s="7">
        <v>6.3</v>
      </c>
      <c r="K12" s="7">
        <v>49.2</v>
      </c>
      <c r="L12" s="7">
        <v>24.8</v>
      </c>
      <c r="M12" s="7">
        <v>19.399999999999999</v>
      </c>
      <c r="N12" s="7"/>
      <c r="O12" s="7">
        <v>40.9</v>
      </c>
      <c r="P12" s="7">
        <v>30</v>
      </c>
      <c r="Q12" s="7"/>
      <c r="R12" s="7"/>
      <c r="S12" s="7"/>
      <c r="T12" s="7"/>
      <c r="U12" s="7"/>
      <c r="V12" s="7"/>
      <c r="W12" s="7">
        <v>-44.6</v>
      </c>
      <c r="X12" s="7">
        <v>41.2</v>
      </c>
      <c r="Y12" s="7">
        <v>19.8</v>
      </c>
      <c r="Z12" s="7">
        <v>104.7</v>
      </c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</row>
    <row r="13" spans="1:45" x14ac:dyDescent="0.2">
      <c r="B13" s="2" t="s">
        <v>26</v>
      </c>
      <c r="C13" s="7">
        <f t="shared" ref="C13" si="6">+C11+C12</f>
        <v>0</v>
      </c>
      <c r="D13" s="7">
        <f>+D11+D12</f>
        <v>1822.6999999999994</v>
      </c>
      <c r="E13" s="7">
        <f t="shared" ref="E13:Z13" si="7">+E11+E12</f>
        <v>2397.1</v>
      </c>
      <c r="F13" s="7">
        <f t="shared" si="7"/>
        <v>0</v>
      </c>
      <c r="G13" s="7">
        <f t="shared" si="7"/>
        <v>1417.6</v>
      </c>
      <c r="H13" s="7">
        <f t="shared" si="7"/>
        <v>2279.6999999999998</v>
      </c>
      <c r="I13" s="7">
        <f t="shared" si="7"/>
        <v>2189.4999999999995</v>
      </c>
      <c r="J13" s="7">
        <f t="shared" si="7"/>
        <v>3361.6999999999994</v>
      </c>
      <c r="K13" s="7">
        <f t="shared" si="7"/>
        <v>2787.0999999999995</v>
      </c>
      <c r="L13" s="7">
        <f t="shared" si="7"/>
        <v>2688.900000000001</v>
      </c>
      <c r="M13" s="7">
        <f t="shared" si="7"/>
        <v>2487.8000000000002</v>
      </c>
      <c r="N13" s="7">
        <f t="shared" si="7"/>
        <v>0</v>
      </c>
      <c r="O13" s="7">
        <f t="shared" si="7"/>
        <v>3198.7000000000003</v>
      </c>
      <c r="P13" s="7">
        <f t="shared" si="7"/>
        <v>3486.0999999999995</v>
      </c>
      <c r="Q13" s="7"/>
      <c r="R13" s="7"/>
      <c r="S13" s="7"/>
      <c r="T13" s="7">
        <f t="shared" si="7"/>
        <v>0</v>
      </c>
      <c r="U13" s="7">
        <f t="shared" si="7"/>
        <v>0</v>
      </c>
      <c r="V13" s="7">
        <f t="shared" si="7"/>
        <v>0</v>
      </c>
      <c r="W13" s="7">
        <f t="shared" si="7"/>
        <v>6456.1000000000022</v>
      </c>
      <c r="X13" s="7">
        <f t="shared" si="7"/>
        <v>9083.5</v>
      </c>
      <c r="Y13" s="7">
        <f t="shared" si="7"/>
        <v>9042.4000000000015</v>
      </c>
      <c r="Z13" s="7">
        <f t="shared" si="7"/>
        <v>11406.1</v>
      </c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1:45" x14ac:dyDescent="0.2">
      <c r="B14" s="2" t="s">
        <v>27</v>
      </c>
      <c r="C14" s="7"/>
      <c r="D14" s="7">
        <v>291.60000000000002</v>
      </c>
      <c r="E14" s="7">
        <v>385.6</v>
      </c>
      <c r="F14" s="7"/>
      <c r="G14" s="7">
        <v>224</v>
      </c>
      <c r="H14" s="7">
        <v>403.9</v>
      </c>
      <c r="I14" s="7">
        <v>343.7</v>
      </c>
      <c r="J14" s="7">
        <v>723.8</v>
      </c>
      <c r="K14" s="7">
        <v>465.1</v>
      </c>
      <c r="L14" s="7">
        <v>487.4</v>
      </c>
      <c r="M14" s="7">
        <v>442.2</v>
      </c>
      <c r="N14" s="7"/>
      <c r="O14" s="7">
        <v>546.6</v>
      </c>
      <c r="P14" s="7">
        <v>609.6</v>
      </c>
      <c r="Q14" s="7"/>
      <c r="R14" s="7"/>
      <c r="S14" s="7"/>
      <c r="T14" s="7"/>
      <c r="U14" s="7"/>
      <c r="V14" s="7"/>
      <c r="W14" s="7">
        <v>969.9</v>
      </c>
      <c r="X14" s="7">
        <v>1435.8</v>
      </c>
      <c r="Y14" s="7">
        <v>1680.6</v>
      </c>
      <c r="Z14" s="7">
        <v>2013.4</v>
      </c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1:45" x14ac:dyDescent="0.2">
      <c r="B15" s="2" t="s">
        <v>29</v>
      </c>
      <c r="C15" s="7">
        <f t="shared" ref="C15:G15" si="8">+C13-C14</f>
        <v>0</v>
      </c>
      <c r="D15" s="7">
        <f t="shared" si="8"/>
        <v>1531.0999999999995</v>
      </c>
      <c r="E15" s="7">
        <f t="shared" si="8"/>
        <v>2011.5</v>
      </c>
      <c r="F15" s="7">
        <f t="shared" si="8"/>
        <v>0</v>
      </c>
      <c r="G15" s="7">
        <f t="shared" si="8"/>
        <v>1193.5999999999999</v>
      </c>
      <c r="H15" s="7">
        <f>+H13-H14</f>
        <v>1875.7999999999997</v>
      </c>
      <c r="I15" s="7">
        <f t="shared" ref="I15:Z15" si="9">+I13-I14</f>
        <v>1845.7999999999995</v>
      </c>
      <c r="J15" s="7">
        <f t="shared" si="9"/>
        <v>2637.8999999999996</v>
      </c>
      <c r="K15" s="7">
        <f t="shared" si="9"/>
        <v>2321.9999999999995</v>
      </c>
      <c r="L15" s="7">
        <f t="shared" si="9"/>
        <v>2201.5000000000009</v>
      </c>
      <c r="M15" s="7">
        <f t="shared" si="9"/>
        <v>2045.6000000000001</v>
      </c>
      <c r="N15" s="7">
        <f t="shared" si="9"/>
        <v>0</v>
      </c>
      <c r="O15" s="7">
        <f t="shared" si="9"/>
        <v>2652.1000000000004</v>
      </c>
      <c r="P15" s="7">
        <f t="shared" si="9"/>
        <v>2876.4999999999995</v>
      </c>
      <c r="Q15" s="7"/>
      <c r="R15" s="7"/>
      <c r="S15" s="7"/>
      <c r="T15" s="7">
        <f t="shared" si="9"/>
        <v>0</v>
      </c>
      <c r="U15" s="7">
        <f t="shared" si="9"/>
        <v>0</v>
      </c>
      <c r="V15" s="7">
        <f t="shared" si="9"/>
        <v>0</v>
      </c>
      <c r="W15" s="7">
        <f t="shared" si="9"/>
        <v>5486.2000000000025</v>
      </c>
      <c r="X15" s="7">
        <f t="shared" si="9"/>
        <v>7647.7</v>
      </c>
      <c r="Y15" s="7">
        <f t="shared" si="9"/>
        <v>7361.8000000000011</v>
      </c>
      <c r="Z15" s="7">
        <f t="shared" si="9"/>
        <v>9392.7000000000007</v>
      </c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1:45" x14ac:dyDescent="0.2">
      <c r="B16" s="2" t="s">
        <v>30</v>
      </c>
      <c r="C16" s="7"/>
      <c r="D16" s="7">
        <v>46.8</v>
      </c>
      <c r="E16" s="7">
        <v>36.6</v>
      </c>
      <c r="F16" s="7"/>
      <c r="G16" s="7">
        <v>30.2</v>
      </c>
      <c r="H16" s="7">
        <v>65.900000000000006</v>
      </c>
      <c r="I16" s="7">
        <v>47.6</v>
      </c>
      <c r="J16" s="7">
        <v>55.5</v>
      </c>
      <c r="K16" s="7">
        <v>33</v>
      </c>
      <c r="L16" s="7">
        <v>88.8</v>
      </c>
      <c r="M16" s="7">
        <v>78.900000000000006</v>
      </c>
      <c r="N16" s="7"/>
      <c r="O16" s="7">
        <v>104.6</v>
      </c>
      <c r="P16" s="7">
        <v>41.1</v>
      </c>
      <c r="Q16" s="7"/>
      <c r="R16" s="7"/>
      <c r="S16" s="7"/>
      <c r="T16" s="7"/>
      <c r="U16" s="7"/>
      <c r="V16" s="7"/>
      <c r="W16" s="7">
        <v>138</v>
      </c>
      <c r="X16" s="7">
        <v>191.3</v>
      </c>
      <c r="Y16" s="7">
        <v>209.8</v>
      </c>
      <c r="Z16" s="7">
        <v>216.7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</row>
    <row r="17" spans="2:45" x14ac:dyDescent="0.2">
      <c r="B17" s="2" t="s">
        <v>28</v>
      </c>
      <c r="C17" s="7">
        <f t="shared" ref="C17:G17" si="10">+C15+C16</f>
        <v>0</v>
      </c>
      <c r="D17" s="7">
        <f t="shared" si="10"/>
        <v>1577.8999999999994</v>
      </c>
      <c r="E17" s="7">
        <f t="shared" si="10"/>
        <v>2048.1</v>
      </c>
      <c r="F17" s="7">
        <f t="shared" si="10"/>
        <v>0</v>
      </c>
      <c r="G17" s="7">
        <f t="shared" si="10"/>
        <v>1223.8</v>
      </c>
      <c r="H17" s="7">
        <f>+H15+H16</f>
        <v>1941.6999999999998</v>
      </c>
      <c r="I17" s="7">
        <f t="shared" ref="I17:Z17" si="11">+I15+I16</f>
        <v>1893.3999999999994</v>
      </c>
      <c r="J17" s="7">
        <f t="shared" si="11"/>
        <v>2693.3999999999996</v>
      </c>
      <c r="K17" s="7">
        <f t="shared" si="11"/>
        <v>2354.9999999999995</v>
      </c>
      <c r="L17" s="7">
        <f t="shared" si="11"/>
        <v>2290.3000000000011</v>
      </c>
      <c r="M17" s="7">
        <f t="shared" si="11"/>
        <v>2124.5</v>
      </c>
      <c r="N17" s="7">
        <f t="shared" si="11"/>
        <v>0</v>
      </c>
      <c r="O17" s="7">
        <f t="shared" si="11"/>
        <v>2756.7000000000003</v>
      </c>
      <c r="P17" s="7">
        <f t="shared" si="11"/>
        <v>2917.5999999999995</v>
      </c>
      <c r="Q17" s="7"/>
      <c r="R17" s="7"/>
      <c r="S17" s="7"/>
      <c r="T17" s="7">
        <f t="shared" si="11"/>
        <v>0</v>
      </c>
      <c r="U17" s="7">
        <f t="shared" si="11"/>
        <v>0</v>
      </c>
      <c r="V17" s="7">
        <f t="shared" si="11"/>
        <v>0</v>
      </c>
      <c r="W17" s="7">
        <f t="shared" si="11"/>
        <v>5624.2000000000025</v>
      </c>
      <c r="X17" s="7">
        <f t="shared" si="11"/>
        <v>7839</v>
      </c>
      <c r="Y17" s="7">
        <f t="shared" si="11"/>
        <v>7571.6000000000013</v>
      </c>
      <c r="Z17" s="7">
        <f t="shared" si="11"/>
        <v>9609.4000000000015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</row>
    <row r="18" spans="2:45" x14ac:dyDescent="0.2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</row>
    <row r="19" spans="2:45" x14ac:dyDescent="0.2">
      <c r="B19" s="2" t="s">
        <v>32</v>
      </c>
      <c r="C19" s="9" t="e">
        <f t="shared" ref="C19:H19" si="12">+C17/C20</f>
        <v>#DIV/0!</v>
      </c>
      <c r="D19" s="9" t="e">
        <f t="shared" si="12"/>
        <v>#DIV/0!</v>
      </c>
      <c r="E19" s="9">
        <f t="shared" si="12"/>
        <v>5.2061514997458058</v>
      </c>
      <c r="F19" s="9" t="e">
        <f t="shared" si="12"/>
        <v>#DIV/0!</v>
      </c>
      <c r="G19" s="9">
        <f t="shared" si="12"/>
        <v>3.1037281257925438</v>
      </c>
      <c r="H19" s="9">
        <f t="shared" si="12"/>
        <v>4.9381993896236009</v>
      </c>
      <c r="I19" s="9">
        <f>+I17/I20</f>
        <v>4.8129130655821033</v>
      </c>
      <c r="J19" s="9">
        <f t="shared" ref="J19:P19" si="13">+J17/J20</f>
        <v>6.8482074752097626</v>
      </c>
      <c r="K19" s="9">
        <f t="shared" si="13"/>
        <v>6.003058883507518</v>
      </c>
      <c r="L19" s="9">
        <f t="shared" si="13"/>
        <v>5.899793920659457</v>
      </c>
      <c r="M19" s="9">
        <f t="shared" si="13"/>
        <v>5.4854118254583009</v>
      </c>
      <c r="N19" s="9" t="e">
        <f t="shared" si="13"/>
        <v>#DIV/0!</v>
      </c>
      <c r="O19" s="9">
        <f t="shared" si="13"/>
        <v>7.1528282304099644</v>
      </c>
      <c r="P19" s="9">
        <f t="shared" si="13"/>
        <v>7.5880364109232756</v>
      </c>
      <c r="Q19" s="9"/>
      <c r="R19" s="9"/>
      <c r="S19" s="7"/>
      <c r="T19" s="7"/>
      <c r="U19" s="7"/>
      <c r="V19" s="7"/>
      <c r="W19" s="9">
        <f t="shared" ref="W19:X19" si="14">+W17/W20</f>
        <v>14.141815438772952</v>
      </c>
      <c r="X19" s="9">
        <f t="shared" si="14"/>
        <v>19.906043676993399</v>
      </c>
      <c r="Y19" s="9">
        <f>+Y17/Y20</f>
        <v>19.251461988304097</v>
      </c>
      <c r="Z19" s="9">
        <f>+Z17/Z20</f>
        <v>24.734620334620338</v>
      </c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</row>
    <row r="20" spans="2:45" x14ac:dyDescent="0.2">
      <c r="B20" s="2" t="s">
        <v>3</v>
      </c>
      <c r="C20" s="7"/>
      <c r="D20" s="7"/>
      <c r="E20" s="7">
        <v>393.4</v>
      </c>
      <c r="F20" s="7"/>
      <c r="G20" s="7">
        <v>394.3</v>
      </c>
      <c r="H20" s="7">
        <v>393.2</v>
      </c>
      <c r="I20" s="7">
        <v>393.4</v>
      </c>
      <c r="J20" s="7">
        <v>393.3</v>
      </c>
      <c r="K20" s="7">
        <v>392.3</v>
      </c>
      <c r="L20" s="7">
        <v>388.2</v>
      </c>
      <c r="M20" s="7">
        <v>387.3</v>
      </c>
      <c r="N20" s="7"/>
      <c r="O20" s="7">
        <v>385.4</v>
      </c>
      <c r="P20" s="15">
        <v>384.5</v>
      </c>
      <c r="Q20" s="7"/>
      <c r="R20" s="7"/>
      <c r="S20" s="7"/>
      <c r="T20" s="7"/>
      <c r="U20" s="7"/>
      <c r="V20" s="7"/>
      <c r="W20" s="7">
        <v>397.7</v>
      </c>
      <c r="X20" s="7">
        <v>393.8</v>
      </c>
      <c r="Y20" s="7">
        <v>393.3</v>
      </c>
      <c r="Z20" s="7">
        <v>388.5</v>
      </c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1" spans="2:45" x14ac:dyDescent="0.2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</row>
    <row r="22" spans="2:45" x14ac:dyDescent="0.2">
      <c r="B22" s="2" t="s">
        <v>45</v>
      </c>
      <c r="C22" s="7"/>
      <c r="D22" s="7"/>
      <c r="E22" s="7"/>
      <c r="F22" s="7"/>
      <c r="G22" s="10" t="e">
        <f t="shared" ref="G22:G24" si="15">+G3/C3-1</f>
        <v>#DIV/0!</v>
      </c>
      <c r="H22" s="10">
        <f t="shared" ref="H22:H24" si="16">+H3/D3-1</f>
        <v>0.17752945871578918</v>
      </c>
      <c r="I22" s="10">
        <f t="shared" ref="I22:I24" si="17">+I3/E3-1</f>
        <v>-6.5868895732512089E-2</v>
      </c>
      <c r="J22" s="10" t="e">
        <f t="shared" ref="J22:J24" si="18">+J3/F3-1</f>
        <v>#DIV/0!</v>
      </c>
      <c r="K22" s="10">
        <f t="shared" ref="K22:K24" si="19">+K3/G3-1</f>
        <v>0.44743942106457535</v>
      </c>
      <c r="L22" s="10">
        <f t="shared" ref="L22:L23" si="20">+L3/H3-1</f>
        <v>-1.783771249175059E-3</v>
      </c>
      <c r="M22" s="10">
        <f t="shared" ref="M22:M24" si="21">+M3/I3-1</f>
        <v>4.6268038129686273E-2</v>
      </c>
      <c r="N22" s="10">
        <f t="shared" ref="N22:O24" si="22">+N3/J3-1</f>
        <v>-1</v>
      </c>
      <c r="O22" s="10">
        <f t="shared" si="22"/>
        <v>9.3895895756393344E-2</v>
      </c>
      <c r="P22" s="10">
        <f t="shared" ref="P22:P24" si="23">+P3/L3-1</f>
        <v>0.17310269652079113</v>
      </c>
      <c r="Q22" s="10"/>
      <c r="R22" s="10"/>
      <c r="S22" s="7"/>
      <c r="T22" s="7"/>
      <c r="U22" s="7"/>
      <c r="V22" s="7"/>
      <c r="W22" s="7"/>
      <c r="X22" s="10">
        <f t="shared" ref="X22:Z23" si="24">+X3/W3-1</f>
        <v>0.42178700349312703</v>
      </c>
      <c r="Y22" s="10">
        <f t="shared" si="24"/>
        <v>-7.7443410244955047E-3</v>
      </c>
      <c r="Z22" s="10">
        <f t="shared" si="24"/>
        <v>0.12428854272418643</v>
      </c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</row>
    <row r="23" spans="2:45" x14ac:dyDescent="0.2">
      <c r="B23" s="2" t="s">
        <v>51</v>
      </c>
      <c r="C23" s="7"/>
      <c r="D23" s="7"/>
      <c r="E23" s="7"/>
      <c r="F23" s="7"/>
      <c r="G23" s="10" t="e">
        <f t="shared" si="15"/>
        <v>#DIV/0!</v>
      </c>
      <c r="H23" s="10">
        <f t="shared" si="16"/>
        <v>-0.12531209933193876</v>
      </c>
      <c r="I23" s="10">
        <f t="shared" si="17"/>
        <v>-0.12203280797684146</v>
      </c>
      <c r="J23" s="10" t="e">
        <f t="shared" si="18"/>
        <v>#DIV/0!</v>
      </c>
      <c r="K23" s="10">
        <f t="shared" si="19"/>
        <v>0.51129068801450051</v>
      </c>
      <c r="L23" s="10">
        <f t="shared" si="20"/>
        <v>0.61672581391760528</v>
      </c>
      <c r="M23" s="10">
        <f t="shared" si="21"/>
        <v>0.43771981242672919</v>
      </c>
      <c r="N23" s="10">
        <f t="shared" si="22"/>
        <v>-1</v>
      </c>
      <c r="O23" s="10">
        <f t="shared" si="22"/>
        <v>0.24306631352755992</v>
      </c>
      <c r="P23" s="10">
        <f t="shared" si="23"/>
        <v>0.31785646115670918</v>
      </c>
      <c r="Q23" s="10"/>
      <c r="R23" s="10"/>
      <c r="S23" s="7"/>
      <c r="T23" s="7"/>
      <c r="U23" s="7"/>
      <c r="V23" s="7"/>
      <c r="W23" s="7"/>
      <c r="X23" s="10">
        <f t="shared" si="24"/>
        <v>-2.1451829151503676E-2</v>
      </c>
      <c r="Y23" s="10">
        <f t="shared" si="24"/>
        <v>0.15557216320575096</v>
      </c>
      <c r="Z23" s="10">
        <f t="shared" si="24"/>
        <v>0.26158726248036723</v>
      </c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</row>
    <row r="24" spans="2:45" x14ac:dyDescent="0.2">
      <c r="B24" s="1" t="s">
        <v>46</v>
      </c>
      <c r="C24" s="8"/>
      <c r="D24" s="8"/>
      <c r="E24" s="8"/>
      <c r="F24" s="8"/>
      <c r="G24" s="11" t="e">
        <f t="shared" si="15"/>
        <v>#DIV/0!</v>
      </c>
      <c r="H24" s="11">
        <f t="shared" si="16"/>
        <v>0.10564169923752176</v>
      </c>
      <c r="I24" s="11">
        <f t="shared" si="17"/>
        <v>-7.7932845101561399E-2</v>
      </c>
      <c r="J24" s="11" t="e">
        <f t="shared" si="18"/>
        <v>#DIV/0!</v>
      </c>
      <c r="K24" s="11">
        <f t="shared" si="19"/>
        <v>0.46342155009451802</v>
      </c>
      <c r="L24" s="11">
        <f>+L5/H5-1</f>
        <v>0.11436767454326824</v>
      </c>
      <c r="M24" s="11">
        <f t="shared" si="21"/>
        <v>0.12632998651281291</v>
      </c>
      <c r="N24" s="11">
        <f t="shared" si="22"/>
        <v>-1</v>
      </c>
      <c r="O24" s="11">
        <f t="shared" si="22"/>
        <v>0.13245495059097068</v>
      </c>
      <c r="P24" s="11">
        <f t="shared" si="23"/>
        <v>0.21254079072246701</v>
      </c>
      <c r="Q24" s="11"/>
      <c r="R24" s="11"/>
      <c r="S24" s="7"/>
      <c r="T24" s="7"/>
      <c r="U24" s="7"/>
      <c r="V24" s="7"/>
      <c r="W24" s="11" t="e">
        <f t="shared" ref="W24:X24" si="25">+W5/V5-1</f>
        <v>#DIV/0!</v>
      </c>
      <c r="X24" s="11">
        <f t="shared" si="25"/>
        <v>0.30156233765007023</v>
      </c>
      <c r="Y24" s="11">
        <f>+Y5/X5-1</f>
        <v>2.5560171997750292E-2</v>
      </c>
      <c r="Z24" s="11">
        <f>+Z5/Y5-1</f>
        <v>0.15583680372502462</v>
      </c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2:45" x14ac:dyDescent="0.2">
      <c r="B25" s="2" t="s">
        <v>47</v>
      </c>
      <c r="C25" s="12" t="s">
        <v>53</v>
      </c>
      <c r="D25" s="12" t="s">
        <v>53</v>
      </c>
      <c r="E25" s="12" t="s">
        <v>53</v>
      </c>
      <c r="F25" s="12" t="s">
        <v>53</v>
      </c>
      <c r="G25" s="12" t="s">
        <v>53</v>
      </c>
      <c r="H25" s="12" t="s">
        <v>53</v>
      </c>
      <c r="I25" s="12" t="s">
        <v>53</v>
      </c>
      <c r="J25" s="12" t="s">
        <v>53</v>
      </c>
      <c r="K25" s="12" t="s">
        <v>53</v>
      </c>
      <c r="L25" s="12" t="s">
        <v>53</v>
      </c>
      <c r="M25" s="12" t="s">
        <v>53</v>
      </c>
      <c r="N25" s="12" t="s">
        <v>53</v>
      </c>
      <c r="O25" s="12" t="s">
        <v>53</v>
      </c>
      <c r="P25" s="12" t="s">
        <v>53</v>
      </c>
      <c r="Q25" s="12"/>
      <c r="R25" s="12"/>
      <c r="S25" s="7"/>
      <c r="T25" s="7"/>
      <c r="U25" s="7"/>
      <c r="V25" s="7"/>
      <c r="W25" s="10">
        <f t="shared" ref="W25:X25" si="26">+(W3-W6)/W3</f>
        <v>0.50860968354471392</v>
      </c>
      <c r="X25" s="10">
        <f t="shared" si="26"/>
        <v>0.53729955421038711</v>
      </c>
      <c r="Y25" s="10">
        <f>+(Y3-Y6)/Y3</f>
        <v>0.52193286691442309</v>
      </c>
      <c r="Z25" s="10">
        <f>+(Z3-Z6)/Z3</f>
        <v>0.534859015375312</v>
      </c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</row>
    <row r="26" spans="2:45" x14ac:dyDescent="0.2">
      <c r="B26" s="2" t="s">
        <v>52</v>
      </c>
      <c r="C26" s="12" t="s">
        <v>53</v>
      </c>
      <c r="D26" s="12" t="s">
        <v>53</v>
      </c>
      <c r="E26" s="12" t="s">
        <v>53</v>
      </c>
      <c r="F26" s="12" t="s">
        <v>53</v>
      </c>
      <c r="G26" s="12" t="s">
        <v>53</v>
      </c>
      <c r="H26" s="12" t="s">
        <v>53</v>
      </c>
      <c r="I26" s="12" t="s">
        <v>53</v>
      </c>
      <c r="J26" s="12" t="s">
        <v>53</v>
      </c>
      <c r="K26" s="12" t="s">
        <v>53</v>
      </c>
      <c r="L26" s="12" t="s">
        <v>53</v>
      </c>
      <c r="M26" s="12" t="s">
        <v>53</v>
      </c>
      <c r="N26" s="12" t="s">
        <v>53</v>
      </c>
      <c r="O26" s="12" t="s">
        <v>53</v>
      </c>
      <c r="P26" s="12" t="s">
        <v>53</v>
      </c>
      <c r="Q26" s="12"/>
      <c r="R26" s="12"/>
      <c r="S26" s="7"/>
      <c r="T26" s="7"/>
      <c r="U26" s="7"/>
      <c r="V26" s="7"/>
      <c r="W26" s="10">
        <f t="shared" ref="W26:X26" si="27">+(W4-W7)/W4</f>
        <v>0.49661332729710439</v>
      </c>
      <c r="X26" s="10">
        <f t="shared" si="27"/>
        <v>0.41788999804266974</v>
      </c>
      <c r="Y26" s="10">
        <f>+(Y4-Y7)/Y4</f>
        <v>0.48199932247235994</v>
      </c>
      <c r="Z26" s="10">
        <f>+(Z4-Z7)/Z4</f>
        <v>0.50869034541681923</v>
      </c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</row>
    <row r="27" spans="2:45" x14ac:dyDescent="0.2">
      <c r="B27" s="2" t="s">
        <v>48</v>
      </c>
      <c r="C27" s="10" t="e">
        <f t="shared" ref="C27:H27" si="28">+C8/C5</f>
        <v>#DIV/0!</v>
      </c>
      <c r="D27" s="10">
        <f t="shared" si="28"/>
        <v>0.51454475555840329</v>
      </c>
      <c r="E27" s="10">
        <f t="shared" si="28"/>
        <v>0.5136520657731104</v>
      </c>
      <c r="F27" s="10" t="e">
        <f t="shared" si="28"/>
        <v>#DIV/0!</v>
      </c>
      <c r="G27" s="10">
        <f t="shared" si="28"/>
        <v>0.50975425330812851</v>
      </c>
      <c r="H27" s="10">
        <f t="shared" si="28"/>
        <v>0.5134520377265549</v>
      </c>
      <c r="I27" s="10">
        <f>+I8/I5</f>
        <v>0.51874719016933912</v>
      </c>
      <c r="J27" s="10">
        <f t="shared" ref="J27:N27" si="29">+J8/J5</f>
        <v>0.51710066070734551</v>
      </c>
      <c r="K27" s="10">
        <f t="shared" si="29"/>
        <v>0.53990828650778266</v>
      </c>
      <c r="L27" s="10">
        <f t="shared" si="29"/>
        <v>0.53687741331565197</v>
      </c>
      <c r="M27" s="10">
        <f t="shared" si="29"/>
        <v>0.51627195316657803</v>
      </c>
      <c r="N27" s="10" t="e">
        <f t="shared" si="29"/>
        <v>#DIV/0!</v>
      </c>
      <c r="O27" s="10">
        <f t="shared" ref="O27:P27" si="30">+O8/O5</f>
        <v>0.52983380670476454</v>
      </c>
      <c r="P27" s="10">
        <f t="shared" si="30"/>
        <v>0.53990242856376991</v>
      </c>
      <c r="Q27" s="10"/>
      <c r="R27" s="10"/>
      <c r="S27" s="7"/>
      <c r="T27" s="10" t="e">
        <f t="shared" ref="T27:Y27" si="31">+T8/T5</f>
        <v>#DIV/0!</v>
      </c>
      <c r="U27" s="10" t="e">
        <f t="shared" si="31"/>
        <v>#DIV/0!</v>
      </c>
      <c r="V27" s="10" t="e">
        <f t="shared" si="31"/>
        <v>#DIV/0!</v>
      </c>
      <c r="W27" s="10">
        <f t="shared" si="31"/>
        <v>0.50535577658760522</v>
      </c>
      <c r="X27" s="10">
        <f t="shared" si="31"/>
        <v>0.51294881796904768</v>
      </c>
      <c r="Y27" s="10">
        <f t="shared" si="31"/>
        <v>0.51275700653506895</v>
      </c>
      <c r="Z27" s="10">
        <f t="shared" ref="Z27" si="32">+Z8/Z5</f>
        <v>0.52829587997783722</v>
      </c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</row>
    <row r="28" spans="2:45" x14ac:dyDescent="0.2">
      <c r="B28" s="2" t="s">
        <v>49</v>
      </c>
      <c r="C28" s="10" t="e">
        <f t="shared" ref="C28:H28" si="33">+C11/C5</f>
        <v>#DIV/0!</v>
      </c>
      <c r="D28" s="10">
        <f t="shared" si="33"/>
        <v>0.29387454347408209</v>
      </c>
      <c r="E28" s="10">
        <f t="shared" si="33"/>
        <v>0.33050987978444107</v>
      </c>
      <c r="F28" s="10" t="e">
        <f t="shared" si="33"/>
        <v>#DIV/0!</v>
      </c>
      <c r="G28" s="10">
        <f t="shared" si="33"/>
        <v>0.26302457466918711</v>
      </c>
      <c r="H28" s="10">
        <f t="shared" si="33"/>
        <v>0.32786172725033685</v>
      </c>
      <c r="I28" s="10">
        <f>+I11/I5</f>
        <v>0.32704930316199604</v>
      </c>
      <c r="J28" s="10">
        <f t="shared" ref="J28:N28" si="34">+J11/J5</f>
        <v>0.36224467763527224</v>
      </c>
      <c r="K28" s="10">
        <f t="shared" si="34"/>
        <v>0.35366531034037324</v>
      </c>
      <c r="L28" s="10">
        <f t="shared" si="34"/>
        <v>0.34636036246863511</v>
      </c>
      <c r="M28" s="10">
        <f t="shared" si="34"/>
        <v>0.32841937200638638</v>
      </c>
      <c r="N28" s="10" t="e">
        <f t="shared" si="34"/>
        <v>#DIV/0!</v>
      </c>
      <c r="O28" s="10">
        <f t="shared" ref="O28:P28" si="35">+O11/O5</f>
        <v>0.36019573623515727</v>
      </c>
      <c r="P28" s="10">
        <f t="shared" si="35"/>
        <v>0.37056773709322893</v>
      </c>
      <c r="Q28" s="10"/>
      <c r="R28" s="10"/>
      <c r="S28" s="7"/>
      <c r="T28" s="10" t="e">
        <f t="shared" ref="T28:Y28" si="36">+T11/T5</f>
        <v>#DIV/0!</v>
      </c>
      <c r="U28" s="10" t="e">
        <f t="shared" si="36"/>
        <v>#DIV/0!</v>
      </c>
      <c r="V28" s="10" t="e">
        <f t="shared" si="36"/>
        <v>#DIV/0!</v>
      </c>
      <c r="W28" s="10">
        <f t="shared" si="36"/>
        <v>0.30702201819263802</v>
      </c>
      <c r="X28" s="10">
        <f t="shared" si="36"/>
        <v>0.3281129234174574</v>
      </c>
      <c r="Y28" s="10">
        <f t="shared" si="36"/>
        <v>0.3192382947255944</v>
      </c>
      <c r="Z28" s="10">
        <f t="shared" ref="Z28" si="37">+Z11/Z5</f>
        <v>0.34595451720833986</v>
      </c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</row>
    <row r="29" spans="2:45" x14ac:dyDescent="0.2">
      <c r="B29" s="2" t="s">
        <v>50</v>
      </c>
      <c r="C29" s="10" t="e">
        <f t="shared" ref="C29:H29" si="38">+C14/C13</f>
        <v>#DIV/0!</v>
      </c>
      <c r="D29" s="10">
        <f t="shared" si="38"/>
        <v>0.15998244362758551</v>
      </c>
      <c r="E29" s="10">
        <f t="shared" si="38"/>
        <v>0.1608610404238455</v>
      </c>
      <c r="F29" s="10" t="e">
        <f t="shared" si="38"/>
        <v>#DIV/0!</v>
      </c>
      <c r="G29" s="10">
        <f t="shared" si="38"/>
        <v>0.1580135440180587</v>
      </c>
      <c r="H29" s="10">
        <f t="shared" si="38"/>
        <v>0.17717243496951354</v>
      </c>
      <c r="I29" s="10">
        <f>+I14/I13</f>
        <v>0.15697647864809319</v>
      </c>
      <c r="J29" s="10">
        <f t="shared" ref="J29:N29" si="39">+J14/J13</f>
        <v>0.21530773120742483</v>
      </c>
      <c r="K29" s="10">
        <f t="shared" si="39"/>
        <v>0.16687596426393028</v>
      </c>
      <c r="L29" s="10">
        <f t="shared" si="39"/>
        <v>0.1812637137863066</v>
      </c>
      <c r="M29" s="10">
        <f t="shared" si="39"/>
        <v>0.17774740734785752</v>
      </c>
      <c r="N29" s="10" t="e">
        <f t="shared" si="39"/>
        <v>#DIV/0!</v>
      </c>
      <c r="O29" s="10">
        <f t="shared" ref="O29:P29" si="40">+O14/O13</f>
        <v>0.170881920780317</v>
      </c>
      <c r="P29" s="10">
        <f t="shared" si="40"/>
        <v>0.17486589598691951</v>
      </c>
      <c r="Q29" s="10"/>
      <c r="R29" s="10"/>
      <c r="S29" s="7"/>
      <c r="T29" s="10" t="e">
        <f t="shared" ref="T29:Y29" si="41">+T14/T13</f>
        <v>#DIV/0!</v>
      </c>
      <c r="U29" s="10" t="e">
        <f t="shared" si="41"/>
        <v>#DIV/0!</v>
      </c>
      <c r="V29" s="10" t="e">
        <f t="shared" si="41"/>
        <v>#DIV/0!</v>
      </c>
      <c r="W29" s="10">
        <f t="shared" si="41"/>
        <v>0.15023001502455038</v>
      </c>
      <c r="X29" s="10">
        <f t="shared" si="41"/>
        <v>0.15806682446193648</v>
      </c>
      <c r="Y29" s="10">
        <f t="shared" si="41"/>
        <v>0.18585773688401305</v>
      </c>
      <c r="Z29" s="10">
        <f t="shared" ref="Z29" si="42">+Z14/Z13</f>
        <v>0.17651958162737483</v>
      </c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</row>
    <row r="30" spans="2:45" x14ac:dyDescent="0.2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</row>
    <row r="31" spans="2:45" x14ac:dyDescent="0.2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</row>
    <row r="32" spans="2:45" x14ac:dyDescent="0.2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</row>
    <row r="33" spans="3:45" x14ac:dyDescent="0.2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3:45" x14ac:dyDescent="0.2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</row>
    <row r="35" spans="3:45" x14ac:dyDescent="0.2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</row>
    <row r="36" spans="3:45" x14ac:dyDescent="0.2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</row>
    <row r="37" spans="3:45" x14ac:dyDescent="0.2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</row>
    <row r="38" spans="3:45" x14ac:dyDescent="0.2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</row>
    <row r="39" spans="3:45" x14ac:dyDescent="0.2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</row>
    <row r="40" spans="3:45" x14ac:dyDescent="0.2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</row>
    <row r="41" spans="3:45" x14ac:dyDescent="0.2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</row>
    <row r="42" spans="3:45" x14ac:dyDescent="0.2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3:45" x14ac:dyDescent="0.2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</row>
    <row r="44" spans="3:45" x14ac:dyDescent="0.2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</row>
    <row r="45" spans="3:45" x14ac:dyDescent="0.2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</row>
    <row r="46" spans="3:45" x14ac:dyDescent="0.2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</row>
    <row r="47" spans="3:45" x14ac:dyDescent="0.2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</row>
    <row r="48" spans="3:45" x14ac:dyDescent="0.2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</row>
    <row r="49" spans="3:45" x14ac:dyDescent="0.2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</row>
    <row r="50" spans="3:45" x14ac:dyDescent="0.2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</row>
    <row r="51" spans="3:45" x14ac:dyDescent="0.2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</row>
    <row r="52" spans="3:45" x14ac:dyDescent="0.2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3:45" x14ac:dyDescent="0.2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</row>
    <row r="54" spans="3:45" x14ac:dyDescent="0.2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</row>
    <row r="55" spans="3:45" x14ac:dyDescent="0.2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</row>
    <row r="56" spans="3:45" x14ac:dyDescent="0.2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3:45" x14ac:dyDescent="0.2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</row>
    <row r="58" spans="3:45" x14ac:dyDescent="0.2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3:45" x14ac:dyDescent="0.2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spans="3:45" x14ac:dyDescent="0.2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spans="3:45" x14ac:dyDescent="0.2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</row>
    <row r="62" spans="3:45" x14ac:dyDescent="0.2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</row>
    <row r="63" spans="3:45" x14ac:dyDescent="0.2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</row>
    <row r="64" spans="3:45" x14ac:dyDescent="0.2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</row>
    <row r="65" spans="3:45" x14ac:dyDescent="0.2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spans="3:45" x14ac:dyDescent="0.2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3:45" x14ac:dyDescent="0.2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3:45" x14ac:dyDescent="0.2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3:45" x14ac:dyDescent="0.2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3:45" x14ac:dyDescent="0.2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3:45" x14ac:dyDescent="0.2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spans="3:45" x14ac:dyDescent="0.2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</row>
    <row r="73" spans="3:45" x14ac:dyDescent="0.2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spans="3:45" x14ac:dyDescent="0.2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spans="3:45" x14ac:dyDescent="0.2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spans="3:45" x14ac:dyDescent="0.2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spans="3:45" x14ac:dyDescent="0.2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spans="3:45" x14ac:dyDescent="0.2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</row>
    <row r="79" spans="3:45" x14ac:dyDescent="0.2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spans="3:45" x14ac:dyDescent="0.2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</row>
    <row r="81" spans="3:45" x14ac:dyDescent="0.2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</row>
    <row r="82" spans="3:45" x14ac:dyDescent="0.2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3:45" x14ac:dyDescent="0.2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</row>
    <row r="84" spans="3:45" x14ac:dyDescent="0.2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</row>
    <row r="85" spans="3:45" x14ac:dyDescent="0.2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</row>
    <row r="86" spans="3:45" x14ac:dyDescent="0.2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</row>
    <row r="87" spans="3:45" x14ac:dyDescent="0.2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</row>
    <row r="88" spans="3:45" x14ac:dyDescent="0.2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</row>
    <row r="89" spans="3:45" x14ac:dyDescent="0.2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</row>
    <row r="90" spans="3:45" x14ac:dyDescent="0.2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</row>
    <row r="91" spans="3:45" x14ac:dyDescent="0.2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3:45" x14ac:dyDescent="0.2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</row>
    <row r="93" spans="3:45" x14ac:dyDescent="0.2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</row>
    <row r="94" spans="3:45" x14ac:dyDescent="0.2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</row>
    <row r="95" spans="3:45" x14ac:dyDescent="0.2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</row>
    <row r="96" spans="3:45" x14ac:dyDescent="0.2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</row>
    <row r="97" spans="3:45" x14ac:dyDescent="0.2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</row>
    <row r="98" spans="3:45" x14ac:dyDescent="0.2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</row>
    <row r="99" spans="3:45" x14ac:dyDescent="0.2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</row>
    <row r="100" spans="3:45" x14ac:dyDescent="0.2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3:45" x14ac:dyDescent="0.2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</row>
    <row r="102" spans="3:45" x14ac:dyDescent="0.2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</row>
    <row r="103" spans="3:45" x14ac:dyDescent="0.2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</row>
    <row r="104" spans="3:45" x14ac:dyDescent="0.2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</row>
    <row r="105" spans="3:45" x14ac:dyDescent="0.2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</row>
    <row r="106" spans="3:45" x14ac:dyDescent="0.2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</row>
    <row r="107" spans="3:45" x14ac:dyDescent="0.2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</row>
    <row r="108" spans="3:45" x14ac:dyDescent="0.2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</row>
    <row r="109" spans="3:45" x14ac:dyDescent="0.2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3:45" x14ac:dyDescent="0.2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</row>
    <row r="111" spans="3:45" x14ac:dyDescent="0.2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</row>
    <row r="112" spans="3:45" x14ac:dyDescent="0.2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</row>
    <row r="113" spans="3:45" x14ac:dyDescent="0.2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</row>
    <row r="114" spans="3:45" x14ac:dyDescent="0.2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</row>
    <row r="115" spans="3:45" x14ac:dyDescent="0.2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</row>
    <row r="116" spans="3:45" x14ac:dyDescent="0.2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</row>
    <row r="117" spans="3:45" x14ac:dyDescent="0.2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</row>
    <row r="118" spans="3:45" x14ac:dyDescent="0.2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3:45" x14ac:dyDescent="0.2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</row>
    <row r="120" spans="3:45" x14ac:dyDescent="0.2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</row>
    <row r="121" spans="3:45" x14ac:dyDescent="0.2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</row>
    <row r="122" spans="3:45" x14ac:dyDescent="0.2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</row>
    <row r="123" spans="3:45" x14ac:dyDescent="0.2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</row>
    <row r="124" spans="3:45" x14ac:dyDescent="0.2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</row>
    <row r="125" spans="3:45" x14ac:dyDescent="0.2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</row>
    <row r="126" spans="3:45" x14ac:dyDescent="0.2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</row>
    <row r="127" spans="3:45" x14ac:dyDescent="0.2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</row>
    <row r="128" spans="3:45" x14ac:dyDescent="0.2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3:45" x14ac:dyDescent="0.2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</row>
    <row r="130" spans="3:45" x14ac:dyDescent="0.2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</row>
    <row r="131" spans="3:45" x14ac:dyDescent="0.2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</row>
    <row r="132" spans="3:45" x14ac:dyDescent="0.2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spans="3:45" x14ac:dyDescent="0.2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</row>
    <row r="134" spans="3:45" x14ac:dyDescent="0.2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</row>
    <row r="135" spans="3:45" x14ac:dyDescent="0.2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</row>
    <row r="136" spans="3:45" x14ac:dyDescent="0.2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</row>
    <row r="137" spans="3:45" x14ac:dyDescent="0.2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</row>
    <row r="138" spans="3:45" x14ac:dyDescent="0.2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</row>
    <row r="139" spans="3:45" x14ac:dyDescent="0.2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</row>
    <row r="140" spans="3:45" x14ac:dyDescent="0.2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</row>
    <row r="141" spans="3:45" x14ac:dyDescent="0.2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</row>
    <row r="142" spans="3:45" x14ac:dyDescent="0.2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</row>
    <row r="143" spans="3:45" x14ac:dyDescent="0.2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</row>
    <row r="144" spans="3:45" x14ac:dyDescent="0.2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</row>
    <row r="145" spans="3:45" x14ac:dyDescent="0.2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</row>
    <row r="146" spans="3:45" x14ac:dyDescent="0.2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</row>
    <row r="147" spans="3:45" x14ac:dyDescent="0.2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</row>
    <row r="148" spans="3:45" x14ac:dyDescent="0.2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</row>
    <row r="149" spans="3:45" x14ac:dyDescent="0.2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</row>
    <row r="150" spans="3:45" x14ac:dyDescent="0.2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</row>
    <row r="151" spans="3:45" x14ac:dyDescent="0.2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</row>
    <row r="152" spans="3:45" x14ac:dyDescent="0.2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</row>
    <row r="153" spans="3:45" x14ac:dyDescent="0.2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</row>
    <row r="154" spans="3:45" x14ac:dyDescent="0.2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</row>
    <row r="155" spans="3:45" x14ac:dyDescent="0.2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</row>
    <row r="156" spans="3:45" x14ac:dyDescent="0.2"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</row>
    <row r="157" spans="3:45" x14ac:dyDescent="0.2"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</row>
    <row r="158" spans="3:45" x14ac:dyDescent="0.2"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</row>
    <row r="159" spans="3:45" x14ac:dyDescent="0.2"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</row>
    <row r="160" spans="3:45" x14ac:dyDescent="0.2"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</row>
    <row r="161" spans="3:45" x14ac:dyDescent="0.2"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</row>
    <row r="162" spans="3:45" x14ac:dyDescent="0.2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</row>
    <row r="163" spans="3:45" x14ac:dyDescent="0.2"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</row>
    <row r="164" spans="3:45" x14ac:dyDescent="0.2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</row>
    <row r="165" spans="3:45" x14ac:dyDescent="0.2"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</row>
    <row r="166" spans="3:45" x14ac:dyDescent="0.2"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</row>
    <row r="167" spans="3:45" x14ac:dyDescent="0.2"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</row>
    <row r="168" spans="3:45" x14ac:dyDescent="0.2"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</row>
    <row r="169" spans="3:45" x14ac:dyDescent="0.2"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</row>
    <row r="170" spans="3:45" x14ac:dyDescent="0.2"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</row>
    <row r="171" spans="3:45" x14ac:dyDescent="0.2"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</row>
    <row r="172" spans="3:45" x14ac:dyDescent="0.2"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</row>
    <row r="173" spans="3:45" x14ac:dyDescent="0.2"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</row>
    <row r="174" spans="3:45" x14ac:dyDescent="0.2"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</row>
    <row r="175" spans="3:45" x14ac:dyDescent="0.2"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</row>
    <row r="176" spans="3:45" x14ac:dyDescent="0.2"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</row>
    <row r="177" spans="3:45" x14ac:dyDescent="0.2"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</row>
    <row r="178" spans="3:45" x14ac:dyDescent="0.2"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</row>
    <row r="179" spans="3:45" x14ac:dyDescent="0.2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</row>
    <row r="180" spans="3:45" x14ac:dyDescent="0.2"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</row>
    <row r="181" spans="3:45" x14ac:dyDescent="0.2"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</row>
    <row r="182" spans="3:45" x14ac:dyDescent="0.2"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</row>
    <row r="183" spans="3:45" x14ac:dyDescent="0.2"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</row>
    <row r="184" spans="3:45" x14ac:dyDescent="0.2"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</row>
    <row r="185" spans="3:45" x14ac:dyDescent="0.2"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</row>
    <row r="186" spans="3:45" x14ac:dyDescent="0.2"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</row>
    <row r="187" spans="3:45" x14ac:dyDescent="0.2"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</row>
    <row r="188" spans="3:45" x14ac:dyDescent="0.2"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</row>
    <row r="189" spans="3:45" x14ac:dyDescent="0.2"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</row>
    <row r="190" spans="3:45" x14ac:dyDescent="0.2"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</row>
    <row r="191" spans="3:45" x14ac:dyDescent="0.2"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</row>
    <row r="192" spans="3:45" x14ac:dyDescent="0.2"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</row>
    <row r="193" spans="3:45" x14ac:dyDescent="0.2"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</row>
    <row r="194" spans="3:45" x14ac:dyDescent="0.2"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</row>
    <row r="195" spans="3:45" x14ac:dyDescent="0.2"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</row>
    <row r="196" spans="3:45" x14ac:dyDescent="0.2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</row>
    <row r="197" spans="3:45" x14ac:dyDescent="0.2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</row>
    <row r="198" spans="3:45" x14ac:dyDescent="0.2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</row>
    <row r="199" spans="3:45" x14ac:dyDescent="0.2"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</row>
    <row r="200" spans="3:45" x14ac:dyDescent="0.2"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</row>
    <row r="201" spans="3:45" x14ac:dyDescent="0.2"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</row>
    <row r="202" spans="3:45" x14ac:dyDescent="0.2"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</row>
    <row r="203" spans="3:45" x14ac:dyDescent="0.2"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</row>
    <row r="204" spans="3:45" x14ac:dyDescent="0.2"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</row>
    <row r="205" spans="3:45" x14ac:dyDescent="0.2"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</row>
    <row r="206" spans="3:45" x14ac:dyDescent="0.2"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</row>
    <row r="207" spans="3:45" x14ac:dyDescent="0.2"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</row>
    <row r="208" spans="3:45" x14ac:dyDescent="0.2"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</row>
    <row r="209" spans="3:45" x14ac:dyDescent="0.2"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</row>
    <row r="210" spans="3:45" x14ac:dyDescent="0.2"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</row>
    <row r="211" spans="3:45" x14ac:dyDescent="0.2"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</row>
    <row r="212" spans="3:45" x14ac:dyDescent="0.2"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</row>
    <row r="213" spans="3:45" x14ac:dyDescent="0.2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</row>
    <row r="214" spans="3:45" x14ac:dyDescent="0.2"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</row>
    <row r="215" spans="3:45" x14ac:dyDescent="0.2"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</row>
    <row r="216" spans="3:45" x14ac:dyDescent="0.2"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</row>
    <row r="217" spans="3:45" x14ac:dyDescent="0.2"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</row>
    <row r="218" spans="3:45" x14ac:dyDescent="0.2"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</row>
    <row r="219" spans="3:45" x14ac:dyDescent="0.2"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</row>
    <row r="220" spans="3:45" x14ac:dyDescent="0.2"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</row>
    <row r="221" spans="3:45" x14ac:dyDescent="0.2"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</row>
    <row r="222" spans="3:45" x14ac:dyDescent="0.2"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</row>
    <row r="223" spans="3:45" x14ac:dyDescent="0.2"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</row>
    <row r="224" spans="3:45" x14ac:dyDescent="0.2"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</row>
    <row r="225" spans="3:45" x14ac:dyDescent="0.2"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</row>
    <row r="226" spans="3:45" x14ac:dyDescent="0.2"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</row>
    <row r="227" spans="3:45" x14ac:dyDescent="0.2"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</row>
    <row r="228" spans="3:45" x14ac:dyDescent="0.2"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</row>
    <row r="229" spans="3:45" x14ac:dyDescent="0.2"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</row>
    <row r="230" spans="3:45" x14ac:dyDescent="0.2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</row>
    <row r="231" spans="3:45" x14ac:dyDescent="0.2"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</row>
    <row r="232" spans="3:45" x14ac:dyDescent="0.2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</row>
    <row r="233" spans="3:45" x14ac:dyDescent="0.2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</row>
    <row r="234" spans="3:45" x14ac:dyDescent="0.2"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</row>
    <row r="235" spans="3:45" x14ac:dyDescent="0.2"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</row>
    <row r="236" spans="3:45" x14ac:dyDescent="0.2"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</row>
    <row r="237" spans="3:45" x14ac:dyDescent="0.2"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</row>
    <row r="238" spans="3:45" x14ac:dyDescent="0.2"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</row>
    <row r="239" spans="3:45" x14ac:dyDescent="0.2"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</row>
    <row r="240" spans="3:45" x14ac:dyDescent="0.2"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</row>
    <row r="241" spans="3:45" x14ac:dyDescent="0.2"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</row>
    <row r="242" spans="3:45" x14ac:dyDescent="0.2"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</row>
    <row r="243" spans="3:45" x14ac:dyDescent="0.2"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</row>
    <row r="244" spans="3:45" x14ac:dyDescent="0.2"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</row>
    <row r="245" spans="3:45" x14ac:dyDescent="0.2"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</row>
    <row r="246" spans="3:45" x14ac:dyDescent="0.2"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</row>
    <row r="247" spans="3:45" x14ac:dyDescent="0.2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</row>
    <row r="248" spans="3:45" x14ac:dyDescent="0.2"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</row>
    <row r="249" spans="3:45" x14ac:dyDescent="0.2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</row>
    <row r="250" spans="3:45" x14ac:dyDescent="0.2"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</row>
    <row r="251" spans="3:45" x14ac:dyDescent="0.2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</row>
    <row r="252" spans="3:45" x14ac:dyDescent="0.2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</row>
    <row r="253" spans="3:45" x14ac:dyDescent="0.2"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</row>
    <row r="254" spans="3:45" x14ac:dyDescent="0.2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</row>
    <row r="255" spans="3:45" x14ac:dyDescent="0.2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</row>
    <row r="256" spans="3:45" x14ac:dyDescent="0.2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</row>
    <row r="257" spans="3:45" x14ac:dyDescent="0.2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</row>
    <row r="258" spans="3:45" x14ac:dyDescent="0.2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</row>
    <row r="259" spans="3:45" x14ac:dyDescent="0.2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</row>
    <row r="260" spans="3:45" x14ac:dyDescent="0.2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</row>
    <row r="261" spans="3:45" x14ac:dyDescent="0.2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</row>
    <row r="262" spans="3:45" x14ac:dyDescent="0.2"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</row>
    <row r="263" spans="3:45" x14ac:dyDescent="0.2"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</row>
    <row r="264" spans="3:45" x14ac:dyDescent="0.2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</row>
    <row r="265" spans="3:45" x14ac:dyDescent="0.2"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</row>
    <row r="266" spans="3:45" x14ac:dyDescent="0.2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</row>
    <row r="267" spans="3:45" x14ac:dyDescent="0.2"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</row>
    <row r="268" spans="3:45" x14ac:dyDescent="0.2"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</row>
    <row r="269" spans="3:45" x14ac:dyDescent="0.2"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</row>
    <row r="270" spans="3:45" x14ac:dyDescent="0.2"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</row>
    <row r="271" spans="3:45" x14ac:dyDescent="0.2"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</row>
    <row r="272" spans="3:45" x14ac:dyDescent="0.2"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</row>
    <row r="273" spans="3:45" x14ac:dyDescent="0.2"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</row>
    <row r="274" spans="3:45" x14ac:dyDescent="0.2"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</row>
    <row r="275" spans="3:45" x14ac:dyDescent="0.2"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</row>
    <row r="276" spans="3:45" x14ac:dyDescent="0.2"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</row>
    <row r="277" spans="3:45" x14ac:dyDescent="0.2"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</row>
    <row r="278" spans="3:45" x14ac:dyDescent="0.2"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</row>
    <row r="279" spans="3:45" x14ac:dyDescent="0.2"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</row>
    <row r="280" spans="3:45" x14ac:dyDescent="0.2"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</row>
    <row r="281" spans="3:45" x14ac:dyDescent="0.2"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</row>
    <row r="282" spans="3:45" x14ac:dyDescent="0.2"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</row>
    <row r="283" spans="3:45" x14ac:dyDescent="0.2"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</row>
    <row r="284" spans="3:45" x14ac:dyDescent="0.2"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</row>
    <row r="285" spans="3:45" x14ac:dyDescent="0.2"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</row>
    <row r="286" spans="3:45" x14ac:dyDescent="0.2"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</row>
    <row r="287" spans="3:45" x14ac:dyDescent="0.2"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</row>
    <row r="288" spans="3:45" x14ac:dyDescent="0.2"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</row>
    <row r="289" spans="3:45" x14ac:dyDescent="0.2"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</row>
    <row r="290" spans="3:45" x14ac:dyDescent="0.2"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</row>
    <row r="291" spans="3:45" x14ac:dyDescent="0.2"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</row>
    <row r="292" spans="3:45" x14ac:dyDescent="0.2"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</row>
    <row r="293" spans="3:45" x14ac:dyDescent="0.2"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</row>
    <row r="294" spans="3:45" x14ac:dyDescent="0.2"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</row>
    <row r="295" spans="3:45" x14ac:dyDescent="0.2"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</row>
    <row r="296" spans="3:45" x14ac:dyDescent="0.2"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</row>
    <row r="297" spans="3:45" x14ac:dyDescent="0.2"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</row>
    <row r="298" spans="3:45" x14ac:dyDescent="0.2"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</row>
    <row r="299" spans="3:45" x14ac:dyDescent="0.2"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</row>
    <row r="300" spans="3:45" x14ac:dyDescent="0.2"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</row>
    <row r="301" spans="3:45" x14ac:dyDescent="0.2"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</row>
    <row r="302" spans="3:45" x14ac:dyDescent="0.2"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</row>
    <row r="303" spans="3:45" x14ac:dyDescent="0.2"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</row>
    <row r="304" spans="3:45" x14ac:dyDescent="0.2"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</row>
    <row r="305" spans="3:45" x14ac:dyDescent="0.2"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</row>
    <row r="306" spans="3:45" x14ac:dyDescent="0.2"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</row>
    <row r="307" spans="3:45" x14ac:dyDescent="0.2"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</row>
    <row r="308" spans="3:45" x14ac:dyDescent="0.2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</row>
    <row r="309" spans="3:45" x14ac:dyDescent="0.2"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</row>
    <row r="310" spans="3:45" x14ac:dyDescent="0.2"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</row>
    <row r="311" spans="3:45" x14ac:dyDescent="0.2"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</row>
    <row r="312" spans="3:45" x14ac:dyDescent="0.2"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</row>
    <row r="313" spans="3:45" x14ac:dyDescent="0.2"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</row>
    <row r="314" spans="3:45" x14ac:dyDescent="0.2"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</row>
    <row r="315" spans="3:45" x14ac:dyDescent="0.2"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</row>
    <row r="316" spans="3:45" x14ac:dyDescent="0.2"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</row>
    <row r="317" spans="3:45" x14ac:dyDescent="0.2"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</row>
    <row r="318" spans="3:45" x14ac:dyDescent="0.2"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</row>
    <row r="319" spans="3:45" x14ac:dyDescent="0.2"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</row>
    <row r="320" spans="3:45" x14ac:dyDescent="0.2"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</row>
    <row r="321" spans="3:45" x14ac:dyDescent="0.2"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</row>
    <row r="322" spans="3:45" x14ac:dyDescent="0.2"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</row>
    <row r="323" spans="3:45" x14ac:dyDescent="0.2"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</row>
    <row r="324" spans="3:45" x14ac:dyDescent="0.2"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</row>
    <row r="325" spans="3:45" x14ac:dyDescent="0.2"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</row>
    <row r="326" spans="3:45" x14ac:dyDescent="0.2"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</row>
    <row r="327" spans="3:45" x14ac:dyDescent="0.2"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</row>
    <row r="328" spans="3:45" x14ac:dyDescent="0.2"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</row>
    <row r="329" spans="3:45" x14ac:dyDescent="0.2"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</row>
    <row r="330" spans="3:45" x14ac:dyDescent="0.2"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</row>
    <row r="331" spans="3:45" x14ac:dyDescent="0.2"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</row>
    <row r="332" spans="3:45" x14ac:dyDescent="0.2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</row>
    <row r="333" spans="3:45" x14ac:dyDescent="0.2"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</row>
    <row r="334" spans="3:45" x14ac:dyDescent="0.2"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</row>
    <row r="335" spans="3:45" x14ac:dyDescent="0.2"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</row>
    <row r="336" spans="3:45" x14ac:dyDescent="0.2"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</row>
    <row r="337" spans="3:45" x14ac:dyDescent="0.2"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</row>
    <row r="338" spans="3:45" x14ac:dyDescent="0.2"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</row>
    <row r="339" spans="3:45" x14ac:dyDescent="0.2"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</row>
    <row r="340" spans="3:45" x14ac:dyDescent="0.2"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</row>
    <row r="341" spans="3:45" x14ac:dyDescent="0.2"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</row>
    <row r="342" spans="3:45" x14ac:dyDescent="0.2"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</row>
    <row r="343" spans="3:45" x14ac:dyDescent="0.2"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</row>
    <row r="344" spans="3:45" x14ac:dyDescent="0.2"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</row>
    <row r="345" spans="3:45" x14ac:dyDescent="0.2"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</row>
    <row r="346" spans="3:45" x14ac:dyDescent="0.2"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</row>
    <row r="347" spans="3:45" x14ac:dyDescent="0.2"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</row>
    <row r="348" spans="3:45" x14ac:dyDescent="0.2"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</row>
    <row r="349" spans="3:45" x14ac:dyDescent="0.2"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</row>
    <row r="350" spans="3:45" x14ac:dyDescent="0.2"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</row>
    <row r="351" spans="3:45" x14ac:dyDescent="0.2"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</row>
    <row r="352" spans="3:45" x14ac:dyDescent="0.2"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</row>
    <row r="353" spans="3:45" x14ac:dyDescent="0.2"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</row>
    <row r="354" spans="3:45" x14ac:dyDescent="0.2"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</row>
    <row r="355" spans="3:45" x14ac:dyDescent="0.2"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</row>
    <row r="356" spans="3:45" x14ac:dyDescent="0.2"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</row>
    <row r="357" spans="3:45" x14ac:dyDescent="0.2"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</row>
    <row r="358" spans="3:45" x14ac:dyDescent="0.2"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</row>
    <row r="359" spans="3:45" x14ac:dyDescent="0.2"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</row>
    <row r="360" spans="3:45" x14ac:dyDescent="0.2"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</row>
  </sheetData>
  <hyperlinks>
    <hyperlink ref="A1" location="Main!A1" display="Main" xr:uid="{7DE0F1E4-5050-4787-ADE3-85C63FA9FE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2024-10-06T15:35:21Z</dcterms:created>
  <dcterms:modified xsi:type="dcterms:W3CDTF">2026-07-18T10:00:06Z</dcterms:modified>
</cp:coreProperties>
</file>