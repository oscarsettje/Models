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192E9280-43E6-45F6-A50C-B02206A690A3}" xr6:coauthVersionLast="47" xr6:coauthVersionMax="47" xr10:uidLastSave="{00000000-0000-0000-0000-000000000000}"/>
  <bookViews>
    <workbookView xWindow="225" yWindow="2730" windowWidth="38175" windowHeight="15240" activeTab="1" xr2:uid="{BED34A11-0209-4766-B8A3-A0379845CA49}"/>
  </bookViews>
  <sheets>
    <sheet name="Main" sheetId="1" r:id="rId1"/>
    <sheet name="Financ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7" i="1" s="1"/>
  <c r="C15" i="1"/>
  <c r="C14" i="1"/>
  <c r="C13" i="1"/>
  <c r="C12" i="1"/>
</calcChain>
</file>

<file path=xl/sharedStrings.xml><?xml version="1.0" encoding="utf-8"?>
<sst xmlns="http://schemas.openxmlformats.org/spreadsheetml/2006/main" count="54" uniqueCount="47">
  <si>
    <t>ITC Company</t>
  </si>
  <si>
    <t>Main</t>
  </si>
  <si>
    <t>Income Statement</t>
  </si>
  <si>
    <t>Q124</t>
  </si>
  <si>
    <t>Q224</t>
  </si>
  <si>
    <t>Q324</t>
  </si>
  <si>
    <t>Q424</t>
  </si>
  <si>
    <t>x</t>
  </si>
  <si>
    <t>Price</t>
  </si>
  <si>
    <t>Shares</t>
  </si>
  <si>
    <t>MC</t>
  </si>
  <si>
    <t>Cash</t>
  </si>
  <si>
    <t>Debt</t>
  </si>
  <si>
    <t>EV</t>
  </si>
  <si>
    <t>Q125</t>
  </si>
  <si>
    <t>Q225</t>
  </si>
  <si>
    <t>Q325</t>
  </si>
  <si>
    <t>Q425</t>
  </si>
  <si>
    <t>FY19</t>
  </si>
  <si>
    <t>FY20</t>
  </si>
  <si>
    <t>FY21</t>
  </si>
  <si>
    <t>FY22</t>
  </si>
  <si>
    <t>FY23</t>
  </si>
  <si>
    <t>FY24</t>
  </si>
  <si>
    <t>FY25</t>
  </si>
  <si>
    <t>Revenue</t>
  </si>
  <si>
    <t>IR</t>
  </si>
  <si>
    <t>BFY</t>
  </si>
  <si>
    <t>EFY</t>
  </si>
  <si>
    <t>numbers in mio rupie</t>
  </si>
  <si>
    <t>Other Income</t>
  </si>
  <si>
    <t>Hotels</t>
  </si>
  <si>
    <t>Agri Business</t>
  </si>
  <si>
    <t>Paper&amp;Packaging</t>
  </si>
  <si>
    <t>Ciagrettes</t>
  </si>
  <si>
    <t>Busniness Model</t>
  </si>
  <si>
    <t>Segments</t>
  </si>
  <si>
    <t xml:space="preserve">Product/Brands </t>
  </si>
  <si>
    <t>% of Rev</t>
  </si>
  <si>
    <t>Cigarettes</t>
  </si>
  <si>
    <t>Other</t>
  </si>
  <si>
    <t>Notes</t>
  </si>
  <si>
    <t>Marketleader in Cigarettes in India</t>
  </si>
  <si>
    <t>Cigarette Brands:</t>
  </si>
  <si>
    <t>Insignia, India Kings, Classic, Gold Flake, American Club, Wills Navy Cut, Players, Scissors, Capstan, Berkeley, Bristol, Flake, Silk Cut, Duke &amp; Royal</t>
  </si>
  <si>
    <t>see Cigarette brands below</t>
  </si>
  <si>
    <t>Food, Personal Care, Education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</si>
</sst>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1" fillId="0" borderId="0" xfId="0" applyFont="1"/>
    <xf numFmtId="0" fontId="5" fillId="0" borderId="0" xfId="1" applyFont="1"/>
    <xf numFmtId="4" fontId="1" fillId="0" borderId="0" xfId="0" applyNumberFormat="1" applyFont="1"/>
    <xf numFmtId="3" fontId="1" fillId="0" borderId="0" xfId="0" applyNumberFormat="1" applyFont="1"/>
    <xf numFmtId="16" fontId="1" fillId="0" borderId="0" xfId="0" applyNumberFormat="1" applyFont="1"/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1" fillId="0" borderId="4" xfId="0" applyFont="1" applyBorder="1"/>
    <xf numFmtId="0" fontId="1" fillId="0" borderId="5" xfId="0" applyFont="1" applyBorder="1"/>
    <xf numFmtId="9" fontId="1" fillId="0" borderId="6" xfId="2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2" applyFont="1" applyBorder="1"/>
    <xf numFmtId="0" fontId="1" fillId="0" borderId="9" xfId="0" applyFont="1" applyBorder="1"/>
    <xf numFmtId="0" fontId="1" fillId="0" borderId="10" xfId="0" applyFont="1" applyBorder="1"/>
    <xf numFmtId="9" fontId="1" fillId="0" borderId="1" xfId="0" applyNumberFormat="1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4" fillId="0" borderId="0" xfId="0" applyNumberFormat="1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tcpor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E8E4-D61F-40DC-8D2C-12D91EEEF44E}">
  <dimension ref="A1:I21"/>
  <sheetViews>
    <sheetView zoomScale="200" zoomScaleNormal="200" workbookViewId="0">
      <selection activeCell="I3" sqref="I3:I5"/>
    </sheetView>
  </sheetViews>
  <sheetFormatPr defaultRowHeight="12.75" x14ac:dyDescent="0.2"/>
  <cols>
    <col min="1" max="1" width="4.140625" style="2" customWidth="1"/>
    <col min="2" max="2" width="15.140625" style="2" bestFit="1" customWidth="1"/>
    <col min="3" max="3" width="9.28515625" style="2" bestFit="1" customWidth="1"/>
    <col min="4" max="4" width="30.5703125" style="2" customWidth="1"/>
    <col min="5" max="5" width="13.140625" style="2" customWidth="1"/>
    <col min="6" max="7" width="9.140625" style="2"/>
    <col min="8" max="8" width="10.140625" style="2" bestFit="1" customWidth="1"/>
    <col min="9" max="10" width="9.140625" style="2"/>
    <col min="11" max="11" width="10.7109375" style="2" bestFit="1" customWidth="1"/>
    <col min="12" max="16384" width="9.140625" style="2"/>
  </cols>
  <sheetData>
    <row r="1" spans="1:9" x14ac:dyDescent="0.2">
      <c r="A1" s="1" t="s">
        <v>0</v>
      </c>
    </row>
    <row r="2" spans="1:9" x14ac:dyDescent="0.2">
      <c r="A2" s="2" t="s">
        <v>29</v>
      </c>
      <c r="G2" s="2" t="s">
        <v>8</v>
      </c>
      <c r="H2" s="2">
        <v>485.4</v>
      </c>
    </row>
    <row r="3" spans="1:9" x14ac:dyDescent="0.2">
      <c r="B3" s="3" t="s">
        <v>26</v>
      </c>
      <c r="G3" s="2" t="s">
        <v>9</v>
      </c>
      <c r="H3" s="4">
        <v>12513.458646999999</v>
      </c>
      <c r="I3" s="22" t="s">
        <v>5</v>
      </c>
    </row>
    <row r="4" spans="1:9" x14ac:dyDescent="0.2">
      <c r="B4" s="2" t="s">
        <v>27</v>
      </c>
      <c r="G4" s="2" t="s">
        <v>10</v>
      </c>
      <c r="H4" s="5">
        <f>+H2*H3</f>
        <v>6074032.8272537999</v>
      </c>
      <c r="I4" s="22"/>
    </row>
    <row r="5" spans="1:9" x14ac:dyDescent="0.2">
      <c r="B5" s="2" t="s">
        <v>28</v>
      </c>
      <c r="C5" s="6">
        <v>45382</v>
      </c>
      <c r="G5" s="2" t="s">
        <v>11</v>
      </c>
      <c r="H5" s="5">
        <f>13368.18+792.18+4939.51</f>
        <v>19099.870000000003</v>
      </c>
      <c r="I5" s="22" t="s">
        <v>5</v>
      </c>
    </row>
    <row r="6" spans="1:9" x14ac:dyDescent="0.2">
      <c r="G6" s="2" t="s">
        <v>12</v>
      </c>
      <c r="H6" s="5">
        <f>1.76+25.02</f>
        <v>26.78</v>
      </c>
      <c r="I6" s="2" t="s">
        <v>5</v>
      </c>
    </row>
    <row r="7" spans="1:9" x14ac:dyDescent="0.2">
      <c r="G7" s="2" t="s">
        <v>13</v>
      </c>
      <c r="H7" s="5">
        <f>+H4-H5+H6</f>
        <v>6054959.7372538</v>
      </c>
    </row>
    <row r="10" spans="1:9" x14ac:dyDescent="0.2">
      <c r="B10" s="7" t="s">
        <v>35</v>
      </c>
    </row>
    <row r="11" spans="1:9" x14ac:dyDescent="0.2">
      <c r="B11" s="8" t="s">
        <v>36</v>
      </c>
      <c r="C11" s="9" t="s">
        <v>38</v>
      </c>
      <c r="D11" s="9" t="s">
        <v>37</v>
      </c>
      <c r="E11" s="10"/>
    </row>
    <row r="12" spans="1:9" x14ac:dyDescent="0.2">
      <c r="B12" s="11" t="s">
        <v>39</v>
      </c>
      <c r="C12" s="12">
        <f>Financials!G4/SUM(Financials!$G$4:$G$8)</f>
        <v>0.34388707926167211</v>
      </c>
      <c r="D12" s="13" t="s">
        <v>45</v>
      </c>
      <c r="E12" s="14"/>
    </row>
    <row r="13" spans="1:9" x14ac:dyDescent="0.2">
      <c r="B13" s="15" t="s">
        <v>40</v>
      </c>
      <c r="C13" s="16">
        <f>Financials!G5/SUM(Financials!$G$4:$G$8)</f>
        <v>0.2384799131378936</v>
      </c>
      <c r="D13" s="2" t="s">
        <v>46</v>
      </c>
      <c r="E13" s="17"/>
    </row>
    <row r="14" spans="1:9" x14ac:dyDescent="0.2">
      <c r="B14" s="15" t="s">
        <v>31</v>
      </c>
      <c r="C14" s="16">
        <f>Financials!G6/SUM(Financials!$G$4:$G$8)</f>
        <v>2.8925081433224756E-2</v>
      </c>
      <c r="E14" s="17"/>
    </row>
    <row r="15" spans="1:9" x14ac:dyDescent="0.2">
      <c r="B15" s="15" t="s">
        <v>32</v>
      </c>
      <c r="C15" s="16">
        <f>Financials!G7/SUM(Financials!$G$4:$G$8)</f>
        <v>0.30284473398479911</v>
      </c>
      <c r="E15" s="17"/>
    </row>
    <row r="16" spans="1:9" x14ac:dyDescent="0.2">
      <c r="B16" s="18" t="s">
        <v>33</v>
      </c>
      <c r="C16" s="19">
        <v>0.09</v>
      </c>
      <c r="D16" s="20"/>
      <c r="E16" s="21"/>
    </row>
    <row r="18" spans="2:2" x14ac:dyDescent="0.2">
      <c r="B18" s="1" t="s">
        <v>41</v>
      </c>
    </row>
    <row r="19" spans="2:2" x14ac:dyDescent="0.2">
      <c r="B19" s="2" t="s">
        <v>42</v>
      </c>
    </row>
    <row r="20" spans="2:2" x14ac:dyDescent="0.2">
      <c r="B20" s="2" t="s">
        <v>43</v>
      </c>
    </row>
    <row r="21" spans="2:2" x14ac:dyDescent="0.2">
      <c r="B21" s="2" t="s">
        <v>44</v>
      </c>
    </row>
  </sheetData>
  <hyperlinks>
    <hyperlink ref="B3" r:id="rId1" xr:uid="{41DF0D4D-DBED-4467-B80F-13AA2541950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6CA4-BBB0-444B-A80B-105D8503DF72}">
  <dimension ref="A1:R627"/>
  <sheetViews>
    <sheetView tabSelected="1"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defaultRowHeight="12.75" x14ac:dyDescent="0.2"/>
  <cols>
    <col min="1" max="1" width="4.7109375" style="2" bestFit="1" customWidth="1"/>
    <col min="2" max="2" width="20.85546875" style="2" customWidth="1"/>
    <col min="3" max="16" width="9.140625" style="2"/>
    <col min="17" max="17" width="8.85546875" style="2" bestFit="1" customWidth="1"/>
    <col min="18" max="16384" width="9.140625" style="2"/>
  </cols>
  <sheetData>
    <row r="1" spans="1:18" x14ac:dyDescent="0.2">
      <c r="A1" s="3" t="s">
        <v>1</v>
      </c>
    </row>
    <row r="2" spans="1:18" x14ac:dyDescent="0.2">
      <c r="C2" s="22" t="s">
        <v>3</v>
      </c>
      <c r="D2" s="22" t="s">
        <v>4</v>
      </c>
      <c r="E2" s="22" t="s">
        <v>5</v>
      </c>
      <c r="F2" s="22" t="s">
        <v>6</v>
      </c>
      <c r="G2" s="22" t="s">
        <v>14</v>
      </c>
      <c r="H2" s="22" t="s">
        <v>15</v>
      </c>
      <c r="I2" s="22" t="s">
        <v>16</v>
      </c>
      <c r="J2" s="22" t="s">
        <v>17</v>
      </c>
      <c r="L2" s="22" t="s">
        <v>18</v>
      </c>
      <c r="M2" s="22" t="s">
        <v>19</v>
      </c>
      <c r="N2" s="22" t="s">
        <v>20</v>
      </c>
      <c r="O2" s="22" t="s">
        <v>21</v>
      </c>
      <c r="P2" s="22" t="s">
        <v>22</v>
      </c>
      <c r="Q2" s="22" t="s">
        <v>23</v>
      </c>
      <c r="R2" s="22" t="s">
        <v>24</v>
      </c>
    </row>
    <row r="3" spans="1:18" x14ac:dyDescent="0.2">
      <c r="A3" s="23" t="s">
        <v>7</v>
      </c>
      <c r="B3" s="7" t="s">
        <v>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x14ac:dyDescent="0.2">
      <c r="A4" s="23"/>
      <c r="B4" s="2" t="s">
        <v>34</v>
      </c>
      <c r="C4" s="24">
        <v>7456</v>
      </c>
      <c r="D4" s="24"/>
      <c r="E4" s="24"/>
      <c r="F4" s="24"/>
      <c r="G4" s="24">
        <v>7918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x14ac:dyDescent="0.2">
      <c r="A5" s="23"/>
      <c r="B5" s="2" t="s">
        <v>30</v>
      </c>
      <c r="C5" s="24">
        <v>5166</v>
      </c>
      <c r="D5" s="24"/>
      <c r="E5" s="24"/>
      <c r="F5" s="24"/>
      <c r="G5" s="24">
        <v>5491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x14ac:dyDescent="0.2">
      <c r="A6" s="23"/>
      <c r="B6" s="2" t="s">
        <v>31</v>
      </c>
      <c r="C6" s="24">
        <v>600</v>
      </c>
      <c r="D6" s="24"/>
      <c r="E6" s="24"/>
      <c r="F6" s="24"/>
      <c r="G6" s="24">
        <v>666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 x14ac:dyDescent="0.2">
      <c r="A7" s="23"/>
      <c r="B7" s="2" t="s">
        <v>32</v>
      </c>
      <c r="C7" s="24">
        <v>5705</v>
      </c>
      <c r="D7" s="24"/>
      <c r="E7" s="24"/>
      <c r="F7" s="24"/>
      <c r="G7" s="24">
        <v>6973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8" x14ac:dyDescent="0.2">
      <c r="A8" s="23"/>
      <c r="B8" s="2" t="s">
        <v>33</v>
      </c>
      <c r="C8" s="24">
        <v>2121</v>
      </c>
      <c r="D8" s="24"/>
      <c r="E8" s="24"/>
      <c r="F8" s="24"/>
      <c r="G8" s="24">
        <v>1977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8" x14ac:dyDescent="0.2">
      <c r="B9" s="1" t="s">
        <v>25</v>
      </c>
      <c r="C9" s="25">
        <v>16843</v>
      </c>
      <c r="D9" s="25"/>
      <c r="E9" s="25"/>
      <c r="F9" s="25"/>
      <c r="G9" s="25">
        <v>18077</v>
      </c>
      <c r="H9" s="25"/>
      <c r="I9" s="25"/>
      <c r="J9" s="25"/>
      <c r="K9" s="25"/>
      <c r="L9" s="25"/>
      <c r="M9" s="25"/>
      <c r="N9" s="25"/>
      <c r="O9" s="25"/>
      <c r="P9" s="25"/>
      <c r="Q9" s="25">
        <v>70105.289999999994</v>
      </c>
    </row>
    <row r="10" spans="1:18" x14ac:dyDescent="0.2">
      <c r="B10" s="2" t="s">
        <v>30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>
        <v>3538.28</v>
      </c>
    </row>
    <row r="11" spans="1:18" x14ac:dyDescent="0.2"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spans="1:18" x14ac:dyDescent="0.2"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 spans="1:18" x14ac:dyDescent="0.2"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18" x14ac:dyDescent="0.2"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spans="1:18" x14ac:dyDescent="0.2"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8" x14ac:dyDescent="0.2"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3:17" x14ac:dyDescent="0.2"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3:17" x14ac:dyDescent="0.2"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3:17" x14ac:dyDescent="0.2"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3:17" x14ac:dyDescent="0.2"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3:17" x14ac:dyDescent="0.2"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3:17" x14ac:dyDescent="0.2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3:17" x14ac:dyDescent="0.2"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3:17" x14ac:dyDescent="0.2"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3:17" x14ac:dyDescent="0.2"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3:17" x14ac:dyDescent="0.2"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3:17" x14ac:dyDescent="0.2"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3:17" x14ac:dyDescent="0.2"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3:17" x14ac:dyDescent="0.2"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3:17" x14ac:dyDescent="0.2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3:17" x14ac:dyDescent="0.2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3:17" x14ac:dyDescent="0.2"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3:17" x14ac:dyDescent="0.2"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3:17" x14ac:dyDescent="0.2"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3:17" x14ac:dyDescent="0.2"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3:17" x14ac:dyDescent="0.2"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3:17" x14ac:dyDescent="0.2"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3:17" x14ac:dyDescent="0.2"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3:17" x14ac:dyDescent="0.2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3:17" x14ac:dyDescent="0.2"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3:17" x14ac:dyDescent="0.2"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3:17" x14ac:dyDescent="0.2"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3:17" x14ac:dyDescent="0.2"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3:17" x14ac:dyDescent="0.2"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3:17" x14ac:dyDescent="0.2"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3:17" x14ac:dyDescent="0.2"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3:17" x14ac:dyDescent="0.2"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3:17" x14ac:dyDescent="0.2"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3:17" x14ac:dyDescent="0.2"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3:17" x14ac:dyDescent="0.2"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3:17" x14ac:dyDescent="0.2"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3:17" x14ac:dyDescent="0.2"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3:17" x14ac:dyDescent="0.2"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3:17" x14ac:dyDescent="0.2"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3:17" x14ac:dyDescent="0.2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3:17" x14ac:dyDescent="0.2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3:17" x14ac:dyDescent="0.2"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spans="3:17" x14ac:dyDescent="0.2"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3:17" x14ac:dyDescent="0.2"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spans="3:17" x14ac:dyDescent="0.2"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3:17" x14ac:dyDescent="0.2"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3:17" x14ac:dyDescent="0.2"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3:17" x14ac:dyDescent="0.2"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3:17" x14ac:dyDescent="0.2"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3:17" x14ac:dyDescent="0.2"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3:17" x14ac:dyDescent="0.2"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3:17" x14ac:dyDescent="0.2"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spans="3:17" x14ac:dyDescent="0.2"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3:17" x14ac:dyDescent="0.2"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3:17" x14ac:dyDescent="0.2"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spans="3:17" x14ac:dyDescent="0.2"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3:17" x14ac:dyDescent="0.2"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spans="3:17" x14ac:dyDescent="0.2"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spans="3:17" x14ac:dyDescent="0.2"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3:17" x14ac:dyDescent="0.2"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3:17" x14ac:dyDescent="0.2"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spans="3:17" x14ac:dyDescent="0.2"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3:17" x14ac:dyDescent="0.2"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3:17" x14ac:dyDescent="0.2"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3:17" x14ac:dyDescent="0.2"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3:17" x14ac:dyDescent="0.2"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3:17" x14ac:dyDescent="0.2"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3:17" x14ac:dyDescent="0.2"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spans="3:17" x14ac:dyDescent="0.2"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3:17" x14ac:dyDescent="0.2"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3:17" x14ac:dyDescent="0.2"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spans="3:17" x14ac:dyDescent="0.2"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spans="3:17" x14ac:dyDescent="0.2"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spans="3:17" x14ac:dyDescent="0.2"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</row>
    <row r="90" spans="3:17" x14ac:dyDescent="0.2"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spans="3:17" x14ac:dyDescent="0.2"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spans="3:17" x14ac:dyDescent="0.2"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  <row r="93" spans="3:17" x14ac:dyDescent="0.2"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spans="3:17" x14ac:dyDescent="0.2"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</row>
    <row r="95" spans="3:17" x14ac:dyDescent="0.2"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</row>
    <row r="96" spans="3:17" x14ac:dyDescent="0.2"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</row>
    <row r="97" spans="3:17" x14ac:dyDescent="0.2"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</row>
    <row r="98" spans="3:17" x14ac:dyDescent="0.2"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spans="3:17" x14ac:dyDescent="0.2"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3:17" x14ac:dyDescent="0.2"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spans="3:17" x14ac:dyDescent="0.2"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</row>
    <row r="102" spans="3:17" x14ac:dyDescent="0.2"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spans="3:17" x14ac:dyDescent="0.2"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spans="3:17" x14ac:dyDescent="0.2"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3:17" x14ac:dyDescent="0.2"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3:17" x14ac:dyDescent="0.2"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3:17" x14ac:dyDescent="0.2"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3:17" x14ac:dyDescent="0.2"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3:17" x14ac:dyDescent="0.2"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3:17" x14ac:dyDescent="0.2"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3:17" x14ac:dyDescent="0.2"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3:17" x14ac:dyDescent="0.2"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 spans="3:17" x14ac:dyDescent="0.2"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 spans="3:17" x14ac:dyDescent="0.2"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</row>
    <row r="115" spans="3:17" x14ac:dyDescent="0.2"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 spans="3:17" x14ac:dyDescent="0.2"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 spans="3:17" x14ac:dyDescent="0.2"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 spans="3:17" x14ac:dyDescent="0.2"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  <row r="119" spans="3:17" x14ac:dyDescent="0.2"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</row>
    <row r="120" spans="3:17" x14ac:dyDescent="0.2"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 spans="3:17" x14ac:dyDescent="0.2"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</row>
    <row r="122" spans="3:17" x14ac:dyDescent="0.2"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</row>
    <row r="123" spans="3:17" x14ac:dyDescent="0.2"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</row>
    <row r="124" spans="3:17" x14ac:dyDescent="0.2"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</row>
    <row r="125" spans="3:17" x14ac:dyDescent="0.2"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 spans="3:17" x14ac:dyDescent="0.2"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 spans="3:17" x14ac:dyDescent="0.2"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3:17" x14ac:dyDescent="0.2"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 spans="3:17" x14ac:dyDescent="0.2"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 spans="3:17" x14ac:dyDescent="0.2"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 spans="3:17" x14ac:dyDescent="0.2"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 spans="3:17" x14ac:dyDescent="0.2"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 spans="3:17" x14ac:dyDescent="0.2"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</row>
    <row r="134" spans="3:17" x14ac:dyDescent="0.2"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</row>
    <row r="135" spans="3:17" x14ac:dyDescent="0.2"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</row>
    <row r="136" spans="3:17" x14ac:dyDescent="0.2"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</row>
    <row r="137" spans="3:17" x14ac:dyDescent="0.2"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</row>
    <row r="138" spans="3:17" x14ac:dyDescent="0.2"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</row>
    <row r="139" spans="3:17" x14ac:dyDescent="0.2"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</row>
    <row r="140" spans="3:17" x14ac:dyDescent="0.2"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</row>
    <row r="141" spans="3:17" x14ac:dyDescent="0.2"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</row>
    <row r="142" spans="3:17" x14ac:dyDescent="0.2"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</row>
    <row r="143" spans="3:17" x14ac:dyDescent="0.2"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</row>
    <row r="144" spans="3:17" x14ac:dyDescent="0.2"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</row>
    <row r="145" spans="3:17" x14ac:dyDescent="0.2"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</row>
    <row r="146" spans="3:17" x14ac:dyDescent="0.2"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</row>
    <row r="147" spans="3:17" x14ac:dyDescent="0.2"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</row>
    <row r="148" spans="3:17" x14ac:dyDescent="0.2"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</row>
    <row r="149" spans="3:17" x14ac:dyDescent="0.2"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</row>
    <row r="150" spans="3:17" x14ac:dyDescent="0.2"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</row>
    <row r="151" spans="3:17" x14ac:dyDescent="0.2"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</row>
    <row r="152" spans="3:17" x14ac:dyDescent="0.2"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</row>
    <row r="153" spans="3:17" x14ac:dyDescent="0.2"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</row>
    <row r="154" spans="3:17" x14ac:dyDescent="0.2"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</row>
    <row r="155" spans="3:17" x14ac:dyDescent="0.2"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</row>
    <row r="156" spans="3:17" x14ac:dyDescent="0.2"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</row>
    <row r="157" spans="3:17" x14ac:dyDescent="0.2"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</row>
    <row r="158" spans="3:17" x14ac:dyDescent="0.2"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</row>
    <row r="159" spans="3:17" x14ac:dyDescent="0.2"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</row>
    <row r="160" spans="3:17" x14ac:dyDescent="0.2"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</row>
    <row r="161" spans="3:17" x14ac:dyDescent="0.2"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</row>
    <row r="162" spans="3:17" x14ac:dyDescent="0.2"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</row>
    <row r="163" spans="3:17" x14ac:dyDescent="0.2"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</row>
    <row r="164" spans="3:17" x14ac:dyDescent="0.2"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</row>
    <row r="165" spans="3:17" x14ac:dyDescent="0.2"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</row>
    <row r="166" spans="3:17" x14ac:dyDescent="0.2"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</row>
    <row r="167" spans="3:17" x14ac:dyDescent="0.2"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</row>
    <row r="168" spans="3:17" x14ac:dyDescent="0.2"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</row>
    <row r="169" spans="3:17" x14ac:dyDescent="0.2"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</row>
    <row r="170" spans="3:17" x14ac:dyDescent="0.2"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</row>
    <row r="171" spans="3:17" x14ac:dyDescent="0.2"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</row>
    <row r="172" spans="3:17" x14ac:dyDescent="0.2"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</row>
    <row r="173" spans="3:17" x14ac:dyDescent="0.2"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</row>
    <row r="174" spans="3:17" x14ac:dyDescent="0.2"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</row>
    <row r="175" spans="3:17" x14ac:dyDescent="0.2"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</row>
    <row r="176" spans="3:17" x14ac:dyDescent="0.2"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</row>
    <row r="177" spans="3:17" x14ac:dyDescent="0.2"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</row>
    <row r="178" spans="3:17" x14ac:dyDescent="0.2"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</row>
    <row r="179" spans="3:17" x14ac:dyDescent="0.2"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</row>
    <row r="180" spans="3:17" x14ac:dyDescent="0.2"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</row>
    <row r="181" spans="3:17" x14ac:dyDescent="0.2"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</row>
    <row r="182" spans="3:17" x14ac:dyDescent="0.2"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</row>
    <row r="183" spans="3:17" x14ac:dyDescent="0.2"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</row>
    <row r="184" spans="3:17" x14ac:dyDescent="0.2"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</row>
    <row r="185" spans="3:17" x14ac:dyDescent="0.2"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</row>
    <row r="186" spans="3:17" x14ac:dyDescent="0.2"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</row>
    <row r="187" spans="3:17" x14ac:dyDescent="0.2"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</row>
    <row r="188" spans="3:17" x14ac:dyDescent="0.2"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</row>
    <row r="189" spans="3:17" x14ac:dyDescent="0.2"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</row>
    <row r="190" spans="3:17" x14ac:dyDescent="0.2"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</row>
    <row r="191" spans="3:17" x14ac:dyDescent="0.2"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</row>
    <row r="192" spans="3:17" x14ac:dyDescent="0.2"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</row>
    <row r="193" spans="3:17" x14ac:dyDescent="0.2"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</row>
    <row r="194" spans="3:17" x14ac:dyDescent="0.2"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</row>
    <row r="195" spans="3:17" x14ac:dyDescent="0.2"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</row>
    <row r="196" spans="3:17" x14ac:dyDescent="0.2"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</row>
    <row r="197" spans="3:17" x14ac:dyDescent="0.2"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</row>
    <row r="198" spans="3:17" x14ac:dyDescent="0.2"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</row>
    <row r="199" spans="3:17" x14ac:dyDescent="0.2"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</row>
    <row r="200" spans="3:17" x14ac:dyDescent="0.2"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</row>
    <row r="201" spans="3:17" x14ac:dyDescent="0.2"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</row>
    <row r="202" spans="3:17" x14ac:dyDescent="0.2"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</row>
    <row r="203" spans="3:17" x14ac:dyDescent="0.2"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</row>
    <row r="204" spans="3:17" x14ac:dyDescent="0.2"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</row>
    <row r="205" spans="3:17" x14ac:dyDescent="0.2"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</row>
    <row r="206" spans="3:17" x14ac:dyDescent="0.2"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</row>
    <row r="207" spans="3:17" x14ac:dyDescent="0.2"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</row>
    <row r="208" spans="3:17" x14ac:dyDescent="0.2"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</row>
    <row r="209" spans="3:17" x14ac:dyDescent="0.2"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</row>
    <row r="210" spans="3:17" x14ac:dyDescent="0.2"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</row>
    <row r="211" spans="3:17" x14ac:dyDescent="0.2"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</row>
    <row r="212" spans="3:17" x14ac:dyDescent="0.2"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</row>
    <row r="213" spans="3:17" x14ac:dyDescent="0.2"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</row>
    <row r="214" spans="3:17" x14ac:dyDescent="0.2"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</row>
    <row r="215" spans="3:17" x14ac:dyDescent="0.2"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</row>
    <row r="216" spans="3:17" x14ac:dyDescent="0.2"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</row>
    <row r="217" spans="3:17" x14ac:dyDescent="0.2"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</row>
    <row r="218" spans="3:17" x14ac:dyDescent="0.2"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</row>
    <row r="219" spans="3:17" x14ac:dyDescent="0.2"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</row>
    <row r="220" spans="3:17" x14ac:dyDescent="0.2"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</row>
    <row r="221" spans="3:17" x14ac:dyDescent="0.2"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</row>
    <row r="222" spans="3:17" x14ac:dyDescent="0.2"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</row>
    <row r="223" spans="3:17" x14ac:dyDescent="0.2"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</row>
    <row r="224" spans="3:17" x14ac:dyDescent="0.2"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</row>
    <row r="225" spans="3:17" x14ac:dyDescent="0.2"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</row>
    <row r="226" spans="3:17" x14ac:dyDescent="0.2"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</row>
    <row r="227" spans="3:17" x14ac:dyDescent="0.2"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</row>
    <row r="228" spans="3:17" x14ac:dyDescent="0.2"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</row>
    <row r="229" spans="3:17" x14ac:dyDescent="0.2"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</row>
    <row r="230" spans="3:17" x14ac:dyDescent="0.2"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</row>
    <row r="231" spans="3:17" x14ac:dyDescent="0.2"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</row>
    <row r="232" spans="3:17" x14ac:dyDescent="0.2"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</row>
    <row r="233" spans="3:17" x14ac:dyDescent="0.2"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</row>
    <row r="234" spans="3:17" x14ac:dyDescent="0.2"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</row>
    <row r="235" spans="3:17" x14ac:dyDescent="0.2"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</row>
    <row r="236" spans="3:17" x14ac:dyDescent="0.2"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</row>
    <row r="237" spans="3:17" x14ac:dyDescent="0.2"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</row>
    <row r="238" spans="3:17" x14ac:dyDescent="0.2"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</row>
    <row r="239" spans="3:17" x14ac:dyDescent="0.2"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</row>
    <row r="240" spans="3:17" x14ac:dyDescent="0.2"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</row>
    <row r="241" spans="3:17" x14ac:dyDescent="0.2"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</row>
    <row r="242" spans="3:17" x14ac:dyDescent="0.2"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</row>
    <row r="243" spans="3:17" x14ac:dyDescent="0.2"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</row>
    <row r="244" spans="3:17" x14ac:dyDescent="0.2"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</row>
    <row r="245" spans="3:17" x14ac:dyDescent="0.2"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</row>
    <row r="246" spans="3:17" x14ac:dyDescent="0.2"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</row>
    <row r="247" spans="3:17" x14ac:dyDescent="0.2"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</row>
    <row r="248" spans="3:17" x14ac:dyDescent="0.2"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</row>
    <row r="249" spans="3:17" x14ac:dyDescent="0.2"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</row>
    <row r="250" spans="3:17" x14ac:dyDescent="0.2"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</row>
    <row r="251" spans="3:17" x14ac:dyDescent="0.2"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</row>
    <row r="252" spans="3:17" x14ac:dyDescent="0.2"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</row>
    <row r="253" spans="3:17" x14ac:dyDescent="0.2"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</row>
    <row r="254" spans="3:17" x14ac:dyDescent="0.2"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</row>
    <row r="255" spans="3:17" x14ac:dyDescent="0.2"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</row>
    <row r="256" spans="3:17" x14ac:dyDescent="0.2"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</row>
    <row r="257" spans="3:17" x14ac:dyDescent="0.2"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</row>
    <row r="258" spans="3:17" x14ac:dyDescent="0.2"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</row>
    <row r="259" spans="3:17" x14ac:dyDescent="0.2"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</row>
    <row r="260" spans="3:17" x14ac:dyDescent="0.2"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</row>
    <row r="261" spans="3:17" x14ac:dyDescent="0.2"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</row>
    <row r="262" spans="3:17" x14ac:dyDescent="0.2"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</row>
    <row r="263" spans="3:17" x14ac:dyDescent="0.2"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</row>
    <row r="264" spans="3:17" x14ac:dyDescent="0.2"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</row>
    <row r="265" spans="3:17" x14ac:dyDescent="0.2"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</row>
    <row r="266" spans="3:17" x14ac:dyDescent="0.2"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</row>
    <row r="267" spans="3:17" x14ac:dyDescent="0.2"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</row>
    <row r="268" spans="3:17" x14ac:dyDescent="0.2"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</row>
    <row r="269" spans="3:17" x14ac:dyDescent="0.2"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</row>
    <row r="270" spans="3:17" x14ac:dyDescent="0.2"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</row>
    <row r="271" spans="3:17" x14ac:dyDescent="0.2"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</row>
    <row r="272" spans="3:17" x14ac:dyDescent="0.2"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</row>
    <row r="273" spans="3:17" x14ac:dyDescent="0.2"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</row>
    <row r="274" spans="3:17" x14ac:dyDescent="0.2"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</row>
    <row r="275" spans="3:17" x14ac:dyDescent="0.2"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</row>
    <row r="276" spans="3:17" x14ac:dyDescent="0.2"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</row>
    <row r="277" spans="3:17" x14ac:dyDescent="0.2"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</row>
    <row r="278" spans="3:17" x14ac:dyDescent="0.2"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</row>
    <row r="279" spans="3:17" x14ac:dyDescent="0.2"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</row>
    <row r="280" spans="3:17" x14ac:dyDescent="0.2"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</row>
    <row r="281" spans="3:17" x14ac:dyDescent="0.2"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</row>
    <row r="282" spans="3:17" x14ac:dyDescent="0.2"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</row>
    <row r="283" spans="3:17" x14ac:dyDescent="0.2"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</row>
    <row r="284" spans="3:17" x14ac:dyDescent="0.2"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</row>
    <row r="285" spans="3:17" x14ac:dyDescent="0.2"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</row>
    <row r="286" spans="3:17" x14ac:dyDescent="0.2"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</row>
    <row r="287" spans="3:17" x14ac:dyDescent="0.2"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</row>
    <row r="288" spans="3:17" x14ac:dyDescent="0.2"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</row>
    <row r="289" spans="3:17" x14ac:dyDescent="0.2"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</row>
    <row r="290" spans="3:17" x14ac:dyDescent="0.2"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</row>
    <row r="291" spans="3:17" x14ac:dyDescent="0.2"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</row>
    <row r="292" spans="3:17" x14ac:dyDescent="0.2"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</row>
    <row r="293" spans="3:17" x14ac:dyDescent="0.2"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</row>
    <row r="294" spans="3:17" x14ac:dyDescent="0.2"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</row>
    <row r="295" spans="3:17" x14ac:dyDescent="0.2"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</row>
    <row r="296" spans="3:17" x14ac:dyDescent="0.2"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</row>
    <row r="297" spans="3:17" x14ac:dyDescent="0.2"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</row>
    <row r="298" spans="3:17" x14ac:dyDescent="0.2"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</row>
    <row r="299" spans="3:17" x14ac:dyDescent="0.2"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</row>
    <row r="300" spans="3:17" x14ac:dyDescent="0.2"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</row>
    <row r="301" spans="3:17" x14ac:dyDescent="0.2"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</row>
    <row r="302" spans="3:17" x14ac:dyDescent="0.2"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</row>
    <row r="303" spans="3:17" x14ac:dyDescent="0.2"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</row>
    <row r="304" spans="3:17" x14ac:dyDescent="0.2"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</row>
    <row r="305" spans="3:17" x14ac:dyDescent="0.2"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</row>
    <row r="306" spans="3:17" x14ac:dyDescent="0.2"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</row>
    <row r="307" spans="3:17" x14ac:dyDescent="0.2"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</row>
    <row r="308" spans="3:17" x14ac:dyDescent="0.2"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</row>
    <row r="309" spans="3:17" x14ac:dyDescent="0.2"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</row>
    <row r="310" spans="3:17" x14ac:dyDescent="0.2"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</row>
    <row r="311" spans="3:17" x14ac:dyDescent="0.2"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</row>
    <row r="312" spans="3:17" x14ac:dyDescent="0.2"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</row>
    <row r="313" spans="3:17" x14ac:dyDescent="0.2"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</row>
    <row r="314" spans="3:17" x14ac:dyDescent="0.2"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</row>
    <row r="315" spans="3:17" x14ac:dyDescent="0.2"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</row>
    <row r="316" spans="3:17" x14ac:dyDescent="0.2"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</row>
    <row r="317" spans="3:17" x14ac:dyDescent="0.2"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</row>
    <row r="318" spans="3:17" x14ac:dyDescent="0.2"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</row>
    <row r="319" spans="3:17" x14ac:dyDescent="0.2"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</row>
    <row r="320" spans="3:17" x14ac:dyDescent="0.2"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</row>
    <row r="321" spans="3:17" x14ac:dyDescent="0.2"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</row>
    <row r="322" spans="3:17" x14ac:dyDescent="0.2"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</row>
    <row r="323" spans="3:17" x14ac:dyDescent="0.2"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</row>
    <row r="324" spans="3:17" x14ac:dyDescent="0.2"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</row>
    <row r="325" spans="3:17" x14ac:dyDescent="0.2"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</row>
    <row r="326" spans="3:17" x14ac:dyDescent="0.2"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</row>
    <row r="327" spans="3:17" x14ac:dyDescent="0.2"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</row>
    <row r="328" spans="3:17" x14ac:dyDescent="0.2"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</row>
    <row r="329" spans="3:17" x14ac:dyDescent="0.2"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</row>
    <row r="330" spans="3:17" x14ac:dyDescent="0.2"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</row>
    <row r="331" spans="3:17" x14ac:dyDescent="0.2"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</row>
    <row r="332" spans="3:17" x14ac:dyDescent="0.2"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</row>
    <row r="333" spans="3:17" x14ac:dyDescent="0.2"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</row>
    <row r="334" spans="3:17" x14ac:dyDescent="0.2"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</row>
    <row r="335" spans="3:17" x14ac:dyDescent="0.2"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</row>
    <row r="336" spans="3:17" x14ac:dyDescent="0.2"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</row>
    <row r="337" spans="3:17" x14ac:dyDescent="0.2"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</row>
    <row r="338" spans="3:17" x14ac:dyDescent="0.2"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</row>
    <row r="339" spans="3:17" x14ac:dyDescent="0.2"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</row>
    <row r="340" spans="3:17" x14ac:dyDescent="0.2"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</row>
    <row r="341" spans="3:17" x14ac:dyDescent="0.2"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</row>
    <row r="342" spans="3:17" x14ac:dyDescent="0.2"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</row>
    <row r="343" spans="3:17" x14ac:dyDescent="0.2"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</row>
    <row r="344" spans="3:17" x14ac:dyDescent="0.2"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</row>
    <row r="345" spans="3:17" x14ac:dyDescent="0.2"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</row>
    <row r="346" spans="3:17" x14ac:dyDescent="0.2"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</row>
    <row r="347" spans="3:17" x14ac:dyDescent="0.2"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</row>
    <row r="348" spans="3:17" x14ac:dyDescent="0.2"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</row>
    <row r="349" spans="3:17" x14ac:dyDescent="0.2"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</row>
    <row r="350" spans="3:17" x14ac:dyDescent="0.2"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</row>
    <row r="351" spans="3:17" x14ac:dyDescent="0.2"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</row>
    <row r="352" spans="3:17" x14ac:dyDescent="0.2"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</row>
    <row r="353" spans="3:17" x14ac:dyDescent="0.2"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</row>
    <row r="354" spans="3:17" x14ac:dyDescent="0.2"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</row>
    <row r="355" spans="3:17" x14ac:dyDescent="0.2"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</row>
    <row r="356" spans="3:17" x14ac:dyDescent="0.2"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</row>
    <row r="357" spans="3:17" x14ac:dyDescent="0.2"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</row>
    <row r="358" spans="3:17" x14ac:dyDescent="0.2"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</row>
    <row r="359" spans="3:17" x14ac:dyDescent="0.2"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</row>
    <row r="360" spans="3:17" x14ac:dyDescent="0.2"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</row>
    <row r="361" spans="3:17" x14ac:dyDescent="0.2"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</row>
    <row r="362" spans="3:17" x14ac:dyDescent="0.2"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</row>
    <row r="363" spans="3:17" x14ac:dyDescent="0.2"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</row>
    <row r="364" spans="3:17" x14ac:dyDescent="0.2"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</row>
    <row r="365" spans="3:17" x14ac:dyDescent="0.2"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</row>
    <row r="366" spans="3:17" x14ac:dyDescent="0.2"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</row>
    <row r="367" spans="3:17" x14ac:dyDescent="0.2"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</row>
    <row r="368" spans="3:17" x14ac:dyDescent="0.2"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</row>
    <row r="369" spans="3:17" x14ac:dyDescent="0.2"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</row>
    <row r="370" spans="3:17" x14ac:dyDescent="0.2"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</row>
    <row r="371" spans="3:17" x14ac:dyDescent="0.2"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</row>
    <row r="372" spans="3:17" x14ac:dyDescent="0.2"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</row>
    <row r="373" spans="3:17" x14ac:dyDescent="0.2"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</row>
    <row r="374" spans="3:17" x14ac:dyDescent="0.2"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</row>
    <row r="375" spans="3:17" x14ac:dyDescent="0.2"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</row>
    <row r="376" spans="3:17" x14ac:dyDescent="0.2"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</row>
    <row r="377" spans="3:17" x14ac:dyDescent="0.2"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</row>
    <row r="378" spans="3:17" x14ac:dyDescent="0.2"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</row>
    <row r="379" spans="3:17" x14ac:dyDescent="0.2"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</row>
    <row r="380" spans="3:17" x14ac:dyDescent="0.2"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</row>
    <row r="381" spans="3:17" x14ac:dyDescent="0.2"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</row>
    <row r="382" spans="3:17" x14ac:dyDescent="0.2"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</row>
    <row r="383" spans="3:17" x14ac:dyDescent="0.2"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</row>
    <row r="384" spans="3:17" x14ac:dyDescent="0.2"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</row>
    <row r="385" spans="3:17" x14ac:dyDescent="0.2"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</row>
    <row r="386" spans="3:17" x14ac:dyDescent="0.2"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</row>
    <row r="387" spans="3:17" x14ac:dyDescent="0.2"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</row>
    <row r="388" spans="3:17" x14ac:dyDescent="0.2"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</row>
    <row r="389" spans="3:17" x14ac:dyDescent="0.2"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</row>
    <row r="390" spans="3:17" x14ac:dyDescent="0.2"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</row>
    <row r="391" spans="3:17" x14ac:dyDescent="0.2"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</row>
    <row r="392" spans="3:17" x14ac:dyDescent="0.2"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</row>
    <row r="393" spans="3:17" x14ac:dyDescent="0.2"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</row>
    <row r="394" spans="3:17" x14ac:dyDescent="0.2"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</row>
    <row r="395" spans="3:17" x14ac:dyDescent="0.2"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</row>
    <row r="396" spans="3:17" x14ac:dyDescent="0.2"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</row>
    <row r="397" spans="3:17" x14ac:dyDescent="0.2"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</row>
    <row r="398" spans="3:17" x14ac:dyDescent="0.2"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</row>
    <row r="399" spans="3:17" x14ac:dyDescent="0.2"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</row>
    <row r="400" spans="3:17" x14ac:dyDescent="0.2"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</row>
    <row r="401" spans="3:17" x14ac:dyDescent="0.2"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</row>
    <row r="402" spans="3:17" x14ac:dyDescent="0.2"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</row>
    <row r="403" spans="3:17" x14ac:dyDescent="0.2"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</row>
    <row r="404" spans="3:17" x14ac:dyDescent="0.2"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</row>
    <row r="405" spans="3:17" x14ac:dyDescent="0.2"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</row>
    <row r="406" spans="3:17" x14ac:dyDescent="0.2"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</row>
    <row r="407" spans="3:17" x14ac:dyDescent="0.2"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</row>
    <row r="408" spans="3:17" x14ac:dyDescent="0.2"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</row>
    <row r="409" spans="3:17" x14ac:dyDescent="0.2"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</row>
    <row r="410" spans="3:17" x14ac:dyDescent="0.2"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</row>
    <row r="411" spans="3:17" x14ac:dyDescent="0.2"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</row>
    <row r="412" spans="3:17" x14ac:dyDescent="0.2"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</row>
    <row r="413" spans="3:17" x14ac:dyDescent="0.2"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</row>
    <row r="414" spans="3:17" x14ac:dyDescent="0.2"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</row>
    <row r="415" spans="3:17" x14ac:dyDescent="0.2"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</row>
    <row r="416" spans="3:17" x14ac:dyDescent="0.2"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</row>
    <row r="417" spans="3:17" x14ac:dyDescent="0.2"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</row>
    <row r="418" spans="3:17" x14ac:dyDescent="0.2"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</row>
    <row r="419" spans="3:17" x14ac:dyDescent="0.2"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</row>
    <row r="420" spans="3:17" x14ac:dyDescent="0.2"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</row>
    <row r="421" spans="3:17" x14ac:dyDescent="0.2"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</row>
    <row r="422" spans="3:17" x14ac:dyDescent="0.2"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</row>
    <row r="423" spans="3:17" x14ac:dyDescent="0.2"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</row>
    <row r="424" spans="3:17" x14ac:dyDescent="0.2"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</row>
    <row r="425" spans="3:17" x14ac:dyDescent="0.2"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</row>
    <row r="426" spans="3:17" x14ac:dyDescent="0.2"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</row>
    <row r="427" spans="3:17" x14ac:dyDescent="0.2"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</row>
    <row r="428" spans="3:17" x14ac:dyDescent="0.2"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</row>
    <row r="429" spans="3:17" x14ac:dyDescent="0.2"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</row>
    <row r="430" spans="3:17" x14ac:dyDescent="0.2"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</row>
    <row r="431" spans="3:17" x14ac:dyDescent="0.2"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</row>
    <row r="432" spans="3:17" x14ac:dyDescent="0.2"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</row>
    <row r="433" spans="3:17" x14ac:dyDescent="0.2"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</row>
    <row r="434" spans="3:17" x14ac:dyDescent="0.2"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</row>
    <row r="435" spans="3:17" x14ac:dyDescent="0.2"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</row>
    <row r="436" spans="3:17" x14ac:dyDescent="0.2"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</row>
    <row r="437" spans="3:17" x14ac:dyDescent="0.2"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</row>
    <row r="438" spans="3:17" x14ac:dyDescent="0.2"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</row>
    <row r="439" spans="3:17" x14ac:dyDescent="0.2"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</row>
    <row r="440" spans="3:17" x14ac:dyDescent="0.2"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</row>
    <row r="441" spans="3:17" x14ac:dyDescent="0.2"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</row>
    <row r="442" spans="3:17" x14ac:dyDescent="0.2"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</row>
    <row r="443" spans="3:17" x14ac:dyDescent="0.2"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</row>
    <row r="444" spans="3:17" x14ac:dyDescent="0.2"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</row>
    <row r="445" spans="3:17" x14ac:dyDescent="0.2"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</row>
    <row r="446" spans="3:17" x14ac:dyDescent="0.2"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</row>
    <row r="447" spans="3:17" x14ac:dyDescent="0.2"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</row>
    <row r="448" spans="3:17" x14ac:dyDescent="0.2"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</row>
    <row r="449" spans="3:17" x14ac:dyDescent="0.2"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</row>
    <row r="450" spans="3:17" x14ac:dyDescent="0.2"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</row>
    <row r="451" spans="3:17" x14ac:dyDescent="0.2"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</row>
    <row r="452" spans="3:17" x14ac:dyDescent="0.2"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</row>
    <row r="453" spans="3:17" x14ac:dyDescent="0.2"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</row>
    <row r="454" spans="3:17" x14ac:dyDescent="0.2"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</row>
    <row r="455" spans="3:17" x14ac:dyDescent="0.2"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</row>
    <row r="456" spans="3:17" x14ac:dyDescent="0.2"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</row>
    <row r="457" spans="3:17" x14ac:dyDescent="0.2"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</row>
    <row r="458" spans="3:17" x14ac:dyDescent="0.2"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</row>
    <row r="459" spans="3:17" x14ac:dyDescent="0.2"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</row>
    <row r="460" spans="3:17" x14ac:dyDescent="0.2"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</row>
    <row r="461" spans="3:17" x14ac:dyDescent="0.2"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</row>
    <row r="462" spans="3:17" x14ac:dyDescent="0.2"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</row>
    <row r="463" spans="3:17" x14ac:dyDescent="0.2"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</row>
    <row r="464" spans="3:17" x14ac:dyDescent="0.2"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</row>
    <row r="465" spans="3:17" x14ac:dyDescent="0.2"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</row>
    <row r="466" spans="3:17" x14ac:dyDescent="0.2"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</row>
    <row r="467" spans="3:17" x14ac:dyDescent="0.2"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</row>
    <row r="468" spans="3:17" x14ac:dyDescent="0.2"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</row>
    <row r="469" spans="3:17" x14ac:dyDescent="0.2"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</row>
    <row r="470" spans="3:17" x14ac:dyDescent="0.2"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</row>
    <row r="471" spans="3:17" x14ac:dyDescent="0.2"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</row>
    <row r="472" spans="3:17" x14ac:dyDescent="0.2"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</row>
    <row r="473" spans="3:17" x14ac:dyDescent="0.2"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</row>
    <row r="474" spans="3:17" x14ac:dyDescent="0.2"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</row>
    <row r="475" spans="3:17" x14ac:dyDescent="0.2"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</row>
    <row r="476" spans="3:17" x14ac:dyDescent="0.2"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</row>
    <row r="477" spans="3:17" x14ac:dyDescent="0.2"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</row>
    <row r="478" spans="3:17" x14ac:dyDescent="0.2"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</row>
    <row r="479" spans="3:17" x14ac:dyDescent="0.2"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</row>
    <row r="480" spans="3:17" x14ac:dyDescent="0.2"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</row>
    <row r="481" spans="3:17" x14ac:dyDescent="0.2"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</row>
    <row r="482" spans="3:17" x14ac:dyDescent="0.2"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</row>
    <row r="483" spans="3:17" x14ac:dyDescent="0.2"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</row>
    <row r="484" spans="3:17" x14ac:dyDescent="0.2"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</row>
    <row r="485" spans="3:17" x14ac:dyDescent="0.2"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</row>
    <row r="486" spans="3:17" x14ac:dyDescent="0.2"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</row>
    <row r="487" spans="3:17" x14ac:dyDescent="0.2"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</row>
    <row r="488" spans="3:17" x14ac:dyDescent="0.2"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</row>
    <row r="489" spans="3:17" x14ac:dyDescent="0.2"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</row>
    <row r="490" spans="3:17" x14ac:dyDescent="0.2"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</row>
    <row r="491" spans="3:17" x14ac:dyDescent="0.2"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</row>
    <row r="492" spans="3:17" x14ac:dyDescent="0.2"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</row>
    <row r="493" spans="3:17" x14ac:dyDescent="0.2"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</row>
    <row r="494" spans="3:17" x14ac:dyDescent="0.2"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</row>
    <row r="495" spans="3:17" x14ac:dyDescent="0.2"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</row>
    <row r="496" spans="3:17" x14ac:dyDescent="0.2"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</row>
    <row r="497" spans="3:17" x14ac:dyDescent="0.2"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</row>
    <row r="498" spans="3:17" x14ac:dyDescent="0.2"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</row>
    <row r="499" spans="3:17" x14ac:dyDescent="0.2"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</row>
    <row r="500" spans="3:17" x14ac:dyDescent="0.2"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</row>
    <row r="501" spans="3:17" x14ac:dyDescent="0.2"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</row>
    <row r="502" spans="3:17" x14ac:dyDescent="0.2"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</row>
    <row r="503" spans="3:17" x14ac:dyDescent="0.2"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</row>
    <row r="504" spans="3:17" x14ac:dyDescent="0.2"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</row>
    <row r="505" spans="3:17" x14ac:dyDescent="0.2"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</row>
    <row r="506" spans="3:17" x14ac:dyDescent="0.2"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</row>
    <row r="507" spans="3:17" x14ac:dyDescent="0.2"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</row>
    <row r="508" spans="3:17" x14ac:dyDescent="0.2"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</row>
    <row r="509" spans="3:17" x14ac:dyDescent="0.2"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</row>
    <row r="510" spans="3:17" x14ac:dyDescent="0.2"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</row>
    <row r="511" spans="3:17" x14ac:dyDescent="0.2"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</row>
    <row r="512" spans="3:17" x14ac:dyDescent="0.2"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</row>
    <row r="513" spans="3:17" x14ac:dyDescent="0.2"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</row>
    <row r="514" spans="3:17" x14ac:dyDescent="0.2"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</row>
    <row r="515" spans="3:17" x14ac:dyDescent="0.2"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</row>
    <row r="516" spans="3:17" x14ac:dyDescent="0.2"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</row>
    <row r="517" spans="3:17" x14ac:dyDescent="0.2"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</row>
    <row r="518" spans="3:17" x14ac:dyDescent="0.2"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</row>
    <row r="519" spans="3:17" x14ac:dyDescent="0.2"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</row>
    <row r="520" spans="3:17" x14ac:dyDescent="0.2"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</row>
    <row r="521" spans="3:17" x14ac:dyDescent="0.2"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</row>
    <row r="522" spans="3:17" x14ac:dyDescent="0.2"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</row>
    <row r="523" spans="3:17" x14ac:dyDescent="0.2"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</row>
    <row r="524" spans="3:17" x14ac:dyDescent="0.2"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</row>
    <row r="525" spans="3:17" x14ac:dyDescent="0.2"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</row>
    <row r="526" spans="3:17" x14ac:dyDescent="0.2"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</row>
    <row r="527" spans="3:17" x14ac:dyDescent="0.2"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</row>
    <row r="528" spans="3:17" x14ac:dyDescent="0.2"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</row>
    <row r="529" spans="3:17" x14ac:dyDescent="0.2"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</row>
    <row r="530" spans="3:17" x14ac:dyDescent="0.2"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</row>
    <row r="531" spans="3:17" x14ac:dyDescent="0.2"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</row>
    <row r="532" spans="3:17" x14ac:dyDescent="0.2"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</row>
    <row r="533" spans="3:17" x14ac:dyDescent="0.2"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</row>
    <row r="534" spans="3:17" x14ac:dyDescent="0.2"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</row>
    <row r="535" spans="3:17" x14ac:dyDescent="0.2"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</row>
    <row r="536" spans="3:17" x14ac:dyDescent="0.2"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</row>
    <row r="537" spans="3:17" x14ac:dyDescent="0.2"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</row>
    <row r="538" spans="3:17" x14ac:dyDescent="0.2"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</row>
    <row r="539" spans="3:17" x14ac:dyDescent="0.2"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</row>
    <row r="540" spans="3:17" x14ac:dyDescent="0.2"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</row>
    <row r="541" spans="3:17" x14ac:dyDescent="0.2"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</row>
    <row r="542" spans="3:17" x14ac:dyDescent="0.2"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</row>
    <row r="543" spans="3:17" x14ac:dyDescent="0.2"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</row>
    <row r="544" spans="3:17" x14ac:dyDescent="0.2"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</row>
    <row r="545" spans="3:17" x14ac:dyDescent="0.2"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</row>
    <row r="546" spans="3:17" x14ac:dyDescent="0.2"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</row>
    <row r="547" spans="3:17" x14ac:dyDescent="0.2"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</row>
    <row r="548" spans="3:17" x14ac:dyDescent="0.2"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</row>
    <row r="549" spans="3:17" x14ac:dyDescent="0.2"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</row>
    <row r="550" spans="3:17" x14ac:dyDescent="0.2"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</row>
    <row r="551" spans="3:17" x14ac:dyDescent="0.2"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</row>
    <row r="552" spans="3:17" x14ac:dyDescent="0.2"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</row>
    <row r="553" spans="3:17" x14ac:dyDescent="0.2"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</row>
    <row r="554" spans="3:17" x14ac:dyDescent="0.2"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</row>
    <row r="555" spans="3:17" x14ac:dyDescent="0.2"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</row>
    <row r="556" spans="3:17" x14ac:dyDescent="0.2"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</row>
    <row r="557" spans="3:17" x14ac:dyDescent="0.2"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</row>
    <row r="558" spans="3:17" x14ac:dyDescent="0.2"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</row>
    <row r="559" spans="3:17" x14ac:dyDescent="0.2"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</row>
    <row r="560" spans="3:17" x14ac:dyDescent="0.2"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</row>
    <row r="561" spans="3:17" x14ac:dyDescent="0.2"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</row>
    <row r="562" spans="3:17" x14ac:dyDescent="0.2"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</row>
    <row r="563" spans="3:17" x14ac:dyDescent="0.2"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</row>
    <row r="564" spans="3:17" x14ac:dyDescent="0.2"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</row>
    <row r="565" spans="3:17" x14ac:dyDescent="0.2"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</row>
    <row r="566" spans="3:17" x14ac:dyDescent="0.2"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</row>
    <row r="567" spans="3:17" x14ac:dyDescent="0.2"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</row>
    <row r="568" spans="3:17" x14ac:dyDescent="0.2"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</row>
    <row r="569" spans="3:17" x14ac:dyDescent="0.2"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</row>
    <row r="570" spans="3:17" x14ac:dyDescent="0.2"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</row>
    <row r="571" spans="3:17" x14ac:dyDescent="0.2"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</row>
    <row r="572" spans="3:17" x14ac:dyDescent="0.2"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</row>
    <row r="573" spans="3:17" x14ac:dyDescent="0.2"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</row>
    <row r="574" spans="3:17" x14ac:dyDescent="0.2"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</row>
    <row r="575" spans="3:17" x14ac:dyDescent="0.2"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</row>
    <row r="576" spans="3:17" x14ac:dyDescent="0.2"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</row>
    <row r="577" spans="3:17" x14ac:dyDescent="0.2"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</row>
    <row r="578" spans="3:17" x14ac:dyDescent="0.2"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</row>
    <row r="579" spans="3:17" x14ac:dyDescent="0.2"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</row>
    <row r="580" spans="3:17" x14ac:dyDescent="0.2"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</row>
    <row r="581" spans="3:17" x14ac:dyDescent="0.2"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</row>
    <row r="582" spans="3:17" x14ac:dyDescent="0.2"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</row>
    <row r="583" spans="3:17" x14ac:dyDescent="0.2"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</row>
    <row r="584" spans="3:17" x14ac:dyDescent="0.2"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</row>
    <row r="585" spans="3:17" x14ac:dyDescent="0.2"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</row>
    <row r="586" spans="3:17" x14ac:dyDescent="0.2"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</row>
    <row r="587" spans="3:17" x14ac:dyDescent="0.2"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</row>
    <row r="588" spans="3:17" x14ac:dyDescent="0.2"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</row>
    <row r="589" spans="3:17" x14ac:dyDescent="0.2"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</row>
    <row r="590" spans="3:17" x14ac:dyDescent="0.2"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</row>
    <row r="591" spans="3:17" x14ac:dyDescent="0.2"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</row>
    <row r="592" spans="3:17" x14ac:dyDescent="0.2"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</row>
    <row r="593" spans="3:17" x14ac:dyDescent="0.2"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</row>
    <row r="594" spans="3:17" x14ac:dyDescent="0.2"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</row>
    <row r="595" spans="3:17" x14ac:dyDescent="0.2"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</row>
    <row r="596" spans="3:17" x14ac:dyDescent="0.2"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</row>
    <row r="597" spans="3:17" x14ac:dyDescent="0.2"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</row>
    <row r="598" spans="3:17" x14ac:dyDescent="0.2"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</row>
    <row r="599" spans="3:17" x14ac:dyDescent="0.2"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</row>
    <row r="600" spans="3:17" x14ac:dyDescent="0.2"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</row>
    <row r="601" spans="3:17" x14ac:dyDescent="0.2"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</row>
    <row r="602" spans="3:17" x14ac:dyDescent="0.2"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</row>
    <row r="603" spans="3:17" x14ac:dyDescent="0.2"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</row>
    <row r="604" spans="3:17" x14ac:dyDescent="0.2"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</row>
    <row r="605" spans="3:17" x14ac:dyDescent="0.2"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</row>
    <row r="606" spans="3:17" x14ac:dyDescent="0.2"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</row>
    <row r="607" spans="3:17" x14ac:dyDescent="0.2"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</row>
    <row r="608" spans="3:17" x14ac:dyDescent="0.2"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</row>
    <row r="609" spans="3:17" x14ac:dyDescent="0.2"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</row>
    <row r="610" spans="3:17" x14ac:dyDescent="0.2"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</row>
    <row r="611" spans="3:17" x14ac:dyDescent="0.2"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</row>
    <row r="612" spans="3:17" x14ac:dyDescent="0.2"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</row>
    <row r="613" spans="3:17" x14ac:dyDescent="0.2"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</row>
    <row r="614" spans="3:17" x14ac:dyDescent="0.2"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</row>
    <row r="615" spans="3:17" x14ac:dyDescent="0.2"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</row>
    <row r="616" spans="3:17" x14ac:dyDescent="0.2"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</row>
    <row r="617" spans="3:17" x14ac:dyDescent="0.2"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</row>
    <row r="618" spans="3:17" x14ac:dyDescent="0.2"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</row>
    <row r="619" spans="3:17" x14ac:dyDescent="0.2"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</row>
    <row r="620" spans="3:17" x14ac:dyDescent="0.2"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</row>
    <row r="621" spans="3:17" x14ac:dyDescent="0.2"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</row>
    <row r="622" spans="3:17" x14ac:dyDescent="0.2"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</row>
    <row r="623" spans="3:17" x14ac:dyDescent="0.2"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</row>
    <row r="624" spans="3:17" x14ac:dyDescent="0.2"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</row>
    <row r="625" spans="3:17" x14ac:dyDescent="0.2"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</row>
    <row r="626" spans="3:17" x14ac:dyDescent="0.2"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</row>
    <row r="627" spans="3:17" x14ac:dyDescent="0.2"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</row>
  </sheetData>
  <hyperlinks>
    <hyperlink ref="A1" location="Main!A1" display="Main" xr:uid="{353AFAB7-79A9-4D87-AB0D-9ECFE64CA2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2024-08-03T08:47:21Z</dcterms:created>
  <dcterms:modified xsi:type="dcterms:W3CDTF">2026-03-07T14:44:21Z</dcterms:modified>
</cp:coreProperties>
</file>