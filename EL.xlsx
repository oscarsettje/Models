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Finance\Anaylsen\Models\"/>
    </mc:Choice>
  </mc:AlternateContent>
  <xr:revisionPtr revIDLastSave="0" documentId="13_ncr:1_{626A726A-003E-476D-9665-1C1AA0E72F4B}" xr6:coauthVersionLast="47" xr6:coauthVersionMax="47" xr10:uidLastSave="{00000000-0000-0000-0000-000000000000}"/>
  <bookViews>
    <workbookView xWindow="19095" yWindow="0" windowWidth="19410" windowHeight="20925" activeTab="1" xr2:uid="{987A5598-021A-421D-8295-FCBBAB2A08B8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" i="2" l="1"/>
  <c r="K6" i="1"/>
  <c r="M32" i="2"/>
  <c r="M31" i="2"/>
  <c r="M30" i="2"/>
  <c r="M29" i="2"/>
  <c r="M26" i="2"/>
  <c r="M24" i="2"/>
  <c r="M22" i="2"/>
  <c r="M20" i="2"/>
  <c r="M16" i="2"/>
  <c r="M15" i="2"/>
  <c r="M13" i="2"/>
  <c r="K3" i="1"/>
  <c r="K32" i="2"/>
  <c r="J32" i="2"/>
  <c r="I32" i="2"/>
  <c r="H32" i="2"/>
  <c r="G32" i="2"/>
  <c r="F32" i="2"/>
  <c r="E32" i="2"/>
  <c r="D32" i="2"/>
  <c r="C32" i="2"/>
  <c r="K31" i="2"/>
  <c r="J31" i="2"/>
  <c r="I31" i="2"/>
  <c r="H31" i="2"/>
  <c r="G31" i="2"/>
  <c r="F31" i="2"/>
  <c r="E31" i="2"/>
  <c r="D31" i="2"/>
  <c r="C31" i="2"/>
  <c r="K30" i="2"/>
  <c r="J30" i="2"/>
  <c r="I30" i="2"/>
  <c r="H30" i="2"/>
  <c r="G30" i="2"/>
  <c r="F30" i="2"/>
  <c r="E30" i="2"/>
  <c r="D30" i="2"/>
  <c r="C30" i="2"/>
  <c r="L32" i="2"/>
  <c r="L31" i="2"/>
  <c r="L30" i="2"/>
  <c r="G29" i="2"/>
  <c r="H29" i="2"/>
  <c r="I29" i="2"/>
  <c r="J29" i="2"/>
  <c r="K29" i="2"/>
  <c r="L29" i="2"/>
  <c r="G10" i="2"/>
  <c r="K10" i="2"/>
  <c r="G15" i="2"/>
  <c r="G16" i="2" s="1"/>
  <c r="H10" i="2"/>
  <c r="L10" i="2"/>
  <c r="H15" i="2"/>
  <c r="J26" i="2"/>
  <c r="I26" i="2"/>
  <c r="F26" i="2"/>
  <c r="E26" i="2"/>
  <c r="D26" i="2"/>
  <c r="C26" i="2"/>
  <c r="L26" i="2"/>
  <c r="L24" i="2"/>
  <c r="L22" i="2"/>
  <c r="L20" i="2"/>
  <c r="L16" i="2"/>
  <c r="L13" i="2"/>
  <c r="K13" i="2"/>
  <c r="K16" i="2" s="1"/>
  <c r="K20" i="2" s="1"/>
  <c r="K22" i="2" s="1"/>
  <c r="K24" i="2" s="1"/>
  <c r="K26" i="2" s="1"/>
  <c r="K4" i="1"/>
  <c r="J13" i="2"/>
  <c r="J16" i="2" s="1"/>
  <c r="J20" i="2" s="1"/>
  <c r="J22" i="2" s="1"/>
  <c r="J24" i="2" s="1"/>
  <c r="H13" i="2"/>
  <c r="H16" i="2" s="1"/>
  <c r="H20" i="2" s="1"/>
  <c r="H22" i="2" s="1"/>
  <c r="H24" i="2" s="1"/>
  <c r="H26" i="2" s="1"/>
  <c r="G13" i="2"/>
  <c r="F13" i="2"/>
  <c r="F16" i="2" s="1"/>
  <c r="F20" i="2" s="1"/>
  <c r="F22" i="2" s="1"/>
  <c r="F24" i="2" s="1"/>
  <c r="E13" i="2"/>
  <c r="E16" i="2" s="1"/>
  <c r="D13" i="2"/>
  <c r="D16" i="2" s="1"/>
  <c r="D20" i="2" s="1"/>
  <c r="D22" i="2" s="1"/>
  <c r="D24" i="2" s="1"/>
  <c r="C13" i="2"/>
  <c r="C16" i="2" s="1"/>
  <c r="C20" i="2" s="1"/>
  <c r="C22" i="2" s="1"/>
  <c r="C24" i="2" s="1"/>
  <c r="I13" i="2"/>
  <c r="I16" i="2" s="1"/>
  <c r="I20" i="2" s="1"/>
  <c r="I22" i="2" s="1"/>
  <c r="I24" i="2" s="1"/>
  <c r="G20" i="2" l="1"/>
  <c r="G22" i="2" s="1"/>
  <c r="G24" i="2" s="1"/>
  <c r="G26" i="2" s="1"/>
  <c r="K7" i="1"/>
  <c r="E20" i="2"/>
  <c r="E22" i="2" s="1"/>
  <c r="E24" i="2" s="1"/>
</calcChain>
</file>

<file path=xl/sharedStrings.xml><?xml version="1.0" encoding="utf-8"?>
<sst xmlns="http://schemas.openxmlformats.org/spreadsheetml/2006/main" count="58" uniqueCount="54">
  <si>
    <t>Estee Lauder</t>
  </si>
  <si>
    <t>numbers in mio EUR</t>
  </si>
  <si>
    <t>Price</t>
  </si>
  <si>
    <t>Shares</t>
  </si>
  <si>
    <t>MC</t>
  </si>
  <si>
    <t>Cash</t>
  </si>
  <si>
    <t>Debt</t>
  </si>
  <si>
    <t>EV</t>
  </si>
  <si>
    <t>IR</t>
  </si>
  <si>
    <t>Q325</t>
  </si>
  <si>
    <t>Main</t>
  </si>
  <si>
    <t>Q124</t>
  </si>
  <si>
    <t>Q224</t>
  </si>
  <si>
    <t>Q324</t>
  </si>
  <si>
    <t>Q424</t>
  </si>
  <si>
    <t>Q125</t>
  </si>
  <si>
    <t>Q225</t>
  </si>
  <si>
    <t>Q425</t>
  </si>
  <si>
    <t>Revenue</t>
  </si>
  <si>
    <t>COGS</t>
  </si>
  <si>
    <t>Gross Profit</t>
  </si>
  <si>
    <t>SG&amp;A</t>
  </si>
  <si>
    <t>Restructuring and other</t>
  </si>
  <si>
    <t>Operating Income</t>
  </si>
  <si>
    <t>Interest Expense</t>
  </si>
  <si>
    <t>Interest Income</t>
  </si>
  <si>
    <t>Other Expenses</t>
  </si>
  <si>
    <t>Pretax Income</t>
  </si>
  <si>
    <t>Tax Expense</t>
  </si>
  <si>
    <t>Net Income</t>
  </si>
  <si>
    <t>Minority Interest</t>
  </si>
  <si>
    <t>Net Income to EL</t>
  </si>
  <si>
    <t>EPS</t>
  </si>
  <si>
    <t>Skin Care</t>
  </si>
  <si>
    <t>Makeup</t>
  </si>
  <si>
    <t>Fragrance</t>
  </si>
  <si>
    <t>Hair Care</t>
  </si>
  <si>
    <t>Other</t>
  </si>
  <si>
    <t>Americas</t>
  </si>
  <si>
    <t>EMEA</t>
  </si>
  <si>
    <t>APAC</t>
  </si>
  <si>
    <t>Brands:</t>
  </si>
  <si>
    <t>Aerin, Aramis, Aveda, Balmain Beauty, Bobby Brown, Bumble&amp;Bumble</t>
  </si>
  <si>
    <t>Clinique, Darphin, Deciem, DrJart+, Frederic Malle, Estee Lauder,</t>
  </si>
  <si>
    <t>GlamGlow, Jo Malone, Kilian, La Mer, Lab Series, Le Labo</t>
  </si>
  <si>
    <t>Mac, Niod, Origins, Smashbox, The Oridinary, Tom Ford, Too Faced</t>
  </si>
  <si>
    <t>Q126</t>
  </si>
  <si>
    <t>Q226</t>
  </si>
  <si>
    <t>Q326</t>
  </si>
  <si>
    <t>Q426</t>
  </si>
  <si>
    <t>Revenue Growth</t>
  </si>
  <si>
    <t>Gross Margin</t>
  </si>
  <si>
    <t>Operating Margin</t>
  </si>
  <si>
    <t>Tax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</si>
</sst>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"/>
    <numFmt numFmtId="165" formatCode="#,##0.00;\(#,##0.00\)"/>
  </numFmts>
  <fonts count="10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u/>
      <sz val="10"/>
      <color theme="1"/>
      <name val="Arial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9" fontId="9" fillId="0" borderId="0" applyFont="0" applyFill="0" applyBorder="0" applyAlignment="0" applyProtection="0"/>
  </cellStyleXfs>
  <cellXfs count="14">
    <xf numFmtId="0" fontId="0" fillId="0" borderId="0" xfId="0"/>
    <xf numFmtId="0" fontId="6" fillId="0" borderId="0" xfId="0" applyFont="1"/>
    <xf numFmtId="0" fontId="4" fillId="0" borderId="0" xfId="0" applyFont="1"/>
    <xf numFmtId="164" fontId="4" fillId="0" borderId="0" xfId="0" applyNumberFormat="1" applyFont="1"/>
    <xf numFmtId="0" fontId="4" fillId="0" borderId="0" xfId="0" applyFont="1" applyAlignment="1">
      <alignment horizontal="right"/>
    </xf>
    <xf numFmtId="0" fontId="7" fillId="0" borderId="0" xfId="1" applyFont="1"/>
    <xf numFmtId="0" fontId="8" fillId="0" borderId="0" xfId="0" applyFont="1"/>
    <xf numFmtId="164" fontId="6" fillId="0" borderId="0" xfId="0" applyNumberFormat="1" applyFont="1"/>
    <xf numFmtId="0" fontId="3" fillId="0" borderId="0" xfId="0" applyFont="1" applyAlignment="1">
      <alignment horizontal="right"/>
    </xf>
    <xf numFmtId="165" fontId="4" fillId="0" borderId="0" xfId="0" applyNumberFormat="1" applyFont="1"/>
    <xf numFmtId="0" fontId="2" fillId="0" borderId="0" xfId="0" applyFont="1"/>
    <xf numFmtId="9" fontId="4" fillId="0" borderId="0" xfId="2" applyFont="1"/>
    <xf numFmtId="0" fontId="1" fillId="0" borderId="0" xfId="0" applyFont="1" applyAlignment="1">
      <alignment horizontal="right"/>
    </xf>
    <xf numFmtId="9" fontId="6" fillId="0" borderId="0" xfId="2" applyFont="1"/>
  </cellXfs>
  <cellStyles count="3">
    <cellStyle name="Hyperlink" xfId="1" builtinId="8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lcompanies.com/en/investo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2B965-7B5F-4295-A317-7287122707AE}">
  <dimension ref="A1:L14"/>
  <sheetViews>
    <sheetView topLeftCell="D1" zoomScale="200" zoomScaleNormal="200" workbookViewId="0">
      <selection activeCell="K7" sqref="K7"/>
    </sheetView>
  </sheetViews>
  <sheetFormatPr defaultRowHeight="12.75" x14ac:dyDescent="0.2"/>
  <cols>
    <col min="1" max="1" width="4.28515625" style="2" customWidth="1"/>
    <col min="2" max="16384" width="9.140625" style="2"/>
  </cols>
  <sheetData>
    <row r="1" spans="1:12" x14ac:dyDescent="0.2">
      <c r="A1" s="1" t="s">
        <v>0</v>
      </c>
    </row>
    <row r="2" spans="1:12" x14ac:dyDescent="0.2">
      <c r="A2" s="2" t="s">
        <v>1</v>
      </c>
      <c r="J2" s="2" t="s">
        <v>2</v>
      </c>
      <c r="K2" s="2">
        <v>80.58</v>
      </c>
    </row>
    <row r="3" spans="1:12" x14ac:dyDescent="0.2">
      <c r="J3" s="2" t="s">
        <v>3</v>
      </c>
      <c r="K3" s="3">
        <f>247.287571+114.507344</f>
        <v>361.794915</v>
      </c>
      <c r="L3" s="12" t="s">
        <v>48</v>
      </c>
    </row>
    <row r="4" spans="1:12" x14ac:dyDescent="0.2">
      <c r="B4" s="5" t="s">
        <v>8</v>
      </c>
      <c r="J4" s="2" t="s">
        <v>4</v>
      </c>
      <c r="K4" s="3">
        <f>+K2*K3</f>
        <v>29153.4342507</v>
      </c>
    </row>
    <row r="5" spans="1:12" x14ac:dyDescent="0.2">
      <c r="J5" s="2" t="s">
        <v>5</v>
      </c>
      <c r="K5" s="3">
        <v>3126</v>
      </c>
      <c r="L5" s="12" t="s">
        <v>48</v>
      </c>
    </row>
    <row r="6" spans="1:12" x14ac:dyDescent="0.2">
      <c r="J6" s="2" t="s">
        <v>6</v>
      </c>
      <c r="K6" s="3">
        <f>502+6810</f>
        <v>7312</v>
      </c>
      <c r="L6" s="12" t="s">
        <v>48</v>
      </c>
    </row>
    <row r="7" spans="1:12" x14ac:dyDescent="0.2">
      <c r="J7" s="2" t="s">
        <v>7</v>
      </c>
      <c r="K7" s="3">
        <f>+K4-K5+K6</f>
        <v>33339.434250699996</v>
      </c>
    </row>
    <row r="10" spans="1:12" x14ac:dyDescent="0.2">
      <c r="B10" s="6" t="s">
        <v>41</v>
      </c>
    </row>
    <row r="11" spans="1:12" x14ac:dyDescent="0.2">
      <c r="B11" s="2" t="s">
        <v>42</v>
      </c>
    </row>
    <row r="12" spans="1:12" x14ac:dyDescent="0.2">
      <c r="B12" s="2" t="s">
        <v>43</v>
      </c>
    </row>
    <row r="13" spans="1:12" x14ac:dyDescent="0.2">
      <c r="B13" s="2" t="s">
        <v>44</v>
      </c>
    </row>
    <row r="14" spans="1:12" x14ac:dyDescent="0.2">
      <c r="B14" s="2" t="s">
        <v>45</v>
      </c>
    </row>
  </sheetData>
  <hyperlinks>
    <hyperlink ref="B4" r:id="rId1" xr:uid="{A484F098-D5CF-42B4-8D14-163EC8E6662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95DAE-E15A-417B-B933-8D156683E190}">
  <dimension ref="A1:AC694"/>
  <sheetViews>
    <sheetView tabSelected="1" zoomScale="200" zoomScaleNormal="200" workbookViewId="0">
      <pane xSplit="2" ySplit="2" topLeftCell="J3" activePane="bottomRight" state="frozen"/>
      <selection pane="topRight" activeCell="C1" sqref="C1"/>
      <selection pane="bottomLeft" activeCell="A3" sqref="A3"/>
      <selection pane="bottomRight" activeCell="M8" sqref="M8"/>
    </sheetView>
  </sheetViews>
  <sheetFormatPr defaultRowHeight="12.75" x14ac:dyDescent="0.2"/>
  <cols>
    <col min="1" max="1" width="5.42578125" style="2" bestFit="1" customWidth="1"/>
    <col min="2" max="2" width="29.85546875" style="2" customWidth="1"/>
    <col min="3" max="16384" width="9.140625" style="2"/>
  </cols>
  <sheetData>
    <row r="1" spans="1:29" x14ac:dyDescent="0.2">
      <c r="A1" s="5" t="s">
        <v>10</v>
      </c>
    </row>
    <row r="2" spans="1:29" x14ac:dyDescent="0.2"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9</v>
      </c>
      <c r="J2" s="4" t="s">
        <v>17</v>
      </c>
      <c r="K2" s="8" t="s">
        <v>46</v>
      </c>
      <c r="L2" s="8" t="s">
        <v>47</v>
      </c>
      <c r="M2" s="8" t="s">
        <v>48</v>
      </c>
      <c r="N2" s="8" t="s">
        <v>49</v>
      </c>
    </row>
    <row r="3" spans="1:29" x14ac:dyDescent="0.2">
      <c r="B3" s="2" t="s">
        <v>33</v>
      </c>
      <c r="C3" s="3"/>
      <c r="D3" s="3"/>
      <c r="E3" s="3">
        <v>2060</v>
      </c>
      <c r="F3" s="3"/>
      <c r="G3" s="3">
        <v>1529</v>
      </c>
      <c r="H3" s="3">
        <v>1921</v>
      </c>
      <c r="I3" s="3">
        <v>1807</v>
      </c>
      <c r="J3" s="3"/>
      <c r="K3" s="3">
        <v>1575</v>
      </c>
      <c r="L3" s="3">
        <v>2054</v>
      </c>
      <c r="M3" s="3">
        <v>1856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x14ac:dyDescent="0.2">
      <c r="B4" s="2" t="s">
        <v>34</v>
      </c>
      <c r="C4" s="3"/>
      <c r="D4" s="3"/>
      <c r="E4" s="3">
        <v>1136</v>
      </c>
      <c r="F4" s="3"/>
      <c r="G4" s="3">
        <v>1038</v>
      </c>
      <c r="H4" s="3">
        <v>1150</v>
      </c>
      <c r="I4" s="3">
        <v>1035</v>
      </c>
      <c r="J4" s="3"/>
      <c r="K4" s="3">
        <v>1030</v>
      </c>
      <c r="L4" s="3">
        <v>1164</v>
      </c>
      <c r="M4" s="3">
        <v>1072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spans="1:29" x14ac:dyDescent="0.2">
      <c r="B5" s="2" t="s">
        <v>35</v>
      </c>
      <c r="C5" s="3"/>
      <c r="D5" s="3"/>
      <c r="E5" s="3">
        <v>575</v>
      </c>
      <c r="F5" s="3"/>
      <c r="G5" s="3">
        <v>630</v>
      </c>
      <c r="H5" s="3">
        <v>744</v>
      </c>
      <c r="I5" s="3">
        <v>557</v>
      </c>
      <c r="J5" s="3"/>
      <c r="K5" s="3">
        <v>721</v>
      </c>
      <c r="L5" s="3">
        <v>812</v>
      </c>
      <c r="M5" s="3">
        <v>628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spans="1:29" x14ac:dyDescent="0.2">
      <c r="B6" s="2" t="s">
        <v>36</v>
      </c>
      <c r="C6" s="3"/>
      <c r="D6" s="3"/>
      <c r="E6" s="3">
        <v>143</v>
      </c>
      <c r="F6" s="3"/>
      <c r="G6" s="3">
        <v>139</v>
      </c>
      <c r="H6" s="3">
        <v>159</v>
      </c>
      <c r="I6" s="3">
        <v>126</v>
      </c>
      <c r="J6" s="3"/>
      <c r="K6" s="3">
        <v>129</v>
      </c>
      <c r="L6" s="3">
        <v>168</v>
      </c>
      <c r="M6" s="3">
        <v>128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spans="1:29" x14ac:dyDescent="0.2">
      <c r="B7" s="2" t="s">
        <v>37</v>
      </c>
      <c r="C7" s="3"/>
      <c r="D7" s="3"/>
      <c r="E7" s="3">
        <v>26</v>
      </c>
      <c r="F7" s="3"/>
      <c r="G7" s="3">
        <v>25</v>
      </c>
      <c r="H7" s="3">
        <v>30</v>
      </c>
      <c r="I7" s="3">
        <v>25</v>
      </c>
      <c r="J7" s="3"/>
      <c r="K7" s="3">
        <v>5</v>
      </c>
      <c r="L7" s="3">
        <v>31</v>
      </c>
      <c r="M7" s="3">
        <v>28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x14ac:dyDescent="0.2">
      <c r="B8" s="2" t="s">
        <v>38</v>
      </c>
      <c r="C8" s="3"/>
      <c r="D8" s="3"/>
      <c r="E8" s="3">
        <v>1117</v>
      </c>
      <c r="F8" s="3"/>
      <c r="G8" s="3">
        <v>1197</v>
      </c>
      <c r="H8" s="3">
        <v>1209</v>
      </c>
      <c r="I8" s="3">
        <v>1052</v>
      </c>
      <c r="J8" s="3"/>
      <c r="K8" s="3">
        <v>1174</v>
      </c>
      <c r="L8" s="3">
        <v>1218</v>
      </c>
      <c r="M8" s="3">
        <v>1076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 x14ac:dyDescent="0.2">
      <c r="B9" s="2" t="s">
        <v>39</v>
      </c>
      <c r="C9" s="3"/>
      <c r="D9" s="3"/>
      <c r="E9" s="3">
        <v>1647</v>
      </c>
      <c r="F9" s="3"/>
      <c r="G9" s="3">
        <v>868</v>
      </c>
      <c r="H9" s="3">
        <v>1085</v>
      </c>
      <c r="I9" s="3">
        <v>1358</v>
      </c>
      <c r="J9" s="3"/>
      <c r="K9" s="3">
        <v>901</v>
      </c>
      <c r="L9" s="3">
        <v>1183</v>
      </c>
      <c r="M9" s="3">
        <v>859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 x14ac:dyDescent="0.2">
      <c r="B10" s="2" t="s">
        <v>40</v>
      </c>
      <c r="C10" s="3"/>
      <c r="D10" s="3"/>
      <c r="E10" s="3">
        <v>1176</v>
      </c>
      <c r="F10" s="3"/>
      <c r="G10" s="3">
        <f>806+490</f>
        <v>1296</v>
      </c>
      <c r="H10" s="3">
        <f>888+822</f>
        <v>1710</v>
      </c>
      <c r="I10" s="3">
        <v>1140</v>
      </c>
      <c r="J10" s="3"/>
      <c r="K10" s="3">
        <f>873+532</f>
        <v>1405</v>
      </c>
      <c r="L10" s="3">
        <f>900+928</f>
        <v>1828</v>
      </c>
      <c r="M10" s="3">
        <f>1003+774</f>
        <v>1777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29" x14ac:dyDescent="0.2">
      <c r="B11" s="1" t="s">
        <v>18</v>
      </c>
      <c r="C11" s="7"/>
      <c r="D11" s="7"/>
      <c r="E11" s="7">
        <v>3940</v>
      </c>
      <c r="F11" s="7"/>
      <c r="G11" s="7">
        <v>3361</v>
      </c>
      <c r="H11" s="7">
        <v>4004</v>
      </c>
      <c r="I11" s="7">
        <v>3550</v>
      </c>
      <c r="J11" s="7"/>
      <c r="K11" s="7">
        <v>3481</v>
      </c>
      <c r="L11" s="7">
        <v>4229</v>
      </c>
      <c r="M11" s="7">
        <v>3712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2">
      <c r="B12" s="2" t="s">
        <v>19</v>
      </c>
      <c r="C12" s="3"/>
      <c r="D12" s="3"/>
      <c r="E12" s="3">
        <v>1107</v>
      </c>
      <c r="F12" s="3"/>
      <c r="G12" s="3">
        <v>928</v>
      </c>
      <c r="H12" s="3">
        <v>957</v>
      </c>
      <c r="I12" s="3">
        <v>889</v>
      </c>
      <c r="J12" s="3"/>
      <c r="K12" s="3">
        <v>927</v>
      </c>
      <c r="L12" s="3">
        <v>994</v>
      </c>
      <c r="M12" s="3">
        <v>876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x14ac:dyDescent="0.2">
      <c r="B13" s="2" t="s">
        <v>20</v>
      </c>
      <c r="C13" s="3">
        <f t="shared" ref="C13:H13" si="0">+C11-C12</f>
        <v>0</v>
      </c>
      <c r="D13" s="3">
        <f t="shared" si="0"/>
        <v>0</v>
      </c>
      <c r="E13" s="3">
        <f t="shared" si="0"/>
        <v>2833</v>
      </c>
      <c r="F13" s="3">
        <f t="shared" si="0"/>
        <v>0</v>
      </c>
      <c r="G13" s="3">
        <f t="shared" si="0"/>
        <v>2433</v>
      </c>
      <c r="H13" s="3">
        <f t="shared" si="0"/>
        <v>3047</v>
      </c>
      <c r="I13" s="3">
        <f>+I11-I12</f>
        <v>2661</v>
      </c>
      <c r="J13" s="3">
        <f t="shared" ref="J13:M13" si="1">+J11-J12</f>
        <v>0</v>
      </c>
      <c r="K13" s="3">
        <f t="shared" si="1"/>
        <v>2554</v>
      </c>
      <c r="L13" s="3">
        <f t="shared" si="1"/>
        <v>3235</v>
      </c>
      <c r="M13" s="3">
        <f t="shared" si="1"/>
        <v>2836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spans="1:29" x14ac:dyDescent="0.2">
      <c r="B14" s="2" t="s">
        <v>21</v>
      </c>
      <c r="C14" s="3"/>
      <c r="D14" s="3"/>
      <c r="E14" s="3">
        <v>2284</v>
      </c>
      <c r="F14" s="3"/>
      <c r="G14" s="3">
        <v>2298</v>
      </c>
      <c r="H14" s="3">
        <v>2585</v>
      </c>
      <c r="I14" s="3">
        <v>2258</v>
      </c>
      <c r="J14" s="3"/>
      <c r="K14" s="3">
        <v>2296</v>
      </c>
      <c r="L14" s="3">
        <v>2627</v>
      </c>
      <c r="M14" s="3">
        <v>2279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x14ac:dyDescent="0.2">
      <c r="B15" s="2" t="s">
        <v>22</v>
      </c>
      <c r="C15" s="3"/>
      <c r="D15" s="3"/>
      <c r="E15" s="3">
        <v>18</v>
      </c>
      <c r="F15" s="3"/>
      <c r="G15" s="3">
        <f>97+159</f>
        <v>256</v>
      </c>
      <c r="H15" s="3">
        <f>181+861</f>
        <v>1042</v>
      </c>
      <c r="I15" s="3">
        <v>97</v>
      </c>
      <c r="J15" s="3"/>
      <c r="K15" s="3">
        <v>89</v>
      </c>
      <c r="L15" s="3">
        <v>207</v>
      </c>
      <c r="M15" s="3">
        <f>224+84</f>
        <v>308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29" x14ac:dyDescent="0.2">
      <c r="B16" s="2" t="s">
        <v>23</v>
      </c>
      <c r="C16" s="3">
        <f t="shared" ref="C16:M16" si="2">+C13-SUM(C14:C15)</f>
        <v>0</v>
      </c>
      <c r="D16" s="3">
        <f t="shared" si="2"/>
        <v>0</v>
      </c>
      <c r="E16" s="3">
        <f t="shared" si="2"/>
        <v>531</v>
      </c>
      <c r="F16" s="3">
        <f t="shared" si="2"/>
        <v>0</v>
      </c>
      <c r="G16" s="3">
        <f t="shared" si="2"/>
        <v>-121</v>
      </c>
      <c r="H16" s="3">
        <f t="shared" si="2"/>
        <v>-580</v>
      </c>
      <c r="I16" s="3">
        <f t="shared" si="2"/>
        <v>306</v>
      </c>
      <c r="J16" s="3">
        <f t="shared" si="2"/>
        <v>0</v>
      </c>
      <c r="K16" s="3">
        <f t="shared" si="2"/>
        <v>169</v>
      </c>
      <c r="L16" s="3">
        <f t="shared" si="2"/>
        <v>401</v>
      </c>
      <c r="M16" s="3">
        <f t="shared" si="2"/>
        <v>249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2:29" x14ac:dyDescent="0.2">
      <c r="B17" s="2" t="s">
        <v>24</v>
      </c>
      <c r="C17" s="3"/>
      <c r="D17" s="3"/>
      <c r="E17" s="3">
        <v>94</v>
      </c>
      <c r="F17" s="3"/>
      <c r="G17" s="3">
        <v>92</v>
      </c>
      <c r="H17" s="3">
        <v>90</v>
      </c>
      <c r="I17" s="3">
        <v>87</v>
      </c>
      <c r="J17" s="3"/>
      <c r="K17" s="3">
        <v>86</v>
      </c>
      <c r="L17" s="3">
        <v>85</v>
      </c>
      <c r="M17" s="3">
        <v>82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2:29" x14ac:dyDescent="0.2">
      <c r="B18" s="2" t="s">
        <v>25</v>
      </c>
      <c r="C18" s="3"/>
      <c r="D18" s="3"/>
      <c r="E18" s="3">
        <v>45</v>
      </c>
      <c r="F18" s="3"/>
      <c r="G18" s="3">
        <v>35</v>
      </c>
      <c r="H18" s="3">
        <v>23</v>
      </c>
      <c r="I18" s="3">
        <v>27</v>
      </c>
      <c r="J18" s="3"/>
      <c r="K18" s="3">
        <v>30</v>
      </c>
      <c r="L18" s="3">
        <v>21</v>
      </c>
      <c r="M18" s="3">
        <v>15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2:29" x14ac:dyDescent="0.2">
      <c r="B19" s="2" t="s">
        <v>26</v>
      </c>
      <c r="C19" s="3"/>
      <c r="D19" s="3"/>
      <c r="E19" s="3">
        <v>-4</v>
      </c>
      <c r="F19" s="3"/>
      <c r="G19" s="3">
        <v>2</v>
      </c>
      <c r="H19" s="3">
        <v>3</v>
      </c>
      <c r="I19" s="3">
        <v>5</v>
      </c>
      <c r="J19" s="3"/>
      <c r="K19" s="3">
        <v>4</v>
      </c>
      <c r="L19" s="3">
        <v>4</v>
      </c>
      <c r="M19" s="3">
        <v>3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2:29" x14ac:dyDescent="0.2">
      <c r="B20" s="2" t="s">
        <v>27</v>
      </c>
      <c r="C20" s="3">
        <f t="shared" ref="C20:H20" si="3">+C16-C17+C18-C19</f>
        <v>0</v>
      </c>
      <c r="D20" s="3">
        <f t="shared" si="3"/>
        <v>0</v>
      </c>
      <c r="E20" s="3">
        <f t="shared" si="3"/>
        <v>486</v>
      </c>
      <c r="F20" s="3">
        <f t="shared" si="3"/>
        <v>0</v>
      </c>
      <c r="G20" s="3">
        <f t="shared" si="3"/>
        <v>-180</v>
      </c>
      <c r="H20" s="3">
        <f t="shared" si="3"/>
        <v>-650</v>
      </c>
      <c r="I20" s="3">
        <f>+I16-I17+I18-I19</f>
        <v>241</v>
      </c>
      <c r="J20" s="3">
        <f t="shared" ref="J20:M20" si="4">+J16-J17+J18-J19</f>
        <v>0</v>
      </c>
      <c r="K20" s="3">
        <f t="shared" si="4"/>
        <v>109</v>
      </c>
      <c r="L20" s="3">
        <f t="shared" si="4"/>
        <v>333</v>
      </c>
      <c r="M20" s="3">
        <f t="shared" si="4"/>
        <v>179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2:29" x14ac:dyDescent="0.2">
      <c r="B21" s="2" t="s">
        <v>28</v>
      </c>
      <c r="C21" s="3"/>
      <c r="D21" s="3"/>
      <c r="E21" s="3">
        <v>151</v>
      </c>
      <c r="F21" s="3"/>
      <c r="G21" s="3">
        <v>-24</v>
      </c>
      <c r="H21" s="3">
        <v>-60</v>
      </c>
      <c r="I21" s="3">
        <v>82</v>
      </c>
      <c r="J21" s="3"/>
      <c r="K21" s="3">
        <v>62</v>
      </c>
      <c r="L21" s="3">
        <v>171</v>
      </c>
      <c r="M21" s="3">
        <v>90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2:29" x14ac:dyDescent="0.2">
      <c r="B22" s="2" t="s">
        <v>29</v>
      </c>
      <c r="C22" s="3">
        <f t="shared" ref="C22:H22" si="5">+C20-C21</f>
        <v>0</v>
      </c>
      <c r="D22" s="3">
        <f t="shared" si="5"/>
        <v>0</v>
      </c>
      <c r="E22" s="3">
        <f t="shared" si="5"/>
        <v>335</v>
      </c>
      <c r="F22" s="3">
        <f t="shared" si="5"/>
        <v>0</v>
      </c>
      <c r="G22" s="3">
        <f t="shared" si="5"/>
        <v>-156</v>
      </c>
      <c r="H22" s="3">
        <f t="shared" si="5"/>
        <v>-590</v>
      </c>
      <c r="I22" s="3">
        <f>+I20-I21</f>
        <v>159</v>
      </c>
      <c r="J22" s="3">
        <f>+J20-J21</f>
        <v>0</v>
      </c>
      <c r="K22" s="3">
        <f t="shared" ref="K22:M22" si="6">+K20-K21</f>
        <v>47</v>
      </c>
      <c r="L22" s="3">
        <f t="shared" si="6"/>
        <v>162</v>
      </c>
      <c r="M22" s="3">
        <f t="shared" si="6"/>
        <v>89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spans="2:29" x14ac:dyDescent="0.2">
      <c r="B23" s="2" t="s">
        <v>30</v>
      </c>
      <c r="C23" s="3"/>
      <c r="D23" s="3"/>
      <c r="E23" s="3">
        <v>5</v>
      </c>
      <c r="F23" s="3"/>
      <c r="G23" s="3">
        <v>0</v>
      </c>
      <c r="H23" s="3">
        <v>0</v>
      </c>
      <c r="I23" s="3">
        <v>0</v>
      </c>
      <c r="J23" s="3"/>
      <c r="K23" s="3">
        <v>0</v>
      </c>
      <c r="L23" s="3">
        <v>0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2:29" x14ac:dyDescent="0.2">
      <c r="B24" s="2" t="s">
        <v>31</v>
      </c>
      <c r="C24" s="3">
        <f t="shared" ref="C24:H24" si="7">+C22-C23</f>
        <v>0</v>
      </c>
      <c r="D24" s="3">
        <f t="shared" si="7"/>
        <v>0</v>
      </c>
      <c r="E24" s="3">
        <f t="shared" si="7"/>
        <v>330</v>
      </c>
      <c r="F24" s="3">
        <f t="shared" si="7"/>
        <v>0</v>
      </c>
      <c r="G24" s="3">
        <f t="shared" si="7"/>
        <v>-156</v>
      </c>
      <c r="H24" s="3">
        <f t="shared" si="7"/>
        <v>-590</v>
      </c>
      <c r="I24" s="3">
        <f>+I22-I23</f>
        <v>159</v>
      </c>
      <c r="J24" s="3">
        <f t="shared" ref="J24:M24" si="8">+J22-J23</f>
        <v>0</v>
      </c>
      <c r="K24" s="3">
        <f t="shared" si="8"/>
        <v>47</v>
      </c>
      <c r="L24" s="3">
        <f t="shared" si="8"/>
        <v>162</v>
      </c>
      <c r="M24" s="3">
        <f t="shared" si="8"/>
        <v>89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2:29" x14ac:dyDescent="0.2"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spans="2:29" x14ac:dyDescent="0.2">
      <c r="B26" s="2" t="s">
        <v>32</v>
      </c>
      <c r="C26" s="9" t="e">
        <f t="shared" ref="C26:K26" si="9">+C24/C27</f>
        <v>#DIV/0!</v>
      </c>
      <c r="D26" s="9" t="e">
        <f t="shared" si="9"/>
        <v>#DIV/0!</v>
      </c>
      <c r="E26" s="9">
        <f t="shared" si="9"/>
        <v>0.91896407685881365</v>
      </c>
      <c r="F26" s="9" t="e">
        <f t="shared" si="9"/>
        <v>#DIV/0!</v>
      </c>
      <c r="G26" s="9">
        <f t="shared" si="9"/>
        <v>-0.43381535038932145</v>
      </c>
      <c r="H26" s="9">
        <f t="shared" si="9"/>
        <v>-1.6388888888888888</v>
      </c>
      <c r="I26" s="9">
        <f t="shared" si="9"/>
        <v>0.44129891756869272</v>
      </c>
      <c r="J26" s="9" t="e">
        <f t="shared" si="9"/>
        <v>#DIV/0!</v>
      </c>
      <c r="K26" s="9">
        <f t="shared" si="9"/>
        <v>0.1301218161683278</v>
      </c>
      <c r="L26" s="9">
        <f t="shared" ref="L26:M26" si="10">+L24/L27</f>
        <v>0.44739022369511183</v>
      </c>
      <c r="M26" s="9">
        <f t="shared" si="10"/>
        <v>0.2453818582850841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spans="2:29" x14ac:dyDescent="0.2">
      <c r="B27" s="2" t="s">
        <v>3</v>
      </c>
      <c r="C27" s="3"/>
      <c r="D27" s="3"/>
      <c r="E27" s="3">
        <v>359.1</v>
      </c>
      <c r="F27" s="3"/>
      <c r="G27" s="3">
        <v>359.6</v>
      </c>
      <c r="H27" s="3">
        <v>360</v>
      </c>
      <c r="I27" s="3">
        <v>360.3</v>
      </c>
      <c r="J27" s="3"/>
      <c r="K27" s="3">
        <v>361.2</v>
      </c>
      <c r="L27" s="3">
        <v>362.1</v>
      </c>
      <c r="M27" s="3">
        <v>362.7</v>
      </c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spans="2:29" x14ac:dyDescent="0.2"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spans="2:29" x14ac:dyDescent="0.2">
      <c r="B29" s="1" t="s">
        <v>50</v>
      </c>
      <c r="C29" s="7"/>
      <c r="D29" s="7"/>
      <c r="E29" s="7"/>
      <c r="F29" s="7"/>
      <c r="G29" s="13" t="e">
        <f t="shared" ref="G29:M29" si="11">+G11/C11-1</f>
        <v>#DIV/0!</v>
      </c>
      <c r="H29" s="13" t="e">
        <f t="shared" si="11"/>
        <v>#DIV/0!</v>
      </c>
      <c r="I29" s="13">
        <f t="shared" si="11"/>
        <v>-9.898477157360408E-2</v>
      </c>
      <c r="J29" s="13" t="e">
        <f t="shared" si="11"/>
        <v>#DIV/0!</v>
      </c>
      <c r="K29" s="13">
        <f t="shared" si="11"/>
        <v>3.5703659625111683E-2</v>
      </c>
      <c r="L29" s="13">
        <f t="shared" si="11"/>
        <v>5.6193806193806095E-2</v>
      </c>
      <c r="M29" s="13">
        <f t="shared" si="11"/>
        <v>4.5633802816901436E-2</v>
      </c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2:29" x14ac:dyDescent="0.2">
      <c r="B30" s="10" t="s">
        <v>51</v>
      </c>
      <c r="C30" s="11" t="e">
        <f t="shared" ref="C30:K30" si="12">+C13/C11</f>
        <v>#DIV/0!</v>
      </c>
      <c r="D30" s="11" t="e">
        <f t="shared" si="12"/>
        <v>#DIV/0!</v>
      </c>
      <c r="E30" s="11">
        <f t="shared" si="12"/>
        <v>0.71903553299492384</v>
      </c>
      <c r="F30" s="11" t="e">
        <f t="shared" si="12"/>
        <v>#DIV/0!</v>
      </c>
      <c r="G30" s="11">
        <f t="shared" si="12"/>
        <v>0.72389169889913718</v>
      </c>
      <c r="H30" s="11">
        <f t="shared" si="12"/>
        <v>0.76098901098901095</v>
      </c>
      <c r="I30" s="11">
        <f t="shared" si="12"/>
        <v>0.74957746478873244</v>
      </c>
      <c r="J30" s="11" t="e">
        <f t="shared" si="12"/>
        <v>#DIV/0!</v>
      </c>
      <c r="K30" s="11">
        <f t="shared" si="12"/>
        <v>0.73369721344441252</v>
      </c>
      <c r="L30" s="11">
        <f>+L13/L11</f>
        <v>0.76495625443367221</v>
      </c>
      <c r="M30" s="11">
        <f>+M13/M11</f>
        <v>0.76400862068965514</v>
      </c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2:29" x14ac:dyDescent="0.2">
      <c r="B31" s="10" t="s">
        <v>52</v>
      </c>
      <c r="C31" s="11" t="e">
        <f t="shared" ref="C31:K31" si="13">+C16/C11</f>
        <v>#DIV/0!</v>
      </c>
      <c r="D31" s="11" t="e">
        <f t="shared" si="13"/>
        <v>#DIV/0!</v>
      </c>
      <c r="E31" s="11">
        <f t="shared" si="13"/>
        <v>0.13477157360406092</v>
      </c>
      <c r="F31" s="11" t="e">
        <f t="shared" si="13"/>
        <v>#DIV/0!</v>
      </c>
      <c r="G31" s="11">
        <f t="shared" si="13"/>
        <v>-3.6001190121987506E-2</v>
      </c>
      <c r="H31" s="11">
        <f t="shared" si="13"/>
        <v>-0.14485514485514486</v>
      </c>
      <c r="I31" s="11">
        <f t="shared" si="13"/>
        <v>8.6197183098591548E-2</v>
      </c>
      <c r="J31" s="11" t="e">
        <f t="shared" si="13"/>
        <v>#DIV/0!</v>
      </c>
      <c r="K31" s="11">
        <f t="shared" si="13"/>
        <v>4.8549267451881643E-2</v>
      </c>
      <c r="L31" s="11">
        <f>+L16/L11</f>
        <v>9.4821470796878693E-2</v>
      </c>
      <c r="M31" s="11">
        <f>+M16/M11</f>
        <v>6.7079741379310345E-2</v>
      </c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2:29" x14ac:dyDescent="0.2">
      <c r="B32" s="10" t="s">
        <v>53</v>
      </c>
      <c r="C32" s="11" t="e">
        <f t="shared" ref="C32:K32" si="14">+C21/C20</f>
        <v>#DIV/0!</v>
      </c>
      <c r="D32" s="11" t="e">
        <f t="shared" si="14"/>
        <v>#DIV/0!</v>
      </c>
      <c r="E32" s="11">
        <f t="shared" si="14"/>
        <v>0.31069958847736623</v>
      </c>
      <c r="F32" s="11" t="e">
        <f t="shared" si="14"/>
        <v>#DIV/0!</v>
      </c>
      <c r="G32" s="11">
        <f t="shared" si="14"/>
        <v>0.13333333333333333</v>
      </c>
      <c r="H32" s="11">
        <f t="shared" si="14"/>
        <v>9.2307692307692313E-2</v>
      </c>
      <c r="I32" s="11">
        <f t="shared" si="14"/>
        <v>0.34024896265560167</v>
      </c>
      <c r="J32" s="11" t="e">
        <f t="shared" si="14"/>
        <v>#DIV/0!</v>
      </c>
      <c r="K32" s="11">
        <f t="shared" si="14"/>
        <v>0.56880733944954132</v>
      </c>
      <c r="L32" s="11">
        <f>+L21/L20</f>
        <v>0.51351351351351349</v>
      </c>
      <c r="M32" s="11">
        <f>+M21/M20</f>
        <v>0.5027932960893855</v>
      </c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3:29" x14ac:dyDescent="0.2"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spans="3:29" x14ac:dyDescent="0.2"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spans="3:29" x14ac:dyDescent="0.2"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spans="3:29" x14ac:dyDescent="0.2"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spans="3:29" x14ac:dyDescent="0.2"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spans="3:29" x14ac:dyDescent="0.2"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3:29" x14ac:dyDescent="0.2"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3:29" x14ac:dyDescent="0.2"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3:29" x14ac:dyDescent="0.2"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spans="3:29" x14ac:dyDescent="0.2"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spans="3:29" x14ac:dyDescent="0.2"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 spans="3:29" x14ac:dyDescent="0.2"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 spans="3:29" x14ac:dyDescent="0.2"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 spans="3:29" x14ac:dyDescent="0.2"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 spans="3:29" x14ac:dyDescent="0.2"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 spans="3:29" x14ac:dyDescent="0.2"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 spans="3:29" x14ac:dyDescent="0.2"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 spans="3:29" x14ac:dyDescent="0.2"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 spans="3:29" x14ac:dyDescent="0.2"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 spans="3:29" x14ac:dyDescent="0.2"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 spans="3:29" x14ac:dyDescent="0.2"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 spans="3:29" x14ac:dyDescent="0.2"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 spans="3:29" x14ac:dyDescent="0.2"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3:29" x14ac:dyDescent="0.2"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3:29" x14ac:dyDescent="0.2"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 spans="3:29" x14ac:dyDescent="0.2"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 spans="3:29" x14ac:dyDescent="0.2"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 spans="3:29" x14ac:dyDescent="0.2"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 spans="3:29" x14ac:dyDescent="0.2"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 spans="3:29" x14ac:dyDescent="0.2"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 spans="3:29" x14ac:dyDescent="0.2"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 spans="3:29" x14ac:dyDescent="0.2"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 spans="3:29" x14ac:dyDescent="0.2"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 spans="3:29" x14ac:dyDescent="0.2"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 spans="3:29" x14ac:dyDescent="0.2"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3:29" x14ac:dyDescent="0.2"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 spans="3:29" x14ac:dyDescent="0.2"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 spans="3:29" x14ac:dyDescent="0.2"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 spans="3:29" x14ac:dyDescent="0.2"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 spans="3:29" x14ac:dyDescent="0.2"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 spans="3:29" x14ac:dyDescent="0.2"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 spans="3:29" x14ac:dyDescent="0.2"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 spans="3:29" x14ac:dyDescent="0.2"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 spans="3:29" x14ac:dyDescent="0.2"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 spans="3:29" x14ac:dyDescent="0.2"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 spans="3:29" x14ac:dyDescent="0.2"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 spans="3:29" x14ac:dyDescent="0.2"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 spans="3:29" x14ac:dyDescent="0.2"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 spans="3:29" x14ac:dyDescent="0.2"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 spans="3:29" x14ac:dyDescent="0.2"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3:29" x14ac:dyDescent="0.2"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 spans="3:29" x14ac:dyDescent="0.2"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 spans="3:29" x14ac:dyDescent="0.2"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 spans="3:29" x14ac:dyDescent="0.2"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 spans="3:29" x14ac:dyDescent="0.2"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 spans="3:29" x14ac:dyDescent="0.2"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 spans="3:29" x14ac:dyDescent="0.2"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 spans="3:29" x14ac:dyDescent="0.2"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3:29" x14ac:dyDescent="0.2"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 spans="3:29" x14ac:dyDescent="0.2"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 spans="3:29" x14ac:dyDescent="0.2"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 spans="3:29" x14ac:dyDescent="0.2"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 spans="3:29" x14ac:dyDescent="0.2"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3:29" x14ac:dyDescent="0.2"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 spans="3:29" x14ac:dyDescent="0.2"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 spans="3:29" x14ac:dyDescent="0.2"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 spans="3:29" x14ac:dyDescent="0.2"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 spans="3:29" x14ac:dyDescent="0.2"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 spans="3:29" x14ac:dyDescent="0.2"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 spans="3:29" x14ac:dyDescent="0.2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 spans="3:29" x14ac:dyDescent="0.2"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 spans="3:29" x14ac:dyDescent="0.2"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 spans="3:29" x14ac:dyDescent="0.2"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 spans="3:29" x14ac:dyDescent="0.2"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 spans="3:29" x14ac:dyDescent="0.2"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 spans="3:29" x14ac:dyDescent="0.2"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 spans="3:29" x14ac:dyDescent="0.2"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 spans="3:29" x14ac:dyDescent="0.2"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 spans="3:29" x14ac:dyDescent="0.2"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 spans="3:29" x14ac:dyDescent="0.2"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 spans="3:29" x14ac:dyDescent="0.2"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 spans="3:29" x14ac:dyDescent="0.2"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 spans="3:29" x14ac:dyDescent="0.2"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 spans="3:29" x14ac:dyDescent="0.2"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 spans="3:29" x14ac:dyDescent="0.2"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 spans="3:29" x14ac:dyDescent="0.2"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 spans="3:29" x14ac:dyDescent="0.2"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 spans="3:29" x14ac:dyDescent="0.2"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 spans="3:29" x14ac:dyDescent="0.2"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 spans="3:29" x14ac:dyDescent="0.2"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 spans="3:29" x14ac:dyDescent="0.2"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 spans="3:29" x14ac:dyDescent="0.2"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 spans="3:29" x14ac:dyDescent="0.2"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 spans="3:29" x14ac:dyDescent="0.2"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 spans="3:29" x14ac:dyDescent="0.2"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 spans="3:29" x14ac:dyDescent="0.2"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 spans="3:29" x14ac:dyDescent="0.2"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 spans="3:29" x14ac:dyDescent="0.2"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 spans="3:29" x14ac:dyDescent="0.2"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 spans="3:29" x14ac:dyDescent="0.2"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 spans="3:29" x14ac:dyDescent="0.2"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 spans="3:29" x14ac:dyDescent="0.2"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 spans="3:29" x14ac:dyDescent="0.2"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 spans="3:29" x14ac:dyDescent="0.2"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 spans="3:29" x14ac:dyDescent="0.2"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 spans="3:29" x14ac:dyDescent="0.2"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 spans="3:29" x14ac:dyDescent="0.2"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 spans="3:29" x14ac:dyDescent="0.2"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 spans="3:29" x14ac:dyDescent="0.2"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 spans="3:29" x14ac:dyDescent="0.2"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 spans="3:29" x14ac:dyDescent="0.2"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 spans="3:29" x14ac:dyDescent="0.2"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 spans="3:29" x14ac:dyDescent="0.2"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 spans="3:29" x14ac:dyDescent="0.2"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 spans="3:29" x14ac:dyDescent="0.2"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 spans="3:29" x14ac:dyDescent="0.2"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 spans="3:29" x14ac:dyDescent="0.2"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 spans="3:29" x14ac:dyDescent="0.2"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 spans="3:29" x14ac:dyDescent="0.2"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 spans="3:29" x14ac:dyDescent="0.2"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 spans="3:29" x14ac:dyDescent="0.2"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 spans="3:29" x14ac:dyDescent="0.2"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 spans="3:29" x14ac:dyDescent="0.2"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 spans="3:29" x14ac:dyDescent="0.2"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 spans="3:29" x14ac:dyDescent="0.2"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 spans="3:29" x14ac:dyDescent="0.2"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 spans="3:29" x14ac:dyDescent="0.2"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 spans="3:29" x14ac:dyDescent="0.2"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 spans="3:29" x14ac:dyDescent="0.2"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 spans="3:29" x14ac:dyDescent="0.2"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 spans="3:29" x14ac:dyDescent="0.2"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 spans="3:29" x14ac:dyDescent="0.2"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 spans="3:29" x14ac:dyDescent="0.2"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 spans="3:29" x14ac:dyDescent="0.2"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 spans="3:29" x14ac:dyDescent="0.2"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 spans="3:29" x14ac:dyDescent="0.2"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 spans="3:29" x14ac:dyDescent="0.2"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 spans="3:29" x14ac:dyDescent="0.2"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 spans="3:29" x14ac:dyDescent="0.2"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 spans="3:29" x14ac:dyDescent="0.2"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 spans="3:29" x14ac:dyDescent="0.2"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 spans="3:29" x14ac:dyDescent="0.2"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 spans="3:29" x14ac:dyDescent="0.2"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 spans="3:29" x14ac:dyDescent="0.2"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 spans="3:29" x14ac:dyDescent="0.2"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 spans="3:29" x14ac:dyDescent="0.2"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 spans="3:29" x14ac:dyDescent="0.2"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 spans="3:29" x14ac:dyDescent="0.2"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 spans="3:29" x14ac:dyDescent="0.2"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 spans="3:29" x14ac:dyDescent="0.2"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 spans="3:29" x14ac:dyDescent="0.2"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 spans="3:29" x14ac:dyDescent="0.2"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 spans="3:29" x14ac:dyDescent="0.2"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 spans="3:29" x14ac:dyDescent="0.2"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 spans="3:29" x14ac:dyDescent="0.2"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 spans="3:29" x14ac:dyDescent="0.2"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 spans="3:29" x14ac:dyDescent="0.2"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 spans="3:29" x14ac:dyDescent="0.2"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 spans="3:29" x14ac:dyDescent="0.2"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 spans="3:29" x14ac:dyDescent="0.2"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 spans="3:29" x14ac:dyDescent="0.2"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 spans="3:29" x14ac:dyDescent="0.2"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 spans="3:29" x14ac:dyDescent="0.2"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 spans="3:29" x14ac:dyDescent="0.2"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 spans="3:29" x14ac:dyDescent="0.2"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 spans="3:29" x14ac:dyDescent="0.2"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 spans="3:29" x14ac:dyDescent="0.2"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 spans="3:29" x14ac:dyDescent="0.2"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 spans="3:29" x14ac:dyDescent="0.2"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 spans="3:29" x14ac:dyDescent="0.2"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 spans="3:29" x14ac:dyDescent="0.2"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 spans="3:29" x14ac:dyDescent="0.2"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 spans="3:29" x14ac:dyDescent="0.2"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 spans="3:29" x14ac:dyDescent="0.2"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 spans="3:29" x14ac:dyDescent="0.2"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 spans="3:29" x14ac:dyDescent="0.2"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 spans="3:29" x14ac:dyDescent="0.2"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 spans="3:29" x14ac:dyDescent="0.2"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 spans="3:29" x14ac:dyDescent="0.2"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 spans="3:29" x14ac:dyDescent="0.2"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 spans="3:29" x14ac:dyDescent="0.2"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 spans="3:29" x14ac:dyDescent="0.2"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 spans="3:29" x14ac:dyDescent="0.2"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 spans="3:29" x14ac:dyDescent="0.2"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 spans="3:29" x14ac:dyDescent="0.2"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 spans="3:29" x14ac:dyDescent="0.2"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 spans="3:29" x14ac:dyDescent="0.2"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 spans="3:29" x14ac:dyDescent="0.2"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 spans="3:29" x14ac:dyDescent="0.2"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 spans="3:29" x14ac:dyDescent="0.2"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 spans="3:29" x14ac:dyDescent="0.2"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 spans="3:29" x14ac:dyDescent="0.2"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 spans="3:29" x14ac:dyDescent="0.2"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 spans="3:29" x14ac:dyDescent="0.2"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 spans="3:29" x14ac:dyDescent="0.2"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 spans="3:29" x14ac:dyDescent="0.2"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 spans="3:29" x14ac:dyDescent="0.2"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 spans="3:29" x14ac:dyDescent="0.2"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 spans="3:29" x14ac:dyDescent="0.2"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 spans="3:29" x14ac:dyDescent="0.2"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 spans="3:29" x14ac:dyDescent="0.2"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 spans="3:29" x14ac:dyDescent="0.2"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 spans="3:29" x14ac:dyDescent="0.2"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 spans="3:29" x14ac:dyDescent="0.2"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 spans="3:29" x14ac:dyDescent="0.2"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 spans="3:29" x14ac:dyDescent="0.2"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 spans="3:29" x14ac:dyDescent="0.2"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 spans="3:29" x14ac:dyDescent="0.2"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 spans="3:29" x14ac:dyDescent="0.2"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 spans="3:29" x14ac:dyDescent="0.2"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 spans="3:29" x14ac:dyDescent="0.2"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 spans="3:29" x14ac:dyDescent="0.2"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 spans="3:29" x14ac:dyDescent="0.2"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 spans="3:29" x14ac:dyDescent="0.2"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 spans="3:29" x14ac:dyDescent="0.2"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 spans="3:29" x14ac:dyDescent="0.2"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 spans="3:29" x14ac:dyDescent="0.2"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 spans="3:29" x14ac:dyDescent="0.2"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 spans="3:29" x14ac:dyDescent="0.2"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 spans="3:29" x14ac:dyDescent="0.2"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 spans="3:29" x14ac:dyDescent="0.2"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 spans="3:29" x14ac:dyDescent="0.2"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 spans="3:29" x14ac:dyDescent="0.2"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 spans="3:29" x14ac:dyDescent="0.2"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 spans="3:29" x14ac:dyDescent="0.2"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 spans="3:29" x14ac:dyDescent="0.2"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 spans="3:29" x14ac:dyDescent="0.2"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 spans="3:29" x14ac:dyDescent="0.2"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 spans="3:29" x14ac:dyDescent="0.2"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 spans="3:29" x14ac:dyDescent="0.2"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 spans="3:29" x14ac:dyDescent="0.2"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 spans="3:29" x14ac:dyDescent="0.2"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 spans="3:29" x14ac:dyDescent="0.2"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 spans="3:29" x14ac:dyDescent="0.2"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 spans="3:29" x14ac:dyDescent="0.2"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 spans="3:29" x14ac:dyDescent="0.2"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 spans="3:29" x14ac:dyDescent="0.2"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 spans="3:29" x14ac:dyDescent="0.2"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 spans="3:29" x14ac:dyDescent="0.2"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 spans="3:29" x14ac:dyDescent="0.2"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 spans="3:29" x14ac:dyDescent="0.2"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 spans="3:29" x14ac:dyDescent="0.2"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 spans="3:29" x14ac:dyDescent="0.2"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 spans="3:29" x14ac:dyDescent="0.2"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 spans="3:29" x14ac:dyDescent="0.2"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 spans="3:29" x14ac:dyDescent="0.2"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 spans="3:29" x14ac:dyDescent="0.2"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 spans="3:29" x14ac:dyDescent="0.2"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 spans="3:29" x14ac:dyDescent="0.2"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 spans="3:29" x14ac:dyDescent="0.2"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 spans="3:29" x14ac:dyDescent="0.2"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 spans="3:29" x14ac:dyDescent="0.2"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 spans="3:29" x14ac:dyDescent="0.2"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 spans="3:29" x14ac:dyDescent="0.2"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 spans="3:29" x14ac:dyDescent="0.2"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 spans="3:29" x14ac:dyDescent="0.2"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 spans="3:29" x14ac:dyDescent="0.2"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 spans="3:29" x14ac:dyDescent="0.2"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 spans="3:29" x14ac:dyDescent="0.2"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 spans="3:29" x14ac:dyDescent="0.2"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 spans="3:29" x14ac:dyDescent="0.2"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 spans="3:29" x14ac:dyDescent="0.2"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 spans="3:29" x14ac:dyDescent="0.2"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 spans="3:29" x14ac:dyDescent="0.2"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 spans="3:29" x14ac:dyDescent="0.2"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 spans="3:29" x14ac:dyDescent="0.2"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 spans="3:29" x14ac:dyDescent="0.2"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 spans="3:29" x14ac:dyDescent="0.2"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 spans="3:29" x14ac:dyDescent="0.2"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 spans="3:29" x14ac:dyDescent="0.2"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 spans="3:29" x14ac:dyDescent="0.2"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 spans="3:29" x14ac:dyDescent="0.2"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 spans="3:29" x14ac:dyDescent="0.2"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 spans="3:29" x14ac:dyDescent="0.2"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 spans="3:29" x14ac:dyDescent="0.2"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 spans="3:29" x14ac:dyDescent="0.2"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 spans="3:29" x14ac:dyDescent="0.2"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 spans="3:29" x14ac:dyDescent="0.2"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 spans="3:29" x14ac:dyDescent="0.2"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 spans="3:29" x14ac:dyDescent="0.2"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 spans="3:29" x14ac:dyDescent="0.2"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 spans="3:29" x14ac:dyDescent="0.2"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 spans="3:29" x14ac:dyDescent="0.2"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 spans="3:29" x14ac:dyDescent="0.2"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 spans="3:29" x14ac:dyDescent="0.2"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 spans="3:29" x14ac:dyDescent="0.2"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 spans="3:29" x14ac:dyDescent="0.2"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 spans="3:29" x14ac:dyDescent="0.2"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 spans="3:29" x14ac:dyDescent="0.2"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 spans="3:29" x14ac:dyDescent="0.2"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 spans="3:29" x14ac:dyDescent="0.2"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 spans="3:29" x14ac:dyDescent="0.2"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 spans="3:29" x14ac:dyDescent="0.2"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 spans="3:29" x14ac:dyDescent="0.2"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 spans="3:29" x14ac:dyDescent="0.2"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 spans="3:29" x14ac:dyDescent="0.2"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 spans="3:29" x14ac:dyDescent="0.2"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 spans="3:29" x14ac:dyDescent="0.2"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 spans="3:29" x14ac:dyDescent="0.2"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 spans="3:29" x14ac:dyDescent="0.2"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 spans="3:29" x14ac:dyDescent="0.2"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 spans="3:29" x14ac:dyDescent="0.2"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 spans="3:29" x14ac:dyDescent="0.2"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 spans="3:29" x14ac:dyDescent="0.2"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 spans="3:29" x14ac:dyDescent="0.2"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 spans="3:29" x14ac:dyDescent="0.2"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 spans="3:29" x14ac:dyDescent="0.2"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 spans="3:29" x14ac:dyDescent="0.2"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 spans="3:29" x14ac:dyDescent="0.2"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 spans="3:29" x14ac:dyDescent="0.2"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 spans="3:29" x14ac:dyDescent="0.2"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 spans="3:29" x14ac:dyDescent="0.2"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 spans="3:29" x14ac:dyDescent="0.2"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 spans="3:29" x14ac:dyDescent="0.2"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 spans="3:29" x14ac:dyDescent="0.2"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 spans="3:29" x14ac:dyDescent="0.2"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 spans="3:29" x14ac:dyDescent="0.2"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 spans="3:29" x14ac:dyDescent="0.2"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 spans="3:29" x14ac:dyDescent="0.2"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 spans="3:29" x14ac:dyDescent="0.2"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 spans="3:29" x14ac:dyDescent="0.2"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 spans="3:29" x14ac:dyDescent="0.2"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 spans="3:29" x14ac:dyDescent="0.2"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 spans="3:29" x14ac:dyDescent="0.2"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 spans="3:29" x14ac:dyDescent="0.2"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 spans="3:29" x14ac:dyDescent="0.2"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 spans="3:29" x14ac:dyDescent="0.2"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 spans="3:29" x14ac:dyDescent="0.2"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 spans="3:29" x14ac:dyDescent="0.2"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 spans="3:29" x14ac:dyDescent="0.2"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 spans="3:29" x14ac:dyDescent="0.2"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 spans="3:29" x14ac:dyDescent="0.2"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 spans="3:29" x14ac:dyDescent="0.2"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 spans="3:29" x14ac:dyDescent="0.2"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 spans="3:29" x14ac:dyDescent="0.2"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 spans="3:29" x14ac:dyDescent="0.2"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 spans="3:29" x14ac:dyDescent="0.2"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 spans="3:29" x14ac:dyDescent="0.2"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 spans="3:29" x14ac:dyDescent="0.2"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 spans="3:29" x14ac:dyDescent="0.2"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 spans="3:29" x14ac:dyDescent="0.2"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 spans="3:29" x14ac:dyDescent="0.2"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 spans="3:29" x14ac:dyDescent="0.2"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 spans="3:29" x14ac:dyDescent="0.2"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 spans="3:29" x14ac:dyDescent="0.2"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 spans="3:29" x14ac:dyDescent="0.2"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 spans="3:29" x14ac:dyDescent="0.2"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 spans="3:29" x14ac:dyDescent="0.2"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 spans="3:29" x14ac:dyDescent="0.2"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 spans="3:29" x14ac:dyDescent="0.2"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 spans="3:29" x14ac:dyDescent="0.2"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 spans="3:29" x14ac:dyDescent="0.2"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 spans="3:29" x14ac:dyDescent="0.2"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 spans="3:29" x14ac:dyDescent="0.2"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 spans="3:29" x14ac:dyDescent="0.2"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 spans="3:29" x14ac:dyDescent="0.2"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 spans="3:29" x14ac:dyDescent="0.2"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 spans="3:29" x14ac:dyDescent="0.2"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 spans="3:29" x14ac:dyDescent="0.2"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 spans="3:29" x14ac:dyDescent="0.2"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 spans="3:29" x14ac:dyDescent="0.2"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 spans="3:29" x14ac:dyDescent="0.2"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 spans="3:29" x14ac:dyDescent="0.2"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 spans="3:29" x14ac:dyDescent="0.2"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 spans="3:29" x14ac:dyDescent="0.2"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 spans="3:29" x14ac:dyDescent="0.2"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 spans="3:29" x14ac:dyDescent="0.2"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 spans="3:29" x14ac:dyDescent="0.2"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 spans="3:29" x14ac:dyDescent="0.2"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 spans="3:29" x14ac:dyDescent="0.2"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 spans="3:29" x14ac:dyDescent="0.2"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 spans="3:29" x14ac:dyDescent="0.2"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 spans="3:29" x14ac:dyDescent="0.2"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 spans="3:29" x14ac:dyDescent="0.2"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 spans="3:29" x14ac:dyDescent="0.2"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 spans="3:29" x14ac:dyDescent="0.2"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 spans="3:29" x14ac:dyDescent="0.2"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 spans="3:29" x14ac:dyDescent="0.2"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 spans="3:29" x14ac:dyDescent="0.2"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 spans="3:29" x14ac:dyDescent="0.2"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 spans="3:29" x14ac:dyDescent="0.2"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 spans="3:29" x14ac:dyDescent="0.2"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 spans="3:29" x14ac:dyDescent="0.2"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 spans="3:29" x14ac:dyDescent="0.2"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 spans="3:29" x14ac:dyDescent="0.2"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 spans="3:29" x14ac:dyDescent="0.2"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 spans="3:29" x14ac:dyDescent="0.2"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 spans="3:29" x14ac:dyDescent="0.2"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 spans="3:29" x14ac:dyDescent="0.2"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 spans="3:29" x14ac:dyDescent="0.2"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 spans="3:29" x14ac:dyDescent="0.2"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 spans="3:29" x14ac:dyDescent="0.2"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 spans="3:29" x14ac:dyDescent="0.2"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 spans="3:29" x14ac:dyDescent="0.2"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 spans="3:29" x14ac:dyDescent="0.2"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 spans="3:29" x14ac:dyDescent="0.2"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 spans="3:29" x14ac:dyDescent="0.2"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 spans="3:29" x14ac:dyDescent="0.2"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 spans="3:29" x14ac:dyDescent="0.2"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 spans="3:29" x14ac:dyDescent="0.2"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 spans="3:29" x14ac:dyDescent="0.2"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 spans="3:29" x14ac:dyDescent="0.2"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 spans="3:29" x14ac:dyDescent="0.2"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 spans="3:29" x14ac:dyDescent="0.2"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 spans="3:29" x14ac:dyDescent="0.2"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 spans="3:29" x14ac:dyDescent="0.2"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 spans="3:29" x14ac:dyDescent="0.2"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 spans="3:29" x14ac:dyDescent="0.2"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 spans="3:29" x14ac:dyDescent="0.2"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 spans="3:29" x14ac:dyDescent="0.2"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 spans="3:29" x14ac:dyDescent="0.2"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 spans="3:29" x14ac:dyDescent="0.2"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 spans="3:29" x14ac:dyDescent="0.2"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 spans="3:29" x14ac:dyDescent="0.2"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 spans="3:29" x14ac:dyDescent="0.2"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 spans="3:29" x14ac:dyDescent="0.2"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 spans="3:29" x14ac:dyDescent="0.2"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 spans="3:29" x14ac:dyDescent="0.2"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 spans="3:29" x14ac:dyDescent="0.2"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 spans="3:29" x14ac:dyDescent="0.2"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 spans="3:29" x14ac:dyDescent="0.2"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 spans="3:29" x14ac:dyDescent="0.2"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 spans="3:29" x14ac:dyDescent="0.2"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 spans="3:29" x14ac:dyDescent="0.2"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 spans="3:29" x14ac:dyDescent="0.2"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 spans="3:29" x14ac:dyDescent="0.2"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 spans="3:29" x14ac:dyDescent="0.2"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 spans="3:29" x14ac:dyDescent="0.2"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 spans="3:29" x14ac:dyDescent="0.2"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 spans="3:29" x14ac:dyDescent="0.2"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 spans="3:29" x14ac:dyDescent="0.2"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 spans="3:29" x14ac:dyDescent="0.2"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 spans="3:29" x14ac:dyDescent="0.2"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 spans="3:29" x14ac:dyDescent="0.2"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 spans="3:29" x14ac:dyDescent="0.2"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 spans="3:29" x14ac:dyDescent="0.2"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 spans="3:29" x14ac:dyDescent="0.2"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 spans="3:29" x14ac:dyDescent="0.2"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 spans="3:29" x14ac:dyDescent="0.2"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 spans="3:29" x14ac:dyDescent="0.2"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 spans="3:29" x14ac:dyDescent="0.2"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 spans="3:29" x14ac:dyDescent="0.2"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 spans="3:29" x14ac:dyDescent="0.2"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 spans="3:29" x14ac:dyDescent="0.2"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 spans="3:29" x14ac:dyDescent="0.2"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 spans="3:29" x14ac:dyDescent="0.2"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 spans="3:29" x14ac:dyDescent="0.2"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 spans="3:29" x14ac:dyDescent="0.2"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 spans="3:29" x14ac:dyDescent="0.2"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 spans="3:29" x14ac:dyDescent="0.2"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 spans="3:29" x14ac:dyDescent="0.2"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 spans="3:29" x14ac:dyDescent="0.2"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 spans="3:29" x14ac:dyDescent="0.2"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 spans="3:29" x14ac:dyDescent="0.2"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 spans="3:29" x14ac:dyDescent="0.2"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 spans="3:29" x14ac:dyDescent="0.2"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 spans="3:29" x14ac:dyDescent="0.2"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 spans="3:29" x14ac:dyDescent="0.2"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 spans="3:29" x14ac:dyDescent="0.2"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 spans="3:29" x14ac:dyDescent="0.2"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 spans="3:29" x14ac:dyDescent="0.2"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 spans="3:29" x14ac:dyDescent="0.2"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 spans="3:29" x14ac:dyDescent="0.2"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 spans="3:29" x14ac:dyDescent="0.2"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 spans="3:29" x14ac:dyDescent="0.2"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 spans="3:29" x14ac:dyDescent="0.2"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 spans="3:29" x14ac:dyDescent="0.2"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 spans="3:29" x14ac:dyDescent="0.2"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 spans="3:29" x14ac:dyDescent="0.2"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 spans="3:29" x14ac:dyDescent="0.2"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 spans="3:29" x14ac:dyDescent="0.2"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 spans="3:29" x14ac:dyDescent="0.2"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 spans="3:29" x14ac:dyDescent="0.2"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 spans="3:29" x14ac:dyDescent="0.2"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 spans="3:29" x14ac:dyDescent="0.2"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 spans="3:29" x14ac:dyDescent="0.2"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 spans="3:29" x14ac:dyDescent="0.2"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 spans="3:29" x14ac:dyDescent="0.2"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 spans="3:29" x14ac:dyDescent="0.2"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 spans="3:29" x14ac:dyDescent="0.2"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 spans="3:29" x14ac:dyDescent="0.2"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 spans="3:29" x14ac:dyDescent="0.2"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 spans="3:29" x14ac:dyDescent="0.2"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 spans="3:29" x14ac:dyDescent="0.2"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 spans="3:29" x14ac:dyDescent="0.2"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 spans="3:29" x14ac:dyDescent="0.2"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 spans="3:29" x14ac:dyDescent="0.2"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 spans="3:29" x14ac:dyDescent="0.2"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 spans="3:29" x14ac:dyDescent="0.2"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 spans="3:29" x14ac:dyDescent="0.2"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 spans="3:29" x14ac:dyDescent="0.2"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 spans="3:29" x14ac:dyDescent="0.2"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 spans="3:29" x14ac:dyDescent="0.2"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 spans="3:29" x14ac:dyDescent="0.2"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 spans="3:29" x14ac:dyDescent="0.2"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 spans="3:29" x14ac:dyDescent="0.2"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 spans="3:29" x14ac:dyDescent="0.2"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 spans="3:29" x14ac:dyDescent="0.2"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 spans="3:29" x14ac:dyDescent="0.2"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 spans="3:29" x14ac:dyDescent="0.2"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 spans="3:29" x14ac:dyDescent="0.2"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 spans="3:29" x14ac:dyDescent="0.2"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 spans="3:29" x14ac:dyDescent="0.2"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 spans="3:29" x14ac:dyDescent="0.2"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 spans="3:29" x14ac:dyDescent="0.2"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 spans="3:29" x14ac:dyDescent="0.2"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 spans="3:29" x14ac:dyDescent="0.2"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 spans="3:29" x14ac:dyDescent="0.2"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 spans="3:29" x14ac:dyDescent="0.2"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 spans="3:29" x14ac:dyDescent="0.2"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 spans="3:29" x14ac:dyDescent="0.2"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 spans="3:29" x14ac:dyDescent="0.2"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 spans="3:29" x14ac:dyDescent="0.2"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 spans="3:29" x14ac:dyDescent="0.2"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 spans="3:29" x14ac:dyDescent="0.2"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 spans="3:29" x14ac:dyDescent="0.2"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 spans="3:29" x14ac:dyDescent="0.2"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 spans="3:29" x14ac:dyDescent="0.2"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 spans="3:29" x14ac:dyDescent="0.2"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 spans="3:29" x14ac:dyDescent="0.2"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 spans="3:29" x14ac:dyDescent="0.2"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 spans="3:29" x14ac:dyDescent="0.2"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 spans="3:29" x14ac:dyDescent="0.2"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 spans="3:29" x14ac:dyDescent="0.2"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 spans="3:29" x14ac:dyDescent="0.2"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 spans="3:29" x14ac:dyDescent="0.2"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 spans="3:29" x14ac:dyDescent="0.2"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 spans="3:29" x14ac:dyDescent="0.2"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 spans="3:29" x14ac:dyDescent="0.2"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 spans="3:29" x14ac:dyDescent="0.2"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 spans="3:29" x14ac:dyDescent="0.2"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 spans="3:29" x14ac:dyDescent="0.2"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 spans="3:29" x14ac:dyDescent="0.2"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 spans="3:29" x14ac:dyDescent="0.2"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 spans="3:29" x14ac:dyDescent="0.2"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 spans="3:29" x14ac:dyDescent="0.2"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 spans="3:29" x14ac:dyDescent="0.2"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 spans="3:29" x14ac:dyDescent="0.2"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 spans="3:29" x14ac:dyDescent="0.2"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 spans="3:29" x14ac:dyDescent="0.2"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 spans="3:29" x14ac:dyDescent="0.2"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 spans="3:29" x14ac:dyDescent="0.2"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 spans="3:29" x14ac:dyDescent="0.2"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 spans="3:29" x14ac:dyDescent="0.2"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 spans="3:29" x14ac:dyDescent="0.2"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 spans="3:29" x14ac:dyDescent="0.2"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 spans="3:29" x14ac:dyDescent="0.2"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 spans="3:29" x14ac:dyDescent="0.2"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 spans="3:29" x14ac:dyDescent="0.2"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 spans="3:29" x14ac:dyDescent="0.2"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 spans="3:29" x14ac:dyDescent="0.2"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 spans="3:29" x14ac:dyDescent="0.2"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 spans="3:29" x14ac:dyDescent="0.2"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 spans="3:29" x14ac:dyDescent="0.2"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 spans="3:29" x14ac:dyDescent="0.2"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 spans="3:29" x14ac:dyDescent="0.2"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 spans="3:29" x14ac:dyDescent="0.2"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 spans="3:29" x14ac:dyDescent="0.2"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 spans="3:29" x14ac:dyDescent="0.2"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 spans="3:29" x14ac:dyDescent="0.2"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 spans="3:29" x14ac:dyDescent="0.2"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 spans="3:29" x14ac:dyDescent="0.2"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 spans="3:29" x14ac:dyDescent="0.2"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 spans="3:29" x14ac:dyDescent="0.2"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 spans="3:29" x14ac:dyDescent="0.2"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 spans="3:29" x14ac:dyDescent="0.2"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 spans="3:29" x14ac:dyDescent="0.2"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 spans="3:29" x14ac:dyDescent="0.2"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 spans="3:29" x14ac:dyDescent="0.2"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 spans="3:29" x14ac:dyDescent="0.2"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 spans="3:29" x14ac:dyDescent="0.2"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 spans="3:29" x14ac:dyDescent="0.2"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 spans="3:29" x14ac:dyDescent="0.2"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 spans="3:29" x14ac:dyDescent="0.2"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 spans="3:29" x14ac:dyDescent="0.2"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 spans="3:29" x14ac:dyDescent="0.2"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 spans="3:29" x14ac:dyDescent="0.2"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 spans="3:29" x14ac:dyDescent="0.2"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 spans="3:29" x14ac:dyDescent="0.2"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 spans="3:29" x14ac:dyDescent="0.2"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 spans="3:29" x14ac:dyDescent="0.2"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 spans="3:29" x14ac:dyDescent="0.2"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 spans="3:29" x14ac:dyDescent="0.2"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 spans="3:29" x14ac:dyDescent="0.2"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 spans="3:29" x14ac:dyDescent="0.2"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 spans="3:29" x14ac:dyDescent="0.2"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 spans="3:29" x14ac:dyDescent="0.2"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 spans="3:29" x14ac:dyDescent="0.2"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 spans="3:29" x14ac:dyDescent="0.2"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 spans="3:29" x14ac:dyDescent="0.2"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 spans="3:29" x14ac:dyDescent="0.2"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 spans="3:29" x14ac:dyDescent="0.2"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 spans="3:29" x14ac:dyDescent="0.2"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 spans="3:29" x14ac:dyDescent="0.2"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 spans="3:29" x14ac:dyDescent="0.2"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 spans="3:29" x14ac:dyDescent="0.2"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 spans="3:29" x14ac:dyDescent="0.2"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 spans="3:29" x14ac:dyDescent="0.2"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 spans="3:29" x14ac:dyDescent="0.2"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 spans="3:29" x14ac:dyDescent="0.2"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 spans="3:29" x14ac:dyDescent="0.2"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 spans="3:29" x14ac:dyDescent="0.2"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 spans="3:29" x14ac:dyDescent="0.2"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 spans="3:29" x14ac:dyDescent="0.2"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 spans="3:29" x14ac:dyDescent="0.2"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 spans="3:29" x14ac:dyDescent="0.2"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 spans="3:29" x14ac:dyDescent="0.2"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 spans="3:29" x14ac:dyDescent="0.2"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 spans="3:29" x14ac:dyDescent="0.2"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 spans="3:29" x14ac:dyDescent="0.2"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 spans="3:29" x14ac:dyDescent="0.2"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 spans="3:29" x14ac:dyDescent="0.2"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 spans="3:29" x14ac:dyDescent="0.2"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 spans="3:29" x14ac:dyDescent="0.2"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 spans="3:29" x14ac:dyDescent="0.2"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 spans="3:29" x14ac:dyDescent="0.2"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 spans="3:29" x14ac:dyDescent="0.2"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 spans="3:29" x14ac:dyDescent="0.2"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 spans="3:29" x14ac:dyDescent="0.2"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 spans="3:29" x14ac:dyDescent="0.2"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 spans="3:29" x14ac:dyDescent="0.2"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 spans="3:29" x14ac:dyDescent="0.2"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 spans="3:29" x14ac:dyDescent="0.2"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 spans="3:29" x14ac:dyDescent="0.2"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 spans="3:29" x14ac:dyDescent="0.2"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 spans="3:29" x14ac:dyDescent="0.2"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 spans="3:29" x14ac:dyDescent="0.2"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 spans="3:29" x14ac:dyDescent="0.2"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 spans="3:29" x14ac:dyDescent="0.2"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 spans="3:29" x14ac:dyDescent="0.2"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 spans="3:29" x14ac:dyDescent="0.2"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 spans="3:29" x14ac:dyDescent="0.2"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 spans="3:29" x14ac:dyDescent="0.2"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 spans="3:29" x14ac:dyDescent="0.2"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 spans="3:29" x14ac:dyDescent="0.2"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 spans="3:29" x14ac:dyDescent="0.2"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 spans="3:29" x14ac:dyDescent="0.2"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 spans="3:29" x14ac:dyDescent="0.2"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 spans="3:29" x14ac:dyDescent="0.2"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 spans="3:29" x14ac:dyDescent="0.2"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 spans="3:29" x14ac:dyDescent="0.2"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 spans="3:29" x14ac:dyDescent="0.2"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 spans="3:29" x14ac:dyDescent="0.2"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 spans="3:29" x14ac:dyDescent="0.2"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 spans="3:29" x14ac:dyDescent="0.2"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 spans="3:29" x14ac:dyDescent="0.2"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 spans="3:29" x14ac:dyDescent="0.2"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 spans="3:29" x14ac:dyDescent="0.2"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 spans="3:29" x14ac:dyDescent="0.2"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 spans="3:29" x14ac:dyDescent="0.2"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 spans="3:29" x14ac:dyDescent="0.2"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 spans="3:29" x14ac:dyDescent="0.2"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 spans="3:29" x14ac:dyDescent="0.2"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 spans="3:29" x14ac:dyDescent="0.2"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 spans="3:29" x14ac:dyDescent="0.2"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 spans="3:29" x14ac:dyDescent="0.2"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 spans="3:29" x14ac:dyDescent="0.2"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 spans="3:29" x14ac:dyDescent="0.2"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 spans="3:29" x14ac:dyDescent="0.2"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 spans="3:29" x14ac:dyDescent="0.2"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 spans="3:29" x14ac:dyDescent="0.2"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 spans="3:29" x14ac:dyDescent="0.2"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</sheetData>
  <hyperlinks>
    <hyperlink ref="A1" location="Main!A1" display="Main" xr:uid="{D1935F74-D975-4172-A75F-C9C0F9A431A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Settje</dc:creator>
  <cp:lastModifiedBy>Oscar Settje</cp:lastModifiedBy>
  <dcterms:created xsi:type="dcterms:W3CDTF">2025-05-15T12:52:20Z</dcterms:created>
  <dcterms:modified xsi:type="dcterms:W3CDTF">2026-05-17T11:03:41Z</dcterms:modified>
</cp:coreProperties>
</file>