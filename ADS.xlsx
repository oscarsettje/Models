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7E39D398-DE01-4C49-8D99-9A4DBB640ACF}" xr6:coauthVersionLast="47" xr6:coauthVersionMax="47" xr10:uidLastSave="{00000000-0000-0000-0000-000000000000}"/>
  <bookViews>
    <workbookView xWindow="19095" yWindow="0" windowWidth="19410" windowHeight="20985" activeTab="1" xr2:uid="{5CA27069-BA8E-4704-98A3-1B68BB8C6A2D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2" l="1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6" i="2"/>
  <c r="P34" i="2"/>
  <c r="P32" i="2"/>
  <c r="P30" i="2"/>
  <c r="P28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P25" i="2"/>
  <c r="P23" i="2"/>
  <c r="P18" i="2"/>
  <c r="I6" i="1"/>
  <c r="O5" i="2"/>
  <c r="O52" i="2"/>
  <c r="O50" i="2"/>
  <c r="O49" i="2"/>
  <c r="O48" i="2"/>
  <c r="O47" i="2"/>
  <c r="O46" i="2"/>
  <c r="O45" i="2"/>
  <c r="O44" i="2"/>
  <c r="O43" i="2"/>
  <c r="O42" i="2"/>
  <c r="O41" i="2"/>
  <c r="O40" i="2"/>
  <c r="O39" i="2"/>
  <c r="O28" i="2"/>
  <c r="O30" i="2" s="1"/>
  <c r="O32" i="2" s="1"/>
  <c r="O34" i="2" s="1"/>
  <c r="O23" i="2"/>
  <c r="O18" i="2"/>
  <c r="N37" i="2"/>
  <c r="N33" i="2"/>
  <c r="N31" i="2"/>
  <c r="N29" i="2"/>
  <c r="N27" i="2"/>
  <c r="N26" i="2"/>
  <c r="N24" i="2"/>
  <c r="N22" i="2"/>
  <c r="N21" i="2"/>
  <c r="N20" i="2"/>
  <c r="N19" i="2"/>
  <c r="N17" i="2"/>
  <c r="N16" i="2"/>
  <c r="N18" i="2" s="1"/>
  <c r="N28" i="2" s="1"/>
  <c r="N30" i="2" s="1"/>
  <c r="N32" i="2" s="1"/>
  <c r="N34" i="2" s="1"/>
  <c r="N15" i="2"/>
  <c r="N47" i="2" s="1"/>
  <c r="N14" i="2"/>
  <c r="N46" i="2" s="1"/>
  <c r="N13" i="2"/>
  <c r="N45" i="2" s="1"/>
  <c r="N9" i="2"/>
  <c r="N43" i="2" s="1"/>
  <c r="N8" i="2"/>
  <c r="N42" i="2" s="1"/>
  <c r="N7" i="2"/>
  <c r="N41" i="2" s="1"/>
  <c r="AA5" i="2"/>
  <c r="AA48" i="2"/>
  <c r="AA47" i="2"/>
  <c r="AA46" i="2"/>
  <c r="AA45" i="2"/>
  <c r="AA44" i="2"/>
  <c r="AA43" i="2"/>
  <c r="AA42" i="2"/>
  <c r="AA41" i="2"/>
  <c r="AA40" i="2"/>
  <c r="AA39" i="2"/>
  <c r="Z23" i="2"/>
  <c r="AA18" i="2"/>
  <c r="M18" i="2"/>
  <c r="M44" i="2"/>
  <c r="N5" i="2"/>
  <c r="M5" i="2"/>
  <c r="L5" i="2"/>
  <c r="K5" i="2"/>
  <c r="L18" i="2"/>
  <c r="L49" i="2"/>
  <c r="M48" i="2"/>
  <c r="L48" i="2"/>
  <c r="K48" i="2"/>
  <c r="M47" i="2"/>
  <c r="L47" i="2"/>
  <c r="K47" i="2"/>
  <c r="M46" i="2"/>
  <c r="L46" i="2"/>
  <c r="K46" i="2"/>
  <c r="M45" i="2"/>
  <c r="L45" i="2"/>
  <c r="K45" i="2"/>
  <c r="N44" i="2"/>
  <c r="L44" i="2"/>
  <c r="K44" i="2"/>
  <c r="M43" i="2"/>
  <c r="L43" i="2"/>
  <c r="K43" i="2"/>
  <c r="M42" i="2"/>
  <c r="L42" i="2"/>
  <c r="K42" i="2"/>
  <c r="M41" i="2"/>
  <c r="L41" i="2"/>
  <c r="K41" i="2"/>
  <c r="N40" i="2"/>
  <c r="M40" i="2"/>
  <c r="L40" i="2"/>
  <c r="K40" i="2"/>
  <c r="N39" i="2"/>
  <c r="M39" i="2"/>
  <c r="L39" i="2"/>
  <c r="K39" i="2"/>
  <c r="K18" i="2"/>
  <c r="Y47" i="2"/>
  <c r="X47" i="2"/>
  <c r="W47" i="2"/>
  <c r="V47" i="2"/>
  <c r="U47" i="2"/>
  <c r="Y46" i="2"/>
  <c r="X46" i="2"/>
  <c r="W46" i="2"/>
  <c r="V46" i="2"/>
  <c r="U46" i="2"/>
  <c r="Y45" i="2"/>
  <c r="X45" i="2"/>
  <c r="W45" i="2"/>
  <c r="V45" i="2"/>
  <c r="U45" i="2"/>
  <c r="Y44" i="2"/>
  <c r="X44" i="2"/>
  <c r="W44" i="2"/>
  <c r="V44" i="2"/>
  <c r="U44" i="2"/>
  <c r="Y43" i="2"/>
  <c r="X43" i="2"/>
  <c r="W43" i="2"/>
  <c r="V43" i="2"/>
  <c r="U43" i="2"/>
  <c r="Y42" i="2"/>
  <c r="X42" i="2"/>
  <c r="W42" i="2"/>
  <c r="V42" i="2"/>
  <c r="U42" i="2"/>
  <c r="Y41" i="2"/>
  <c r="X41" i="2"/>
  <c r="W41" i="2"/>
  <c r="V41" i="2"/>
  <c r="U41" i="2"/>
  <c r="Z47" i="2"/>
  <c r="Z46" i="2"/>
  <c r="Z45" i="2"/>
  <c r="Z44" i="2"/>
  <c r="Z43" i="2"/>
  <c r="Z42" i="2"/>
  <c r="Z41" i="2"/>
  <c r="Y40" i="2"/>
  <c r="X40" i="2"/>
  <c r="W40" i="2"/>
  <c r="V40" i="2"/>
  <c r="U40" i="2"/>
  <c r="Z40" i="2"/>
  <c r="Y39" i="2"/>
  <c r="X39" i="2"/>
  <c r="W39" i="2"/>
  <c r="V39" i="2"/>
  <c r="U39" i="2"/>
  <c r="Z39" i="2"/>
  <c r="I47" i="2"/>
  <c r="H47" i="2"/>
  <c r="G47" i="2"/>
  <c r="I46" i="2"/>
  <c r="H46" i="2"/>
  <c r="G46" i="2"/>
  <c r="I45" i="2"/>
  <c r="H45" i="2"/>
  <c r="G45" i="2"/>
  <c r="I44" i="2"/>
  <c r="H44" i="2"/>
  <c r="G44" i="2"/>
  <c r="I43" i="2"/>
  <c r="H43" i="2"/>
  <c r="G43" i="2"/>
  <c r="I42" i="2"/>
  <c r="H42" i="2"/>
  <c r="G42" i="2"/>
  <c r="I41" i="2"/>
  <c r="H41" i="2"/>
  <c r="G41" i="2"/>
  <c r="J47" i="2"/>
  <c r="J46" i="2"/>
  <c r="J45" i="2"/>
  <c r="J44" i="2"/>
  <c r="J43" i="2"/>
  <c r="J42" i="2"/>
  <c r="J41" i="2"/>
  <c r="I40" i="2"/>
  <c r="H40" i="2"/>
  <c r="G40" i="2"/>
  <c r="I39" i="2"/>
  <c r="H39" i="2"/>
  <c r="G39" i="2"/>
  <c r="J40" i="2"/>
  <c r="J39" i="2"/>
  <c r="Z5" i="2"/>
  <c r="Y5" i="2"/>
  <c r="X5" i="2"/>
  <c r="W5" i="2"/>
  <c r="V5" i="2"/>
  <c r="U5" i="2"/>
  <c r="T5" i="2"/>
  <c r="C5" i="2"/>
  <c r="D5" i="2"/>
  <c r="E5" i="2"/>
  <c r="F5" i="2"/>
  <c r="G5" i="2"/>
  <c r="H5" i="2"/>
  <c r="I5" i="2"/>
  <c r="J5" i="2"/>
  <c r="Z48" i="2"/>
  <c r="Z24" i="2"/>
  <c r="Z22" i="2"/>
  <c r="Z21" i="2"/>
  <c r="Z18" i="2"/>
  <c r="Z49" i="2" s="1"/>
  <c r="J48" i="2"/>
  <c r="I48" i="2"/>
  <c r="H48" i="2"/>
  <c r="G48" i="2"/>
  <c r="T24" i="2"/>
  <c r="U24" i="2"/>
  <c r="V24" i="2"/>
  <c r="W24" i="2"/>
  <c r="J18" i="2"/>
  <c r="J28" i="2" s="1"/>
  <c r="J30" i="2" s="1"/>
  <c r="J32" i="2" s="1"/>
  <c r="J34" i="2" s="1"/>
  <c r="J36" i="2" s="1"/>
  <c r="I18" i="2"/>
  <c r="I28" i="2" s="1"/>
  <c r="I30" i="2" s="1"/>
  <c r="I32" i="2" s="1"/>
  <c r="I34" i="2" s="1"/>
  <c r="I37" i="2" s="1"/>
  <c r="H18" i="2"/>
  <c r="H28" i="2" s="1"/>
  <c r="H30" i="2" s="1"/>
  <c r="H32" i="2" s="1"/>
  <c r="H34" i="2" s="1"/>
  <c r="H51" i="2" s="1"/>
  <c r="G18" i="2"/>
  <c r="G28" i="2" s="1"/>
  <c r="G30" i="2" s="1"/>
  <c r="G32" i="2" s="1"/>
  <c r="G34" i="2" s="1"/>
  <c r="G37" i="2" s="1"/>
  <c r="F18" i="2"/>
  <c r="F28" i="2" s="1"/>
  <c r="F30" i="2" s="1"/>
  <c r="F32" i="2" s="1"/>
  <c r="F34" i="2" s="1"/>
  <c r="F37" i="2" s="1"/>
  <c r="E18" i="2"/>
  <c r="E28" i="2" s="1"/>
  <c r="E30" i="2" s="1"/>
  <c r="E32" i="2" s="1"/>
  <c r="E34" i="2" s="1"/>
  <c r="E51" i="2" s="1"/>
  <c r="D18" i="2"/>
  <c r="D28" i="2" s="1"/>
  <c r="D30" i="2" s="1"/>
  <c r="D32" i="2" s="1"/>
  <c r="D34" i="2" s="1"/>
  <c r="D51" i="2" s="1"/>
  <c r="C18" i="2"/>
  <c r="C28" i="2" s="1"/>
  <c r="C30" i="2" s="1"/>
  <c r="C32" i="2" s="1"/>
  <c r="C34" i="2" s="1"/>
  <c r="C37" i="2" s="1"/>
  <c r="X48" i="2"/>
  <c r="W48" i="2"/>
  <c r="V48" i="2"/>
  <c r="U48" i="2"/>
  <c r="Y48" i="2"/>
  <c r="X24" i="2"/>
  <c r="Y24" i="2"/>
  <c r="X18" i="2"/>
  <c r="W18" i="2"/>
  <c r="V18" i="2"/>
  <c r="V49" i="2" s="1"/>
  <c r="U18" i="2"/>
  <c r="U49" i="2" s="1"/>
  <c r="T18" i="2"/>
  <c r="T49" i="2" s="1"/>
  <c r="Y18" i="2"/>
  <c r="Y49" i="2" s="1"/>
  <c r="I4" i="1"/>
  <c r="O36" i="2" l="1"/>
  <c r="O51" i="2"/>
  <c r="M49" i="2"/>
  <c r="N36" i="2"/>
  <c r="N51" i="2"/>
  <c r="AA25" i="2"/>
  <c r="AA49" i="2"/>
  <c r="N52" i="2"/>
  <c r="N48" i="2"/>
  <c r="N49" i="2"/>
  <c r="N50" i="2"/>
  <c r="L28" i="2"/>
  <c r="L50" i="2"/>
  <c r="K50" i="2"/>
  <c r="K28" i="2"/>
  <c r="M28" i="2"/>
  <c r="M50" i="2"/>
  <c r="K49" i="2"/>
  <c r="I7" i="1"/>
  <c r="X25" i="2"/>
  <c r="X28" i="2" s="1"/>
  <c r="Z28" i="2"/>
  <c r="Z25" i="2"/>
  <c r="Z50" i="2" s="1"/>
  <c r="C52" i="2"/>
  <c r="C49" i="2"/>
  <c r="C50" i="2"/>
  <c r="D37" i="2"/>
  <c r="G51" i="2"/>
  <c r="F52" i="2"/>
  <c r="I49" i="2"/>
  <c r="F51" i="2"/>
  <c r="E52" i="2"/>
  <c r="G52" i="2"/>
  <c r="J49" i="2"/>
  <c r="I50" i="2"/>
  <c r="J50" i="2"/>
  <c r="I51" i="2"/>
  <c r="W25" i="2"/>
  <c r="W50" i="2" s="1"/>
  <c r="J51" i="2"/>
  <c r="I52" i="2"/>
  <c r="Y25" i="2"/>
  <c r="Y50" i="2" s="1"/>
  <c r="J52" i="2"/>
  <c r="V25" i="2"/>
  <c r="V28" i="2" s="1"/>
  <c r="V52" i="2" s="1"/>
  <c r="E49" i="2"/>
  <c r="F49" i="2"/>
  <c r="G49" i="2"/>
  <c r="E50" i="2"/>
  <c r="E37" i="2"/>
  <c r="F50" i="2"/>
  <c r="G50" i="2"/>
  <c r="H37" i="2"/>
  <c r="C51" i="2"/>
  <c r="D52" i="2"/>
  <c r="D49" i="2"/>
  <c r="D50" i="2"/>
  <c r="H52" i="2"/>
  <c r="H49" i="2"/>
  <c r="H50" i="2"/>
  <c r="T25" i="2"/>
  <c r="T50" i="2" s="1"/>
  <c r="U25" i="2"/>
  <c r="U50" i="2" s="1"/>
  <c r="W49" i="2"/>
  <c r="X49" i="2"/>
  <c r="AA50" i="2" l="1"/>
  <c r="AA28" i="2"/>
  <c r="L30" i="2"/>
  <c r="L32" i="2" s="1"/>
  <c r="L34" i="2" s="1"/>
  <c r="L52" i="2"/>
  <c r="M30" i="2"/>
  <c r="M32" i="2" s="1"/>
  <c r="M34" i="2" s="1"/>
  <c r="M52" i="2"/>
  <c r="K30" i="2"/>
  <c r="K32" i="2" s="1"/>
  <c r="K34" i="2" s="1"/>
  <c r="K52" i="2"/>
  <c r="X50" i="2"/>
  <c r="Y28" i="2"/>
  <c r="Y30" i="2" s="1"/>
  <c r="Y32" i="2" s="1"/>
  <c r="Y34" i="2" s="1"/>
  <c r="Y36" i="2" s="1"/>
  <c r="Z52" i="2"/>
  <c r="Z30" i="2"/>
  <c r="Z32" i="2" s="1"/>
  <c r="Z34" i="2" s="1"/>
  <c r="W28" i="2"/>
  <c r="W52" i="2" s="1"/>
  <c r="V30" i="2"/>
  <c r="V32" i="2" s="1"/>
  <c r="V34" i="2" s="1"/>
  <c r="V50" i="2"/>
  <c r="T28" i="2"/>
  <c r="T52" i="2" s="1"/>
  <c r="U28" i="2"/>
  <c r="U30" i="2" s="1"/>
  <c r="U32" i="2" s="1"/>
  <c r="U34" i="2" s="1"/>
  <c r="W30" i="2"/>
  <c r="W32" i="2" s="1"/>
  <c r="W34" i="2" s="1"/>
  <c r="W51" i="2" s="1"/>
  <c r="X30" i="2"/>
  <c r="X32" i="2" s="1"/>
  <c r="X34" i="2" s="1"/>
  <c r="X52" i="2"/>
  <c r="AA52" i="2" l="1"/>
  <c r="AA30" i="2"/>
  <c r="AA32" i="2" s="1"/>
  <c r="AA34" i="2" s="1"/>
  <c r="L36" i="2"/>
  <c r="L51" i="2"/>
  <c r="V37" i="2"/>
  <c r="V51" i="2"/>
  <c r="K36" i="2"/>
  <c r="K51" i="2"/>
  <c r="M51" i="2"/>
  <c r="M36" i="2"/>
  <c r="Z51" i="2"/>
  <c r="Z36" i="2"/>
  <c r="Y52" i="2"/>
  <c r="T30" i="2"/>
  <c r="T32" i="2" s="1"/>
  <c r="T34" i="2" s="1"/>
  <c r="T51" i="2" s="1"/>
  <c r="X51" i="2"/>
  <c r="X37" i="2"/>
  <c r="Y51" i="2"/>
  <c r="U52" i="2"/>
  <c r="U51" i="2"/>
  <c r="U37" i="2"/>
  <c r="W37" i="2"/>
  <c r="AA51" i="2" l="1"/>
  <c r="AA36" i="2"/>
  <c r="T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tc={D5339D34-B55C-48EB-B7CE-B183008CCAE6}</author>
  </authors>
  <commentList>
    <comment ref="C11" authorId="0" shapeId="0" xr:uid="{D5339D34-B55C-48EB-B7CE-B183008CCA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Changed reporting </t>
      </text>
    </comment>
  </commentList>
</comments>
</file>

<file path=xl/sharedStrings.xml><?xml version="1.0" encoding="utf-8"?>
<sst xmlns="http://schemas.openxmlformats.org/spreadsheetml/2006/main" count="108" uniqueCount="85">
  <si>
    <t>Adidas</t>
  </si>
  <si>
    <t>Numbers in MM EUR</t>
  </si>
  <si>
    <t>Price</t>
  </si>
  <si>
    <t>MC</t>
  </si>
  <si>
    <t>Cash</t>
  </si>
  <si>
    <t>Debt</t>
  </si>
  <si>
    <t>EV</t>
  </si>
  <si>
    <t>Main</t>
  </si>
  <si>
    <t>Q123</t>
  </si>
  <si>
    <t>Q223</t>
  </si>
  <si>
    <t>Q323</t>
  </si>
  <si>
    <t>Q423</t>
  </si>
  <si>
    <t>Q124</t>
  </si>
  <si>
    <t>Q224</t>
  </si>
  <si>
    <t>Q324</t>
  </si>
  <si>
    <t>Q424</t>
  </si>
  <si>
    <t>FY18</t>
  </si>
  <si>
    <t>FY19</t>
  </si>
  <si>
    <t>FY20</t>
  </si>
  <si>
    <t>FY21</t>
  </si>
  <si>
    <t>FY22</t>
  </si>
  <si>
    <t>FY23</t>
  </si>
  <si>
    <t>FY24</t>
  </si>
  <si>
    <t>Revenue</t>
  </si>
  <si>
    <t>COGS</t>
  </si>
  <si>
    <t>Gross Profit</t>
  </si>
  <si>
    <t>License &amp; Provision Contracts</t>
  </si>
  <si>
    <t>Other</t>
  </si>
  <si>
    <t>Marketing Expenses</t>
  </si>
  <si>
    <t>Sales Expenses</t>
  </si>
  <si>
    <t>Operating Profit</t>
  </si>
  <si>
    <t>Other Income</t>
  </si>
  <si>
    <t>Interest Income</t>
  </si>
  <si>
    <t>Interest Expense</t>
  </si>
  <si>
    <t>Pretax Income</t>
  </si>
  <si>
    <t>Income Tax Expense</t>
  </si>
  <si>
    <t>Net Income</t>
  </si>
  <si>
    <t>Net Income from Continued Operations</t>
  </si>
  <si>
    <t>Income from Discontinued Operations</t>
  </si>
  <si>
    <t>Income Attrituble to Minorities</t>
  </si>
  <si>
    <t>Net Income to Equity</t>
  </si>
  <si>
    <t>Revenue Growth</t>
  </si>
  <si>
    <t>Gross Margin</t>
  </si>
  <si>
    <t>Operating Margin</t>
  </si>
  <si>
    <t>Tax Rate</t>
  </si>
  <si>
    <t>Net Margin</t>
  </si>
  <si>
    <t>Shares</t>
  </si>
  <si>
    <t>EPS</t>
  </si>
  <si>
    <t>IR</t>
  </si>
  <si>
    <t>Concept Stores</t>
  </si>
  <si>
    <t>Factory Outlets</t>
  </si>
  <si>
    <t>Total Stores</t>
  </si>
  <si>
    <t xml:space="preserve">CEO: </t>
  </si>
  <si>
    <t>Emplyoee Count: 62.035</t>
  </si>
  <si>
    <t>Bjorn Gulden</t>
  </si>
  <si>
    <t>Europe Revenue</t>
  </si>
  <si>
    <t>North America Revenue</t>
  </si>
  <si>
    <t>China Revenue</t>
  </si>
  <si>
    <t>Concept Store Growth</t>
  </si>
  <si>
    <t>Outlets Growth</t>
  </si>
  <si>
    <t>Europe Growth</t>
  </si>
  <si>
    <t>North America Growth</t>
  </si>
  <si>
    <t>China Growth</t>
  </si>
  <si>
    <t>Emerging Markets Growth</t>
  </si>
  <si>
    <t>Emerging Market Revenue</t>
  </si>
  <si>
    <t>Shoe Revenue</t>
  </si>
  <si>
    <t>Appereal Revenue</t>
  </si>
  <si>
    <t>Accessoires &amp; Equipment</t>
  </si>
  <si>
    <t>Shoe Growth</t>
  </si>
  <si>
    <t>Appereal Growth</t>
  </si>
  <si>
    <t>Accessoires Growth</t>
  </si>
  <si>
    <t>Q125</t>
  </si>
  <si>
    <t>Q225</t>
  </si>
  <si>
    <t>Q325</t>
  </si>
  <si>
    <t>Q425</t>
  </si>
  <si>
    <t>ADS.DE</t>
  </si>
  <si>
    <t>SG&amp;A</t>
  </si>
  <si>
    <t>FY25</t>
  </si>
  <si>
    <t>Latin America</t>
  </si>
  <si>
    <t>Japan / South Korea</t>
  </si>
  <si>
    <t>n.a.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</si>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</sst>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\(#,##0.0\)"/>
    <numFmt numFmtId="165" formatCode="#,##0;\(#,##0\)"/>
    <numFmt numFmtId="166" formatCode="#,##0.00;\(#,##0.00\)"/>
  </numFmts>
  <fonts count="1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23">
    <xf numFmtId="0" fontId="0" fillId="0" borderId="0" xfId="0"/>
    <xf numFmtId="0" fontId="9" fillId="0" borderId="0" xfId="0" applyFont="1"/>
    <xf numFmtId="0" fontId="6" fillId="0" borderId="0" xfId="0" applyFont="1"/>
    <xf numFmtId="0" fontId="10" fillId="0" borderId="0" xfId="0" applyFont="1"/>
    <xf numFmtId="164" fontId="6" fillId="0" borderId="0" xfId="0" applyNumberFormat="1" applyFont="1"/>
    <xf numFmtId="0" fontId="6" fillId="0" borderId="0" xfId="0" applyFont="1" applyAlignment="1">
      <alignment horizontal="right"/>
    </xf>
    <xf numFmtId="0" fontId="11" fillId="0" borderId="0" xfId="1" applyFont="1"/>
    <xf numFmtId="165" fontId="6" fillId="0" borderId="0" xfId="0" applyNumberFormat="1" applyFont="1"/>
    <xf numFmtId="165" fontId="9" fillId="0" borderId="0" xfId="0" applyNumberFormat="1" applyFont="1"/>
    <xf numFmtId="166" fontId="6" fillId="0" borderId="0" xfId="0" applyNumberFormat="1" applyFont="1"/>
    <xf numFmtId="9" fontId="6" fillId="0" borderId="0" xfId="2" applyFont="1"/>
    <xf numFmtId="164" fontId="9" fillId="0" borderId="0" xfId="0" applyNumberFormat="1" applyFont="1"/>
    <xf numFmtId="9" fontId="9" fillId="0" borderId="0" xfId="2" applyFont="1"/>
    <xf numFmtId="165" fontId="5" fillId="0" borderId="0" xfId="0" applyNumberFormat="1" applyFont="1"/>
    <xf numFmtId="0" fontId="5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165" fontId="4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/>
    <xf numFmtId="3" fontId="2" fillId="0" borderId="0" xfId="0" applyNumberFormat="1" applyFont="1"/>
    <xf numFmtId="0" fontId="1" fillId="0" borderId="0" xfId="0" applyFont="1" applyAlignment="1">
      <alignment horizontal="right"/>
    </xf>
    <xf numFmtId="165" fontId="1" fillId="0" borderId="0" xfId="0" applyNumberFormat="1" applyFont="1"/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scar Settje" id="{E127EF10-7E7D-4F52-83D9-C61A06BE341D}" userId="7ff36870b973954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" dT="2026-03-04T17:31:47.92" personId="{E127EF10-7E7D-4F52-83D9-C61A06BE341D}" id="{D5339D34-B55C-48EB-B7CE-B183008CCAE6}">
    <text xml:space="preserve">Changed reporting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didas-group.com/de/investore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FB125-5721-48E0-B2EE-531517EC3DD6}">
  <dimension ref="A1:BA29"/>
  <sheetViews>
    <sheetView zoomScale="200" zoomScaleNormal="200" workbookViewId="0">
      <selection activeCell="I3" sqref="I3"/>
    </sheetView>
  </sheetViews>
  <sheetFormatPr defaultRowHeight="15" x14ac:dyDescent="0.25"/>
  <cols>
    <col min="1" max="1" width="3.5703125" style="2" customWidth="1"/>
    <col min="2" max="5" width="9.140625" style="2"/>
    <col min="6" max="6" width="9.140625" style="3"/>
    <col min="7" max="53" width="9.140625" style="2"/>
  </cols>
  <sheetData>
    <row r="1" spans="1:24" x14ac:dyDescent="0.25">
      <c r="A1" s="1" t="s">
        <v>0</v>
      </c>
      <c r="B1" s="19"/>
      <c r="C1" s="19"/>
      <c r="D1" s="19"/>
      <c r="E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24" x14ac:dyDescent="0.25">
      <c r="A2" s="19" t="s">
        <v>1</v>
      </c>
      <c r="B2" s="19"/>
      <c r="C2" s="19"/>
      <c r="D2" s="19"/>
      <c r="E2" s="19"/>
      <c r="G2" s="19"/>
      <c r="H2" s="19" t="s">
        <v>2</v>
      </c>
      <c r="I2" s="19">
        <v>159.1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spans="1:24" x14ac:dyDescent="0.25">
      <c r="A3" s="19"/>
      <c r="B3" s="19"/>
      <c r="C3" s="19"/>
      <c r="D3" s="19"/>
      <c r="E3" s="19"/>
      <c r="G3" s="19"/>
      <c r="H3" s="19" t="s">
        <v>46</v>
      </c>
      <c r="I3" s="4">
        <v>176.27154200000001</v>
      </c>
      <c r="J3" s="21" t="s">
        <v>82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spans="1:24" x14ac:dyDescent="0.25">
      <c r="A4" s="19"/>
      <c r="B4" s="6" t="s">
        <v>48</v>
      </c>
      <c r="C4" s="19"/>
      <c r="D4" s="19"/>
      <c r="E4" s="19"/>
      <c r="G4" s="19"/>
      <c r="H4" s="19" t="s">
        <v>3</v>
      </c>
      <c r="I4" s="20">
        <f>I2*I3</f>
        <v>28044.802332200001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x14ac:dyDescent="0.25">
      <c r="A5" s="19"/>
      <c r="B5" s="19" t="s">
        <v>75</v>
      </c>
      <c r="C5" s="19"/>
      <c r="D5" s="19"/>
      <c r="E5" s="19"/>
      <c r="G5" s="19"/>
      <c r="H5" s="19" t="s">
        <v>4</v>
      </c>
      <c r="I5" s="20">
        <v>1159</v>
      </c>
      <c r="J5" s="21" t="s">
        <v>82</v>
      </c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spans="1:24" x14ac:dyDescent="0.25">
      <c r="A6" s="19"/>
      <c r="B6" s="19"/>
      <c r="C6" s="19"/>
      <c r="D6" s="19"/>
      <c r="E6" s="19"/>
      <c r="G6" s="19"/>
      <c r="H6" s="19" t="s">
        <v>5</v>
      </c>
      <c r="I6" s="20">
        <f>560+2489</f>
        <v>3049</v>
      </c>
      <c r="J6" s="21" t="s">
        <v>82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spans="1:24" x14ac:dyDescent="0.25">
      <c r="A7" s="19"/>
      <c r="B7" s="19"/>
      <c r="C7" s="19"/>
      <c r="D7" s="19"/>
      <c r="E7" s="19"/>
      <c r="G7" s="19"/>
      <c r="H7" s="19" t="s">
        <v>6</v>
      </c>
      <c r="I7" s="20">
        <f>I4-I5+I6</f>
        <v>29934.802332200001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spans="1:24" x14ac:dyDescent="0.25">
      <c r="A8" s="19"/>
      <c r="B8" s="19"/>
      <c r="C8" s="19"/>
      <c r="D8" s="19"/>
      <c r="E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x14ac:dyDescent="0.25">
      <c r="A9" s="19"/>
      <c r="B9" s="19"/>
      <c r="C9" s="19"/>
      <c r="D9" s="19"/>
      <c r="E9" s="19"/>
      <c r="G9" s="19"/>
      <c r="H9" s="19" t="s">
        <v>52</v>
      </c>
      <c r="I9" s="19" t="s">
        <v>54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 spans="1:24" x14ac:dyDescent="0.25">
      <c r="A10" s="19"/>
      <c r="B10" s="19"/>
      <c r="C10" s="19"/>
      <c r="D10" s="19"/>
      <c r="E10" s="19"/>
      <c r="G10" s="19"/>
      <c r="H10" s="19" t="s">
        <v>53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 spans="1:24" x14ac:dyDescent="0.25">
      <c r="A11" s="19"/>
      <c r="B11" s="19"/>
      <c r="C11" s="19"/>
      <c r="D11" s="19"/>
      <c r="E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x14ac:dyDescent="0.25">
      <c r="A12" s="19"/>
      <c r="B12" s="19"/>
      <c r="C12" s="19"/>
      <c r="D12" s="19"/>
      <c r="E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spans="1:24" x14ac:dyDescent="0.25">
      <c r="A13" s="19"/>
      <c r="B13" s="19"/>
      <c r="C13" s="19"/>
      <c r="D13" s="19"/>
      <c r="E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spans="1:24" x14ac:dyDescent="0.25">
      <c r="A14" s="19"/>
      <c r="B14" s="19"/>
      <c r="C14" s="19"/>
      <c r="D14" s="19"/>
      <c r="E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spans="1:24" x14ac:dyDescent="0.25">
      <c r="A15" s="19"/>
      <c r="B15" s="19"/>
      <c r="C15" s="19"/>
      <c r="D15" s="19"/>
      <c r="E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spans="1:24" x14ac:dyDescent="0.25">
      <c r="A16" s="19"/>
      <c r="B16" s="19"/>
      <c r="C16" s="19"/>
      <c r="D16" s="19"/>
      <c r="E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spans="1:24" x14ac:dyDescent="0.25">
      <c r="A17" s="19"/>
      <c r="B17" s="19"/>
      <c r="C17" s="19"/>
      <c r="D17" s="19"/>
      <c r="E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spans="1:24" x14ac:dyDescent="0.25">
      <c r="A18" s="19"/>
      <c r="B18" s="19"/>
      <c r="C18" s="19"/>
      <c r="D18" s="19"/>
      <c r="E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spans="1:24" x14ac:dyDescent="0.25">
      <c r="A19" s="19"/>
      <c r="B19" s="19"/>
      <c r="C19" s="19"/>
      <c r="D19" s="19"/>
      <c r="E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spans="1:24" x14ac:dyDescent="0.25">
      <c r="A20" s="19"/>
      <c r="B20" s="19"/>
      <c r="C20" s="19"/>
      <c r="D20" s="19"/>
      <c r="E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spans="1:24" x14ac:dyDescent="0.25">
      <c r="A21" s="19"/>
      <c r="B21" s="19"/>
      <c r="C21" s="19"/>
      <c r="D21" s="19"/>
      <c r="E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spans="1:24" x14ac:dyDescent="0.25">
      <c r="A22" s="19"/>
      <c r="B22" s="19"/>
      <c r="C22" s="19"/>
      <c r="D22" s="19"/>
      <c r="E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spans="1:24" x14ac:dyDescent="0.25">
      <c r="A23" s="19"/>
      <c r="B23" s="19"/>
      <c r="C23" s="19"/>
      <c r="D23" s="19"/>
      <c r="E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spans="1:24" x14ac:dyDescent="0.25">
      <c r="A24" s="19"/>
      <c r="B24" s="19"/>
      <c r="C24" s="19"/>
      <c r="D24" s="19"/>
      <c r="E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spans="1:24" x14ac:dyDescent="0.25">
      <c r="A25" s="19"/>
      <c r="B25" s="19"/>
      <c r="C25" s="19"/>
      <c r="D25" s="19"/>
      <c r="E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spans="1:24" x14ac:dyDescent="0.25">
      <c r="A26" s="14"/>
      <c r="B26" s="14"/>
      <c r="C26" s="14"/>
      <c r="D26" s="14"/>
      <c r="E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spans="1:24" x14ac:dyDescent="0.25">
      <c r="A27" s="14"/>
      <c r="B27" s="14"/>
      <c r="C27" s="14"/>
      <c r="D27" s="14"/>
      <c r="E27" s="14"/>
      <c r="G27" s="14"/>
      <c r="H27" s="14"/>
      <c r="I27" s="14"/>
      <c r="J27" s="14"/>
      <c r="K27" s="14"/>
      <c r="L27" s="14"/>
      <c r="M27" s="14"/>
      <c r="N27" s="14"/>
      <c r="O27" s="14"/>
      <c r="P27" s="14"/>
    </row>
    <row r="28" spans="1:24" x14ac:dyDescent="0.25">
      <c r="A28" s="14"/>
      <c r="B28" s="14"/>
      <c r="C28" s="14"/>
      <c r="D28" s="14"/>
      <c r="E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  <row r="29" spans="1:24" x14ac:dyDescent="0.25">
      <c r="A29" s="14"/>
      <c r="B29" s="14"/>
      <c r="C29" s="14"/>
      <c r="D29" s="14"/>
      <c r="E29" s="14"/>
      <c r="G29" s="14"/>
      <c r="H29" s="14"/>
      <c r="I29" s="14"/>
      <c r="J29" s="14"/>
      <c r="K29" s="14"/>
      <c r="L29" s="14"/>
      <c r="M29" s="14"/>
      <c r="N29" s="14"/>
      <c r="O29" s="14"/>
      <c r="P29" s="14"/>
    </row>
  </sheetData>
  <hyperlinks>
    <hyperlink ref="B4" r:id="rId1" xr:uid="{42EB71BD-2A6A-4C2A-A8AD-49D079DBEB1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AFDA6-8DF7-49F6-9902-DB49A0E15CEA}">
  <dimension ref="A1:AG269"/>
  <sheetViews>
    <sheetView tabSelected="1" zoomScale="200" zoomScaleNormal="200" workbookViewId="0">
      <pane xSplit="2" ySplit="2" topLeftCell="M24" activePane="bottomRight" state="frozen"/>
      <selection pane="topRight" activeCell="C1" sqref="C1"/>
      <selection pane="bottomLeft" activeCell="A3" sqref="A3"/>
      <selection pane="bottomRight" activeCell="P52" sqref="P52"/>
    </sheetView>
  </sheetViews>
  <sheetFormatPr defaultRowHeight="12.75" x14ac:dyDescent="0.2"/>
  <cols>
    <col min="1" max="1" width="4.7109375" style="2" bestFit="1" customWidth="1"/>
    <col min="2" max="2" width="35" style="2" bestFit="1" customWidth="1"/>
    <col min="3" max="16384" width="9.140625" style="2"/>
  </cols>
  <sheetData>
    <row r="1" spans="1:33" x14ac:dyDescent="0.2">
      <c r="A1" s="6" t="s">
        <v>7</v>
      </c>
    </row>
    <row r="2" spans="1:33" x14ac:dyDescent="0.2"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71</v>
      </c>
      <c r="L2" s="5" t="s">
        <v>72</v>
      </c>
      <c r="M2" s="5" t="s">
        <v>73</v>
      </c>
      <c r="N2" s="5" t="s">
        <v>74</v>
      </c>
      <c r="O2" s="18" t="s">
        <v>81</v>
      </c>
      <c r="P2" s="18" t="s">
        <v>82</v>
      </c>
      <c r="Q2" s="18" t="s">
        <v>83</v>
      </c>
      <c r="R2" s="18" t="s">
        <v>84</v>
      </c>
      <c r="S2" s="5"/>
      <c r="T2" s="5" t="s">
        <v>16</v>
      </c>
      <c r="U2" s="5" t="s">
        <v>17</v>
      </c>
      <c r="V2" s="5" t="s">
        <v>18</v>
      </c>
      <c r="W2" s="5" t="s">
        <v>19</v>
      </c>
      <c r="X2" s="5" t="s">
        <v>20</v>
      </c>
      <c r="Y2" s="5" t="s">
        <v>21</v>
      </c>
      <c r="Z2" s="5" t="s">
        <v>22</v>
      </c>
      <c r="AA2" s="15" t="s">
        <v>77</v>
      </c>
    </row>
    <row r="3" spans="1:33" x14ac:dyDescent="0.2">
      <c r="B3" s="2" t="s">
        <v>49</v>
      </c>
      <c r="C3" s="7">
        <v>809</v>
      </c>
      <c r="D3" s="7">
        <v>806</v>
      </c>
      <c r="E3" s="7">
        <v>795</v>
      </c>
      <c r="F3" s="7">
        <v>832</v>
      </c>
      <c r="G3" s="7">
        <v>821</v>
      </c>
      <c r="H3" s="7">
        <v>806</v>
      </c>
      <c r="I3" s="7">
        <v>823</v>
      </c>
      <c r="J3" s="7">
        <v>838</v>
      </c>
      <c r="K3" s="7">
        <v>836</v>
      </c>
      <c r="L3" s="7">
        <v>844</v>
      </c>
      <c r="M3" s="7">
        <v>866</v>
      </c>
      <c r="N3" s="7">
        <v>886</v>
      </c>
      <c r="O3" s="7">
        <v>876</v>
      </c>
      <c r="P3" s="7">
        <v>908</v>
      </c>
      <c r="Q3" s="7"/>
      <c r="R3" s="7"/>
      <c r="S3" s="7"/>
      <c r="T3" s="7"/>
      <c r="U3" s="7"/>
      <c r="V3" s="7"/>
      <c r="W3" s="7"/>
      <c r="X3" s="7"/>
      <c r="Y3" s="7">
        <v>832</v>
      </c>
      <c r="Z3" s="7">
        <v>838</v>
      </c>
      <c r="AA3" s="7">
        <v>886</v>
      </c>
      <c r="AB3" s="7"/>
      <c r="AC3" s="7"/>
      <c r="AD3" s="7"/>
      <c r="AE3" s="7"/>
    </row>
    <row r="4" spans="1:33" x14ac:dyDescent="0.2">
      <c r="B4" s="2" t="s">
        <v>50</v>
      </c>
      <c r="C4" s="7">
        <v>997</v>
      </c>
      <c r="D4" s="7">
        <v>1062</v>
      </c>
      <c r="E4" s="7">
        <v>1095</v>
      </c>
      <c r="F4" s="7">
        <v>1031</v>
      </c>
      <c r="G4" s="7">
        <v>1046</v>
      </c>
      <c r="H4" s="7">
        <v>1062</v>
      </c>
      <c r="I4" s="7">
        <v>1078</v>
      </c>
      <c r="J4" s="7">
        <v>1095</v>
      </c>
      <c r="K4" s="7">
        <v>1097</v>
      </c>
      <c r="L4" s="7">
        <v>1098</v>
      </c>
      <c r="M4" s="7">
        <v>1115</v>
      </c>
      <c r="N4" s="7">
        <v>1136</v>
      </c>
      <c r="O4" s="7">
        <v>1124</v>
      </c>
      <c r="P4" s="7">
        <v>1126</v>
      </c>
      <c r="Q4" s="7"/>
      <c r="R4" s="7"/>
      <c r="S4" s="7"/>
      <c r="T4" s="7"/>
      <c r="U4" s="7"/>
      <c r="V4" s="7"/>
      <c r="W4" s="7"/>
      <c r="X4" s="7"/>
      <c r="Y4" s="7">
        <v>1031</v>
      </c>
      <c r="Z4" s="7">
        <v>1095</v>
      </c>
      <c r="AA4" s="7">
        <v>1136</v>
      </c>
      <c r="AB4" s="7"/>
      <c r="AC4" s="7"/>
      <c r="AD4" s="7"/>
      <c r="AE4" s="7"/>
    </row>
    <row r="5" spans="1:33" x14ac:dyDescent="0.2">
      <c r="B5" s="1" t="s">
        <v>51</v>
      </c>
      <c r="C5" s="8">
        <f t="shared" ref="C5:J5" si="0">+C3+C4</f>
        <v>1806</v>
      </c>
      <c r="D5" s="8">
        <f t="shared" si="0"/>
        <v>1868</v>
      </c>
      <c r="E5" s="8">
        <f t="shared" si="0"/>
        <v>1890</v>
      </c>
      <c r="F5" s="8">
        <f t="shared" si="0"/>
        <v>1863</v>
      </c>
      <c r="G5" s="8">
        <f t="shared" si="0"/>
        <v>1867</v>
      </c>
      <c r="H5" s="8">
        <f t="shared" si="0"/>
        <v>1868</v>
      </c>
      <c r="I5" s="8">
        <f t="shared" si="0"/>
        <v>1901</v>
      </c>
      <c r="J5" s="8">
        <f t="shared" si="0"/>
        <v>1933</v>
      </c>
      <c r="K5" s="8">
        <f>+K3+K4</f>
        <v>1933</v>
      </c>
      <c r="L5" s="8">
        <f t="shared" ref="L5:P5" si="1">+L3+L4</f>
        <v>1942</v>
      </c>
      <c r="M5" s="8">
        <f t="shared" si="1"/>
        <v>1981</v>
      </c>
      <c r="N5" s="8">
        <f t="shared" si="1"/>
        <v>2022</v>
      </c>
      <c r="O5" s="8">
        <f t="shared" si="1"/>
        <v>2000</v>
      </c>
      <c r="P5" s="8">
        <f t="shared" si="1"/>
        <v>2034</v>
      </c>
      <c r="Q5" s="8"/>
      <c r="R5" s="8"/>
      <c r="S5" s="7"/>
      <c r="T5" s="8">
        <f t="shared" ref="T5:AA5" si="2">+T3+T4</f>
        <v>0</v>
      </c>
      <c r="U5" s="8">
        <f t="shared" si="2"/>
        <v>0</v>
      </c>
      <c r="V5" s="8">
        <f t="shared" si="2"/>
        <v>0</v>
      </c>
      <c r="W5" s="8">
        <f t="shared" si="2"/>
        <v>0</v>
      </c>
      <c r="X5" s="8">
        <f t="shared" si="2"/>
        <v>0</v>
      </c>
      <c r="Y5" s="8">
        <f t="shared" si="2"/>
        <v>1863</v>
      </c>
      <c r="Z5" s="8">
        <f t="shared" si="2"/>
        <v>1933</v>
      </c>
      <c r="AA5" s="8">
        <f t="shared" si="2"/>
        <v>2022</v>
      </c>
      <c r="AB5" s="7"/>
      <c r="AC5" s="7"/>
      <c r="AD5" s="7"/>
      <c r="AE5" s="7"/>
    </row>
    <row r="6" spans="1:33" x14ac:dyDescent="0.2"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">
      <c r="B7" s="2" t="s">
        <v>55</v>
      </c>
      <c r="C7" s="7">
        <v>1509</v>
      </c>
      <c r="D7" s="7">
        <v>1592</v>
      </c>
      <c r="E7" s="7">
        <v>1812</v>
      </c>
      <c r="F7" s="7">
        <v>1389</v>
      </c>
      <c r="G7" s="7">
        <v>1733</v>
      </c>
      <c r="H7" s="7">
        <v>1912</v>
      </c>
      <c r="I7" s="7">
        <v>2152</v>
      </c>
      <c r="J7" s="7">
        <v>1754</v>
      </c>
      <c r="K7" s="7">
        <v>1986</v>
      </c>
      <c r="L7" s="7">
        <v>1997</v>
      </c>
      <c r="M7" s="7">
        <v>2328</v>
      </c>
      <c r="N7" s="7">
        <f>+AA7-SUM(K7:M7)</f>
        <v>1825</v>
      </c>
      <c r="O7" s="7">
        <v>2090</v>
      </c>
      <c r="P7" s="7">
        <v>2108</v>
      </c>
      <c r="Q7" s="7"/>
      <c r="R7" s="7"/>
      <c r="S7" s="7"/>
      <c r="T7" s="7"/>
      <c r="U7" s="7"/>
      <c r="V7" s="7"/>
      <c r="W7" s="7"/>
      <c r="X7" s="7"/>
      <c r="Y7" s="7">
        <v>6302</v>
      </c>
      <c r="Z7" s="7">
        <v>7551</v>
      </c>
      <c r="AA7" s="7">
        <v>8136</v>
      </c>
      <c r="AB7" s="7"/>
      <c r="AC7" s="7"/>
      <c r="AD7" s="7"/>
      <c r="AE7" s="7"/>
      <c r="AF7" s="7"/>
      <c r="AG7" s="7"/>
    </row>
    <row r="8" spans="1:33" x14ac:dyDescent="0.2">
      <c r="B8" s="2" t="s">
        <v>56</v>
      </c>
      <c r="C8" s="7">
        <v>1177</v>
      </c>
      <c r="D8" s="7">
        <v>1399</v>
      </c>
      <c r="E8" s="7">
        <v>1484</v>
      </c>
      <c r="F8" s="7">
        <v>1159</v>
      </c>
      <c r="G8" s="7">
        <v>1122</v>
      </c>
      <c r="H8" s="7">
        <v>1302</v>
      </c>
      <c r="I8" s="7">
        <v>1362</v>
      </c>
      <c r="J8" s="7">
        <v>1342</v>
      </c>
      <c r="K8" s="7">
        <v>1184</v>
      </c>
      <c r="L8" s="7">
        <v>1339</v>
      </c>
      <c r="M8" s="7">
        <v>1298</v>
      </c>
      <c r="N8" s="7">
        <f t="shared" ref="N8:N33" si="3">+AA8-SUM(K8:M8)</f>
        <v>1266</v>
      </c>
      <c r="O8" s="7">
        <v>1200</v>
      </c>
      <c r="P8" s="7">
        <v>1522</v>
      </c>
      <c r="Q8" s="7"/>
      <c r="R8" s="7"/>
      <c r="S8" s="7"/>
      <c r="T8" s="7"/>
      <c r="U8" s="7"/>
      <c r="V8" s="7"/>
      <c r="W8" s="7"/>
      <c r="X8" s="7"/>
      <c r="Y8" s="7">
        <v>5219</v>
      </c>
      <c r="Z8" s="7">
        <v>5128</v>
      </c>
      <c r="AA8" s="7">
        <v>5087</v>
      </c>
      <c r="AB8" s="7"/>
      <c r="AC8" s="7"/>
      <c r="AD8" s="7"/>
      <c r="AE8" s="7"/>
      <c r="AF8" s="7"/>
      <c r="AG8" s="7"/>
    </row>
    <row r="9" spans="1:33" x14ac:dyDescent="0.2">
      <c r="B9" s="2" t="s">
        <v>57</v>
      </c>
      <c r="C9" s="7">
        <v>884</v>
      </c>
      <c r="D9" s="7">
        <v>766</v>
      </c>
      <c r="E9" s="7">
        <v>870</v>
      </c>
      <c r="F9" s="7">
        <v>670</v>
      </c>
      <c r="G9" s="7">
        <v>897</v>
      </c>
      <c r="H9" s="7">
        <v>822</v>
      </c>
      <c r="I9" s="7">
        <v>946</v>
      </c>
      <c r="J9" s="7">
        <v>794</v>
      </c>
      <c r="K9" s="7">
        <v>1029</v>
      </c>
      <c r="L9" s="7">
        <v>798</v>
      </c>
      <c r="M9" s="7">
        <v>947</v>
      </c>
      <c r="N9" s="7">
        <f t="shared" si="3"/>
        <v>849</v>
      </c>
      <c r="O9" s="7">
        <v>1135</v>
      </c>
      <c r="P9" s="7">
        <v>953</v>
      </c>
      <c r="Q9" s="7"/>
      <c r="R9" s="7"/>
      <c r="S9" s="7"/>
      <c r="T9" s="7"/>
      <c r="U9" s="7"/>
      <c r="V9" s="7"/>
      <c r="W9" s="7"/>
      <c r="X9" s="7"/>
      <c r="Y9" s="7">
        <v>3190</v>
      </c>
      <c r="Z9" s="7">
        <v>3459</v>
      </c>
      <c r="AA9" s="7">
        <v>3623</v>
      </c>
      <c r="AB9" s="7"/>
      <c r="AC9" s="7"/>
      <c r="AD9" s="7"/>
      <c r="AE9" s="7"/>
      <c r="AF9" s="7"/>
      <c r="AG9" s="7"/>
    </row>
    <row r="10" spans="1:33" x14ac:dyDescent="0.2">
      <c r="B10" s="2" t="s">
        <v>64</v>
      </c>
      <c r="C10" s="7">
        <v>672</v>
      </c>
      <c r="D10" s="7">
        <v>600</v>
      </c>
      <c r="E10" s="7">
        <v>834</v>
      </c>
      <c r="F10" s="7">
        <v>744</v>
      </c>
      <c r="G10" s="7">
        <v>712</v>
      </c>
      <c r="H10" s="7">
        <v>749</v>
      </c>
      <c r="I10" s="7">
        <v>910</v>
      </c>
      <c r="J10" s="7">
        <v>940</v>
      </c>
      <c r="K10" s="7">
        <v>870</v>
      </c>
      <c r="L10" s="7">
        <v>762</v>
      </c>
      <c r="M10" s="7">
        <v>935</v>
      </c>
      <c r="N10" s="7">
        <v>943</v>
      </c>
      <c r="O10" s="7">
        <v>869</v>
      </c>
      <c r="P10" s="7">
        <v>848</v>
      </c>
      <c r="Q10" s="7"/>
      <c r="R10" s="7"/>
      <c r="S10" s="7"/>
      <c r="T10" s="7"/>
      <c r="U10" s="7"/>
      <c r="V10" s="7"/>
      <c r="W10" s="7"/>
      <c r="X10" s="7"/>
      <c r="Y10" s="7">
        <v>2850</v>
      </c>
      <c r="Z10" s="7">
        <v>3310</v>
      </c>
      <c r="AA10" s="7">
        <v>3510</v>
      </c>
      <c r="AB10" s="7"/>
      <c r="AC10" s="7"/>
      <c r="AD10" s="7"/>
      <c r="AE10" s="7"/>
      <c r="AF10" s="7"/>
      <c r="AG10" s="7"/>
    </row>
    <row r="11" spans="1:33" x14ac:dyDescent="0.2">
      <c r="B11" s="16" t="s">
        <v>78</v>
      </c>
      <c r="C11" s="17" t="s">
        <v>80</v>
      </c>
      <c r="D11" s="17" t="s">
        <v>80</v>
      </c>
      <c r="E11" s="17" t="s">
        <v>80</v>
      </c>
      <c r="F11" s="17" t="s">
        <v>80</v>
      </c>
      <c r="G11" s="7">
        <v>615</v>
      </c>
      <c r="H11" s="7">
        <v>673</v>
      </c>
      <c r="I11" s="7">
        <v>677</v>
      </c>
      <c r="J11" s="7">
        <v>807</v>
      </c>
      <c r="K11" s="7">
        <v>698</v>
      </c>
      <c r="L11" s="7">
        <v>673</v>
      </c>
      <c r="M11" s="7">
        <v>720</v>
      </c>
      <c r="N11" s="7">
        <v>835</v>
      </c>
      <c r="O11" s="7">
        <v>831</v>
      </c>
      <c r="P11" s="7">
        <v>907</v>
      </c>
      <c r="Q11" s="7"/>
      <c r="R11" s="7"/>
      <c r="S11" s="7"/>
      <c r="T11" s="17" t="s">
        <v>80</v>
      </c>
      <c r="U11" s="17" t="s">
        <v>80</v>
      </c>
      <c r="V11" s="17" t="s">
        <v>80</v>
      </c>
      <c r="W11" s="17" t="s">
        <v>80</v>
      </c>
      <c r="X11" s="17" t="s">
        <v>80</v>
      </c>
      <c r="Y11" s="17" t="s">
        <v>80</v>
      </c>
      <c r="Z11" s="7">
        <v>2772</v>
      </c>
      <c r="AA11" s="7">
        <v>2926</v>
      </c>
      <c r="AB11" s="7"/>
      <c r="AC11" s="7"/>
      <c r="AD11" s="7"/>
      <c r="AE11" s="7"/>
      <c r="AF11" s="7"/>
      <c r="AG11" s="7"/>
    </row>
    <row r="12" spans="1:33" x14ac:dyDescent="0.2">
      <c r="B12" s="16" t="s">
        <v>79</v>
      </c>
      <c r="C12" s="17" t="s">
        <v>80</v>
      </c>
      <c r="D12" s="17" t="s">
        <v>80</v>
      </c>
      <c r="E12" s="17" t="s">
        <v>80</v>
      </c>
      <c r="F12" s="17" t="s">
        <v>80</v>
      </c>
      <c r="G12" s="7">
        <v>339</v>
      </c>
      <c r="H12" s="7">
        <v>321</v>
      </c>
      <c r="I12" s="7">
        <v>361</v>
      </c>
      <c r="J12" s="7">
        <v>318</v>
      </c>
      <c r="K12" s="7">
        <v>374</v>
      </c>
      <c r="L12" s="7">
        <v>355</v>
      </c>
      <c r="M12" s="7">
        <v>358</v>
      </c>
      <c r="N12" s="7">
        <v>319</v>
      </c>
      <c r="O12" s="7">
        <v>405</v>
      </c>
      <c r="P12" s="7">
        <v>376</v>
      </c>
      <c r="Q12" s="7"/>
      <c r="R12" s="7"/>
      <c r="S12" s="7"/>
      <c r="T12" s="17" t="s">
        <v>80</v>
      </c>
      <c r="U12" s="17" t="s">
        <v>80</v>
      </c>
      <c r="V12" s="17" t="s">
        <v>80</v>
      </c>
      <c r="W12" s="17" t="s">
        <v>80</v>
      </c>
      <c r="X12" s="17" t="s">
        <v>80</v>
      </c>
      <c r="Y12" s="17" t="s">
        <v>80</v>
      </c>
      <c r="Z12" s="7">
        <v>1339</v>
      </c>
      <c r="AA12" s="7">
        <v>1406</v>
      </c>
      <c r="AB12" s="7"/>
      <c r="AC12" s="7"/>
      <c r="AD12" s="7"/>
      <c r="AE12" s="7"/>
      <c r="AF12" s="7"/>
      <c r="AG12" s="7"/>
    </row>
    <row r="13" spans="1:33" x14ac:dyDescent="0.2">
      <c r="B13" s="2" t="s">
        <v>65</v>
      </c>
      <c r="C13" s="7">
        <v>3023</v>
      </c>
      <c r="D13" s="7">
        <v>3102</v>
      </c>
      <c r="E13" s="7">
        <v>3421</v>
      </c>
      <c r="F13" s="7">
        <v>2538</v>
      </c>
      <c r="G13" s="7">
        <v>3239</v>
      </c>
      <c r="H13" s="7">
        <v>3573</v>
      </c>
      <c r="I13" s="7">
        <v>3773</v>
      </c>
      <c r="J13" s="7">
        <v>3390</v>
      </c>
      <c r="K13" s="7">
        <v>3760</v>
      </c>
      <c r="L13" s="7">
        <v>2476</v>
      </c>
      <c r="M13" s="7">
        <v>3750</v>
      </c>
      <c r="N13" s="7">
        <f t="shared" si="3"/>
        <v>4246</v>
      </c>
      <c r="O13" s="7">
        <v>3699</v>
      </c>
      <c r="P13" s="7">
        <v>3492</v>
      </c>
      <c r="Q13" s="7"/>
      <c r="R13" s="7"/>
      <c r="S13" s="7"/>
      <c r="T13" s="7"/>
      <c r="U13" s="7"/>
      <c r="V13" s="7"/>
      <c r="W13" s="7"/>
      <c r="X13" s="7"/>
      <c r="Y13" s="7">
        <v>12083</v>
      </c>
      <c r="Z13" s="7">
        <v>13975</v>
      </c>
      <c r="AA13" s="7">
        <v>14232</v>
      </c>
      <c r="AB13" s="7"/>
      <c r="AC13" s="7"/>
      <c r="AD13" s="7"/>
      <c r="AE13" s="7"/>
      <c r="AF13" s="7"/>
      <c r="AG13" s="7"/>
    </row>
    <row r="14" spans="1:33" x14ac:dyDescent="0.2">
      <c r="B14" s="2" t="s">
        <v>66</v>
      </c>
      <c r="C14" s="7">
        <v>1911</v>
      </c>
      <c r="D14" s="7">
        <v>1836</v>
      </c>
      <c r="E14" s="7">
        <v>2188</v>
      </c>
      <c r="F14" s="7">
        <v>1992</v>
      </c>
      <c r="G14" s="7">
        <v>1885</v>
      </c>
      <c r="H14" s="7">
        <v>1892</v>
      </c>
      <c r="I14" s="7">
        <v>2245</v>
      </c>
      <c r="J14" s="7">
        <v>2194</v>
      </c>
      <c r="K14" s="7">
        <v>1968</v>
      </c>
      <c r="L14" s="7">
        <v>2029</v>
      </c>
      <c r="M14" s="7">
        <v>2383</v>
      </c>
      <c r="N14" s="7">
        <f t="shared" si="3"/>
        <v>2384</v>
      </c>
      <c r="O14" s="7">
        <v>2442</v>
      </c>
      <c r="P14" s="7">
        <v>2721</v>
      </c>
      <c r="Q14" s="7"/>
      <c r="R14" s="7"/>
      <c r="S14" s="7"/>
      <c r="T14" s="7"/>
      <c r="U14" s="7"/>
      <c r="V14" s="7"/>
      <c r="W14" s="7"/>
      <c r="X14" s="7"/>
      <c r="Y14" s="7">
        <v>7856</v>
      </c>
      <c r="Z14" s="7">
        <v>8216</v>
      </c>
      <c r="AA14" s="7">
        <v>8764</v>
      </c>
      <c r="AB14" s="7"/>
      <c r="AC14" s="7"/>
      <c r="AD14" s="7"/>
      <c r="AE14" s="7"/>
      <c r="AF14" s="7"/>
      <c r="AG14" s="7"/>
    </row>
    <row r="15" spans="1:33" x14ac:dyDescent="0.2">
      <c r="B15" s="2" t="s">
        <v>67</v>
      </c>
      <c r="C15" s="7">
        <v>340</v>
      </c>
      <c r="D15" s="7">
        <v>405</v>
      </c>
      <c r="E15" s="7">
        <v>390</v>
      </c>
      <c r="F15" s="7">
        <v>352</v>
      </c>
      <c r="G15" s="7">
        <v>328</v>
      </c>
      <c r="H15" s="7">
        <v>370</v>
      </c>
      <c r="I15" s="7">
        <v>421</v>
      </c>
      <c r="J15" s="7">
        <v>380</v>
      </c>
      <c r="K15" s="7">
        <v>424</v>
      </c>
      <c r="L15" s="7">
        <v>447</v>
      </c>
      <c r="M15" s="7">
        <v>496</v>
      </c>
      <c r="N15" s="7">
        <f t="shared" si="3"/>
        <v>448</v>
      </c>
      <c r="O15" s="7">
        <v>451</v>
      </c>
      <c r="P15" s="7">
        <v>530</v>
      </c>
      <c r="Q15" s="7"/>
      <c r="R15" s="7"/>
      <c r="S15" s="7"/>
      <c r="T15" s="7"/>
      <c r="U15" s="7"/>
      <c r="V15" s="7"/>
      <c r="W15" s="7"/>
      <c r="X15" s="7"/>
      <c r="Y15" s="7">
        <v>1488</v>
      </c>
      <c r="Z15" s="7">
        <v>1499</v>
      </c>
      <c r="AA15" s="7">
        <v>1815</v>
      </c>
      <c r="AB15" s="7"/>
      <c r="AC15" s="7"/>
      <c r="AD15" s="7"/>
      <c r="AE15" s="7"/>
      <c r="AF15" s="7"/>
      <c r="AG15" s="7"/>
    </row>
    <row r="16" spans="1:33" x14ac:dyDescent="0.2">
      <c r="B16" s="8" t="s">
        <v>23</v>
      </c>
      <c r="C16" s="8">
        <v>5274</v>
      </c>
      <c r="D16" s="8">
        <v>5343</v>
      </c>
      <c r="E16" s="8">
        <v>5999</v>
      </c>
      <c r="F16" s="8">
        <v>4812</v>
      </c>
      <c r="G16" s="8">
        <v>5458</v>
      </c>
      <c r="H16" s="8">
        <v>5822</v>
      </c>
      <c r="I16" s="8">
        <v>6438</v>
      </c>
      <c r="J16" s="8">
        <v>5965</v>
      </c>
      <c r="K16" s="8">
        <v>6153</v>
      </c>
      <c r="L16" s="8">
        <v>5952</v>
      </c>
      <c r="M16" s="8">
        <v>6630</v>
      </c>
      <c r="N16" s="8">
        <f t="shared" si="3"/>
        <v>6076</v>
      </c>
      <c r="O16" s="8">
        <v>6592</v>
      </c>
      <c r="P16" s="8">
        <v>6743</v>
      </c>
      <c r="Q16" s="8"/>
      <c r="R16" s="8"/>
      <c r="S16" s="8"/>
      <c r="T16" s="8">
        <v>21915</v>
      </c>
      <c r="U16" s="8">
        <v>23640</v>
      </c>
      <c r="V16" s="8">
        <v>18435</v>
      </c>
      <c r="W16" s="8">
        <v>21234</v>
      </c>
      <c r="X16" s="8">
        <v>22511</v>
      </c>
      <c r="Y16" s="8">
        <v>21427</v>
      </c>
      <c r="Z16" s="8">
        <v>23683</v>
      </c>
      <c r="AA16" s="8">
        <v>24811</v>
      </c>
      <c r="AB16" s="7"/>
      <c r="AC16" s="7"/>
      <c r="AD16" s="7"/>
      <c r="AE16" s="7"/>
      <c r="AF16" s="7"/>
    </row>
    <row r="17" spans="2:32" x14ac:dyDescent="0.2">
      <c r="B17" s="7" t="s">
        <v>24</v>
      </c>
      <c r="C17" s="7">
        <v>2911</v>
      </c>
      <c r="D17" s="7">
        <v>2625</v>
      </c>
      <c r="E17" s="7">
        <v>3044</v>
      </c>
      <c r="F17" s="7">
        <v>2664</v>
      </c>
      <c r="G17" s="7">
        <v>2662</v>
      </c>
      <c r="H17" s="7">
        <v>2863</v>
      </c>
      <c r="I17" s="7">
        <v>3137</v>
      </c>
      <c r="J17" s="7">
        <v>2995</v>
      </c>
      <c r="K17" s="7">
        <v>2948</v>
      </c>
      <c r="L17" s="7">
        <v>2875</v>
      </c>
      <c r="M17" s="7">
        <v>3195</v>
      </c>
      <c r="N17" s="7">
        <f t="shared" si="3"/>
        <v>2988</v>
      </c>
      <c r="O17" s="7">
        <v>3223</v>
      </c>
      <c r="P17" s="7">
        <v>3203</v>
      </c>
      <c r="Q17" s="7"/>
      <c r="R17" s="7"/>
      <c r="S17" s="7"/>
      <c r="T17" s="7">
        <v>10552</v>
      </c>
      <c r="U17" s="7">
        <v>11347</v>
      </c>
      <c r="V17" s="7">
        <v>9213</v>
      </c>
      <c r="W17" s="7">
        <v>10469</v>
      </c>
      <c r="X17" s="7">
        <v>11867</v>
      </c>
      <c r="Y17" s="7">
        <v>11244</v>
      </c>
      <c r="Z17" s="7">
        <v>11658</v>
      </c>
      <c r="AA17" s="7">
        <v>12006</v>
      </c>
      <c r="AB17" s="7"/>
      <c r="AC17" s="7"/>
      <c r="AD17" s="7"/>
      <c r="AE17" s="7"/>
      <c r="AF17" s="7"/>
    </row>
    <row r="18" spans="2:32" x14ac:dyDescent="0.2">
      <c r="B18" s="7" t="s">
        <v>25</v>
      </c>
      <c r="C18" s="7">
        <f t="shared" ref="C18" si="4">C16-C17</f>
        <v>2363</v>
      </c>
      <c r="D18" s="7">
        <f t="shared" ref="D18" si="5">D16-D17</f>
        <v>2718</v>
      </c>
      <c r="E18" s="7">
        <f t="shared" ref="E18" si="6">E16-E17</f>
        <v>2955</v>
      </c>
      <c r="F18" s="7">
        <f t="shared" ref="F18" si="7">F16-F17</f>
        <v>2148</v>
      </c>
      <c r="G18" s="7">
        <f t="shared" ref="G18" si="8">G16-G17</f>
        <v>2796</v>
      </c>
      <c r="H18" s="7">
        <f t="shared" ref="H18" si="9">H16-H17</f>
        <v>2959</v>
      </c>
      <c r="I18" s="7">
        <f t="shared" ref="I18" si="10">I16-I17</f>
        <v>3301</v>
      </c>
      <c r="J18" s="7">
        <f t="shared" ref="J18:P18" si="11">J16-J17</f>
        <v>2970</v>
      </c>
      <c r="K18" s="7">
        <f t="shared" si="11"/>
        <v>3205</v>
      </c>
      <c r="L18" s="7">
        <f t="shared" si="11"/>
        <v>3077</v>
      </c>
      <c r="M18" s="7">
        <f t="shared" si="11"/>
        <v>3435</v>
      </c>
      <c r="N18" s="7">
        <f t="shared" si="11"/>
        <v>3088</v>
      </c>
      <c r="O18" s="7">
        <f t="shared" si="11"/>
        <v>3369</v>
      </c>
      <c r="P18" s="7">
        <f t="shared" si="11"/>
        <v>3540</v>
      </c>
      <c r="Q18" s="7"/>
      <c r="R18" s="7"/>
      <c r="S18" s="7"/>
      <c r="T18" s="7">
        <f t="shared" ref="T18:X18" si="12">T16-T17</f>
        <v>11363</v>
      </c>
      <c r="U18" s="7">
        <f t="shared" si="12"/>
        <v>12293</v>
      </c>
      <c r="V18" s="7">
        <f t="shared" si="12"/>
        <v>9222</v>
      </c>
      <c r="W18" s="7">
        <f t="shared" si="12"/>
        <v>10765</v>
      </c>
      <c r="X18" s="7">
        <f t="shared" si="12"/>
        <v>10644</v>
      </c>
      <c r="Y18" s="7">
        <f>Y16-Y17</f>
        <v>10183</v>
      </c>
      <c r="Z18" s="7">
        <f>Z16-Z17</f>
        <v>12025</v>
      </c>
      <c r="AA18" s="7">
        <f>AA16-AA17</f>
        <v>12805</v>
      </c>
      <c r="AB18" s="7"/>
      <c r="AC18" s="7"/>
      <c r="AD18" s="7"/>
      <c r="AE18" s="7"/>
      <c r="AF18" s="7"/>
    </row>
    <row r="19" spans="2:32" x14ac:dyDescent="0.2">
      <c r="B19" s="7" t="s">
        <v>26</v>
      </c>
      <c r="C19" s="7">
        <v>25</v>
      </c>
      <c r="D19" s="7">
        <v>21</v>
      </c>
      <c r="E19" s="7">
        <v>20</v>
      </c>
      <c r="F19" s="7">
        <v>17</v>
      </c>
      <c r="G19" s="7">
        <v>17</v>
      </c>
      <c r="H19" s="7">
        <v>19</v>
      </c>
      <c r="I19" s="7">
        <v>20</v>
      </c>
      <c r="J19" s="7">
        <v>26</v>
      </c>
      <c r="K19" s="7">
        <v>19</v>
      </c>
      <c r="L19" s="7">
        <v>18</v>
      </c>
      <c r="M19" s="7">
        <v>24</v>
      </c>
      <c r="N19" s="7">
        <f t="shared" si="3"/>
        <v>20</v>
      </c>
      <c r="O19" s="7">
        <v>19</v>
      </c>
      <c r="P19" s="7">
        <v>16</v>
      </c>
      <c r="Q19" s="7"/>
      <c r="R19" s="7"/>
      <c r="S19" s="7"/>
      <c r="T19" s="7">
        <v>129</v>
      </c>
      <c r="U19" s="7">
        <v>154</v>
      </c>
      <c r="V19" s="7">
        <v>61</v>
      </c>
      <c r="W19" s="7">
        <v>86</v>
      </c>
      <c r="X19" s="7">
        <v>112</v>
      </c>
      <c r="Y19" s="7">
        <v>83</v>
      </c>
      <c r="Z19" s="7">
        <v>81</v>
      </c>
      <c r="AA19" s="7">
        <v>81</v>
      </c>
      <c r="AB19" s="7"/>
      <c r="AC19" s="7"/>
      <c r="AD19" s="7"/>
      <c r="AE19" s="7"/>
      <c r="AF19" s="7"/>
    </row>
    <row r="20" spans="2:32" x14ac:dyDescent="0.2">
      <c r="B20" s="7" t="s">
        <v>31</v>
      </c>
      <c r="C20" s="7">
        <v>39</v>
      </c>
      <c r="D20" s="7">
        <v>18</v>
      </c>
      <c r="E20" s="7">
        <v>5</v>
      </c>
      <c r="F20" s="7">
        <v>10</v>
      </c>
      <c r="G20" s="7">
        <v>2</v>
      </c>
      <c r="H20" s="7">
        <v>6</v>
      </c>
      <c r="I20" s="7">
        <v>113</v>
      </c>
      <c r="J20" s="7">
        <v>53</v>
      </c>
      <c r="K20" s="7">
        <v>1</v>
      </c>
      <c r="L20" s="7">
        <v>1</v>
      </c>
      <c r="M20" s="7">
        <v>18</v>
      </c>
      <c r="N20" s="7">
        <f t="shared" si="3"/>
        <v>21</v>
      </c>
      <c r="O20" s="7">
        <v>1</v>
      </c>
      <c r="P20" s="7">
        <v>1</v>
      </c>
      <c r="Q20" s="7"/>
      <c r="R20" s="7"/>
      <c r="S20" s="7"/>
      <c r="T20" s="7">
        <v>48</v>
      </c>
      <c r="U20" s="7">
        <v>56</v>
      </c>
      <c r="V20" s="7">
        <v>42</v>
      </c>
      <c r="W20" s="7">
        <v>28</v>
      </c>
      <c r="X20" s="7">
        <v>173</v>
      </c>
      <c r="Y20" s="7">
        <v>71</v>
      </c>
      <c r="Z20" s="7">
        <v>174</v>
      </c>
      <c r="AA20" s="7">
        <v>41</v>
      </c>
      <c r="AB20" s="7"/>
      <c r="AC20" s="7"/>
      <c r="AD20" s="7"/>
      <c r="AE20" s="7"/>
      <c r="AF20" s="7"/>
    </row>
    <row r="21" spans="2:32" x14ac:dyDescent="0.2">
      <c r="B21" s="7" t="s">
        <v>28</v>
      </c>
      <c r="C21" s="7">
        <v>601</v>
      </c>
      <c r="D21" s="7">
        <v>617</v>
      </c>
      <c r="E21" s="7">
        <v>644</v>
      </c>
      <c r="F21" s="7">
        <v>0</v>
      </c>
      <c r="G21" s="7">
        <v>657</v>
      </c>
      <c r="H21" s="7">
        <v>707</v>
      </c>
      <c r="I21" s="7">
        <v>724</v>
      </c>
      <c r="J21" s="7">
        <v>0</v>
      </c>
      <c r="K21" s="7">
        <v>746</v>
      </c>
      <c r="L21" s="7">
        <v>712</v>
      </c>
      <c r="M21" s="7">
        <v>798</v>
      </c>
      <c r="N21" s="7">
        <f t="shared" si="3"/>
        <v>823</v>
      </c>
      <c r="O21" s="7">
        <v>756</v>
      </c>
      <c r="P21" s="7">
        <v>924</v>
      </c>
      <c r="Q21" s="7"/>
      <c r="R21" s="7"/>
      <c r="S21" s="7"/>
      <c r="T21" s="7">
        <v>3001</v>
      </c>
      <c r="U21" s="7">
        <v>3042</v>
      </c>
      <c r="V21" s="7">
        <v>2373</v>
      </c>
      <c r="W21" s="7">
        <v>2547</v>
      </c>
      <c r="X21" s="7">
        <v>2763</v>
      </c>
      <c r="Y21" s="7">
        <v>2528</v>
      </c>
      <c r="Z21" s="7">
        <f>+SUM(G21:J21)</f>
        <v>2088</v>
      </c>
      <c r="AA21" s="7">
        <v>3079</v>
      </c>
      <c r="AB21" s="7"/>
      <c r="AC21" s="7"/>
      <c r="AD21" s="7"/>
      <c r="AE21" s="7"/>
      <c r="AF21" s="7"/>
    </row>
    <row r="22" spans="2:32" x14ac:dyDescent="0.2">
      <c r="B22" s="7" t="s">
        <v>29</v>
      </c>
      <c r="C22" s="7">
        <v>1766</v>
      </c>
      <c r="D22" s="7">
        <v>1965</v>
      </c>
      <c r="E22" s="7">
        <v>1926</v>
      </c>
      <c r="F22" s="7">
        <v>2551</v>
      </c>
      <c r="G22" s="7">
        <v>1822</v>
      </c>
      <c r="H22" s="7">
        <v>1930</v>
      </c>
      <c r="I22" s="7">
        <v>2114</v>
      </c>
      <c r="J22" s="7">
        <v>2992</v>
      </c>
      <c r="K22" s="7">
        <v>1870</v>
      </c>
      <c r="L22" s="7">
        <v>1837</v>
      </c>
      <c r="M22" s="7">
        <v>1943</v>
      </c>
      <c r="N22" s="7">
        <f t="shared" si="3"/>
        <v>2142</v>
      </c>
      <c r="O22" s="7">
        <v>1927</v>
      </c>
      <c r="P22" s="7">
        <v>2059</v>
      </c>
      <c r="Q22" s="7"/>
      <c r="R22" s="7"/>
      <c r="S22" s="7"/>
      <c r="T22" s="7">
        <v>4450</v>
      </c>
      <c r="U22" s="7">
        <v>4997</v>
      </c>
      <c r="V22" s="7">
        <v>4601</v>
      </c>
      <c r="W22" s="7">
        <v>4782</v>
      </c>
      <c r="X22" s="7">
        <v>5601</v>
      </c>
      <c r="Y22" s="7">
        <v>5547</v>
      </c>
      <c r="Z22" s="7">
        <f>+SUM(G22:J22)</f>
        <v>8858</v>
      </c>
      <c r="AA22" s="7">
        <v>7792</v>
      </c>
      <c r="AB22" s="7"/>
      <c r="AC22" s="7"/>
      <c r="AD22" s="7"/>
      <c r="AE22" s="7"/>
      <c r="AF22" s="7"/>
    </row>
    <row r="23" spans="2:32" x14ac:dyDescent="0.2">
      <c r="B23" s="13" t="s">
        <v>76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2615</v>
      </c>
      <c r="L23" s="7">
        <v>2549</v>
      </c>
      <c r="M23" s="7">
        <v>2740</v>
      </c>
      <c r="N23" s="7">
        <v>2740</v>
      </c>
      <c r="O23" s="7">
        <f>+O21+O22</f>
        <v>2683</v>
      </c>
      <c r="P23" s="7">
        <f>+P21+P22</f>
        <v>2983</v>
      </c>
      <c r="Q23" s="7"/>
      <c r="R23" s="7"/>
      <c r="S23" s="7"/>
      <c r="T23" s="7">
        <v>1576</v>
      </c>
      <c r="U23" s="7">
        <v>1652</v>
      </c>
      <c r="V23" s="7">
        <v>1379</v>
      </c>
      <c r="W23" s="7">
        <v>1481</v>
      </c>
      <c r="X23" s="7">
        <v>1651</v>
      </c>
      <c r="Y23" s="7">
        <v>1839</v>
      </c>
      <c r="Z23" s="7">
        <f>+SUM(G23:J23)</f>
        <v>0</v>
      </c>
      <c r="AA23" s="7">
        <v>0</v>
      </c>
      <c r="AB23" s="7"/>
      <c r="AC23" s="7"/>
      <c r="AD23" s="7"/>
      <c r="AE23" s="7"/>
      <c r="AF23" s="7"/>
    </row>
    <row r="24" spans="2:32" x14ac:dyDescent="0.2">
      <c r="B24" s="7" t="s">
        <v>27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f t="shared" si="3"/>
        <v>0</v>
      </c>
      <c r="O24" s="7">
        <v>0</v>
      </c>
      <c r="P24" s="7">
        <v>0</v>
      </c>
      <c r="Q24" s="7"/>
      <c r="R24" s="7"/>
      <c r="S24" s="7"/>
      <c r="T24" s="7">
        <f>105+41</f>
        <v>146</v>
      </c>
      <c r="U24" s="7">
        <f>134+18</f>
        <v>152</v>
      </c>
      <c r="V24" s="7">
        <f>116+111</f>
        <v>227</v>
      </c>
      <c r="W24" s="7">
        <f>76+6</f>
        <v>82</v>
      </c>
      <c r="X24" s="7">
        <f>182+63</f>
        <v>245</v>
      </c>
      <c r="Y24" s="7">
        <f>137+19</f>
        <v>156</v>
      </c>
      <c r="Z24" s="7">
        <f>+SUM(G24:J24)</f>
        <v>0</v>
      </c>
      <c r="AA24" s="7">
        <v>0</v>
      </c>
      <c r="AB24" s="7"/>
      <c r="AC24" s="7"/>
      <c r="AD24" s="7"/>
      <c r="AE24" s="7"/>
      <c r="AF24" s="7"/>
    </row>
    <row r="25" spans="2:32" x14ac:dyDescent="0.2">
      <c r="B25" s="7" t="s">
        <v>30</v>
      </c>
      <c r="C25" s="7">
        <f t="shared" ref="C25:O25" si="13">C18+C19+C20-C21-C22-C24</f>
        <v>60</v>
      </c>
      <c r="D25" s="7">
        <f t="shared" si="13"/>
        <v>175</v>
      </c>
      <c r="E25" s="7">
        <f t="shared" si="13"/>
        <v>410</v>
      </c>
      <c r="F25" s="7">
        <f t="shared" si="13"/>
        <v>-376</v>
      </c>
      <c r="G25" s="7">
        <f t="shared" si="13"/>
        <v>336</v>
      </c>
      <c r="H25" s="7">
        <f t="shared" si="13"/>
        <v>347</v>
      </c>
      <c r="I25" s="7">
        <f t="shared" si="13"/>
        <v>596</v>
      </c>
      <c r="J25" s="7">
        <f t="shared" si="13"/>
        <v>57</v>
      </c>
      <c r="K25" s="7">
        <f t="shared" si="13"/>
        <v>609</v>
      </c>
      <c r="L25" s="7">
        <f t="shared" si="13"/>
        <v>547</v>
      </c>
      <c r="M25" s="7">
        <f t="shared" si="13"/>
        <v>736</v>
      </c>
      <c r="N25" s="7">
        <f t="shared" si="13"/>
        <v>164</v>
      </c>
      <c r="O25" s="7">
        <f t="shared" si="13"/>
        <v>706</v>
      </c>
      <c r="P25" s="7">
        <f>P18+P19+P20-P21-P22-P24</f>
        <v>574</v>
      </c>
      <c r="Q25" s="7"/>
      <c r="R25" s="7"/>
      <c r="S25" s="7"/>
      <c r="T25" s="7">
        <f t="shared" ref="T25:X25" si="14">T18+T19+T20-SUM(T21:T24)</f>
        <v>2367</v>
      </c>
      <c r="U25" s="7">
        <f t="shared" si="14"/>
        <v>2660</v>
      </c>
      <c r="V25" s="7">
        <f t="shared" si="14"/>
        <v>745</v>
      </c>
      <c r="W25" s="7">
        <f t="shared" si="14"/>
        <v>1987</v>
      </c>
      <c r="X25" s="7">
        <f t="shared" si="14"/>
        <v>669</v>
      </c>
      <c r="Y25" s="7">
        <f>Y18+Y19+Y20-SUM(Y21:Y24)</f>
        <v>267</v>
      </c>
      <c r="Z25" s="7">
        <f>Z18+Z19+Z20-SUM(Z21:Z24)</f>
        <v>1334</v>
      </c>
      <c r="AA25" s="7">
        <f>AA18+AA19+AA20-SUM(AA21:AA24)</f>
        <v>2056</v>
      </c>
      <c r="AB25" s="7"/>
      <c r="AC25" s="7"/>
      <c r="AD25" s="7"/>
      <c r="AE25" s="7"/>
      <c r="AF25" s="7"/>
    </row>
    <row r="26" spans="2:32" x14ac:dyDescent="0.2">
      <c r="B26" s="7" t="s">
        <v>32</v>
      </c>
      <c r="C26" s="7">
        <v>13</v>
      </c>
      <c r="D26" s="7">
        <v>19</v>
      </c>
      <c r="E26" s="7">
        <v>31</v>
      </c>
      <c r="F26" s="7">
        <v>25</v>
      </c>
      <c r="G26" s="7">
        <v>24</v>
      </c>
      <c r="H26" s="7">
        <v>20</v>
      </c>
      <c r="I26" s="7">
        <v>29</v>
      </c>
      <c r="J26" s="7">
        <v>30</v>
      </c>
      <c r="K26" s="7">
        <v>34</v>
      </c>
      <c r="L26" s="7">
        <v>9</v>
      </c>
      <c r="M26" s="7">
        <v>12</v>
      </c>
      <c r="N26" s="7">
        <f t="shared" si="3"/>
        <v>19</v>
      </c>
      <c r="O26" s="7">
        <v>11</v>
      </c>
      <c r="P26" s="7">
        <v>14</v>
      </c>
      <c r="Q26" s="7"/>
      <c r="R26" s="7"/>
      <c r="S26" s="7"/>
      <c r="T26" s="7">
        <v>57</v>
      </c>
      <c r="U26" s="7">
        <v>64</v>
      </c>
      <c r="V26" s="7">
        <v>29</v>
      </c>
      <c r="W26" s="7">
        <v>19</v>
      </c>
      <c r="X26" s="7">
        <v>39</v>
      </c>
      <c r="Y26" s="7">
        <v>79</v>
      </c>
      <c r="Z26" s="7">
        <v>101</v>
      </c>
      <c r="AA26" s="7">
        <v>74</v>
      </c>
      <c r="AB26" s="7"/>
      <c r="AC26" s="7"/>
      <c r="AD26" s="7"/>
      <c r="AE26" s="7"/>
      <c r="AF26" s="7"/>
    </row>
    <row r="27" spans="2:32" x14ac:dyDescent="0.2">
      <c r="B27" s="7" t="s">
        <v>33</v>
      </c>
      <c r="C27" s="7">
        <v>41</v>
      </c>
      <c r="D27" s="7">
        <v>71</v>
      </c>
      <c r="E27" s="7">
        <v>115</v>
      </c>
      <c r="F27" s="7">
        <v>63</v>
      </c>
      <c r="G27" s="7">
        <v>115</v>
      </c>
      <c r="H27" s="7">
        <v>62</v>
      </c>
      <c r="I27" s="7">
        <v>25</v>
      </c>
      <c r="J27" s="7">
        <v>115</v>
      </c>
      <c r="K27" s="7">
        <v>59</v>
      </c>
      <c r="L27" s="7">
        <v>67</v>
      </c>
      <c r="M27" s="7">
        <v>98</v>
      </c>
      <c r="N27" s="7">
        <f t="shared" si="3"/>
        <v>86</v>
      </c>
      <c r="O27" s="7">
        <v>70</v>
      </c>
      <c r="P27" s="22">
        <v>58</v>
      </c>
      <c r="Q27" s="7"/>
      <c r="R27" s="7"/>
      <c r="S27" s="7"/>
      <c r="T27" s="7">
        <v>47</v>
      </c>
      <c r="U27" s="7">
        <v>166</v>
      </c>
      <c r="V27" s="7">
        <v>196</v>
      </c>
      <c r="W27" s="7">
        <v>153</v>
      </c>
      <c r="X27" s="7">
        <v>320</v>
      </c>
      <c r="Y27" s="7">
        <v>282</v>
      </c>
      <c r="Z27" s="7">
        <v>317</v>
      </c>
      <c r="AA27" s="7">
        <v>310</v>
      </c>
      <c r="AB27" s="7"/>
      <c r="AC27" s="7"/>
      <c r="AD27" s="7"/>
      <c r="AE27" s="7"/>
      <c r="AF27" s="7"/>
    </row>
    <row r="28" spans="2:32" x14ac:dyDescent="0.2">
      <c r="B28" s="7" t="s">
        <v>34</v>
      </c>
      <c r="C28" s="7">
        <f t="shared" ref="C28" si="15">C25+C26-C27</f>
        <v>32</v>
      </c>
      <c r="D28" s="7">
        <f t="shared" ref="D28" si="16">D25+D26-D27</f>
        <v>123</v>
      </c>
      <c r="E28" s="7">
        <f t="shared" ref="E28" si="17">E25+E26-E27</f>
        <v>326</v>
      </c>
      <c r="F28" s="7">
        <f t="shared" ref="F28" si="18">F25+F26-F27</f>
        <v>-414</v>
      </c>
      <c r="G28" s="7">
        <f t="shared" ref="G28" si="19">G25+G26-G27</f>
        <v>245</v>
      </c>
      <c r="H28" s="7">
        <f t="shared" ref="H28" si="20">H25+H26-H27</f>
        <v>305</v>
      </c>
      <c r="I28" s="7">
        <f t="shared" ref="I28" si="21">I25+I26-I27</f>
        <v>600</v>
      </c>
      <c r="J28" s="7">
        <f t="shared" ref="J28:P28" si="22">J25+J26-J27</f>
        <v>-28</v>
      </c>
      <c r="K28" s="7">
        <f t="shared" si="22"/>
        <v>584</v>
      </c>
      <c r="L28" s="7">
        <f t="shared" si="22"/>
        <v>489</v>
      </c>
      <c r="M28" s="7">
        <f t="shared" si="22"/>
        <v>650</v>
      </c>
      <c r="N28" s="7">
        <f t="shared" si="22"/>
        <v>97</v>
      </c>
      <c r="O28" s="7">
        <f t="shared" si="22"/>
        <v>647</v>
      </c>
      <c r="P28" s="7">
        <f t="shared" si="22"/>
        <v>530</v>
      </c>
      <c r="Q28" s="7"/>
      <c r="R28" s="7"/>
      <c r="S28" s="7"/>
      <c r="T28" s="7">
        <f t="shared" ref="T28:X28" si="23">T25+T26-T27</f>
        <v>2377</v>
      </c>
      <c r="U28" s="7">
        <f t="shared" si="23"/>
        <v>2558</v>
      </c>
      <c r="V28" s="7">
        <f t="shared" si="23"/>
        <v>578</v>
      </c>
      <c r="W28" s="7">
        <f t="shared" si="23"/>
        <v>1853</v>
      </c>
      <c r="X28" s="7">
        <f t="shared" si="23"/>
        <v>388</v>
      </c>
      <c r="Y28" s="7">
        <f>Y25+Y26-Y27</f>
        <v>64</v>
      </c>
      <c r="Z28" s="7">
        <f>+SUM(G28:J28)</f>
        <v>1122</v>
      </c>
      <c r="AA28" s="7">
        <f>+AA25+AA26-AA27</f>
        <v>1820</v>
      </c>
      <c r="AB28" s="7"/>
      <c r="AC28" s="7"/>
      <c r="AD28" s="7"/>
      <c r="AE28" s="7"/>
      <c r="AF28" s="7"/>
    </row>
    <row r="29" spans="2:32" x14ac:dyDescent="0.2">
      <c r="B29" s="7" t="s">
        <v>35</v>
      </c>
      <c r="C29" s="7">
        <v>55</v>
      </c>
      <c r="D29" s="7">
        <v>27</v>
      </c>
      <c r="E29" s="7">
        <v>55</v>
      </c>
      <c r="F29" s="7">
        <v>-14</v>
      </c>
      <c r="G29" s="7">
        <v>74</v>
      </c>
      <c r="H29" s="7">
        <v>93</v>
      </c>
      <c r="I29" s="7">
        <v>133</v>
      </c>
      <c r="J29" s="7">
        <v>-2</v>
      </c>
      <c r="K29" s="7">
        <v>149</v>
      </c>
      <c r="L29" s="7">
        <v>114</v>
      </c>
      <c r="M29" s="7">
        <v>169</v>
      </c>
      <c r="N29" s="7">
        <f t="shared" si="3"/>
        <v>11</v>
      </c>
      <c r="O29" s="7">
        <v>161</v>
      </c>
      <c r="P29" s="7">
        <v>133</v>
      </c>
      <c r="Q29" s="7"/>
      <c r="R29" s="7"/>
      <c r="S29" s="7"/>
      <c r="T29" s="7">
        <v>669</v>
      </c>
      <c r="U29" s="7">
        <v>640</v>
      </c>
      <c r="V29" s="7">
        <v>117</v>
      </c>
      <c r="W29" s="7">
        <v>360</v>
      </c>
      <c r="X29" s="7">
        <v>134</v>
      </c>
      <c r="Y29" s="7">
        <v>124</v>
      </c>
      <c r="Z29" s="7">
        <v>297</v>
      </c>
      <c r="AA29" s="7">
        <v>443</v>
      </c>
      <c r="AB29" s="7"/>
      <c r="AC29" s="7"/>
      <c r="AD29" s="7"/>
      <c r="AE29" s="7"/>
      <c r="AF29" s="7"/>
    </row>
    <row r="30" spans="2:32" x14ac:dyDescent="0.2">
      <c r="B30" s="7" t="s">
        <v>37</v>
      </c>
      <c r="C30" s="7">
        <f t="shared" ref="C30" si="24">C28-C29</f>
        <v>-23</v>
      </c>
      <c r="D30" s="7">
        <f t="shared" ref="D30" si="25">D28-D29</f>
        <v>96</v>
      </c>
      <c r="E30" s="7">
        <f t="shared" ref="E30" si="26">E28-E29</f>
        <v>271</v>
      </c>
      <c r="F30" s="7">
        <f t="shared" ref="F30" si="27">F28-F29</f>
        <v>-400</v>
      </c>
      <c r="G30" s="7">
        <f t="shared" ref="G30" si="28">G28-G29</f>
        <v>171</v>
      </c>
      <c r="H30" s="7">
        <f t="shared" ref="H30" si="29">H28-H29</f>
        <v>212</v>
      </c>
      <c r="I30" s="7">
        <f t="shared" ref="I30" si="30">I28-I29</f>
        <v>467</v>
      </c>
      <c r="J30" s="7">
        <f t="shared" ref="J30:P30" si="31">J28-J29</f>
        <v>-26</v>
      </c>
      <c r="K30" s="7">
        <f t="shared" si="31"/>
        <v>435</v>
      </c>
      <c r="L30" s="7">
        <f t="shared" si="31"/>
        <v>375</v>
      </c>
      <c r="M30" s="7">
        <f t="shared" si="31"/>
        <v>481</v>
      </c>
      <c r="N30" s="7">
        <f t="shared" si="31"/>
        <v>86</v>
      </c>
      <c r="O30" s="7">
        <f t="shared" si="31"/>
        <v>486</v>
      </c>
      <c r="P30" s="7">
        <f t="shared" si="31"/>
        <v>397</v>
      </c>
      <c r="Q30" s="7"/>
      <c r="R30" s="7"/>
      <c r="S30" s="7"/>
      <c r="T30" s="7">
        <f t="shared" ref="T30:X30" si="32">T28-T29</f>
        <v>1708</v>
      </c>
      <c r="U30" s="7">
        <f t="shared" si="32"/>
        <v>1918</v>
      </c>
      <c r="V30" s="7">
        <f t="shared" si="32"/>
        <v>461</v>
      </c>
      <c r="W30" s="7">
        <f t="shared" si="32"/>
        <v>1493</v>
      </c>
      <c r="X30" s="7">
        <f t="shared" si="32"/>
        <v>254</v>
      </c>
      <c r="Y30" s="7">
        <f>Y28-Y29</f>
        <v>-60</v>
      </c>
      <c r="Z30" s="7">
        <f>Z28-Z29</f>
        <v>825</v>
      </c>
      <c r="AA30" s="7">
        <f>AA28-AA29</f>
        <v>1377</v>
      </c>
      <c r="AB30" s="7"/>
      <c r="AC30" s="7"/>
      <c r="AD30" s="7"/>
      <c r="AE30" s="7"/>
      <c r="AF30" s="7"/>
    </row>
    <row r="31" spans="2:32" x14ac:dyDescent="0.2">
      <c r="B31" s="7" t="s">
        <v>38</v>
      </c>
      <c r="C31" s="7">
        <v>-6</v>
      </c>
      <c r="D31" s="7">
        <v>-1</v>
      </c>
      <c r="E31" s="7">
        <v>10</v>
      </c>
      <c r="F31" s="7">
        <v>42</v>
      </c>
      <c r="G31" s="7">
        <v>-1</v>
      </c>
      <c r="H31" s="7">
        <v>-6</v>
      </c>
      <c r="I31" s="7">
        <v>7</v>
      </c>
      <c r="J31" s="7">
        <v>7</v>
      </c>
      <c r="K31" s="7">
        <v>-7</v>
      </c>
      <c r="L31" s="7">
        <v>6</v>
      </c>
      <c r="M31" s="7">
        <v>3</v>
      </c>
      <c r="N31" s="7">
        <f t="shared" si="3"/>
        <v>6</v>
      </c>
      <c r="O31" s="7">
        <v>3</v>
      </c>
      <c r="P31" s="7">
        <v>-14</v>
      </c>
      <c r="Q31" s="7"/>
      <c r="R31" s="7"/>
      <c r="S31" s="7"/>
      <c r="T31" s="7">
        <v>-5</v>
      </c>
      <c r="U31" s="7">
        <v>59</v>
      </c>
      <c r="V31" s="7">
        <v>-19</v>
      </c>
      <c r="W31" s="7">
        <v>666</v>
      </c>
      <c r="X31" s="7">
        <v>384</v>
      </c>
      <c r="Y31" s="7">
        <v>44</v>
      </c>
      <c r="Z31" s="7">
        <v>8</v>
      </c>
      <c r="AA31" s="7">
        <v>8</v>
      </c>
      <c r="AB31" s="7"/>
      <c r="AC31" s="7"/>
      <c r="AD31" s="7"/>
      <c r="AE31" s="7"/>
      <c r="AF31" s="7"/>
    </row>
    <row r="32" spans="2:32" x14ac:dyDescent="0.2">
      <c r="B32" s="7" t="s">
        <v>36</v>
      </c>
      <c r="C32" s="7">
        <f t="shared" ref="C32" si="33">C30+C31</f>
        <v>-29</v>
      </c>
      <c r="D32" s="7">
        <f t="shared" ref="D32" si="34">D30+D31</f>
        <v>95</v>
      </c>
      <c r="E32" s="7">
        <f t="shared" ref="E32" si="35">E30+E31</f>
        <v>281</v>
      </c>
      <c r="F32" s="7">
        <f t="shared" ref="F32" si="36">F30+F31</f>
        <v>-358</v>
      </c>
      <c r="G32" s="7">
        <f t="shared" ref="G32" si="37">G30+G31</f>
        <v>170</v>
      </c>
      <c r="H32" s="7">
        <f t="shared" ref="H32" si="38">H30+H31</f>
        <v>206</v>
      </c>
      <c r="I32" s="7">
        <f t="shared" ref="I32" si="39">I30+I31</f>
        <v>474</v>
      </c>
      <c r="J32" s="7">
        <f t="shared" ref="J32:P32" si="40">J30+J31</f>
        <v>-19</v>
      </c>
      <c r="K32" s="7">
        <f t="shared" si="40"/>
        <v>428</v>
      </c>
      <c r="L32" s="7">
        <f t="shared" si="40"/>
        <v>381</v>
      </c>
      <c r="M32" s="7">
        <f t="shared" si="40"/>
        <v>484</v>
      </c>
      <c r="N32" s="7">
        <f t="shared" si="40"/>
        <v>92</v>
      </c>
      <c r="O32" s="7">
        <f t="shared" si="40"/>
        <v>489</v>
      </c>
      <c r="P32" s="7">
        <f t="shared" si="40"/>
        <v>383</v>
      </c>
      <c r="Q32" s="7"/>
      <c r="R32" s="7"/>
      <c r="S32" s="7"/>
      <c r="T32" s="7">
        <f t="shared" ref="T32:X32" si="41">T30+T31</f>
        <v>1703</v>
      </c>
      <c r="U32" s="7">
        <f t="shared" si="41"/>
        <v>1977</v>
      </c>
      <c r="V32" s="7">
        <f t="shared" si="41"/>
        <v>442</v>
      </c>
      <c r="W32" s="7">
        <f t="shared" si="41"/>
        <v>2159</v>
      </c>
      <c r="X32" s="7">
        <f t="shared" si="41"/>
        <v>638</v>
      </c>
      <c r="Y32" s="7">
        <f>Y30+Y31</f>
        <v>-16</v>
      </c>
      <c r="Z32" s="7">
        <f>Z30+Z31</f>
        <v>833</v>
      </c>
      <c r="AA32" s="7">
        <f>AA30+AA31</f>
        <v>1385</v>
      </c>
      <c r="AB32" s="7"/>
      <c r="AC32" s="7"/>
      <c r="AD32" s="7"/>
      <c r="AE32" s="7"/>
      <c r="AF32" s="7"/>
    </row>
    <row r="33" spans="2:32" x14ac:dyDescent="0.2">
      <c r="B33" s="7" t="s">
        <v>39</v>
      </c>
      <c r="C33" s="7">
        <v>9</v>
      </c>
      <c r="D33" s="7">
        <v>11</v>
      </c>
      <c r="E33" s="7">
        <v>21</v>
      </c>
      <c r="F33" s="7">
        <v>-379</v>
      </c>
      <c r="G33" s="7">
        <v>0</v>
      </c>
      <c r="H33" s="7">
        <v>16</v>
      </c>
      <c r="I33" s="7">
        <v>33</v>
      </c>
      <c r="J33" s="7">
        <v>-39</v>
      </c>
      <c r="K33" s="7">
        <v>1</v>
      </c>
      <c r="L33" s="7">
        <v>11</v>
      </c>
      <c r="M33" s="7">
        <v>23</v>
      </c>
      <c r="N33" s="7">
        <f t="shared" si="3"/>
        <v>10</v>
      </c>
      <c r="O33" s="7">
        <v>5</v>
      </c>
      <c r="P33" s="7">
        <v>29</v>
      </c>
      <c r="Q33" s="7"/>
      <c r="R33" s="7"/>
      <c r="S33" s="7"/>
      <c r="T33" s="7">
        <v>3</v>
      </c>
      <c r="U33" s="7">
        <v>2</v>
      </c>
      <c r="V33" s="7">
        <v>11</v>
      </c>
      <c r="W33" s="7">
        <v>42</v>
      </c>
      <c r="X33" s="7">
        <v>26</v>
      </c>
      <c r="Y33" s="7">
        <v>61</v>
      </c>
      <c r="Z33" s="7">
        <v>764</v>
      </c>
      <c r="AA33" s="7">
        <v>45</v>
      </c>
      <c r="AB33" s="7"/>
      <c r="AC33" s="7"/>
      <c r="AD33" s="7"/>
      <c r="AE33" s="7"/>
      <c r="AF33" s="7"/>
    </row>
    <row r="34" spans="2:32" x14ac:dyDescent="0.2">
      <c r="B34" s="7" t="s">
        <v>40</v>
      </c>
      <c r="C34" s="7">
        <f t="shared" ref="C34" si="42">C32-C33</f>
        <v>-38</v>
      </c>
      <c r="D34" s="7">
        <f t="shared" ref="D34" si="43">D32-D33</f>
        <v>84</v>
      </c>
      <c r="E34" s="7">
        <f t="shared" ref="E34" si="44">E32-E33</f>
        <v>260</v>
      </c>
      <c r="F34" s="7">
        <f t="shared" ref="F34" si="45">F32-F33</f>
        <v>21</v>
      </c>
      <c r="G34" s="7">
        <f t="shared" ref="G34" si="46">G32-G33</f>
        <v>170</v>
      </c>
      <c r="H34" s="7">
        <f>H32-H33</f>
        <v>190</v>
      </c>
      <c r="I34" s="7">
        <f t="shared" ref="I34:P34" si="47">I32-I33</f>
        <v>441</v>
      </c>
      <c r="J34" s="7">
        <f t="shared" si="47"/>
        <v>20</v>
      </c>
      <c r="K34" s="7">
        <f t="shared" si="47"/>
        <v>427</v>
      </c>
      <c r="L34" s="7">
        <f t="shared" si="47"/>
        <v>370</v>
      </c>
      <c r="M34" s="7">
        <f t="shared" si="47"/>
        <v>461</v>
      </c>
      <c r="N34" s="7">
        <f t="shared" si="47"/>
        <v>82</v>
      </c>
      <c r="O34" s="7">
        <f t="shared" si="47"/>
        <v>484</v>
      </c>
      <c r="P34" s="7">
        <f t="shared" si="47"/>
        <v>354</v>
      </c>
      <c r="Q34" s="7"/>
      <c r="R34" s="7"/>
      <c r="S34" s="7"/>
      <c r="T34" s="7">
        <f t="shared" ref="T34:X34" si="48">T32-T33</f>
        <v>1700</v>
      </c>
      <c r="U34" s="7">
        <f t="shared" si="48"/>
        <v>1975</v>
      </c>
      <c r="V34" s="7">
        <f t="shared" si="48"/>
        <v>431</v>
      </c>
      <c r="W34" s="7">
        <f t="shared" si="48"/>
        <v>2117</v>
      </c>
      <c r="X34" s="7">
        <f t="shared" si="48"/>
        <v>612</v>
      </c>
      <c r="Y34" s="7">
        <f>Y32-Y33</f>
        <v>-77</v>
      </c>
      <c r="Z34" s="7">
        <f>Z32-Z33</f>
        <v>69</v>
      </c>
      <c r="AA34" s="7">
        <f>AA32-AA33</f>
        <v>1340</v>
      </c>
      <c r="AB34" s="7"/>
      <c r="AC34" s="7"/>
      <c r="AD34" s="7"/>
      <c r="AE34" s="7"/>
      <c r="AF34" s="7"/>
    </row>
    <row r="35" spans="2:32" x14ac:dyDescent="0.2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2:32" x14ac:dyDescent="0.2">
      <c r="B36" s="2" t="s">
        <v>47</v>
      </c>
      <c r="C36" s="4">
        <v>-0.22</v>
      </c>
      <c r="D36" s="4">
        <v>0.47</v>
      </c>
      <c r="E36" s="4">
        <v>1.4</v>
      </c>
      <c r="F36" s="4"/>
      <c r="G36" s="4">
        <v>0.96</v>
      </c>
      <c r="H36" s="4">
        <v>1.0900000000000001</v>
      </c>
      <c r="I36" s="4">
        <v>2.48</v>
      </c>
      <c r="J36" s="4">
        <f>+J34/J37</f>
        <v>0.11201401626905014</v>
      </c>
      <c r="K36" s="4">
        <f t="shared" ref="K36:P36" si="49">+K34/K37</f>
        <v>2.3914992473442207</v>
      </c>
      <c r="L36" s="4">
        <f t="shared" si="49"/>
        <v>2.0722209435125509</v>
      </c>
      <c r="M36" s="4">
        <f t="shared" si="49"/>
        <v>2.581923075001606</v>
      </c>
      <c r="N36" s="4">
        <f t="shared" si="49"/>
        <v>0.45923139673213176</v>
      </c>
      <c r="O36" s="4">
        <f t="shared" si="49"/>
        <v>2.7314929403012975</v>
      </c>
      <c r="P36" s="4">
        <f t="shared" si="49"/>
        <v>2.00826517986664</v>
      </c>
      <c r="Q36" s="4"/>
      <c r="R36" s="4"/>
      <c r="S36" s="4"/>
      <c r="T36" s="9">
        <v>8.44</v>
      </c>
      <c r="U36" s="9">
        <v>10</v>
      </c>
      <c r="V36" s="9">
        <v>2.31</v>
      </c>
      <c r="W36" s="9">
        <v>7.47</v>
      </c>
      <c r="X36" s="9">
        <v>1.25</v>
      </c>
      <c r="Y36" s="9">
        <f>+Y34/Y37</f>
        <v>-0.43125396263584304</v>
      </c>
      <c r="Z36" s="9">
        <f>+Z34/Z37</f>
        <v>0.38644835612822298</v>
      </c>
      <c r="AA36" s="9">
        <f>+AA34/AA37</f>
        <v>7.5045130685494703</v>
      </c>
    </row>
    <row r="37" spans="2:32" x14ac:dyDescent="0.2">
      <c r="B37" s="2" t="s">
        <v>46</v>
      </c>
      <c r="C37" s="4">
        <f t="shared" ref="C37:I37" si="50">C34/C36</f>
        <v>172.72727272727272</v>
      </c>
      <c r="D37" s="4">
        <f t="shared" si="50"/>
        <v>178.72340425531917</v>
      </c>
      <c r="E37" s="4">
        <f t="shared" si="50"/>
        <v>185.71428571428572</v>
      </c>
      <c r="F37" s="4" t="e">
        <f t="shared" si="50"/>
        <v>#DIV/0!</v>
      </c>
      <c r="G37" s="4">
        <f t="shared" si="50"/>
        <v>177.08333333333334</v>
      </c>
      <c r="H37" s="4">
        <f t="shared" si="50"/>
        <v>174.31192660550457</v>
      </c>
      <c r="I37" s="4">
        <f t="shared" si="50"/>
        <v>177.82258064516128</v>
      </c>
      <c r="J37" s="4">
        <v>178.54908399999999</v>
      </c>
      <c r="K37" s="4">
        <v>178.54908399999999</v>
      </c>
      <c r="L37" s="4">
        <v>178.55238900000001</v>
      </c>
      <c r="M37" s="4">
        <v>178.54908399999999</v>
      </c>
      <c r="N37" s="4">
        <f>+AA37</f>
        <v>178.55922000000001</v>
      </c>
      <c r="O37" s="4">
        <v>177.192477</v>
      </c>
      <c r="P37" s="4">
        <v>176.27154200000001</v>
      </c>
      <c r="Q37" s="4"/>
      <c r="R37" s="4"/>
      <c r="S37" s="4"/>
      <c r="T37" s="4">
        <f t="shared" ref="T37:X37" si="51">T34/T36</f>
        <v>201.4218009478673</v>
      </c>
      <c r="U37" s="4">
        <f t="shared" si="51"/>
        <v>197.5</v>
      </c>
      <c r="V37" s="4">
        <f t="shared" si="51"/>
        <v>186.58008658008657</v>
      </c>
      <c r="W37" s="4">
        <f t="shared" si="51"/>
        <v>283.40026773761713</v>
      </c>
      <c r="X37" s="4">
        <f t="shared" si="51"/>
        <v>489.6</v>
      </c>
      <c r="Y37" s="4">
        <v>178.54908399999999</v>
      </c>
      <c r="Z37" s="4">
        <v>178.54908399999999</v>
      </c>
      <c r="AA37" s="4">
        <v>178.55922000000001</v>
      </c>
    </row>
    <row r="38" spans="2:32" x14ac:dyDescent="0.2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2:32" x14ac:dyDescent="0.2">
      <c r="B39" s="2" t="s">
        <v>58</v>
      </c>
      <c r="C39" s="4"/>
      <c r="D39" s="4"/>
      <c r="E39" s="4"/>
      <c r="F39" s="4"/>
      <c r="G39" s="10">
        <f t="shared" ref="G39:P39" si="52">+G3/C3-1</f>
        <v>1.4833127317676054E-2</v>
      </c>
      <c r="H39" s="10">
        <f t="shared" si="52"/>
        <v>0</v>
      </c>
      <c r="I39" s="10">
        <f t="shared" si="52"/>
        <v>3.5220125786163514E-2</v>
      </c>
      <c r="J39" s="10">
        <f t="shared" si="52"/>
        <v>7.2115384615385469E-3</v>
      </c>
      <c r="K39" s="10">
        <f t="shared" si="52"/>
        <v>1.8270401948842885E-2</v>
      </c>
      <c r="L39" s="10">
        <f t="shared" si="52"/>
        <v>4.7146401985111552E-2</v>
      </c>
      <c r="M39" s="10">
        <f t="shared" si="52"/>
        <v>5.2247873633049835E-2</v>
      </c>
      <c r="N39" s="10">
        <f t="shared" si="52"/>
        <v>5.7279236276849721E-2</v>
      </c>
      <c r="O39" s="10">
        <f t="shared" si="52"/>
        <v>4.7846889952153138E-2</v>
      </c>
      <c r="P39" s="10">
        <f t="shared" si="52"/>
        <v>7.5829383886255819E-2</v>
      </c>
      <c r="Q39" s="10"/>
      <c r="R39" s="10"/>
      <c r="S39" s="4"/>
      <c r="T39" s="4"/>
      <c r="U39" s="10" t="e">
        <f t="shared" ref="U39:Y39" si="53">+U3/T3-1</f>
        <v>#DIV/0!</v>
      </c>
      <c r="V39" s="10" t="e">
        <f t="shared" si="53"/>
        <v>#DIV/0!</v>
      </c>
      <c r="W39" s="10" t="e">
        <f t="shared" si="53"/>
        <v>#DIV/0!</v>
      </c>
      <c r="X39" s="10" t="e">
        <f t="shared" si="53"/>
        <v>#DIV/0!</v>
      </c>
      <c r="Y39" s="10" t="e">
        <f t="shared" si="53"/>
        <v>#DIV/0!</v>
      </c>
      <c r="Z39" s="10">
        <f>+Z3/Y3-1</f>
        <v>7.2115384615385469E-3</v>
      </c>
      <c r="AA39" s="10">
        <f>+AA3/Z3-1</f>
        <v>5.7279236276849721E-2</v>
      </c>
    </row>
    <row r="40" spans="2:32" x14ac:dyDescent="0.2">
      <c r="B40" s="2" t="s">
        <v>59</v>
      </c>
      <c r="C40" s="4"/>
      <c r="D40" s="4"/>
      <c r="E40" s="4"/>
      <c r="F40" s="4"/>
      <c r="G40" s="10">
        <f>+G4/C4-1</f>
        <v>4.9147442326980872E-2</v>
      </c>
      <c r="H40" s="10">
        <f>+H4/D4-1</f>
        <v>0</v>
      </c>
      <c r="I40" s="10">
        <f>+I4/E4-1</f>
        <v>-1.5525114155251152E-2</v>
      </c>
      <c r="J40" s="10">
        <f t="shared" ref="J40" si="54">+J4/F4-1</f>
        <v>6.2075654704170757E-2</v>
      </c>
      <c r="K40" s="10">
        <f>+K4/G4-1</f>
        <v>4.8757170172084141E-2</v>
      </c>
      <c r="L40" s="10">
        <f>+L4/H4-1</f>
        <v>3.3898305084745672E-2</v>
      </c>
      <c r="M40" s="10">
        <f>+M4/I4-1</f>
        <v>3.4322820037105739E-2</v>
      </c>
      <c r="N40" s="10">
        <f>+N4/J4-1</f>
        <v>3.7442922374429255E-2</v>
      </c>
      <c r="O40" s="10">
        <f>+O4/K4-1</f>
        <v>2.4612579762989917E-2</v>
      </c>
      <c r="P40" s="10">
        <f>+P4/L4-1</f>
        <v>2.5500910746812488E-2</v>
      </c>
      <c r="Q40" s="10"/>
      <c r="R40" s="10"/>
      <c r="S40" s="4"/>
      <c r="T40" s="4"/>
      <c r="U40" s="10" t="e">
        <f t="shared" ref="U40:Y40" si="55">+U4/T4-1</f>
        <v>#DIV/0!</v>
      </c>
      <c r="V40" s="10" t="e">
        <f t="shared" si="55"/>
        <v>#DIV/0!</v>
      </c>
      <c r="W40" s="10" t="e">
        <f t="shared" si="55"/>
        <v>#DIV/0!</v>
      </c>
      <c r="X40" s="10" t="e">
        <f t="shared" si="55"/>
        <v>#DIV/0!</v>
      </c>
      <c r="Y40" s="10" t="e">
        <f t="shared" si="55"/>
        <v>#DIV/0!</v>
      </c>
      <c r="Z40" s="10">
        <f>+Z4/Y4-1</f>
        <v>6.2075654704170757E-2</v>
      </c>
      <c r="AA40" s="10">
        <f>+AA4/Z4-1</f>
        <v>3.7442922374429255E-2</v>
      </c>
    </row>
    <row r="41" spans="2:32" x14ac:dyDescent="0.2">
      <c r="B41" s="2" t="s">
        <v>60</v>
      </c>
      <c r="C41" s="4"/>
      <c r="D41" s="4"/>
      <c r="E41" s="4"/>
      <c r="F41" s="4"/>
      <c r="G41" s="10">
        <f t="shared" ref="G41:P44" si="56">+G7/C7-1</f>
        <v>0.14844267726971494</v>
      </c>
      <c r="H41" s="10">
        <f t="shared" si="56"/>
        <v>0.20100502512562812</v>
      </c>
      <c r="I41" s="10">
        <f t="shared" si="56"/>
        <v>0.18763796909492281</v>
      </c>
      <c r="J41" s="10">
        <f t="shared" si="56"/>
        <v>0.26277897768178549</v>
      </c>
      <c r="K41" s="10">
        <f t="shared" si="56"/>
        <v>0.14598961338718985</v>
      </c>
      <c r="L41" s="10">
        <f t="shared" si="56"/>
        <v>4.4456066945606665E-2</v>
      </c>
      <c r="M41" s="10">
        <f t="shared" si="56"/>
        <v>8.1784386617100413E-2</v>
      </c>
      <c r="N41" s="10">
        <f t="shared" si="56"/>
        <v>4.0478905359178974E-2</v>
      </c>
      <c r="O41" s="10">
        <f t="shared" si="56"/>
        <v>5.2366565961732059E-2</v>
      </c>
      <c r="P41" s="10">
        <f t="shared" si="56"/>
        <v>5.5583375062593809E-2</v>
      </c>
      <c r="Q41" s="10"/>
      <c r="R41" s="10"/>
      <c r="S41" s="4"/>
      <c r="T41" s="4"/>
      <c r="U41" s="10" t="e">
        <f t="shared" ref="U41:AA44" si="57">+U7/T7-1</f>
        <v>#DIV/0!</v>
      </c>
      <c r="V41" s="10" t="e">
        <f t="shared" si="57"/>
        <v>#DIV/0!</v>
      </c>
      <c r="W41" s="10" t="e">
        <f t="shared" si="57"/>
        <v>#DIV/0!</v>
      </c>
      <c r="X41" s="10" t="e">
        <f t="shared" si="57"/>
        <v>#DIV/0!</v>
      </c>
      <c r="Y41" s="10" t="e">
        <f t="shared" si="57"/>
        <v>#DIV/0!</v>
      </c>
      <c r="Z41" s="10">
        <f t="shared" si="57"/>
        <v>0.19819105046017138</v>
      </c>
      <c r="AA41" s="10">
        <f t="shared" si="57"/>
        <v>7.7473182359952375E-2</v>
      </c>
    </row>
    <row r="42" spans="2:32" x14ac:dyDescent="0.2">
      <c r="B42" s="2" t="s">
        <v>61</v>
      </c>
      <c r="C42" s="4"/>
      <c r="D42" s="4"/>
      <c r="E42" s="4"/>
      <c r="F42" s="4"/>
      <c r="G42" s="10">
        <f t="shared" si="56"/>
        <v>-4.6728971962616828E-2</v>
      </c>
      <c r="H42" s="10">
        <f t="shared" si="56"/>
        <v>-6.9335239456754794E-2</v>
      </c>
      <c r="I42" s="10">
        <f t="shared" si="56"/>
        <v>-8.2210242587601123E-2</v>
      </c>
      <c r="J42" s="10">
        <f t="shared" si="56"/>
        <v>0.15789473684210531</v>
      </c>
      <c r="K42" s="10">
        <f t="shared" si="56"/>
        <v>5.525846702317283E-2</v>
      </c>
      <c r="L42" s="10">
        <f t="shared" si="56"/>
        <v>2.8417818740399392E-2</v>
      </c>
      <c r="M42" s="10">
        <f t="shared" si="56"/>
        <v>-4.6989720998531603E-2</v>
      </c>
      <c r="N42" s="10">
        <f t="shared" si="56"/>
        <v>-5.663189269746649E-2</v>
      </c>
      <c r="O42" s="10">
        <f t="shared" si="56"/>
        <v>1.3513513513513598E-2</v>
      </c>
      <c r="P42" s="10">
        <f t="shared" si="56"/>
        <v>0.13666915608663177</v>
      </c>
      <c r="Q42" s="10"/>
      <c r="R42" s="10"/>
      <c r="S42" s="4"/>
      <c r="T42" s="4"/>
      <c r="U42" s="10" t="e">
        <f t="shared" si="57"/>
        <v>#DIV/0!</v>
      </c>
      <c r="V42" s="10" t="e">
        <f t="shared" si="57"/>
        <v>#DIV/0!</v>
      </c>
      <c r="W42" s="10" t="e">
        <f t="shared" si="57"/>
        <v>#DIV/0!</v>
      </c>
      <c r="X42" s="10" t="e">
        <f t="shared" si="57"/>
        <v>#DIV/0!</v>
      </c>
      <c r="Y42" s="10" t="e">
        <f t="shared" si="57"/>
        <v>#DIV/0!</v>
      </c>
      <c r="Z42" s="10">
        <f t="shared" si="57"/>
        <v>-1.7436290477102934E-2</v>
      </c>
      <c r="AA42" s="10">
        <f t="shared" si="57"/>
        <v>-7.9953198127925562E-3</v>
      </c>
    </row>
    <row r="43" spans="2:32" x14ac:dyDescent="0.2">
      <c r="B43" s="2" t="s">
        <v>62</v>
      </c>
      <c r="C43" s="4"/>
      <c r="D43" s="4"/>
      <c r="E43" s="4"/>
      <c r="F43" s="4"/>
      <c r="G43" s="10">
        <f t="shared" si="56"/>
        <v>1.4705882352941124E-2</v>
      </c>
      <c r="H43" s="10">
        <f t="shared" si="56"/>
        <v>7.3107049608355013E-2</v>
      </c>
      <c r="I43" s="10">
        <f t="shared" si="56"/>
        <v>8.7356321839080486E-2</v>
      </c>
      <c r="J43" s="10">
        <f t="shared" si="56"/>
        <v>0.18507462686567155</v>
      </c>
      <c r="K43" s="10">
        <f t="shared" si="56"/>
        <v>0.14715719063545141</v>
      </c>
      <c r="L43" s="10">
        <f t="shared" si="56"/>
        <v>-2.9197080291970767E-2</v>
      </c>
      <c r="M43" s="10">
        <f t="shared" si="56"/>
        <v>1.0570824524311906E-3</v>
      </c>
      <c r="N43" s="10">
        <f t="shared" si="56"/>
        <v>6.9269521410579404E-2</v>
      </c>
      <c r="O43" s="10">
        <f t="shared" si="56"/>
        <v>0.10301263362487845</v>
      </c>
      <c r="P43" s="10">
        <f t="shared" si="56"/>
        <v>0.19423558897243098</v>
      </c>
      <c r="Q43" s="10"/>
      <c r="R43" s="10"/>
      <c r="S43" s="4"/>
      <c r="T43" s="4"/>
      <c r="U43" s="10" t="e">
        <f t="shared" si="57"/>
        <v>#DIV/0!</v>
      </c>
      <c r="V43" s="10" t="e">
        <f t="shared" si="57"/>
        <v>#DIV/0!</v>
      </c>
      <c r="W43" s="10" t="e">
        <f t="shared" si="57"/>
        <v>#DIV/0!</v>
      </c>
      <c r="X43" s="10" t="e">
        <f t="shared" si="57"/>
        <v>#DIV/0!</v>
      </c>
      <c r="Y43" s="10" t="e">
        <f t="shared" si="57"/>
        <v>#DIV/0!</v>
      </c>
      <c r="Z43" s="10">
        <f t="shared" si="57"/>
        <v>8.4326018808777325E-2</v>
      </c>
      <c r="AA43" s="10">
        <f t="shared" si="57"/>
        <v>4.7412546978895742E-2</v>
      </c>
    </row>
    <row r="44" spans="2:32" x14ac:dyDescent="0.2">
      <c r="B44" s="2" t="s">
        <v>63</v>
      </c>
      <c r="C44" s="4"/>
      <c r="D44" s="4"/>
      <c r="E44" s="4"/>
      <c r="F44" s="4"/>
      <c r="G44" s="10">
        <f t="shared" si="56"/>
        <v>5.9523809523809534E-2</v>
      </c>
      <c r="H44" s="10">
        <f t="shared" si="56"/>
        <v>0.24833333333333329</v>
      </c>
      <c r="I44" s="10">
        <f t="shared" si="56"/>
        <v>9.1127098321343025E-2</v>
      </c>
      <c r="J44" s="10">
        <f t="shared" si="56"/>
        <v>0.26344086021505375</v>
      </c>
      <c r="K44" s="10">
        <f t="shared" si="56"/>
        <v>0.2219101123595506</v>
      </c>
      <c r="L44" s="10">
        <f t="shared" si="56"/>
        <v>1.735647530040052E-2</v>
      </c>
      <c r="M44" s="10">
        <f t="shared" si="56"/>
        <v>2.7472527472527375E-2</v>
      </c>
      <c r="N44" s="10">
        <f t="shared" si="56"/>
        <v>3.1914893617022155E-3</v>
      </c>
      <c r="O44" s="10">
        <f t="shared" si="56"/>
        <v>-1.1494252873562871E-3</v>
      </c>
      <c r="P44" s="10">
        <f t="shared" si="56"/>
        <v>0.11286089238845154</v>
      </c>
      <c r="Q44" s="10"/>
      <c r="R44" s="10"/>
      <c r="S44" s="4"/>
      <c r="T44" s="4"/>
      <c r="U44" s="10" t="e">
        <f t="shared" si="57"/>
        <v>#DIV/0!</v>
      </c>
      <c r="V44" s="10" t="e">
        <f t="shared" si="57"/>
        <v>#DIV/0!</v>
      </c>
      <c r="W44" s="10" t="e">
        <f t="shared" si="57"/>
        <v>#DIV/0!</v>
      </c>
      <c r="X44" s="10" t="e">
        <f t="shared" si="57"/>
        <v>#DIV/0!</v>
      </c>
      <c r="Y44" s="10" t="e">
        <f t="shared" si="57"/>
        <v>#DIV/0!</v>
      </c>
      <c r="Z44" s="10">
        <f t="shared" si="57"/>
        <v>0.16140350877192988</v>
      </c>
      <c r="AA44" s="10">
        <f t="shared" si="57"/>
        <v>6.042296072507547E-2</v>
      </c>
    </row>
    <row r="45" spans="2:32" x14ac:dyDescent="0.2">
      <c r="B45" s="2" t="s">
        <v>68</v>
      </c>
      <c r="C45" s="4"/>
      <c r="D45" s="4"/>
      <c r="E45" s="4"/>
      <c r="F45" s="4"/>
      <c r="G45" s="10">
        <f t="shared" ref="G45:I47" si="58">+G13/C13-1</f>
        <v>7.1452199801521621E-2</v>
      </c>
      <c r="H45" s="10">
        <f t="shared" si="58"/>
        <v>0.15183752417794971</v>
      </c>
      <c r="I45" s="10">
        <f t="shared" si="58"/>
        <v>0.10289389067524124</v>
      </c>
      <c r="J45" s="10">
        <f t="shared" ref="J45:J47" si="59">+J13/F13-1</f>
        <v>0.3356973995271868</v>
      </c>
      <c r="K45" s="10">
        <f t="shared" ref="K45:P47" si="60">+K13/G13-1</f>
        <v>0.16085211485026241</v>
      </c>
      <c r="L45" s="10">
        <f t="shared" si="60"/>
        <v>-0.30702490904002244</v>
      </c>
      <c r="M45" s="10">
        <f t="shared" si="60"/>
        <v>-6.095944871455039E-3</v>
      </c>
      <c r="N45" s="10">
        <f t="shared" si="60"/>
        <v>0.25250737463126849</v>
      </c>
      <c r="O45" s="10">
        <f t="shared" si="60"/>
        <v>-1.6223404255319096E-2</v>
      </c>
      <c r="P45" s="10">
        <f t="shared" si="60"/>
        <v>0.41033925686591277</v>
      </c>
      <c r="Q45" s="10"/>
      <c r="R45" s="10"/>
      <c r="S45" s="4"/>
      <c r="T45" s="4"/>
      <c r="U45" s="10" t="e">
        <f t="shared" ref="U45:Y47" si="61">+U13/T13-1</f>
        <v>#DIV/0!</v>
      </c>
      <c r="V45" s="10" t="e">
        <f t="shared" si="61"/>
        <v>#DIV/0!</v>
      </c>
      <c r="W45" s="10" t="e">
        <f t="shared" si="61"/>
        <v>#DIV/0!</v>
      </c>
      <c r="X45" s="10" t="e">
        <f t="shared" si="61"/>
        <v>#DIV/0!</v>
      </c>
      <c r="Y45" s="10" t="e">
        <f t="shared" si="61"/>
        <v>#DIV/0!</v>
      </c>
      <c r="Z45" s="10">
        <f t="shared" ref="Z45:AA47" si="62">+Z13/Y13-1</f>
        <v>0.15658362989323837</v>
      </c>
      <c r="AA45" s="10">
        <f t="shared" si="62"/>
        <v>1.8389982110912362E-2</v>
      </c>
    </row>
    <row r="46" spans="2:32" x14ac:dyDescent="0.2">
      <c r="B46" s="2" t="s">
        <v>69</v>
      </c>
      <c r="C46" s="4"/>
      <c r="D46" s="4"/>
      <c r="E46" s="4"/>
      <c r="F46" s="4"/>
      <c r="G46" s="10">
        <f t="shared" si="58"/>
        <v>-1.3605442176870763E-2</v>
      </c>
      <c r="H46" s="10">
        <f t="shared" si="58"/>
        <v>3.0501089324618702E-2</v>
      </c>
      <c r="I46" s="10">
        <f t="shared" si="58"/>
        <v>2.6051188299817118E-2</v>
      </c>
      <c r="J46" s="10">
        <f t="shared" si="59"/>
        <v>0.10140562248995977</v>
      </c>
      <c r="K46" s="10">
        <f t="shared" si="60"/>
        <v>4.403183023872681E-2</v>
      </c>
      <c r="L46" s="10">
        <f t="shared" si="60"/>
        <v>7.2410147991543328E-2</v>
      </c>
      <c r="M46" s="10">
        <f t="shared" si="60"/>
        <v>6.1469933184855163E-2</v>
      </c>
      <c r="N46" s="10">
        <f t="shared" si="60"/>
        <v>8.6599817684594349E-2</v>
      </c>
      <c r="O46" s="10">
        <f t="shared" si="60"/>
        <v>0.24085365853658547</v>
      </c>
      <c r="P46" s="10">
        <f t="shared" si="60"/>
        <v>0.34105470675209459</v>
      </c>
      <c r="Q46" s="10"/>
      <c r="R46" s="10"/>
      <c r="S46" s="4"/>
      <c r="T46" s="4"/>
      <c r="U46" s="10" t="e">
        <f t="shared" si="61"/>
        <v>#DIV/0!</v>
      </c>
      <c r="V46" s="10" t="e">
        <f t="shared" si="61"/>
        <v>#DIV/0!</v>
      </c>
      <c r="W46" s="10" t="e">
        <f t="shared" si="61"/>
        <v>#DIV/0!</v>
      </c>
      <c r="X46" s="10" t="e">
        <f t="shared" si="61"/>
        <v>#DIV/0!</v>
      </c>
      <c r="Y46" s="10" t="e">
        <f t="shared" si="61"/>
        <v>#DIV/0!</v>
      </c>
      <c r="Z46" s="10">
        <f t="shared" si="62"/>
        <v>4.5824847250509171E-2</v>
      </c>
      <c r="AA46" s="10">
        <f t="shared" si="62"/>
        <v>6.669912366114894E-2</v>
      </c>
    </row>
    <row r="47" spans="2:32" x14ac:dyDescent="0.2">
      <c r="B47" s="2" t="s">
        <v>70</v>
      </c>
      <c r="C47" s="4"/>
      <c r="D47" s="4"/>
      <c r="E47" s="4"/>
      <c r="F47" s="4"/>
      <c r="G47" s="10">
        <f t="shared" si="58"/>
        <v>-3.5294117647058809E-2</v>
      </c>
      <c r="H47" s="10">
        <f t="shared" si="58"/>
        <v>-8.6419753086419804E-2</v>
      </c>
      <c r="I47" s="10">
        <f t="shared" si="58"/>
        <v>7.9487179487179427E-2</v>
      </c>
      <c r="J47" s="10">
        <f t="shared" si="59"/>
        <v>7.9545454545454586E-2</v>
      </c>
      <c r="K47" s="10">
        <f t="shared" si="60"/>
        <v>0.29268292682926833</v>
      </c>
      <c r="L47" s="10">
        <f t="shared" si="60"/>
        <v>0.2081081081081082</v>
      </c>
      <c r="M47" s="10">
        <f t="shared" si="60"/>
        <v>0.178147268408551</v>
      </c>
      <c r="N47" s="10">
        <f t="shared" si="60"/>
        <v>0.17894736842105252</v>
      </c>
      <c r="O47" s="10">
        <f t="shared" si="60"/>
        <v>6.3679245283018826E-2</v>
      </c>
      <c r="P47" s="10">
        <f t="shared" si="60"/>
        <v>0.18568232662192385</v>
      </c>
      <c r="Q47" s="10"/>
      <c r="R47" s="10"/>
      <c r="S47" s="4"/>
      <c r="T47" s="4"/>
      <c r="U47" s="10" t="e">
        <f t="shared" si="61"/>
        <v>#DIV/0!</v>
      </c>
      <c r="V47" s="10" t="e">
        <f t="shared" si="61"/>
        <v>#DIV/0!</v>
      </c>
      <c r="W47" s="10" t="e">
        <f t="shared" si="61"/>
        <v>#DIV/0!</v>
      </c>
      <c r="X47" s="10" t="e">
        <f t="shared" si="61"/>
        <v>#DIV/0!</v>
      </c>
      <c r="Y47" s="10" t="e">
        <f t="shared" si="61"/>
        <v>#DIV/0!</v>
      </c>
      <c r="Z47" s="10">
        <f t="shared" si="62"/>
        <v>7.3924731182795078E-3</v>
      </c>
      <c r="AA47" s="10">
        <f t="shared" si="62"/>
        <v>0.21080720480320214</v>
      </c>
    </row>
    <row r="48" spans="2:32" x14ac:dyDescent="0.2">
      <c r="B48" s="1" t="s">
        <v>41</v>
      </c>
      <c r="C48" s="11"/>
      <c r="D48" s="11"/>
      <c r="E48" s="11"/>
      <c r="F48" s="11"/>
      <c r="G48" s="12">
        <f>G16/C16-1</f>
        <v>3.4888130451270483E-2</v>
      </c>
      <c r="H48" s="12">
        <f t="shared" ref="H48:J48" si="63">H16/D16-1</f>
        <v>8.9650009358038574E-2</v>
      </c>
      <c r="I48" s="12">
        <f t="shared" si="63"/>
        <v>7.3178863143857242E-2</v>
      </c>
      <c r="J48" s="12">
        <f t="shared" si="63"/>
        <v>0.23960931005818797</v>
      </c>
      <c r="K48" s="12">
        <f t="shared" ref="K48" si="64">K16/G16-1</f>
        <v>0.1273360205203371</v>
      </c>
      <c r="L48" s="12">
        <f t="shared" ref="L48" si="65">L16/H16-1</f>
        <v>2.2329096530401937E-2</v>
      </c>
      <c r="M48" s="12">
        <f t="shared" ref="M48" si="66">M16/I16-1</f>
        <v>2.982292637465056E-2</v>
      </c>
      <c r="N48" s="12">
        <f t="shared" ref="N48:P48" si="67">N16/J16-1</f>
        <v>1.8608549874266522E-2</v>
      </c>
      <c r="O48" s="12">
        <f t="shared" si="67"/>
        <v>7.1347310255160057E-2</v>
      </c>
      <c r="P48" s="12">
        <f t="shared" si="67"/>
        <v>0.13289650537634401</v>
      </c>
      <c r="Q48" s="12"/>
      <c r="R48" s="12"/>
      <c r="S48" s="4"/>
      <c r="T48" s="10"/>
      <c r="U48" s="12">
        <f t="shared" ref="U48:X48" si="68">U16/T16-1</f>
        <v>7.8713210130047839E-2</v>
      </c>
      <c r="V48" s="12">
        <f t="shared" si="68"/>
        <v>-0.22017766497461932</v>
      </c>
      <c r="W48" s="12">
        <f t="shared" si="68"/>
        <v>0.15183075671277457</v>
      </c>
      <c r="X48" s="12">
        <f t="shared" si="68"/>
        <v>6.0139399076952094E-2</v>
      </c>
      <c r="Y48" s="12">
        <f>Y16/X16-1</f>
        <v>-4.8154235706987736E-2</v>
      </c>
      <c r="Z48" s="12">
        <f>Z16/Y16-1</f>
        <v>0.10528772109954732</v>
      </c>
      <c r="AA48" s="12">
        <f>AA16/Z16-1</f>
        <v>4.7629101042942157E-2</v>
      </c>
    </row>
    <row r="49" spans="2:27" x14ac:dyDescent="0.2">
      <c r="B49" s="2" t="s">
        <v>42</v>
      </c>
      <c r="C49" s="10">
        <f t="shared" ref="C49:G49" si="69">C18/C16</f>
        <v>0.44804702313234734</v>
      </c>
      <c r="D49" s="10">
        <f t="shared" si="69"/>
        <v>0.50870297585626056</v>
      </c>
      <c r="E49" s="10">
        <f t="shared" si="69"/>
        <v>0.49258209701616934</v>
      </c>
      <c r="F49" s="10">
        <f t="shared" si="69"/>
        <v>0.44638403990024939</v>
      </c>
      <c r="G49" s="10">
        <f t="shared" si="69"/>
        <v>0.51227555881275189</v>
      </c>
      <c r="H49" s="10">
        <f>H18/H16</f>
        <v>0.50824458948814843</v>
      </c>
      <c r="I49" s="10">
        <f t="shared" ref="I49:J49" si="70">I18/I16</f>
        <v>0.51273687480584029</v>
      </c>
      <c r="J49" s="10">
        <f t="shared" si="70"/>
        <v>0.49790444258172672</v>
      </c>
      <c r="K49" s="10">
        <f t="shared" ref="K49:N49" si="71">K18/K16</f>
        <v>0.52088412156671537</v>
      </c>
      <c r="L49" s="10">
        <f t="shared" si="71"/>
        <v>0.51696908602150538</v>
      </c>
      <c r="M49" s="10">
        <f t="shared" si="71"/>
        <v>0.51809954751131226</v>
      </c>
      <c r="N49" s="10">
        <f t="shared" si="71"/>
        <v>0.50822909809084926</v>
      </c>
      <c r="O49" s="10">
        <f t="shared" ref="O49:P49" si="72">O18/O16</f>
        <v>0.51107402912621358</v>
      </c>
      <c r="P49" s="10">
        <f t="shared" si="72"/>
        <v>0.52498887735429334</v>
      </c>
      <c r="Q49" s="10"/>
      <c r="R49" s="10"/>
      <c r="S49" s="4"/>
      <c r="T49" s="10">
        <f t="shared" ref="T49:X49" si="73">T18/T16</f>
        <v>0.51850330823636781</v>
      </c>
      <c r="U49" s="10">
        <f t="shared" si="73"/>
        <v>0.52000846023688663</v>
      </c>
      <c r="V49" s="10">
        <f t="shared" si="73"/>
        <v>0.50024410089503657</v>
      </c>
      <c r="W49" s="10">
        <f t="shared" si="73"/>
        <v>0.50696995384760291</v>
      </c>
      <c r="X49" s="10">
        <f t="shared" si="73"/>
        <v>0.47283550264315222</v>
      </c>
      <c r="Y49" s="10">
        <f>Y18/Y16</f>
        <v>0.47524151771129886</v>
      </c>
      <c r="Z49" s="10">
        <f>Z18/Z16</f>
        <v>0.5077481737955496</v>
      </c>
      <c r="AA49" s="10">
        <f>AA18/AA16</f>
        <v>0.51610172907178264</v>
      </c>
    </row>
    <row r="50" spans="2:27" x14ac:dyDescent="0.2">
      <c r="B50" s="2" t="s">
        <v>43</v>
      </c>
      <c r="C50" s="10">
        <f t="shared" ref="C50:G50" si="74">C25/C16</f>
        <v>1.1376564277588168E-2</v>
      </c>
      <c r="D50" s="10">
        <f t="shared" si="74"/>
        <v>3.2753134942915964E-2</v>
      </c>
      <c r="E50" s="10">
        <f t="shared" si="74"/>
        <v>6.8344724120686776E-2</v>
      </c>
      <c r="F50" s="10">
        <f t="shared" si="74"/>
        <v>-7.813798836242726E-2</v>
      </c>
      <c r="G50" s="10">
        <f t="shared" si="74"/>
        <v>6.1561011359472333E-2</v>
      </c>
      <c r="H50" s="10">
        <f>H25/H16</f>
        <v>5.960151150807283E-2</v>
      </c>
      <c r="I50" s="10">
        <f t="shared" ref="I50:J50" si="75">I25/I16</f>
        <v>9.2575333954644304E-2</v>
      </c>
      <c r="J50" s="10">
        <f t="shared" si="75"/>
        <v>9.5557418273260683E-3</v>
      </c>
      <c r="K50" s="10">
        <f t="shared" ref="K50:N50" si="76">K25/K16</f>
        <v>9.8976109215017066E-2</v>
      </c>
      <c r="L50" s="10">
        <f t="shared" si="76"/>
        <v>9.1901881720430109E-2</v>
      </c>
      <c r="M50" s="10">
        <f t="shared" si="76"/>
        <v>0.11101055806938159</v>
      </c>
      <c r="N50" s="10">
        <f t="shared" si="76"/>
        <v>2.6991441737985518E-2</v>
      </c>
      <c r="O50" s="10">
        <f t="shared" ref="O50:P50" si="77">O25/O16</f>
        <v>0.10709951456310679</v>
      </c>
      <c r="P50" s="10">
        <f t="shared" si="77"/>
        <v>8.5125315141628355E-2</v>
      </c>
      <c r="Q50" s="10"/>
      <c r="R50" s="10"/>
      <c r="S50" s="4"/>
      <c r="T50" s="10">
        <f t="shared" ref="T50:X50" si="78">T25/T16</f>
        <v>0.1080082135523614</v>
      </c>
      <c r="U50" s="10">
        <f t="shared" si="78"/>
        <v>0.11252115059221658</v>
      </c>
      <c r="V50" s="10">
        <f t="shared" si="78"/>
        <v>4.0412259289395173E-2</v>
      </c>
      <c r="W50" s="10">
        <f t="shared" si="78"/>
        <v>9.3576339832344355E-2</v>
      </c>
      <c r="X50" s="10">
        <f t="shared" si="78"/>
        <v>2.9718804140198125E-2</v>
      </c>
      <c r="Y50" s="10">
        <f>Y25/Y16</f>
        <v>1.2460913800345358E-2</v>
      </c>
      <c r="Z50" s="10">
        <f>Z25/Z16</f>
        <v>5.6327323396529155E-2</v>
      </c>
      <c r="AA50" s="10">
        <f>AA25/AA16</f>
        <v>8.2866470517109353E-2</v>
      </c>
    </row>
    <row r="51" spans="2:27" x14ac:dyDescent="0.2">
      <c r="B51" s="2" t="s">
        <v>45</v>
      </c>
      <c r="C51" s="10">
        <f t="shared" ref="C51:G51" si="79">C34/C16</f>
        <v>-7.2051573758058398E-3</v>
      </c>
      <c r="D51" s="10">
        <f t="shared" si="79"/>
        <v>1.5721504772599662E-2</v>
      </c>
      <c r="E51" s="10">
        <f t="shared" si="79"/>
        <v>4.3340556759459907E-2</v>
      </c>
      <c r="F51" s="10">
        <f t="shared" si="79"/>
        <v>4.3640897755610969E-3</v>
      </c>
      <c r="G51" s="10">
        <f t="shared" si="79"/>
        <v>3.1146940271161598E-2</v>
      </c>
      <c r="H51" s="10">
        <f>H34/H16</f>
        <v>3.2634833390587425E-2</v>
      </c>
      <c r="I51" s="10">
        <f t="shared" ref="I51:J51" si="80">I34/I16</f>
        <v>6.8499534016775401E-2</v>
      </c>
      <c r="J51" s="10">
        <f t="shared" si="80"/>
        <v>3.3528918692372171E-3</v>
      </c>
      <c r="K51" s="10">
        <f t="shared" ref="K51:N51" si="81">K34/K16</f>
        <v>6.9397042093287828E-2</v>
      </c>
      <c r="L51" s="10">
        <f t="shared" si="81"/>
        <v>6.2163978494623656E-2</v>
      </c>
      <c r="M51" s="10">
        <f t="shared" si="81"/>
        <v>6.953242835595777E-2</v>
      </c>
      <c r="N51" s="10">
        <f t="shared" si="81"/>
        <v>1.3495720868992759E-2</v>
      </c>
      <c r="O51" s="10">
        <f t="shared" ref="O51:P51" si="82">O34/O16</f>
        <v>7.3422330097087374E-2</v>
      </c>
      <c r="P51" s="10">
        <f t="shared" si="82"/>
        <v>5.2498887735429337E-2</v>
      </c>
      <c r="Q51" s="10"/>
      <c r="R51" s="10"/>
      <c r="S51" s="4"/>
      <c r="T51" s="10">
        <f t="shared" ref="T51:X51" si="83">T34/T16</f>
        <v>7.7572438968742871E-2</v>
      </c>
      <c r="U51" s="10">
        <f t="shared" si="83"/>
        <v>8.3544839255499159E-2</v>
      </c>
      <c r="V51" s="10">
        <f t="shared" si="83"/>
        <v>2.3379441280173583E-2</v>
      </c>
      <c r="W51" s="10">
        <f t="shared" si="83"/>
        <v>9.9698596590373931E-2</v>
      </c>
      <c r="X51" s="10">
        <f t="shared" si="83"/>
        <v>2.7186708720181245E-2</v>
      </c>
      <c r="Y51" s="10">
        <f>Y34/Y16</f>
        <v>-3.5935968637700096E-3</v>
      </c>
      <c r="Z51" s="10">
        <f>Z34/Z16</f>
        <v>2.9134822446480598E-3</v>
      </c>
      <c r="AA51" s="10">
        <f>AA34/AA16</f>
        <v>5.4008302768933134E-2</v>
      </c>
    </row>
    <row r="52" spans="2:27" x14ac:dyDescent="0.2">
      <c r="B52" s="2" t="s">
        <v>44</v>
      </c>
      <c r="C52" s="10">
        <f t="shared" ref="C52:G52" si="84">C29/C28</f>
        <v>1.71875</v>
      </c>
      <c r="D52" s="10">
        <f t="shared" si="84"/>
        <v>0.21951219512195122</v>
      </c>
      <c r="E52" s="10">
        <f t="shared" si="84"/>
        <v>0.16871165644171779</v>
      </c>
      <c r="F52" s="10">
        <f t="shared" si="84"/>
        <v>3.3816425120772944E-2</v>
      </c>
      <c r="G52" s="10">
        <f t="shared" si="84"/>
        <v>0.30204081632653063</v>
      </c>
      <c r="H52" s="10">
        <f>H29/H28</f>
        <v>0.30491803278688523</v>
      </c>
      <c r="I52" s="10">
        <f t="shared" ref="I52:J52" si="85">I29/I28</f>
        <v>0.22166666666666668</v>
      </c>
      <c r="J52" s="10">
        <f t="shared" si="85"/>
        <v>7.1428571428571425E-2</v>
      </c>
      <c r="K52" s="10">
        <f t="shared" ref="K52:N52" si="86">K29/K28</f>
        <v>0.25513698630136988</v>
      </c>
      <c r="L52" s="10">
        <f t="shared" si="86"/>
        <v>0.23312883435582821</v>
      </c>
      <c r="M52" s="10">
        <f t="shared" si="86"/>
        <v>0.26</v>
      </c>
      <c r="N52" s="10">
        <f t="shared" si="86"/>
        <v>0.1134020618556701</v>
      </c>
      <c r="O52" s="10">
        <f t="shared" ref="O52:P52" si="87">O29/O28</f>
        <v>0.24884080370942813</v>
      </c>
      <c r="P52" s="10">
        <f t="shared" si="87"/>
        <v>0.25094339622641509</v>
      </c>
      <c r="Q52" s="10"/>
      <c r="R52" s="10"/>
      <c r="S52" s="4"/>
      <c r="T52" s="10">
        <f t="shared" ref="T52:X52" si="88">T29/T28</f>
        <v>0.28144720235591081</v>
      </c>
      <c r="U52" s="10">
        <f t="shared" si="88"/>
        <v>0.2501954652071931</v>
      </c>
      <c r="V52" s="10">
        <f t="shared" si="88"/>
        <v>0.20242214532871972</v>
      </c>
      <c r="W52" s="10">
        <f t="shared" si="88"/>
        <v>0.19427954668105774</v>
      </c>
      <c r="X52" s="10">
        <f t="shared" si="88"/>
        <v>0.34536082474226804</v>
      </c>
      <c r="Y52" s="10">
        <f>Y29/Y28</f>
        <v>1.9375</v>
      </c>
      <c r="Z52" s="10">
        <f>Z29/Z28</f>
        <v>0.26470588235294118</v>
      </c>
      <c r="AA52" s="10">
        <f>AA29/AA28</f>
        <v>0.2434065934065934</v>
      </c>
    </row>
    <row r="53" spans="2:27" x14ac:dyDescent="0.2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2:27" x14ac:dyDescent="0.2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2:27" x14ac:dyDescent="0.2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2:27" x14ac:dyDescent="0.2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2:27" x14ac:dyDescent="0.2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2:27" x14ac:dyDescent="0.2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2:27" x14ac:dyDescent="0.2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2:27" x14ac:dyDescent="0.2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2:27" x14ac:dyDescent="0.2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2:27" x14ac:dyDescent="0.2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2:27" x14ac:dyDescent="0.2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2:27" x14ac:dyDescent="0.2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3:26" x14ac:dyDescent="0.2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3:26" x14ac:dyDescent="0.2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3:26" x14ac:dyDescent="0.2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3:26" x14ac:dyDescent="0.2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3:26" x14ac:dyDescent="0.2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3:26" x14ac:dyDescent="0.2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3:26" x14ac:dyDescent="0.2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3:26" x14ac:dyDescent="0.2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3:26" x14ac:dyDescent="0.2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3:26" x14ac:dyDescent="0.2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3:26" x14ac:dyDescent="0.2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3:26" x14ac:dyDescent="0.2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3:26" x14ac:dyDescent="0.2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3:26" x14ac:dyDescent="0.2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3:26" x14ac:dyDescent="0.2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3:26" x14ac:dyDescent="0.2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3:26" x14ac:dyDescent="0.2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3:26" x14ac:dyDescent="0.2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3:26" x14ac:dyDescent="0.2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3:26" x14ac:dyDescent="0.2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3:26" x14ac:dyDescent="0.2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3:26" x14ac:dyDescent="0.2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3:26" x14ac:dyDescent="0.2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3:26" x14ac:dyDescent="0.2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3:26" x14ac:dyDescent="0.2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3:26" x14ac:dyDescent="0.2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3:26" x14ac:dyDescent="0.2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3:26" x14ac:dyDescent="0.2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3:26" x14ac:dyDescent="0.2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3:26" x14ac:dyDescent="0.2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3:26" x14ac:dyDescent="0.2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3:26" x14ac:dyDescent="0.2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3:26" x14ac:dyDescent="0.2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3:26" x14ac:dyDescent="0.2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3:26" x14ac:dyDescent="0.2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3:26" x14ac:dyDescent="0.2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3:26" x14ac:dyDescent="0.2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3:26" x14ac:dyDescent="0.2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3:26" x14ac:dyDescent="0.2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3:26" x14ac:dyDescent="0.2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3:26" x14ac:dyDescent="0.2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3:26" x14ac:dyDescent="0.2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3:26" x14ac:dyDescent="0.2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3:26" x14ac:dyDescent="0.2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3:26" x14ac:dyDescent="0.2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3:26" x14ac:dyDescent="0.2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3:26" x14ac:dyDescent="0.2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3:26" x14ac:dyDescent="0.2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3:26" x14ac:dyDescent="0.2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3:26" x14ac:dyDescent="0.2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3:26" x14ac:dyDescent="0.2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3:26" x14ac:dyDescent="0.2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3:26" x14ac:dyDescent="0.2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3:26" x14ac:dyDescent="0.2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3:26" x14ac:dyDescent="0.2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3:26" x14ac:dyDescent="0.2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3:26" x14ac:dyDescent="0.2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3:26" x14ac:dyDescent="0.2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3:26" x14ac:dyDescent="0.2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3:26" x14ac:dyDescent="0.2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3:26" x14ac:dyDescent="0.2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3:26" x14ac:dyDescent="0.2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3:26" x14ac:dyDescent="0.2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3:26" x14ac:dyDescent="0.2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3:26" x14ac:dyDescent="0.2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3:26" x14ac:dyDescent="0.2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3:26" x14ac:dyDescent="0.2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3:26" x14ac:dyDescent="0.2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3:26" x14ac:dyDescent="0.2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3:26" x14ac:dyDescent="0.2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3:26" x14ac:dyDescent="0.2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3:26" x14ac:dyDescent="0.2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3:26" x14ac:dyDescent="0.2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3:26" x14ac:dyDescent="0.2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3:26" x14ac:dyDescent="0.2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3:26" x14ac:dyDescent="0.2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3:26" x14ac:dyDescent="0.2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3:26" x14ac:dyDescent="0.2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3:26" x14ac:dyDescent="0.2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3:26" x14ac:dyDescent="0.2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3:26" x14ac:dyDescent="0.2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3:26" x14ac:dyDescent="0.2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3:26" x14ac:dyDescent="0.2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3:26" x14ac:dyDescent="0.2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3:26" x14ac:dyDescent="0.2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3:26" x14ac:dyDescent="0.2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3:26" x14ac:dyDescent="0.2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3:26" x14ac:dyDescent="0.2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3:26" x14ac:dyDescent="0.2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3:26" x14ac:dyDescent="0.2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3:26" x14ac:dyDescent="0.2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3:26" x14ac:dyDescent="0.2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3:26" x14ac:dyDescent="0.2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3:26" x14ac:dyDescent="0.2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3:26" x14ac:dyDescent="0.2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3:26" x14ac:dyDescent="0.2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3:26" x14ac:dyDescent="0.2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3:26" x14ac:dyDescent="0.2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3:26" x14ac:dyDescent="0.2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3:26" x14ac:dyDescent="0.2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3:26" x14ac:dyDescent="0.2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3:26" x14ac:dyDescent="0.2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3:26" x14ac:dyDescent="0.2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3:26" x14ac:dyDescent="0.2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3:26" x14ac:dyDescent="0.2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3:26" x14ac:dyDescent="0.2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3:26" x14ac:dyDescent="0.2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3:26" x14ac:dyDescent="0.2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3:26" x14ac:dyDescent="0.2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3:26" x14ac:dyDescent="0.2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3:26" x14ac:dyDescent="0.2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3:26" x14ac:dyDescent="0.2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3:26" x14ac:dyDescent="0.2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3:26" x14ac:dyDescent="0.2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3:26" x14ac:dyDescent="0.2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3:26" x14ac:dyDescent="0.2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3:26" x14ac:dyDescent="0.2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3:26" x14ac:dyDescent="0.2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3:26" x14ac:dyDescent="0.2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3:26" x14ac:dyDescent="0.2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3:26" x14ac:dyDescent="0.2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3:26" x14ac:dyDescent="0.2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3:26" x14ac:dyDescent="0.2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3:26" x14ac:dyDescent="0.2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3:26" x14ac:dyDescent="0.2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3:26" x14ac:dyDescent="0.2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3:26" x14ac:dyDescent="0.2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3:26" x14ac:dyDescent="0.2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3:26" x14ac:dyDescent="0.2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3:26" x14ac:dyDescent="0.2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3:26" x14ac:dyDescent="0.2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3:26" x14ac:dyDescent="0.2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3:26" x14ac:dyDescent="0.2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3:26" x14ac:dyDescent="0.2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3:26" x14ac:dyDescent="0.2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3:26" x14ac:dyDescent="0.2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3:26" x14ac:dyDescent="0.2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3:26" x14ac:dyDescent="0.2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3:26" x14ac:dyDescent="0.2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3:26" x14ac:dyDescent="0.2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3:26" x14ac:dyDescent="0.2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3:26" x14ac:dyDescent="0.2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3:26" x14ac:dyDescent="0.2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3:26" x14ac:dyDescent="0.2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3:26" x14ac:dyDescent="0.2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3:26" x14ac:dyDescent="0.2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3:26" x14ac:dyDescent="0.2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3:26" x14ac:dyDescent="0.2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3:26" x14ac:dyDescent="0.2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3:26" x14ac:dyDescent="0.2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3:26" x14ac:dyDescent="0.2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3:26" x14ac:dyDescent="0.2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3:26" x14ac:dyDescent="0.2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3:26" x14ac:dyDescent="0.2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3:26" x14ac:dyDescent="0.2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3:26" x14ac:dyDescent="0.2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3:26" x14ac:dyDescent="0.2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3:26" x14ac:dyDescent="0.2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3:26" x14ac:dyDescent="0.2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3:26" x14ac:dyDescent="0.2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3:26" x14ac:dyDescent="0.2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3:26" x14ac:dyDescent="0.2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3:26" x14ac:dyDescent="0.2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3:26" x14ac:dyDescent="0.2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3:26" x14ac:dyDescent="0.2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3:26" x14ac:dyDescent="0.2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3:26" x14ac:dyDescent="0.2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3:26" x14ac:dyDescent="0.2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3:26" x14ac:dyDescent="0.2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3:26" x14ac:dyDescent="0.2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3:26" x14ac:dyDescent="0.2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3:26" x14ac:dyDescent="0.2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3:26" x14ac:dyDescent="0.2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3:26" x14ac:dyDescent="0.2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3:26" x14ac:dyDescent="0.2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3:26" x14ac:dyDescent="0.2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3:26" x14ac:dyDescent="0.2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3:26" x14ac:dyDescent="0.2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3:26" x14ac:dyDescent="0.2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3:26" x14ac:dyDescent="0.2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3:26" x14ac:dyDescent="0.2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3:26" x14ac:dyDescent="0.2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3:26" x14ac:dyDescent="0.2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3:26" x14ac:dyDescent="0.2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3:26" x14ac:dyDescent="0.2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3:26" x14ac:dyDescent="0.2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3:26" x14ac:dyDescent="0.2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3:26" x14ac:dyDescent="0.2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3:26" x14ac:dyDescent="0.2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3:26" x14ac:dyDescent="0.2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3:26" x14ac:dyDescent="0.2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3:26" x14ac:dyDescent="0.2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3:26" x14ac:dyDescent="0.2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3:26" x14ac:dyDescent="0.2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3:26" x14ac:dyDescent="0.2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3:26" x14ac:dyDescent="0.2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3:26" x14ac:dyDescent="0.2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3:26" x14ac:dyDescent="0.2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3:26" x14ac:dyDescent="0.2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3:26" x14ac:dyDescent="0.2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3:26" x14ac:dyDescent="0.2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3:26" x14ac:dyDescent="0.2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3:26" x14ac:dyDescent="0.2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3:26" x14ac:dyDescent="0.2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3:26" x14ac:dyDescent="0.2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</sheetData>
  <hyperlinks>
    <hyperlink ref="A1" location="Main!A1" display="Main" xr:uid="{777F0A24-6202-4F38-8863-082BB9D3BFF0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2024-06-17T17:47:21Z</dcterms:created>
  <dcterms:modified xsi:type="dcterms:W3CDTF">2026-08-12T15:06:23Z</dcterms:modified>
</cp:coreProperties>
</file>