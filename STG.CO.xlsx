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7E68AC37-E5AF-4060-A057-78A96A5B7EA1}" xr6:coauthVersionLast="47" xr6:coauthVersionMax="47" xr10:uidLastSave="{00000000-0000-0000-0000-000000000000}"/>
  <bookViews>
    <workbookView xWindow="19095" yWindow="0" windowWidth="19410" windowHeight="20985" activeTab="3" xr2:uid="{BD75BBDC-C4FD-4EC4-8461-B3C83FDDB12A}"/>
  </bookViews>
  <sheets>
    <sheet name="Main" sheetId="1" r:id="rId1"/>
    <sheet name="Model" sheetId="2" r:id="rId2"/>
    <sheet name="KPI" sheetId="3" r:id="rId3"/>
    <sheet name="DC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L23" i="2"/>
  <c r="L21" i="2"/>
  <c r="L17" i="2"/>
  <c r="K17" i="2"/>
  <c r="L16" i="2"/>
  <c r="L12" i="2"/>
  <c r="L25" i="2"/>
  <c r="V59" i="4"/>
  <c r="K21" i="2"/>
  <c r="K23" i="2" s="1"/>
  <c r="K25" i="2" s="1"/>
  <c r="K16" i="2"/>
  <c r="K34" i="2" s="1"/>
  <c r="K12" i="2"/>
  <c r="K33" i="2" s="1"/>
  <c r="N35" i="2"/>
  <c r="M35" i="2"/>
  <c r="L35" i="2"/>
  <c r="K35" i="2"/>
  <c r="N34" i="2"/>
  <c r="M34" i="2"/>
  <c r="L34" i="2"/>
  <c r="N33" i="2"/>
  <c r="M33" i="2"/>
  <c r="L33" i="2"/>
  <c r="N32" i="2"/>
  <c r="M32" i="2"/>
  <c r="L32" i="2"/>
  <c r="K32" i="2"/>
  <c r="J22" i="2"/>
  <c r="J20" i="2"/>
  <c r="J19" i="2"/>
  <c r="J18" i="2"/>
  <c r="J15" i="2"/>
  <c r="J14" i="2"/>
  <c r="J13" i="2"/>
  <c r="J11" i="2"/>
  <c r="J10" i="2"/>
  <c r="J12" i="2" s="1"/>
  <c r="J33" i="2" s="1"/>
  <c r="X96" i="2"/>
  <c r="X88" i="2"/>
  <c r="X82" i="2"/>
  <c r="X64" i="2"/>
  <c r="X70" i="2" s="1"/>
  <c r="X63" i="2"/>
  <c r="W54" i="2"/>
  <c r="V54" i="2"/>
  <c r="U54" i="2"/>
  <c r="R54" i="2"/>
  <c r="Q54" i="2"/>
  <c r="P54" i="2"/>
  <c r="X54" i="2"/>
  <c r="X46" i="2"/>
  <c r="X32" i="2"/>
  <c r="X31" i="2"/>
  <c r="X30" i="2"/>
  <c r="X29" i="2"/>
  <c r="X28" i="2"/>
  <c r="X16" i="2"/>
  <c r="X12" i="2"/>
  <c r="X33" i="2" s="1"/>
  <c r="F26" i="2"/>
  <c r="F22" i="2"/>
  <c r="F20" i="2"/>
  <c r="F19" i="2"/>
  <c r="F18" i="2"/>
  <c r="F15" i="2"/>
  <c r="F14" i="2"/>
  <c r="F13" i="2"/>
  <c r="F11" i="2"/>
  <c r="F10" i="2"/>
  <c r="J37" i="4"/>
  <c r="I37" i="4"/>
  <c r="H37" i="4"/>
  <c r="G37" i="4"/>
  <c r="J25" i="4"/>
  <c r="J46" i="4" s="1"/>
  <c r="I25" i="4"/>
  <c r="I46" i="4" s="1"/>
  <c r="H25" i="4"/>
  <c r="H46" i="4" s="1"/>
  <c r="G25" i="4"/>
  <c r="G46" i="4" s="1"/>
  <c r="I7" i="3"/>
  <c r="H7" i="3"/>
  <c r="G7" i="3"/>
  <c r="F7" i="3"/>
  <c r="E7" i="3"/>
  <c r="D7" i="3"/>
  <c r="C7" i="3"/>
  <c r="J7" i="3"/>
  <c r="I6" i="3"/>
  <c r="I8" i="3" s="1"/>
  <c r="H6" i="3"/>
  <c r="H8" i="3" s="1"/>
  <c r="G6" i="3"/>
  <c r="F6" i="3"/>
  <c r="E6" i="3"/>
  <c r="D6" i="3"/>
  <c r="C6" i="3"/>
  <c r="J6" i="3"/>
  <c r="P8" i="2"/>
  <c r="Q8" i="2"/>
  <c r="R30" i="2" s="1"/>
  <c r="Q96" i="2"/>
  <c r="P96" i="2"/>
  <c r="Q88" i="2"/>
  <c r="P88" i="2"/>
  <c r="P46" i="2"/>
  <c r="Q46" i="2"/>
  <c r="P16" i="2"/>
  <c r="Q16" i="2"/>
  <c r="Q12" i="2"/>
  <c r="Q33" i="2" s="1"/>
  <c r="P12" i="2"/>
  <c r="S90" i="2"/>
  <c r="S96" i="2" s="1"/>
  <c r="R86" i="2"/>
  <c r="R88" i="2" s="1"/>
  <c r="S82" i="2"/>
  <c r="R82" i="2"/>
  <c r="Q82" i="2"/>
  <c r="P82" i="2"/>
  <c r="Q63" i="2"/>
  <c r="P63" i="2"/>
  <c r="Q70" i="2"/>
  <c r="P70" i="2"/>
  <c r="S51" i="2"/>
  <c r="S54" i="2" s="1"/>
  <c r="R44" i="2"/>
  <c r="R46" i="2" s="1"/>
  <c r="S32" i="2"/>
  <c r="R32" i="2"/>
  <c r="Q32" i="2"/>
  <c r="S31" i="2"/>
  <c r="R31" i="2"/>
  <c r="Q31" i="2"/>
  <c r="S30" i="2"/>
  <c r="S29" i="2"/>
  <c r="R29" i="2"/>
  <c r="Q29" i="2"/>
  <c r="S28" i="2"/>
  <c r="R28" i="2"/>
  <c r="Q28" i="2"/>
  <c r="R26" i="2"/>
  <c r="Q26" i="2"/>
  <c r="P26" i="2"/>
  <c r="S26" i="2"/>
  <c r="R16" i="2"/>
  <c r="S16" i="2"/>
  <c r="C5" i="3"/>
  <c r="D5" i="3"/>
  <c r="T96" i="2"/>
  <c r="R96" i="2"/>
  <c r="T88" i="2"/>
  <c r="S88" i="2"/>
  <c r="T82" i="2"/>
  <c r="R70" i="2"/>
  <c r="S70" i="2"/>
  <c r="T70" i="2"/>
  <c r="U70" i="2"/>
  <c r="T63" i="2"/>
  <c r="S63" i="2"/>
  <c r="R63" i="2"/>
  <c r="T51" i="2"/>
  <c r="T54" i="2" s="1"/>
  <c r="S46" i="2"/>
  <c r="T16" i="2"/>
  <c r="R12" i="2"/>
  <c r="R33" i="2" s="1"/>
  <c r="S12" i="2"/>
  <c r="S33" i="2" s="1"/>
  <c r="T12" i="2"/>
  <c r="U16" i="2"/>
  <c r="E5" i="3"/>
  <c r="I32" i="2"/>
  <c r="E16" i="2"/>
  <c r="I16" i="2"/>
  <c r="I12" i="2"/>
  <c r="I33" i="2" s="1"/>
  <c r="V61" i="4"/>
  <c r="V58" i="4"/>
  <c r="K48" i="4"/>
  <c r="L48" i="4"/>
  <c r="K45" i="4"/>
  <c r="L45" i="4"/>
  <c r="K42" i="4"/>
  <c r="L42" i="4"/>
  <c r="K37" i="4"/>
  <c r="L37" i="4"/>
  <c r="K25" i="4"/>
  <c r="L25" i="4"/>
  <c r="J3" i="4"/>
  <c r="O3" i="4" s="1"/>
  <c r="V32" i="4" a="1"/>
  <c r="V32" i="4" s="1"/>
  <c r="U32" i="4" a="1"/>
  <c r="U32" i="4" s="1"/>
  <c r="T32" i="4" a="1"/>
  <c r="T32" i="4" s="1"/>
  <c r="S32" i="4" a="1"/>
  <c r="S32" i="4" s="1"/>
  <c r="R32" i="4" a="1"/>
  <c r="R32" i="4" s="1"/>
  <c r="Q32" i="4" a="1"/>
  <c r="Q32" i="4" s="1"/>
  <c r="P32" i="4" a="1"/>
  <c r="P32" i="4" s="1"/>
  <c r="O32" i="4" a="1"/>
  <c r="O32" i="4" s="1"/>
  <c r="N32" i="4" a="1"/>
  <c r="N32" i="4" s="1"/>
  <c r="M32" i="4" a="1"/>
  <c r="M32" i="4" s="1"/>
  <c r="V26" i="4" a="1"/>
  <c r="V26" i="4" s="1"/>
  <c r="U26" i="4" a="1"/>
  <c r="U26" i="4" s="1"/>
  <c r="T26" i="4" a="1"/>
  <c r="T26" i="4" s="1"/>
  <c r="S26" i="4" a="1"/>
  <c r="S26" i="4" s="1"/>
  <c r="R26" i="4" a="1"/>
  <c r="R26" i="4" s="1"/>
  <c r="Q26" i="4" a="1"/>
  <c r="Q26" i="4" s="1"/>
  <c r="P26" i="4" a="1"/>
  <c r="P26" i="4" s="1"/>
  <c r="O26" i="4" a="1"/>
  <c r="O26" i="4" s="1"/>
  <c r="N26" i="4" a="1"/>
  <c r="N26" i="4" s="1"/>
  <c r="M26" i="4" a="1"/>
  <c r="M26" i="4" s="1"/>
  <c r="H24" i="4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E20" i="4"/>
  <c r="E19" i="4"/>
  <c r="E18" i="4"/>
  <c r="O4" i="4"/>
  <c r="E4" i="4"/>
  <c r="M53" i="4" s="1"/>
  <c r="X55" i="2" l="1"/>
  <c r="X71" i="2"/>
  <c r="X72" i="2" s="1"/>
  <c r="G49" i="4"/>
  <c r="L26" i="4"/>
  <c r="X98" i="2"/>
  <c r="J32" i="2"/>
  <c r="Q17" i="2"/>
  <c r="K43" i="4"/>
  <c r="J8" i="3"/>
  <c r="D8" i="3"/>
  <c r="C8" i="3"/>
  <c r="G8" i="3"/>
  <c r="S98" i="2"/>
  <c r="S101" i="2" s="1"/>
  <c r="H49" i="4"/>
  <c r="I49" i="4"/>
  <c r="J26" i="4"/>
  <c r="J49" i="4"/>
  <c r="H26" i="4"/>
  <c r="I26" i="4"/>
  <c r="E8" i="3"/>
  <c r="F8" i="3"/>
  <c r="R98" i="2"/>
  <c r="R101" i="2" s="1"/>
  <c r="Q21" i="2"/>
  <c r="Q34" i="2"/>
  <c r="Q30" i="2"/>
  <c r="P17" i="2"/>
  <c r="P21" i="2" s="1"/>
  <c r="P23" i="2" s="1"/>
  <c r="C14" i="3" s="1"/>
  <c r="R17" i="2"/>
  <c r="Q55" i="2"/>
  <c r="T98" i="2"/>
  <c r="T101" i="2" s="1"/>
  <c r="X17" i="2"/>
  <c r="R55" i="2"/>
  <c r="G43" i="4"/>
  <c r="H43" i="4"/>
  <c r="I43" i="4"/>
  <c r="J43" i="4"/>
  <c r="Q98" i="2"/>
  <c r="Q101" i="2" s="1"/>
  <c r="P98" i="2"/>
  <c r="P101" i="2" s="1"/>
  <c r="P71" i="2"/>
  <c r="P72" i="2" s="1"/>
  <c r="Q71" i="2"/>
  <c r="Q72" i="2" s="1"/>
  <c r="P55" i="2"/>
  <c r="R71" i="2"/>
  <c r="R72" i="2" s="1"/>
  <c r="S71" i="2"/>
  <c r="S72" i="2" s="1"/>
  <c r="S55" i="2"/>
  <c r="T71" i="2"/>
  <c r="T72" i="2" s="1"/>
  <c r="S17" i="2"/>
  <c r="K49" i="4"/>
  <c r="L49" i="4"/>
  <c r="L46" i="4"/>
  <c r="K46" i="4"/>
  <c r="M25" i="4"/>
  <c r="M31" i="4" s="1"/>
  <c r="M37" i="4" s="1"/>
  <c r="M40" i="4" s="1"/>
  <c r="K26" i="4"/>
  <c r="L43" i="4"/>
  <c r="I17" i="2"/>
  <c r="N53" i="4"/>
  <c r="O53" i="4" s="1"/>
  <c r="P53" i="4" s="1"/>
  <c r="Q53" i="4" s="1"/>
  <c r="R53" i="4" s="1"/>
  <c r="S53" i="4" s="1"/>
  <c r="T53" i="4" s="1"/>
  <c r="U53" i="4" s="1"/>
  <c r="V53" i="4" s="1"/>
  <c r="O5" i="4"/>
  <c r="S21" i="2" l="1"/>
  <c r="H31" i="4"/>
  <c r="S34" i="2"/>
  <c r="R21" i="2"/>
  <c r="G31" i="4"/>
  <c r="R34" i="2"/>
  <c r="X34" i="2"/>
  <c r="X21" i="2"/>
  <c r="P25" i="2"/>
  <c r="Q35" i="2"/>
  <c r="Q23" i="2"/>
  <c r="M42" i="4"/>
  <c r="M48" i="4"/>
  <c r="M45" i="4"/>
  <c r="N25" i="4"/>
  <c r="N31" i="4" s="1"/>
  <c r="N37" i="4" s="1"/>
  <c r="N40" i="4" s="1"/>
  <c r="I21" i="2"/>
  <c r="I34" i="2"/>
  <c r="H40" i="4" l="1"/>
  <c r="H51" i="4" s="1"/>
  <c r="H38" i="4"/>
  <c r="H32" i="4"/>
  <c r="D14" i="3"/>
  <c r="Q25" i="2"/>
  <c r="X23" i="2"/>
  <c r="X25" i="2" s="1"/>
  <c r="X35" i="2"/>
  <c r="G38" i="4"/>
  <c r="G40" i="4"/>
  <c r="G51" i="4" s="1"/>
  <c r="G32" i="4"/>
  <c r="R23" i="2"/>
  <c r="R35" i="2"/>
  <c r="S23" i="2"/>
  <c r="S35" i="2"/>
  <c r="N42" i="4"/>
  <c r="N48" i="4"/>
  <c r="N45" i="4"/>
  <c r="O25" i="4"/>
  <c r="O45" i="4" s="1"/>
  <c r="M51" i="4"/>
  <c r="M52" i="4" s="1"/>
  <c r="I35" i="2"/>
  <c r="I23" i="2"/>
  <c r="E14" i="3" l="1"/>
  <c r="R25" i="2"/>
  <c r="S25" i="2"/>
  <c r="F14" i="3"/>
  <c r="N51" i="4"/>
  <c r="N52" i="4" s="1"/>
  <c r="O31" i="4"/>
  <c r="O37" i="4" s="1"/>
  <c r="O40" i="4" s="1"/>
  <c r="O48" i="4"/>
  <c r="P25" i="4"/>
  <c r="P48" i="4" s="1"/>
  <c r="O42" i="4"/>
  <c r="O51" i="4" l="1"/>
  <c r="O52" i="4" s="1"/>
  <c r="P31" i="4"/>
  <c r="P37" i="4" s="1"/>
  <c r="P40" i="4" s="1"/>
  <c r="P45" i="4"/>
  <c r="Q25" i="4"/>
  <c r="Q48" i="4" s="1"/>
  <c r="P42" i="4"/>
  <c r="Q31" i="4" l="1"/>
  <c r="Q37" i="4" s="1"/>
  <c r="Q40" i="4" s="1"/>
  <c r="Q45" i="4"/>
  <c r="Q42" i="4"/>
  <c r="R25" i="4"/>
  <c r="R45" i="4" s="1"/>
  <c r="P51" i="4"/>
  <c r="P52" i="4" s="1"/>
  <c r="R48" i="4" l="1"/>
  <c r="R42" i="4"/>
  <c r="S25" i="4"/>
  <c r="S48" i="4" s="1"/>
  <c r="R31" i="4"/>
  <c r="R37" i="4" s="1"/>
  <c r="R40" i="4" s="1"/>
  <c r="Q51" i="4"/>
  <c r="Q52" i="4" s="1"/>
  <c r="R51" i="4" l="1"/>
  <c r="R52" i="4" s="1"/>
  <c r="S31" i="4"/>
  <c r="S37" i="4" s="1"/>
  <c r="S40" i="4" s="1"/>
  <c r="S45" i="4"/>
  <c r="S42" i="4"/>
  <c r="T25" i="4"/>
  <c r="T42" i="4" s="1"/>
  <c r="T31" i="4" l="1"/>
  <c r="T37" i="4" s="1"/>
  <c r="T40" i="4" s="1"/>
  <c r="T48" i="4"/>
  <c r="U25" i="4"/>
  <c r="V25" i="4" s="1"/>
  <c r="T45" i="4"/>
  <c r="S51" i="4"/>
  <c r="S52" i="4" s="1"/>
  <c r="T51" i="4" l="1"/>
  <c r="T52" i="4" s="1"/>
  <c r="U31" i="4"/>
  <c r="U37" i="4" s="1"/>
  <c r="U40" i="4" s="1"/>
  <c r="U45" i="4"/>
  <c r="U42" i="4"/>
  <c r="U48" i="4"/>
  <c r="V42" i="4"/>
  <c r="V48" i="4"/>
  <c r="V45" i="4"/>
  <c r="V31" i="4"/>
  <c r="U51" i="4" l="1"/>
  <c r="U52" i="4" s="1"/>
  <c r="V37" i="4"/>
  <c r="V40" i="4" s="1"/>
  <c r="V55" i="4" l="1"/>
  <c r="V56" i="4" s="1"/>
  <c r="V51" i="4"/>
  <c r="V52" i="4" s="1"/>
  <c r="V54" i="4" s="1"/>
  <c r="V57" i="4" l="1"/>
  <c r="V60" i="4" s="1"/>
  <c r="V62" i="4" s="1"/>
  <c r="J4" i="4" s="1"/>
  <c r="C69" i="4" l="1"/>
  <c r="N69" i="4"/>
  <c r="J5" i="4"/>
  <c r="T33" i="2"/>
  <c r="G32" i="2"/>
  <c r="H32" i="2"/>
  <c r="V32" i="2"/>
  <c r="U32" i="2"/>
  <c r="T32" i="2"/>
  <c r="V31" i="2"/>
  <c r="U31" i="2"/>
  <c r="T31" i="2"/>
  <c r="V30" i="2"/>
  <c r="U30" i="2"/>
  <c r="T30" i="2"/>
  <c r="V29" i="2"/>
  <c r="U29" i="2"/>
  <c r="T29" i="2"/>
  <c r="V28" i="2"/>
  <c r="U28" i="2"/>
  <c r="T28" i="2"/>
  <c r="W32" i="2"/>
  <c r="W31" i="2"/>
  <c r="W30" i="2"/>
  <c r="W29" i="2"/>
  <c r="W28" i="2"/>
  <c r="V96" i="2"/>
  <c r="U96" i="2"/>
  <c r="W96" i="2"/>
  <c r="V88" i="2"/>
  <c r="U88" i="2"/>
  <c r="W88" i="2"/>
  <c r="V82" i="2"/>
  <c r="U82" i="2"/>
  <c r="W82" i="2"/>
  <c r="V70" i="2"/>
  <c r="V63" i="2"/>
  <c r="U63" i="2"/>
  <c r="U71" i="2" s="1"/>
  <c r="U72" i="2" s="1"/>
  <c r="W70" i="2"/>
  <c r="W63" i="2"/>
  <c r="V46" i="2"/>
  <c r="U46" i="2"/>
  <c r="T46" i="2"/>
  <c r="T55" i="2" s="1"/>
  <c r="W46" i="2"/>
  <c r="V16" i="2"/>
  <c r="U12" i="2"/>
  <c r="V12" i="2"/>
  <c r="V33" i="2" s="1"/>
  <c r="T17" i="2"/>
  <c r="W16" i="2"/>
  <c r="W12" i="2"/>
  <c r="F5" i="3"/>
  <c r="G5" i="3"/>
  <c r="H5" i="3"/>
  <c r="I5" i="3"/>
  <c r="J5" i="3"/>
  <c r="C16" i="2"/>
  <c r="I25" i="2"/>
  <c r="G16" i="2"/>
  <c r="D16" i="2"/>
  <c r="G12" i="2"/>
  <c r="G33" i="2" s="1"/>
  <c r="F12" i="2"/>
  <c r="E12" i="2"/>
  <c r="E17" i="2" s="1"/>
  <c r="E21" i="2" s="1"/>
  <c r="E23" i="2" s="1"/>
  <c r="E25" i="2" s="1"/>
  <c r="D12" i="2"/>
  <c r="D17" i="2" s="1"/>
  <c r="D21" i="2" s="1"/>
  <c r="D23" i="2" s="1"/>
  <c r="D25" i="2" s="1"/>
  <c r="C12" i="2"/>
  <c r="C33" i="2" s="1"/>
  <c r="H16" i="2"/>
  <c r="H12" i="2"/>
  <c r="H33" i="2" s="1"/>
  <c r="J4" i="1"/>
  <c r="J7" i="1" s="1"/>
  <c r="J16" i="2" l="1"/>
  <c r="J17" i="2" s="1"/>
  <c r="W17" i="2"/>
  <c r="W34" i="2" s="1"/>
  <c r="F16" i="2"/>
  <c r="F17" i="2" s="1"/>
  <c r="T21" i="2"/>
  <c r="T23" i="2" s="1"/>
  <c r="I31" i="4"/>
  <c r="U17" i="2"/>
  <c r="U55" i="2"/>
  <c r="U98" i="2"/>
  <c r="U101" i="2" s="1"/>
  <c r="T35" i="2"/>
  <c r="U34" i="2"/>
  <c r="T34" i="2"/>
  <c r="D35" i="2"/>
  <c r="W33" i="2"/>
  <c r="D33" i="2"/>
  <c r="D34" i="2"/>
  <c r="F33" i="2"/>
  <c r="W21" i="2"/>
  <c r="L31" i="4"/>
  <c r="U33" i="2"/>
  <c r="E34" i="2"/>
  <c r="E35" i="2"/>
  <c r="E33" i="2"/>
  <c r="W55" i="2"/>
  <c r="V55" i="2"/>
  <c r="W71" i="2"/>
  <c r="W72" i="2" s="1"/>
  <c r="W98" i="2"/>
  <c r="W101" i="2" s="1"/>
  <c r="X100" i="2" s="1"/>
  <c r="X101" i="2" s="1"/>
  <c r="V98" i="2"/>
  <c r="V101" i="2" s="1"/>
  <c r="V71" i="2"/>
  <c r="V72" i="2" s="1"/>
  <c r="V17" i="2"/>
  <c r="G17" i="2"/>
  <c r="C17" i="2"/>
  <c r="H17" i="2"/>
  <c r="J21" i="2" l="1"/>
  <c r="J34" i="2"/>
  <c r="F21" i="2"/>
  <c r="F34" i="2"/>
  <c r="U21" i="2"/>
  <c r="J31" i="4"/>
  <c r="I32" i="4"/>
  <c r="I40" i="4"/>
  <c r="I51" i="4" s="1"/>
  <c r="I38" i="4"/>
  <c r="T25" i="2"/>
  <c r="G14" i="3"/>
  <c r="U23" i="2"/>
  <c r="U35" i="2"/>
  <c r="G21" i="2"/>
  <c r="G34" i="2"/>
  <c r="H21" i="2"/>
  <c r="H34" i="2"/>
  <c r="C21" i="2"/>
  <c r="C34" i="2"/>
  <c r="V21" i="2"/>
  <c r="K31" i="4"/>
  <c r="V34" i="2"/>
  <c r="L32" i="4"/>
  <c r="L40" i="4"/>
  <c r="L51" i="4" s="1"/>
  <c r="L38" i="4"/>
  <c r="W23" i="2"/>
  <c r="W35" i="2"/>
  <c r="J23" i="2" l="1"/>
  <c r="J25" i="2" s="1"/>
  <c r="J35" i="2"/>
  <c r="W25" i="2"/>
  <c r="J14" i="3"/>
  <c r="U25" i="2"/>
  <c r="H14" i="3"/>
  <c r="J40" i="4"/>
  <c r="J51" i="4" s="1"/>
  <c r="J38" i="4"/>
  <c r="J32" i="4"/>
  <c r="F23" i="2"/>
  <c r="F25" i="2" s="1"/>
  <c r="F35" i="2"/>
  <c r="K32" i="4"/>
  <c r="K40" i="4"/>
  <c r="K51" i="4" s="1"/>
  <c r="K38" i="4"/>
  <c r="V23" i="2"/>
  <c r="V35" i="2"/>
  <c r="C23" i="2"/>
  <c r="C25" i="2" s="1"/>
  <c r="C35" i="2"/>
  <c r="H23" i="2"/>
  <c r="H25" i="2" s="1"/>
  <c r="H35" i="2"/>
  <c r="G23" i="2"/>
  <c r="G25" i="2" s="1"/>
  <c r="G35" i="2"/>
  <c r="V25" i="2" l="1"/>
  <c r="I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tc={5C9504E1-4EE8-490C-9943-0CDEEA70D87B}</author>
    <author>tc={7F70D672-7BA8-4A02-A1F8-509A8E4A96A4}</author>
    <author>tc={D47EDD5F-1443-4F85-B04F-6D5E5C1791E6}</author>
    <author>tc={301E1A6D-A607-4725-84D3-35AEB480AC53}</author>
  </authors>
  <commentList>
    <comment ref="U8" authorId="0" shapeId="0" xr:uid="{5C9504E1-4EE8-490C-9943-0CDEEA70D87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Accessoires and Contract Manufacturing</t>
      </text>
    </comment>
    <comment ref="V8" authorId="1" shapeId="0" xr:uid="{7F70D672-7BA8-4A02-A1F8-509A8E4A96A4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reporting from Accessires to Next Gen</t>
      </text>
    </comment>
    <comment ref="Y10" authorId="2" shapeId="0" xr:uid="{D47EDD5F-1443-4F85-B04F-6D5E5C1791E6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Guidance Q425: -2% - +2%</t>
      </text>
    </comment>
    <comment ref="S83" authorId="3" shapeId="0" xr:uid="{301E1A6D-A607-4725-84D3-35AEB480AC53}">
      <text>
        <t>[Threaded comment]
Your version of Excel allows you to read this threaded comment; however, any edits to it will get removed if the file is opened in a newer version of Excel. Learn more: https://go.microsoft.com/fwlink/?linkid=870924
Comment:
    Roayl Agio Cigars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<sst xmlns="http://schemas.openxmlformats.org/spreadsheetml/2006/main" count="274" uniqueCount="195">
  <si>
    <t>Scandivian Tobacco</t>
  </si>
  <si>
    <t>numbers in mio DKK</t>
  </si>
  <si>
    <t>Price</t>
  </si>
  <si>
    <t>Shares</t>
  </si>
  <si>
    <t>MC</t>
  </si>
  <si>
    <t>Cash</t>
  </si>
  <si>
    <t>Debt</t>
  </si>
  <si>
    <t>EV</t>
  </si>
  <si>
    <t>IR</t>
  </si>
  <si>
    <t>Main</t>
  </si>
  <si>
    <t>Notes</t>
  </si>
  <si>
    <t>IPO 2016</t>
  </si>
  <si>
    <t>Q225</t>
  </si>
  <si>
    <t>Q124</t>
  </si>
  <si>
    <t>Q224</t>
  </si>
  <si>
    <t>Q324</t>
  </si>
  <si>
    <t>Q424</t>
  </si>
  <si>
    <t>Q125</t>
  </si>
  <si>
    <t>Q325</t>
  </si>
  <si>
    <t>Q425</t>
  </si>
  <si>
    <t>Revenue</t>
  </si>
  <si>
    <t>COGS</t>
  </si>
  <si>
    <t>Gross Profit</t>
  </si>
  <si>
    <t>External Costs</t>
  </si>
  <si>
    <t>Other Income</t>
  </si>
  <si>
    <t>D&amp;A</t>
  </si>
  <si>
    <t>Operating Income</t>
  </si>
  <si>
    <t>Income from subsidees</t>
  </si>
  <si>
    <t>Financial Income</t>
  </si>
  <si>
    <t>Financial Costs</t>
  </si>
  <si>
    <t>Pretax Income</t>
  </si>
  <si>
    <t>Tax Expense</t>
  </si>
  <si>
    <t>Net Income</t>
  </si>
  <si>
    <t>EPS</t>
  </si>
  <si>
    <t>Staff</t>
  </si>
  <si>
    <t>Handmade cigars</t>
  </si>
  <si>
    <t>Machine-rolled cigars</t>
  </si>
  <si>
    <t>Next Gen Prod</t>
  </si>
  <si>
    <t>Other</t>
  </si>
  <si>
    <t>HQ: Denmark, Genftote</t>
  </si>
  <si>
    <t>FY20</t>
  </si>
  <si>
    <t>FY21</t>
  </si>
  <si>
    <t>FY22</t>
  </si>
  <si>
    <t>FY23</t>
  </si>
  <si>
    <t>FY24</t>
  </si>
  <si>
    <t>FY19</t>
  </si>
  <si>
    <t>Share Price (EoY)</t>
  </si>
  <si>
    <t>Shares outstanding</t>
  </si>
  <si>
    <t>CEO: Niels Frederiksen</t>
  </si>
  <si>
    <t>Sgments</t>
  </si>
  <si>
    <t>Value Chain</t>
  </si>
  <si>
    <t>Employee Count (2024)</t>
  </si>
  <si>
    <t>Goodwill</t>
  </si>
  <si>
    <t>Trademarks</t>
  </si>
  <si>
    <t>IT Software</t>
  </si>
  <si>
    <t>Other Intangibles</t>
  </si>
  <si>
    <t>Intangivles under Construction</t>
  </si>
  <si>
    <t>PP&amp;E</t>
  </si>
  <si>
    <t>Leases</t>
  </si>
  <si>
    <t>Investment in associated comp.</t>
  </si>
  <si>
    <t>Deffered income Taxes</t>
  </si>
  <si>
    <t>Non-Current Assets</t>
  </si>
  <si>
    <t>Inventories</t>
  </si>
  <si>
    <t>Trade Receivables</t>
  </si>
  <si>
    <t>Other Receivables</t>
  </si>
  <si>
    <t>Corporate Tax</t>
  </si>
  <si>
    <t>Repayments</t>
  </si>
  <si>
    <t>Cash and Cash Equivalents</t>
  </si>
  <si>
    <t>Current Assets</t>
  </si>
  <si>
    <t>Total Assets</t>
  </si>
  <si>
    <t>Equity</t>
  </si>
  <si>
    <t>Total Liabilities</t>
  </si>
  <si>
    <t>Equity &amp; Liabilities</t>
  </si>
  <si>
    <t>Borrowings</t>
  </si>
  <si>
    <t>Pension obligations</t>
  </si>
  <si>
    <t>Provisions</t>
  </si>
  <si>
    <t>Non-Current Liabilities</t>
  </si>
  <si>
    <t>Trade Payables</t>
  </si>
  <si>
    <t>Current Liabilties</t>
  </si>
  <si>
    <t>CFFO</t>
  </si>
  <si>
    <t>D&amp;A &amp; Impairments</t>
  </si>
  <si>
    <t>Adjustments</t>
  </si>
  <si>
    <t>Changes in WC</t>
  </si>
  <si>
    <t>Special Items</t>
  </si>
  <si>
    <t>Financial Cost</t>
  </si>
  <si>
    <t>Tax Payments</t>
  </si>
  <si>
    <t>Acquisitions</t>
  </si>
  <si>
    <t>Investments in intangibles</t>
  </si>
  <si>
    <t>Investments in PP&amp;E</t>
  </si>
  <si>
    <t>Sale of PP&amp;E</t>
  </si>
  <si>
    <t>Dividends from ass. Companies</t>
  </si>
  <si>
    <t>CFFI</t>
  </si>
  <si>
    <t>Repayment of Leases</t>
  </si>
  <si>
    <t>RCF and bank loans</t>
  </si>
  <si>
    <t>Bond Issuance</t>
  </si>
  <si>
    <t>Repurchase of Bonds</t>
  </si>
  <si>
    <t>Repayment of Bank Loans</t>
  </si>
  <si>
    <t>Dividend payment</t>
  </si>
  <si>
    <t>Purchase of treasury stocks</t>
  </si>
  <si>
    <t>CFFF</t>
  </si>
  <si>
    <t>FX Effect</t>
  </si>
  <si>
    <t>Change in Cash</t>
  </si>
  <si>
    <t>Cash BoP</t>
  </si>
  <si>
    <t>Cash EoP</t>
  </si>
  <si>
    <t>Americas</t>
  </si>
  <si>
    <t>Europe</t>
  </si>
  <si>
    <t>RoW</t>
  </si>
  <si>
    <t>Handmade cigars growth</t>
  </si>
  <si>
    <t>Machine-rolled growth</t>
  </si>
  <si>
    <t>Net Gen Growth</t>
  </si>
  <si>
    <t>Other Growth</t>
  </si>
  <si>
    <t>Revenue Growth</t>
  </si>
  <si>
    <t>Gross Margin</t>
  </si>
  <si>
    <t>Operating Margin</t>
  </si>
  <si>
    <t>Tax Rate</t>
  </si>
  <si>
    <t>DCF</t>
  </si>
  <si>
    <t>Ticker</t>
  </si>
  <si>
    <t>Share Price</t>
  </si>
  <si>
    <t>Date</t>
  </si>
  <si>
    <t>Fair Share Price</t>
  </si>
  <si>
    <t>Scneario DCF Price</t>
  </si>
  <si>
    <t>End of FY</t>
  </si>
  <si>
    <t>Implied Upside</t>
  </si>
  <si>
    <t>x</t>
  </si>
  <si>
    <t>Assumptions</t>
  </si>
  <si>
    <t>Switches</t>
  </si>
  <si>
    <t>Conservative Case</t>
  </si>
  <si>
    <t>Base Case</t>
  </si>
  <si>
    <t>Optimistic Case</t>
  </si>
  <si>
    <t>Assuptions</t>
  </si>
  <si>
    <t>Year</t>
  </si>
  <si>
    <t>Metic</t>
  </si>
  <si>
    <t xml:space="preserve">Revenue </t>
  </si>
  <si>
    <t>EBIT</t>
  </si>
  <si>
    <t>WACC</t>
  </si>
  <si>
    <t>Implied Share Price</t>
  </si>
  <si>
    <t>TGR</t>
  </si>
  <si>
    <t>Probability</t>
  </si>
  <si>
    <t>ROIC</t>
  </si>
  <si>
    <t>Implied Share Price * p</t>
  </si>
  <si>
    <t>Valuation</t>
  </si>
  <si>
    <t>RONIC</t>
  </si>
  <si>
    <t>Model</t>
  </si>
  <si>
    <t>Growth (%)</t>
  </si>
  <si>
    <t xml:space="preserve">Base Case </t>
  </si>
  <si>
    <t>Optimisitic Case</t>
  </si>
  <si>
    <t>% of Sales</t>
  </si>
  <si>
    <t>Taxes</t>
  </si>
  <si>
    <t>Tax Rate (%)</t>
  </si>
  <si>
    <t>Nopat</t>
  </si>
  <si>
    <t>D&amp;A and other non-cash Expenses</t>
  </si>
  <si>
    <t>CapEx</t>
  </si>
  <si>
    <t>Change in WC</t>
  </si>
  <si>
    <t>Unlevered Free Cashflow</t>
  </si>
  <si>
    <t>Present Value of unlevered FC</t>
  </si>
  <si>
    <t>Discount Period</t>
  </si>
  <si>
    <t>Sum of Present Value</t>
  </si>
  <si>
    <t>Terminal Value</t>
  </si>
  <si>
    <t>=&gt; CV(t) = NOPAT(t+1)*(1-g/RONIC)/(WACC - g) =&gt; equal pertuity formula: CV = FCF*(1+g) /(WACC-g)</t>
  </si>
  <si>
    <t>Present Value of TV</t>
  </si>
  <si>
    <t>Enterprise Value</t>
  </si>
  <si>
    <t>(+) Cash and other non-operating assets</t>
  </si>
  <si>
    <t>(-) Debt and other non-equity claims</t>
  </si>
  <si>
    <t>Equity Value</t>
  </si>
  <si>
    <t xml:space="preserve">Number of Shares </t>
  </si>
  <si>
    <t>Sensitivity Analysis</t>
  </si>
  <si>
    <t>ROINC</t>
  </si>
  <si>
    <t>STG-CO</t>
  </si>
  <si>
    <t>FY25 Guidance: 9.1 - 9.2 billion DKK, 19,5%-20,5% OM, FCF: 0,8-1 bil</t>
  </si>
  <si>
    <t>Brands</t>
  </si>
  <si>
    <t>Cao, Cohiba, La Gloria Cubana, Petit, etc.</t>
  </si>
  <si>
    <t>Balmoral,Cubero, La Paz, Panter, etc.</t>
  </si>
  <si>
    <t>XQS, Ström, Ace, Grit</t>
  </si>
  <si>
    <t>FY18</t>
  </si>
  <si>
    <t>Smoking and Pipe Tobacco, Accessoires</t>
  </si>
  <si>
    <t>Key Brands Europe: La Paz, Panter, Meharis, Signature</t>
  </si>
  <si>
    <t>Key Brands North America: Tiedemanns, Cao, Cohiba, Macunado</t>
  </si>
  <si>
    <t xml:space="preserve">Captain Black, Punch </t>
  </si>
  <si>
    <t>North America Online &amp; Retail Brands: diesel, Mark Twain, Ave Maria</t>
  </si>
  <si>
    <t>FY17</t>
  </si>
  <si>
    <t>ROE</t>
  </si>
  <si>
    <t>Invested Capital</t>
  </si>
  <si>
    <t>Total Funds Invested</t>
  </si>
  <si>
    <t>ROA</t>
  </si>
  <si>
    <t>Capital Employed</t>
  </si>
  <si>
    <t>ROCE</t>
  </si>
  <si>
    <t>History</t>
  </si>
  <si>
    <t>Founded 1750</t>
  </si>
  <si>
    <t>Merged in 2010 with Swedish Match Cigars</t>
  </si>
  <si>
    <t>FY25</t>
  </si>
  <si>
    <t>Q126</t>
  </si>
  <si>
    <t>Q226</t>
  </si>
  <si>
    <t>Q326</t>
  </si>
  <si>
    <t>Q426</t>
  </si>
  <si>
    <t>STG.CO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</si>
</sst>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(#,##0\)"/>
    <numFmt numFmtId="165" formatCode="#,##0.0;\(#,##0.0\)"/>
    <numFmt numFmtId="166" formatCode="#,##0.0"/>
    <numFmt numFmtId="167" formatCode="0.0%"/>
    <numFmt numFmtId="168" formatCode="&quot;FY&quot;0&quot;A&quot;"/>
    <numFmt numFmtId="169" formatCode="#,##0.0;[Red]#,##0.0"/>
    <numFmt numFmtId="170" formatCode="0.0"/>
  </numFmts>
  <fonts count="12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b/>
      <sz val="15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1E9D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Border="0" applyAlignment="0" applyProtection="0"/>
    <xf numFmtId="9" fontId="4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1"/>
    <xf numFmtId="0" fontId="1" fillId="0" borderId="0" xfId="0" applyFont="1"/>
    <xf numFmtId="164" fontId="0" fillId="0" borderId="0" xfId="0" applyNumberFormat="1"/>
    <xf numFmtId="0" fontId="3" fillId="0" borderId="0" xfId="0" applyFont="1"/>
    <xf numFmtId="0" fontId="0" fillId="0" borderId="0" xfId="0" applyAlignment="1">
      <alignment horizontal="right"/>
    </xf>
    <xf numFmtId="165" fontId="0" fillId="0" borderId="0" xfId="0" applyNumberFormat="1"/>
    <xf numFmtId="165" fontId="1" fillId="0" borderId="0" xfId="0" applyNumberFormat="1" applyFont="1"/>
    <xf numFmtId="0" fontId="2" fillId="0" borderId="0" xfId="1" applyAlignment="1">
      <alignment horizontal="left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3" fontId="0" fillId="0" borderId="0" xfId="0" applyNumberFormat="1"/>
    <xf numFmtId="9" fontId="0" fillId="0" borderId="0" xfId="2" applyFont="1"/>
    <xf numFmtId="9" fontId="1" fillId="0" borderId="0" xfId="2" applyFont="1"/>
    <xf numFmtId="0" fontId="2" fillId="0" borderId="10" xfId="1" applyBorder="1"/>
    <xf numFmtId="0" fontId="5" fillId="0" borderId="10" xfId="0" applyFont="1" applyBorder="1"/>
    <xf numFmtId="0" fontId="0" fillId="0" borderId="12" xfId="0" applyBorder="1"/>
    <xf numFmtId="0" fontId="0" fillId="2" borderId="13" xfId="0" applyFill="1" applyBorder="1" applyAlignment="1">
      <alignment horizontal="center"/>
    </xf>
    <xf numFmtId="14" fontId="0" fillId="2" borderId="13" xfId="0" applyNumberFormat="1" applyFill="1" applyBorder="1" applyAlignment="1">
      <alignment horizontal="center"/>
    </xf>
    <xf numFmtId="2" fontId="0" fillId="2" borderId="13" xfId="0" applyNumberFormat="1" applyFill="1" applyBorder="1" applyAlignment="1">
      <alignment horizontal="center"/>
    </xf>
    <xf numFmtId="166" fontId="0" fillId="2" borderId="14" xfId="2" applyNumberFormat="1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9" fontId="0" fillId="2" borderId="14" xfId="2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3" borderId="0" xfId="0" applyFont="1" applyFill="1"/>
    <xf numFmtId="0" fontId="7" fillId="4" borderId="0" xfId="0" applyFont="1" applyFill="1"/>
    <xf numFmtId="0" fontId="8" fillId="4" borderId="0" xfId="0" applyFont="1" applyFill="1"/>
    <xf numFmtId="0" fontId="9" fillId="0" borderId="0" xfId="0" applyFont="1"/>
    <xf numFmtId="0" fontId="6" fillId="0" borderId="0" xfId="0" applyFont="1"/>
    <xf numFmtId="167" fontId="0" fillId="2" borderId="14" xfId="2" applyNumberFormat="1" applyFont="1" applyFill="1" applyBorder="1" applyAlignment="1">
      <alignment horizontal="center"/>
    </xf>
    <xf numFmtId="168" fontId="7" fillId="3" borderId="0" xfId="0" applyNumberFormat="1" applyFont="1" applyFill="1"/>
    <xf numFmtId="0" fontId="10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10" fillId="0" borderId="0" xfId="0" applyFont="1"/>
    <xf numFmtId="9" fontId="10" fillId="0" borderId="0" xfId="2" applyFont="1"/>
    <xf numFmtId="167" fontId="0" fillId="2" borderId="14" xfId="2" applyNumberFormat="1" applyFont="1" applyFill="1" applyBorder="1" applyAlignment="1">
      <alignment horizontal="right"/>
    </xf>
    <xf numFmtId="0" fontId="6" fillId="5" borderId="1" xfId="0" applyFont="1" applyFill="1" applyBorder="1"/>
    <xf numFmtId="0" fontId="6" fillId="5" borderId="2" xfId="0" applyFont="1" applyFill="1" applyBorder="1"/>
    <xf numFmtId="164" fontId="6" fillId="5" borderId="2" xfId="0" applyNumberFormat="1" applyFont="1" applyFill="1" applyBorder="1"/>
    <xf numFmtId="164" fontId="6" fillId="5" borderId="3" xfId="0" applyNumberFormat="1" applyFont="1" applyFill="1" applyBorder="1"/>
    <xf numFmtId="167" fontId="10" fillId="0" borderId="0" xfId="2" applyNumberFormat="1" applyFont="1"/>
    <xf numFmtId="167" fontId="10" fillId="0" borderId="0" xfId="0" applyNumberFormat="1" applyFont="1"/>
    <xf numFmtId="169" fontId="6" fillId="5" borderId="4" xfId="0" applyNumberFormat="1" applyFont="1" applyFill="1" applyBorder="1"/>
    <xf numFmtId="169" fontId="6" fillId="5" borderId="5" xfId="0" applyNumberFormat="1" applyFont="1" applyFill="1" applyBorder="1"/>
    <xf numFmtId="164" fontId="6" fillId="5" borderId="5" xfId="0" applyNumberFormat="1" applyFont="1" applyFill="1" applyBorder="1"/>
    <xf numFmtId="164" fontId="6" fillId="5" borderId="6" xfId="0" applyNumberFormat="1" applyFont="1" applyFill="1" applyBorder="1"/>
    <xf numFmtId="169" fontId="6" fillId="5" borderId="9" xfId="0" applyNumberFormat="1" applyFont="1" applyFill="1" applyBorder="1"/>
    <xf numFmtId="169" fontId="6" fillId="5" borderId="10" xfId="0" applyNumberFormat="1" applyFont="1" applyFill="1" applyBorder="1"/>
    <xf numFmtId="164" fontId="6" fillId="5" borderId="10" xfId="0" applyNumberFormat="1" applyFont="1" applyFill="1" applyBorder="1"/>
    <xf numFmtId="164" fontId="6" fillId="5" borderId="11" xfId="0" applyNumberFormat="1" applyFont="1" applyFill="1" applyBorder="1"/>
    <xf numFmtId="169" fontId="0" fillId="0" borderId="0" xfId="0" applyNumberFormat="1"/>
    <xf numFmtId="0" fontId="0" fillId="0" borderId="0" xfId="0" quotePrefix="1"/>
    <xf numFmtId="169" fontId="0" fillId="0" borderId="10" xfId="0" applyNumberFormat="1" applyBorder="1"/>
    <xf numFmtId="169" fontId="0" fillId="0" borderId="10" xfId="0" applyNumberFormat="1" applyBorder="1" applyAlignment="1">
      <alignment horizontal="right"/>
    </xf>
    <xf numFmtId="0" fontId="0" fillId="0" borderId="2" xfId="0" applyBorder="1"/>
    <xf numFmtId="169" fontId="0" fillId="0" borderId="2" xfId="0" applyNumberFormat="1" applyBorder="1"/>
    <xf numFmtId="169" fontId="0" fillId="0" borderId="2" xfId="0" applyNumberFormat="1" applyBorder="1" applyAlignment="1">
      <alignment horizontal="right"/>
    </xf>
    <xf numFmtId="169" fontId="0" fillId="0" borderId="0" xfId="0" applyNumberFormat="1" applyAlignment="1">
      <alignment horizontal="right"/>
    </xf>
    <xf numFmtId="0" fontId="0" fillId="6" borderId="4" xfId="0" applyFill="1" applyBorder="1"/>
    <xf numFmtId="2" fontId="11" fillId="6" borderId="5" xfId="0" applyNumberFormat="1" applyFont="1" applyFill="1" applyBorder="1"/>
    <xf numFmtId="167" fontId="7" fillId="6" borderId="5" xfId="0" applyNumberFormat="1" applyFont="1" applyFill="1" applyBorder="1"/>
    <xf numFmtId="167" fontId="7" fillId="6" borderId="0" xfId="0" applyNumberFormat="1" applyFont="1" applyFill="1"/>
    <xf numFmtId="170" fontId="0" fillId="0" borderId="0" xfId="0" applyNumberFormat="1"/>
    <xf numFmtId="170" fontId="6" fillId="0" borderId="0" xfId="0" applyNumberFormat="1" applyFont="1"/>
    <xf numFmtId="14" fontId="0" fillId="2" borderId="14" xfId="0" applyNumberFormat="1" applyFill="1" applyBorder="1" applyAlignment="1">
      <alignment horizontal="center"/>
    </xf>
    <xf numFmtId="2" fontId="0" fillId="0" borderId="0" xfId="0" applyNumberFormat="1"/>
    <xf numFmtId="0" fontId="6" fillId="6" borderId="5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center" vertical="center" textRotation="90"/>
    </xf>
    <xf numFmtId="0" fontId="6" fillId="6" borderId="16" xfId="0" applyFont="1" applyFill="1" applyBorder="1" applyAlignment="1">
      <alignment horizontal="center" vertical="center" textRotation="90"/>
    </xf>
  </cellXfs>
  <cellStyles count="3">
    <cellStyle name="Hyperlink" xfId="1" builtinId="8"/>
    <cellStyle name="Normal" xfId="0" builtinId="0"/>
    <cellStyle name="Per cent" xfId="2" builtinId="5"/>
  </cellStyles>
  <dxfs count="4"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1</xdr:rowOff>
    </xdr:from>
    <xdr:to>
      <xdr:col>4</xdr:col>
      <xdr:colOff>41137</xdr:colOff>
      <xdr:row>32</xdr:row>
      <xdr:rowOff>23814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3DF790-3A00-1C34-4AFD-B8C704AB2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2752726"/>
          <a:ext cx="1869937" cy="14811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15</xdr:col>
      <xdr:colOff>29770</xdr:colOff>
      <xdr:row>51</xdr:row>
      <xdr:rowOff>19414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5A474F-C363-7EA3-25B7-65AD472F9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4695825"/>
          <a:ext cx="8564170" cy="261021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scar Settje" id="{10C33167-272C-4E0C-8732-ACA733750BD3}" userId="7ff36870b973954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8" dT="2025-11-16T11:33:09.35" personId="{10C33167-272C-4E0C-8732-ACA733750BD3}" id="{5C9504E1-4EE8-490C-9943-0CDEEA70D87B}">
    <text>Accessoires and Contract Manufacturing</text>
  </threadedComment>
  <threadedComment ref="V8" dT="2025-11-16T11:33:29.05" personId="{10C33167-272C-4E0C-8732-ACA733750BD3}" id="{7F70D672-7BA8-4A02-A1F8-509A8E4A96A4}">
    <text>Changed reporting from Accessires to Next Gen</text>
  </threadedComment>
  <threadedComment ref="Y10" dT="2026-03-07T14:25:15.91" personId="{10C33167-272C-4E0C-8732-ACA733750BD3}" id="{D47EDD5F-1443-4F85-B04F-6D5E5C1791E6}">
    <text>Guidance Q425: -2% - +2%</text>
  </threadedComment>
  <threadedComment ref="S83" dT="2025-11-16T11:45:23.70" personId="{10C33167-272C-4E0C-8732-ACA733750BD3}" id="{301E1A6D-A607-4725-84D3-35AEB480AC53}">
    <text>Roayl Agio Cigars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t-group.com/investor/financial-reports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431C7-7A00-4FF7-9B14-9CC6DBF12725}">
  <dimension ref="A1:K35"/>
  <sheetViews>
    <sheetView topLeftCell="C1" zoomScale="200" zoomScaleNormal="200" workbookViewId="0">
      <selection activeCell="J7" sqref="J7"/>
    </sheetView>
  </sheetViews>
  <sheetFormatPr defaultRowHeight="12.75" x14ac:dyDescent="0.2"/>
  <cols>
    <col min="1" max="1" width="3.5703125" customWidth="1"/>
  </cols>
  <sheetData>
    <row r="1" spans="1:11" x14ac:dyDescent="0.2">
      <c r="A1" s="2" t="s">
        <v>0</v>
      </c>
    </row>
    <row r="2" spans="1:11" x14ac:dyDescent="0.2">
      <c r="A2" t="s">
        <v>1</v>
      </c>
      <c r="I2" t="s">
        <v>2</v>
      </c>
      <c r="J2">
        <v>71.599999999999994</v>
      </c>
    </row>
    <row r="3" spans="1:11" x14ac:dyDescent="0.2">
      <c r="I3" t="s">
        <v>3</v>
      </c>
      <c r="J3" s="6">
        <v>78.62</v>
      </c>
      <c r="K3" s="5" t="s">
        <v>191</v>
      </c>
    </row>
    <row r="4" spans="1:11" x14ac:dyDescent="0.2">
      <c r="B4" s="1" t="s">
        <v>8</v>
      </c>
      <c r="I4" t="s">
        <v>4</v>
      </c>
      <c r="J4" s="6">
        <f>+J2*J3</f>
        <v>5629.192</v>
      </c>
    </row>
    <row r="5" spans="1:11" x14ac:dyDescent="0.2">
      <c r="B5" t="s">
        <v>194</v>
      </c>
      <c r="I5" t="s">
        <v>5</v>
      </c>
      <c r="J5" s="6">
        <v>61.6</v>
      </c>
      <c r="K5" s="5" t="s">
        <v>191</v>
      </c>
    </row>
    <row r="6" spans="1:11" x14ac:dyDescent="0.2">
      <c r="I6" t="s">
        <v>6</v>
      </c>
      <c r="J6" s="6">
        <f>3690.9+1251</f>
        <v>4941.8999999999996</v>
      </c>
      <c r="K6" s="5" t="s">
        <v>191</v>
      </c>
    </row>
    <row r="7" spans="1:11" x14ac:dyDescent="0.2">
      <c r="B7" s="9" t="s">
        <v>49</v>
      </c>
      <c r="C7" s="10"/>
      <c r="D7" s="10" t="s">
        <v>169</v>
      </c>
      <c r="E7" s="10"/>
      <c r="F7" s="11"/>
      <c r="I7" t="s">
        <v>7</v>
      </c>
      <c r="J7" s="6">
        <f>+J4-J5+J6</f>
        <v>10509.491999999998</v>
      </c>
    </row>
    <row r="8" spans="1:11" x14ac:dyDescent="0.2">
      <c r="B8" s="12" t="s">
        <v>35</v>
      </c>
      <c r="C8" s="13"/>
      <c r="D8" s="13" t="s">
        <v>170</v>
      </c>
      <c r="E8" s="13"/>
      <c r="F8" s="14"/>
    </row>
    <row r="9" spans="1:11" x14ac:dyDescent="0.2">
      <c r="B9" s="15" t="s">
        <v>36</v>
      </c>
      <c r="D9" t="s">
        <v>171</v>
      </c>
      <c r="F9" s="16"/>
    </row>
    <row r="10" spans="1:11" x14ac:dyDescent="0.2">
      <c r="B10" s="15" t="s">
        <v>37</v>
      </c>
      <c r="D10" t="s">
        <v>172</v>
      </c>
      <c r="F10" s="16"/>
      <c r="I10" t="s">
        <v>39</v>
      </c>
    </row>
    <row r="11" spans="1:11" x14ac:dyDescent="0.2">
      <c r="B11" s="17" t="s">
        <v>38</v>
      </c>
      <c r="C11" s="18"/>
      <c r="D11" s="18" t="s">
        <v>174</v>
      </c>
      <c r="E11" s="18"/>
      <c r="F11" s="19"/>
      <c r="I11" t="s">
        <v>48</v>
      </c>
    </row>
    <row r="13" spans="1:11" x14ac:dyDescent="0.2">
      <c r="B13" s="4" t="s">
        <v>10</v>
      </c>
      <c r="I13" t="s">
        <v>51</v>
      </c>
    </row>
    <row r="14" spans="1:11" x14ac:dyDescent="0.2">
      <c r="B14" t="s">
        <v>11</v>
      </c>
      <c r="I14" s="20">
        <v>10219</v>
      </c>
    </row>
    <row r="15" spans="1:11" x14ac:dyDescent="0.2">
      <c r="B15" t="s">
        <v>175</v>
      </c>
    </row>
    <row r="16" spans="1:11" x14ac:dyDescent="0.2">
      <c r="B16" t="s">
        <v>176</v>
      </c>
      <c r="I16" t="s">
        <v>187</v>
      </c>
    </row>
    <row r="17" spans="2:2" x14ac:dyDescent="0.2">
      <c r="B17" t="s">
        <v>177</v>
      </c>
    </row>
    <row r="18" spans="2:2" x14ac:dyDescent="0.2">
      <c r="B18" t="s">
        <v>178</v>
      </c>
    </row>
    <row r="19" spans="2:2" x14ac:dyDescent="0.2">
      <c r="B19" t="s">
        <v>186</v>
      </c>
    </row>
    <row r="20" spans="2:2" x14ac:dyDescent="0.2">
      <c r="B20" t="s">
        <v>188</v>
      </c>
    </row>
    <row r="22" spans="2:2" x14ac:dyDescent="0.2">
      <c r="B22" t="s">
        <v>168</v>
      </c>
    </row>
    <row r="35" spans="2:2" x14ac:dyDescent="0.2">
      <c r="B35" t="s">
        <v>50</v>
      </c>
    </row>
  </sheetData>
  <hyperlinks>
    <hyperlink ref="B4" r:id="rId1" xr:uid="{3D0E8C3B-A632-4DB6-B01E-74FEB4D2E059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8E8A0-8674-4392-9CB4-751825DBF326}">
  <dimension ref="A1:BP456"/>
  <sheetViews>
    <sheetView zoomScale="200" zoomScaleNormal="200" workbookViewId="0">
      <pane xSplit="2" ySplit="2" topLeftCell="T6" activePane="bottomRight" state="frozen"/>
      <selection pane="topRight" activeCell="C1" sqref="C1"/>
      <selection pane="bottomLeft" activeCell="A3" sqref="A3"/>
      <selection pane="bottomRight" activeCell="X32" sqref="X32"/>
    </sheetView>
  </sheetViews>
  <sheetFormatPr defaultRowHeight="12.75" x14ac:dyDescent="0.2"/>
  <cols>
    <col min="1" max="1" width="5" bestFit="1" customWidth="1"/>
    <col min="2" max="2" width="28" customWidth="1"/>
  </cols>
  <sheetData>
    <row r="1" spans="1:68" x14ac:dyDescent="0.2">
      <c r="A1" s="1" t="s">
        <v>9</v>
      </c>
    </row>
    <row r="2" spans="1:68" x14ac:dyDescent="0.2"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12</v>
      </c>
      <c r="I2" s="5" t="s">
        <v>18</v>
      </c>
      <c r="J2" s="5" t="s">
        <v>19</v>
      </c>
      <c r="K2" s="5" t="s">
        <v>190</v>
      </c>
      <c r="L2" s="5" t="s">
        <v>191</v>
      </c>
      <c r="M2" s="5" t="s">
        <v>192</v>
      </c>
      <c r="N2" s="5" t="s">
        <v>193</v>
      </c>
      <c r="O2" s="5"/>
      <c r="P2" s="5" t="s">
        <v>179</v>
      </c>
      <c r="Q2" s="5" t="s">
        <v>173</v>
      </c>
      <c r="R2" s="5" t="s">
        <v>45</v>
      </c>
      <c r="S2" s="5" t="s">
        <v>40</v>
      </c>
      <c r="T2" s="5" t="s">
        <v>41</v>
      </c>
      <c r="U2" s="5" t="s">
        <v>42</v>
      </c>
      <c r="V2" s="5" t="s">
        <v>43</v>
      </c>
      <c r="W2" s="5" t="s">
        <v>44</v>
      </c>
      <c r="X2" s="5" t="s">
        <v>189</v>
      </c>
    </row>
    <row r="3" spans="1:68" x14ac:dyDescent="0.2">
      <c r="B3" t="s">
        <v>104</v>
      </c>
      <c r="C3" s="6"/>
      <c r="D3" s="6"/>
      <c r="E3" s="6"/>
      <c r="F3" s="6"/>
      <c r="G3" s="6">
        <v>618.70000000000005</v>
      </c>
      <c r="H3" s="6">
        <v>780</v>
      </c>
      <c r="I3" s="6"/>
      <c r="J3" s="6"/>
      <c r="K3" s="6">
        <v>575</v>
      </c>
      <c r="L3" s="6">
        <v>793</v>
      </c>
      <c r="M3" s="6"/>
      <c r="N3" s="6"/>
      <c r="O3" s="6"/>
      <c r="P3" s="6">
        <v>2933.4</v>
      </c>
      <c r="Q3" s="6">
        <v>3443.2</v>
      </c>
      <c r="R3" s="6">
        <v>3639.9</v>
      </c>
      <c r="S3" s="6">
        <v>4138.8</v>
      </c>
      <c r="T3" s="6">
        <v>4328.2</v>
      </c>
      <c r="U3" s="6">
        <v>4715.3</v>
      </c>
      <c r="V3" s="6">
        <v>4745.8</v>
      </c>
      <c r="W3" s="6">
        <v>4911.8999999999996</v>
      </c>
      <c r="X3" s="6">
        <v>4538.1000000000004</v>
      </c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</row>
    <row r="4" spans="1:68" x14ac:dyDescent="0.2">
      <c r="B4" t="s">
        <v>105</v>
      </c>
      <c r="C4" s="6"/>
      <c r="D4" s="6"/>
      <c r="E4" s="6"/>
      <c r="F4" s="6"/>
      <c r="G4" s="6">
        <v>687.3</v>
      </c>
      <c r="H4" s="6">
        <v>730</v>
      </c>
      <c r="I4" s="6"/>
      <c r="J4" s="6"/>
      <c r="K4" s="6">
        <v>630</v>
      </c>
      <c r="L4" s="6">
        <v>746</v>
      </c>
      <c r="M4" s="6"/>
      <c r="N4" s="6"/>
      <c r="O4" s="6"/>
      <c r="P4" s="6">
        <v>2843.5</v>
      </c>
      <c r="Q4" s="6">
        <v>2726.5</v>
      </c>
      <c r="R4" s="6">
        <v>2589.6999999999998</v>
      </c>
      <c r="S4" s="6">
        <v>3462.8</v>
      </c>
      <c r="T4" s="6">
        <v>3445.4</v>
      </c>
      <c r="U4" s="6">
        <v>3418.2</v>
      </c>
      <c r="V4" s="6">
        <v>3459.6</v>
      </c>
      <c r="W4" s="6">
        <v>3756.2</v>
      </c>
      <c r="X4" s="6">
        <v>3933.6</v>
      </c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</row>
    <row r="5" spans="1:68" x14ac:dyDescent="0.2">
      <c r="B5" t="s">
        <v>106</v>
      </c>
      <c r="C5" s="6"/>
      <c r="D5" s="6"/>
      <c r="E5" s="6"/>
      <c r="F5" s="6"/>
      <c r="G5" s="6">
        <v>667.7</v>
      </c>
      <c r="H5" s="6">
        <v>851</v>
      </c>
      <c r="I5" s="6"/>
      <c r="J5" s="6"/>
      <c r="K5" s="6">
        <v>655</v>
      </c>
      <c r="L5" s="6">
        <v>795</v>
      </c>
      <c r="M5" s="6"/>
      <c r="N5" s="6"/>
      <c r="O5" s="6"/>
      <c r="P5" s="6">
        <v>686</v>
      </c>
      <c r="Q5" s="6">
        <v>547.79999999999995</v>
      </c>
      <c r="R5" s="6">
        <v>489.4</v>
      </c>
      <c r="S5" s="6">
        <v>404.3</v>
      </c>
      <c r="T5" s="6">
        <v>459.1</v>
      </c>
      <c r="U5" s="6">
        <v>628.70000000000005</v>
      </c>
      <c r="V5" s="6">
        <v>525.5</v>
      </c>
      <c r="W5" s="6">
        <v>534</v>
      </c>
      <c r="X5" s="6">
        <v>564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</row>
    <row r="6" spans="1:68" x14ac:dyDescent="0.2">
      <c r="B6" t="s">
        <v>35</v>
      </c>
      <c r="C6" s="6"/>
      <c r="D6" s="6"/>
      <c r="E6" s="6"/>
      <c r="F6" s="6"/>
      <c r="G6" s="6">
        <v>672.6</v>
      </c>
      <c r="H6" s="6"/>
      <c r="I6" s="6"/>
      <c r="J6" s="6"/>
      <c r="K6" s="6">
        <v>660.2</v>
      </c>
      <c r="L6" s="6">
        <v>876</v>
      </c>
      <c r="M6" s="6"/>
      <c r="N6" s="6"/>
      <c r="O6" s="6"/>
      <c r="P6" s="6">
        <v>1920.7</v>
      </c>
      <c r="Q6" s="6">
        <v>2375.6999999999998</v>
      </c>
      <c r="R6" s="6">
        <v>2562.5</v>
      </c>
      <c r="S6" s="6">
        <v>2878.7</v>
      </c>
      <c r="T6" s="6">
        <v>3035</v>
      </c>
      <c r="U6" s="6">
        <v>3302.2</v>
      </c>
      <c r="V6" s="6">
        <v>3235.9</v>
      </c>
      <c r="W6" s="6">
        <v>3299.5</v>
      </c>
      <c r="X6" s="6">
        <v>3164.1</v>
      </c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</row>
    <row r="7" spans="1:68" x14ac:dyDescent="0.2">
      <c r="B7" t="s">
        <v>36</v>
      </c>
      <c r="C7" s="6"/>
      <c r="D7" s="6"/>
      <c r="E7" s="6"/>
      <c r="F7" s="6"/>
      <c r="G7" s="6">
        <v>1011.2</v>
      </c>
      <c r="H7" s="6"/>
      <c r="I7" s="6"/>
      <c r="J7" s="6"/>
      <c r="K7" s="6">
        <v>956.2</v>
      </c>
      <c r="L7" s="6">
        <v>1138</v>
      </c>
      <c r="M7" s="6"/>
      <c r="N7" s="6"/>
      <c r="O7" s="6"/>
      <c r="P7" s="6">
        <v>2491.5</v>
      </c>
      <c r="Q7" s="6">
        <v>2366.6999999999998</v>
      </c>
      <c r="R7" s="6">
        <v>2223.1</v>
      </c>
      <c r="S7" s="6">
        <v>2894.8</v>
      </c>
      <c r="T7" s="6">
        <v>2918.8</v>
      </c>
      <c r="U7" s="6">
        <v>3009.8</v>
      </c>
      <c r="V7" s="6">
        <v>4294.5</v>
      </c>
      <c r="W7" s="6">
        <v>4431.2</v>
      </c>
      <c r="X7" s="6">
        <v>4541.5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</row>
    <row r="8" spans="1:68" x14ac:dyDescent="0.2">
      <c r="B8" t="s">
        <v>37</v>
      </c>
      <c r="C8" s="6"/>
      <c r="D8" s="6"/>
      <c r="E8" s="6"/>
      <c r="F8" s="6"/>
      <c r="G8" s="6">
        <v>79.7</v>
      </c>
      <c r="H8" s="6"/>
      <c r="I8" s="6"/>
      <c r="J8" s="6"/>
      <c r="K8" s="6">
        <v>64</v>
      </c>
      <c r="L8" s="6">
        <v>115</v>
      </c>
      <c r="M8" s="6"/>
      <c r="N8" s="6"/>
      <c r="O8" s="6"/>
      <c r="P8" s="6">
        <f>544.3+597.9</f>
        <v>1142.1999999999998</v>
      </c>
      <c r="Q8" s="6">
        <f>478.2+561.6</f>
        <v>1039.8</v>
      </c>
      <c r="R8" s="6">
        <v>1005.4</v>
      </c>
      <c r="S8" s="6">
        <v>1144.2</v>
      </c>
      <c r="T8" s="6">
        <v>1206.2</v>
      </c>
      <c r="U8" s="6">
        <v>1279.5</v>
      </c>
      <c r="V8" s="6">
        <v>193.3</v>
      </c>
      <c r="W8" s="6">
        <v>420.9</v>
      </c>
      <c r="X8" s="6">
        <v>428.2</v>
      </c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</row>
    <row r="9" spans="1:68" x14ac:dyDescent="0.2">
      <c r="B9" t="s">
        <v>38</v>
      </c>
      <c r="C9" s="6"/>
      <c r="D9" s="6"/>
      <c r="E9" s="6"/>
      <c r="F9" s="6"/>
      <c r="G9" s="6">
        <v>210.2</v>
      </c>
      <c r="H9" s="6"/>
      <c r="I9" s="6"/>
      <c r="J9" s="6"/>
      <c r="K9" s="6">
        <v>178.8</v>
      </c>
      <c r="L9" s="6">
        <v>205</v>
      </c>
      <c r="M9" s="6"/>
      <c r="N9" s="6"/>
      <c r="O9" s="6"/>
      <c r="P9" s="6">
        <v>909.1</v>
      </c>
      <c r="Q9" s="6">
        <v>935.3</v>
      </c>
      <c r="R9" s="6">
        <v>928</v>
      </c>
      <c r="S9" s="6">
        <v>1088.2</v>
      </c>
      <c r="T9" s="6">
        <v>1072.5999999999999</v>
      </c>
      <c r="U9" s="6">
        <v>1170.7</v>
      </c>
      <c r="V9" s="6">
        <v>1007.2</v>
      </c>
      <c r="W9" s="6">
        <v>1050.5</v>
      </c>
      <c r="X9" s="6">
        <v>902</v>
      </c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</row>
    <row r="10" spans="1:68" s="2" customFormat="1" x14ac:dyDescent="0.2">
      <c r="A10"/>
      <c r="B10" s="2" t="s">
        <v>20</v>
      </c>
      <c r="C10" s="7">
        <v>1948.3</v>
      </c>
      <c r="D10" s="7">
        <v>2365.8000000000002</v>
      </c>
      <c r="E10" s="7">
        <v>2430.5</v>
      </c>
      <c r="F10" s="7">
        <f>+W10-SUM(C10:E10)</f>
        <v>2457.5</v>
      </c>
      <c r="G10" s="7">
        <v>1973.7</v>
      </c>
      <c r="H10" s="7">
        <v>2361.4</v>
      </c>
      <c r="I10" s="7">
        <v>2357.3000000000002</v>
      </c>
      <c r="J10" s="7">
        <f>+X10-SUM(G10:I10)</f>
        <v>2343.3000000000002</v>
      </c>
      <c r="K10" s="7">
        <v>1859.2</v>
      </c>
      <c r="L10" s="7">
        <v>2334</v>
      </c>
      <c r="M10" s="7"/>
      <c r="N10" s="7"/>
      <c r="O10" s="7"/>
      <c r="P10" s="7">
        <v>6463.5</v>
      </c>
      <c r="Q10" s="7">
        <v>6717.5</v>
      </c>
      <c r="R10" s="7">
        <v>6719</v>
      </c>
      <c r="S10" s="7">
        <v>8005.9</v>
      </c>
      <c r="T10" s="7">
        <v>8232.7000000000007</v>
      </c>
      <c r="U10" s="7">
        <v>8762.2000000000007</v>
      </c>
      <c r="V10" s="7">
        <v>8730.9</v>
      </c>
      <c r="W10" s="7">
        <v>9202.1</v>
      </c>
      <c r="X10" s="7">
        <v>9035.7000000000007</v>
      </c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</row>
    <row r="11" spans="1:68" x14ac:dyDescent="0.2">
      <c r="B11" t="s">
        <v>21</v>
      </c>
      <c r="C11" s="6">
        <v>1067.0999999999999</v>
      </c>
      <c r="D11" s="6">
        <v>1256.5999999999999</v>
      </c>
      <c r="E11" s="6">
        <v>1304.5</v>
      </c>
      <c r="F11" s="6">
        <f>+W11-SUM(C11:E11)</f>
        <v>1295.4000000000005</v>
      </c>
      <c r="G11" s="6">
        <v>1107</v>
      </c>
      <c r="H11" s="6">
        <v>1298</v>
      </c>
      <c r="I11" s="6">
        <v>1307.0999999999999</v>
      </c>
      <c r="J11" s="6">
        <f>+X11-SUM(G11:I11)</f>
        <v>1322.4</v>
      </c>
      <c r="K11" s="6">
        <v>1035.4000000000001</v>
      </c>
      <c r="L11" s="6">
        <v>1279</v>
      </c>
      <c r="M11" s="6"/>
      <c r="N11" s="6"/>
      <c r="O11" s="6"/>
      <c r="P11" s="6">
        <v>3368.2</v>
      </c>
      <c r="Q11" s="6">
        <v>3516.6</v>
      </c>
      <c r="R11" s="6">
        <v>3576.5</v>
      </c>
      <c r="S11" s="6">
        <v>4293.7</v>
      </c>
      <c r="T11" s="6">
        <v>4119.6000000000004</v>
      </c>
      <c r="U11" s="6">
        <v>4454.8999999999996</v>
      </c>
      <c r="V11" s="6">
        <v>4526.8</v>
      </c>
      <c r="W11" s="6">
        <v>4923.6000000000004</v>
      </c>
      <c r="X11" s="6">
        <v>5034.5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</row>
    <row r="12" spans="1:68" x14ac:dyDescent="0.2">
      <c r="B12" t="s">
        <v>22</v>
      </c>
      <c r="C12" s="6">
        <f t="shared" ref="C12:G12" si="0">+C10-C11</f>
        <v>881.2</v>
      </c>
      <c r="D12" s="6">
        <f t="shared" si="0"/>
        <v>1109.2000000000003</v>
      </c>
      <c r="E12" s="6">
        <f t="shared" si="0"/>
        <v>1126</v>
      </c>
      <c r="F12" s="6">
        <f t="shared" si="0"/>
        <v>1162.0999999999995</v>
      </c>
      <c r="G12" s="6">
        <f t="shared" si="0"/>
        <v>866.7</v>
      </c>
      <c r="H12" s="6">
        <f>+H10-H11</f>
        <v>1063.4000000000001</v>
      </c>
      <c r="I12" s="6">
        <f>+I10-I11</f>
        <v>1050.2000000000003</v>
      </c>
      <c r="J12" s="6">
        <f>+J10-J11</f>
        <v>1020.9000000000001</v>
      </c>
      <c r="K12" s="6">
        <f>+K10-K11</f>
        <v>823.8</v>
      </c>
      <c r="L12" s="6">
        <f>+L10-L11</f>
        <v>1055</v>
      </c>
      <c r="M12" s="6"/>
      <c r="N12" s="6"/>
      <c r="O12" s="6"/>
      <c r="P12" s="6">
        <f t="shared" ref="P12:Q12" si="1">+P10-P11</f>
        <v>3095.3</v>
      </c>
      <c r="Q12" s="6">
        <f t="shared" si="1"/>
        <v>3200.9</v>
      </c>
      <c r="R12" s="6">
        <f t="shared" ref="R12:X12" si="2">+R10-R11</f>
        <v>3142.5</v>
      </c>
      <c r="S12" s="6">
        <f t="shared" si="2"/>
        <v>3712.2</v>
      </c>
      <c r="T12" s="6">
        <f t="shared" si="2"/>
        <v>4113.1000000000004</v>
      </c>
      <c r="U12" s="6">
        <f t="shared" si="2"/>
        <v>4307.3000000000011</v>
      </c>
      <c r="V12" s="6">
        <f t="shared" si="2"/>
        <v>4204.0999999999995</v>
      </c>
      <c r="W12" s="6">
        <f t="shared" si="2"/>
        <v>4278.5</v>
      </c>
      <c r="X12" s="6">
        <f t="shared" si="2"/>
        <v>4001.2000000000007</v>
      </c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</row>
    <row r="13" spans="1:68" x14ac:dyDescent="0.2">
      <c r="B13" t="s">
        <v>23</v>
      </c>
      <c r="C13" s="6">
        <v>295.7</v>
      </c>
      <c r="D13" s="6">
        <v>288.7</v>
      </c>
      <c r="E13" s="6">
        <v>293.8</v>
      </c>
      <c r="F13" s="6">
        <f>+W13-SUM(C13:E13)</f>
        <v>312.59999999999991</v>
      </c>
      <c r="G13" s="6">
        <v>285.89999999999998</v>
      </c>
      <c r="H13" s="6">
        <v>277</v>
      </c>
      <c r="I13" s="6">
        <v>317.60000000000002</v>
      </c>
      <c r="J13" s="6">
        <f>+X13-SUM(G13:I13)</f>
        <v>363.70000000000005</v>
      </c>
      <c r="K13" s="6">
        <v>232</v>
      </c>
      <c r="L13" s="6">
        <v>248</v>
      </c>
      <c r="M13" s="6"/>
      <c r="N13" s="6"/>
      <c r="O13" s="6"/>
      <c r="P13" s="6">
        <v>1141.5</v>
      </c>
      <c r="Q13" s="6">
        <v>1206.5</v>
      </c>
      <c r="R13" s="6">
        <v>898.3</v>
      </c>
      <c r="S13" s="6">
        <v>1007.9</v>
      </c>
      <c r="T13" s="6">
        <v>1052.9000000000001</v>
      </c>
      <c r="U13" s="6">
        <v>1126.4000000000001</v>
      </c>
      <c r="V13" s="6">
        <v>1142.5999999999999</v>
      </c>
      <c r="W13" s="6">
        <v>1190.8</v>
      </c>
      <c r="X13" s="6">
        <v>1244.2</v>
      </c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</row>
    <row r="14" spans="1:68" x14ac:dyDescent="0.2">
      <c r="B14" t="s">
        <v>34</v>
      </c>
      <c r="C14" s="6">
        <v>254.3</v>
      </c>
      <c r="D14" s="6">
        <v>255.8</v>
      </c>
      <c r="E14" s="6">
        <v>272.89999999999998</v>
      </c>
      <c r="F14" s="6">
        <f>+W14-SUM(C14:E14)</f>
        <v>274.20000000000005</v>
      </c>
      <c r="G14" s="6">
        <v>274.89999999999998</v>
      </c>
      <c r="H14" s="6">
        <v>294.2</v>
      </c>
      <c r="I14" s="6">
        <v>232.9</v>
      </c>
      <c r="J14" s="6">
        <f>+X14-SUM(G14:I14)</f>
        <v>221.30000000000007</v>
      </c>
      <c r="K14" s="6">
        <v>302.39999999999998</v>
      </c>
      <c r="L14" s="6">
        <v>340.3</v>
      </c>
      <c r="M14" s="6"/>
      <c r="N14" s="6"/>
      <c r="O14" s="6"/>
      <c r="P14" s="6">
        <v>735.5</v>
      </c>
      <c r="Q14" s="6">
        <v>905.7</v>
      </c>
      <c r="R14" s="6">
        <v>737.1</v>
      </c>
      <c r="S14" s="6">
        <v>878.4</v>
      </c>
      <c r="T14" s="6">
        <v>858.4</v>
      </c>
      <c r="U14" s="6">
        <v>910.9</v>
      </c>
      <c r="V14" s="6">
        <v>968</v>
      </c>
      <c r="W14" s="6">
        <v>1057.2</v>
      </c>
      <c r="X14" s="6">
        <v>1023.3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</row>
    <row r="15" spans="1:68" x14ac:dyDescent="0.2">
      <c r="B15" t="s">
        <v>24</v>
      </c>
      <c r="C15" s="6">
        <v>3.6</v>
      </c>
      <c r="D15" s="6">
        <v>15.8</v>
      </c>
      <c r="E15" s="6">
        <v>8.4</v>
      </c>
      <c r="F15" s="6">
        <f>+W15-SUM(C15:E15)</f>
        <v>20.699999999999996</v>
      </c>
      <c r="G15" s="6">
        <v>11.1</v>
      </c>
      <c r="H15" s="6">
        <v>6.9</v>
      </c>
      <c r="I15" s="6">
        <v>18.899999999999999</v>
      </c>
      <c r="J15" s="6">
        <f>+X15-SUM(G15:I15)</f>
        <v>20.399999999999999</v>
      </c>
      <c r="K15" s="6">
        <v>30.6</v>
      </c>
      <c r="L15" s="6">
        <v>48.6</v>
      </c>
      <c r="M15" s="6"/>
      <c r="N15" s="6"/>
      <c r="O15" s="6"/>
      <c r="P15" s="6">
        <v>13.4</v>
      </c>
      <c r="Q15" s="6">
        <v>0</v>
      </c>
      <c r="R15" s="6">
        <v>5.9</v>
      </c>
      <c r="S15" s="6">
        <v>0</v>
      </c>
      <c r="T15" s="6">
        <v>31</v>
      </c>
      <c r="U15" s="6">
        <v>0</v>
      </c>
      <c r="V15" s="6">
        <v>12.2</v>
      </c>
      <c r="W15" s="6">
        <v>48.5</v>
      </c>
      <c r="X15" s="6">
        <v>57.3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</row>
    <row r="16" spans="1:68" x14ac:dyDescent="0.2">
      <c r="B16" t="s">
        <v>25</v>
      </c>
      <c r="C16" s="6">
        <f>53.1+43.9+29.8</f>
        <v>126.8</v>
      </c>
      <c r="D16" s="6">
        <f>54.1+44.2+52.8</f>
        <v>151.10000000000002</v>
      </c>
      <c r="E16" s="6">
        <f>68.9+48.9+48.8</f>
        <v>166.60000000000002</v>
      </c>
      <c r="F16" s="6">
        <f>+W16-SUM(C16:E16)</f>
        <v>254.2999999999999</v>
      </c>
      <c r="G16" s="6">
        <f>63+48.3+69.8</f>
        <v>181.1</v>
      </c>
      <c r="H16" s="6">
        <f>61.4+49+34.7</f>
        <v>145.10000000000002</v>
      </c>
      <c r="I16" s="6">
        <f>61.2+50.1+41.3</f>
        <v>152.60000000000002</v>
      </c>
      <c r="J16" s="6">
        <f>+X16-SUM(G16:I16)</f>
        <v>169.99999999999989</v>
      </c>
      <c r="K16" s="6">
        <f>63.3+64+75.6</f>
        <v>202.89999999999998</v>
      </c>
      <c r="L16" s="6">
        <f>65.5+61.9+59.8</f>
        <v>187.2</v>
      </c>
      <c r="M16" s="6"/>
      <c r="N16" s="6"/>
      <c r="O16" s="6"/>
      <c r="P16" s="6">
        <f>148.2+170.5</f>
        <v>318.7</v>
      </c>
      <c r="Q16" s="6">
        <f>127.1+224.1</f>
        <v>351.2</v>
      </c>
      <c r="R16" s="6">
        <f>215.1+187.3+133.4</f>
        <v>535.79999999999995</v>
      </c>
      <c r="S16" s="6">
        <f>238.1+167+435.2</f>
        <v>840.3</v>
      </c>
      <c r="T16" s="6">
        <f>202.7+161.2+54.7</f>
        <v>418.59999999999997</v>
      </c>
      <c r="U16" s="6">
        <f>183.8+168.5-35.3</f>
        <v>317</v>
      </c>
      <c r="V16" s="6">
        <f>201+174+92.4</f>
        <v>467.4</v>
      </c>
      <c r="W16" s="6">
        <f>236.3+183.5+279</f>
        <v>698.8</v>
      </c>
      <c r="X16" s="6">
        <f>252.1+197+199.7</f>
        <v>648.79999999999995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</row>
    <row r="17" spans="2:68" x14ac:dyDescent="0.2">
      <c r="B17" t="s">
        <v>26</v>
      </c>
      <c r="C17" s="6">
        <f t="shared" ref="C17:G17" si="3">+C12-SUM(C13:C14,C16)+C15</f>
        <v>208.00000000000009</v>
      </c>
      <c r="D17" s="6">
        <f t="shared" si="3"/>
        <v>429.40000000000026</v>
      </c>
      <c r="E17" s="6">
        <f t="shared" si="3"/>
        <v>401.09999999999991</v>
      </c>
      <c r="F17" s="6">
        <f t="shared" si="3"/>
        <v>341.69999999999953</v>
      </c>
      <c r="G17" s="6">
        <f t="shared" si="3"/>
        <v>135.90000000000006</v>
      </c>
      <c r="H17" s="6">
        <f>+H12-SUM(H13:H14,H16)+H15</f>
        <v>354</v>
      </c>
      <c r="I17" s="6">
        <f>+I12-SUM(I13:I14,I16)+I15</f>
        <v>366.00000000000023</v>
      </c>
      <c r="J17" s="6">
        <f>+J12-SUM(J13:J14,J16)+J15</f>
        <v>286.30000000000007</v>
      </c>
      <c r="K17" s="6">
        <f>+K12-SUM(K13:K14,K16)+K15</f>
        <v>117.1</v>
      </c>
      <c r="L17" s="6">
        <f>+L12-SUM(L13:L14,L16)+L15</f>
        <v>328.1</v>
      </c>
      <c r="M17" s="6"/>
      <c r="N17" s="6"/>
      <c r="O17" s="6"/>
      <c r="P17" s="6">
        <f>+P12-SUM(P13:P14,P16)+P15</f>
        <v>913.00000000000034</v>
      </c>
      <c r="Q17" s="6">
        <f t="shared" ref="Q17:X17" si="4">+Q12-SUM(Q13:Q14,Q16)+Q15</f>
        <v>737.50000000000045</v>
      </c>
      <c r="R17" s="6">
        <f t="shared" si="4"/>
        <v>977.20000000000016</v>
      </c>
      <c r="S17" s="6">
        <f t="shared" si="4"/>
        <v>985.59999999999991</v>
      </c>
      <c r="T17" s="6">
        <f t="shared" si="4"/>
        <v>1814.2000000000003</v>
      </c>
      <c r="U17" s="6">
        <f t="shared" si="4"/>
        <v>1953.0000000000009</v>
      </c>
      <c r="V17" s="6">
        <f t="shared" si="4"/>
        <v>1638.2999999999995</v>
      </c>
      <c r="W17" s="6">
        <f t="shared" si="4"/>
        <v>1380.1999999999998</v>
      </c>
      <c r="X17" s="6">
        <f t="shared" si="4"/>
        <v>1142.2000000000005</v>
      </c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</row>
    <row r="18" spans="2:68" x14ac:dyDescent="0.2">
      <c r="B18" t="s">
        <v>27</v>
      </c>
      <c r="C18" s="6">
        <v>5.0999999999999996</v>
      </c>
      <c r="D18" s="6">
        <v>8.3000000000000007</v>
      </c>
      <c r="E18" s="6">
        <v>7.5</v>
      </c>
      <c r="F18" s="6">
        <f>+W18-SUM(C18:E18)</f>
        <v>4.5</v>
      </c>
      <c r="G18" s="6">
        <v>3.9</v>
      </c>
      <c r="H18" s="6">
        <v>7.8</v>
      </c>
      <c r="I18" s="6">
        <v>6.7</v>
      </c>
      <c r="J18" s="6">
        <f>+X18-SUM(G18:I18)</f>
        <v>4.8000000000000007</v>
      </c>
      <c r="K18" s="6">
        <v>4.9000000000000004</v>
      </c>
      <c r="L18" s="6">
        <v>6.6</v>
      </c>
      <c r="M18" s="6"/>
      <c r="N18" s="6"/>
      <c r="O18" s="6"/>
      <c r="P18" s="6">
        <v>16.100000000000001</v>
      </c>
      <c r="Q18" s="6">
        <v>16.7</v>
      </c>
      <c r="R18" s="6">
        <v>16.7</v>
      </c>
      <c r="S18" s="6">
        <v>18.7</v>
      </c>
      <c r="T18" s="6">
        <v>31.5</v>
      </c>
      <c r="U18" s="6">
        <v>40.4</v>
      </c>
      <c r="V18" s="6">
        <v>29.4</v>
      </c>
      <c r="W18" s="6">
        <v>25.4</v>
      </c>
      <c r="X18" s="6">
        <v>23.2</v>
      </c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</row>
    <row r="19" spans="2:68" x14ac:dyDescent="0.2">
      <c r="B19" t="s">
        <v>28</v>
      </c>
      <c r="C19" s="6">
        <v>15</v>
      </c>
      <c r="D19" s="6">
        <v>16</v>
      </c>
      <c r="E19" s="6">
        <v>52.8</v>
      </c>
      <c r="F19" s="6">
        <f>+W19-SUM(C19:E19)</f>
        <v>46.399999999999991</v>
      </c>
      <c r="G19" s="6">
        <v>16.100000000000001</v>
      </c>
      <c r="H19" s="6">
        <v>18.899999999999999</v>
      </c>
      <c r="I19" s="6">
        <v>8.5</v>
      </c>
      <c r="J19" s="6">
        <f>+X19-SUM(G19:I19)</f>
        <v>27.799999999999997</v>
      </c>
      <c r="K19" s="6">
        <v>27.3</v>
      </c>
      <c r="L19" s="6">
        <v>31.6</v>
      </c>
      <c r="M19" s="6"/>
      <c r="N19" s="6"/>
      <c r="O19" s="6"/>
      <c r="P19" s="6">
        <v>23.5</v>
      </c>
      <c r="Q19" s="6">
        <v>55</v>
      </c>
      <c r="R19" s="6">
        <v>46.6</v>
      </c>
      <c r="S19" s="6">
        <v>81.099999999999994</v>
      </c>
      <c r="T19" s="6">
        <v>75</v>
      </c>
      <c r="U19" s="6">
        <v>197.3</v>
      </c>
      <c r="V19" s="6">
        <v>184.6</v>
      </c>
      <c r="W19" s="6">
        <v>130.19999999999999</v>
      </c>
      <c r="X19" s="6">
        <v>71.3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</row>
    <row r="20" spans="2:68" x14ac:dyDescent="0.2">
      <c r="B20" t="s">
        <v>29</v>
      </c>
      <c r="C20" s="6">
        <v>69.2</v>
      </c>
      <c r="D20" s="6">
        <v>68.599999999999994</v>
      </c>
      <c r="E20" s="6">
        <v>78.400000000000006</v>
      </c>
      <c r="F20" s="6">
        <f>+W20-SUM(C20:E20)</f>
        <v>100.29999999999998</v>
      </c>
      <c r="G20" s="6">
        <v>89</v>
      </c>
      <c r="H20" s="6">
        <v>85.9</v>
      </c>
      <c r="I20" s="6">
        <v>86.1</v>
      </c>
      <c r="J20" s="6">
        <f>+X20-SUM(G20:I20)</f>
        <v>97.899999999999977</v>
      </c>
      <c r="K20" s="6">
        <v>93</v>
      </c>
      <c r="L20" s="6">
        <v>84.5</v>
      </c>
      <c r="M20" s="6"/>
      <c r="N20" s="6"/>
      <c r="O20" s="6"/>
      <c r="P20" s="6">
        <v>100.9</v>
      </c>
      <c r="Q20" s="6">
        <v>92.4</v>
      </c>
      <c r="R20" s="6">
        <v>91.9</v>
      </c>
      <c r="S20" s="6">
        <v>134</v>
      </c>
      <c r="T20" s="6">
        <v>152.19999999999999</v>
      </c>
      <c r="U20" s="6">
        <v>334.2</v>
      </c>
      <c r="V20" s="6">
        <v>361.5</v>
      </c>
      <c r="W20" s="6">
        <v>316.5</v>
      </c>
      <c r="X20" s="6">
        <v>358.9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</row>
    <row r="21" spans="2:68" x14ac:dyDescent="0.2">
      <c r="B21" t="s">
        <v>30</v>
      </c>
      <c r="C21" s="6">
        <f t="shared" ref="C21:G21" si="5">+C17+C18+C19-C20</f>
        <v>158.90000000000009</v>
      </c>
      <c r="D21" s="6">
        <f t="shared" si="5"/>
        <v>385.10000000000025</v>
      </c>
      <c r="E21" s="6">
        <f t="shared" si="5"/>
        <v>382.99999999999989</v>
      </c>
      <c r="F21" s="6">
        <f t="shared" si="5"/>
        <v>292.2999999999995</v>
      </c>
      <c r="G21" s="6">
        <f t="shared" si="5"/>
        <v>66.900000000000063</v>
      </c>
      <c r="H21" s="6">
        <f>+H17+H18+H19-H20</f>
        <v>294.79999999999995</v>
      </c>
      <c r="I21" s="6">
        <f>+I17+I18+I19-I20</f>
        <v>295.10000000000025</v>
      </c>
      <c r="J21" s="6">
        <f>+J17+J18+J19-J20</f>
        <v>221.00000000000011</v>
      </c>
      <c r="K21" s="6">
        <f>+K17+K18+K19-K20</f>
        <v>56.300000000000011</v>
      </c>
      <c r="L21" s="6">
        <f>+L17+L18+L19-L20</f>
        <v>281.80000000000007</v>
      </c>
      <c r="M21" s="6"/>
      <c r="N21" s="6"/>
      <c r="O21" s="6"/>
      <c r="P21" s="6">
        <f t="shared" ref="P21:X21" si="6">+P17+P18+P19-P20</f>
        <v>851.70000000000039</v>
      </c>
      <c r="Q21" s="6">
        <f t="shared" si="6"/>
        <v>716.80000000000052</v>
      </c>
      <c r="R21" s="6">
        <f t="shared" si="6"/>
        <v>948.60000000000025</v>
      </c>
      <c r="S21" s="6">
        <f t="shared" si="6"/>
        <v>951.39999999999986</v>
      </c>
      <c r="T21" s="6">
        <f t="shared" si="6"/>
        <v>1768.5000000000002</v>
      </c>
      <c r="U21" s="6">
        <f t="shared" si="6"/>
        <v>1856.5000000000011</v>
      </c>
      <c r="V21" s="6">
        <f t="shared" si="6"/>
        <v>1490.7999999999995</v>
      </c>
      <c r="W21" s="6">
        <f t="shared" si="6"/>
        <v>1219.3</v>
      </c>
      <c r="X21" s="6">
        <f t="shared" si="6"/>
        <v>877.80000000000052</v>
      </c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</row>
    <row r="22" spans="2:68" x14ac:dyDescent="0.2">
      <c r="B22" t="s">
        <v>31</v>
      </c>
      <c r="C22" s="6">
        <v>34.1</v>
      </c>
      <c r="D22" s="6">
        <v>88.3</v>
      </c>
      <c r="E22" s="6">
        <v>85.9</v>
      </c>
      <c r="F22" s="6">
        <f>+W22-SUM(C22:E22)</f>
        <v>71.300000000000011</v>
      </c>
      <c r="G22" s="6">
        <v>15.4</v>
      </c>
      <c r="H22" s="6">
        <v>67.8</v>
      </c>
      <c r="I22" s="6">
        <v>67.8</v>
      </c>
      <c r="J22" s="6">
        <f>+X22-SUM(G22:I22)</f>
        <v>57.400000000000006</v>
      </c>
      <c r="K22" s="6">
        <v>12.9</v>
      </c>
      <c r="L22" s="6">
        <v>64.900000000000006</v>
      </c>
      <c r="M22" s="6"/>
      <c r="N22" s="6"/>
      <c r="O22" s="6"/>
      <c r="P22" s="6">
        <v>140.1</v>
      </c>
      <c r="Q22" s="6">
        <v>51.3</v>
      </c>
      <c r="R22" s="6">
        <v>200.9</v>
      </c>
      <c r="S22" s="6">
        <v>273.5</v>
      </c>
      <c r="T22" s="6">
        <v>377.9</v>
      </c>
      <c r="U22" s="6">
        <v>380.2</v>
      </c>
      <c r="V22" s="6">
        <v>308.39999999999998</v>
      </c>
      <c r="W22" s="6">
        <v>279.60000000000002</v>
      </c>
      <c r="X22" s="6">
        <v>208.4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</row>
    <row r="23" spans="2:68" x14ac:dyDescent="0.2">
      <c r="B23" t="s">
        <v>32</v>
      </c>
      <c r="C23" s="6">
        <f t="shared" ref="C23:G23" si="7">+C21-C22</f>
        <v>124.8000000000001</v>
      </c>
      <c r="D23" s="6">
        <f t="shared" si="7"/>
        <v>296.80000000000024</v>
      </c>
      <c r="E23" s="6">
        <f t="shared" si="7"/>
        <v>297.09999999999991</v>
      </c>
      <c r="F23" s="6">
        <f t="shared" si="7"/>
        <v>220.99999999999949</v>
      </c>
      <c r="G23" s="6">
        <f t="shared" si="7"/>
        <v>51.500000000000064</v>
      </c>
      <c r="H23" s="6">
        <f>+H21-H22</f>
        <v>226.99999999999994</v>
      </c>
      <c r="I23" s="6">
        <f>+I21-I22</f>
        <v>227.30000000000024</v>
      </c>
      <c r="J23" s="6">
        <f>+J21-J22</f>
        <v>163.60000000000011</v>
      </c>
      <c r="K23" s="6">
        <f>+K21-K22</f>
        <v>43.400000000000013</v>
      </c>
      <c r="L23" s="6">
        <f>+L21-L22</f>
        <v>216.90000000000006</v>
      </c>
      <c r="M23" s="6"/>
      <c r="N23" s="6"/>
      <c r="O23" s="6"/>
      <c r="P23" s="6">
        <f t="shared" ref="P23:V23" si="8">+P21-P22</f>
        <v>711.60000000000036</v>
      </c>
      <c r="Q23" s="6">
        <f t="shared" si="8"/>
        <v>665.50000000000057</v>
      </c>
      <c r="R23" s="6">
        <f t="shared" si="8"/>
        <v>747.70000000000027</v>
      </c>
      <c r="S23" s="6">
        <f t="shared" si="8"/>
        <v>677.89999999999986</v>
      </c>
      <c r="T23" s="6">
        <f t="shared" si="8"/>
        <v>1390.6000000000004</v>
      </c>
      <c r="U23" s="6">
        <f t="shared" si="8"/>
        <v>1476.3000000000011</v>
      </c>
      <c r="V23" s="6">
        <f t="shared" si="8"/>
        <v>1182.3999999999996</v>
      </c>
      <c r="W23" s="6">
        <f>+W21-W22</f>
        <v>939.69999999999993</v>
      </c>
      <c r="X23" s="6">
        <f>+X21-X22</f>
        <v>669.40000000000055</v>
      </c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</row>
    <row r="24" spans="2:68" x14ac:dyDescent="0.2"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</row>
    <row r="25" spans="2:68" x14ac:dyDescent="0.2">
      <c r="B25" t="s">
        <v>33</v>
      </c>
      <c r="C25" s="6">
        <f t="shared" ref="C25:F25" si="9">+C23/C26</f>
        <v>1.4618204818853746</v>
      </c>
      <c r="D25" s="6">
        <f t="shared" si="9"/>
        <v>3.5185053465158767</v>
      </c>
      <c r="E25" s="6">
        <f t="shared" si="9"/>
        <v>3.5759421301589964</v>
      </c>
      <c r="F25" s="6">
        <f t="shared" si="9"/>
        <v>2.6898079404104025</v>
      </c>
      <c r="G25" s="6">
        <f>+G23/G26</f>
        <v>0.65323000038052315</v>
      </c>
      <c r="H25" s="6">
        <f t="shared" ref="H25:L25" si="10">+H23/H26</f>
        <v>2.8787014139876979</v>
      </c>
      <c r="I25" s="6">
        <f t="shared" si="10"/>
        <v>2.8817749603803517</v>
      </c>
      <c r="J25" s="6">
        <f t="shared" si="10"/>
        <v>2.0741679873217129</v>
      </c>
      <c r="K25" s="6">
        <f t="shared" si="10"/>
        <v>0.55023771790808262</v>
      </c>
      <c r="L25" s="6">
        <f t="shared" si="10"/>
        <v>2.7588399898244726</v>
      </c>
      <c r="M25" s="6"/>
      <c r="N25" s="6"/>
      <c r="O25" s="6"/>
      <c r="P25" s="6">
        <f t="shared" ref="P25:S25" si="11">+P23/P26</f>
        <v>7.1160000000000032</v>
      </c>
      <c r="Q25" s="6">
        <f t="shared" si="11"/>
        <v>6.6681362283698942</v>
      </c>
      <c r="R25" s="6">
        <f t="shared" si="11"/>
        <v>7.4814888933360049</v>
      </c>
      <c r="S25" s="6">
        <f t="shared" si="11"/>
        <v>6.8021954866093362</v>
      </c>
      <c r="T25" s="6">
        <f t="shared" ref="T25:V25" si="12">+T23/T26</f>
        <v>14.532495898170119</v>
      </c>
      <c r="U25" s="6">
        <f t="shared" si="12"/>
        <v>16.249683547787047</v>
      </c>
      <c r="V25" s="6">
        <f t="shared" si="12"/>
        <v>13.642867032814875</v>
      </c>
      <c r="W25" s="6">
        <f>+W23/W26</f>
        <v>11.437160731238283</v>
      </c>
      <c r="X25" s="6">
        <f>+X23/X26</f>
        <v>8.5012890362073197</v>
      </c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</row>
    <row r="26" spans="2:68" x14ac:dyDescent="0.2">
      <c r="B26" t="s">
        <v>3</v>
      </c>
      <c r="C26" s="6">
        <v>85.373000000000005</v>
      </c>
      <c r="D26" s="6">
        <v>84.353999999999999</v>
      </c>
      <c r="E26" s="6">
        <v>83.082999999999998</v>
      </c>
      <c r="F26" s="6">
        <f>+W26</f>
        <v>82.162000000000006</v>
      </c>
      <c r="G26" s="6">
        <v>78.838999999999999</v>
      </c>
      <c r="H26" s="6">
        <v>78.855000000000004</v>
      </c>
      <c r="I26" s="6">
        <v>78.875</v>
      </c>
      <c r="J26" s="6">
        <v>78.875</v>
      </c>
      <c r="K26" s="6">
        <v>78.875</v>
      </c>
      <c r="L26" s="6">
        <v>78.62</v>
      </c>
      <c r="M26" s="6"/>
      <c r="N26" s="6"/>
      <c r="O26" s="6"/>
      <c r="P26" s="6">
        <f>+KPI!C4</f>
        <v>100</v>
      </c>
      <c r="Q26" s="6">
        <f>+KPI!D4</f>
        <v>99.802999999999997</v>
      </c>
      <c r="R26" s="6">
        <f>+KPI!E4</f>
        <v>99.94</v>
      </c>
      <c r="S26" s="6">
        <f>+KPI!F4</f>
        <v>99.659000000000006</v>
      </c>
      <c r="T26" s="6">
        <v>95.688999999999993</v>
      </c>
      <c r="U26" s="6">
        <v>90.850999999999999</v>
      </c>
      <c r="V26" s="6">
        <v>86.668000000000006</v>
      </c>
      <c r="W26" s="6">
        <v>82.162000000000006</v>
      </c>
      <c r="X26" s="6">
        <v>78.741</v>
      </c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</row>
    <row r="27" spans="2:68" x14ac:dyDescent="0.2"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</row>
    <row r="28" spans="2:68" x14ac:dyDescent="0.2">
      <c r="B28" t="s">
        <v>107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21">
        <f t="shared" ref="Q28:Q32" si="13">+Q6/P6-1</f>
        <v>0.23689279950018216</v>
      </c>
      <c r="R28" s="21">
        <f t="shared" ref="R28:R32" si="14">+R6/Q6-1</f>
        <v>7.8629456581218227E-2</v>
      </c>
      <c r="S28" s="21">
        <f t="shared" ref="S28:S32" si="15">+S6/R6-1</f>
        <v>0.12339512195121949</v>
      </c>
      <c r="T28" s="21">
        <f t="shared" ref="T28:V32" si="16">+T6/S6-1</f>
        <v>5.4295341647271345E-2</v>
      </c>
      <c r="U28" s="21">
        <f t="shared" si="16"/>
        <v>8.8039538714991705E-2</v>
      </c>
      <c r="V28" s="21">
        <f t="shared" si="16"/>
        <v>-2.0077524074859077E-2</v>
      </c>
      <c r="W28" s="21">
        <f>+W6/V6-1</f>
        <v>1.9654501066163954E-2</v>
      </c>
      <c r="X28" s="21">
        <f>+X6/W6-1</f>
        <v>-4.1036520684952338E-2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</row>
    <row r="29" spans="2:68" x14ac:dyDescent="0.2">
      <c r="B29" t="s">
        <v>108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21">
        <f t="shared" si="13"/>
        <v>-5.0090307043949456E-2</v>
      </c>
      <c r="R29" s="21">
        <f t="shared" si="14"/>
        <v>-6.0675201757721675E-2</v>
      </c>
      <c r="S29" s="21">
        <f t="shared" si="15"/>
        <v>0.30214565246727565</v>
      </c>
      <c r="T29" s="21">
        <f t="shared" si="16"/>
        <v>8.2907282022937068E-3</v>
      </c>
      <c r="U29" s="21">
        <f t="shared" si="16"/>
        <v>3.1177196107989635E-2</v>
      </c>
      <c r="V29" s="21">
        <f t="shared" si="16"/>
        <v>0.42683899262409453</v>
      </c>
      <c r="W29" s="21">
        <f t="shared" ref="W29:X32" si="17">+W7/V7-1</f>
        <v>3.1831412271509985E-2</v>
      </c>
      <c r="X29" s="21">
        <f t="shared" si="17"/>
        <v>2.4891677198050299E-2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</row>
    <row r="30" spans="2:68" x14ac:dyDescent="0.2">
      <c r="B30" t="s">
        <v>109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21">
        <f t="shared" si="13"/>
        <v>-8.9651549641043493E-2</v>
      </c>
      <c r="R30" s="21">
        <f t="shared" si="14"/>
        <v>-3.3083285247162864E-2</v>
      </c>
      <c r="S30" s="21">
        <f t="shared" si="15"/>
        <v>0.13805450566938537</v>
      </c>
      <c r="T30" s="21">
        <f t="shared" si="16"/>
        <v>5.4186331061003346E-2</v>
      </c>
      <c r="U30" s="21">
        <f t="shared" si="16"/>
        <v>6.0769358315370559E-2</v>
      </c>
      <c r="V30" s="21">
        <f t="shared" si="16"/>
        <v>-0.84892536146932396</v>
      </c>
      <c r="W30" s="21">
        <f t="shared" si="17"/>
        <v>1.1774443869632694</v>
      </c>
      <c r="X30" s="21">
        <f t="shared" si="17"/>
        <v>1.7343787122832133E-2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</row>
    <row r="31" spans="2:68" x14ac:dyDescent="0.2">
      <c r="B31" t="s">
        <v>110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21">
        <f t="shared" si="13"/>
        <v>2.8819711802881898E-2</v>
      </c>
      <c r="R31" s="21">
        <f t="shared" si="14"/>
        <v>-7.8049823586014977E-3</v>
      </c>
      <c r="S31" s="21">
        <f t="shared" si="15"/>
        <v>0.17262931034482754</v>
      </c>
      <c r="T31" s="21">
        <f t="shared" si="16"/>
        <v>-1.4335600073515975E-2</v>
      </c>
      <c r="U31" s="21">
        <f t="shared" si="16"/>
        <v>9.1460003729256112E-2</v>
      </c>
      <c r="V31" s="21">
        <f t="shared" si="16"/>
        <v>-0.13966003245921244</v>
      </c>
      <c r="W31" s="21">
        <f t="shared" si="17"/>
        <v>4.2990468625893508E-2</v>
      </c>
      <c r="X31" s="21">
        <f t="shared" si="17"/>
        <v>-0.1413612565445026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</row>
    <row r="32" spans="2:68" x14ac:dyDescent="0.2">
      <c r="B32" s="2" t="s">
        <v>111</v>
      </c>
      <c r="C32" s="7"/>
      <c r="D32" s="7"/>
      <c r="E32" s="7"/>
      <c r="F32" s="7"/>
      <c r="G32" s="22">
        <f>+G10/C10-1</f>
        <v>1.3037006621156921E-2</v>
      </c>
      <c r="H32" s="22">
        <f>+H10/D10-1</f>
        <v>-1.8598359962803679E-3</v>
      </c>
      <c r="I32" s="22">
        <f>+I10/E10-1</f>
        <v>-3.0117259823081555E-2</v>
      </c>
      <c r="J32" s="22">
        <f>+J10/F10-1</f>
        <v>-4.6469989827059965E-2</v>
      </c>
      <c r="K32" s="22">
        <f t="shared" ref="K32:N32" si="18">+K10/G10-1</f>
        <v>-5.8012869230379516E-2</v>
      </c>
      <c r="L32" s="22">
        <f t="shared" si="18"/>
        <v>-1.1603286186160799E-2</v>
      </c>
      <c r="M32" s="22">
        <f t="shared" si="18"/>
        <v>-1</v>
      </c>
      <c r="N32" s="22">
        <f t="shared" si="18"/>
        <v>-1</v>
      </c>
      <c r="O32" s="22"/>
      <c r="P32" s="6"/>
      <c r="Q32" s="22">
        <f t="shared" si="13"/>
        <v>3.9297594182718276E-2</v>
      </c>
      <c r="R32" s="22">
        <f t="shared" si="14"/>
        <v>2.2329735764792247E-4</v>
      </c>
      <c r="S32" s="22">
        <f t="shared" si="15"/>
        <v>0.19153147789849667</v>
      </c>
      <c r="T32" s="22">
        <f t="shared" si="16"/>
        <v>2.8329107283378674E-2</v>
      </c>
      <c r="U32" s="22">
        <f t="shared" si="16"/>
        <v>6.4316688328251992E-2</v>
      </c>
      <c r="V32" s="22">
        <f t="shared" si="16"/>
        <v>-3.5721622423593447E-3</v>
      </c>
      <c r="W32" s="22">
        <f t="shared" si="17"/>
        <v>5.3969235703077656E-2</v>
      </c>
      <c r="X32" s="22">
        <f t="shared" si="17"/>
        <v>-1.8082828919485761E-2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</row>
    <row r="33" spans="2:68" x14ac:dyDescent="0.2">
      <c r="B33" t="s">
        <v>112</v>
      </c>
      <c r="C33" s="21">
        <f t="shared" ref="C33:H33" si="19">+C12/C10</f>
        <v>0.45229174151824669</v>
      </c>
      <c r="D33" s="21">
        <f t="shared" si="19"/>
        <v>0.46884774706230459</v>
      </c>
      <c r="E33" s="21">
        <f t="shared" si="19"/>
        <v>0.46327916066652952</v>
      </c>
      <c r="F33" s="21">
        <f t="shared" si="19"/>
        <v>0.47287894201424191</v>
      </c>
      <c r="G33" s="21">
        <f t="shared" si="19"/>
        <v>0.439124487004104</v>
      </c>
      <c r="H33" s="21">
        <f t="shared" si="19"/>
        <v>0.450326077750487</v>
      </c>
      <c r="I33" s="21">
        <f t="shared" ref="I33:J33" si="20">+I12/I10</f>
        <v>0.44550969329317447</v>
      </c>
      <c r="J33" s="21">
        <f t="shared" si="20"/>
        <v>0.43566764818845216</v>
      </c>
      <c r="K33" s="21">
        <f t="shared" ref="K33:N33" si="21">+K12/K10</f>
        <v>0.44309380378657481</v>
      </c>
      <c r="L33" s="21">
        <f t="shared" si="21"/>
        <v>0.45201371036846616</v>
      </c>
      <c r="M33" s="21" t="e">
        <f t="shared" si="21"/>
        <v>#DIV/0!</v>
      </c>
      <c r="N33" s="21" t="e">
        <f t="shared" si="21"/>
        <v>#DIV/0!</v>
      </c>
      <c r="O33" s="21"/>
      <c r="P33" s="6"/>
      <c r="Q33" s="21">
        <f t="shared" ref="Q33:S33" si="22">+Q12/Q10</f>
        <v>0.4765016747301824</v>
      </c>
      <c r="R33" s="21">
        <f t="shared" si="22"/>
        <v>0.46770352731061171</v>
      </c>
      <c r="S33" s="21">
        <f t="shared" si="22"/>
        <v>0.46368303376260006</v>
      </c>
      <c r="T33" s="21">
        <f t="shared" ref="T33:V33" si="23">+T12/T10</f>
        <v>0.49960523279118635</v>
      </c>
      <c r="U33" s="21">
        <f t="shared" si="23"/>
        <v>0.49157745771609879</v>
      </c>
      <c r="V33" s="21">
        <f t="shared" si="23"/>
        <v>0.48151966005795505</v>
      </c>
      <c r="W33" s="21">
        <f>+W12/W10</f>
        <v>0.46494821834146549</v>
      </c>
      <c r="X33" s="21">
        <f>+X12/X10</f>
        <v>0.44282125347233753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</row>
    <row r="34" spans="2:68" x14ac:dyDescent="0.2">
      <c r="B34" t="s">
        <v>113</v>
      </c>
      <c r="C34" s="21">
        <f t="shared" ref="C34:H34" si="24">+C17/C10</f>
        <v>0.10675973925986762</v>
      </c>
      <c r="D34" s="21">
        <f t="shared" si="24"/>
        <v>0.18150308563699394</v>
      </c>
      <c r="E34" s="21">
        <f t="shared" si="24"/>
        <v>0.16502777206336142</v>
      </c>
      <c r="F34" s="21">
        <f t="shared" si="24"/>
        <v>0.13904374364191233</v>
      </c>
      <c r="G34" s="21">
        <f t="shared" si="24"/>
        <v>6.8855449156406776E-2</v>
      </c>
      <c r="H34" s="21">
        <f t="shared" si="24"/>
        <v>0.14991106970441262</v>
      </c>
      <c r="I34" s="21">
        <f t="shared" ref="I34:J34" si="25">+I17/I10</f>
        <v>0.15526237644763086</v>
      </c>
      <c r="J34" s="21">
        <f t="shared" si="25"/>
        <v>0.12217812486664108</v>
      </c>
      <c r="K34" s="21">
        <f t="shared" ref="K34:N34" si="26">+K17/K10</f>
        <v>6.2984079173838206E-2</v>
      </c>
      <c r="L34" s="21">
        <f t="shared" si="26"/>
        <v>0.14057412167952016</v>
      </c>
      <c r="M34" s="21" t="e">
        <f t="shared" si="26"/>
        <v>#DIV/0!</v>
      </c>
      <c r="N34" s="21" t="e">
        <f t="shared" si="26"/>
        <v>#DIV/0!</v>
      </c>
      <c r="O34" s="21"/>
      <c r="P34" s="6"/>
      <c r="Q34" s="21">
        <f t="shared" ref="Q34:S34" si="27">+Q17/Q10</f>
        <v>0.10978786751023453</v>
      </c>
      <c r="R34" s="21">
        <f t="shared" si="27"/>
        <v>0.14543830927221316</v>
      </c>
      <c r="S34" s="21">
        <f t="shared" si="27"/>
        <v>0.12310920695986709</v>
      </c>
      <c r="T34" s="21">
        <f t="shared" ref="T34:V34" si="28">+T17/T10</f>
        <v>0.22036512930144425</v>
      </c>
      <c r="U34" s="21">
        <f t="shared" si="28"/>
        <v>0.22288922873251019</v>
      </c>
      <c r="V34" s="21">
        <f t="shared" si="28"/>
        <v>0.18764388551008482</v>
      </c>
      <c r="W34" s="21">
        <f>+W17/W10</f>
        <v>0.1499875028526097</v>
      </c>
      <c r="X34" s="21">
        <f>+X17/X10</f>
        <v>0.12640968602321906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</row>
    <row r="35" spans="2:68" x14ac:dyDescent="0.2">
      <c r="B35" t="s">
        <v>114</v>
      </c>
      <c r="C35" s="21">
        <f t="shared" ref="C35:H35" si="29">+C22/C21</f>
        <v>0.2146003775959722</v>
      </c>
      <c r="D35" s="21">
        <f t="shared" si="29"/>
        <v>0.22929109322253943</v>
      </c>
      <c r="E35" s="21">
        <f t="shared" si="29"/>
        <v>0.22428198433420374</v>
      </c>
      <c r="F35" s="21">
        <f t="shared" si="29"/>
        <v>0.2439274717755735</v>
      </c>
      <c r="G35" s="21">
        <f t="shared" si="29"/>
        <v>0.23019431988041833</v>
      </c>
      <c r="H35" s="21">
        <f t="shared" si="29"/>
        <v>0.22998643147896883</v>
      </c>
      <c r="I35" s="21">
        <f t="shared" ref="I35:J35" si="30">+I22/I21</f>
        <v>0.22975262622839696</v>
      </c>
      <c r="J35" s="21">
        <f t="shared" si="30"/>
        <v>0.25972850678733023</v>
      </c>
      <c r="K35" s="21">
        <f t="shared" ref="K35:N35" si="31">+K22/K21</f>
        <v>0.22912966252220246</v>
      </c>
      <c r="L35" s="21">
        <f t="shared" si="31"/>
        <v>0.23030518097941799</v>
      </c>
      <c r="M35" s="21" t="e">
        <f t="shared" si="31"/>
        <v>#DIV/0!</v>
      </c>
      <c r="N35" s="21" t="e">
        <f t="shared" si="31"/>
        <v>#DIV/0!</v>
      </c>
      <c r="O35" s="21"/>
      <c r="P35" s="6"/>
      <c r="Q35" s="21">
        <f t="shared" ref="Q35:S35" si="32">+Q22/Q21</f>
        <v>7.1568080357142808E-2</v>
      </c>
      <c r="R35" s="21">
        <f t="shared" si="32"/>
        <v>0.21178578958465102</v>
      </c>
      <c r="S35" s="21">
        <f t="shared" si="32"/>
        <v>0.28747109522808495</v>
      </c>
      <c r="T35" s="21">
        <f t="shared" ref="T35:V35" si="33">+T22/T21</f>
        <v>0.21368391292055411</v>
      </c>
      <c r="U35" s="21">
        <f t="shared" si="33"/>
        <v>0.20479396714247225</v>
      </c>
      <c r="V35" s="21">
        <f t="shared" si="33"/>
        <v>0.2068687952777033</v>
      </c>
      <c r="W35" s="21">
        <f>+W22/W21</f>
        <v>0.22931190027064713</v>
      </c>
      <c r="X35" s="21">
        <f>+X22/X21</f>
        <v>0.23741171109592149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</row>
    <row r="36" spans="2:68" x14ac:dyDescent="0.2"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</row>
    <row r="37" spans="2:68" x14ac:dyDescent="0.2">
      <c r="B37" t="s">
        <v>52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4255.8</v>
      </c>
      <c r="Q37" s="6">
        <v>4561.8</v>
      </c>
      <c r="R37" s="6">
        <v>4629.8</v>
      </c>
      <c r="S37" s="6">
        <v>4895.1000000000004</v>
      </c>
      <c r="T37" s="6">
        <v>5142.5</v>
      </c>
      <c r="U37" s="6">
        <v>5331.5</v>
      </c>
      <c r="V37" s="6">
        <v>5235.6000000000004</v>
      </c>
      <c r="W37" s="6">
        <v>5409.9</v>
      </c>
      <c r="X37" s="6">
        <v>5071.8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</row>
    <row r="38" spans="2:68" x14ac:dyDescent="0.2">
      <c r="B38" t="s">
        <v>53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>
        <v>3013.9</v>
      </c>
      <c r="Q38" s="6">
        <v>2922.6</v>
      </c>
      <c r="R38" s="6">
        <v>2840.2</v>
      </c>
      <c r="S38" s="6">
        <v>3067.5</v>
      </c>
      <c r="T38" s="6">
        <v>3044.6</v>
      </c>
      <c r="U38" s="6">
        <v>2987.6</v>
      </c>
      <c r="V38" s="6">
        <v>3226.1</v>
      </c>
      <c r="W38" s="6">
        <v>3224.1</v>
      </c>
      <c r="X38" s="6">
        <v>3003</v>
      </c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</row>
    <row r="39" spans="2:68" x14ac:dyDescent="0.2">
      <c r="B39" t="s">
        <v>54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>
        <v>99.4</v>
      </c>
      <c r="Q39" s="6">
        <v>75.900000000000006</v>
      </c>
      <c r="R39" s="6">
        <v>45.7</v>
      </c>
      <c r="S39" s="6">
        <v>77.900000000000006</v>
      </c>
      <c r="T39" s="6">
        <v>33.700000000000003</v>
      </c>
      <c r="U39" s="6">
        <v>50.5</v>
      </c>
      <c r="V39" s="6">
        <v>74.400000000000006</v>
      </c>
      <c r="W39" s="6">
        <v>65.3</v>
      </c>
      <c r="X39" s="6">
        <v>179.7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</row>
    <row r="40" spans="2:68" x14ac:dyDescent="0.2">
      <c r="B40" t="s">
        <v>55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>
        <v>181.9</v>
      </c>
      <c r="Q40" s="6">
        <v>308.8</v>
      </c>
      <c r="R40" s="6">
        <v>281.10000000000002</v>
      </c>
      <c r="S40" s="6">
        <v>239.2</v>
      </c>
      <c r="T40" s="6">
        <v>218.9</v>
      </c>
      <c r="U40" s="6">
        <v>195.1</v>
      </c>
      <c r="V40" s="6">
        <v>404</v>
      </c>
      <c r="W40" s="6">
        <v>400</v>
      </c>
      <c r="X40" s="6">
        <v>345.2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</row>
    <row r="41" spans="2:68" x14ac:dyDescent="0.2">
      <c r="B41" t="s">
        <v>56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>
        <v>0</v>
      </c>
      <c r="Q41" s="6">
        <v>0</v>
      </c>
      <c r="R41" s="6">
        <v>0</v>
      </c>
      <c r="S41" s="6">
        <v>0</v>
      </c>
      <c r="T41" s="6">
        <v>54.7</v>
      </c>
      <c r="U41" s="6">
        <v>125.4</v>
      </c>
      <c r="V41" s="6">
        <v>183.1</v>
      </c>
      <c r="W41" s="6">
        <v>215.5</v>
      </c>
      <c r="X41" s="6">
        <v>97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</row>
    <row r="42" spans="2:68" x14ac:dyDescent="0.2">
      <c r="B42" t="s">
        <v>57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>
        <v>1217.3</v>
      </c>
      <c r="Q42" s="6">
        <v>1219.5</v>
      </c>
      <c r="R42" s="6">
        <v>1098.2</v>
      </c>
      <c r="S42" s="6">
        <v>1200.8</v>
      </c>
      <c r="T42" s="6">
        <v>1261.0999999999999</v>
      </c>
      <c r="U42" s="6">
        <v>1425.4</v>
      </c>
      <c r="V42" s="6">
        <v>1475.1</v>
      </c>
      <c r="W42" s="6">
        <v>1664.2</v>
      </c>
      <c r="X42" s="6">
        <v>1538.5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</row>
    <row r="43" spans="2:68" x14ac:dyDescent="0.2">
      <c r="B43" t="s">
        <v>58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>
        <v>127.7</v>
      </c>
      <c r="Q43" s="6">
        <v>143.69999999999999</v>
      </c>
      <c r="R43" s="6">
        <v>225.5</v>
      </c>
      <c r="S43" s="6">
        <v>204.7</v>
      </c>
      <c r="T43" s="6">
        <v>187.2</v>
      </c>
      <c r="U43" s="6">
        <v>314.2</v>
      </c>
      <c r="V43" s="6">
        <v>284.60000000000002</v>
      </c>
      <c r="W43" s="6">
        <v>402.3</v>
      </c>
      <c r="X43" s="6">
        <v>368.9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</row>
    <row r="44" spans="2:68" x14ac:dyDescent="0.2">
      <c r="B44" t="s">
        <v>59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>
        <v>96</v>
      </c>
      <c r="Q44" s="6">
        <v>120.2</v>
      </c>
      <c r="R44" s="6">
        <f>155.9+1.7</f>
        <v>157.6</v>
      </c>
      <c r="S44" s="6">
        <v>152</v>
      </c>
      <c r="T44" s="6">
        <v>187.5</v>
      </c>
      <c r="U44" s="6">
        <v>223.6</v>
      </c>
      <c r="V44" s="6">
        <v>234</v>
      </c>
      <c r="W44" s="6">
        <v>261.89999999999998</v>
      </c>
      <c r="X44" s="6">
        <v>243.6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</row>
    <row r="45" spans="2:68" x14ac:dyDescent="0.2">
      <c r="B45" t="s">
        <v>60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>
        <v>20.6</v>
      </c>
      <c r="Q45" s="6">
        <v>22.3</v>
      </c>
      <c r="R45" s="6">
        <v>136.30000000000001</v>
      </c>
      <c r="S45" s="6">
        <v>129.30000000000001</v>
      </c>
      <c r="T45" s="6">
        <v>130.19999999999999</v>
      </c>
      <c r="U45" s="6">
        <v>104.6</v>
      </c>
      <c r="V45" s="6">
        <v>93.7</v>
      </c>
      <c r="W45" s="6">
        <v>129.80000000000001</v>
      </c>
      <c r="X45" s="6">
        <v>114.2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</row>
    <row r="46" spans="2:68" x14ac:dyDescent="0.2">
      <c r="B46" t="s">
        <v>61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>
        <f t="shared" ref="P46:V46" si="34">+SUM(P37:P45)</f>
        <v>9012.6</v>
      </c>
      <c r="Q46" s="6">
        <f t="shared" si="34"/>
        <v>9374.7999999999993</v>
      </c>
      <c r="R46" s="6">
        <f t="shared" si="34"/>
        <v>9414.4</v>
      </c>
      <c r="S46" s="6">
        <f t="shared" si="34"/>
        <v>9966.5</v>
      </c>
      <c r="T46" s="6">
        <f t="shared" si="34"/>
        <v>10260.400000000003</v>
      </c>
      <c r="U46" s="6">
        <f t="shared" si="34"/>
        <v>10757.900000000001</v>
      </c>
      <c r="V46" s="6">
        <f t="shared" si="34"/>
        <v>11210.600000000002</v>
      </c>
      <c r="W46" s="6">
        <f>+SUM(W37:W45)</f>
        <v>11772.999999999998</v>
      </c>
      <c r="X46" s="6">
        <f>+SUM(X37:X45)</f>
        <v>10961.900000000001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</row>
    <row r="47" spans="2:68" x14ac:dyDescent="0.2">
      <c r="B47" t="s">
        <v>62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>
        <v>2421</v>
      </c>
      <c r="Q47" s="6">
        <v>2598.6999999999998</v>
      </c>
      <c r="R47" s="6">
        <v>2530</v>
      </c>
      <c r="S47" s="6">
        <v>2816.3</v>
      </c>
      <c r="T47" s="6">
        <v>2935.9</v>
      </c>
      <c r="U47" s="6">
        <v>3248.9</v>
      </c>
      <c r="V47" s="6">
        <v>3269.6</v>
      </c>
      <c r="W47" s="6">
        <v>3478.2</v>
      </c>
      <c r="X47" s="6">
        <v>3210.7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</row>
    <row r="48" spans="2:68" x14ac:dyDescent="0.2">
      <c r="B48" t="s">
        <v>63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>
        <v>712.8</v>
      </c>
      <c r="Q48" s="6">
        <v>854.1</v>
      </c>
      <c r="R48" s="6">
        <v>800.6</v>
      </c>
      <c r="S48" s="6">
        <v>830.2</v>
      </c>
      <c r="T48" s="6">
        <v>852.4</v>
      </c>
      <c r="U48" s="6">
        <v>884.6</v>
      </c>
      <c r="V48" s="6">
        <v>963.7</v>
      </c>
      <c r="W48" s="6">
        <v>1213.7</v>
      </c>
      <c r="X48" s="6">
        <v>1429.6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</row>
    <row r="49" spans="2:68" x14ac:dyDescent="0.2">
      <c r="B49" t="s">
        <v>64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>
        <v>78.7</v>
      </c>
      <c r="Q49" s="6">
        <v>76.7</v>
      </c>
      <c r="R49" s="6">
        <v>93.6</v>
      </c>
      <c r="S49" s="6">
        <v>113.3</v>
      </c>
      <c r="T49" s="6">
        <v>98.8</v>
      </c>
      <c r="U49" s="6">
        <v>86.4</v>
      </c>
      <c r="V49" s="6">
        <v>113.7</v>
      </c>
      <c r="W49" s="6">
        <v>207</v>
      </c>
      <c r="X49" s="6">
        <v>167.3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</row>
    <row r="50" spans="2:68" x14ac:dyDescent="0.2">
      <c r="B50" t="s">
        <v>65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>
        <v>76.900000000000006</v>
      </c>
      <c r="Q50" s="6">
        <v>121.2</v>
      </c>
      <c r="R50" s="6">
        <v>82</v>
      </c>
      <c r="S50" s="6">
        <v>72.2</v>
      </c>
      <c r="T50" s="6">
        <v>69.5</v>
      </c>
      <c r="U50" s="6">
        <v>21.4</v>
      </c>
      <c r="V50" s="6">
        <v>63.3</v>
      </c>
      <c r="W50" s="6">
        <v>97.4</v>
      </c>
      <c r="X50" s="6">
        <v>143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</row>
    <row r="51" spans="2:68" x14ac:dyDescent="0.2">
      <c r="B51" t="s">
        <v>66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>
        <v>83.2</v>
      </c>
      <c r="Q51" s="6">
        <v>66.8</v>
      </c>
      <c r="R51" s="6">
        <v>53.9</v>
      </c>
      <c r="S51" s="6">
        <f>31.8+48.7</f>
        <v>80.5</v>
      </c>
      <c r="T51" s="6">
        <f>108.5+84.6</f>
        <v>193.1</v>
      </c>
      <c r="U51" s="6">
        <v>100.7</v>
      </c>
      <c r="V51" s="6">
        <v>132.9</v>
      </c>
      <c r="W51" s="6">
        <v>174.6</v>
      </c>
      <c r="X51" s="6">
        <v>157.80000000000001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</row>
    <row r="52" spans="2:68" x14ac:dyDescent="0.2">
      <c r="B52" t="s">
        <v>67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>
        <v>605.20000000000005</v>
      </c>
      <c r="Q52" s="6">
        <v>310.8</v>
      </c>
      <c r="R52" s="6">
        <v>897.5</v>
      </c>
      <c r="S52" s="6">
        <v>117</v>
      </c>
      <c r="T52" s="6">
        <v>173.6</v>
      </c>
      <c r="U52" s="6">
        <v>22.2</v>
      </c>
      <c r="V52" s="6">
        <v>99.6</v>
      </c>
      <c r="W52" s="6">
        <v>160.1</v>
      </c>
      <c r="X52" s="6">
        <v>197.7</v>
      </c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</row>
    <row r="53" spans="2:68" x14ac:dyDescent="0.2">
      <c r="B53" t="s">
        <v>38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35.299999999999997</v>
      </c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</row>
    <row r="54" spans="2:68" x14ac:dyDescent="0.2">
      <c r="B54" t="s">
        <v>68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>
        <f t="shared" ref="P54:W54" si="35">+SUM(P47:P53)</f>
        <v>3977.8</v>
      </c>
      <c r="Q54" s="6">
        <f t="shared" si="35"/>
        <v>4028.2999999999997</v>
      </c>
      <c r="R54" s="6">
        <f t="shared" si="35"/>
        <v>4457.6000000000004</v>
      </c>
      <c r="S54" s="6">
        <f t="shared" si="35"/>
        <v>4029.5</v>
      </c>
      <c r="T54" s="6">
        <f t="shared" si="35"/>
        <v>4323.3000000000011</v>
      </c>
      <c r="U54" s="6">
        <f t="shared" si="35"/>
        <v>4364.1999999999989</v>
      </c>
      <c r="V54" s="6">
        <f t="shared" si="35"/>
        <v>4642.8</v>
      </c>
      <c r="W54" s="6">
        <f t="shared" si="35"/>
        <v>5331</v>
      </c>
      <c r="X54" s="6">
        <f>+SUM(X47:X53)</f>
        <v>5341.4</v>
      </c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</row>
    <row r="55" spans="2:68" x14ac:dyDescent="0.2">
      <c r="B55" s="2" t="s">
        <v>69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>
        <f t="shared" ref="P55:X55" si="36">+P54+P46</f>
        <v>12990.400000000001</v>
      </c>
      <c r="Q55" s="7">
        <f t="shared" si="36"/>
        <v>13403.099999999999</v>
      </c>
      <c r="R55" s="7">
        <f t="shared" si="36"/>
        <v>13872</v>
      </c>
      <c r="S55" s="7">
        <f t="shared" si="36"/>
        <v>13996</v>
      </c>
      <c r="T55" s="7">
        <f t="shared" si="36"/>
        <v>14583.700000000004</v>
      </c>
      <c r="U55" s="7">
        <f t="shared" si="36"/>
        <v>15122.1</v>
      </c>
      <c r="V55" s="7">
        <f t="shared" si="36"/>
        <v>15853.400000000001</v>
      </c>
      <c r="W55" s="7">
        <f t="shared" si="36"/>
        <v>17104</v>
      </c>
      <c r="X55" s="7">
        <f t="shared" si="36"/>
        <v>16303.300000000001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</row>
    <row r="56" spans="2:68" x14ac:dyDescent="0.2">
      <c r="B56" t="s">
        <v>70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>
        <v>8448.2000000000007</v>
      </c>
      <c r="Q56" s="6">
        <v>8818.2000000000007</v>
      </c>
      <c r="R56" s="6">
        <v>9102.7000000000007</v>
      </c>
      <c r="S56" s="6">
        <v>8372.2999999999993</v>
      </c>
      <c r="T56" s="6">
        <v>8967.7999999999993</v>
      </c>
      <c r="U56" s="6">
        <v>9341.6</v>
      </c>
      <c r="V56" s="6">
        <v>9434</v>
      </c>
      <c r="W56" s="6">
        <v>9217</v>
      </c>
      <c r="X56" s="6">
        <v>8572.4</v>
      </c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</row>
    <row r="57" spans="2:68" x14ac:dyDescent="0.2">
      <c r="B57" t="s">
        <v>73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>
        <v>2606.3000000000002</v>
      </c>
      <c r="Q57" s="6">
        <v>2658.1</v>
      </c>
      <c r="R57" s="6">
        <v>2682.1</v>
      </c>
      <c r="S57" s="6">
        <v>2843.5</v>
      </c>
      <c r="T57" s="6">
        <v>2918</v>
      </c>
      <c r="U57" s="6">
        <v>3101.1</v>
      </c>
      <c r="V57" s="6">
        <v>3656.7</v>
      </c>
      <c r="W57" s="6">
        <v>3710.6</v>
      </c>
      <c r="X57" s="6">
        <v>3726.6</v>
      </c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</row>
    <row r="58" spans="2:68" x14ac:dyDescent="0.2">
      <c r="B58" t="s">
        <v>60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>
        <v>571.5</v>
      </c>
      <c r="Q58" s="6">
        <v>515.70000000000005</v>
      </c>
      <c r="R58" s="6">
        <v>516.70000000000005</v>
      </c>
      <c r="S58" s="6">
        <v>628.20000000000005</v>
      </c>
      <c r="T58" s="6">
        <v>698.9</v>
      </c>
      <c r="U58" s="6">
        <v>673.5</v>
      </c>
      <c r="V58" s="6">
        <v>706.8</v>
      </c>
      <c r="W58" s="6">
        <v>742.3</v>
      </c>
      <c r="X58" s="6">
        <v>701.7</v>
      </c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</row>
    <row r="59" spans="2:68" x14ac:dyDescent="0.2">
      <c r="B59" t="s">
        <v>74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>
        <v>237.8</v>
      </c>
      <c r="Q59" s="6">
        <v>240.8</v>
      </c>
      <c r="R59" s="6">
        <v>281.7</v>
      </c>
      <c r="S59" s="6">
        <v>289.3</v>
      </c>
      <c r="T59" s="6">
        <v>307.39999999999998</v>
      </c>
      <c r="U59" s="6">
        <v>204.7</v>
      </c>
      <c r="V59" s="6">
        <v>195.3</v>
      </c>
      <c r="W59" s="6">
        <v>213.7</v>
      </c>
      <c r="X59" s="6">
        <v>194.6</v>
      </c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</row>
    <row r="60" spans="2:68" x14ac:dyDescent="0.2">
      <c r="B60" t="s">
        <v>75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>
        <v>33.700000000000003</v>
      </c>
      <c r="Q60" s="6">
        <v>33.700000000000003</v>
      </c>
      <c r="R60" s="6">
        <v>18.5</v>
      </c>
      <c r="S60" s="6">
        <v>20</v>
      </c>
      <c r="T60" s="6">
        <v>17.899999999999999</v>
      </c>
      <c r="U60" s="6">
        <v>17.899999999999999</v>
      </c>
      <c r="V60" s="6">
        <v>17.899999999999999</v>
      </c>
      <c r="W60" s="6">
        <v>16.399999999999999</v>
      </c>
      <c r="X60" s="6">
        <v>16.5</v>
      </c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</row>
    <row r="61" spans="2:68" x14ac:dyDescent="0.2">
      <c r="B61" t="s">
        <v>58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>
        <v>0</v>
      </c>
      <c r="Q61" s="6">
        <v>0</v>
      </c>
      <c r="R61" s="6">
        <v>159.80000000000001</v>
      </c>
      <c r="S61" s="6">
        <v>159.80000000000001</v>
      </c>
      <c r="T61" s="6">
        <v>149.4</v>
      </c>
      <c r="U61" s="6">
        <v>275.10000000000002</v>
      </c>
      <c r="V61" s="6">
        <v>245.8</v>
      </c>
      <c r="W61" s="6">
        <v>337.3</v>
      </c>
      <c r="X61" s="6">
        <v>323</v>
      </c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</row>
    <row r="62" spans="2:68" x14ac:dyDescent="0.2">
      <c r="B62" t="s">
        <v>38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>
        <v>22.4</v>
      </c>
      <c r="Q62" s="6">
        <v>27.4</v>
      </c>
      <c r="R62" s="6">
        <v>31.4</v>
      </c>
      <c r="S62" s="6">
        <v>19</v>
      </c>
      <c r="T62" s="6">
        <v>58.4</v>
      </c>
      <c r="U62" s="6">
        <v>31</v>
      </c>
      <c r="V62" s="6">
        <v>46.2</v>
      </c>
      <c r="W62" s="6">
        <v>32.5</v>
      </c>
      <c r="X62" s="6">
        <v>34.799999999999997</v>
      </c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</row>
    <row r="63" spans="2:68" x14ac:dyDescent="0.2">
      <c r="B63" t="s">
        <v>76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>
        <f t="shared" ref="P63:T63" si="37">+SUM(P57:P62)</f>
        <v>3471.7000000000003</v>
      </c>
      <c r="Q63" s="6">
        <f t="shared" si="37"/>
        <v>3475.7000000000003</v>
      </c>
      <c r="R63" s="6">
        <f t="shared" si="37"/>
        <v>3690.2000000000003</v>
      </c>
      <c r="S63" s="6">
        <f t="shared" si="37"/>
        <v>3959.8</v>
      </c>
      <c r="T63" s="6">
        <f t="shared" si="37"/>
        <v>4150</v>
      </c>
      <c r="U63" s="6">
        <f t="shared" ref="U63:V63" si="38">+SUM(U57:U62)</f>
        <v>4303.3</v>
      </c>
      <c r="V63" s="6">
        <f t="shared" si="38"/>
        <v>4868.7</v>
      </c>
      <c r="W63" s="6">
        <f>+SUM(W57:W62)</f>
        <v>5052.7999999999993</v>
      </c>
      <c r="X63" s="6">
        <f>+SUM(X57:X62)</f>
        <v>4997.2000000000007</v>
      </c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</row>
    <row r="64" spans="2:68" x14ac:dyDescent="0.2">
      <c r="B64" t="s">
        <v>73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1247.8</v>
      </c>
      <c r="X64" s="6">
        <f>1150+204</f>
        <v>1354</v>
      </c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</row>
    <row r="65" spans="1:68" x14ac:dyDescent="0.2">
      <c r="B65" t="s">
        <v>77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>
        <v>365.4</v>
      </c>
      <c r="Q65" s="6">
        <v>377.1</v>
      </c>
      <c r="R65" s="6">
        <v>334</v>
      </c>
      <c r="S65" s="6">
        <v>525.1</v>
      </c>
      <c r="T65" s="6">
        <v>504.5</v>
      </c>
      <c r="U65" s="6">
        <v>506.8</v>
      </c>
      <c r="V65" s="6">
        <v>508.2</v>
      </c>
      <c r="W65" s="6">
        <v>383.6</v>
      </c>
      <c r="X65" s="6">
        <v>422</v>
      </c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</row>
    <row r="66" spans="1:68" x14ac:dyDescent="0.2">
      <c r="B66" t="s">
        <v>65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>
        <v>170.5</v>
      </c>
      <c r="Q66" s="6">
        <v>132.4</v>
      </c>
      <c r="R66" s="6">
        <v>121.5</v>
      </c>
      <c r="S66" s="6">
        <v>136.69999999999999</v>
      </c>
      <c r="T66" s="6">
        <v>102.4</v>
      </c>
      <c r="U66" s="6">
        <v>207.4</v>
      </c>
      <c r="V66" s="6">
        <v>120.3</v>
      </c>
      <c r="W66" s="6">
        <v>85.1</v>
      </c>
      <c r="X66" s="6">
        <v>30.4</v>
      </c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</row>
    <row r="67" spans="1:68" x14ac:dyDescent="0.2">
      <c r="B67" t="s">
        <v>75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>
        <v>27.4</v>
      </c>
      <c r="Q67" s="6">
        <v>104.1</v>
      </c>
      <c r="R67" s="6">
        <v>38.4</v>
      </c>
      <c r="S67" s="6">
        <v>211.2</v>
      </c>
      <c r="T67" s="6">
        <v>64.3</v>
      </c>
      <c r="U67" s="6">
        <v>19.8</v>
      </c>
      <c r="V67" s="6">
        <v>17.8</v>
      </c>
      <c r="W67" s="6">
        <v>46.9</v>
      </c>
      <c r="X67" s="6">
        <v>18.399999999999999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</row>
    <row r="68" spans="1:68" x14ac:dyDescent="0.2">
      <c r="B68" t="s">
        <v>58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>
        <v>0</v>
      </c>
      <c r="Q68" s="6">
        <v>0</v>
      </c>
      <c r="R68" s="6">
        <v>67</v>
      </c>
      <c r="S68" s="6">
        <v>54.6</v>
      </c>
      <c r="T68" s="6">
        <v>48.5</v>
      </c>
      <c r="U68" s="6">
        <v>56.3</v>
      </c>
      <c r="V68" s="6">
        <v>59.1</v>
      </c>
      <c r="W68" s="6">
        <v>73.400000000000006</v>
      </c>
      <c r="X68" s="6">
        <v>61.1</v>
      </c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</row>
    <row r="69" spans="1:68" x14ac:dyDescent="0.2">
      <c r="B69" t="s">
        <v>38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>
        <v>507.2</v>
      </c>
      <c r="Q69" s="6">
        <v>495.6</v>
      </c>
      <c r="R69" s="6">
        <v>518.20000000000005</v>
      </c>
      <c r="S69" s="6">
        <v>736.3</v>
      </c>
      <c r="T69" s="6">
        <v>746.2</v>
      </c>
      <c r="U69" s="6">
        <v>686.9</v>
      </c>
      <c r="V69" s="6">
        <v>845.3</v>
      </c>
      <c r="W69" s="6">
        <v>997.4</v>
      </c>
      <c r="X69" s="6">
        <v>847.8</v>
      </c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</row>
    <row r="70" spans="1:68" x14ac:dyDescent="0.2">
      <c r="B70" t="s">
        <v>78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>
        <f t="shared" ref="P70:Q70" si="39">+SUM(P64:P69)</f>
        <v>1070.5</v>
      </c>
      <c r="Q70" s="6">
        <f t="shared" si="39"/>
        <v>1109.2</v>
      </c>
      <c r="R70" s="6">
        <f t="shared" ref="R70:X70" si="40">+SUM(R64:R69)</f>
        <v>1079.0999999999999</v>
      </c>
      <c r="S70" s="6">
        <f t="shared" si="40"/>
        <v>1663.9</v>
      </c>
      <c r="T70" s="6">
        <f t="shared" si="40"/>
        <v>1465.9</v>
      </c>
      <c r="U70" s="6">
        <f t="shared" si="40"/>
        <v>1477.1999999999998</v>
      </c>
      <c r="V70" s="6">
        <f t="shared" si="40"/>
        <v>1550.6999999999998</v>
      </c>
      <c r="W70" s="6">
        <f t="shared" si="40"/>
        <v>2834.2000000000003</v>
      </c>
      <c r="X70" s="6">
        <f t="shared" si="40"/>
        <v>2733.7</v>
      </c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</row>
    <row r="71" spans="1:68" x14ac:dyDescent="0.2">
      <c r="B71" t="s">
        <v>71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>
        <f t="shared" ref="P71" si="41">+P70+P63</f>
        <v>4542.2000000000007</v>
      </c>
      <c r="Q71" s="6">
        <f t="shared" ref="Q71" si="42">+Q70+Q63</f>
        <v>4584.9000000000005</v>
      </c>
      <c r="R71" s="6">
        <f t="shared" ref="R71:U71" si="43">+R70+R63</f>
        <v>4769.3</v>
      </c>
      <c r="S71" s="6">
        <f t="shared" si="43"/>
        <v>5623.7000000000007</v>
      </c>
      <c r="T71" s="6">
        <f t="shared" si="43"/>
        <v>5615.9</v>
      </c>
      <c r="U71" s="6">
        <f t="shared" si="43"/>
        <v>5780.5</v>
      </c>
      <c r="V71" s="6">
        <f>+V70+V63</f>
        <v>6419.4</v>
      </c>
      <c r="W71" s="6">
        <f>+W70+W63</f>
        <v>7887</v>
      </c>
      <c r="X71" s="6">
        <f>+X70+X63</f>
        <v>7730.9000000000005</v>
      </c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</row>
    <row r="72" spans="1:68" x14ac:dyDescent="0.2">
      <c r="A72" s="2"/>
      <c r="B72" s="2" t="s">
        <v>72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>
        <f t="shared" ref="P72" si="44">+P71+P56</f>
        <v>12990.400000000001</v>
      </c>
      <c r="Q72" s="7">
        <f t="shared" ref="Q72" si="45">+Q71+Q56</f>
        <v>13403.100000000002</v>
      </c>
      <c r="R72" s="7">
        <f t="shared" ref="R72:U72" si="46">+R71+R56</f>
        <v>13872</v>
      </c>
      <c r="S72" s="7">
        <f t="shared" si="46"/>
        <v>13996</v>
      </c>
      <c r="T72" s="7">
        <f t="shared" si="46"/>
        <v>14583.699999999999</v>
      </c>
      <c r="U72" s="7">
        <f t="shared" si="46"/>
        <v>15122.1</v>
      </c>
      <c r="V72" s="7">
        <f>+V71+V56</f>
        <v>15853.4</v>
      </c>
      <c r="W72" s="7">
        <f>+W71+W56</f>
        <v>17104</v>
      </c>
      <c r="X72" s="7">
        <f>+X71+X56</f>
        <v>16303.3</v>
      </c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</row>
    <row r="73" spans="1:68" x14ac:dyDescent="0.2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</row>
    <row r="74" spans="1:68" x14ac:dyDescent="0.2">
      <c r="B74" t="s">
        <v>32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>
        <v>711.6</v>
      </c>
      <c r="Q74" s="6">
        <v>665.5</v>
      </c>
      <c r="R74" s="6">
        <v>747.7</v>
      </c>
      <c r="S74" s="6">
        <v>677.9</v>
      </c>
      <c r="T74" s="6">
        <v>1390.6</v>
      </c>
      <c r="U74" s="6">
        <v>1476.3</v>
      </c>
      <c r="V74" s="6">
        <v>1182.4000000000001</v>
      </c>
      <c r="W74" s="6">
        <v>939.7</v>
      </c>
      <c r="X74" s="6">
        <v>669.4</v>
      </c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</row>
    <row r="75" spans="1:68" x14ac:dyDescent="0.2">
      <c r="B75" t="s">
        <v>80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>
        <v>318.7</v>
      </c>
      <c r="Q75" s="6">
        <v>351.2</v>
      </c>
      <c r="R75" s="6">
        <v>503.1</v>
      </c>
      <c r="S75" s="6">
        <v>460</v>
      </c>
      <c r="T75" s="6">
        <v>361.5</v>
      </c>
      <c r="U75" s="6">
        <v>352.3</v>
      </c>
      <c r="V75" s="6">
        <v>375</v>
      </c>
      <c r="W75" s="6">
        <v>419.8</v>
      </c>
      <c r="X75" s="6">
        <v>449.1</v>
      </c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</row>
    <row r="76" spans="1:68" x14ac:dyDescent="0.2">
      <c r="B76" t="s">
        <v>81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180</v>
      </c>
      <c r="Q76" s="6">
        <v>206.7</v>
      </c>
      <c r="R76" s="6">
        <v>291.2</v>
      </c>
      <c r="S76" s="6">
        <v>774.1</v>
      </c>
      <c r="T76" s="6">
        <v>498.2</v>
      </c>
      <c r="U76" s="6">
        <v>428.4</v>
      </c>
      <c r="V76" s="6">
        <v>513</v>
      </c>
      <c r="W76" s="6">
        <v>694.8</v>
      </c>
      <c r="X76" s="6">
        <v>687.6</v>
      </c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</row>
    <row r="77" spans="1:68" x14ac:dyDescent="0.2">
      <c r="B77" t="s">
        <v>82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>
        <v>168.1</v>
      </c>
      <c r="Q77" s="6">
        <v>-101.1</v>
      </c>
      <c r="R77" s="6">
        <v>100.9</v>
      </c>
      <c r="S77" s="6">
        <v>294.2</v>
      </c>
      <c r="T77" s="6">
        <v>-6.2</v>
      </c>
      <c r="U77" s="6">
        <v>-363.9</v>
      </c>
      <c r="V77" s="6">
        <v>-36.700000000000003</v>
      </c>
      <c r="W77" s="6">
        <v>-138.4</v>
      </c>
      <c r="X77" s="6">
        <v>-213.9</v>
      </c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</row>
    <row r="78" spans="1:68" x14ac:dyDescent="0.2">
      <c r="B78" t="s">
        <v>83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>
        <v>-122.3</v>
      </c>
      <c r="Q78" s="6">
        <v>-103.1</v>
      </c>
      <c r="R78" s="6">
        <v>-174.3</v>
      </c>
      <c r="S78" s="6">
        <v>-196.4</v>
      </c>
      <c r="T78" s="6">
        <v>-219.1</v>
      </c>
      <c r="U78" s="6">
        <v>-140.80000000000001</v>
      </c>
      <c r="V78" s="6">
        <v>-98.3</v>
      </c>
      <c r="W78" s="6">
        <v>-211</v>
      </c>
      <c r="X78" s="6">
        <v>-242.2</v>
      </c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</row>
    <row r="79" spans="1:68" x14ac:dyDescent="0.2">
      <c r="B79" t="s">
        <v>28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>
        <v>8.3000000000000007</v>
      </c>
      <c r="Q79" s="6">
        <v>96.5</v>
      </c>
      <c r="R79" s="6">
        <v>124.8</v>
      </c>
      <c r="S79" s="6">
        <v>115.8</v>
      </c>
      <c r="T79" s="6">
        <v>33.9</v>
      </c>
      <c r="U79" s="6">
        <v>93</v>
      </c>
      <c r="V79" s="6">
        <v>49.9</v>
      </c>
      <c r="W79" s="6">
        <v>51.4</v>
      </c>
      <c r="X79" s="6">
        <v>42.4</v>
      </c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</row>
    <row r="80" spans="1:68" x14ac:dyDescent="0.2">
      <c r="B80" t="s">
        <v>84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>
        <v>-148.9</v>
      </c>
      <c r="Q80" s="6">
        <v>-111.4</v>
      </c>
      <c r="R80" s="6">
        <v>-127</v>
      </c>
      <c r="S80" s="6">
        <v>-312.2</v>
      </c>
      <c r="T80" s="6">
        <v>-118</v>
      </c>
      <c r="U80" s="6">
        <v>-199.2</v>
      </c>
      <c r="V80" s="6">
        <v>-248.7</v>
      </c>
      <c r="W80" s="6">
        <v>-226.1</v>
      </c>
      <c r="X80" s="6">
        <v>-315.3</v>
      </c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</row>
    <row r="81" spans="2:68" x14ac:dyDescent="0.2">
      <c r="B81" t="s">
        <v>85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>
        <v>-67</v>
      </c>
      <c r="Q81" s="6">
        <v>-219.8</v>
      </c>
      <c r="R81" s="6">
        <v>-166.8</v>
      </c>
      <c r="S81" s="6">
        <v>-228</v>
      </c>
      <c r="T81" s="6">
        <v>-374.2</v>
      </c>
      <c r="U81" s="6">
        <v>-253.6</v>
      </c>
      <c r="V81" s="6">
        <v>-389.6</v>
      </c>
      <c r="W81" s="6">
        <v>-351.1</v>
      </c>
      <c r="X81" s="6">
        <v>-322.60000000000002</v>
      </c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</row>
    <row r="82" spans="2:68" x14ac:dyDescent="0.2">
      <c r="B82" s="2" t="s">
        <v>79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7">
        <f t="shared" ref="P82:S82" si="47">+SUM(P74:P81)</f>
        <v>1048.4999999999998</v>
      </c>
      <c r="Q82" s="7">
        <f t="shared" si="47"/>
        <v>784.50000000000023</v>
      </c>
      <c r="R82" s="7">
        <f t="shared" si="47"/>
        <v>1299.6000000000004</v>
      </c>
      <c r="S82" s="7">
        <f t="shared" si="47"/>
        <v>1585.3999999999999</v>
      </c>
      <c r="T82" s="7">
        <f t="shared" ref="T82:V82" si="48">+SUM(T74:T81)</f>
        <v>1566.7</v>
      </c>
      <c r="U82" s="7">
        <f t="shared" si="48"/>
        <v>1392.5</v>
      </c>
      <c r="V82" s="7">
        <f t="shared" si="48"/>
        <v>1347</v>
      </c>
      <c r="W82" s="7">
        <f>+SUM(W74:W81)</f>
        <v>1179.1000000000004</v>
      </c>
      <c r="X82" s="7">
        <f>+SUM(X74:X81)</f>
        <v>754.49999999999989</v>
      </c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</row>
    <row r="83" spans="2:68" x14ac:dyDescent="0.2">
      <c r="B83" t="s">
        <v>86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>
        <v>-7.9</v>
      </c>
      <c r="Q83" s="6">
        <v>-394.1</v>
      </c>
      <c r="R83" s="6">
        <v>-5.9</v>
      </c>
      <c r="S83" s="6">
        <v>-1560.1</v>
      </c>
      <c r="T83" s="6">
        <v>-3.9</v>
      </c>
      <c r="U83" s="6">
        <v>-3.7</v>
      </c>
      <c r="V83" s="6">
        <v>-581.70000000000005</v>
      </c>
      <c r="W83" s="6">
        <v>-575.6</v>
      </c>
      <c r="X83" s="6">
        <v>-4.3</v>
      </c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</row>
    <row r="84" spans="2:68" x14ac:dyDescent="0.2">
      <c r="B84" t="s">
        <v>87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>
        <v>-54.4</v>
      </c>
      <c r="Q84" s="6">
        <v>-15.3</v>
      </c>
      <c r="R84" s="6">
        <v>-28.2</v>
      </c>
      <c r="S84" s="6">
        <v>-44.2</v>
      </c>
      <c r="T84" s="6">
        <v>-28.8</v>
      </c>
      <c r="U84" s="6">
        <v>-125.4</v>
      </c>
      <c r="V84" s="6">
        <v>-109.4</v>
      </c>
      <c r="W84" s="6">
        <v>-48.3</v>
      </c>
      <c r="X84" s="6">
        <v>-23.7</v>
      </c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</row>
    <row r="85" spans="2:68" x14ac:dyDescent="0.2">
      <c r="B85" t="s">
        <v>88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>
        <v>-54.1</v>
      </c>
      <c r="Q85" s="6">
        <v>-109.7</v>
      </c>
      <c r="R85" s="6">
        <v>-93.5</v>
      </c>
      <c r="S85" s="6">
        <v>-156.5</v>
      </c>
      <c r="T85" s="6">
        <v>-211.6</v>
      </c>
      <c r="U85" s="6">
        <v>-264.10000000000002</v>
      </c>
      <c r="V85" s="6">
        <v>-199</v>
      </c>
      <c r="W85" s="6">
        <v>-216</v>
      </c>
      <c r="X85" s="6">
        <v>-158.1</v>
      </c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</row>
    <row r="86" spans="2:68" x14ac:dyDescent="0.2">
      <c r="B86" t="s">
        <v>89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>
        <v>15.9</v>
      </c>
      <c r="Q86" s="6">
        <v>1.1000000000000001</v>
      </c>
      <c r="R86" s="6">
        <f>1.2+68.5</f>
        <v>69.7</v>
      </c>
      <c r="S86" s="6">
        <v>1.6</v>
      </c>
      <c r="T86" s="6">
        <v>57.2</v>
      </c>
      <c r="U86" s="6">
        <v>245.8</v>
      </c>
      <c r="V86" s="6">
        <v>2.4</v>
      </c>
      <c r="W86" s="6">
        <v>2.9</v>
      </c>
      <c r="X86" s="6">
        <v>10.1</v>
      </c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</row>
    <row r="87" spans="2:68" x14ac:dyDescent="0.2">
      <c r="B87" t="s">
        <v>90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>
        <v>6.8</v>
      </c>
      <c r="Q87" s="6">
        <v>7.4</v>
      </c>
      <c r="R87" s="6">
        <v>8</v>
      </c>
      <c r="S87" s="6">
        <v>7.5</v>
      </c>
      <c r="T87" s="6">
        <v>9.6</v>
      </c>
      <c r="U87" s="6">
        <v>15.6</v>
      </c>
      <c r="V87" s="6">
        <v>12.4</v>
      </c>
      <c r="W87" s="6">
        <v>12.9</v>
      </c>
      <c r="X87" s="6">
        <v>12.6</v>
      </c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</row>
    <row r="88" spans="2:68" x14ac:dyDescent="0.2">
      <c r="B88" s="2" t="s">
        <v>91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7">
        <f t="shared" ref="P88:T88" si="49">+SUM(P83:P87)</f>
        <v>-93.7</v>
      </c>
      <c r="Q88" s="7">
        <f t="shared" si="49"/>
        <v>-510.6</v>
      </c>
      <c r="R88" s="7">
        <f t="shared" si="49"/>
        <v>-49.899999999999991</v>
      </c>
      <c r="S88" s="7">
        <f t="shared" si="49"/>
        <v>-1751.7</v>
      </c>
      <c r="T88" s="7">
        <f t="shared" si="49"/>
        <v>-177.50000000000003</v>
      </c>
      <c r="U88" s="7">
        <f t="shared" ref="U88:V88" si="50">+SUM(U83:U87)</f>
        <v>-131.80000000000004</v>
      </c>
      <c r="V88" s="7">
        <f t="shared" si="50"/>
        <v>-875.30000000000007</v>
      </c>
      <c r="W88" s="7">
        <f>+SUM(W83:W87)</f>
        <v>-824.1</v>
      </c>
      <c r="X88" s="7">
        <f>+SUM(X83:X87)</f>
        <v>-163.4</v>
      </c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</row>
    <row r="89" spans="2:68" x14ac:dyDescent="0.2">
      <c r="B89" t="s">
        <v>92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>
        <v>0</v>
      </c>
      <c r="Q89" s="6">
        <v>0</v>
      </c>
      <c r="R89" s="6">
        <v>-81.3</v>
      </c>
      <c r="S89" s="6">
        <v>-70.3</v>
      </c>
      <c r="T89" s="6">
        <v>-58.8</v>
      </c>
      <c r="U89" s="6">
        <v>-67.400000000000006</v>
      </c>
      <c r="V89" s="6">
        <v>-67.8</v>
      </c>
      <c r="W89" s="6">
        <v>-94.3</v>
      </c>
      <c r="X89" s="6">
        <v>-80.3</v>
      </c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</row>
    <row r="90" spans="2:68" x14ac:dyDescent="0.2">
      <c r="B90" t="s">
        <v>93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>
        <v>0</v>
      </c>
      <c r="Q90" s="6">
        <v>0</v>
      </c>
      <c r="R90" s="6">
        <v>6.8</v>
      </c>
      <c r="S90" s="6">
        <f>14.7+7549.5</f>
        <v>7564.2</v>
      </c>
      <c r="T90" s="6">
        <v>-45.2</v>
      </c>
      <c r="U90" s="6">
        <v>138.30000000000001</v>
      </c>
      <c r="V90" s="6">
        <v>581</v>
      </c>
      <c r="W90" s="6">
        <v>405</v>
      </c>
      <c r="X90" s="6">
        <v>860.4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</row>
    <row r="91" spans="2:68" x14ac:dyDescent="0.2">
      <c r="B91" t="s">
        <v>94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2233</v>
      </c>
      <c r="X91" s="6">
        <v>0</v>
      </c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</row>
    <row r="92" spans="2:68" x14ac:dyDescent="0.2">
      <c r="B92" t="s">
        <v>95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-1355</v>
      </c>
      <c r="X92" s="6">
        <v>-846.9</v>
      </c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</row>
    <row r="93" spans="2:68" x14ac:dyDescent="0.2">
      <c r="B93" t="s">
        <v>96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>
        <v>0</v>
      </c>
      <c r="Q93" s="6">
        <v>0</v>
      </c>
      <c r="R93" s="6">
        <v>0</v>
      </c>
      <c r="S93" s="6">
        <v>-7299</v>
      </c>
      <c r="T93" s="6">
        <v>0</v>
      </c>
      <c r="U93" s="6">
        <v>-4</v>
      </c>
      <c r="V93" s="6">
        <v>-4.2</v>
      </c>
      <c r="W93" s="6">
        <v>-4.0999999999999996</v>
      </c>
      <c r="X93" s="6">
        <v>-10.5</v>
      </c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</row>
    <row r="94" spans="2:68" x14ac:dyDescent="0.2">
      <c r="B94" t="s">
        <v>97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>
        <v>-896.7</v>
      </c>
      <c r="Q94" s="6">
        <v>-572.9</v>
      </c>
      <c r="R94" s="6">
        <v>-598</v>
      </c>
      <c r="S94" s="6">
        <v>-608.29999999999995</v>
      </c>
      <c r="T94" s="6">
        <v>-626.70000000000005</v>
      </c>
      <c r="U94" s="6">
        <v>-692</v>
      </c>
      <c r="V94" s="6">
        <v>-714.6</v>
      </c>
      <c r="W94" s="6">
        <v>-709.8</v>
      </c>
      <c r="X94" s="6">
        <v>-669.3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</row>
    <row r="95" spans="2:68" x14ac:dyDescent="0.2">
      <c r="B95" t="s">
        <v>98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>
        <v>0</v>
      </c>
      <c r="Q95" s="6">
        <v>0</v>
      </c>
      <c r="R95" s="6">
        <v>0</v>
      </c>
      <c r="S95" s="6">
        <v>-188.5</v>
      </c>
      <c r="T95" s="6">
        <v>-607.1</v>
      </c>
      <c r="U95" s="6">
        <v>-776.4</v>
      </c>
      <c r="V95" s="6">
        <v>-180.6</v>
      </c>
      <c r="W95" s="6">
        <v>-773.6</v>
      </c>
      <c r="X95" s="6">
        <v>0</v>
      </c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</row>
    <row r="96" spans="2:68" x14ac:dyDescent="0.2">
      <c r="B96" s="2" t="s">
        <v>99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7">
        <f t="shared" ref="P96:T96" si="51">+SUM(P89:P95)</f>
        <v>-896.7</v>
      </c>
      <c r="Q96" s="7">
        <f t="shared" si="51"/>
        <v>-572.9</v>
      </c>
      <c r="R96" s="7">
        <f t="shared" si="51"/>
        <v>-672.5</v>
      </c>
      <c r="S96" s="7">
        <f t="shared" si="51"/>
        <v>-601.90000000000032</v>
      </c>
      <c r="T96" s="7">
        <f t="shared" si="51"/>
        <v>-1337.8000000000002</v>
      </c>
      <c r="U96" s="7">
        <f t="shared" ref="U96:V96" si="52">+SUM(U89:U95)</f>
        <v>-1401.5</v>
      </c>
      <c r="V96" s="7">
        <f t="shared" si="52"/>
        <v>-386.19999999999993</v>
      </c>
      <c r="W96" s="7">
        <f>+SUM(W89:W95)</f>
        <v>-298.80000000000007</v>
      </c>
      <c r="X96" s="7">
        <f>+SUM(X89:X95)</f>
        <v>-746.59999999999991</v>
      </c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</row>
    <row r="97" spans="2:68" x14ac:dyDescent="0.2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</row>
    <row r="98" spans="2:68" x14ac:dyDescent="0.2">
      <c r="B98" s="2" t="s">
        <v>101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7">
        <f t="shared" ref="P98:S98" si="53">+SUM(P97,P96,P88,P82)</f>
        <v>58.099999999999682</v>
      </c>
      <c r="Q98" s="7">
        <f t="shared" si="53"/>
        <v>-298.99999999999977</v>
      </c>
      <c r="R98" s="7">
        <f t="shared" si="53"/>
        <v>577.20000000000039</v>
      </c>
      <c r="S98" s="7">
        <f t="shared" si="53"/>
        <v>-768.2000000000005</v>
      </c>
      <c r="T98" s="7">
        <f t="shared" ref="T98:V98" si="54">+SUM(T97,T96,T88,T82)</f>
        <v>51.399999999999864</v>
      </c>
      <c r="U98" s="7">
        <f t="shared" si="54"/>
        <v>-140.79999999999995</v>
      </c>
      <c r="V98" s="7">
        <f t="shared" si="54"/>
        <v>85.5</v>
      </c>
      <c r="W98" s="7">
        <f>+SUM(W97,W96,W88,W82)</f>
        <v>56.200000000000273</v>
      </c>
      <c r="X98" s="7">
        <f>+SUM(X97,X96,X88,X82)</f>
        <v>-155.5</v>
      </c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</row>
    <row r="99" spans="2:68" x14ac:dyDescent="0.2">
      <c r="B99" t="s">
        <v>100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>
        <v>570.29999999999995</v>
      </c>
      <c r="Q99" s="6">
        <v>605.20000000000005</v>
      </c>
      <c r="R99" s="6">
        <v>310.8</v>
      </c>
      <c r="S99" s="6">
        <v>897.5</v>
      </c>
      <c r="T99" s="6">
        <v>117</v>
      </c>
      <c r="U99" s="6">
        <v>-10.6</v>
      </c>
      <c r="V99" s="6">
        <v>-8.1</v>
      </c>
      <c r="W99" s="6">
        <v>4.3</v>
      </c>
      <c r="X99" s="6">
        <v>-10.9</v>
      </c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</row>
    <row r="100" spans="2:68" x14ac:dyDescent="0.2">
      <c r="B100" t="s">
        <v>102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>
        <v>-23.2</v>
      </c>
      <c r="Q100" s="6">
        <v>4.5999999999999996</v>
      </c>
      <c r="R100" s="6">
        <v>9.5</v>
      </c>
      <c r="S100" s="6">
        <v>-12.3</v>
      </c>
      <c r="T100" s="6">
        <v>5.2</v>
      </c>
      <c r="U100" s="6">
        <v>173.6</v>
      </c>
      <c r="V100" s="6">
        <v>22.2</v>
      </c>
      <c r="W100" s="6">
        <v>99.6</v>
      </c>
      <c r="X100" s="6">
        <f>+W101</f>
        <v>160.10000000000028</v>
      </c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</row>
    <row r="101" spans="2:68" x14ac:dyDescent="0.2">
      <c r="B101" t="s">
        <v>103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>
        <f t="shared" ref="P101:S101" si="55">+P100+P98+P99</f>
        <v>605.19999999999959</v>
      </c>
      <c r="Q101" s="6">
        <f t="shared" si="55"/>
        <v>310.8000000000003</v>
      </c>
      <c r="R101" s="6">
        <f t="shared" si="55"/>
        <v>897.50000000000045</v>
      </c>
      <c r="S101" s="6">
        <f t="shared" si="55"/>
        <v>116.99999999999955</v>
      </c>
      <c r="T101" s="6">
        <f>+T100+T98+T99</f>
        <v>173.59999999999985</v>
      </c>
      <c r="U101" s="6">
        <f>+U100+U98+U99</f>
        <v>22.200000000000038</v>
      </c>
      <c r="V101" s="6">
        <f>+V100+V98+V99</f>
        <v>99.600000000000009</v>
      </c>
      <c r="W101" s="6">
        <f>+W100+W98+W99</f>
        <v>160.10000000000028</v>
      </c>
      <c r="X101" s="6">
        <f>+X100+X98</f>
        <v>4.6000000000002785</v>
      </c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</row>
    <row r="102" spans="2:68" x14ac:dyDescent="0.2"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</row>
    <row r="103" spans="2:68" x14ac:dyDescent="0.2"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</row>
    <row r="104" spans="2:68" x14ac:dyDescent="0.2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</row>
    <row r="105" spans="2:68" x14ac:dyDescent="0.2"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</row>
    <row r="106" spans="2:68" x14ac:dyDescent="0.2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</row>
    <row r="107" spans="2:68" x14ac:dyDescent="0.2"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</row>
    <row r="108" spans="2:68" x14ac:dyDescent="0.2"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</row>
    <row r="109" spans="2:68" x14ac:dyDescent="0.2"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</row>
    <row r="110" spans="2:68" x14ac:dyDescent="0.2"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</row>
    <row r="111" spans="2:68" x14ac:dyDescent="0.2"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</row>
    <row r="112" spans="2:68" x14ac:dyDescent="0.2"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</row>
    <row r="113" spans="3:68" x14ac:dyDescent="0.2"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</row>
    <row r="114" spans="3:68" x14ac:dyDescent="0.2"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</row>
    <row r="115" spans="3:68" x14ac:dyDescent="0.2"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</row>
    <row r="116" spans="3:68" x14ac:dyDescent="0.2"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</row>
    <row r="117" spans="3:68" x14ac:dyDescent="0.2"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</row>
    <row r="118" spans="3:68" x14ac:dyDescent="0.2"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</row>
    <row r="119" spans="3:68" x14ac:dyDescent="0.2"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</row>
    <row r="120" spans="3:68" x14ac:dyDescent="0.2"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</row>
    <row r="121" spans="3:68" x14ac:dyDescent="0.2"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</row>
    <row r="122" spans="3:68" x14ac:dyDescent="0.2"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</row>
    <row r="123" spans="3:68" x14ac:dyDescent="0.2"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</row>
    <row r="124" spans="3:68" x14ac:dyDescent="0.2"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</row>
    <row r="125" spans="3:68" x14ac:dyDescent="0.2"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</row>
    <row r="126" spans="3:68" x14ac:dyDescent="0.2"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</row>
    <row r="127" spans="3:68" x14ac:dyDescent="0.2"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</row>
    <row r="128" spans="3:68" x14ac:dyDescent="0.2"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</row>
    <row r="129" spans="3:68" x14ac:dyDescent="0.2"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</row>
    <row r="130" spans="3:68" x14ac:dyDescent="0.2"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</row>
    <row r="131" spans="3:68" x14ac:dyDescent="0.2"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</row>
    <row r="132" spans="3:68" x14ac:dyDescent="0.2"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</row>
    <row r="133" spans="3:68" x14ac:dyDescent="0.2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</row>
    <row r="134" spans="3:68" x14ac:dyDescent="0.2"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</row>
    <row r="135" spans="3:68" x14ac:dyDescent="0.2"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</row>
    <row r="136" spans="3:68" x14ac:dyDescent="0.2"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</row>
    <row r="137" spans="3:68" x14ac:dyDescent="0.2"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</row>
    <row r="138" spans="3:68" x14ac:dyDescent="0.2"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</row>
    <row r="139" spans="3:68" x14ac:dyDescent="0.2"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</row>
    <row r="140" spans="3:68" x14ac:dyDescent="0.2"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</row>
    <row r="141" spans="3:68" x14ac:dyDescent="0.2"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</row>
    <row r="142" spans="3:68" x14ac:dyDescent="0.2"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</row>
    <row r="143" spans="3:68" x14ac:dyDescent="0.2"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</row>
    <row r="144" spans="3:68" x14ac:dyDescent="0.2"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</row>
    <row r="145" spans="3:68" x14ac:dyDescent="0.2"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</row>
    <row r="146" spans="3:68" x14ac:dyDescent="0.2"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</row>
    <row r="147" spans="3:68" x14ac:dyDescent="0.2"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</row>
    <row r="148" spans="3:68" x14ac:dyDescent="0.2"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</row>
    <row r="149" spans="3:68" x14ac:dyDescent="0.2"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</row>
    <row r="150" spans="3:68" x14ac:dyDescent="0.2"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</row>
    <row r="151" spans="3:68" x14ac:dyDescent="0.2"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</row>
    <row r="152" spans="3:68" x14ac:dyDescent="0.2"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</row>
    <row r="153" spans="3:68" x14ac:dyDescent="0.2"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</row>
    <row r="154" spans="3:68" x14ac:dyDescent="0.2"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</row>
    <row r="155" spans="3:68" x14ac:dyDescent="0.2"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</row>
    <row r="156" spans="3:68" x14ac:dyDescent="0.2"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</row>
    <row r="157" spans="3:68" x14ac:dyDescent="0.2"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</row>
    <row r="158" spans="3:68" x14ac:dyDescent="0.2"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</row>
    <row r="159" spans="3:68" x14ac:dyDescent="0.2"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</row>
    <row r="160" spans="3:68" x14ac:dyDescent="0.2"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</row>
    <row r="161" spans="3:68" x14ac:dyDescent="0.2"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</row>
    <row r="162" spans="3:68" x14ac:dyDescent="0.2"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</row>
    <row r="163" spans="3:68" x14ac:dyDescent="0.2"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</row>
    <row r="164" spans="3:68" x14ac:dyDescent="0.2"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</row>
    <row r="165" spans="3:68" x14ac:dyDescent="0.2"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</row>
    <row r="166" spans="3:68" x14ac:dyDescent="0.2"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</row>
    <row r="167" spans="3:68" x14ac:dyDescent="0.2"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</row>
    <row r="168" spans="3:68" x14ac:dyDescent="0.2"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</row>
    <row r="169" spans="3:68" x14ac:dyDescent="0.2"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</row>
    <row r="170" spans="3:68" x14ac:dyDescent="0.2"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</row>
    <row r="171" spans="3:68" x14ac:dyDescent="0.2"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</row>
    <row r="172" spans="3:68" x14ac:dyDescent="0.2"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</row>
    <row r="173" spans="3:68" x14ac:dyDescent="0.2"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</row>
    <row r="174" spans="3:68" x14ac:dyDescent="0.2"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</row>
    <row r="175" spans="3:68" x14ac:dyDescent="0.2"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</row>
    <row r="176" spans="3:68" x14ac:dyDescent="0.2"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</row>
    <row r="177" spans="3:68" x14ac:dyDescent="0.2"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</row>
    <row r="178" spans="3:68" x14ac:dyDescent="0.2"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</row>
    <row r="179" spans="3:68" x14ac:dyDescent="0.2"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</row>
    <row r="180" spans="3:68" x14ac:dyDescent="0.2"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</row>
    <row r="181" spans="3:68" x14ac:dyDescent="0.2"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</row>
    <row r="182" spans="3:68" x14ac:dyDescent="0.2"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</row>
    <row r="183" spans="3:68" x14ac:dyDescent="0.2"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</row>
    <row r="184" spans="3:68" x14ac:dyDescent="0.2"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</row>
    <row r="185" spans="3:68" x14ac:dyDescent="0.2"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</row>
    <row r="186" spans="3:68" x14ac:dyDescent="0.2"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</row>
    <row r="187" spans="3:68" x14ac:dyDescent="0.2"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</row>
    <row r="188" spans="3:68" x14ac:dyDescent="0.2"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</row>
    <row r="189" spans="3:68" x14ac:dyDescent="0.2"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</row>
    <row r="190" spans="3:68" x14ac:dyDescent="0.2"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</row>
    <row r="191" spans="3:68" x14ac:dyDescent="0.2"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</row>
    <row r="192" spans="3:68" x14ac:dyDescent="0.2"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</row>
    <row r="193" spans="3:68" x14ac:dyDescent="0.2"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</row>
    <row r="194" spans="3:68" x14ac:dyDescent="0.2"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</row>
    <row r="195" spans="3:68" x14ac:dyDescent="0.2"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</row>
    <row r="196" spans="3:68" x14ac:dyDescent="0.2"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</row>
    <row r="197" spans="3:68" x14ac:dyDescent="0.2"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</row>
    <row r="198" spans="3:68" x14ac:dyDescent="0.2"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</row>
    <row r="199" spans="3:68" x14ac:dyDescent="0.2"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</row>
    <row r="200" spans="3:68" x14ac:dyDescent="0.2"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</row>
    <row r="201" spans="3:68" x14ac:dyDescent="0.2"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</row>
    <row r="202" spans="3:68" x14ac:dyDescent="0.2"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</row>
    <row r="203" spans="3:68" x14ac:dyDescent="0.2"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</row>
    <row r="204" spans="3:68" x14ac:dyDescent="0.2"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</row>
    <row r="205" spans="3:68" x14ac:dyDescent="0.2"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</row>
    <row r="206" spans="3:68" x14ac:dyDescent="0.2"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</row>
    <row r="207" spans="3:68" x14ac:dyDescent="0.2"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</row>
    <row r="208" spans="3:68" x14ac:dyDescent="0.2"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</row>
    <row r="209" spans="3:68" x14ac:dyDescent="0.2"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</row>
    <row r="210" spans="3:68" x14ac:dyDescent="0.2"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</row>
    <row r="211" spans="3:68" x14ac:dyDescent="0.2"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</row>
    <row r="212" spans="3:68" x14ac:dyDescent="0.2"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</row>
    <row r="213" spans="3:68" x14ac:dyDescent="0.2"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</row>
    <row r="214" spans="3:68" x14ac:dyDescent="0.2"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</row>
    <row r="215" spans="3:68" x14ac:dyDescent="0.2"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</row>
    <row r="216" spans="3:68" x14ac:dyDescent="0.2"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</row>
    <row r="217" spans="3:68" x14ac:dyDescent="0.2"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</row>
    <row r="218" spans="3:68" x14ac:dyDescent="0.2"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</row>
    <row r="219" spans="3:68" x14ac:dyDescent="0.2"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</row>
    <row r="220" spans="3:68" x14ac:dyDescent="0.2"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</row>
    <row r="221" spans="3:68" x14ac:dyDescent="0.2"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</row>
    <row r="222" spans="3:68" x14ac:dyDescent="0.2"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</row>
    <row r="223" spans="3:68" x14ac:dyDescent="0.2"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</row>
    <row r="224" spans="3:68" x14ac:dyDescent="0.2"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</row>
    <row r="225" spans="3:68" x14ac:dyDescent="0.2"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</row>
    <row r="226" spans="3:68" x14ac:dyDescent="0.2"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</row>
    <row r="227" spans="3:68" x14ac:dyDescent="0.2"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</row>
    <row r="228" spans="3:68" x14ac:dyDescent="0.2"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</row>
    <row r="229" spans="3:68" x14ac:dyDescent="0.2"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</row>
    <row r="230" spans="3:68" x14ac:dyDescent="0.2"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</row>
    <row r="231" spans="3:68" x14ac:dyDescent="0.2"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</row>
    <row r="232" spans="3:68" x14ac:dyDescent="0.2"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</row>
    <row r="233" spans="3:68" x14ac:dyDescent="0.2"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</row>
    <row r="234" spans="3:68" x14ac:dyDescent="0.2"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</row>
    <row r="235" spans="3:68" x14ac:dyDescent="0.2"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</row>
    <row r="236" spans="3:68" x14ac:dyDescent="0.2"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</row>
    <row r="237" spans="3:68" x14ac:dyDescent="0.2"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</row>
    <row r="238" spans="3:68" x14ac:dyDescent="0.2"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</row>
    <row r="239" spans="3:68" x14ac:dyDescent="0.2"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</row>
    <row r="240" spans="3:68" x14ac:dyDescent="0.2"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</row>
    <row r="241" spans="3:68" x14ac:dyDescent="0.2"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</row>
    <row r="242" spans="3:68" x14ac:dyDescent="0.2"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</row>
    <row r="243" spans="3:68" x14ac:dyDescent="0.2"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</row>
    <row r="244" spans="3:68" x14ac:dyDescent="0.2"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</row>
    <row r="245" spans="3:68" x14ac:dyDescent="0.2"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</row>
    <row r="246" spans="3:68" x14ac:dyDescent="0.2"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</row>
    <row r="247" spans="3:68" x14ac:dyDescent="0.2"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</row>
    <row r="248" spans="3:68" x14ac:dyDescent="0.2"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</row>
    <row r="249" spans="3:68" x14ac:dyDescent="0.2"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</row>
    <row r="250" spans="3:68" x14ac:dyDescent="0.2"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</row>
    <row r="251" spans="3:68" x14ac:dyDescent="0.2"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</row>
    <row r="252" spans="3:68" x14ac:dyDescent="0.2"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</row>
    <row r="253" spans="3:68" x14ac:dyDescent="0.2"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</row>
    <row r="254" spans="3:68" x14ac:dyDescent="0.2"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</row>
    <row r="255" spans="3:68" x14ac:dyDescent="0.2"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</row>
    <row r="256" spans="3:68" x14ac:dyDescent="0.2"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</row>
    <row r="257" spans="3:68" x14ac:dyDescent="0.2"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</row>
    <row r="258" spans="3:68" x14ac:dyDescent="0.2"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</row>
    <row r="259" spans="3:68" x14ac:dyDescent="0.2"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</row>
    <row r="260" spans="3:68" x14ac:dyDescent="0.2"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</row>
    <row r="261" spans="3:68" x14ac:dyDescent="0.2"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</row>
    <row r="262" spans="3:68" x14ac:dyDescent="0.2"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</row>
    <row r="263" spans="3:68" x14ac:dyDescent="0.2"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</row>
    <row r="264" spans="3:68" x14ac:dyDescent="0.2"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</row>
    <row r="265" spans="3:68" x14ac:dyDescent="0.2"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</row>
    <row r="266" spans="3:68" x14ac:dyDescent="0.2"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</row>
    <row r="267" spans="3:68" x14ac:dyDescent="0.2"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</row>
    <row r="268" spans="3:68" x14ac:dyDescent="0.2"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</row>
    <row r="269" spans="3:68" x14ac:dyDescent="0.2"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</row>
    <row r="270" spans="3:68" x14ac:dyDescent="0.2"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</row>
    <row r="271" spans="3:68" x14ac:dyDescent="0.2"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</row>
    <row r="272" spans="3:68" x14ac:dyDescent="0.2"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</row>
    <row r="273" spans="3:68" x14ac:dyDescent="0.2"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</row>
    <row r="274" spans="3:68" x14ac:dyDescent="0.2"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</row>
    <row r="275" spans="3:68" x14ac:dyDescent="0.2"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</row>
    <row r="276" spans="3:68" x14ac:dyDescent="0.2"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</row>
    <row r="277" spans="3:68" x14ac:dyDescent="0.2"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</row>
    <row r="278" spans="3:68" x14ac:dyDescent="0.2"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</row>
    <row r="279" spans="3:68" x14ac:dyDescent="0.2"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</row>
    <row r="280" spans="3:68" x14ac:dyDescent="0.2"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</row>
    <row r="281" spans="3:68" x14ac:dyDescent="0.2"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</row>
    <row r="282" spans="3:68" x14ac:dyDescent="0.2"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</row>
    <row r="283" spans="3:68" x14ac:dyDescent="0.2"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</row>
    <row r="284" spans="3:68" x14ac:dyDescent="0.2"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</row>
    <row r="285" spans="3:68" x14ac:dyDescent="0.2"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</row>
    <row r="286" spans="3:68" x14ac:dyDescent="0.2"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</row>
    <row r="287" spans="3:68" x14ac:dyDescent="0.2"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</row>
    <row r="288" spans="3:68" x14ac:dyDescent="0.2"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</row>
    <row r="289" spans="3:68" x14ac:dyDescent="0.2"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</row>
    <row r="290" spans="3:68" x14ac:dyDescent="0.2"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</row>
    <row r="291" spans="3:68" x14ac:dyDescent="0.2"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</row>
    <row r="292" spans="3:68" x14ac:dyDescent="0.2"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</row>
    <row r="293" spans="3:68" x14ac:dyDescent="0.2"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</row>
    <row r="294" spans="3:68" x14ac:dyDescent="0.2"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</row>
    <row r="295" spans="3:68" x14ac:dyDescent="0.2"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</row>
    <row r="296" spans="3:68" x14ac:dyDescent="0.2"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</row>
    <row r="297" spans="3:68" x14ac:dyDescent="0.2"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</row>
    <row r="298" spans="3:68" x14ac:dyDescent="0.2"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</row>
    <row r="299" spans="3:68" x14ac:dyDescent="0.2"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</row>
    <row r="300" spans="3:68" x14ac:dyDescent="0.2"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</row>
    <row r="301" spans="3:68" x14ac:dyDescent="0.2"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</row>
    <row r="302" spans="3:68" x14ac:dyDescent="0.2"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</row>
    <row r="303" spans="3:68" x14ac:dyDescent="0.2"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</row>
    <row r="304" spans="3:68" x14ac:dyDescent="0.2"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</row>
    <row r="305" spans="3:68" x14ac:dyDescent="0.2"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</row>
    <row r="306" spans="3:68" x14ac:dyDescent="0.2"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</row>
    <row r="307" spans="3:68" x14ac:dyDescent="0.2"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</row>
    <row r="308" spans="3:68" x14ac:dyDescent="0.2"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</row>
    <row r="309" spans="3:68" x14ac:dyDescent="0.2"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</row>
    <row r="310" spans="3:68" x14ac:dyDescent="0.2"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</row>
    <row r="311" spans="3:68" x14ac:dyDescent="0.2"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</row>
    <row r="312" spans="3:68" x14ac:dyDescent="0.2"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</row>
    <row r="313" spans="3:68" x14ac:dyDescent="0.2"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</row>
    <row r="314" spans="3:68" x14ac:dyDescent="0.2"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</row>
    <row r="315" spans="3:68" x14ac:dyDescent="0.2"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</row>
    <row r="316" spans="3:68" x14ac:dyDescent="0.2"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</row>
    <row r="317" spans="3:68" x14ac:dyDescent="0.2"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</row>
    <row r="318" spans="3:68" x14ac:dyDescent="0.2"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</row>
    <row r="319" spans="3:68" x14ac:dyDescent="0.2"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</row>
    <row r="320" spans="3:68" x14ac:dyDescent="0.2"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</row>
    <row r="321" spans="3:68" x14ac:dyDescent="0.2"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</row>
    <row r="322" spans="3:68" x14ac:dyDescent="0.2"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</row>
    <row r="323" spans="3:68" x14ac:dyDescent="0.2"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</row>
    <row r="324" spans="3:68" x14ac:dyDescent="0.2"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</row>
    <row r="325" spans="3:68" x14ac:dyDescent="0.2"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</row>
    <row r="326" spans="3:68" x14ac:dyDescent="0.2"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</row>
    <row r="327" spans="3:68" x14ac:dyDescent="0.2"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</row>
    <row r="328" spans="3:68" x14ac:dyDescent="0.2"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</row>
    <row r="329" spans="3:68" x14ac:dyDescent="0.2"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</row>
    <row r="330" spans="3:68" x14ac:dyDescent="0.2"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</row>
    <row r="331" spans="3:68" x14ac:dyDescent="0.2"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</row>
    <row r="332" spans="3:68" x14ac:dyDescent="0.2"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</row>
    <row r="333" spans="3:68" x14ac:dyDescent="0.2"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</row>
    <row r="334" spans="3:68" x14ac:dyDescent="0.2"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</row>
    <row r="335" spans="3:68" x14ac:dyDescent="0.2"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</row>
    <row r="336" spans="3:68" x14ac:dyDescent="0.2"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</row>
    <row r="337" spans="3:68" x14ac:dyDescent="0.2"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</row>
    <row r="338" spans="3:68" x14ac:dyDescent="0.2"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</row>
    <row r="339" spans="3:68" x14ac:dyDescent="0.2"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</row>
    <row r="340" spans="3:68" x14ac:dyDescent="0.2"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</row>
    <row r="341" spans="3:68" x14ac:dyDescent="0.2"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</row>
    <row r="342" spans="3:68" x14ac:dyDescent="0.2"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</row>
    <row r="343" spans="3:68" x14ac:dyDescent="0.2"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</row>
    <row r="344" spans="3:68" x14ac:dyDescent="0.2"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</row>
    <row r="345" spans="3:68" x14ac:dyDescent="0.2"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</row>
    <row r="346" spans="3:68" x14ac:dyDescent="0.2"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</row>
    <row r="347" spans="3:68" x14ac:dyDescent="0.2"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</row>
    <row r="348" spans="3:68" x14ac:dyDescent="0.2"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</row>
    <row r="349" spans="3:68" x14ac:dyDescent="0.2"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</row>
    <row r="350" spans="3:68" x14ac:dyDescent="0.2"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</row>
    <row r="351" spans="3:68" x14ac:dyDescent="0.2"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</row>
    <row r="352" spans="3:68" x14ac:dyDescent="0.2"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</row>
    <row r="353" spans="3:68" x14ac:dyDescent="0.2"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</row>
    <row r="354" spans="3:68" x14ac:dyDescent="0.2"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</row>
    <row r="355" spans="3:68" x14ac:dyDescent="0.2"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</row>
    <row r="356" spans="3:68" x14ac:dyDescent="0.2"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</row>
    <row r="357" spans="3:68" x14ac:dyDescent="0.2"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</row>
    <row r="358" spans="3:68" x14ac:dyDescent="0.2"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</row>
    <row r="359" spans="3:68" x14ac:dyDescent="0.2"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</row>
    <row r="360" spans="3:68" x14ac:dyDescent="0.2"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</row>
    <row r="361" spans="3:68" x14ac:dyDescent="0.2"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</row>
    <row r="362" spans="3:68" x14ac:dyDescent="0.2"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</row>
    <row r="363" spans="3:68" x14ac:dyDescent="0.2"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</row>
    <row r="364" spans="3:68" x14ac:dyDescent="0.2"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</row>
    <row r="365" spans="3:68" x14ac:dyDescent="0.2"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</row>
    <row r="366" spans="3:68" x14ac:dyDescent="0.2"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</row>
    <row r="367" spans="3:68" x14ac:dyDescent="0.2"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</row>
    <row r="368" spans="3:68" x14ac:dyDescent="0.2"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</row>
    <row r="369" spans="3:36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spans="3:36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spans="3:36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spans="3:36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spans="3:36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spans="3:36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spans="3:36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spans="3:36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spans="3:36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spans="3:36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spans="3:36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spans="3:36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spans="3:36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spans="3:36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spans="3:36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spans="3:36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spans="3:36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spans="3:36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spans="3:36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spans="3:36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spans="3:36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spans="3:36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spans="3:36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spans="3:36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spans="3:36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spans="3:36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spans="3:36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spans="3:36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spans="3:36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spans="3:36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spans="3:36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spans="3:36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spans="3:36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spans="3:36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spans="3:36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spans="3:36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spans="3:36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spans="3:36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spans="3:36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spans="3:36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spans="3:36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spans="3:36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spans="3:36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spans="3:36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spans="3:36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spans="3:36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spans="3:36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spans="3:36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spans="3:36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spans="3:36" x14ac:dyDescent="0.2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spans="3:36" x14ac:dyDescent="0.2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spans="3:36" x14ac:dyDescent="0.2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spans="3:36" x14ac:dyDescent="0.2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spans="3:36" x14ac:dyDescent="0.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spans="3:36" x14ac:dyDescent="0.2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spans="3:36" x14ac:dyDescent="0.2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spans="3:36" x14ac:dyDescent="0.2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spans="3:36" x14ac:dyDescent="0.2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spans="3:36" x14ac:dyDescent="0.2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spans="3:36" x14ac:dyDescent="0.2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spans="3:36" x14ac:dyDescent="0.2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spans="3:36" x14ac:dyDescent="0.2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spans="3:36" x14ac:dyDescent="0.2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spans="3:36" x14ac:dyDescent="0.2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spans="3:36" x14ac:dyDescent="0.2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spans="3:36" x14ac:dyDescent="0.2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spans="3:36" x14ac:dyDescent="0.2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spans="3:36" x14ac:dyDescent="0.2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spans="3:36" x14ac:dyDescent="0.2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spans="3:36" x14ac:dyDescent="0.2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spans="3:36" x14ac:dyDescent="0.2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spans="3:36" x14ac:dyDescent="0.2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spans="3:36" x14ac:dyDescent="0.2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spans="3:36" x14ac:dyDescent="0.2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spans="3:36" x14ac:dyDescent="0.2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spans="3:36" x14ac:dyDescent="0.2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spans="3:36" x14ac:dyDescent="0.2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spans="3:36" x14ac:dyDescent="0.2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spans="3:36" x14ac:dyDescent="0.2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spans="3:36" x14ac:dyDescent="0.2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spans="3:36" x14ac:dyDescent="0.2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spans="3:36" x14ac:dyDescent="0.2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spans="3:36" x14ac:dyDescent="0.2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spans="3:36" x14ac:dyDescent="0.2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spans="3:36" x14ac:dyDescent="0.2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spans="3:36" x14ac:dyDescent="0.2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spans="3:36" x14ac:dyDescent="0.2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spans="3:36" x14ac:dyDescent="0.2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</sheetData>
  <hyperlinks>
    <hyperlink ref="A1" location="Main!A1" display="Main" xr:uid="{045468A1-3DAF-463D-BF7D-92662B42E658}"/>
  </hyperlink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3805-B610-4F69-BD75-9064111B0299}">
  <dimension ref="A1:J17"/>
  <sheetViews>
    <sheetView zoomScale="200" zoomScaleNormal="2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14" sqref="C14:J14"/>
    </sheetView>
  </sheetViews>
  <sheetFormatPr defaultRowHeight="12.75" x14ac:dyDescent="0.2"/>
  <cols>
    <col min="1" max="1" width="5.140625" bestFit="1" customWidth="1"/>
    <col min="2" max="2" width="22.42578125" customWidth="1"/>
  </cols>
  <sheetData>
    <row r="1" spans="1:10" x14ac:dyDescent="0.2">
      <c r="A1" s="8" t="s">
        <v>9</v>
      </c>
    </row>
    <row r="2" spans="1:10" x14ac:dyDescent="0.2">
      <c r="C2" s="5" t="s">
        <v>179</v>
      </c>
      <c r="D2" s="5" t="s">
        <v>173</v>
      </c>
      <c r="E2" s="5" t="s">
        <v>45</v>
      </c>
      <c r="F2" s="5" t="s">
        <v>40</v>
      </c>
      <c r="G2" s="5" t="s">
        <v>41</v>
      </c>
      <c r="H2" s="5" t="s">
        <v>42</v>
      </c>
      <c r="I2" s="5" t="s">
        <v>43</v>
      </c>
      <c r="J2" s="5" t="s">
        <v>44</v>
      </c>
    </row>
    <row r="3" spans="1:10" x14ac:dyDescent="0.2">
      <c r="B3" t="s">
        <v>46</v>
      </c>
      <c r="C3">
        <v>120</v>
      </c>
      <c r="D3">
        <v>78.45</v>
      </c>
      <c r="E3">
        <v>81.25</v>
      </c>
      <c r="F3">
        <v>104.1</v>
      </c>
      <c r="G3">
        <v>137.30000000000001</v>
      </c>
      <c r="H3">
        <v>122.1</v>
      </c>
      <c r="I3">
        <v>117.3</v>
      </c>
      <c r="J3">
        <v>95.3</v>
      </c>
    </row>
    <row r="4" spans="1:10" x14ac:dyDescent="0.2">
      <c r="B4" t="s">
        <v>47</v>
      </c>
      <c r="C4" s="6">
        <v>100</v>
      </c>
      <c r="D4" s="6">
        <v>99.802999999999997</v>
      </c>
      <c r="E4" s="6">
        <v>99.94</v>
      </c>
      <c r="F4" s="6">
        <v>99.659000000000006</v>
      </c>
      <c r="G4" s="6">
        <v>95.688999999999993</v>
      </c>
      <c r="H4" s="6">
        <v>90.850999999999999</v>
      </c>
      <c r="I4" s="6">
        <v>86.668000000000006</v>
      </c>
      <c r="J4" s="6">
        <v>82.162000000000006</v>
      </c>
    </row>
    <row r="5" spans="1:10" x14ac:dyDescent="0.2">
      <c r="B5" t="s">
        <v>4</v>
      </c>
      <c r="C5" s="3">
        <f t="shared" ref="C5:F5" si="0">+C3*C4</f>
        <v>12000</v>
      </c>
      <c r="D5" s="3">
        <f t="shared" ref="D5" si="1">+D3*D4</f>
        <v>7829.5453500000003</v>
      </c>
      <c r="E5" s="3">
        <f t="shared" si="0"/>
        <v>8120.125</v>
      </c>
      <c r="F5" s="3">
        <f t="shared" si="0"/>
        <v>10374.501899999999</v>
      </c>
      <c r="G5" s="3">
        <f t="shared" ref="G5" si="2">+G3*G4</f>
        <v>13138.099700000001</v>
      </c>
      <c r="H5" s="3">
        <f t="shared" ref="H5" si="3">+H3*H4</f>
        <v>11092.907099999999</v>
      </c>
      <c r="I5" s="3">
        <f t="shared" ref="I5" si="4">+I3*I4</f>
        <v>10166.1564</v>
      </c>
      <c r="J5" s="3">
        <f>+J3*J4</f>
        <v>7830.0386000000008</v>
      </c>
    </row>
    <row r="6" spans="1:10" x14ac:dyDescent="0.2">
      <c r="B6" t="s">
        <v>5</v>
      </c>
      <c r="C6" s="3">
        <f>+Model!P52</f>
        <v>605.20000000000005</v>
      </c>
      <c r="D6" s="3">
        <f>+Model!Q52</f>
        <v>310.8</v>
      </c>
      <c r="E6" s="3">
        <f>+Model!R52</f>
        <v>897.5</v>
      </c>
      <c r="F6" s="3">
        <f>+Model!S52</f>
        <v>117</v>
      </c>
      <c r="G6" s="3">
        <f>+Model!T52</f>
        <v>173.6</v>
      </c>
      <c r="H6" s="3">
        <f>+Model!U52</f>
        <v>22.2</v>
      </c>
      <c r="I6" s="3">
        <f>+Model!V52</f>
        <v>99.6</v>
      </c>
      <c r="J6" s="3">
        <f>+Model!W52</f>
        <v>160.1</v>
      </c>
    </row>
    <row r="7" spans="1:10" x14ac:dyDescent="0.2">
      <c r="B7" t="s">
        <v>6</v>
      </c>
      <c r="C7" s="3">
        <f>+Model!P57+Model!P64</f>
        <v>2606.3000000000002</v>
      </c>
      <c r="D7" s="3">
        <f>+Model!Q57+Model!Q64</f>
        <v>2658.1</v>
      </c>
      <c r="E7" s="3">
        <f>+Model!R57+Model!R64</f>
        <v>2682.1</v>
      </c>
      <c r="F7" s="3">
        <f>+Model!S57+Model!S64</f>
        <v>2843.5</v>
      </c>
      <c r="G7" s="3">
        <f>+Model!T57+Model!T64</f>
        <v>2918</v>
      </c>
      <c r="H7" s="3">
        <f>+Model!U57+Model!U64</f>
        <v>3101.1</v>
      </c>
      <c r="I7" s="3">
        <f>+Model!V57+Model!V64</f>
        <v>3656.7</v>
      </c>
      <c r="J7" s="3">
        <f>+Model!W57+Model!W64</f>
        <v>4958.3999999999996</v>
      </c>
    </row>
    <row r="8" spans="1:10" x14ac:dyDescent="0.2">
      <c r="B8" t="s">
        <v>7</v>
      </c>
      <c r="C8" s="3">
        <f t="shared" ref="C8:I8" si="5">+C5-C6+C7</f>
        <v>14001.099999999999</v>
      </c>
      <c r="D8" s="3">
        <f t="shared" si="5"/>
        <v>10176.84535</v>
      </c>
      <c r="E8" s="3">
        <f t="shared" si="5"/>
        <v>9904.7250000000004</v>
      </c>
      <c r="F8" s="3">
        <f t="shared" si="5"/>
        <v>13101.001899999999</v>
      </c>
      <c r="G8" s="3">
        <f t="shared" si="5"/>
        <v>15882.4997</v>
      </c>
      <c r="H8" s="3">
        <f t="shared" si="5"/>
        <v>14171.807099999998</v>
      </c>
      <c r="I8" s="3">
        <f t="shared" si="5"/>
        <v>13723.256399999998</v>
      </c>
      <c r="J8" s="3">
        <f>+J5-J6+J7</f>
        <v>12628.338599999999</v>
      </c>
    </row>
    <row r="10" spans="1:10" x14ac:dyDescent="0.2">
      <c r="B10" t="s">
        <v>181</v>
      </c>
    </row>
    <row r="11" spans="1:10" x14ac:dyDescent="0.2">
      <c r="B11" t="s">
        <v>182</v>
      </c>
    </row>
    <row r="12" spans="1:10" x14ac:dyDescent="0.2">
      <c r="B12" t="s">
        <v>184</v>
      </c>
    </row>
    <row r="14" spans="1:10" x14ac:dyDescent="0.2">
      <c r="B14" t="s">
        <v>180</v>
      </c>
      <c r="C14" s="21">
        <f>+Model!P23/Model!P56</f>
        <v>8.4230960441277467E-2</v>
      </c>
      <c r="D14" s="21">
        <f>+Model!Q23/Model!Q56</f>
        <v>7.5468916558934993E-2</v>
      </c>
      <c r="E14" s="21">
        <f>+Model!R23/Model!R56</f>
        <v>8.2140463818427517E-2</v>
      </c>
      <c r="F14" s="21">
        <f>+Model!S23/Model!S56</f>
        <v>8.0969387145706673E-2</v>
      </c>
      <c r="G14" s="21">
        <f>+Model!T23/Model!T56</f>
        <v>0.15506590245099139</v>
      </c>
      <c r="H14" s="21">
        <f>+Model!U23/Model!U56</f>
        <v>0.15803502611972264</v>
      </c>
      <c r="I14" s="21">
        <f>+Model!V23/Model!V56</f>
        <v>0.12533389866440531</v>
      </c>
      <c r="J14" s="21">
        <f>+Model!W23/Model!W56</f>
        <v>0.10195291309536725</v>
      </c>
    </row>
    <row r="15" spans="1:10" x14ac:dyDescent="0.2">
      <c r="B15" t="s">
        <v>183</v>
      </c>
    </row>
    <row r="16" spans="1:10" x14ac:dyDescent="0.2">
      <c r="B16" t="s">
        <v>138</v>
      </c>
    </row>
    <row r="17" spans="2:2" x14ac:dyDescent="0.2">
      <c r="B17" t="s">
        <v>185</v>
      </c>
    </row>
  </sheetData>
  <hyperlinks>
    <hyperlink ref="A1" location="Main!A1" display="Main" xr:uid="{9859B094-BECA-4C47-A2E0-22408521A5A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400E0-69CE-4ED2-B351-96998FD18D33}">
  <dimension ref="A1:AO76"/>
  <sheetViews>
    <sheetView showGridLines="0" tabSelected="1" zoomScaleNormal="100" workbookViewId="0">
      <selection activeCell="M26" sqref="M26"/>
    </sheetView>
  </sheetViews>
  <sheetFormatPr defaultRowHeight="12.75" x14ac:dyDescent="0.2"/>
  <cols>
    <col min="1" max="1" width="4.7109375" bestFit="1" customWidth="1"/>
    <col min="5" max="5" width="10.140625" bestFit="1" customWidth="1"/>
  </cols>
  <sheetData>
    <row r="1" spans="1:41" ht="19.5" x14ac:dyDescent="0.3">
      <c r="A1" s="23" t="s">
        <v>9</v>
      </c>
      <c r="B1" s="24" t="s">
        <v>115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</row>
    <row r="2" spans="1:41" x14ac:dyDescent="0.2">
      <c r="E2" s="25"/>
    </row>
    <row r="3" spans="1:41" x14ac:dyDescent="0.2">
      <c r="B3" t="s">
        <v>116</v>
      </c>
      <c r="E3" s="26" t="s">
        <v>167</v>
      </c>
      <c r="G3" t="s">
        <v>117</v>
      </c>
      <c r="J3" s="26">
        <f>+Main!J2</f>
        <v>71.599999999999994</v>
      </c>
      <c r="L3" t="s">
        <v>117</v>
      </c>
      <c r="O3" s="26">
        <f>+J3</f>
        <v>71.599999999999994</v>
      </c>
    </row>
    <row r="4" spans="1:41" x14ac:dyDescent="0.2">
      <c r="B4" t="s">
        <v>118</v>
      </c>
      <c r="E4" s="27">
        <f ca="1">+TODAY()</f>
        <v>46260</v>
      </c>
      <c r="G4" t="s">
        <v>119</v>
      </c>
      <c r="J4" s="28">
        <f ca="1">V62</f>
        <v>108.99870635334247</v>
      </c>
      <c r="L4" t="s">
        <v>120</v>
      </c>
      <c r="O4" s="29">
        <f>+J15+O15+T15</f>
        <v>0</v>
      </c>
    </row>
    <row r="5" spans="1:41" x14ac:dyDescent="0.2">
      <c r="B5" t="s">
        <v>121</v>
      </c>
      <c r="E5" s="73">
        <v>46022</v>
      </c>
      <c r="G5" t="s">
        <v>122</v>
      </c>
      <c r="J5" s="31">
        <f ca="1">J4/J3-1</f>
        <v>0.52232830102433625</v>
      </c>
      <c r="L5" t="s">
        <v>122</v>
      </c>
      <c r="O5" s="31">
        <f>O4/O3-1</f>
        <v>-1</v>
      </c>
    </row>
    <row r="7" spans="1:41" ht="15" x14ac:dyDescent="0.25">
      <c r="A7" s="32" t="s">
        <v>123</v>
      </c>
      <c r="B7" s="33" t="s">
        <v>124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</row>
    <row r="8" spans="1:41" ht="15" x14ac:dyDescent="0.25">
      <c r="A8" s="32"/>
    </row>
    <row r="9" spans="1:41" ht="15" x14ac:dyDescent="0.25">
      <c r="A9" s="32"/>
      <c r="B9" s="34" t="s">
        <v>125</v>
      </c>
      <c r="C9" s="35"/>
      <c r="D9" s="35"/>
      <c r="E9" s="35"/>
      <c r="G9" s="34" t="s">
        <v>126</v>
      </c>
      <c r="H9" s="34"/>
      <c r="I9" s="35"/>
      <c r="J9" s="35"/>
      <c r="L9" s="34" t="s">
        <v>127</v>
      </c>
      <c r="M9" s="35"/>
      <c r="N9" s="35"/>
      <c r="O9" s="35"/>
      <c r="Q9" s="34" t="s">
        <v>128</v>
      </c>
      <c r="R9" s="35"/>
      <c r="S9" s="35"/>
      <c r="T9" s="35"/>
    </row>
    <row r="10" spans="1:41" ht="15" x14ac:dyDescent="0.25">
      <c r="A10" s="32"/>
      <c r="B10" s="36" t="s">
        <v>129</v>
      </c>
      <c r="G10" s="36" t="s">
        <v>129</v>
      </c>
      <c r="H10" s="36"/>
      <c r="I10" s="36" t="s">
        <v>130</v>
      </c>
      <c r="J10" s="36" t="s">
        <v>131</v>
      </c>
      <c r="L10" s="36" t="s">
        <v>129</v>
      </c>
      <c r="N10" s="36" t="s">
        <v>130</v>
      </c>
      <c r="O10" s="36" t="s">
        <v>131</v>
      </c>
      <c r="Q10" s="36" t="s">
        <v>129</v>
      </c>
      <c r="S10" s="36" t="s">
        <v>130</v>
      </c>
      <c r="T10" s="36" t="s">
        <v>131</v>
      </c>
    </row>
    <row r="11" spans="1:41" ht="15" x14ac:dyDescent="0.25">
      <c r="B11" t="s">
        <v>20</v>
      </c>
      <c r="E11" s="30">
        <v>2</v>
      </c>
      <c r="G11" t="s">
        <v>132</v>
      </c>
      <c r="K11" s="37"/>
      <c r="L11" t="s">
        <v>132</v>
      </c>
      <c r="Q11" t="s">
        <v>132</v>
      </c>
    </row>
    <row r="12" spans="1:41" x14ac:dyDescent="0.2">
      <c r="B12" t="s">
        <v>133</v>
      </c>
      <c r="E12" s="30">
        <v>2</v>
      </c>
      <c r="G12" t="s">
        <v>133</v>
      </c>
      <c r="L12" t="s">
        <v>133</v>
      </c>
      <c r="Q12" t="s">
        <v>133</v>
      </c>
    </row>
    <row r="13" spans="1:41" x14ac:dyDescent="0.2">
      <c r="B13" t="s">
        <v>134</v>
      </c>
      <c r="E13" s="30">
        <v>2</v>
      </c>
      <c r="G13" t="s">
        <v>135</v>
      </c>
      <c r="J13" s="38"/>
      <c r="O13" s="38"/>
      <c r="T13" s="38"/>
    </row>
    <row r="14" spans="1:41" x14ac:dyDescent="0.2">
      <c r="B14" t="s">
        <v>136</v>
      </c>
      <c r="E14" s="30">
        <v>2</v>
      </c>
      <c r="G14" t="s">
        <v>137</v>
      </c>
      <c r="J14" s="38"/>
      <c r="L14" t="s">
        <v>137</v>
      </c>
      <c r="O14" s="38"/>
      <c r="Q14" t="s">
        <v>137</v>
      </c>
      <c r="T14" s="38"/>
    </row>
    <row r="15" spans="1:41" x14ac:dyDescent="0.2">
      <c r="B15" t="s">
        <v>138</v>
      </c>
      <c r="E15" s="30">
        <v>2</v>
      </c>
      <c r="G15" t="s">
        <v>139</v>
      </c>
      <c r="J15" s="38"/>
      <c r="L15" t="s">
        <v>139</v>
      </c>
      <c r="O15" s="38"/>
      <c r="Q15" t="s">
        <v>139</v>
      </c>
      <c r="T15" s="38"/>
    </row>
    <row r="17" spans="1:22" ht="15" x14ac:dyDescent="0.25">
      <c r="B17" s="36" t="s">
        <v>140</v>
      </c>
    </row>
    <row r="18" spans="1:22" x14ac:dyDescent="0.2">
      <c r="B18" t="s">
        <v>134</v>
      </c>
      <c r="E18" s="38">
        <f>CHOOSE(E13,J18,O18,T18)</f>
        <v>0.09</v>
      </c>
      <c r="G18" t="s">
        <v>134</v>
      </c>
      <c r="J18" s="38">
        <v>0.1</v>
      </c>
      <c r="L18" t="s">
        <v>134</v>
      </c>
      <c r="O18" s="38">
        <v>0.09</v>
      </c>
      <c r="Q18" t="s">
        <v>134</v>
      </c>
      <c r="T18" s="38">
        <v>0.08</v>
      </c>
    </row>
    <row r="19" spans="1:22" x14ac:dyDescent="0.2">
      <c r="B19" t="s">
        <v>136</v>
      </c>
      <c r="E19" s="38">
        <f>CHOOSE(E14,J19,O19,T19)</f>
        <v>0.01</v>
      </c>
      <c r="G19" t="s">
        <v>136</v>
      </c>
      <c r="J19" s="38">
        <v>5.0000000000000001E-3</v>
      </c>
      <c r="L19" t="s">
        <v>136</v>
      </c>
      <c r="O19" s="38">
        <v>0.01</v>
      </c>
      <c r="Q19" t="s">
        <v>136</v>
      </c>
      <c r="T19" s="38">
        <v>1.4999999999999999E-2</v>
      </c>
    </row>
    <row r="20" spans="1:22" x14ac:dyDescent="0.2">
      <c r="B20" t="s">
        <v>141</v>
      </c>
      <c r="E20" s="38">
        <f>CHOOSE(E15,J20,O20,T20)</f>
        <v>0.11</v>
      </c>
      <c r="G20" t="s">
        <v>141</v>
      </c>
      <c r="J20" s="38">
        <v>0.1</v>
      </c>
      <c r="L20" t="s">
        <v>141</v>
      </c>
      <c r="O20" s="38">
        <v>0.11</v>
      </c>
      <c r="Q20" t="s">
        <v>141</v>
      </c>
      <c r="T20" s="38">
        <v>0.12</v>
      </c>
    </row>
    <row r="24" spans="1:22" ht="15" x14ac:dyDescent="0.25">
      <c r="A24" s="32" t="s">
        <v>123</v>
      </c>
      <c r="B24" s="33" t="s">
        <v>142</v>
      </c>
      <c r="C24" s="33"/>
      <c r="D24" s="33"/>
      <c r="E24" s="33"/>
      <c r="F24" s="33"/>
      <c r="G24" s="39">
        <v>20</v>
      </c>
      <c r="H24" s="39">
        <f>G24+1</f>
        <v>21</v>
      </c>
      <c r="I24" s="39">
        <f t="shared" ref="I24:V24" si="0">H24+1</f>
        <v>22</v>
      </c>
      <c r="J24" s="39">
        <f t="shared" si="0"/>
        <v>23</v>
      </c>
      <c r="K24" s="39">
        <f t="shared" si="0"/>
        <v>24</v>
      </c>
      <c r="L24" s="39">
        <f t="shared" si="0"/>
        <v>25</v>
      </c>
      <c r="M24" s="39">
        <f t="shared" si="0"/>
        <v>26</v>
      </c>
      <c r="N24" s="39">
        <f t="shared" si="0"/>
        <v>27</v>
      </c>
      <c r="O24" s="39">
        <f t="shared" si="0"/>
        <v>28</v>
      </c>
      <c r="P24" s="39">
        <f t="shared" si="0"/>
        <v>29</v>
      </c>
      <c r="Q24" s="39">
        <f t="shared" si="0"/>
        <v>30</v>
      </c>
      <c r="R24" s="39">
        <f t="shared" si="0"/>
        <v>31</v>
      </c>
      <c r="S24" s="39">
        <f t="shared" si="0"/>
        <v>32</v>
      </c>
      <c r="T24" s="39">
        <f t="shared" si="0"/>
        <v>33</v>
      </c>
      <c r="U24" s="39">
        <f t="shared" si="0"/>
        <v>34</v>
      </c>
      <c r="V24" s="39">
        <f t="shared" si="0"/>
        <v>35</v>
      </c>
    </row>
    <row r="25" spans="1:22" x14ac:dyDescent="0.2">
      <c r="B25" t="s">
        <v>132</v>
      </c>
      <c r="G25" s="3">
        <f>+Model!R10</f>
        <v>6719</v>
      </c>
      <c r="H25" s="3">
        <f>+Model!S10</f>
        <v>8005.9</v>
      </c>
      <c r="I25" s="3">
        <f>+Model!T10</f>
        <v>8232.7000000000007</v>
      </c>
      <c r="J25" s="3">
        <f>+Model!U10</f>
        <v>8762.2000000000007</v>
      </c>
      <c r="K25" s="3">
        <f>+Model!V10</f>
        <v>8730.9</v>
      </c>
      <c r="L25" s="3">
        <f>+Model!W10</f>
        <v>9202.1</v>
      </c>
      <c r="M25" s="3">
        <f ca="1">L25*(1+M26)</f>
        <v>9294.121000000001</v>
      </c>
      <c r="N25" s="3">
        <f t="shared" ref="N25:V25" ca="1" si="1">M25*(1+N26)</f>
        <v>9387.0622100000019</v>
      </c>
      <c r="O25" s="3">
        <f t="shared" ca="1" si="1"/>
        <v>9480.9328321000012</v>
      </c>
      <c r="P25" s="3">
        <f t="shared" ca="1" si="1"/>
        <v>9575.7421604210012</v>
      </c>
      <c r="Q25" s="3">
        <f t="shared" ca="1" si="1"/>
        <v>9671.4995820252116</v>
      </c>
      <c r="R25" s="3">
        <f t="shared" ca="1" si="1"/>
        <v>9768.2145778454633</v>
      </c>
      <c r="S25" s="3">
        <f t="shared" ca="1" si="1"/>
        <v>9865.8967236239187</v>
      </c>
      <c r="T25" s="3">
        <f t="shared" ca="1" si="1"/>
        <v>9964.5556908601575</v>
      </c>
      <c r="U25" s="3">
        <f t="shared" ca="1" si="1"/>
        <v>10064.201247768759</v>
      </c>
      <c r="V25" s="3">
        <f t="shared" ca="1" si="1"/>
        <v>10164.843260246445</v>
      </c>
    </row>
    <row r="26" spans="1:22" ht="15" x14ac:dyDescent="0.25">
      <c r="B26" s="40" t="s">
        <v>143</v>
      </c>
      <c r="C26" s="41"/>
      <c r="G26" s="42"/>
      <c r="H26" s="43">
        <f t="shared" ref="H26:L26" si="2">H25/G25-1</f>
        <v>0.19153147789849667</v>
      </c>
      <c r="I26" s="43">
        <f t="shared" si="2"/>
        <v>2.8329107283378674E-2</v>
      </c>
      <c r="J26" s="43">
        <f t="shared" si="2"/>
        <v>6.4316688328251992E-2</v>
      </c>
      <c r="K26" s="43">
        <f t="shared" si="2"/>
        <v>-3.5721622423593447E-3</v>
      </c>
      <c r="L26" s="43">
        <f t="shared" si="2"/>
        <v>5.3969235703077656E-2</v>
      </c>
      <c r="M26" s="43" cm="1">
        <f t="array" aca="1" ref="M26" ca="1">OFFSET(M26,$E$11,,)</f>
        <v>0.01</v>
      </c>
      <c r="N26" s="43" cm="1">
        <f t="array" aca="1" ref="N26" ca="1">OFFSET(N26,$E$11,,)</f>
        <v>0.01</v>
      </c>
      <c r="O26" s="43" cm="1">
        <f t="array" aca="1" ref="O26" ca="1">OFFSET(O26,$E$11,,)</f>
        <v>0.01</v>
      </c>
      <c r="P26" s="43" cm="1">
        <f t="array" aca="1" ref="P26" ca="1">OFFSET(P26,$E$11,,)</f>
        <v>0.01</v>
      </c>
      <c r="Q26" s="43" cm="1">
        <f t="array" aca="1" ref="Q26" ca="1">OFFSET(Q26,$E$11,,)</f>
        <v>0.01</v>
      </c>
      <c r="R26" s="43" cm="1">
        <f t="array" aca="1" ref="R26" ca="1">OFFSET(R26,$E$11,,)</f>
        <v>0.01</v>
      </c>
      <c r="S26" s="43" cm="1">
        <f t="array" aca="1" ref="S26" ca="1">OFFSET(S26,$E$11,,)</f>
        <v>0.01</v>
      </c>
      <c r="T26" s="43" cm="1">
        <f t="array" aca="1" ref="T26" ca="1">OFFSET(T26,$E$11,,)</f>
        <v>0.01</v>
      </c>
      <c r="U26" s="43" cm="1">
        <f t="array" aca="1" ref="U26" ca="1">OFFSET(U26,$E$11,,)</f>
        <v>0.01</v>
      </c>
      <c r="V26" s="43" cm="1">
        <f t="array" aca="1" ref="V26" ca="1">OFFSET(V26,$E$11,,)</f>
        <v>0.01</v>
      </c>
    </row>
    <row r="27" spans="1:22" ht="15" x14ac:dyDescent="0.25">
      <c r="B27" s="40" t="s">
        <v>126</v>
      </c>
      <c r="C27" s="41"/>
      <c r="I27" s="21"/>
      <c r="J27" s="21"/>
      <c r="K27" s="21"/>
      <c r="L27" s="21"/>
      <c r="M27" s="44">
        <v>-0.01</v>
      </c>
      <c r="N27" s="44">
        <v>-0.01</v>
      </c>
      <c r="O27" s="44">
        <v>-0.01</v>
      </c>
      <c r="P27" s="44">
        <v>-0.01</v>
      </c>
      <c r="Q27" s="44">
        <v>-0.01</v>
      </c>
      <c r="R27" s="44">
        <v>-0.01</v>
      </c>
      <c r="S27" s="44">
        <v>-0.01</v>
      </c>
      <c r="T27" s="44">
        <v>-0.01</v>
      </c>
      <c r="U27" s="44">
        <v>-0.01</v>
      </c>
      <c r="V27" s="44">
        <v>-0.01</v>
      </c>
    </row>
    <row r="28" spans="1:22" ht="15" x14ac:dyDescent="0.25">
      <c r="B28" s="40" t="s">
        <v>144</v>
      </c>
      <c r="C28" s="41"/>
      <c r="I28" s="21"/>
      <c r="J28" s="21"/>
      <c r="K28" s="21"/>
      <c r="L28" s="21"/>
      <c r="M28" s="44">
        <v>0.01</v>
      </c>
      <c r="N28" s="44">
        <v>0.01</v>
      </c>
      <c r="O28" s="44">
        <v>0.01</v>
      </c>
      <c r="P28" s="44">
        <v>0.01</v>
      </c>
      <c r="Q28" s="44">
        <v>0.01</v>
      </c>
      <c r="R28" s="44">
        <v>0.01</v>
      </c>
      <c r="S28" s="44">
        <v>0.01</v>
      </c>
      <c r="T28" s="44">
        <v>0.01</v>
      </c>
      <c r="U28" s="44">
        <v>0.01</v>
      </c>
      <c r="V28" s="44">
        <v>0.01</v>
      </c>
    </row>
    <row r="29" spans="1:22" ht="15" x14ac:dyDescent="0.25">
      <c r="B29" s="40" t="s">
        <v>145</v>
      </c>
      <c r="C29" s="41"/>
      <c r="I29" s="21"/>
      <c r="J29" s="21"/>
      <c r="K29" s="21"/>
      <c r="L29" s="21"/>
      <c r="M29" s="44">
        <v>0.03</v>
      </c>
      <c r="N29" s="44">
        <v>0.03</v>
      </c>
      <c r="O29" s="44">
        <v>0.03</v>
      </c>
      <c r="P29" s="44">
        <v>0.03</v>
      </c>
      <c r="Q29" s="44">
        <v>0.03</v>
      </c>
      <c r="R29" s="44">
        <v>0.03</v>
      </c>
      <c r="S29" s="44">
        <v>0.03</v>
      </c>
      <c r="T29" s="44">
        <v>0.03</v>
      </c>
      <c r="U29" s="44">
        <v>0.03</v>
      </c>
      <c r="V29" s="44">
        <v>0.03</v>
      </c>
    </row>
    <row r="31" spans="1:22" x14ac:dyDescent="0.2">
      <c r="B31" t="s">
        <v>133</v>
      </c>
      <c r="G31" s="3">
        <f>+Model!R17</f>
        <v>977.20000000000016</v>
      </c>
      <c r="H31" s="3">
        <f>+Model!S17</f>
        <v>985.59999999999991</v>
      </c>
      <c r="I31" s="3">
        <f>+Model!T17</f>
        <v>1814.2000000000003</v>
      </c>
      <c r="J31" s="3">
        <f>+Model!U17</f>
        <v>1953.0000000000009</v>
      </c>
      <c r="K31" s="3">
        <f>+Model!V17</f>
        <v>1638.2999999999995</v>
      </c>
      <c r="L31" s="3">
        <f>+Model!W17</f>
        <v>1380.1999999999998</v>
      </c>
      <c r="M31" s="3">
        <f ca="1">M32*M25</f>
        <v>1394.11815</v>
      </c>
      <c r="N31" s="3">
        <f t="shared" ref="N31:V31" ca="1" si="3">N32*N25</f>
        <v>1408.0593315000003</v>
      </c>
      <c r="O31" s="3">
        <f t="shared" ca="1" si="3"/>
        <v>1422.1399248150001</v>
      </c>
      <c r="P31" s="3">
        <f t="shared" ca="1" si="3"/>
        <v>1436.3613240631501</v>
      </c>
      <c r="Q31" s="3">
        <f t="shared" ca="1" si="3"/>
        <v>1450.7249373037816</v>
      </c>
      <c r="R31" s="3">
        <f t="shared" ca="1" si="3"/>
        <v>1465.2321866768195</v>
      </c>
      <c r="S31" s="3">
        <f t="shared" ca="1" si="3"/>
        <v>1479.8845085435878</v>
      </c>
      <c r="T31" s="3">
        <f t="shared" ca="1" si="3"/>
        <v>1494.6833536290235</v>
      </c>
      <c r="U31" s="3">
        <f t="shared" ca="1" si="3"/>
        <v>1509.6301871653138</v>
      </c>
      <c r="V31" s="3">
        <f t="shared" ca="1" si="3"/>
        <v>1524.7264890369668</v>
      </c>
    </row>
    <row r="32" spans="1:22" ht="15" x14ac:dyDescent="0.25">
      <c r="B32" s="40" t="s">
        <v>146</v>
      </c>
      <c r="G32" s="43">
        <f>G31/G25</f>
        <v>0.14543830927221316</v>
      </c>
      <c r="H32" s="43">
        <f t="shared" ref="H32:L32" si="4">H31/H25</f>
        <v>0.12310920695986709</v>
      </c>
      <c r="I32" s="43">
        <f t="shared" si="4"/>
        <v>0.22036512930144425</v>
      </c>
      <c r="J32" s="43">
        <f t="shared" si="4"/>
        <v>0.22288922873251019</v>
      </c>
      <c r="K32" s="43">
        <f t="shared" si="4"/>
        <v>0.18764388551008482</v>
      </c>
      <c r="L32" s="43">
        <f t="shared" si="4"/>
        <v>0.1499875028526097</v>
      </c>
      <c r="M32" s="43" cm="1">
        <f t="array" aca="1" ref="M32" ca="1">OFFSET(M32,$E$12,,)</f>
        <v>0.15</v>
      </c>
      <c r="N32" s="43" cm="1">
        <f t="array" aca="1" ref="N32" ca="1">OFFSET(N32,$E$12,,)</f>
        <v>0.15</v>
      </c>
      <c r="O32" s="43" cm="1">
        <f t="array" aca="1" ref="O32" ca="1">OFFSET(O32,$E$12,,)</f>
        <v>0.15</v>
      </c>
      <c r="P32" s="43" cm="1">
        <f t="array" aca="1" ref="P32" ca="1">OFFSET(P32,$E$12,,)</f>
        <v>0.15</v>
      </c>
      <c r="Q32" s="43" cm="1">
        <f t="array" aca="1" ref="Q32" ca="1">OFFSET(Q32,$E$12,,)</f>
        <v>0.15</v>
      </c>
      <c r="R32" s="43" cm="1">
        <f t="array" aca="1" ref="R32" ca="1">OFFSET(R32,$E$12,,)</f>
        <v>0.15</v>
      </c>
      <c r="S32" s="43" cm="1">
        <f t="array" aca="1" ref="S32" ca="1">OFFSET(S32,$E$12,,)</f>
        <v>0.15</v>
      </c>
      <c r="T32" s="43" cm="1">
        <f t="array" aca="1" ref="T32" ca="1">OFFSET(T32,$E$12,,)</f>
        <v>0.15</v>
      </c>
      <c r="U32" s="43" cm="1">
        <f t="array" aca="1" ref="U32" ca="1">OFFSET(U32,$E$12,,)</f>
        <v>0.15</v>
      </c>
      <c r="V32" s="43" cm="1">
        <f t="array" aca="1" ref="V32" ca="1">OFFSET(V32,$E$12,,)</f>
        <v>0.15</v>
      </c>
    </row>
    <row r="33" spans="2:22" ht="15" x14ac:dyDescent="0.25">
      <c r="B33" s="40" t="s">
        <v>126</v>
      </c>
      <c r="M33" s="44">
        <v>0.13</v>
      </c>
      <c r="N33" s="44">
        <v>0.13</v>
      </c>
      <c r="O33" s="44">
        <v>0.13</v>
      </c>
      <c r="P33" s="44">
        <v>0.13</v>
      </c>
      <c r="Q33" s="44">
        <v>0.13</v>
      </c>
      <c r="R33" s="44">
        <v>0.13</v>
      </c>
      <c r="S33" s="44">
        <v>0.13</v>
      </c>
      <c r="T33" s="44">
        <v>0.13</v>
      </c>
      <c r="U33" s="44">
        <v>0.13</v>
      </c>
      <c r="V33" s="44">
        <v>0.13</v>
      </c>
    </row>
    <row r="34" spans="2:22" ht="15" x14ac:dyDescent="0.25">
      <c r="B34" s="40" t="s">
        <v>144</v>
      </c>
      <c r="M34" s="44">
        <v>0.15</v>
      </c>
      <c r="N34" s="44">
        <v>0.15</v>
      </c>
      <c r="O34" s="44">
        <v>0.15</v>
      </c>
      <c r="P34" s="44">
        <v>0.15</v>
      </c>
      <c r="Q34" s="44">
        <v>0.15</v>
      </c>
      <c r="R34" s="44">
        <v>0.15</v>
      </c>
      <c r="S34" s="44">
        <v>0.15</v>
      </c>
      <c r="T34" s="44">
        <v>0.15</v>
      </c>
      <c r="U34" s="44">
        <v>0.15</v>
      </c>
      <c r="V34" s="44">
        <v>0.15</v>
      </c>
    </row>
    <row r="35" spans="2:22" ht="15" x14ac:dyDescent="0.25">
      <c r="B35" s="40" t="s">
        <v>145</v>
      </c>
      <c r="M35" s="44">
        <v>0.18</v>
      </c>
      <c r="N35" s="44">
        <v>0.18</v>
      </c>
      <c r="O35" s="44">
        <v>0.18</v>
      </c>
      <c r="P35" s="44">
        <v>0.18</v>
      </c>
      <c r="Q35" s="44">
        <v>0.18</v>
      </c>
      <c r="R35" s="44">
        <v>0.18</v>
      </c>
      <c r="S35" s="44">
        <v>0.18</v>
      </c>
      <c r="T35" s="44">
        <v>0.18</v>
      </c>
      <c r="U35" s="44">
        <v>0.18</v>
      </c>
      <c r="V35" s="44">
        <v>0.18</v>
      </c>
    </row>
    <row r="37" spans="2:22" x14ac:dyDescent="0.2">
      <c r="B37" t="s">
        <v>147</v>
      </c>
      <c r="G37" s="3">
        <f>+Model!R22</f>
        <v>200.9</v>
      </c>
      <c r="H37" s="3">
        <f>+Model!S22</f>
        <v>273.5</v>
      </c>
      <c r="I37" s="3">
        <f>+Model!T22</f>
        <v>377.9</v>
      </c>
      <c r="J37" s="3">
        <f>+Model!U22</f>
        <v>380.2</v>
      </c>
      <c r="K37" s="3">
        <f>+Model!V22</f>
        <v>308.39999999999998</v>
      </c>
      <c r="L37" s="3">
        <f>+Model!W22</f>
        <v>279.60000000000002</v>
      </c>
      <c r="M37" s="3">
        <f ca="1">M38*M31</f>
        <v>278.82363000000004</v>
      </c>
      <c r="N37" s="3">
        <f t="shared" ref="N37:V37" ca="1" si="5">N38*N31</f>
        <v>281.61186630000009</v>
      </c>
      <c r="O37" s="3">
        <f t="shared" ca="1" si="5"/>
        <v>284.42798496300003</v>
      </c>
      <c r="P37" s="3">
        <f t="shared" ca="1" si="5"/>
        <v>287.27226481263</v>
      </c>
      <c r="Q37" s="3">
        <f t="shared" ca="1" si="5"/>
        <v>290.14498746075634</v>
      </c>
      <c r="R37" s="3">
        <f t="shared" ca="1" si="5"/>
        <v>293.04643733536392</v>
      </c>
      <c r="S37" s="3">
        <f t="shared" ca="1" si="5"/>
        <v>295.97690170871755</v>
      </c>
      <c r="T37" s="3">
        <f t="shared" ca="1" si="5"/>
        <v>298.93667072580473</v>
      </c>
      <c r="U37" s="3">
        <f t="shared" ca="1" si="5"/>
        <v>301.92603743306279</v>
      </c>
      <c r="V37" s="3">
        <f t="shared" ca="1" si="5"/>
        <v>304.94529780739339</v>
      </c>
    </row>
    <row r="38" spans="2:22" ht="15" x14ac:dyDescent="0.25">
      <c r="B38" s="41" t="s">
        <v>148</v>
      </c>
      <c r="G38" s="43">
        <f t="shared" ref="G38:L38" si="6">G37/G31</f>
        <v>0.20558739255014324</v>
      </c>
      <c r="H38" s="43">
        <f t="shared" si="6"/>
        <v>0.27749594155844159</v>
      </c>
      <c r="I38" s="43">
        <f t="shared" si="6"/>
        <v>0.20830117958328737</v>
      </c>
      <c r="J38" s="43">
        <f t="shared" si="6"/>
        <v>0.19467485919098812</v>
      </c>
      <c r="K38" s="43">
        <f t="shared" si="6"/>
        <v>0.18824391137154373</v>
      </c>
      <c r="L38" s="43">
        <f t="shared" si="6"/>
        <v>0.20257933632806843</v>
      </c>
      <c r="M38" s="43">
        <v>0.2</v>
      </c>
      <c r="N38" s="43">
        <v>0.2</v>
      </c>
      <c r="O38" s="43">
        <v>0.2</v>
      </c>
      <c r="P38" s="43">
        <v>0.2</v>
      </c>
      <c r="Q38" s="43">
        <v>0.2</v>
      </c>
      <c r="R38" s="43">
        <v>0.2</v>
      </c>
      <c r="S38" s="43">
        <v>0.2</v>
      </c>
      <c r="T38" s="43">
        <v>0.2</v>
      </c>
      <c r="U38" s="43">
        <v>0.2</v>
      </c>
      <c r="V38" s="43">
        <v>0.2</v>
      </c>
    </row>
    <row r="39" spans="2:22" x14ac:dyDescent="0.2">
      <c r="B39" s="41"/>
    </row>
    <row r="40" spans="2:22" ht="15" x14ac:dyDescent="0.25">
      <c r="B40" s="45" t="s">
        <v>149</v>
      </c>
      <c r="C40" s="46"/>
      <c r="D40" s="46"/>
      <c r="E40" s="46"/>
      <c r="F40" s="46"/>
      <c r="G40" s="47">
        <f t="shared" ref="G40:V40" si="7">G31-G37</f>
        <v>776.30000000000018</v>
      </c>
      <c r="H40" s="47">
        <f t="shared" si="7"/>
        <v>712.09999999999991</v>
      </c>
      <c r="I40" s="47">
        <f t="shared" si="7"/>
        <v>1436.3000000000002</v>
      </c>
      <c r="J40" s="47">
        <f t="shared" si="7"/>
        <v>1572.8000000000009</v>
      </c>
      <c r="K40" s="47">
        <f t="shared" si="7"/>
        <v>1329.8999999999996</v>
      </c>
      <c r="L40" s="47">
        <f t="shared" si="7"/>
        <v>1100.5999999999999</v>
      </c>
      <c r="M40" s="47">
        <f t="shared" ca="1" si="7"/>
        <v>1115.2945199999999</v>
      </c>
      <c r="N40" s="47">
        <f t="shared" ca="1" si="7"/>
        <v>1126.4474652000004</v>
      </c>
      <c r="O40" s="47">
        <f t="shared" ca="1" si="7"/>
        <v>1137.7119398520001</v>
      </c>
      <c r="P40" s="47">
        <f t="shared" ca="1" si="7"/>
        <v>1149.08905925052</v>
      </c>
      <c r="Q40" s="47">
        <f t="shared" ca="1" si="7"/>
        <v>1160.5799498430254</v>
      </c>
      <c r="R40" s="47">
        <f t="shared" ca="1" si="7"/>
        <v>1172.1857493414557</v>
      </c>
      <c r="S40" s="47">
        <f t="shared" ca="1" si="7"/>
        <v>1183.9076068348702</v>
      </c>
      <c r="T40" s="47">
        <f t="shared" ca="1" si="7"/>
        <v>1195.7466829032187</v>
      </c>
      <c r="U40" s="47">
        <f t="shared" ca="1" si="7"/>
        <v>1207.7041497322512</v>
      </c>
      <c r="V40" s="48">
        <f t="shared" ca="1" si="7"/>
        <v>1219.7811912295733</v>
      </c>
    </row>
    <row r="42" spans="2:22" x14ac:dyDescent="0.2">
      <c r="B42" t="s">
        <v>150</v>
      </c>
      <c r="G42" s="3"/>
      <c r="H42" s="3"/>
      <c r="I42" s="3"/>
      <c r="J42" s="3"/>
      <c r="K42" s="3">
        <f>+Model!V75</f>
        <v>375</v>
      </c>
      <c r="L42" s="3">
        <f>+Model!W75</f>
        <v>419.8</v>
      </c>
      <c r="M42" s="3">
        <f ca="1">M43*M25</f>
        <v>408.94132400000001</v>
      </c>
      <c r="N42" s="3">
        <f t="shared" ref="N42:V42" ca="1" si="8">N43*N25</f>
        <v>413.03073724000006</v>
      </c>
      <c r="O42" s="3">
        <f t="shared" ca="1" si="8"/>
        <v>417.16104461240002</v>
      </c>
      <c r="P42" s="3">
        <f t="shared" ca="1" si="8"/>
        <v>421.33265505852404</v>
      </c>
      <c r="Q42" s="3">
        <f t="shared" ca="1" si="8"/>
        <v>425.54598160910928</v>
      </c>
      <c r="R42" s="3">
        <f t="shared" ca="1" si="8"/>
        <v>429.80144142520038</v>
      </c>
      <c r="S42" s="3">
        <f t="shared" ca="1" si="8"/>
        <v>434.09945583945239</v>
      </c>
      <c r="T42" s="3">
        <f t="shared" ca="1" si="8"/>
        <v>438.44045039784692</v>
      </c>
      <c r="U42" s="3">
        <f t="shared" ca="1" si="8"/>
        <v>442.82485490182535</v>
      </c>
      <c r="V42" s="3">
        <f t="shared" ca="1" si="8"/>
        <v>447.25310345084358</v>
      </c>
    </row>
    <row r="43" spans="2:22" ht="15" x14ac:dyDescent="0.25">
      <c r="B43" s="40" t="s">
        <v>146</v>
      </c>
      <c r="C43" s="42"/>
      <c r="D43" s="42"/>
      <c r="E43" s="42"/>
      <c r="F43" s="42"/>
      <c r="G43" s="49">
        <f t="shared" ref="G43:L43" si="9">G42/G25</f>
        <v>0</v>
      </c>
      <c r="H43" s="49">
        <f t="shared" si="9"/>
        <v>0</v>
      </c>
      <c r="I43" s="49">
        <f t="shared" si="9"/>
        <v>0</v>
      </c>
      <c r="J43" s="49">
        <f t="shared" si="9"/>
        <v>0</v>
      </c>
      <c r="K43" s="49">
        <f t="shared" si="9"/>
        <v>4.2950898532797308E-2</v>
      </c>
      <c r="L43" s="49">
        <f t="shared" si="9"/>
        <v>4.5620021516827682E-2</v>
      </c>
      <c r="M43" s="50">
        <v>4.3999999999999997E-2</v>
      </c>
      <c r="N43" s="50">
        <v>4.3999999999999997E-2</v>
      </c>
      <c r="O43" s="50">
        <v>4.3999999999999997E-2</v>
      </c>
      <c r="P43" s="50">
        <v>4.3999999999999997E-2</v>
      </c>
      <c r="Q43" s="50">
        <v>4.3999999999999997E-2</v>
      </c>
      <c r="R43" s="50">
        <v>4.3999999999999997E-2</v>
      </c>
      <c r="S43" s="50">
        <v>4.3999999999999997E-2</v>
      </c>
      <c r="T43" s="50">
        <v>4.3999999999999997E-2</v>
      </c>
      <c r="U43" s="50">
        <v>4.3999999999999997E-2</v>
      </c>
      <c r="V43" s="50">
        <v>4.3999999999999997E-2</v>
      </c>
    </row>
    <row r="45" spans="2:22" x14ac:dyDescent="0.2">
      <c r="B45" t="s">
        <v>151</v>
      </c>
      <c r="G45" s="3"/>
      <c r="H45" s="3"/>
      <c r="I45" s="3"/>
      <c r="J45" s="3"/>
      <c r="K45" s="3">
        <f>+Model!V84+Model!V85</f>
        <v>-308.39999999999998</v>
      </c>
      <c r="L45" s="3">
        <f>+Model!W84+Model!W85</f>
        <v>-264.3</v>
      </c>
      <c r="M45" s="3">
        <f ca="1">M46*M25</f>
        <v>-306.70599300000003</v>
      </c>
      <c r="N45" s="3">
        <f t="shared" ref="N45:V45" ca="1" si="10">N46*N25</f>
        <v>-309.77305293000006</v>
      </c>
      <c r="O45" s="3">
        <f t="shared" ca="1" si="10"/>
        <v>-312.87078345930007</v>
      </c>
      <c r="P45" s="3">
        <f t="shared" ca="1" si="10"/>
        <v>-315.99949129389307</v>
      </c>
      <c r="Q45" s="3">
        <f t="shared" ca="1" si="10"/>
        <v>-319.15948620683201</v>
      </c>
      <c r="R45" s="3">
        <f t="shared" ca="1" si="10"/>
        <v>-322.35108106890033</v>
      </c>
      <c r="S45" s="3">
        <f t="shared" ca="1" si="10"/>
        <v>-325.57459187958932</v>
      </c>
      <c r="T45" s="3">
        <f t="shared" ca="1" si="10"/>
        <v>-328.83033779838519</v>
      </c>
      <c r="U45" s="3">
        <f t="shared" ca="1" si="10"/>
        <v>-332.11864117636907</v>
      </c>
      <c r="V45" s="3">
        <f t="shared" ca="1" si="10"/>
        <v>-335.43982758813269</v>
      </c>
    </row>
    <row r="46" spans="2:22" ht="15" x14ac:dyDescent="0.25">
      <c r="B46" s="40" t="s">
        <v>146</v>
      </c>
      <c r="G46" s="49">
        <f t="shared" ref="G46:L46" si="11">G45/G25</f>
        <v>0</v>
      </c>
      <c r="H46" s="49">
        <f t="shared" si="11"/>
        <v>0</v>
      </c>
      <c r="I46" s="49">
        <f t="shared" si="11"/>
        <v>0</v>
      </c>
      <c r="J46" s="49">
        <f t="shared" si="11"/>
        <v>0</v>
      </c>
      <c r="K46" s="49">
        <f t="shared" si="11"/>
        <v>-3.5322818953372505E-2</v>
      </c>
      <c r="L46" s="49">
        <f t="shared" si="11"/>
        <v>-2.8721704828245726E-2</v>
      </c>
      <c r="M46" s="50">
        <v>-3.3000000000000002E-2</v>
      </c>
      <c r="N46" s="50">
        <v>-3.3000000000000002E-2</v>
      </c>
      <c r="O46" s="50">
        <v>-3.3000000000000002E-2</v>
      </c>
      <c r="P46" s="50">
        <v>-3.3000000000000002E-2</v>
      </c>
      <c r="Q46" s="50">
        <v>-3.3000000000000002E-2</v>
      </c>
      <c r="R46" s="50">
        <v>-3.3000000000000002E-2</v>
      </c>
      <c r="S46" s="50">
        <v>-3.3000000000000002E-2</v>
      </c>
      <c r="T46" s="50">
        <v>-3.3000000000000002E-2</v>
      </c>
      <c r="U46" s="50">
        <v>-3.3000000000000002E-2</v>
      </c>
      <c r="V46" s="50">
        <v>-3.3000000000000002E-2</v>
      </c>
    </row>
    <row r="48" spans="2:22" x14ac:dyDescent="0.2">
      <c r="B48" t="s">
        <v>152</v>
      </c>
      <c r="G48" s="3"/>
      <c r="H48" s="3"/>
      <c r="I48" s="3"/>
      <c r="J48" s="3"/>
      <c r="K48" s="3">
        <f>+Model!V77</f>
        <v>-36.700000000000003</v>
      </c>
      <c r="L48" s="3">
        <f>+Model!W77</f>
        <v>-138.4</v>
      </c>
      <c r="M48" s="3">
        <f ca="1">M49*M25</f>
        <v>-92.941210000000012</v>
      </c>
      <c r="N48" s="3">
        <f t="shared" ref="N48:V48" ca="1" si="12">N49*N25</f>
        <v>-93.87062210000002</v>
      </c>
      <c r="O48" s="3">
        <f t="shared" ca="1" si="12"/>
        <v>-94.80932832100001</v>
      </c>
      <c r="P48" s="3">
        <f t="shared" ca="1" si="12"/>
        <v>-95.757421604210009</v>
      </c>
      <c r="Q48" s="3">
        <f t="shared" ca="1" si="12"/>
        <v>-96.714995820252113</v>
      </c>
      <c r="R48" s="3">
        <f t="shared" ca="1" si="12"/>
        <v>-97.68214577845464</v>
      </c>
      <c r="S48" s="3">
        <f t="shared" ca="1" si="12"/>
        <v>-98.658967236239192</v>
      </c>
      <c r="T48" s="3">
        <f t="shared" ca="1" si="12"/>
        <v>-99.645556908601577</v>
      </c>
      <c r="U48" s="3">
        <f t="shared" ca="1" si="12"/>
        <v>-100.64201247768759</v>
      </c>
      <c r="V48" s="3">
        <f t="shared" ca="1" si="12"/>
        <v>-101.64843260246445</v>
      </c>
    </row>
    <row r="49" spans="2:24" ht="15" x14ac:dyDescent="0.25">
      <c r="B49" s="40" t="s">
        <v>146</v>
      </c>
      <c r="G49" s="49">
        <f t="shared" ref="G49:L49" si="13">G48/G25</f>
        <v>0</v>
      </c>
      <c r="H49" s="49">
        <f t="shared" si="13"/>
        <v>0</v>
      </c>
      <c r="I49" s="49">
        <f t="shared" si="13"/>
        <v>0</v>
      </c>
      <c r="J49" s="49">
        <f t="shared" si="13"/>
        <v>0</v>
      </c>
      <c r="K49" s="49">
        <f t="shared" si="13"/>
        <v>-4.2034612697430971E-3</v>
      </c>
      <c r="L49" s="49">
        <f t="shared" si="13"/>
        <v>-1.5040045207072299E-2</v>
      </c>
      <c r="M49" s="50">
        <v>-0.01</v>
      </c>
      <c r="N49" s="50">
        <v>-0.01</v>
      </c>
      <c r="O49" s="50">
        <v>-0.01</v>
      </c>
      <c r="P49" s="50">
        <v>-0.01</v>
      </c>
      <c r="Q49" s="50">
        <v>-0.01</v>
      </c>
      <c r="R49" s="50">
        <v>-0.01</v>
      </c>
      <c r="S49" s="50">
        <v>-0.01</v>
      </c>
      <c r="T49" s="50">
        <v>-0.01</v>
      </c>
      <c r="U49" s="50">
        <v>-0.01</v>
      </c>
      <c r="V49" s="50">
        <v>-0.01</v>
      </c>
    </row>
    <row r="51" spans="2:24" ht="15" x14ac:dyDescent="0.25">
      <c r="B51" s="51" t="s">
        <v>153</v>
      </c>
      <c r="C51" s="52"/>
      <c r="D51" s="52"/>
      <c r="E51" s="52"/>
      <c r="F51" s="52"/>
      <c r="G51" s="53">
        <f>G40+G42+G45+G48</f>
        <v>776.30000000000018</v>
      </c>
      <c r="H51" s="53">
        <f t="shared" ref="H51:U51" si="14">H40+H42+H45+H48</f>
        <v>712.09999999999991</v>
      </c>
      <c r="I51" s="53">
        <f t="shared" si="14"/>
        <v>1436.3000000000002</v>
      </c>
      <c r="J51" s="53">
        <f t="shared" si="14"/>
        <v>1572.8000000000009</v>
      </c>
      <c r="K51" s="53">
        <f t="shared" si="14"/>
        <v>1359.7999999999995</v>
      </c>
      <c r="L51" s="53">
        <f t="shared" si="14"/>
        <v>1117.6999999999998</v>
      </c>
      <c r="M51" s="53">
        <f ca="1">M40+M42+M45+M48</f>
        <v>1124.5886409999998</v>
      </c>
      <c r="N51" s="53">
        <f t="shared" ca="1" si="14"/>
        <v>1135.8345274100004</v>
      </c>
      <c r="O51" s="53">
        <f t="shared" ca="1" si="14"/>
        <v>1147.1928726840999</v>
      </c>
      <c r="P51" s="53">
        <f t="shared" ca="1" si="14"/>
        <v>1158.664801410941</v>
      </c>
      <c r="Q51" s="53">
        <f t="shared" ca="1" si="14"/>
        <v>1170.2514494250504</v>
      </c>
      <c r="R51" s="53">
        <f t="shared" ca="1" si="14"/>
        <v>1181.953963919301</v>
      </c>
      <c r="S51" s="53">
        <f t="shared" ca="1" si="14"/>
        <v>1193.7735035584942</v>
      </c>
      <c r="T51" s="53">
        <f t="shared" ca="1" si="14"/>
        <v>1205.7112385940788</v>
      </c>
      <c r="U51" s="53">
        <f t="shared" ca="1" si="14"/>
        <v>1217.7683509800199</v>
      </c>
      <c r="V51" s="54">
        <f ca="1">V40+V42+V45+V48</f>
        <v>1229.9460344898198</v>
      </c>
    </row>
    <row r="52" spans="2:24" ht="15" x14ac:dyDescent="0.25">
      <c r="B52" s="55" t="s">
        <v>154</v>
      </c>
      <c r="C52" s="56"/>
      <c r="D52" s="56"/>
      <c r="E52" s="56"/>
      <c r="F52" s="56"/>
      <c r="G52" s="57"/>
      <c r="H52" s="57"/>
      <c r="I52" s="57"/>
      <c r="J52" s="57"/>
      <c r="K52" s="57"/>
      <c r="L52" s="57"/>
      <c r="M52" s="57">
        <f ca="1">(M51/(1+$E$18)^M53)*M53</f>
        <v>696.73567148672987</v>
      </c>
      <c r="N52" s="57">
        <f ca="1">N51/(1+$E$18)^N53</f>
        <v>984.81219931804981</v>
      </c>
      <c r="O52" s="57">
        <f t="shared" ref="O52:U52" ca="1" si="15">O51/(1+$E$18)^O53</f>
        <v>912.53240487268783</v>
      </c>
      <c r="P52" s="57">
        <f t="shared" ca="1" si="15"/>
        <v>845.55754946918773</v>
      </c>
      <c r="Q52" s="57">
        <f t="shared" ca="1" si="15"/>
        <v>783.49827978337589</v>
      </c>
      <c r="R52" s="57">
        <f t="shared" ca="1" si="15"/>
        <v>725.99381888184371</v>
      </c>
      <c r="S52" s="57">
        <f t="shared" ca="1" si="15"/>
        <v>672.70986887216714</v>
      </c>
      <c r="T52" s="57">
        <f t="shared" ca="1" si="15"/>
        <v>623.33666748705366</v>
      </c>
      <c r="U52" s="57">
        <f t="shared" ca="1" si="15"/>
        <v>577.58718730451778</v>
      </c>
      <c r="V52" s="58">
        <f ca="1">V51/(1+$E$18)^V53</f>
        <v>535.19546713537864</v>
      </c>
    </row>
    <row r="53" spans="2:24" x14ac:dyDescent="0.2">
      <c r="B53" t="s">
        <v>155</v>
      </c>
      <c r="M53" s="74">
        <f ca="1">YEARFRAC(E4,E5)</f>
        <v>0.65555555555555556</v>
      </c>
      <c r="N53" s="74">
        <f ca="1">M53+1</f>
        <v>1.6555555555555554</v>
      </c>
      <c r="O53" s="74">
        <f ca="1">N53+1</f>
        <v>2.6555555555555554</v>
      </c>
      <c r="P53" s="74">
        <f t="shared" ref="P53:V53" ca="1" si="16">O53+1</f>
        <v>3.6555555555555554</v>
      </c>
      <c r="Q53" s="74">
        <f t="shared" ca="1" si="16"/>
        <v>4.655555555555555</v>
      </c>
      <c r="R53" s="74">
        <f t="shared" ca="1" si="16"/>
        <v>5.655555555555555</v>
      </c>
      <c r="S53" s="74">
        <f t="shared" ca="1" si="16"/>
        <v>6.655555555555555</v>
      </c>
      <c r="T53" s="74">
        <f t="shared" ca="1" si="16"/>
        <v>7.655555555555555</v>
      </c>
      <c r="U53" s="74">
        <f t="shared" ca="1" si="16"/>
        <v>8.655555555555555</v>
      </c>
      <c r="V53" s="74">
        <f t="shared" ca="1" si="16"/>
        <v>9.655555555555555</v>
      </c>
    </row>
    <row r="54" spans="2:24" x14ac:dyDescent="0.2">
      <c r="B54" t="s">
        <v>156</v>
      </c>
      <c r="N54" s="59"/>
      <c r="O54" s="59"/>
      <c r="P54" s="59"/>
      <c r="Q54" s="59"/>
      <c r="V54" s="3">
        <f ca="1">SUM(M52:V52)</f>
        <v>7357.9591146109915</v>
      </c>
    </row>
    <row r="55" spans="2:24" x14ac:dyDescent="0.2">
      <c r="B55" t="s">
        <v>157</v>
      </c>
      <c r="N55" s="59"/>
      <c r="O55" s="59"/>
      <c r="P55" s="59"/>
      <c r="Q55" s="59"/>
      <c r="V55" s="3">
        <f ca="1">+(V40*(1+E19))*(1-(E19/E20))/(E18-E19)</f>
        <v>13999.761399339419</v>
      </c>
      <c r="X55" s="60" t="s">
        <v>158</v>
      </c>
    </row>
    <row r="56" spans="2:24" x14ac:dyDescent="0.2">
      <c r="B56" s="18" t="s">
        <v>159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61"/>
      <c r="O56" s="61"/>
      <c r="P56" s="61"/>
      <c r="Q56" s="61"/>
      <c r="R56" s="61"/>
      <c r="S56" s="61"/>
      <c r="T56" s="61"/>
      <c r="U56" s="61"/>
      <c r="V56" s="62">
        <f ca="1">V55/(1+E18)^V53</f>
        <v>6091.8191788887943</v>
      </c>
    </row>
    <row r="57" spans="2:24" x14ac:dyDescent="0.2">
      <c r="B57" s="63" t="s">
        <v>160</v>
      </c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4"/>
      <c r="O57" s="64"/>
      <c r="P57" s="64"/>
      <c r="Q57" s="64"/>
      <c r="R57" s="64"/>
      <c r="S57" s="64"/>
      <c r="T57" s="64"/>
      <c r="U57" s="64"/>
      <c r="V57" s="65">
        <f ca="1">V54+V56</f>
        <v>13449.778293499785</v>
      </c>
    </row>
    <row r="58" spans="2:24" x14ac:dyDescent="0.2">
      <c r="B58" t="s">
        <v>161</v>
      </c>
      <c r="N58" s="59"/>
      <c r="O58" s="59"/>
      <c r="P58" s="59"/>
      <c r="Q58" s="59"/>
      <c r="V58" s="66">
        <f>+Main!J5</f>
        <v>61.6</v>
      </c>
    </row>
    <row r="59" spans="2:24" x14ac:dyDescent="0.2">
      <c r="B59" s="18" t="s">
        <v>162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61"/>
      <c r="O59" s="61"/>
      <c r="P59" s="61"/>
      <c r="Q59" s="61"/>
      <c r="R59" s="61"/>
      <c r="S59" s="61"/>
      <c r="T59" s="61"/>
      <c r="U59" s="61"/>
      <c r="V59" s="62">
        <f>+Main!J6</f>
        <v>4941.8999999999996</v>
      </c>
    </row>
    <row r="60" spans="2:24" x14ac:dyDescent="0.2">
      <c r="B60" t="s">
        <v>163</v>
      </c>
      <c r="N60" s="59"/>
      <c r="O60" s="59"/>
      <c r="P60" s="59"/>
      <c r="Q60" s="59"/>
      <c r="V60" s="66">
        <f ca="1">V57+V58-V59</f>
        <v>8569.4782934997857</v>
      </c>
    </row>
    <row r="61" spans="2:24" x14ac:dyDescent="0.2">
      <c r="B61" s="18" t="s">
        <v>164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61"/>
      <c r="O61" s="61"/>
      <c r="P61" s="61"/>
      <c r="Q61" s="61"/>
      <c r="R61" s="61"/>
      <c r="S61" s="61"/>
      <c r="T61" s="61"/>
      <c r="U61" s="61"/>
      <c r="V61" s="62">
        <f>+Main!J3</f>
        <v>78.62</v>
      </c>
    </row>
    <row r="62" spans="2:24" x14ac:dyDescent="0.2">
      <c r="B62" t="s">
        <v>117</v>
      </c>
      <c r="V62" s="66">
        <f ca="1">V60/V61</f>
        <v>108.99870635334247</v>
      </c>
    </row>
    <row r="66" spans="1:22" ht="15" x14ac:dyDescent="0.25">
      <c r="A66" s="32" t="s">
        <v>123</v>
      </c>
      <c r="B66" s="33" t="s">
        <v>165</v>
      </c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</row>
    <row r="68" spans="1:22" ht="15" x14ac:dyDescent="0.25">
      <c r="B68" s="67"/>
      <c r="C68" s="75" t="s">
        <v>136</v>
      </c>
      <c r="D68" s="75"/>
      <c r="E68" s="75"/>
      <c r="F68" s="75"/>
      <c r="G68" s="75"/>
      <c r="H68" s="75"/>
      <c r="I68" s="75"/>
      <c r="J68" s="76"/>
      <c r="M68" s="67"/>
      <c r="N68" s="77" t="s">
        <v>166</v>
      </c>
      <c r="O68" s="77"/>
      <c r="P68" s="77"/>
      <c r="Q68" s="77"/>
      <c r="R68" s="77"/>
      <c r="S68" s="77"/>
      <c r="T68" s="77"/>
      <c r="U68" s="78"/>
    </row>
    <row r="69" spans="1:22" ht="15" x14ac:dyDescent="0.25">
      <c r="B69" s="79" t="s">
        <v>134</v>
      </c>
      <c r="C69" s="68">
        <f ca="1">+J4</f>
        <v>108.99870635334247</v>
      </c>
      <c r="D69" s="69">
        <v>-5.0000000000000001E-3</v>
      </c>
      <c r="E69" s="69">
        <v>0</v>
      </c>
      <c r="F69" s="69">
        <v>5.0000000000000001E-3</v>
      </c>
      <c r="G69" s="69">
        <v>0.01</v>
      </c>
      <c r="H69" s="69">
        <v>1.4999999999999999E-2</v>
      </c>
      <c r="I69" s="69">
        <v>0.02</v>
      </c>
      <c r="J69" s="69">
        <v>2.5000000000000001E-2</v>
      </c>
      <c r="M69" s="79" t="s">
        <v>134</v>
      </c>
      <c r="N69" s="68">
        <f ca="1">+J4</f>
        <v>108.99870635334247</v>
      </c>
      <c r="O69" s="69">
        <v>0.08</v>
      </c>
      <c r="P69" s="69">
        <v>0.09</v>
      </c>
      <c r="Q69" s="69">
        <v>0.1</v>
      </c>
      <c r="R69" s="69">
        <v>0.11</v>
      </c>
      <c r="S69" s="69">
        <v>0.12</v>
      </c>
      <c r="T69" s="69">
        <v>0.13</v>
      </c>
      <c r="U69" s="69">
        <v>0.14000000000000001</v>
      </c>
    </row>
    <row r="70" spans="1:22" ht="15" x14ac:dyDescent="0.25">
      <c r="B70" s="79"/>
      <c r="C70" s="70">
        <v>0.06</v>
      </c>
      <c r="D70" s="71">
        <f t="dataTable" ref="D70:J76" dt2D="1" dtr="1" r1="E19" r2="E18" ca="1"/>
        <v>186.4839044671948</v>
      </c>
      <c r="E70" s="71">
        <v>192.34571373836906</v>
      </c>
      <c r="F70" s="71">
        <v>199.20025632595872</v>
      </c>
      <c r="G70" s="72">
        <v>207.34535222488861</v>
      </c>
      <c r="H70" s="71">
        <v>217.21118587227193</v>
      </c>
      <c r="I70" s="71">
        <v>229.44303392377898</v>
      </c>
      <c r="J70" s="71">
        <v>245.05490255260545</v>
      </c>
      <c r="M70" s="79"/>
      <c r="N70" s="70">
        <v>0.06</v>
      </c>
      <c r="O70" s="71">
        <f t="dataTable" ref="O70:U76" dt2D="1" dtr="1" r1="E20" r2="E18" ca="1"/>
        <v>201.25844535692153</v>
      </c>
      <c r="P70" s="71">
        <v>203.73829630313034</v>
      </c>
      <c r="Q70" s="71">
        <v>205.72217706009738</v>
      </c>
      <c r="R70" s="72">
        <v>207.34535222488861</v>
      </c>
      <c r="S70" s="71">
        <v>208.69799819554794</v>
      </c>
      <c r="T70" s="71">
        <v>209.84254478610583</v>
      </c>
      <c r="U70" s="71">
        <v>210.82358472086983</v>
      </c>
    </row>
    <row r="71" spans="1:22" ht="15" x14ac:dyDescent="0.25">
      <c r="B71" s="79"/>
      <c r="C71" s="70">
        <v>7.0000000000000007E-2</v>
      </c>
      <c r="D71" s="71">
        <v>152.17735320715548</v>
      </c>
      <c r="E71" s="71">
        <v>155.53583967502715</v>
      </c>
      <c r="F71" s="71">
        <v>159.35456218172024</v>
      </c>
      <c r="G71" s="72">
        <v>163.74857973694009</v>
      </c>
      <c r="H71" s="71">
        <v>168.87479099028502</v>
      </c>
      <c r="I71" s="71">
        <v>174.95285405119245</v>
      </c>
      <c r="J71" s="71">
        <v>182.30005285551655</v>
      </c>
      <c r="M71" s="79"/>
      <c r="N71" s="70">
        <v>7.0000000000000007E-2</v>
      </c>
      <c r="O71" s="71">
        <v>159.11580801584509</v>
      </c>
      <c r="P71" s="71">
        <v>161.00323353184675</v>
      </c>
      <c r="Q71" s="71">
        <v>162.51317394464809</v>
      </c>
      <c r="R71" s="72">
        <v>163.74857973694009</v>
      </c>
      <c r="S71" s="71">
        <v>164.77808456385009</v>
      </c>
      <c r="T71" s="71">
        <v>165.64920403277395</v>
      </c>
      <c r="U71" s="71">
        <v>166.39587786328011</v>
      </c>
    </row>
    <row r="72" spans="1:22" ht="15" x14ac:dyDescent="0.25">
      <c r="B72" s="79"/>
      <c r="C72" s="70">
        <v>0.08</v>
      </c>
      <c r="D72" s="72">
        <v>126.02186700082873</v>
      </c>
      <c r="E72" s="72">
        <v>127.95551954275777</v>
      </c>
      <c r="F72" s="72">
        <v>130.10226848726674</v>
      </c>
      <c r="G72" s="72">
        <v>132.50777734919416</v>
      </c>
      <c r="H72" s="72">
        <v>135.2317599556367</v>
      </c>
      <c r="I72" s="72">
        <v>138.35383474272305</v>
      </c>
      <c r="J72" s="72">
        <v>141.98257230517427</v>
      </c>
      <c r="M72" s="79"/>
      <c r="N72" s="70">
        <v>0.08</v>
      </c>
      <c r="O72" s="72">
        <v>128.87795072985145</v>
      </c>
      <c r="P72" s="72">
        <v>130.35676898217625</v>
      </c>
      <c r="Q72" s="72">
        <v>131.53982358403613</v>
      </c>
      <c r="R72" s="72">
        <v>132.50777734919416</v>
      </c>
      <c r="S72" s="72">
        <v>133.31440548682588</v>
      </c>
      <c r="T72" s="72">
        <v>133.99693698789889</v>
      </c>
      <c r="U72" s="72">
        <v>134.58196398881861</v>
      </c>
    </row>
    <row r="73" spans="1:22" ht="15" x14ac:dyDescent="0.25">
      <c r="B73" s="79"/>
      <c r="C73" s="70">
        <v>0.09</v>
      </c>
      <c r="D73" s="71">
        <v>105.43741442997556</v>
      </c>
      <c r="E73" s="71">
        <v>106.52670855821125</v>
      </c>
      <c r="F73" s="71">
        <v>107.70805273779122</v>
      </c>
      <c r="G73" s="72">
        <v>108.99870635334247</v>
      </c>
      <c r="H73" s="71">
        <v>110.42053129205937</v>
      </c>
      <c r="I73" s="71">
        <v>112.00163569462015</v>
      </c>
      <c r="J73" s="71">
        <v>113.77877636037344</v>
      </c>
      <c r="M73" s="79"/>
      <c r="N73" s="70">
        <v>0.09</v>
      </c>
      <c r="O73" s="71">
        <v>106.09304342777227</v>
      </c>
      <c r="P73" s="71">
        <v>107.27683202707865</v>
      </c>
      <c r="Q73" s="71">
        <v>108.22386290652378</v>
      </c>
      <c r="R73" s="72">
        <v>108.99870635334247</v>
      </c>
      <c r="S73" s="71">
        <v>109.6444092256914</v>
      </c>
      <c r="T73" s="71">
        <v>110.19077319460207</v>
      </c>
      <c r="U73" s="71">
        <v>110.65908516795405</v>
      </c>
    </row>
    <row r="74" spans="1:22" ht="15" x14ac:dyDescent="0.25">
      <c r="B74" s="79"/>
      <c r="C74" s="70">
        <v>0.1</v>
      </c>
      <c r="D74" s="71">
        <v>88.827367099665864</v>
      </c>
      <c r="E74" s="71">
        <v>89.402682502845593</v>
      </c>
      <c r="F74" s="71">
        <v>90.00898184450746</v>
      </c>
      <c r="G74" s="72">
        <v>90.651429114398454</v>
      </c>
      <c r="H74" s="71">
        <v>91.336403358676705</v>
      </c>
      <c r="I74" s="71">
        <v>92.071878385039852</v>
      </c>
      <c r="J74" s="71">
        <v>92.867954349904807</v>
      </c>
      <c r="M74" s="79"/>
      <c r="N74" s="70">
        <v>0.1</v>
      </c>
      <c r="O74" s="71">
        <v>88.286615218770194</v>
      </c>
      <c r="P74" s="71">
        <v>89.250057916989121</v>
      </c>
      <c r="Q74" s="71">
        <v>90.020812075564237</v>
      </c>
      <c r="R74" s="72">
        <v>90.651429114398454</v>
      </c>
      <c r="S74" s="71">
        <v>91.17694331342696</v>
      </c>
      <c r="T74" s="71">
        <v>91.621609174143387</v>
      </c>
      <c r="U74" s="71">
        <v>92.002751340471747</v>
      </c>
    </row>
    <row r="75" spans="1:22" ht="15" x14ac:dyDescent="0.25">
      <c r="B75" s="79"/>
      <c r="C75" s="70">
        <v>0.11</v>
      </c>
      <c r="D75" s="71">
        <v>75.150880021048991</v>
      </c>
      <c r="E75" s="71">
        <v>75.408338780570418</v>
      </c>
      <c r="F75" s="71">
        <v>75.665797540091873</v>
      </c>
      <c r="G75" s="72">
        <v>75.923256299613314</v>
      </c>
      <c r="H75" s="71">
        <v>76.180715059134769</v>
      </c>
      <c r="I75" s="71">
        <v>76.43817381865621</v>
      </c>
      <c r="J75" s="71">
        <v>76.695632578177666</v>
      </c>
      <c r="M75" s="79"/>
      <c r="N75" s="70">
        <v>0.11</v>
      </c>
      <c r="O75" s="71">
        <v>73.973006196238387</v>
      </c>
      <c r="P75" s="71">
        <v>74.767552534650378</v>
      </c>
      <c r="Q75" s="71">
        <v>75.403189605380007</v>
      </c>
      <c r="R75" s="72">
        <v>75.923256299613314</v>
      </c>
      <c r="S75" s="71">
        <v>76.356645211474415</v>
      </c>
      <c r="T75" s="71">
        <v>76.723358906126137</v>
      </c>
      <c r="U75" s="71">
        <v>77.037684930113301</v>
      </c>
    </row>
    <row r="76" spans="1:22" ht="15" x14ac:dyDescent="0.25">
      <c r="B76" s="80"/>
      <c r="C76" s="70">
        <v>0.12</v>
      </c>
      <c r="D76" s="71">
        <v>63.70053519029765</v>
      </c>
      <c r="E76" s="71">
        <v>63.760347585937978</v>
      </c>
      <c r="F76" s="71">
        <v>63.804830488874146</v>
      </c>
      <c r="G76" s="72">
        <v>63.831893513737377</v>
      </c>
      <c r="H76" s="71">
        <v>63.839048106517325</v>
      </c>
      <c r="I76" s="71">
        <v>63.823308002401468</v>
      </c>
      <c r="J76" s="71">
        <v>63.781058249248318</v>
      </c>
      <c r="M76" s="80"/>
      <c r="N76" s="70">
        <v>0.12</v>
      </c>
      <c r="O76" s="71">
        <v>62.206012304495587</v>
      </c>
      <c r="P76" s="71">
        <v>62.868408352705195</v>
      </c>
      <c r="Q76" s="71">
        <v>63.39832519127291</v>
      </c>
      <c r="R76" s="72">
        <v>63.831893513737377</v>
      </c>
      <c r="S76" s="71">
        <v>64.193200449124461</v>
      </c>
      <c r="T76" s="71">
        <v>64.498921702144287</v>
      </c>
      <c r="U76" s="71">
        <v>64.760968490446999</v>
      </c>
    </row>
  </sheetData>
  <mergeCells count="4">
    <mergeCell ref="C68:J68"/>
    <mergeCell ref="N68:U68"/>
    <mergeCell ref="B69:B76"/>
    <mergeCell ref="M69:M76"/>
  </mergeCells>
  <conditionalFormatting sqref="D70:J76">
    <cfRule type="cellIs" dxfId="3" priority="3" operator="lessThan">
      <formula>$J$3</formula>
    </cfRule>
    <cfRule type="cellIs" dxfId="2" priority="4" operator="greaterThan">
      <formula>$J$3</formula>
    </cfRule>
  </conditionalFormatting>
  <conditionalFormatting sqref="O70:U76">
    <cfRule type="cellIs" dxfId="1" priority="1" operator="lessThan">
      <formula>$J$3</formula>
    </cfRule>
    <cfRule type="cellIs" dxfId="0" priority="2" operator="greaterThan">
      <formula>$J$3</formula>
    </cfRule>
  </conditionalFormatting>
  <dataValidations count="1">
    <dataValidation type="list" allowBlank="1" showInputMessage="1" showErrorMessage="1" sqref="E11:E15" xr:uid="{B0344E4D-6598-462B-B8A8-AE632BC113B2}">
      <formula1>"1,2,3"</formula1>
    </dataValidation>
  </dataValidations>
  <hyperlinks>
    <hyperlink ref="A1" location="Main!A1" display="Main" xr:uid="{1A361D74-CB1E-4643-9BCB-B161DADCB7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KPI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2025-11-07T15:29:25Z</dcterms:created>
  <dcterms:modified xsi:type="dcterms:W3CDTF">2026-08-26T16:20:57Z</dcterms:modified>
</cp:coreProperties>
</file>