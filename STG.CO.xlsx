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2BE4BC3A-C904-4647-8E85-2207F12D7FCB}" xr6:coauthVersionLast="47" xr6:coauthVersionMax="47" xr10:uidLastSave="{00000000-0000-0000-0000-000000000000}"/>
  <bookViews>
    <workbookView xWindow="19095" yWindow="0" windowWidth="19410" windowHeight="20925" xr2:uid="{BD75BBDC-C4FD-4EC4-8461-B3C83FDDB12A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1" l="1"/>
  <c r="J6" i="1"/>
  <c r="D10" i="2"/>
  <c r="G17" i="2"/>
  <c r="F17" i="2"/>
  <c r="E17" i="2"/>
  <c r="C17" i="2"/>
  <c r="G15" i="2"/>
  <c r="F15" i="2"/>
  <c r="E15" i="2"/>
  <c r="C15" i="2"/>
  <c r="G11" i="2"/>
  <c r="F11" i="2"/>
  <c r="E11" i="2"/>
  <c r="C11" i="2"/>
  <c r="G6" i="2"/>
  <c r="F6" i="2"/>
  <c r="E6" i="2"/>
  <c r="D6" i="2"/>
  <c r="D11" i="2" s="1"/>
  <c r="D15" i="2" s="1"/>
  <c r="D17" i="2" s="1"/>
  <c r="C6" i="2"/>
  <c r="H11" i="2"/>
  <c r="H15" i="2" s="1"/>
  <c r="H17" i="2" s="1"/>
  <c r="H10" i="2"/>
  <c r="H6" i="2"/>
  <c r="J4" i="1"/>
</calcChain>
</file>

<file path=xl/sharedStrings.xml><?xml version="1.0" encoding="utf-8"?>
<sst xmlns="http://schemas.openxmlformats.org/spreadsheetml/2006/main" count="39" uniqueCount="35">
  <si>
    <t>Scandivian Tobacco</t>
  </si>
  <si>
    <t>numbers in mio DKK</t>
  </si>
  <si>
    <t>Price</t>
  </si>
  <si>
    <t>Shares</t>
  </si>
  <si>
    <t>MC</t>
  </si>
  <si>
    <t>Cash</t>
  </si>
  <si>
    <t>Debt</t>
  </si>
  <si>
    <t>EV</t>
  </si>
  <si>
    <t>IR</t>
  </si>
  <si>
    <t>Main</t>
  </si>
  <si>
    <t>Notes</t>
  </si>
  <si>
    <t>IPO 2016</t>
  </si>
  <si>
    <t>Q225</t>
  </si>
  <si>
    <t>Q124</t>
  </si>
  <si>
    <t>Q224</t>
  </si>
  <si>
    <t>Q324</t>
  </si>
  <si>
    <t>Q424</t>
  </si>
  <si>
    <t>Q125</t>
  </si>
  <si>
    <t>Q325</t>
  </si>
  <si>
    <t>Q425</t>
  </si>
  <si>
    <t>Revenue</t>
  </si>
  <si>
    <t>COGS</t>
  </si>
  <si>
    <t>Gross Profit</t>
  </si>
  <si>
    <t>External Costs</t>
  </si>
  <si>
    <t>Other Income</t>
  </si>
  <si>
    <t>D&amp;A</t>
  </si>
  <si>
    <t>Operating Income</t>
  </si>
  <si>
    <t>Income from subsidees</t>
  </si>
  <si>
    <t>Financial Income</t>
  </si>
  <si>
    <t>Financial Costs</t>
  </si>
  <si>
    <t>Pretax Income</t>
  </si>
  <si>
    <t>Tax Expense</t>
  </si>
  <si>
    <t>Net Income</t>
  </si>
  <si>
    <t>EPS</t>
  </si>
  <si>
    <t>Staff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</si>
</sst>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;\(#,##0.0\)"/>
  </numFmts>
  <fonts count="4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Fill="0" applyBorder="0" applyAlignment="0" applyProtection="0"/>
  </cellStyleXfs>
  <cellXfs count="8">
    <xf numFmtId="0" fontId="0" fillId="0" borderId="0" xfId="0"/>
    <xf numFmtId="0" fontId="2" fillId="0" borderId="0" xfId="1"/>
    <xf numFmtId="0" fontId="1" fillId="0" borderId="0" xfId="0" applyFon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right"/>
    </xf>
    <xf numFmtId="165" fontId="0" fillId="0" borderId="0" xfId="0" applyNumberFormat="1"/>
    <xf numFmtId="165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t-group.com/investor/financial-report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431C7-7A00-4FF7-9B14-9CC6DBF12725}">
  <dimension ref="A1:K13"/>
  <sheetViews>
    <sheetView tabSelected="1" topLeftCell="C1" zoomScale="200" zoomScaleNormal="200" workbookViewId="0">
      <selection activeCell="J8" sqref="J8"/>
    </sheetView>
  </sheetViews>
  <sheetFormatPr defaultRowHeight="12.75" x14ac:dyDescent="0.2"/>
  <cols>
    <col min="1" max="1" width="3.5703125" customWidth="1"/>
  </cols>
  <sheetData>
    <row r="1" spans="1:11" x14ac:dyDescent="0.2">
      <c r="A1" s="2" t="s">
        <v>0</v>
      </c>
    </row>
    <row r="2" spans="1:11" x14ac:dyDescent="0.2">
      <c r="A2" t="s">
        <v>1</v>
      </c>
      <c r="I2" t="s">
        <v>2</v>
      </c>
      <c r="J2">
        <v>86.5</v>
      </c>
    </row>
    <row r="3" spans="1:11" x14ac:dyDescent="0.2">
      <c r="I3" t="s">
        <v>3</v>
      </c>
      <c r="J3" s="6">
        <v>78.855000000000004</v>
      </c>
      <c r="K3" s="5" t="s">
        <v>12</v>
      </c>
    </row>
    <row r="4" spans="1:11" x14ac:dyDescent="0.2">
      <c r="B4" s="1" t="s">
        <v>8</v>
      </c>
      <c r="I4" t="s">
        <v>4</v>
      </c>
      <c r="J4" s="6">
        <f>+J2*J3</f>
        <v>6820.9575000000004</v>
      </c>
    </row>
    <row r="5" spans="1:11" x14ac:dyDescent="0.2">
      <c r="I5" t="s">
        <v>5</v>
      </c>
      <c r="J5" s="6">
        <v>67.900000000000006</v>
      </c>
      <c r="K5" s="5" t="s">
        <v>12</v>
      </c>
    </row>
    <row r="6" spans="1:11" x14ac:dyDescent="0.2">
      <c r="I6" t="s">
        <v>6</v>
      </c>
      <c r="J6" s="6">
        <f>2054.8+3171.5</f>
        <v>5226.3</v>
      </c>
      <c r="K6" s="5" t="s">
        <v>12</v>
      </c>
    </row>
    <row r="7" spans="1:11" x14ac:dyDescent="0.2">
      <c r="I7" t="s">
        <v>7</v>
      </c>
      <c r="J7" s="6">
        <f>+J4-J5+J6</f>
        <v>11979.357500000002</v>
      </c>
    </row>
    <row r="12" spans="1:11" x14ac:dyDescent="0.2">
      <c r="B12" s="4" t="s">
        <v>10</v>
      </c>
    </row>
    <row r="13" spans="1:11" x14ac:dyDescent="0.2">
      <c r="B13" t="s">
        <v>11</v>
      </c>
    </row>
  </sheetData>
  <hyperlinks>
    <hyperlink ref="B4" r:id="rId1" xr:uid="{3D0E8C3B-A632-4DB6-B01E-74FEB4D2E059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8E8A0-8674-4392-9CB4-751825DBF326}">
  <dimension ref="A1:BI441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7" sqref="D17"/>
    </sheetView>
  </sheetViews>
  <sheetFormatPr defaultRowHeight="12.75" x14ac:dyDescent="0.2"/>
  <cols>
    <col min="1" max="1" width="5" bestFit="1" customWidth="1"/>
    <col min="2" max="2" width="28" customWidth="1"/>
  </cols>
  <sheetData>
    <row r="1" spans="1:61" x14ac:dyDescent="0.2">
      <c r="A1" s="1" t="s">
        <v>9</v>
      </c>
    </row>
    <row r="2" spans="1:61" x14ac:dyDescent="0.2"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12</v>
      </c>
      <c r="I2" s="5" t="s">
        <v>18</v>
      </c>
      <c r="J2" s="5" t="s">
        <v>19</v>
      </c>
    </row>
    <row r="3" spans="1:61" x14ac:dyDescent="0.2"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</row>
    <row r="4" spans="1:61" s="2" customFormat="1" x14ac:dyDescent="0.2">
      <c r="A4"/>
      <c r="B4" s="2" t="s">
        <v>20</v>
      </c>
      <c r="C4" s="7"/>
      <c r="D4" s="7">
        <v>2365.8000000000002</v>
      </c>
      <c r="E4" s="7"/>
      <c r="F4" s="7"/>
      <c r="G4" s="7"/>
      <c r="H4" s="7">
        <v>2361.4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</row>
    <row r="5" spans="1:61" x14ac:dyDescent="0.2">
      <c r="B5" t="s">
        <v>21</v>
      </c>
      <c r="C5" s="6"/>
      <c r="D5" s="6">
        <v>1256.5999999999999</v>
      </c>
      <c r="E5" s="6"/>
      <c r="F5" s="6"/>
      <c r="G5" s="6"/>
      <c r="H5" s="6">
        <v>1298</v>
      </c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</row>
    <row r="6" spans="1:61" x14ac:dyDescent="0.2">
      <c r="B6" t="s">
        <v>22</v>
      </c>
      <c r="C6" s="6">
        <f t="shared" ref="C6:G6" si="0">+C4-C5</f>
        <v>0</v>
      </c>
      <c r="D6" s="6">
        <f t="shared" si="0"/>
        <v>1109.2000000000003</v>
      </c>
      <c r="E6" s="6">
        <f t="shared" si="0"/>
        <v>0</v>
      </c>
      <c r="F6" s="6">
        <f t="shared" si="0"/>
        <v>0</v>
      </c>
      <c r="G6" s="6">
        <f t="shared" si="0"/>
        <v>0</v>
      </c>
      <c r="H6" s="6">
        <f>+H4-H5</f>
        <v>1063.4000000000001</v>
      </c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</row>
    <row r="7" spans="1:61" x14ac:dyDescent="0.2">
      <c r="B7" t="s">
        <v>23</v>
      </c>
      <c r="C7" s="6"/>
      <c r="D7" s="6">
        <v>288.7</v>
      </c>
      <c r="E7" s="6"/>
      <c r="F7" s="6"/>
      <c r="G7" s="6"/>
      <c r="H7" s="6">
        <v>277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</row>
    <row r="8" spans="1:61" x14ac:dyDescent="0.2">
      <c r="B8" t="s">
        <v>34</v>
      </c>
      <c r="C8" s="6"/>
      <c r="D8" s="6">
        <v>255.8</v>
      </c>
      <c r="E8" s="6"/>
      <c r="F8" s="6"/>
      <c r="G8" s="6"/>
      <c r="H8" s="6">
        <v>294.2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</row>
    <row r="9" spans="1:61" x14ac:dyDescent="0.2">
      <c r="B9" t="s">
        <v>24</v>
      </c>
      <c r="C9" s="6"/>
      <c r="D9" s="6">
        <v>15.8</v>
      </c>
      <c r="E9" s="6"/>
      <c r="F9" s="6"/>
      <c r="G9" s="6"/>
      <c r="H9" s="6">
        <v>6.9</v>
      </c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</row>
    <row r="10" spans="1:61" x14ac:dyDescent="0.2">
      <c r="B10" t="s">
        <v>25</v>
      </c>
      <c r="C10" s="6"/>
      <c r="D10" s="6">
        <f>54.1+44.2+52.8</f>
        <v>151.10000000000002</v>
      </c>
      <c r="E10" s="6"/>
      <c r="F10" s="6"/>
      <c r="G10" s="6"/>
      <c r="H10" s="6">
        <f>61.4+49+34.7</f>
        <v>145.10000000000002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</row>
    <row r="11" spans="1:61" x14ac:dyDescent="0.2">
      <c r="B11" t="s">
        <v>26</v>
      </c>
      <c r="C11" s="6">
        <f t="shared" ref="C11:G11" si="1">+C6-SUM(C7:C8,C10)+C9</f>
        <v>0</v>
      </c>
      <c r="D11" s="6">
        <f t="shared" si="1"/>
        <v>429.40000000000026</v>
      </c>
      <c r="E11" s="6">
        <f t="shared" si="1"/>
        <v>0</v>
      </c>
      <c r="F11" s="6">
        <f t="shared" si="1"/>
        <v>0</v>
      </c>
      <c r="G11" s="6">
        <f t="shared" si="1"/>
        <v>0</v>
      </c>
      <c r="H11" s="6">
        <f>+H6-SUM(H7:H8,H10)+H9</f>
        <v>354</v>
      </c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</row>
    <row r="12" spans="1:61" x14ac:dyDescent="0.2">
      <c r="B12" t="s">
        <v>27</v>
      </c>
      <c r="C12" s="6"/>
      <c r="D12" s="6">
        <v>8.3000000000000007</v>
      </c>
      <c r="E12" s="6"/>
      <c r="F12" s="6"/>
      <c r="G12" s="6"/>
      <c r="H12" s="6">
        <v>7.8</v>
      </c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</row>
    <row r="13" spans="1:61" x14ac:dyDescent="0.2">
      <c r="B13" t="s">
        <v>28</v>
      </c>
      <c r="C13" s="6"/>
      <c r="D13" s="6">
        <v>16</v>
      </c>
      <c r="E13" s="6"/>
      <c r="F13" s="6"/>
      <c r="G13" s="6"/>
      <c r="H13" s="6">
        <v>18.899999999999999</v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</row>
    <row r="14" spans="1:61" x14ac:dyDescent="0.2">
      <c r="B14" t="s">
        <v>29</v>
      </c>
      <c r="C14" s="6"/>
      <c r="D14" s="6">
        <v>68.599999999999994</v>
      </c>
      <c r="E14" s="6"/>
      <c r="F14" s="6"/>
      <c r="G14" s="6"/>
      <c r="H14" s="6">
        <v>85.9</v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</row>
    <row r="15" spans="1:61" x14ac:dyDescent="0.2">
      <c r="B15" t="s">
        <v>30</v>
      </c>
      <c r="C15" s="6">
        <f t="shared" ref="C15:G15" si="2">+C11+C12+C13-C14</f>
        <v>0</v>
      </c>
      <c r="D15" s="6">
        <f t="shared" si="2"/>
        <v>385.10000000000025</v>
      </c>
      <c r="E15" s="6">
        <f t="shared" si="2"/>
        <v>0</v>
      </c>
      <c r="F15" s="6">
        <f t="shared" si="2"/>
        <v>0</v>
      </c>
      <c r="G15" s="6">
        <f t="shared" si="2"/>
        <v>0</v>
      </c>
      <c r="H15" s="6">
        <f>+H11+H12+H13-H14</f>
        <v>294.79999999999995</v>
      </c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</row>
    <row r="16" spans="1:61" x14ac:dyDescent="0.2">
      <c r="B16" t="s">
        <v>31</v>
      </c>
      <c r="C16" s="6"/>
      <c r="D16" s="6">
        <v>88.3</v>
      </c>
      <c r="E16" s="6"/>
      <c r="F16" s="6"/>
      <c r="G16" s="6"/>
      <c r="H16" s="6">
        <v>67.8</v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</row>
    <row r="17" spans="2:61" x14ac:dyDescent="0.2">
      <c r="B17" t="s">
        <v>32</v>
      </c>
      <c r="C17" s="6">
        <f t="shared" ref="C17:G17" si="3">+C15-C16</f>
        <v>0</v>
      </c>
      <c r="D17" s="6">
        <f t="shared" si="3"/>
        <v>296.80000000000024</v>
      </c>
      <c r="E17" s="6">
        <f t="shared" si="3"/>
        <v>0</v>
      </c>
      <c r="F17" s="6">
        <f t="shared" si="3"/>
        <v>0</v>
      </c>
      <c r="G17" s="6">
        <f t="shared" si="3"/>
        <v>0</v>
      </c>
      <c r="H17" s="6">
        <f>+H15-H16</f>
        <v>226.99999999999994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</row>
    <row r="18" spans="2:61" x14ac:dyDescent="0.2"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</row>
    <row r="19" spans="2:61" x14ac:dyDescent="0.2">
      <c r="B19" t="s">
        <v>33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</row>
    <row r="20" spans="2:61" x14ac:dyDescent="0.2">
      <c r="B20" t="s">
        <v>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</row>
    <row r="21" spans="2:61" x14ac:dyDescent="0.2"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</row>
    <row r="22" spans="2:61" x14ac:dyDescent="0.2"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</row>
    <row r="23" spans="2:61" x14ac:dyDescent="0.2"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</row>
    <row r="24" spans="2:61" x14ac:dyDescent="0.2"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</row>
    <row r="25" spans="2:61" x14ac:dyDescent="0.2"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</row>
    <row r="26" spans="2:61" x14ac:dyDescent="0.2"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</row>
    <row r="27" spans="2:61" x14ac:dyDescent="0.2"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</row>
    <row r="28" spans="2:61" x14ac:dyDescent="0.2"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</row>
    <row r="29" spans="2:61" x14ac:dyDescent="0.2"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</row>
    <row r="30" spans="2:61" x14ac:dyDescent="0.2"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</row>
    <row r="31" spans="2:61" x14ac:dyDescent="0.2"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</row>
    <row r="32" spans="2:61" x14ac:dyDescent="0.2"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</row>
    <row r="33" spans="3:61" x14ac:dyDescent="0.2"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</row>
    <row r="34" spans="3:61" x14ac:dyDescent="0.2"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</row>
    <row r="35" spans="3:61" x14ac:dyDescent="0.2"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</row>
    <row r="36" spans="3:61" x14ac:dyDescent="0.2"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</row>
    <row r="37" spans="3:61" x14ac:dyDescent="0.2"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</row>
    <row r="38" spans="3:61" x14ac:dyDescent="0.2"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</row>
    <row r="39" spans="3:61" x14ac:dyDescent="0.2"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</row>
    <row r="40" spans="3:61" x14ac:dyDescent="0.2"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</row>
    <row r="41" spans="3:61" x14ac:dyDescent="0.2"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</row>
    <row r="42" spans="3:61" x14ac:dyDescent="0.2"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</row>
    <row r="43" spans="3:61" x14ac:dyDescent="0.2"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</row>
    <row r="44" spans="3:61" x14ac:dyDescent="0.2"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</row>
    <row r="45" spans="3:61" x14ac:dyDescent="0.2"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</row>
    <row r="46" spans="3:61" x14ac:dyDescent="0.2"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</row>
    <row r="47" spans="3:61" x14ac:dyDescent="0.2"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</row>
    <row r="48" spans="3:61" x14ac:dyDescent="0.2"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</row>
    <row r="49" spans="3:61" x14ac:dyDescent="0.2"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</row>
    <row r="50" spans="3:61" x14ac:dyDescent="0.2"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</row>
    <row r="51" spans="3:61" x14ac:dyDescent="0.2"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</row>
    <row r="52" spans="3:61" x14ac:dyDescent="0.2"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</row>
    <row r="53" spans="3:61" x14ac:dyDescent="0.2"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</row>
    <row r="54" spans="3:61" x14ac:dyDescent="0.2"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</row>
    <row r="55" spans="3:61" x14ac:dyDescent="0.2"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</row>
    <row r="56" spans="3:61" x14ac:dyDescent="0.2"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</row>
    <row r="57" spans="3:61" x14ac:dyDescent="0.2"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</row>
    <row r="58" spans="3:61" x14ac:dyDescent="0.2"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</row>
    <row r="59" spans="3:61" x14ac:dyDescent="0.2"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</row>
    <row r="60" spans="3:61" x14ac:dyDescent="0.2"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</row>
    <row r="61" spans="3:61" x14ac:dyDescent="0.2"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</row>
    <row r="62" spans="3:61" x14ac:dyDescent="0.2"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</row>
    <row r="63" spans="3:61" x14ac:dyDescent="0.2"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</row>
    <row r="64" spans="3:61" x14ac:dyDescent="0.2"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</row>
    <row r="65" spans="3:61" x14ac:dyDescent="0.2"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</row>
    <row r="66" spans="3:61" x14ac:dyDescent="0.2"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</row>
    <row r="67" spans="3:61" x14ac:dyDescent="0.2"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</row>
    <row r="68" spans="3:61" x14ac:dyDescent="0.2"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</row>
    <row r="69" spans="3:61" x14ac:dyDescent="0.2"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</row>
    <row r="70" spans="3:61" x14ac:dyDescent="0.2"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</row>
    <row r="71" spans="3:61" x14ac:dyDescent="0.2"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</row>
    <row r="72" spans="3:61" x14ac:dyDescent="0.2"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</row>
    <row r="73" spans="3:61" x14ac:dyDescent="0.2"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</row>
    <row r="74" spans="3:61" x14ac:dyDescent="0.2"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</row>
    <row r="75" spans="3:61" x14ac:dyDescent="0.2"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</row>
    <row r="76" spans="3:61" x14ac:dyDescent="0.2"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</row>
    <row r="77" spans="3:61" x14ac:dyDescent="0.2"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</row>
    <row r="78" spans="3:61" x14ac:dyDescent="0.2"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</row>
    <row r="79" spans="3:61" x14ac:dyDescent="0.2"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</row>
    <row r="80" spans="3:61" x14ac:dyDescent="0.2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</row>
    <row r="81" spans="3:61" x14ac:dyDescent="0.2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</row>
    <row r="82" spans="3:61" x14ac:dyDescent="0.2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</row>
    <row r="83" spans="3:61" x14ac:dyDescent="0.2"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</row>
    <row r="84" spans="3:61" x14ac:dyDescent="0.2"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</row>
    <row r="85" spans="3:61" x14ac:dyDescent="0.2"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</row>
    <row r="86" spans="3:61" x14ac:dyDescent="0.2"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</row>
    <row r="87" spans="3:61" x14ac:dyDescent="0.2"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</row>
    <row r="88" spans="3:61" x14ac:dyDescent="0.2"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</row>
    <row r="89" spans="3:61" x14ac:dyDescent="0.2"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</row>
    <row r="90" spans="3:61" x14ac:dyDescent="0.2"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</row>
    <row r="91" spans="3:61" x14ac:dyDescent="0.2"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</row>
    <row r="92" spans="3:61" x14ac:dyDescent="0.2"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</row>
    <row r="93" spans="3:61" x14ac:dyDescent="0.2"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</row>
    <row r="94" spans="3:61" x14ac:dyDescent="0.2"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</row>
    <row r="95" spans="3:61" x14ac:dyDescent="0.2"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</row>
    <row r="96" spans="3:61" x14ac:dyDescent="0.2"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</row>
    <row r="97" spans="3:61" x14ac:dyDescent="0.2"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</row>
    <row r="98" spans="3:61" x14ac:dyDescent="0.2"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</row>
    <row r="99" spans="3:61" x14ac:dyDescent="0.2"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</row>
    <row r="100" spans="3:61" x14ac:dyDescent="0.2"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</row>
    <row r="101" spans="3:61" x14ac:dyDescent="0.2"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</row>
    <row r="102" spans="3:61" x14ac:dyDescent="0.2"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</row>
    <row r="103" spans="3:61" x14ac:dyDescent="0.2"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</row>
    <row r="104" spans="3:61" x14ac:dyDescent="0.2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</row>
    <row r="105" spans="3:61" x14ac:dyDescent="0.2"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</row>
    <row r="106" spans="3:61" x14ac:dyDescent="0.2"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</row>
    <row r="107" spans="3:61" x14ac:dyDescent="0.2"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</row>
    <row r="108" spans="3:61" x14ac:dyDescent="0.2"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</row>
    <row r="109" spans="3:61" x14ac:dyDescent="0.2"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</row>
    <row r="110" spans="3:61" x14ac:dyDescent="0.2"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</row>
    <row r="111" spans="3:61" x14ac:dyDescent="0.2"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</row>
    <row r="112" spans="3:61" x14ac:dyDescent="0.2"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</row>
    <row r="113" spans="3:61" x14ac:dyDescent="0.2"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</row>
    <row r="114" spans="3:61" x14ac:dyDescent="0.2"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</row>
    <row r="115" spans="3:61" x14ac:dyDescent="0.2"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</row>
    <row r="116" spans="3:61" x14ac:dyDescent="0.2"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</row>
    <row r="117" spans="3:61" x14ac:dyDescent="0.2"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</row>
    <row r="118" spans="3:61" x14ac:dyDescent="0.2"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</row>
    <row r="119" spans="3:61" x14ac:dyDescent="0.2"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</row>
    <row r="120" spans="3:61" x14ac:dyDescent="0.2"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</row>
    <row r="121" spans="3:61" x14ac:dyDescent="0.2"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</row>
    <row r="122" spans="3:61" x14ac:dyDescent="0.2"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</row>
    <row r="123" spans="3:61" x14ac:dyDescent="0.2"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</row>
    <row r="124" spans="3:61" x14ac:dyDescent="0.2"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</row>
    <row r="125" spans="3:61" x14ac:dyDescent="0.2"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</row>
    <row r="126" spans="3:61" x14ac:dyDescent="0.2"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</row>
    <row r="127" spans="3:61" x14ac:dyDescent="0.2"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</row>
    <row r="128" spans="3:61" x14ac:dyDescent="0.2"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</row>
    <row r="129" spans="3:61" x14ac:dyDescent="0.2"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</row>
    <row r="130" spans="3:61" x14ac:dyDescent="0.2"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</row>
    <row r="131" spans="3:61" x14ac:dyDescent="0.2"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</row>
    <row r="132" spans="3:61" x14ac:dyDescent="0.2"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</row>
    <row r="133" spans="3:61" x14ac:dyDescent="0.2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</row>
    <row r="134" spans="3:61" x14ac:dyDescent="0.2"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</row>
    <row r="135" spans="3:61" x14ac:dyDescent="0.2"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</row>
    <row r="136" spans="3:61" x14ac:dyDescent="0.2"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</row>
    <row r="137" spans="3:61" x14ac:dyDescent="0.2"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</row>
    <row r="138" spans="3:61" x14ac:dyDescent="0.2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</row>
    <row r="139" spans="3:61" x14ac:dyDescent="0.2"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</row>
    <row r="140" spans="3:61" x14ac:dyDescent="0.2"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</row>
    <row r="141" spans="3:61" x14ac:dyDescent="0.2"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</row>
    <row r="142" spans="3:61" x14ac:dyDescent="0.2"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</row>
    <row r="143" spans="3:61" x14ac:dyDescent="0.2"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</row>
    <row r="144" spans="3:61" x14ac:dyDescent="0.2"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</row>
    <row r="145" spans="3:61" x14ac:dyDescent="0.2"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</row>
    <row r="146" spans="3:61" x14ac:dyDescent="0.2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</row>
    <row r="147" spans="3:61" x14ac:dyDescent="0.2"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</row>
    <row r="148" spans="3:61" x14ac:dyDescent="0.2"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</row>
    <row r="149" spans="3:61" x14ac:dyDescent="0.2"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</row>
    <row r="150" spans="3:61" x14ac:dyDescent="0.2"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</row>
    <row r="151" spans="3:61" x14ac:dyDescent="0.2"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</row>
    <row r="152" spans="3:61" x14ac:dyDescent="0.2"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</row>
    <row r="153" spans="3:61" x14ac:dyDescent="0.2"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</row>
    <row r="154" spans="3:61" x14ac:dyDescent="0.2"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</row>
    <row r="155" spans="3:61" x14ac:dyDescent="0.2"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</row>
    <row r="156" spans="3:61" x14ac:dyDescent="0.2"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</row>
    <row r="157" spans="3:61" x14ac:dyDescent="0.2"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</row>
    <row r="158" spans="3:61" x14ac:dyDescent="0.2"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</row>
    <row r="159" spans="3:61" x14ac:dyDescent="0.2"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</row>
    <row r="160" spans="3:61" x14ac:dyDescent="0.2"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</row>
    <row r="161" spans="3:61" x14ac:dyDescent="0.2"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</row>
    <row r="162" spans="3:61" x14ac:dyDescent="0.2"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</row>
    <row r="163" spans="3:61" x14ac:dyDescent="0.2"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</row>
    <row r="164" spans="3:61" x14ac:dyDescent="0.2"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</row>
    <row r="165" spans="3:61" x14ac:dyDescent="0.2"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</row>
    <row r="166" spans="3:61" x14ac:dyDescent="0.2"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</row>
    <row r="167" spans="3:61" x14ac:dyDescent="0.2"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</row>
    <row r="168" spans="3:61" x14ac:dyDescent="0.2"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</row>
    <row r="169" spans="3:61" x14ac:dyDescent="0.2"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</row>
    <row r="170" spans="3:61" x14ac:dyDescent="0.2"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</row>
    <row r="171" spans="3:61" x14ac:dyDescent="0.2"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</row>
    <row r="172" spans="3:61" x14ac:dyDescent="0.2"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</row>
    <row r="173" spans="3:61" x14ac:dyDescent="0.2"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</row>
    <row r="174" spans="3:61" x14ac:dyDescent="0.2"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</row>
    <row r="175" spans="3:61" x14ac:dyDescent="0.2"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</row>
    <row r="176" spans="3:61" x14ac:dyDescent="0.2"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</row>
    <row r="177" spans="3:61" x14ac:dyDescent="0.2"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</row>
    <row r="178" spans="3:61" x14ac:dyDescent="0.2"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</row>
    <row r="179" spans="3:61" x14ac:dyDescent="0.2"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</row>
    <row r="180" spans="3:61" x14ac:dyDescent="0.2"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</row>
    <row r="181" spans="3:61" x14ac:dyDescent="0.2"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</row>
    <row r="182" spans="3:61" x14ac:dyDescent="0.2"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</row>
    <row r="183" spans="3:61" x14ac:dyDescent="0.2"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</row>
    <row r="184" spans="3:61" x14ac:dyDescent="0.2"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</row>
    <row r="185" spans="3:61" x14ac:dyDescent="0.2"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</row>
    <row r="186" spans="3:61" x14ac:dyDescent="0.2"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</row>
    <row r="187" spans="3:61" x14ac:dyDescent="0.2"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</row>
    <row r="188" spans="3:61" x14ac:dyDescent="0.2"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</row>
    <row r="189" spans="3:61" x14ac:dyDescent="0.2"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</row>
    <row r="190" spans="3:61" x14ac:dyDescent="0.2"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</row>
    <row r="191" spans="3:61" x14ac:dyDescent="0.2"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</row>
    <row r="192" spans="3:61" x14ac:dyDescent="0.2"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</row>
    <row r="193" spans="3:61" x14ac:dyDescent="0.2"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</row>
    <row r="194" spans="3:61" x14ac:dyDescent="0.2"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</row>
    <row r="195" spans="3:61" x14ac:dyDescent="0.2"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</row>
    <row r="196" spans="3:61" x14ac:dyDescent="0.2"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</row>
    <row r="197" spans="3:61" x14ac:dyDescent="0.2"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</row>
    <row r="198" spans="3:61" x14ac:dyDescent="0.2"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</row>
    <row r="199" spans="3:61" x14ac:dyDescent="0.2"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</row>
    <row r="200" spans="3:61" x14ac:dyDescent="0.2"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</row>
    <row r="201" spans="3:61" x14ac:dyDescent="0.2"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</row>
    <row r="202" spans="3:61" x14ac:dyDescent="0.2"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</row>
    <row r="203" spans="3:61" x14ac:dyDescent="0.2"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</row>
    <row r="204" spans="3:61" x14ac:dyDescent="0.2"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</row>
    <row r="205" spans="3:61" x14ac:dyDescent="0.2"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</row>
    <row r="206" spans="3:61" x14ac:dyDescent="0.2"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</row>
    <row r="207" spans="3:61" x14ac:dyDescent="0.2"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</row>
    <row r="208" spans="3:61" x14ac:dyDescent="0.2"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</row>
    <row r="209" spans="3:61" x14ac:dyDescent="0.2"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</row>
    <row r="210" spans="3:61" x14ac:dyDescent="0.2"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</row>
    <row r="211" spans="3:61" x14ac:dyDescent="0.2"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</row>
    <row r="212" spans="3:61" x14ac:dyDescent="0.2"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</row>
    <row r="213" spans="3:61" x14ac:dyDescent="0.2"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</row>
    <row r="214" spans="3:61" x14ac:dyDescent="0.2"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</row>
    <row r="215" spans="3:61" x14ac:dyDescent="0.2"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</row>
    <row r="216" spans="3:61" x14ac:dyDescent="0.2"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</row>
    <row r="217" spans="3:61" x14ac:dyDescent="0.2"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</row>
    <row r="218" spans="3:61" x14ac:dyDescent="0.2"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</row>
    <row r="219" spans="3:61" x14ac:dyDescent="0.2"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</row>
    <row r="220" spans="3:61" x14ac:dyDescent="0.2"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</row>
    <row r="221" spans="3:61" x14ac:dyDescent="0.2"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</row>
    <row r="222" spans="3:61" x14ac:dyDescent="0.2"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</row>
    <row r="223" spans="3:61" x14ac:dyDescent="0.2"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</row>
    <row r="224" spans="3:61" x14ac:dyDescent="0.2"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</row>
    <row r="225" spans="3:61" x14ac:dyDescent="0.2"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</row>
    <row r="226" spans="3:61" x14ac:dyDescent="0.2"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</row>
    <row r="227" spans="3:61" x14ac:dyDescent="0.2"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</row>
    <row r="228" spans="3:61" x14ac:dyDescent="0.2"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</row>
    <row r="229" spans="3:61" x14ac:dyDescent="0.2"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</row>
    <row r="230" spans="3:61" x14ac:dyDescent="0.2"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</row>
    <row r="231" spans="3:61" x14ac:dyDescent="0.2"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</row>
    <row r="232" spans="3:61" x14ac:dyDescent="0.2"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</row>
    <row r="233" spans="3:61" x14ac:dyDescent="0.2"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</row>
    <row r="234" spans="3:61" x14ac:dyDescent="0.2"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</row>
    <row r="235" spans="3:61" x14ac:dyDescent="0.2"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</row>
    <row r="236" spans="3:61" x14ac:dyDescent="0.2"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</row>
    <row r="237" spans="3:61" x14ac:dyDescent="0.2"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</row>
    <row r="238" spans="3:61" x14ac:dyDescent="0.2"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6"/>
      <c r="BI238" s="6"/>
    </row>
    <row r="239" spans="3:61" x14ac:dyDescent="0.2"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6"/>
      <c r="BI239" s="6"/>
    </row>
    <row r="240" spans="3:61" x14ac:dyDescent="0.2"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6"/>
      <c r="BI240" s="6"/>
    </row>
    <row r="241" spans="3:61" x14ac:dyDescent="0.2"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  <c r="BI241" s="6"/>
    </row>
    <row r="242" spans="3:61" x14ac:dyDescent="0.2"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6"/>
      <c r="BI242" s="6"/>
    </row>
    <row r="243" spans="3:61" x14ac:dyDescent="0.2"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</row>
    <row r="244" spans="3:61" x14ac:dyDescent="0.2"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</row>
    <row r="245" spans="3:61" x14ac:dyDescent="0.2"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</row>
    <row r="246" spans="3:61" x14ac:dyDescent="0.2"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</row>
    <row r="247" spans="3:61" x14ac:dyDescent="0.2"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</row>
    <row r="248" spans="3:61" x14ac:dyDescent="0.2"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</row>
    <row r="249" spans="3:61" x14ac:dyDescent="0.2"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</row>
    <row r="250" spans="3:61" x14ac:dyDescent="0.2"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</row>
    <row r="251" spans="3:61" x14ac:dyDescent="0.2"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</row>
    <row r="252" spans="3:61" x14ac:dyDescent="0.2"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</row>
    <row r="253" spans="3:61" x14ac:dyDescent="0.2"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</row>
    <row r="254" spans="3:61" x14ac:dyDescent="0.2"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</row>
    <row r="255" spans="3:61" x14ac:dyDescent="0.2"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</row>
    <row r="256" spans="3:61" x14ac:dyDescent="0.2"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</row>
    <row r="257" spans="3:61" x14ac:dyDescent="0.2"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</row>
    <row r="258" spans="3:61" x14ac:dyDescent="0.2"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</row>
    <row r="259" spans="3:61" x14ac:dyDescent="0.2"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</row>
    <row r="260" spans="3:61" x14ac:dyDescent="0.2"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</row>
    <row r="261" spans="3:61" x14ac:dyDescent="0.2"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</row>
    <row r="262" spans="3:61" x14ac:dyDescent="0.2"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</row>
    <row r="263" spans="3:61" x14ac:dyDescent="0.2"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</row>
    <row r="264" spans="3:61" x14ac:dyDescent="0.2"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</row>
    <row r="265" spans="3:61" x14ac:dyDescent="0.2"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</row>
    <row r="266" spans="3:61" x14ac:dyDescent="0.2"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</row>
    <row r="267" spans="3:61" x14ac:dyDescent="0.2"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</row>
    <row r="268" spans="3:61" x14ac:dyDescent="0.2"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</row>
    <row r="269" spans="3:61" x14ac:dyDescent="0.2"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</row>
    <row r="270" spans="3:61" x14ac:dyDescent="0.2"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</row>
    <row r="271" spans="3:61" x14ac:dyDescent="0.2"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</row>
    <row r="272" spans="3:61" x14ac:dyDescent="0.2"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</row>
    <row r="273" spans="3:61" x14ac:dyDescent="0.2"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</row>
    <row r="274" spans="3:61" x14ac:dyDescent="0.2"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</row>
    <row r="275" spans="3:61" x14ac:dyDescent="0.2"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</row>
    <row r="276" spans="3:61" x14ac:dyDescent="0.2"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</row>
    <row r="277" spans="3:61" x14ac:dyDescent="0.2"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</row>
    <row r="278" spans="3:61" x14ac:dyDescent="0.2"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</row>
    <row r="279" spans="3:61" x14ac:dyDescent="0.2"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</row>
    <row r="280" spans="3:61" x14ac:dyDescent="0.2"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</row>
    <row r="281" spans="3:61" x14ac:dyDescent="0.2"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</row>
    <row r="282" spans="3:61" x14ac:dyDescent="0.2"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</row>
    <row r="283" spans="3:61" x14ac:dyDescent="0.2"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</row>
    <row r="284" spans="3:61" x14ac:dyDescent="0.2"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</row>
    <row r="285" spans="3:61" x14ac:dyDescent="0.2"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</row>
    <row r="286" spans="3:61" x14ac:dyDescent="0.2"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</row>
    <row r="287" spans="3:61" x14ac:dyDescent="0.2"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</row>
    <row r="288" spans="3:61" x14ac:dyDescent="0.2"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</row>
    <row r="289" spans="3:61" x14ac:dyDescent="0.2"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</row>
    <row r="290" spans="3:61" x14ac:dyDescent="0.2"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</row>
    <row r="291" spans="3:61" x14ac:dyDescent="0.2"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</row>
    <row r="292" spans="3:61" x14ac:dyDescent="0.2"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</row>
    <row r="293" spans="3:61" x14ac:dyDescent="0.2"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</row>
    <row r="294" spans="3:61" x14ac:dyDescent="0.2"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</row>
    <row r="295" spans="3:61" x14ac:dyDescent="0.2"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</row>
    <row r="296" spans="3:61" x14ac:dyDescent="0.2"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</row>
    <row r="297" spans="3:61" x14ac:dyDescent="0.2"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</row>
    <row r="298" spans="3:61" x14ac:dyDescent="0.2"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</row>
    <row r="299" spans="3:61" x14ac:dyDescent="0.2"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</row>
    <row r="300" spans="3:61" x14ac:dyDescent="0.2"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</row>
    <row r="301" spans="3:61" x14ac:dyDescent="0.2"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</row>
    <row r="302" spans="3:61" x14ac:dyDescent="0.2"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</row>
    <row r="303" spans="3:61" x14ac:dyDescent="0.2"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</row>
    <row r="304" spans="3:61" x14ac:dyDescent="0.2"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</row>
    <row r="305" spans="3:61" x14ac:dyDescent="0.2"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</row>
    <row r="306" spans="3:61" x14ac:dyDescent="0.2"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</row>
    <row r="307" spans="3:61" x14ac:dyDescent="0.2"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</row>
    <row r="308" spans="3:61" x14ac:dyDescent="0.2"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</row>
    <row r="309" spans="3:61" x14ac:dyDescent="0.2"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</row>
    <row r="310" spans="3:61" x14ac:dyDescent="0.2"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</row>
    <row r="311" spans="3:61" x14ac:dyDescent="0.2"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</row>
    <row r="312" spans="3:61" x14ac:dyDescent="0.2"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</row>
    <row r="313" spans="3:61" x14ac:dyDescent="0.2"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</row>
    <row r="314" spans="3:61" x14ac:dyDescent="0.2"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</row>
    <row r="315" spans="3:61" x14ac:dyDescent="0.2"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</row>
    <row r="316" spans="3:61" x14ac:dyDescent="0.2"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</row>
    <row r="317" spans="3:61" x14ac:dyDescent="0.2"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</row>
    <row r="318" spans="3:61" x14ac:dyDescent="0.2"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</row>
    <row r="319" spans="3:61" x14ac:dyDescent="0.2"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</row>
    <row r="320" spans="3:61" x14ac:dyDescent="0.2"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</row>
    <row r="321" spans="3:61" x14ac:dyDescent="0.2"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</row>
    <row r="322" spans="3:61" x14ac:dyDescent="0.2"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</row>
    <row r="323" spans="3:61" x14ac:dyDescent="0.2"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</row>
    <row r="324" spans="3:61" x14ac:dyDescent="0.2"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</row>
    <row r="325" spans="3:61" x14ac:dyDescent="0.2"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</row>
    <row r="326" spans="3:61" x14ac:dyDescent="0.2"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</row>
    <row r="327" spans="3:61" x14ac:dyDescent="0.2"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</row>
    <row r="328" spans="3:61" x14ac:dyDescent="0.2"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</row>
    <row r="329" spans="3:61" x14ac:dyDescent="0.2"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</row>
    <row r="330" spans="3:61" x14ac:dyDescent="0.2"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</row>
    <row r="331" spans="3:61" x14ac:dyDescent="0.2"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</row>
    <row r="332" spans="3:61" x14ac:dyDescent="0.2"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</row>
    <row r="333" spans="3:61" x14ac:dyDescent="0.2"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</row>
    <row r="334" spans="3:61" x14ac:dyDescent="0.2"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</row>
    <row r="335" spans="3:61" x14ac:dyDescent="0.2"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</row>
    <row r="336" spans="3:61" x14ac:dyDescent="0.2"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</row>
    <row r="337" spans="3:61" x14ac:dyDescent="0.2"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</row>
    <row r="338" spans="3:61" x14ac:dyDescent="0.2"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</row>
    <row r="339" spans="3:61" x14ac:dyDescent="0.2"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</row>
    <row r="340" spans="3:61" x14ac:dyDescent="0.2"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</row>
    <row r="341" spans="3:61" x14ac:dyDescent="0.2"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</row>
    <row r="342" spans="3:61" x14ac:dyDescent="0.2"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</row>
    <row r="343" spans="3:61" x14ac:dyDescent="0.2"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</row>
    <row r="344" spans="3:61" x14ac:dyDescent="0.2"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</row>
    <row r="345" spans="3:61" x14ac:dyDescent="0.2"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</row>
    <row r="346" spans="3:61" x14ac:dyDescent="0.2"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6"/>
      <c r="BI346" s="6"/>
    </row>
    <row r="347" spans="3:61" x14ac:dyDescent="0.2"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  <c r="BI347" s="6"/>
    </row>
    <row r="348" spans="3:61" x14ac:dyDescent="0.2"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  <c r="BI348" s="6"/>
    </row>
    <row r="349" spans="3:61" x14ac:dyDescent="0.2"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</row>
    <row r="350" spans="3:61" x14ac:dyDescent="0.2"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</row>
    <row r="351" spans="3:61" x14ac:dyDescent="0.2"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</row>
    <row r="352" spans="3:61" x14ac:dyDescent="0.2"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</row>
    <row r="353" spans="3:61" x14ac:dyDescent="0.2"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</row>
    <row r="354" spans="3:61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3:61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3:61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3:61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3:61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3:61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3:61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3:61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3:61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3:61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3:61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3:61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3:61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3:61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3:61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3:29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3:29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3:29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3:29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3:29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3:29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3:29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3:29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3:29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3:29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3:29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3:29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3:29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3:29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3:29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3:29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3:29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3:29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3:29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3:29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3:29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3:29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3:29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3:29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3:29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3:29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3:29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3:29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3:29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3:29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3:29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3:29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3:29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3:29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3:29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3:29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3:29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3:29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3:29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3:29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3:29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3:29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3:29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3:29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3:29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3:29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3:29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3:29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3:29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3:29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3:29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3:29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3:29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3:29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3:29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3:29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3:29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3:29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3:29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3:29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3:29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3:29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3:29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3:29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3:29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3:29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3:29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3:29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3:29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3:29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3:29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3:29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3:29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</sheetData>
  <hyperlinks>
    <hyperlink ref="A1" location="Main!A1" display="Main" xr:uid="{045468A1-3DAF-463D-BF7D-92662B42E65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2025-11-07T15:29:25Z</dcterms:created>
  <dcterms:modified xsi:type="dcterms:W3CDTF">2025-11-07T15:45:27Z</dcterms:modified>
</cp:coreProperties>
</file>