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DC5F035-28ED-49CA-8C83-6A159FA6A586}" xr6:coauthVersionLast="47" xr6:coauthVersionMax="47" xr10:uidLastSave="{00000000-0000-0000-0000-000000000000}"/>
  <bookViews>
    <workbookView xWindow="-120" yWindow="-120" windowWidth="38640" windowHeight="21060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2" l="1"/>
  <c r="F22" i="2"/>
  <c r="F20" i="2"/>
  <c r="F19" i="2"/>
  <c r="F18" i="2"/>
  <c r="F16" i="2"/>
  <c r="F15" i="2"/>
  <c r="F14" i="2"/>
  <c r="F13" i="2"/>
  <c r="F11" i="2"/>
  <c r="F10" i="2"/>
  <c r="J37" i="4"/>
  <c r="I37" i="4"/>
  <c r="H37" i="4"/>
  <c r="G37" i="4"/>
  <c r="J31" i="4"/>
  <c r="I31" i="4"/>
  <c r="H31" i="4"/>
  <c r="G31" i="4"/>
  <c r="J25" i="4"/>
  <c r="J46" i="4" s="1"/>
  <c r="I25" i="4"/>
  <c r="I46" i="4" s="1"/>
  <c r="H25" i="4"/>
  <c r="H46" i="4" s="1"/>
  <c r="G25" i="4"/>
  <c r="G46" i="4" s="1"/>
  <c r="I14" i="3"/>
  <c r="H14" i="3"/>
  <c r="G14" i="3"/>
  <c r="F14" i="3"/>
  <c r="E14" i="3"/>
  <c r="D14" i="3"/>
  <c r="C14" i="3"/>
  <c r="J14" i="3"/>
  <c r="I8" i="3"/>
  <c r="H8" i="3"/>
  <c r="G8" i="3"/>
  <c r="F8" i="3"/>
  <c r="E8" i="3"/>
  <c r="D8" i="3"/>
  <c r="C8" i="3"/>
  <c r="J8" i="3"/>
  <c r="I7" i="3"/>
  <c r="H7" i="3"/>
  <c r="G7" i="3"/>
  <c r="F7" i="3"/>
  <c r="E7" i="3"/>
  <c r="D7" i="3"/>
  <c r="C7" i="3"/>
  <c r="J7" i="3"/>
  <c r="I6" i="3"/>
  <c r="H6" i="3"/>
  <c r="G6" i="3"/>
  <c r="F6" i="3"/>
  <c r="E6" i="3"/>
  <c r="D6" i="3"/>
  <c r="C6" i="3"/>
  <c r="J6" i="3"/>
  <c r="L8" i="2"/>
  <c r="M8" i="2"/>
  <c r="M95" i="2"/>
  <c r="L95" i="2"/>
  <c r="M87" i="2"/>
  <c r="L87" i="2"/>
  <c r="L46" i="2"/>
  <c r="M46" i="2"/>
  <c r="M23" i="2"/>
  <c r="L23" i="2"/>
  <c r="M21" i="2"/>
  <c r="M35" i="2" s="1"/>
  <c r="L21" i="2"/>
  <c r="L16" i="2"/>
  <c r="L17" i="2" s="1"/>
  <c r="M17" i="2"/>
  <c r="M16" i="2"/>
  <c r="M12" i="2"/>
  <c r="L12" i="2"/>
  <c r="O100" i="2"/>
  <c r="O97" i="2"/>
  <c r="N97" i="2"/>
  <c r="N100" i="2" s="1"/>
  <c r="O89" i="2"/>
  <c r="N85" i="2"/>
  <c r="N87" i="2" s="1"/>
  <c r="O81" i="2"/>
  <c r="N81" i="2"/>
  <c r="M81" i="2"/>
  <c r="L81" i="2"/>
  <c r="M62" i="2"/>
  <c r="L62" i="2"/>
  <c r="M69" i="2"/>
  <c r="L69" i="2"/>
  <c r="M53" i="2"/>
  <c r="M54" i="2" s="1"/>
  <c r="L53" i="2"/>
  <c r="O51" i="2"/>
  <c r="N44" i="2"/>
  <c r="N46" i="2" s="1"/>
  <c r="O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N26" i="2"/>
  <c r="M26" i="2"/>
  <c r="L26" i="2"/>
  <c r="O26" i="2"/>
  <c r="N16" i="2"/>
  <c r="O16" i="2"/>
  <c r="C5" i="3"/>
  <c r="D5" i="3"/>
  <c r="P95" i="2"/>
  <c r="P97" i="2" s="1"/>
  <c r="P100" i="2" s="1"/>
  <c r="O95" i="2"/>
  <c r="N95" i="2"/>
  <c r="P87" i="2"/>
  <c r="O87" i="2"/>
  <c r="P81" i="2"/>
  <c r="N69" i="2"/>
  <c r="O69" i="2"/>
  <c r="P69" i="2"/>
  <c r="Q69" i="2"/>
  <c r="P62" i="2"/>
  <c r="O62" i="2"/>
  <c r="N62" i="2"/>
  <c r="P51" i="2"/>
  <c r="P53" i="2" s="1"/>
  <c r="O46" i="2"/>
  <c r="O53" i="2"/>
  <c r="N53" i="2"/>
  <c r="N54" i="2" s="1"/>
  <c r="P16" i="2"/>
  <c r="N12" i="2"/>
  <c r="N17" i="2" s="1"/>
  <c r="N21" i="2" s="1"/>
  <c r="N23" i="2" s="1"/>
  <c r="O12" i="2"/>
  <c r="P12" i="2"/>
  <c r="Q16" i="2"/>
  <c r="E5" i="3"/>
  <c r="J6" i="1"/>
  <c r="V59" i="4" s="1"/>
  <c r="J35" i="2"/>
  <c r="J34" i="2"/>
  <c r="J33" i="2"/>
  <c r="J32" i="2"/>
  <c r="I32" i="2"/>
  <c r="E16" i="2"/>
  <c r="I16" i="2"/>
  <c r="I12" i="2"/>
  <c r="I33" i="2" s="1"/>
  <c r="V61" i="4"/>
  <c r="V58" i="4"/>
  <c r="K48" i="4"/>
  <c r="L48" i="4"/>
  <c r="K45" i="4"/>
  <c r="L45" i="4"/>
  <c r="K42" i="4"/>
  <c r="L42" i="4"/>
  <c r="K37" i="4"/>
  <c r="L37" i="4"/>
  <c r="K25" i="4"/>
  <c r="K43" i="4" s="1"/>
  <c r="L25" i="4"/>
  <c r="L26" i="4" s="1"/>
  <c r="J3" i="4"/>
  <c r="O3" i="4" s="1"/>
  <c r="J49" i="4"/>
  <c r="I49" i="4"/>
  <c r="H49" i="4"/>
  <c r="G49" i="4"/>
  <c r="H40" i="4"/>
  <c r="H51" i="4" s="1"/>
  <c r="G40" i="4"/>
  <c r="G51" i="4" s="1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I40" i="4" l="1"/>
  <c r="I51" i="4" s="1"/>
  <c r="J40" i="4"/>
  <c r="J51" i="4" s="1"/>
  <c r="J38" i="4"/>
  <c r="I38" i="4"/>
  <c r="G43" i="4"/>
  <c r="H43" i="4"/>
  <c r="G32" i="4"/>
  <c r="I43" i="4"/>
  <c r="H32" i="4"/>
  <c r="J43" i="4"/>
  <c r="I32" i="4"/>
  <c r="J32" i="4"/>
  <c r="M97" i="2"/>
  <c r="M100" i="2" s="1"/>
  <c r="L97" i="2"/>
  <c r="L100" i="2" s="1"/>
  <c r="L70" i="2"/>
  <c r="L71" i="2" s="1"/>
  <c r="M70" i="2"/>
  <c r="M71" i="2" s="1"/>
  <c r="L54" i="2"/>
  <c r="L25" i="2"/>
  <c r="M25" i="2"/>
  <c r="N35" i="2"/>
  <c r="N70" i="2"/>
  <c r="N71" i="2" s="1"/>
  <c r="O70" i="2"/>
  <c r="O71" i="2" s="1"/>
  <c r="O54" i="2"/>
  <c r="P70" i="2"/>
  <c r="P71" i="2" s="1"/>
  <c r="N25" i="2"/>
  <c r="O17" i="2"/>
  <c r="O21" i="2" s="1"/>
  <c r="O23" i="2" s="1"/>
  <c r="O25" i="2" s="1"/>
  <c r="K49" i="4"/>
  <c r="L49" i="4"/>
  <c r="L46" i="4"/>
  <c r="K46" i="4"/>
  <c r="M25" i="4"/>
  <c r="M31" i="4" s="1"/>
  <c r="M37" i="4" s="1"/>
  <c r="M40" i="4" s="1"/>
  <c r="K26" i="4"/>
  <c r="L43" i="4"/>
  <c r="I17" i="2"/>
  <c r="N53" i="4"/>
  <c r="O53" i="4" s="1"/>
  <c r="P53" i="4" s="1"/>
  <c r="Q53" i="4" s="1"/>
  <c r="R53" i="4" s="1"/>
  <c r="S53" i="4" s="1"/>
  <c r="T53" i="4" s="1"/>
  <c r="U53" i="4" s="1"/>
  <c r="V53" i="4" s="1"/>
  <c r="O5" i="4"/>
  <c r="M42" i="4" l="1"/>
  <c r="M48" i="4"/>
  <c r="M45" i="4"/>
  <c r="N25" i="4"/>
  <c r="N31" i="4" s="1"/>
  <c r="N37" i="4" s="1"/>
  <c r="N40" i="4" s="1"/>
  <c r="I21" i="2"/>
  <c r="I34" i="2"/>
  <c r="N42" i="4" l="1"/>
  <c r="N48" i="4"/>
  <c r="N45" i="4"/>
  <c r="O25" i="4"/>
  <c r="O45" i="4" s="1"/>
  <c r="M51" i="4"/>
  <c r="M52" i="4" s="1"/>
  <c r="I35" i="2"/>
  <c r="I23" i="2"/>
  <c r="N51" i="4" l="1"/>
  <c r="N52" i="4" s="1"/>
  <c r="O31" i="4"/>
  <c r="O37" i="4" s="1"/>
  <c r="O40" i="4" s="1"/>
  <c r="O48" i="4"/>
  <c r="P25" i="4"/>
  <c r="P48" i="4" s="1"/>
  <c r="O42" i="4"/>
  <c r="O51" i="4" l="1"/>
  <c r="O52" i="4" s="1"/>
  <c r="P31" i="4"/>
  <c r="P37" i="4" s="1"/>
  <c r="P40" i="4" s="1"/>
  <c r="P45" i="4"/>
  <c r="Q25" i="4"/>
  <c r="Q48" i="4" s="1"/>
  <c r="P42" i="4"/>
  <c r="Q31" i="4" l="1"/>
  <c r="Q37" i="4" s="1"/>
  <c r="Q40" i="4" s="1"/>
  <c r="Q45" i="4"/>
  <c r="Q42" i="4"/>
  <c r="R25" i="4"/>
  <c r="R45" i="4" s="1"/>
  <c r="P51" i="4"/>
  <c r="P52" i="4" s="1"/>
  <c r="R48" i="4" l="1"/>
  <c r="R42" i="4"/>
  <c r="S25" i="4"/>
  <c r="S48" i="4" s="1"/>
  <c r="R31" i="4"/>
  <c r="R37" i="4" s="1"/>
  <c r="R40" i="4" s="1"/>
  <c r="Q51" i="4"/>
  <c r="Q52" i="4" s="1"/>
  <c r="R51" i="4" l="1"/>
  <c r="R52" i="4" s="1"/>
  <c r="S31" i="4"/>
  <c r="S37" i="4" s="1"/>
  <c r="S40" i="4" s="1"/>
  <c r="S45" i="4"/>
  <c r="S42" i="4"/>
  <c r="T25" i="4"/>
  <c r="T42" i="4" s="1"/>
  <c r="T31" i="4" l="1"/>
  <c r="T37" i="4" s="1"/>
  <c r="T40" i="4" s="1"/>
  <c r="T48" i="4"/>
  <c r="U25" i="4"/>
  <c r="V25" i="4" s="1"/>
  <c r="T45" i="4"/>
  <c r="S51" i="4"/>
  <c r="S52" i="4" s="1"/>
  <c r="T51" i="4" l="1"/>
  <c r="T52" i="4" s="1"/>
  <c r="U31" i="4"/>
  <c r="U37" i="4" s="1"/>
  <c r="U40" i="4" s="1"/>
  <c r="U45" i="4"/>
  <c r="U42" i="4"/>
  <c r="U48" i="4"/>
  <c r="V42" i="4"/>
  <c r="V48" i="4"/>
  <c r="V45" i="4"/>
  <c r="V31" i="4"/>
  <c r="U51" i="4" l="1"/>
  <c r="U52" i="4" s="1"/>
  <c r="V37" i="4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s="1"/>
  <c r="N69" i="4" l="1"/>
  <c r="J5" i="4"/>
  <c r="P33" i="2"/>
  <c r="G32" i="2"/>
  <c r="H32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S32" i="2"/>
  <c r="S31" i="2"/>
  <c r="S30" i="2"/>
  <c r="S29" i="2"/>
  <c r="S28" i="2"/>
  <c r="R95" i="2"/>
  <c r="Q95" i="2"/>
  <c r="S95" i="2"/>
  <c r="R87" i="2"/>
  <c r="Q87" i="2"/>
  <c r="S87" i="2"/>
  <c r="R81" i="2"/>
  <c r="Q81" i="2"/>
  <c r="S81" i="2"/>
  <c r="R69" i="2"/>
  <c r="R62" i="2"/>
  <c r="Q62" i="2"/>
  <c r="Q70" i="2" s="1"/>
  <c r="Q71" i="2" s="1"/>
  <c r="S69" i="2"/>
  <c r="S62" i="2"/>
  <c r="R53" i="2"/>
  <c r="Q53" i="2"/>
  <c r="R46" i="2"/>
  <c r="Q46" i="2"/>
  <c r="P46" i="2"/>
  <c r="P54" i="2" s="1"/>
  <c r="S53" i="2"/>
  <c r="S46" i="2"/>
  <c r="R16" i="2"/>
  <c r="Q12" i="2"/>
  <c r="R12" i="2"/>
  <c r="R33" i="2" s="1"/>
  <c r="P17" i="2"/>
  <c r="P21" i="2" s="1"/>
  <c r="P23" i="2" s="1"/>
  <c r="P25" i="2" s="1"/>
  <c r="S16" i="2"/>
  <c r="S12" i="2"/>
  <c r="S17" i="2" s="1"/>
  <c r="S34" i="2" s="1"/>
  <c r="F5" i="3"/>
  <c r="G5" i="3"/>
  <c r="H5" i="3"/>
  <c r="I5" i="3"/>
  <c r="J5" i="3"/>
  <c r="C16" i="2"/>
  <c r="J25" i="2"/>
  <c r="I25" i="2"/>
  <c r="G16" i="2"/>
  <c r="D16" i="2"/>
  <c r="G12" i="2"/>
  <c r="G33" i="2" s="1"/>
  <c r="F12" i="2"/>
  <c r="F17" i="2" s="1"/>
  <c r="F21" i="2" s="1"/>
  <c r="F23" i="2" s="1"/>
  <c r="F25" i="2" s="1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C33" i="2" s="1"/>
  <c r="H16" i="2"/>
  <c r="H12" i="2"/>
  <c r="H33" i="2" s="1"/>
  <c r="J4" i="1"/>
  <c r="J7" i="1" s="1"/>
  <c r="Q17" i="2" l="1"/>
  <c r="Q21" i="2" s="1"/>
  <c r="Q54" i="2"/>
  <c r="Q97" i="2"/>
  <c r="Q100" i="2" s="1"/>
  <c r="P35" i="2"/>
  <c r="Q34" i="2"/>
  <c r="P34" i="2"/>
  <c r="F34" i="2"/>
  <c r="D35" i="2"/>
  <c r="S33" i="2"/>
  <c r="D33" i="2"/>
  <c r="D34" i="2"/>
  <c r="F33" i="2"/>
  <c r="S21" i="2"/>
  <c r="L31" i="4"/>
  <c r="F35" i="2"/>
  <c r="Q33" i="2"/>
  <c r="E34" i="2"/>
  <c r="E35" i="2"/>
  <c r="E33" i="2"/>
  <c r="S54" i="2"/>
  <c r="R54" i="2"/>
  <c r="S70" i="2"/>
  <c r="S71" i="2" s="1"/>
  <c r="S97" i="2"/>
  <c r="S100" i="2" s="1"/>
  <c r="R97" i="2"/>
  <c r="R100" i="2" s="1"/>
  <c r="R70" i="2"/>
  <c r="R71" i="2" s="1"/>
  <c r="R17" i="2"/>
  <c r="G17" i="2"/>
  <c r="C17" i="2"/>
  <c r="H17" i="2"/>
  <c r="Q23" i="2" l="1"/>
  <c r="Q25" i="2" s="1"/>
  <c r="Q35" i="2"/>
  <c r="G21" i="2"/>
  <c r="G34" i="2"/>
  <c r="H21" i="2"/>
  <c r="H34" i="2"/>
  <c r="C21" i="2"/>
  <c r="C34" i="2"/>
  <c r="R21" i="2"/>
  <c r="K31" i="4"/>
  <c r="R34" i="2"/>
  <c r="L32" i="4"/>
  <c r="L40" i="4"/>
  <c r="L51" i="4" s="1"/>
  <c r="L38" i="4"/>
  <c r="S23" i="2"/>
  <c r="S25" i="2" s="1"/>
  <c r="S35" i="2"/>
  <c r="K32" i="4" l="1"/>
  <c r="K40" i="4"/>
  <c r="K51" i="4" s="1"/>
  <c r="K38" i="4"/>
  <c r="R23" i="2"/>
  <c r="R25" i="2" s="1"/>
  <c r="R35" i="2"/>
  <c r="C23" i="2"/>
  <c r="C25" i="2" s="1"/>
  <c r="C35" i="2"/>
  <c r="H23" i="2"/>
  <c r="H25" i="2" s="1"/>
  <c r="H35" i="2"/>
  <c r="G23" i="2"/>
  <c r="G25" i="2" s="1"/>
  <c r="G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tc={5C9504E1-4EE8-490C-9943-0CDEEA70D87B}</author>
    <author>tc={7F70D672-7BA8-4A02-A1F8-509A8E4A96A4}</author>
    <author>tc={301E1A6D-A607-4725-84D3-35AEB480AC53}</author>
  </authors>
  <commentList>
    <comment ref="Q8" authorId="0" shapeId="0" xr:uid="{5C9504E1-4EE8-490C-9943-0CDEEA70D87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Accessoires and Contract Manufacturing</t>
      </text>
    </comment>
    <comment ref="R8" authorId="1" shapeId="0" xr:uid="{7F70D672-7BA8-4A02-A1F8-509A8E4A96A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reporting from Accessires to Next Gen</t>
      </text>
    </comment>
    <comment ref="O82" authorId="2" shapeId="0" xr:uid="{301E1A6D-A607-4725-84D3-35AEB480A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Roayl Agio Cigars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<sst xmlns="http://schemas.openxmlformats.org/spreadsheetml/2006/main" count="267" uniqueCount="189">
  <si>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</si>
  <si>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</si>
  <si>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</si>
  <si>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</si>
  <si>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</si>
  <si>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</si>
  <si>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</si>
  <si>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</si>
  <si>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</si>
  <si>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</si>
  <si>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</si>
  <si>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</si>
  <si>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</si>
  <si>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</si>
  <si>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</si>
  <si>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</si>
  <si>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</si>
  <si>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</si>
  <si>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</si>
  <si>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</si>
  <si>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</si>
  <si>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</si>
  <si>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</si>
  <si>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</si>
  <si>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</si>
  <si>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</si>
  <si>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</si>
  <si>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</si>
  <si>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</si>
  <si>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</si>
  <si>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</si>
  <si>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</si>
  <si>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</si>
  <si>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</si>
  <si>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</si>
  <si>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</si>
  <si>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</si>
  <si>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</si>
  <si>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</si>
  <si>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</si>
  <si>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</si>
  <si>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</si>
  <si>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</si>
  <si>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</si>
  <si>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</si>
  <si>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</si>
  <si>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</si>
  <si>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</si>
  <si>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</si>
  <si>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</si>
  <si>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</si>
  <si>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</si>
  <si>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</si>
  <si>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</si>
  <si>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</si>
  <si>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</si>
  <si>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</si>
  <si>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</si>
  <si>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</si>
  <si>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</si>
  <si>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</si>
  <si>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</si>
  <si>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</si>
  <si>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</si>
  <si>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</si>
  <si>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</si>
  <si>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</si>
  <si>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</si>
  <si>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</si>
  <si>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</si>
  <si>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</si>
  <si>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</si>
  <si>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</si>
  <si>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</si>
  <si>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</si>
  <si>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</si>
  <si>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</si>
  <si>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</si>
  <si>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</si>
  <si>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</si>
  <si>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</si>
  <si>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</si>
  <si>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</si>
  <si>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</si>
  <si>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</si>
  <si>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</si>
  <si>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</si>
  <si>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</si>
  <si>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</si>
  <si>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</si>
  <si>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</si>
  <si>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</si>
  <si>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</si>
  <si>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</si>
  <si>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</si>
  <si>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</si>
  <si>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</si>
  <si>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</si>
  <si>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</si>
  <si>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</si>
  <si>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</si>
  <si>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</si>
  <si>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</si>
  <si>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</si>
  <si>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</si>
  <si>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</si>
  <si>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</si>
  <si>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</si>
  <si>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</si>
  <si>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</si>
  <si>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</si>
  <si>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</si>
  <si>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</si>
  <si>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</si>
  <si>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</si>
  <si>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</si>
  <si>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</si>
  <si>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</si>
  <si>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</si>
  <si>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</si>
  <si>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</si>
  <si>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</si>
  <si>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</si>
  <si>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</si>
  <si>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</si>
  <si>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</si>
  <si>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</si>
  <si>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</si>
  <si>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</si>
  <si>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</si>
  <si>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</si>
  <si>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</si>
  <si>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</si>
  <si>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</si>
  <si>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</si>
  <si>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</si>
  <si>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</si>
  <si>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</si>
  <si>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</si>
  <si>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</si>
  <si>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</si>
  <si>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</si>
  <si>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</si>
  <si>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</si>
  <si>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</si>
  <si>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</si>
  <si>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</si>
  <si>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</si>
  <si>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</si>
  <si>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</si>
  <si>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</si>
  <si>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</si>
  <si>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</si>
  <si>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</si>
  <si>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</si>
  <si>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</si>
  <si>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</si>
  <si>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</si>
  <si>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</si>
  <si>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</si>
  <si>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</si>
  <si>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</si>
  <si>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</si>
  <si>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</si>
  <si>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</si>
  <si>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</si>
  <si>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</si>
  <si>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</si>
  <si>
    <t>FY25 Guidance: 9.1 - 9.2 billion DKK, 19,5%-20,5% OM, FCF: 0,8-1 bil</t>
  </si>
  <si>
    <t>Brands</t>
  </si>
  <si>
    <t>Cao, Cohiba, La Gloria Cubana, Petit, etc.</t>
  </si>
  <si>
    <t>Balmoral,Cubero, La Paz, Panter, etc.</t>
  </si>
  <si>
    <t>XQS, Ström, Ace, Grit</t>
  </si>
  <si>
    <t>FY18</t>
  </si>
  <si>
    <t>Smoking and Pipe Tobacco, Accessoires</t>
  </si>
  <si>
    <t>Key Brands Europe: La Paz, Panter, Meharis, Signature</t>
  </si>
  <si>
    <t>Key Brands North America: Tiedemanns, Cao, Cohiba, Macunado</t>
  </si>
  <si>
    <t xml:space="preserve">Captain Black, Punch </t>
  </si>
  <si>
    <t>North America Online &amp; Retail Brands: diesel, Mark Twain, Ave Maria</t>
  </si>
  <si>
    <t>FY17</t>
  </si>
  <si>
    <t>ROE</t>
  </si>
  <si>
    <t>Invested Capital</t>
  </si>
  <si>
    <t>Total Funds Invested</t>
  </si>
  <si>
    <t>ROA</t>
  </si>
  <si>
    <t>Capital Employed</t>
  </si>
  <si>
    <t>ROCE</t>
  </si>
  <si>
    <t>History</t>
  </si>
  <si>
    <t>Founded 1750</t>
  </si>
  <si>
    <t>Merged in 2010 with Swedish Match Cigars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</si>
</sst>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6" formatCode="#,##0.0"/>
    <numFmt numFmtId="167" formatCode="0.0%"/>
    <numFmt numFmtId="168" formatCode="&quot;FY&quot;0&quot;A&quot;"/>
    <numFmt numFmtId="169" formatCode="#,##0.0;[Red]#,##0.0"/>
    <numFmt numFmtId="170" formatCode="0.0"/>
  </numFmts>
  <fonts count="13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2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6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7" fontId="0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7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7" fontId="10" fillId="0" borderId="0" xfId="2" applyNumberFormat="1" applyFont="1"/>
    <xf numFmtId="167" fontId="10" fillId="0" borderId="0" xfId="0" applyNumberFormat="1" applyFont="1"/>
    <xf numFmtId="169" fontId="6" fillId="5" borderId="4" xfId="0" applyNumberFormat="1" applyFont="1" applyFill="1" applyBorder="1"/>
    <xf numFmtId="169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69" fontId="0" fillId="0" borderId="0" xfId="0" applyNumberFormat="1"/>
    <xf numFmtId="0" fontId="0" fillId="0" borderId="0" xfId="0" quotePrefix="1"/>
    <xf numFmtId="169" fontId="0" fillId="0" borderId="10" xfId="0" applyNumberFormat="1" applyBorder="1"/>
    <xf numFmtId="169" fontId="0" fillId="0" borderId="10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/>
    <xf numFmtId="169" fontId="0" fillId="0" borderId="2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0" fontId="0" fillId="6" borderId="4" xfId="0" applyFill="1" applyBorder="1"/>
    <xf numFmtId="2" fontId="11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0" fontId="0" fillId="0" borderId="0" xfId="0" applyNumberFormat="1"/>
    <xf numFmtId="170" fontId="6" fillId="0" borderId="0" xfId="0" applyNumberFormat="1" applyFont="1"/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  <xf numFmtId="165" fontId="0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1</xdr:rowOff>
    </xdr:from>
    <xdr:to>
      <xdr:col>4</xdr:col>
      <xdr:colOff>41137</xdr:colOff>
      <xdr:row>32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15</xdr:col>
      <xdr:colOff>29770</xdr:colOff>
      <xdr:row>51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0C33167-272C-4E0C-8732-ACA733750BD3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5-11-16T11:33:09.35" personId="{10C33167-272C-4E0C-8732-ACA733750BD3}" id="{5C9504E1-4EE8-490C-9943-0CDEEA70D87B}">
    <text>Accessoires and Contract Manufacturing</text>
  </threadedComment>
  <threadedComment ref="R8" dT="2025-11-16T11:33:29.05" personId="{10C33167-272C-4E0C-8732-ACA733750BD3}" id="{7F70D672-7BA8-4A02-A1F8-509A8E4A96A4}">
    <text>Changed reporting from Accessires to Next Gen</text>
  </threadedComment>
  <threadedComment ref="O82" dT="2025-11-16T11:45:23.70" personId="{10C33167-272C-4E0C-8732-ACA733750BD3}" id="{301E1A6D-A607-4725-84D3-35AEB480AC53}">
    <text>Roayl Agio Cigars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35"/>
  <sheetViews>
    <sheetView tabSelected="1" zoomScale="200" zoomScaleNormal="200" workbookViewId="0">
      <selection activeCell="B20" sqref="B20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86.5</v>
      </c>
    </row>
    <row r="3" spans="1:11" x14ac:dyDescent="0.2">
      <c r="I3" t="s">
        <v>3</v>
      </c>
      <c r="J3" s="6">
        <v>78.875</v>
      </c>
      <c r="K3" s="5" t="s">
        <v>18</v>
      </c>
    </row>
    <row r="4" spans="1:11" x14ac:dyDescent="0.2">
      <c r="B4" s="1" t="s">
        <v>8</v>
      </c>
      <c r="I4" t="s">
        <v>4</v>
      </c>
      <c r="J4" s="6">
        <f>+J2*J3</f>
        <v>6822.6875</v>
      </c>
    </row>
    <row r="5" spans="1:11" x14ac:dyDescent="0.2">
      <c r="I5" t="s">
        <v>5</v>
      </c>
      <c r="J5" s="6">
        <v>97.5</v>
      </c>
      <c r="K5" s="5" t="s">
        <v>18</v>
      </c>
    </row>
    <row r="6" spans="1:11" x14ac:dyDescent="0.2">
      <c r="B6" s="9" t="s">
        <v>49</v>
      </c>
      <c r="C6" s="10"/>
      <c r="D6" s="10" t="s">
        <v>169</v>
      </c>
      <c r="E6" s="10"/>
      <c r="F6" s="11"/>
      <c r="I6" t="s">
        <v>6</v>
      </c>
      <c r="J6" s="6">
        <f>3954.9+1150</f>
        <v>5104.8999999999996</v>
      </c>
      <c r="K6" s="5" t="s">
        <v>18</v>
      </c>
    </row>
    <row r="7" spans="1:11" x14ac:dyDescent="0.2">
      <c r="B7" s="12" t="s">
        <v>35</v>
      </c>
      <c r="C7" s="13"/>
      <c r="D7" s="13" t="s">
        <v>170</v>
      </c>
      <c r="E7" s="13"/>
      <c r="F7" s="14"/>
      <c r="I7" t="s">
        <v>7</v>
      </c>
      <c r="J7" s="6">
        <f>+J4-J5+J6</f>
        <v>11830.0875</v>
      </c>
    </row>
    <row r="8" spans="1:11" x14ac:dyDescent="0.2">
      <c r="B8" s="15" t="s">
        <v>36</v>
      </c>
      <c r="D8" t="s">
        <v>171</v>
      </c>
      <c r="F8" s="16"/>
    </row>
    <row r="9" spans="1:11" x14ac:dyDescent="0.2">
      <c r="B9" s="15" t="s">
        <v>37</v>
      </c>
      <c r="D9" t="s">
        <v>172</v>
      </c>
      <c r="F9" s="16"/>
    </row>
    <row r="10" spans="1:11" x14ac:dyDescent="0.2">
      <c r="B10" s="17" t="s">
        <v>38</v>
      </c>
      <c r="C10" s="18"/>
      <c r="D10" s="18" t="s">
        <v>174</v>
      </c>
      <c r="E10" s="18"/>
      <c r="F10" s="19"/>
      <c r="I10" t="s">
        <v>39</v>
      </c>
    </row>
    <row r="11" spans="1:11" x14ac:dyDescent="0.2">
      <c r="I11" t="s">
        <v>48</v>
      </c>
    </row>
    <row r="12" spans="1:11" x14ac:dyDescent="0.2">
      <c r="B12" s="4" t="s">
        <v>10</v>
      </c>
    </row>
    <row r="13" spans="1:11" x14ac:dyDescent="0.2">
      <c r="B13" t="s">
        <v>11</v>
      </c>
      <c r="I13" t="s">
        <v>51</v>
      </c>
    </row>
    <row r="14" spans="1:11" x14ac:dyDescent="0.2">
      <c r="B14" t="s">
        <v>175</v>
      </c>
      <c r="I14" s="20">
        <v>10219</v>
      </c>
    </row>
    <row r="15" spans="1:11" x14ac:dyDescent="0.2">
      <c r="B15" t="s">
        <v>176</v>
      </c>
    </row>
    <row r="16" spans="1:11" x14ac:dyDescent="0.2">
      <c r="B16" t="s">
        <v>177</v>
      </c>
      <c r="I16" t="s">
        <v>187</v>
      </c>
    </row>
    <row r="17" spans="2:2" x14ac:dyDescent="0.2">
      <c r="B17" t="s">
        <v>178</v>
      </c>
    </row>
    <row r="18" spans="2:2" x14ac:dyDescent="0.2">
      <c r="B18" t="s">
        <v>186</v>
      </c>
    </row>
    <row r="19" spans="2:2" x14ac:dyDescent="0.2">
      <c r="B19" t="s">
        <v>188</v>
      </c>
    </row>
    <row r="22" spans="2:2" x14ac:dyDescent="0.2">
      <c r="B22" t="s">
        <v>168</v>
      </c>
    </row>
    <row r="35" spans="2:2" x14ac:dyDescent="0.2">
      <c r="B35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L455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" sqref="F1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4" x14ac:dyDescent="0.2">
      <c r="A1" s="1" t="s">
        <v>9</v>
      </c>
    </row>
    <row r="2" spans="1:64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K2" s="5"/>
      <c r="L2" s="5" t="s">
        <v>179</v>
      </c>
      <c r="M2" s="5" t="s">
        <v>173</v>
      </c>
      <c r="N2" s="5" t="s">
        <v>45</v>
      </c>
      <c r="O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</row>
    <row r="3" spans="1:64" x14ac:dyDescent="0.2">
      <c r="B3" t="s">
        <v>104</v>
      </c>
      <c r="C3" s="6"/>
      <c r="D3" s="6"/>
      <c r="E3" s="6"/>
      <c r="F3" s="6"/>
      <c r="G3" s="6"/>
      <c r="H3" s="6"/>
      <c r="I3" s="6"/>
      <c r="J3" s="6"/>
      <c r="K3" s="6"/>
      <c r="L3" s="6">
        <v>2933.4</v>
      </c>
      <c r="M3" s="6">
        <v>3443.2</v>
      </c>
      <c r="N3" s="6">
        <v>3639.9</v>
      </c>
      <c r="O3" s="6">
        <v>4138.8</v>
      </c>
      <c r="P3" s="6">
        <v>4328.2</v>
      </c>
      <c r="Q3" s="6">
        <v>4715.3</v>
      </c>
      <c r="R3" s="6">
        <v>4745.8</v>
      </c>
      <c r="S3" s="6">
        <v>4911.8999999999996</v>
      </c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</row>
    <row r="4" spans="1:64" x14ac:dyDescent="0.2">
      <c r="B4" t="s">
        <v>105</v>
      </c>
      <c r="C4" s="6"/>
      <c r="D4" s="6"/>
      <c r="E4" s="6"/>
      <c r="F4" s="6"/>
      <c r="G4" s="6"/>
      <c r="H4" s="6"/>
      <c r="I4" s="6"/>
      <c r="J4" s="6"/>
      <c r="K4" s="6"/>
      <c r="L4" s="6">
        <v>2843.5</v>
      </c>
      <c r="M4" s="6">
        <v>2726.5</v>
      </c>
      <c r="N4" s="6">
        <v>2589.6999999999998</v>
      </c>
      <c r="O4" s="6">
        <v>3462.8</v>
      </c>
      <c r="P4" s="6">
        <v>3445.4</v>
      </c>
      <c r="Q4" s="6">
        <v>3418.2</v>
      </c>
      <c r="R4" s="6">
        <v>3459.6</v>
      </c>
      <c r="S4" s="6">
        <v>3756.2</v>
      </c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</row>
    <row r="5" spans="1:64" x14ac:dyDescent="0.2">
      <c r="B5" t="s">
        <v>106</v>
      </c>
      <c r="C5" s="6"/>
      <c r="D5" s="6"/>
      <c r="E5" s="6"/>
      <c r="F5" s="6"/>
      <c r="G5" s="6"/>
      <c r="H5" s="6"/>
      <c r="I5" s="6"/>
      <c r="J5" s="6"/>
      <c r="K5" s="6"/>
      <c r="L5" s="6">
        <v>686</v>
      </c>
      <c r="M5" s="6">
        <v>547.79999999999995</v>
      </c>
      <c r="N5" s="6">
        <v>489.4</v>
      </c>
      <c r="O5" s="6">
        <v>404.3</v>
      </c>
      <c r="P5" s="6">
        <v>459.1</v>
      </c>
      <c r="Q5" s="6">
        <v>628.70000000000005</v>
      </c>
      <c r="R5" s="6">
        <v>525.5</v>
      </c>
      <c r="S5" s="6">
        <v>534</v>
      </c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</row>
    <row r="6" spans="1:64" x14ac:dyDescent="0.2">
      <c r="B6" t="s">
        <v>35</v>
      </c>
      <c r="C6" s="6"/>
      <c r="D6" s="6"/>
      <c r="E6" s="6"/>
      <c r="F6" s="6"/>
      <c r="G6" s="6"/>
      <c r="H6" s="6"/>
      <c r="I6" s="6"/>
      <c r="J6" s="6"/>
      <c r="K6" s="6"/>
      <c r="L6" s="6">
        <v>1920.7</v>
      </c>
      <c r="M6" s="6">
        <v>2375.6999999999998</v>
      </c>
      <c r="N6" s="6">
        <v>2562.5</v>
      </c>
      <c r="O6" s="6">
        <v>2878.7</v>
      </c>
      <c r="P6" s="6">
        <v>3035</v>
      </c>
      <c r="Q6" s="6">
        <v>3302.2</v>
      </c>
      <c r="R6" s="6">
        <v>3235.9</v>
      </c>
      <c r="S6" s="6">
        <v>3299.5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</row>
    <row r="7" spans="1:64" x14ac:dyDescent="0.2">
      <c r="B7" t="s">
        <v>36</v>
      </c>
      <c r="C7" s="6"/>
      <c r="D7" s="6"/>
      <c r="E7" s="6"/>
      <c r="F7" s="6"/>
      <c r="G7" s="6"/>
      <c r="H7" s="6"/>
      <c r="I7" s="6"/>
      <c r="J7" s="6"/>
      <c r="K7" s="6"/>
      <c r="L7" s="6">
        <v>2491.5</v>
      </c>
      <c r="M7" s="6">
        <v>2366.6999999999998</v>
      </c>
      <c r="N7" s="6">
        <v>2223.1</v>
      </c>
      <c r="O7" s="6">
        <v>2894.8</v>
      </c>
      <c r="P7" s="6">
        <v>2918.8</v>
      </c>
      <c r="Q7" s="6">
        <v>3009.8</v>
      </c>
      <c r="R7" s="6">
        <v>4294.5</v>
      </c>
      <c r="S7" s="6">
        <v>4431.2</v>
      </c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</row>
    <row r="8" spans="1:64" x14ac:dyDescent="0.2">
      <c r="B8" t="s">
        <v>37</v>
      </c>
      <c r="C8" s="6"/>
      <c r="D8" s="6"/>
      <c r="E8" s="6"/>
      <c r="F8" s="6"/>
      <c r="G8" s="6"/>
      <c r="H8" s="6"/>
      <c r="I8" s="6"/>
      <c r="J8" s="6"/>
      <c r="K8" s="6"/>
      <c r="L8" s="6">
        <f>544.3+597.9</f>
        <v>1142.1999999999998</v>
      </c>
      <c r="M8" s="6">
        <f>478.2+561.6</f>
        <v>1039.8</v>
      </c>
      <c r="N8" s="6">
        <v>1005.4</v>
      </c>
      <c r="O8" s="6">
        <v>1144.2</v>
      </c>
      <c r="P8" s="6">
        <v>1206.2</v>
      </c>
      <c r="Q8" s="6">
        <v>1279.5</v>
      </c>
      <c r="R8" s="6">
        <v>193.3</v>
      </c>
      <c r="S8" s="6">
        <v>420.9</v>
      </c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</row>
    <row r="9" spans="1:64" x14ac:dyDescent="0.2">
      <c r="B9" t="s">
        <v>38</v>
      </c>
      <c r="C9" s="6"/>
      <c r="D9" s="6"/>
      <c r="E9" s="6"/>
      <c r="F9" s="6"/>
      <c r="G9" s="6"/>
      <c r="H9" s="6"/>
      <c r="I9" s="6"/>
      <c r="J9" s="6"/>
      <c r="K9" s="6"/>
      <c r="L9" s="6">
        <v>909.1</v>
      </c>
      <c r="M9" s="6">
        <v>935.3</v>
      </c>
      <c r="N9" s="6">
        <v>928</v>
      </c>
      <c r="O9" s="6">
        <v>1088.2</v>
      </c>
      <c r="P9" s="6">
        <v>1072.5999999999999</v>
      </c>
      <c r="Q9" s="6">
        <v>1170.7</v>
      </c>
      <c r="R9" s="6">
        <v>1007.2</v>
      </c>
      <c r="S9" s="6">
        <v>1050.5</v>
      </c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</row>
    <row r="10" spans="1:64" s="2" customFormat="1" x14ac:dyDescent="0.2">
      <c r="A10"/>
      <c r="B10" s="2" t="s">
        <v>20</v>
      </c>
      <c r="C10" s="7">
        <v>1948.3</v>
      </c>
      <c r="D10" s="7">
        <v>2365.8000000000002</v>
      </c>
      <c r="E10" s="7">
        <v>2430.5</v>
      </c>
      <c r="F10" s="7">
        <f>+S10-SUM(C10:E10)</f>
        <v>2457.5</v>
      </c>
      <c r="G10" s="7">
        <v>1973.7</v>
      </c>
      <c r="H10" s="7">
        <v>2361.4</v>
      </c>
      <c r="I10" s="7">
        <v>2357.3000000000002</v>
      </c>
      <c r="J10" s="7"/>
      <c r="K10" s="7"/>
      <c r="L10" s="7">
        <v>6463.5</v>
      </c>
      <c r="M10" s="7">
        <v>6717.5</v>
      </c>
      <c r="N10" s="7">
        <v>6719</v>
      </c>
      <c r="O10" s="7">
        <v>8005.9</v>
      </c>
      <c r="P10" s="7">
        <v>8232.7000000000007</v>
      </c>
      <c r="Q10" s="7">
        <v>8762.2000000000007</v>
      </c>
      <c r="R10" s="7">
        <v>8730.9</v>
      </c>
      <c r="S10" s="7">
        <v>9202.1</v>
      </c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</row>
    <row r="11" spans="1:64" x14ac:dyDescent="0.2">
      <c r="B11" t="s">
        <v>21</v>
      </c>
      <c r="C11" s="6">
        <v>1067.0999999999999</v>
      </c>
      <c r="D11" s="6">
        <v>1256.5999999999999</v>
      </c>
      <c r="E11" s="6">
        <v>1304.5</v>
      </c>
      <c r="F11" s="81">
        <f>+S11-SUM(C11:E11)</f>
        <v>1295.4000000000005</v>
      </c>
      <c r="G11" s="6">
        <v>1107</v>
      </c>
      <c r="H11" s="6">
        <v>1298</v>
      </c>
      <c r="I11" s="6">
        <v>1307.0999999999999</v>
      </c>
      <c r="J11" s="6"/>
      <c r="K11" s="6"/>
      <c r="L11" s="6">
        <v>3368.2</v>
      </c>
      <c r="M11" s="6">
        <v>3516.6</v>
      </c>
      <c r="N11" s="6">
        <v>3576.5</v>
      </c>
      <c r="O11" s="6">
        <v>4293.7</v>
      </c>
      <c r="P11" s="6">
        <v>4119.6000000000004</v>
      </c>
      <c r="Q11" s="6">
        <v>4454.8999999999996</v>
      </c>
      <c r="R11" s="6">
        <v>4526.8</v>
      </c>
      <c r="S11" s="6">
        <v>4923.6000000000004</v>
      </c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</row>
    <row r="12" spans="1:64" x14ac:dyDescent="0.2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1126</v>
      </c>
      <c r="F12" s="6">
        <f t="shared" si="0"/>
        <v>1162.0999999999995</v>
      </c>
      <c r="G12" s="6">
        <f t="shared" si="0"/>
        <v>866.7</v>
      </c>
      <c r="H12" s="6">
        <f>+H10-H11</f>
        <v>1063.4000000000001</v>
      </c>
      <c r="I12" s="6">
        <f>+I10-I11</f>
        <v>1050.2000000000003</v>
      </c>
      <c r="J12" s="6"/>
      <c r="K12" s="6"/>
      <c r="L12" s="6">
        <f t="shared" ref="L12:M12" si="1">+L10-L11</f>
        <v>3095.3</v>
      </c>
      <c r="M12" s="6">
        <f t="shared" si="1"/>
        <v>3200.9</v>
      </c>
      <c r="N12" s="6">
        <f>+N10-N11</f>
        <v>3142.5</v>
      </c>
      <c r="O12" s="6">
        <f>+O10-O11</f>
        <v>3712.2</v>
      </c>
      <c r="P12" s="6">
        <f>+P10-P11</f>
        <v>4113.1000000000004</v>
      </c>
      <c r="Q12" s="6">
        <f>+Q10-Q11</f>
        <v>4307.3000000000011</v>
      </c>
      <c r="R12" s="6">
        <f>+R10-R11</f>
        <v>4204.0999999999995</v>
      </c>
      <c r="S12" s="6">
        <f>+S10-S11</f>
        <v>4278.5</v>
      </c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</row>
    <row r="13" spans="1:64" x14ac:dyDescent="0.2">
      <c r="B13" t="s">
        <v>23</v>
      </c>
      <c r="C13" s="6">
        <v>295.7</v>
      </c>
      <c r="D13" s="6">
        <v>288.7</v>
      </c>
      <c r="E13" s="6">
        <v>293.8</v>
      </c>
      <c r="F13" s="81">
        <f>+S13-SUM(C13:E13)</f>
        <v>312.59999999999991</v>
      </c>
      <c r="G13" s="6">
        <v>285.89999999999998</v>
      </c>
      <c r="H13" s="6">
        <v>277</v>
      </c>
      <c r="I13" s="6">
        <v>317.60000000000002</v>
      </c>
      <c r="J13" s="6"/>
      <c r="K13" s="6"/>
      <c r="L13" s="6">
        <v>1141.5</v>
      </c>
      <c r="M13" s="6">
        <v>1206.5</v>
      </c>
      <c r="N13" s="6">
        <v>898.3</v>
      </c>
      <c r="O13" s="6">
        <v>1007.9</v>
      </c>
      <c r="P13" s="6">
        <v>1052.9000000000001</v>
      </c>
      <c r="Q13" s="6">
        <v>1126.4000000000001</v>
      </c>
      <c r="R13" s="6">
        <v>1142.5999999999999</v>
      </c>
      <c r="S13" s="6">
        <v>1190.8</v>
      </c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</row>
    <row r="14" spans="1:64" x14ac:dyDescent="0.2">
      <c r="B14" t="s">
        <v>34</v>
      </c>
      <c r="C14" s="6">
        <v>254.3</v>
      </c>
      <c r="D14" s="6">
        <v>255.8</v>
      </c>
      <c r="E14" s="6">
        <v>272.89999999999998</v>
      </c>
      <c r="F14" s="81">
        <f>+S14-SUM(C14:E14)</f>
        <v>274.20000000000005</v>
      </c>
      <c r="G14" s="6">
        <v>274.89999999999998</v>
      </c>
      <c r="H14" s="6">
        <v>294.2</v>
      </c>
      <c r="I14" s="6">
        <v>232.9</v>
      </c>
      <c r="J14" s="6"/>
      <c r="K14" s="6"/>
      <c r="L14" s="6">
        <v>735.5</v>
      </c>
      <c r="M14" s="6">
        <v>905.7</v>
      </c>
      <c r="N14" s="6">
        <v>737.1</v>
      </c>
      <c r="O14" s="6">
        <v>878.4</v>
      </c>
      <c r="P14" s="6">
        <v>858.4</v>
      </c>
      <c r="Q14" s="6">
        <v>910.9</v>
      </c>
      <c r="R14" s="6">
        <v>968</v>
      </c>
      <c r="S14" s="6">
        <v>1057.2</v>
      </c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</row>
    <row r="15" spans="1:64" x14ac:dyDescent="0.2">
      <c r="B15" t="s">
        <v>24</v>
      </c>
      <c r="C15" s="6">
        <v>3.6</v>
      </c>
      <c r="D15" s="6">
        <v>15.8</v>
      </c>
      <c r="E15" s="6">
        <v>8.4</v>
      </c>
      <c r="F15" s="81">
        <f>+S15-SUM(C15:E15)</f>
        <v>20.699999999999996</v>
      </c>
      <c r="G15" s="6">
        <v>11.1</v>
      </c>
      <c r="H15" s="6">
        <v>6.9</v>
      </c>
      <c r="I15" s="6">
        <v>18.899999999999999</v>
      </c>
      <c r="J15" s="6"/>
      <c r="K15" s="6"/>
      <c r="L15" s="6">
        <v>13.4</v>
      </c>
      <c r="M15" s="6">
        <v>0</v>
      </c>
      <c r="N15" s="6">
        <v>5.9</v>
      </c>
      <c r="O15" s="6">
        <v>0</v>
      </c>
      <c r="P15" s="6">
        <v>31</v>
      </c>
      <c r="Q15" s="6">
        <v>0</v>
      </c>
      <c r="R15" s="6">
        <v>12.2</v>
      </c>
      <c r="S15" s="6">
        <v>48.5</v>
      </c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</row>
    <row r="16" spans="1:64" x14ac:dyDescent="0.2">
      <c r="B16" t="s">
        <v>25</v>
      </c>
      <c r="C16" s="6">
        <f>53.1+43.9+29.8</f>
        <v>126.8</v>
      </c>
      <c r="D16" s="6">
        <f>54.1+44.2+52.8</f>
        <v>151.10000000000002</v>
      </c>
      <c r="E16" s="6">
        <f>68.9+48.9+48.8</f>
        <v>166.60000000000002</v>
      </c>
      <c r="F16" s="81">
        <f>+S16-SUM(C16:E16)</f>
        <v>254.2999999999999</v>
      </c>
      <c r="G16" s="6">
        <f>63+48.3+69.8</f>
        <v>181.1</v>
      </c>
      <c r="H16" s="6">
        <f>61.4+49+34.7</f>
        <v>145.10000000000002</v>
      </c>
      <c r="I16" s="6">
        <f>61.2+50.1+41.3</f>
        <v>152.60000000000002</v>
      </c>
      <c r="J16" s="6"/>
      <c r="K16" s="6"/>
      <c r="L16" s="6">
        <f>148.2+170.5</f>
        <v>318.7</v>
      </c>
      <c r="M16" s="6">
        <f>127.1+224.1</f>
        <v>351.2</v>
      </c>
      <c r="N16" s="6">
        <f>215.1+187.3+133.4</f>
        <v>535.79999999999995</v>
      </c>
      <c r="O16" s="6">
        <f>238.1+167+435.2</f>
        <v>840.3</v>
      </c>
      <c r="P16" s="6">
        <f>202.7+161.2+54.7</f>
        <v>418.59999999999997</v>
      </c>
      <c r="Q16" s="6">
        <f>183.8+168.5-35.3</f>
        <v>317</v>
      </c>
      <c r="R16" s="6">
        <f>201+174+92.4</f>
        <v>467.4</v>
      </c>
      <c r="S16" s="6">
        <f>236.3+183.5+279</f>
        <v>698.8</v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</row>
    <row r="17" spans="2:64" x14ac:dyDescent="0.2">
      <c r="B17" t="s">
        <v>26</v>
      </c>
      <c r="C17" s="6">
        <f t="shared" ref="C17:G17" si="2">+C12-SUM(C13:C14,C16)+C15</f>
        <v>208.00000000000009</v>
      </c>
      <c r="D17" s="6">
        <f t="shared" si="2"/>
        <v>429.40000000000026</v>
      </c>
      <c r="E17" s="6">
        <f t="shared" si="2"/>
        <v>401.09999999999991</v>
      </c>
      <c r="F17" s="6">
        <f t="shared" si="2"/>
        <v>341.69999999999953</v>
      </c>
      <c r="G17" s="6">
        <f t="shared" si="2"/>
        <v>135.90000000000006</v>
      </c>
      <c r="H17" s="6">
        <f>+H12-SUM(H13:H14,H16)+H15</f>
        <v>354</v>
      </c>
      <c r="I17" s="6">
        <f>+I12-SUM(I13:I14,I16)+I15</f>
        <v>366.00000000000023</v>
      </c>
      <c r="J17" s="6"/>
      <c r="K17" s="6"/>
      <c r="L17" s="6">
        <f>+L12-SUM(L13:L14,L16)+L15</f>
        <v>913.00000000000034</v>
      </c>
      <c r="M17" s="6">
        <f t="shared" ref="L17:S17" si="3">+M12-SUM(M13:M14,M16)+M15</f>
        <v>737.50000000000045</v>
      </c>
      <c r="N17" s="6">
        <f t="shared" si="3"/>
        <v>977.20000000000016</v>
      </c>
      <c r="O17" s="6">
        <f t="shared" si="3"/>
        <v>985.59999999999991</v>
      </c>
      <c r="P17" s="6">
        <f t="shared" si="3"/>
        <v>1814.2000000000003</v>
      </c>
      <c r="Q17" s="6">
        <f t="shared" si="3"/>
        <v>1953.0000000000009</v>
      </c>
      <c r="R17" s="6">
        <f t="shared" si="3"/>
        <v>1638.2999999999995</v>
      </c>
      <c r="S17" s="6">
        <f t="shared" si="3"/>
        <v>1380.1999999999998</v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</row>
    <row r="18" spans="2:64" x14ac:dyDescent="0.2">
      <c r="B18" t="s">
        <v>27</v>
      </c>
      <c r="C18" s="6">
        <v>5.0999999999999996</v>
      </c>
      <c r="D18" s="6">
        <v>8.3000000000000007</v>
      </c>
      <c r="E18" s="6">
        <v>7.5</v>
      </c>
      <c r="F18" s="81">
        <f>+S18-SUM(C18:E18)</f>
        <v>4.5</v>
      </c>
      <c r="G18" s="6">
        <v>3.9</v>
      </c>
      <c r="H18" s="6">
        <v>7.8</v>
      </c>
      <c r="I18" s="6">
        <v>6.7</v>
      </c>
      <c r="J18" s="6"/>
      <c r="K18" s="6"/>
      <c r="L18" s="6">
        <v>16.100000000000001</v>
      </c>
      <c r="M18" s="6">
        <v>16.7</v>
      </c>
      <c r="N18" s="6">
        <v>16.7</v>
      </c>
      <c r="O18" s="6">
        <v>18.7</v>
      </c>
      <c r="P18" s="6">
        <v>31.5</v>
      </c>
      <c r="Q18" s="6">
        <v>40.4</v>
      </c>
      <c r="R18" s="6">
        <v>29.4</v>
      </c>
      <c r="S18" s="6">
        <v>25.4</v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</row>
    <row r="19" spans="2:64" x14ac:dyDescent="0.2">
      <c r="B19" t="s">
        <v>28</v>
      </c>
      <c r="C19" s="6">
        <v>15</v>
      </c>
      <c r="D19" s="6">
        <v>16</v>
      </c>
      <c r="E19" s="6">
        <v>52.8</v>
      </c>
      <c r="F19" s="81">
        <f>+S19-SUM(C19:E19)</f>
        <v>46.399999999999991</v>
      </c>
      <c r="G19" s="6">
        <v>16.100000000000001</v>
      </c>
      <c r="H19" s="6">
        <v>18.899999999999999</v>
      </c>
      <c r="I19" s="6">
        <v>8.5</v>
      </c>
      <c r="J19" s="6"/>
      <c r="K19" s="6"/>
      <c r="L19" s="6">
        <v>23.5</v>
      </c>
      <c r="M19" s="6">
        <v>55</v>
      </c>
      <c r="N19" s="6">
        <v>46.6</v>
      </c>
      <c r="O19" s="6">
        <v>81.099999999999994</v>
      </c>
      <c r="P19" s="6">
        <v>75</v>
      </c>
      <c r="Q19" s="6">
        <v>197.3</v>
      </c>
      <c r="R19" s="6">
        <v>184.6</v>
      </c>
      <c r="S19" s="6">
        <v>130.19999999999999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</row>
    <row r="20" spans="2:64" x14ac:dyDescent="0.2">
      <c r="B20" t="s">
        <v>29</v>
      </c>
      <c r="C20" s="6">
        <v>69.2</v>
      </c>
      <c r="D20" s="6">
        <v>68.599999999999994</v>
      </c>
      <c r="E20" s="6">
        <v>78.400000000000006</v>
      </c>
      <c r="F20" s="81">
        <f>+S20-SUM(C20:E20)</f>
        <v>100.29999999999998</v>
      </c>
      <c r="G20" s="6">
        <v>89</v>
      </c>
      <c r="H20" s="6">
        <v>85.9</v>
      </c>
      <c r="I20" s="6">
        <v>86.1</v>
      </c>
      <c r="J20" s="6"/>
      <c r="K20" s="6"/>
      <c r="L20" s="6">
        <v>100.9</v>
      </c>
      <c r="M20" s="6">
        <v>92.4</v>
      </c>
      <c r="N20" s="6">
        <v>91.9</v>
      </c>
      <c r="O20" s="6">
        <v>134</v>
      </c>
      <c r="P20" s="6">
        <v>152.19999999999999</v>
      </c>
      <c r="Q20" s="6">
        <v>334.2</v>
      </c>
      <c r="R20" s="6">
        <v>361.5</v>
      </c>
      <c r="S20" s="6">
        <v>316.5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</row>
    <row r="21" spans="2:64" x14ac:dyDescent="0.2">
      <c r="B21" t="s">
        <v>30</v>
      </c>
      <c r="C21" s="6">
        <f t="shared" ref="C21:G21" si="4">+C17+C18+C19-C20</f>
        <v>158.90000000000009</v>
      </c>
      <c r="D21" s="6">
        <f t="shared" si="4"/>
        <v>385.10000000000025</v>
      </c>
      <c r="E21" s="6">
        <f t="shared" si="4"/>
        <v>382.99999999999989</v>
      </c>
      <c r="F21" s="6">
        <f t="shared" si="4"/>
        <v>292.2999999999995</v>
      </c>
      <c r="G21" s="6">
        <f t="shared" si="4"/>
        <v>66.900000000000063</v>
      </c>
      <c r="H21" s="6">
        <f>+H17+H18+H19-H20</f>
        <v>294.79999999999995</v>
      </c>
      <c r="I21" s="6">
        <f>+I17+I18+I19-I20</f>
        <v>295.10000000000025</v>
      </c>
      <c r="J21" s="6"/>
      <c r="K21" s="6"/>
      <c r="L21" s="6">
        <f t="shared" ref="L21:S21" si="5">+L17+L18+L19-L20</f>
        <v>851.70000000000039</v>
      </c>
      <c r="M21" s="6">
        <f t="shared" si="5"/>
        <v>716.80000000000052</v>
      </c>
      <c r="N21" s="6">
        <f t="shared" si="5"/>
        <v>948.60000000000025</v>
      </c>
      <c r="O21" s="6">
        <f t="shared" si="5"/>
        <v>951.39999999999986</v>
      </c>
      <c r="P21" s="6">
        <f t="shared" si="5"/>
        <v>1768.5000000000002</v>
      </c>
      <c r="Q21" s="6">
        <f t="shared" si="5"/>
        <v>1856.5000000000011</v>
      </c>
      <c r="R21" s="6">
        <f t="shared" si="5"/>
        <v>1490.7999999999995</v>
      </c>
      <c r="S21" s="6">
        <f t="shared" si="5"/>
        <v>1219.3</v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</row>
    <row r="22" spans="2:64" x14ac:dyDescent="0.2">
      <c r="B22" t="s">
        <v>31</v>
      </c>
      <c r="C22" s="6">
        <v>34.1</v>
      </c>
      <c r="D22" s="6">
        <v>88.3</v>
      </c>
      <c r="E22" s="6">
        <v>85.9</v>
      </c>
      <c r="F22" s="81">
        <f>+S22-SUM(C22:E22)</f>
        <v>71.300000000000011</v>
      </c>
      <c r="G22" s="6">
        <v>15.4</v>
      </c>
      <c r="H22" s="6">
        <v>67.8</v>
      </c>
      <c r="I22" s="6">
        <v>67.8</v>
      </c>
      <c r="J22" s="6"/>
      <c r="K22" s="6"/>
      <c r="L22" s="6">
        <v>140.1</v>
      </c>
      <c r="M22" s="6">
        <v>51.3</v>
      </c>
      <c r="N22" s="6">
        <v>200.9</v>
      </c>
      <c r="O22" s="6">
        <v>273.5</v>
      </c>
      <c r="P22" s="6">
        <v>377.9</v>
      </c>
      <c r="Q22" s="6">
        <v>380.2</v>
      </c>
      <c r="R22" s="6">
        <v>308.39999999999998</v>
      </c>
      <c r="S22" s="6">
        <v>279.60000000000002</v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</row>
    <row r="23" spans="2:64" x14ac:dyDescent="0.2">
      <c r="B23" t="s">
        <v>32</v>
      </c>
      <c r="C23" s="6">
        <f t="shared" ref="C23:G23" si="6">+C21-C22</f>
        <v>124.8000000000001</v>
      </c>
      <c r="D23" s="6">
        <f t="shared" si="6"/>
        <v>296.80000000000024</v>
      </c>
      <c r="E23" s="6">
        <f t="shared" si="6"/>
        <v>297.09999999999991</v>
      </c>
      <c r="F23" s="6">
        <f t="shared" si="6"/>
        <v>220.99999999999949</v>
      </c>
      <c r="G23" s="6">
        <f t="shared" si="6"/>
        <v>51.500000000000064</v>
      </c>
      <c r="H23" s="6">
        <f>+H21-H22</f>
        <v>226.99999999999994</v>
      </c>
      <c r="I23" s="6">
        <f>+I21-I22</f>
        <v>227.30000000000024</v>
      </c>
      <c r="J23" s="6"/>
      <c r="K23" s="6"/>
      <c r="L23" s="6">
        <f t="shared" ref="L23:R23" si="7">+L21-L22</f>
        <v>711.60000000000036</v>
      </c>
      <c r="M23" s="6">
        <f t="shared" si="7"/>
        <v>665.50000000000057</v>
      </c>
      <c r="N23" s="6">
        <f t="shared" si="7"/>
        <v>747.70000000000027</v>
      </c>
      <c r="O23" s="6">
        <f t="shared" si="7"/>
        <v>677.89999999999986</v>
      </c>
      <c r="P23" s="6">
        <f t="shared" si="7"/>
        <v>1390.6000000000004</v>
      </c>
      <c r="Q23" s="6">
        <f t="shared" si="7"/>
        <v>1476.3000000000011</v>
      </c>
      <c r="R23" s="6">
        <f t="shared" si="7"/>
        <v>1182.3999999999996</v>
      </c>
      <c r="S23" s="6">
        <f>+S21-S22</f>
        <v>939.69999999999993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</row>
    <row r="24" spans="2:64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</row>
    <row r="25" spans="2:64" x14ac:dyDescent="0.2">
      <c r="B25" t="s">
        <v>33</v>
      </c>
      <c r="C25" s="6">
        <f t="shared" ref="C25:F25" si="8">+C23/C26</f>
        <v>1.4618204818853746</v>
      </c>
      <c r="D25" s="6">
        <f t="shared" si="8"/>
        <v>3.5185053465158767</v>
      </c>
      <c r="E25" s="6">
        <f t="shared" si="8"/>
        <v>3.5759421301589964</v>
      </c>
      <c r="F25" s="6">
        <f t="shared" si="8"/>
        <v>2.6898079404104025</v>
      </c>
      <c r="G25" s="6">
        <f>+G23/G26</f>
        <v>0.65323000038052315</v>
      </c>
      <c r="H25" s="6">
        <f t="shared" ref="H25:J25" si="9">+H23/H26</f>
        <v>2.8787014139876979</v>
      </c>
      <c r="I25" s="6">
        <f t="shared" si="9"/>
        <v>2.8817749603803517</v>
      </c>
      <c r="J25" s="6" t="e">
        <f t="shared" si="9"/>
        <v>#DIV/0!</v>
      </c>
      <c r="K25" s="6"/>
      <c r="L25" s="6">
        <f t="shared" ref="L25:P25" si="10">+L23/L26</f>
        <v>7.1160000000000032</v>
      </c>
      <c r="M25" s="6">
        <f t="shared" si="10"/>
        <v>6.6681362283698942</v>
      </c>
      <c r="N25" s="6">
        <f t="shared" si="10"/>
        <v>7.4814888933360049</v>
      </c>
      <c r="O25" s="6">
        <f t="shared" si="10"/>
        <v>6.8021954866093362</v>
      </c>
      <c r="P25" s="6">
        <f t="shared" ref="P25:R25" si="11">+P23/P26</f>
        <v>14.532495898170119</v>
      </c>
      <c r="Q25" s="6">
        <f t="shared" si="11"/>
        <v>16.249683547787047</v>
      </c>
      <c r="R25" s="6">
        <f t="shared" si="11"/>
        <v>13.642867032814875</v>
      </c>
      <c r="S25" s="6">
        <f>+S23/S26</f>
        <v>11.437160731238283</v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</row>
    <row r="26" spans="2:64" x14ac:dyDescent="0.2">
      <c r="B26" t="s">
        <v>3</v>
      </c>
      <c r="C26" s="6">
        <v>85.373000000000005</v>
      </c>
      <c r="D26" s="6">
        <v>84.353999999999999</v>
      </c>
      <c r="E26" s="6">
        <v>83.082999999999998</v>
      </c>
      <c r="F26" s="6">
        <f>+S26</f>
        <v>82.162000000000006</v>
      </c>
      <c r="G26" s="6">
        <v>78.838999999999999</v>
      </c>
      <c r="H26" s="6">
        <v>78.855000000000004</v>
      </c>
      <c r="I26" s="6">
        <v>78.875</v>
      </c>
      <c r="J26" s="6"/>
      <c r="K26" s="6"/>
      <c r="L26" s="6">
        <f>+KPI!C4</f>
        <v>100</v>
      </c>
      <c r="M26" s="6">
        <f>+KPI!D4</f>
        <v>99.802999999999997</v>
      </c>
      <c r="N26" s="6">
        <f>+KPI!E4</f>
        <v>99.94</v>
      </c>
      <c r="O26" s="6">
        <f>+KPI!F4</f>
        <v>99.659000000000006</v>
      </c>
      <c r="P26" s="6">
        <v>95.688999999999993</v>
      </c>
      <c r="Q26" s="6">
        <v>90.850999999999999</v>
      </c>
      <c r="R26" s="6">
        <v>86.668000000000006</v>
      </c>
      <c r="S26" s="6">
        <v>82.162000000000006</v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</row>
    <row r="27" spans="2:64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</row>
    <row r="28" spans="2:64" x14ac:dyDescent="0.2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21">
        <f t="shared" ref="M28:M32" si="12">+M6/L6-1</f>
        <v>0.23689279950018216</v>
      </c>
      <c r="N28" s="21">
        <f t="shared" ref="N28:N32" si="13">+N6/M6-1</f>
        <v>7.8629456581218227E-2</v>
      </c>
      <c r="O28" s="21">
        <f t="shared" ref="O28:O32" si="14">+O6/N6-1</f>
        <v>0.12339512195121949</v>
      </c>
      <c r="P28" s="21">
        <f t="shared" ref="P28:R32" si="15">+P6/O6-1</f>
        <v>5.4295341647271345E-2</v>
      </c>
      <c r="Q28" s="21">
        <f t="shared" si="15"/>
        <v>8.8039538714991705E-2</v>
      </c>
      <c r="R28" s="21">
        <f t="shared" si="15"/>
        <v>-2.0077524074859077E-2</v>
      </c>
      <c r="S28" s="21">
        <f>+S6/R6-1</f>
        <v>1.9654501066163954E-2</v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</row>
    <row r="29" spans="2:64" x14ac:dyDescent="0.2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21">
        <f t="shared" si="12"/>
        <v>-5.0090307043949456E-2</v>
      </c>
      <c r="N29" s="21">
        <f t="shared" si="13"/>
        <v>-6.0675201757721675E-2</v>
      </c>
      <c r="O29" s="21">
        <f t="shared" si="14"/>
        <v>0.30214565246727565</v>
      </c>
      <c r="P29" s="21">
        <f t="shared" si="15"/>
        <v>8.2907282022937068E-3</v>
      </c>
      <c r="Q29" s="21">
        <f t="shared" si="15"/>
        <v>3.1177196107989635E-2</v>
      </c>
      <c r="R29" s="21">
        <f t="shared" si="15"/>
        <v>0.42683899262409453</v>
      </c>
      <c r="S29" s="21">
        <f t="shared" ref="S29:S32" si="16">+S7/R7-1</f>
        <v>3.1831412271509985E-2</v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</row>
    <row r="30" spans="2:64" x14ac:dyDescent="0.2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21">
        <f t="shared" si="12"/>
        <v>-8.9651549641043493E-2</v>
      </c>
      <c r="N30" s="21">
        <f t="shared" si="13"/>
        <v>-3.3083285247162864E-2</v>
      </c>
      <c r="O30" s="21">
        <f t="shared" si="14"/>
        <v>0.13805450566938537</v>
      </c>
      <c r="P30" s="21">
        <f t="shared" si="15"/>
        <v>5.4186331061003346E-2</v>
      </c>
      <c r="Q30" s="21">
        <f t="shared" si="15"/>
        <v>6.0769358315370559E-2</v>
      </c>
      <c r="R30" s="21">
        <f t="shared" si="15"/>
        <v>-0.84892536146932396</v>
      </c>
      <c r="S30" s="21">
        <f t="shared" si="16"/>
        <v>1.1774443869632694</v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</row>
    <row r="31" spans="2:64" x14ac:dyDescent="0.2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21">
        <f t="shared" si="12"/>
        <v>2.8819711802881898E-2</v>
      </c>
      <c r="N31" s="21">
        <f t="shared" si="13"/>
        <v>-7.8049823586014977E-3</v>
      </c>
      <c r="O31" s="21">
        <f t="shared" si="14"/>
        <v>0.17262931034482754</v>
      </c>
      <c r="P31" s="21">
        <f t="shared" si="15"/>
        <v>-1.4335600073515975E-2</v>
      </c>
      <c r="Q31" s="21">
        <f t="shared" si="15"/>
        <v>9.1460003729256112E-2</v>
      </c>
      <c r="R31" s="21">
        <f t="shared" si="15"/>
        <v>-0.13966003245921244</v>
      </c>
      <c r="S31" s="21">
        <f t="shared" si="16"/>
        <v>4.2990468625893508E-2</v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</row>
    <row r="32" spans="2:64" x14ac:dyDescent="0.2">
      <c r="B32" s="2" t="s">
        <v>111</v>
      </c>
      <c r="C32" s="7"/>
      <c r="D32" s="7"/>
      <c r="E32" s="7"/>
      <c r="F32" s="7"/>
      <c r="G32" s="22">
        <f>+G10/C10-1</f>
        <v>1.3037006621156921E-2</v>
      </c>
      <c r="H32" s="22">
        <f>+H10/D10-1</f>
        <v>-1.8598359962803679E-3</v>
      </c>
      <c r="I32" s="22">
        <f>+I10/E10-1</f>
        <v>-3.0117259823081555E-2</v>
      </c>
      <c r="J32" s="22">
        <f>+J10/F10-1</f>
        <v>-1</v>
      </c>
      <c r="K32" s="22"/>
      <c r="L32" s="6"/>
      <c r="M32" s="22">
        <f t="shared" si="12"/>
        <v>3.9297594182718276E-2</v>
      </c>
      <c r="N32" s="22">
        <f t="shared" si="13"/>
        <v>2.2329735764792247E-4</v>
      </c>
      <c r="O32" s="22">
        <f t="shared" si="14"/>
        <v>0.19153147789849667</v>
      </c>
      <c r="P32" s="22">
        <f t="shared" si="15"/>
        <v>2.8329107283378674E-2</v>
      </c>
      <c r="Q32" s="22">
        <f t="shared" si="15"/>
        <v>6.4316688328251992E-2</v>
      </c>
      <c r="R32" s="22">
        <f t="shared" si="15"/>
        <v>-3.5721622423593447E-3</v>
      </c>
      <c r="S32" s="22">
        <f t="shared" si="16"/>
        <v>5.3969235703077656E-2</v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</row>
    <row r="33" spans="2:64" x14ac:dyDescent="0.2">
      <c r="B33" t="s">
        <v>112</v>
      </c>
      <c r="C33" s="21">
        <f t="shared" ref="C33:H33" si="17">+C12/C10</f>
        <v>0.45229174151824669</v>
      </c>
      <c r="D33" s="21">
        <f t="shared" si="17"/>
        <v>0.46884774706230459</v>
      </c>
      <c r="E33" s="21">
        <f t="shared" si="17"/>
        <v>0.46327916066652952</v>
      </c>
      <c r="F33" s="21">
        <f t="shared" si="17"/>
        <v>0.47287894201424191</v>
      </c>
      <c r="G33" s="21">
        <f t="shared" si="17"/>
        <v>0.439124487004104</v>
      </c>
      <c r="H33" s="21">
        <f t="shared" si="17"/>
        <v>0.450326077750487</v>
      </c>
      <c r="I33" s="21">
        <f t="shared" ref="I33:J33" si="18">+I12/I10</f>
        <v>0.44550969329317447</v>
      </c>
      <c r="J33" s="21" t="e">
        <f t="shared" si="18"/>
        <v>#DIV/0!</v>
      </c>
      <c r="K33" s="21"/>
      <c r="L33" s="6"/>
      <c r="M33" s="21">
        <f t="shared" ref="M33:P33" si="19">+M12/M10</f>
        <v>0.4765016747301824</v>
      </c>
      <c r="N33" s="21">
        <f t="shared" si="19"/>
        <v>0.46770352731061171</v>
      </c>
      <c r="O33" s="21">
        <f t="shared" si="19"/>
        <v>0.46368303376260006</v>
      </c>
      <c r="P33" s="21">
        <f t="shared" ref="P33:R33" si="20">+P12/P10</f>
        <v>0.49960523279118635</v>
      </c>
      <c r="Q33" s="21">
        <f t="shared" si="20"/>
        <v>0.49157745771609879</v>
      </c>
      <c r="R33" s="21">
        <f t="shared" si="20"/>
        <v>0.48151966005795505</v>
      </c>
      <c r="S33" s="21">
        <f>+S12/S10</f>
        <v>0.46494821834146549</v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</row>
    <row r="34" spans="2:64" x14ac:dyDescent="0.2">
      <c r="B34" t="s">
        <v>113</v>
      </c>
      <c r="C34" s="21">
        <f t="shared" ref="C34:H34" si="21">+C17/C10</f>
        <v>0.10675973925986762</v>
      </c>
      <c r="D34" s="21">
        <f t="shared" si="21"/>
        <v>0.18150308563699394</v>
      </c>
      <c r="E34" s="21">
        <f t="shared" si="21"/>
        <v>0.16502777206336142</v>
      </c>
      <c r="F34" s="21">
        <f t="shared" si="21"/>
        <v>0.13904374364191233</v>
      </c>
      <c r="G34" s="21">
        <f t="shared" si="21"/>
        <v>6.8855449156406776E-2</v>
      </c>
      <c r="H34" s="21">
        <f t="shared" si="21"/>
        <v>0.14991106970441262</v>
      </c>
      <c r="I34" s="21">
        <f t="shared" ref="I34:J34" si="22">+I17/I10</f>
        <v>0.15526237644763086</v>
      </c>
      <c r="J34" s="21" t="e">
        <f t="shared" si="22"/>
        <v>#DIV/0!</v>
      </c>
      <c r="K34" s="21"/>
      <c r="L34" s="6"/>
      <c r="M34" s="21">
        <f t="shared" ref="M34:P34" si="23">+M17/M10</f>
        <v>0.10978786751023453</v>
      </c>
      <c r="N34" s="21">
        <f t="shared" si="23"/>
        <v>0.14543830927221316</v>
      </c>
      <c r="O34" s="21">
        <f t="shared" si="23"/>
        <v>0.12310920695986709</v>
      </c>
      <c r="P34" s="21">
        <f t="shared" ref="P34:R34" si="24">+P17/P10</f>
        <v>0.22036512930144425</v>
      </c>
      <c r="Q34" s="21">
        <f t="shared" si="24"/>
        <v>0.22288922873251019</v>
      </c>
      <c r="R34" s="21">
        <f t="shared" si="24"/>
        <v>0.18764388551008482</v>
      </c>
      <c r="S34" s="21">
        <f>+S17/S10</f>
        <v>0.1499875028526097</v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</row>
    <row r="35" spans="2:64" x14ac:dyDescent="0.2">
      <c r="B35" t="s">
        <v>114</v>
      </c>
      <c r="C35" s="21">
        <f t="shared" ref="C35:H35" si="25">+C22/C21</f>
        <v>0.2146003775959722</v>
      </c>
      <c r="D35" s="21">
        <f t="shared" si="25"/>
        <v>0.22929109322253943</v>
      </c>
      <c r="E35" s="21">
        <f t="shared" si="25"/>
        <v>0.22428198433420374</v>
      </c>
      <c r="F35" s="21">
        <f t="shared" si="25"/>
        <v>0.2439274717755735</v>
      </c>
      <c r="G35" s="21">
        <f t="shared" si="25"/>
        <v>0.23019431988041833</v>
      </c>
      <c r="H35" s="21">
        <f t="shared" si="25"/>
        <v>0.22998643147896883</v>
      </c>
      <c r="I35" s="21">
        <f t="shared" ref="I35:J35" si="26">+I22/I21</f>
        <v>0.22975262622839696</v>
      </c>
      <c r="J35" s="21" t="e">
        <f t="shared" si="26"/>
        <v>#DIV/0!</v>
      </c>
      <c r="K35" s="21"/>
      <c r="L35" s="6"/>
      <c r="M35" s="21">
        <f t="shared" ref="M35:P35" si="27">+M22/M21</f>
        <v>7.1568080357142808E-2</v>
      </c>
      <c r="N35" s="21">
        <f t="shared" si="27"/>
        <v>0.21178578958465102</v>
      </c>
      <c r="O35" s="21">
        <f t="shared" si="27"/>
        <v>0.28747109522808495</v>
      </c>
      <c r="P35" s="21">
        <f t="shared" ref="P35:R35" si="28">+P22/P21</f>
        <v>0.21368391292055411</v>
      </c>
      <c r="Q35" s="21">
        <f t="shared" si="28"/>
        <v>0.20479396714247225</v>
      </c>
      <c r="R35" s="21">
        <f t="shared" si="28"/>
        <v>0.2068687952777033</v>
      </c>
      <c r="S35" s="21">
        <f>+S22/S21</f>
        <v>0.22931190027064713</v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</row>
    <row r="36" spans="2:64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</row>
    <row r="37" spans="2:64" x14ac:dyDescent="0.2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>
        <v>4255.8</v>
      </c>
      <c r="M37" s="6">
        <v>4561.8</v>
      </c>
      <c r="N37" s="6">
        <v>4629.8</v>
      </c>
      <c r="O37" s="6">
        <v>4895.1000000000004</v>
      </c>
      <c r="P37" s="6">
        <v>5142.5</v>
      </c>
      <c r="Q37" s="6">
        <v>5331.5</v>
      </c>
      <c r="R37" s="6">
        <v>5235.6000000000004</v>
      </c>
      <c r="S37" s="6">
        <v>5409.9</v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</row>
    <row r="38" spans="2:64" x14ac:dyDescent="0.2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>
        <v>3013.9</v>
      </c>
      <c r="M38" s="6">
        <v>2922.6</v>
      </c>
      <c r="N38" s="6">
        <v>2840.2</v>
      </c>
      <c r="O38" s="6">
        <v>3067.5</v>
      </c>
      <c r="P38" s="6">
        <v>3044.6</v>
      </c>
      <c r="Q38" s="6">
        <v>2987.6</v>
      </c>
      <c r="R38" s="6">
        <v>3226.1</v>
      </c>
      <c r="S38" s="6">
        <v>3224.1</v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</row>
    <row r="39" spans="2:64" x14ac:dyDescent="0.2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>
        <v>99.4</v>
      </c>
      <c r="M39" s="6">
        <v>75.900000000000006</v>
      </c>
      <c r="N39" s="6">
        <v>45.7</v>
      </c>
      <c r="O39" s="6">
        <v>77.900000000000006</v>
      </c>
      <c r="P39" s="6">
        <v>33.700000000000003</v>
      </c>
      <c r="Q39" s="6">
        <v>50.5</v>
      </c>
      <c r="R39" s="6">
        <v>74.400000000000006</v>
      </c>
      <c r="S39" s="6">
        <v>65.3</v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</row>
    <row r="40" spans="2:64" x14ac:dyDescent="0.2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>
        <v>181.9</v>
      </c>
      <c r="M40" s="6">
        <v>308.8</v>
      </c>
      <c r="N40" s="6">
        <v>281.10000000000002</v>
      </c>
      <c r="O40" s="6">
        <v>239.2</v>
      </c>
      <c r="P40" s="6">
        <v>218.9</v>
      </c>
      <c r="Q40" s="6">
        <v>195.1</v>
      </c>
      <c r="R40" s="6">
        <v>404</v>
      </c>
      <c r="S40" s="6">
        <v>400</v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</row>
    <row r="41" spans="2:64" x14ac:dyDescent="0.2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>
        <v>0</v>
      </c>
      <c r="M41" s="6">
        <v>0</v>
      </c>
      <c r="N41" s="6">
        <v>0</v>
      </c>
      <c r="O41" s="6">
        <v>0</v>
      </c>
      <c r="P41" s="6">
        <v>54.7</v>
      </c>
      <c r="Q41" s="6">
        <v>125.4</v>
      </c>
      <c r="R41" s="6">
        <v>183.1</v>
      </c>
      <c r="S41" s="6">
        <v>215.5</v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</row>
    <row r="42" spans="2:64" x14ac:dyDescent="0.2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>
        <v>1217.3</v>
      </c>
      <c r="M42" s="6">
        <v>1219.5</v>
      </c>
      <c r="N42" s="6">
        <v>1098.2</v>
      </c>
      <c r="O42" s="6">
        <v>1200.8</v>
      </c>
      <c r="P42" s="6">
        <v>1261.0999999999999</v>
      </c>
      <c r="Q42" s="6">
        <v>1425.4</v>
      </c>
      <c r="R42" s="6">
        <v>1475.1</v>
      </c>
      <c r="S42" s="6">
        <v>1664.2</v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</row>
    <row r="43" spans="2:64" x14ac:dyDescent="0.2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>
        <v>127.7</v>
      </c>
      <c r="M43" s="6">
        <v>143.69999999999999</v>
      </c>
      <c r="N43" s="6">
        <v>225.5</v>
      </c>
      <c r="O43" s="6">
        <v>204.7</v>
      </c>
      <c r="P43" s="6">
        <v>187.2</v>
      </c>
      <c r="Q43" s="6">
        <v>314.2</v>
      </c>
      <c r="R43" s="6">
        <v>284.60000000000002</v>
      </c>
      <c r="S43" s="6">
        <v>402.3</v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</row>
    <row r="44" spans="2:64" x14ac:dyDescent="0.2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>
        <v>96</v>
      </c>
      <c r="M44" s="6">
        <v>120.2</v>
      </c>
      <c r="N44" s="6">
        <f>155.9+1.7</f>
        <v>157.6</v>
      </c>
      <c r="O44" s="6">
        <v>152</v>
      </c>
      <c r="P44" s="6">
        <v>187.5</v>
      </c>
      <c r="Q44" s="6">
        <v>223.6</v>
      </c>
      <c r="R44" s="6">
        <v>234</v>
      </c>
      <c r="S44" s="6">
        <v>261.89999999999998</v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</row>
    <row r="45" spans="2:64" x14ac:dyDescent="0.2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>
        <v>20.6</v>
      </c>
      <c r="M45" s="6">
        <v>22.3</v>
      </c>
      <c r="N45" s="6">
        <v>136.30000000000001</v>
      </c>
      <c r="O45" s="6">
        <v>129.30000000000001</v>
      </c>
      <c r="P45" s="6">
        <v>130.19999999999999</v>
      </c>
      <c r="Q45" s="6">
        <v>104.6</v>
      </c>
      <c r="R45" s="6">
        <v>93.7</v>
      </c>
      <c r="S45" s="6">
        <v>129.80000000000001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</row>
    <row r="46" spans="2:64" x14ac:dyDescent="0.2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>
        <f t="shared" ref="L46:R46" si="29">+SUM(L37:L45)</f>
        <v>9012.6</v>
      </c>
      <c r="M46" s="6">
        <f t="shared" si="29"/>
        <v>9374.7999999999993</v>
      </c>
      <c r="N46" s="6">
        <f t="shared" si="29"/>
        <v>9414.4</v>
      </c>
      <c r="O46" s="6">
        <f t="shared" si="29"/>
        <v>9966.5</v>
      </c>
      <c r="P46" s="6">
        <f t="shared" si="29"/>
        <v>10260.400000000003</v>
      </c>
      <c r="Q46" s="6">
        <f t="shared" si="29"/>
        <v>10757.900000000001</v>
      </c>
      <c r="R46" s="6">
        <f t="shared" si="29"/>
        <v>11210.600000000002</v>
      </c>
      <c r="S46" s="6">
        <f>+SUM(S37:S45)</f>
        <v>11772.999999999998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</row>
    <row r="47" spans="2:64" x14ac:dyDescent="0.2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>
        <v>2421</v>
      </c>
      <c r="M47" s="6">
        <v>2598.6999999999998</v>
      </c>
      <c r="N47" s="6">
        <v>2530</v>
      </c>
      <c r="O47" s="6">
        <v>2816.3</v>
      </c>
      <c r="P47" s="6">
        <v>2935.9</v>
      </c>
      <c r="Q47" s="6">
        <v>3248.9</v>
      </c>
      <c r="R47" s="6">
        <v>3269.6</v>
      </c>
      <c r="S47" s="6">
        <v>3478.2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</row>
    <row r="48" spans="2:64" x14ac:dyDescent="0.2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>
        <v>712.8</v>
      </c>
      <c r="M48" s="6">
        <v>854.1</v>
      </c>
      <c r="N48" s="6">
        <v>800.6</v>
      </c>
      <c r="O48" s="6">
        <v>830.2</v>
      </c>
      <c r="P48" s="6">
        <v>852.4</v>
      </c>
      <c r="Q48" s="6">
        <v>884.6</v>
      </c>
      <c r="R48" s="6">
        <v>963.7</v>
      </c>
      <c r="S48" s="6">
        <v>1213.7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</row>
    <row r="49" spans="2:64" x14ac:dyDescent="0.2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>
        <v>78.7</v>
      </c>
      <c r="M49" s="6">
        <v>76.7</v>
      </c>
      <c r="N49" s="6">
        <v>93.6</v>
      </c>
      <c r="O49" s="6">
        <v>113.3</v>
      </c>
      <c r="P49" s="6">
        <v>98.8</v>
      </c>
      <c r="Q49" s="6">
        <v>86.4</v>
      </c>
      <c r="R49" s="6">
        <v>113.7</v>
      </c>
      <c r="S49" s="6">
        <v>207</v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</row>
    <row r="50" spans="2:64" x14ac:dyDescent="0.2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>
        <v>76.900000000000006</v>
      </c>
      <c r="M50" s="6">
        <v>121.2</v>
      </c>
      <c r="N50" s="6">
        <v>82</v>
      </c>
      <c r="O50" s="6">
        <v>72.2</v>
      </c>
      <c r="P50" s="6">
        <v>69.5</v>
      </c>
      <c r="Q50" s="6">
        <v>21.4</v>
      </c>
      <c r="R50" s="6">
        <v>63.3</v>
      </c>
      <c r="S50" s="6">
        <v>97.4</v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</row>
    <row r="51" spans="2:64" x14ac:dyDescent="0.2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>
        <v>83.2</v>
      </c>
      <c r="M51" s="6">
        <v>66.8</v>
      </c>
      <c r="N51" s="6">
        <v>53.9</v>
      </c>
      <c r="O51" s="6">
        <f>31.8+48.7</f>
        <v>80.5</v>
      </c>
      <c r="P51" s="6">
        <f>108.5+84.6</f>
        <v>193.1</v>
      </c>
      <c r="Q51" s="6">
        <v>100.7</v>
      </c>
      <c r="R51" s="6">
        <v>132.9</v>
      </c>
      <c r="S51" s="6">
        <v>174.6</v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</row>
    <row r="52" spans="2:64" x14ac:dyDescent="0.2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>
        <v>605.20000000000005</v>
      </c>
      <c r="M52" s="6">
        <v>310.8</v>
      </c>
      <c r="N52" s="6">
        <v>897.5</v>
      </c>
      <c r="O52" s="6">
        <v>117</v>
      </c>
      <c r="P52" s="6">
        <v>173.6</v>
      </c>
      <c r="Q52" s="6">
        <v>22.2</v>
      </c>
      <c r="R52" s="6">
        <v>99.6</v>
      </c>
      <c r="S52" s="6">
        <v>160.1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</row>
    <row r="53" spans="2:64" x14ac:dyDescent="0.2">
      <c r="B53" t="s">
        <v>68</v>
      </c>
      <c r="C53" s="6"/>
      <c r="D53" s="6"/>
      <c r="E53" s="6"/>
      <c r="F53" s="6"/>
      <c r="G53" s="6"/>
      <c r="H53" s="6"/>
      <c r="I53" s="6"/>
      <c r="J53" s="6"/>
      <c r="K53" s="6"/>
      <c r="L53" s="6">
        <f t="shared" ref="L53:Q53" si="30">+SUM(L47:L52)</f>
        <v>3977.8</v>
      </c>
      <c r="M53" s="6">
        <f t="shared" si="30"/>
        <v>4028.2999999999997</v>
      </c>
      <c r="N53" s="6">
        <f t="shared" si="30"/>
        <v>4457.6000000000004</v>
      </c>
      <c r="O53" s="6">
        <f t="shared" si="30"/>
        <v>4029.5</v>
      </c>
      <c r="P53" s="6">
        <f t="shared" si="30"/>
        <v>4323.3000000000011</v>
      </c>
      <c r="Q53" s="6">
        <f t="shared" ref="Q53:R53" si="31">+SUM(Q47:Q52)</f>
        <v>4364.1999999999989</v>
      </c>
      <c r="R53" s="6">
        <f t="shared" si="31"/>
        <v>4642.8</v>
      </c>
      <c r="S53" s="6">
        <f>+SUM(S47:S52)</f>
        <v>5331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</row>
    <row r="54" spans="2:64" x14ac:dyDescent="0.2">
      <c r="B54" s="2" t="s">
        <v>69</v>
      </c>
      <c r="C54" s="7"/>
      <c r="D54" s="7"/>
      <c r="E54" s="7"/>
      <c r="F54" s="7"/>
      <c r="G54" s="7"/>
      <c r="H54" s="7"/>
      <c r="I54" s="7"/>
      <c r="J54" s="7"/>
      <c r="K54" s="7"/>
      <c r="L54" s="7">
        <f t="shared" ref="L54" si="32">+L53+L46</f>
        <v>12990.400000000001</v>
      </c>
      <c r="M54" s="7">
        <f t="shared" ref="M54" si="33">+M53+M46</f>
        <v>13403.099999999999</v>
      </c>
      <c r="N54" s="7">
        <f t="shared" ref="N54" si="34">+N53+N46</f>
        <v>13872</v>
      </c>
      <c r="O54" s="7">
        <f t="shared" ref="O54:Q54" si="35">+O53+O46</f>
        <v>13996</v>
      </c>
      <c r="P54" s="7">
        <f t="shared" si="35"/>
        <v>14583.700000000004</v>
      </c>
      <c r="Q54" s="7">
        <f t="shared" si="35"/>
        <v>15122.1</v>
      </c>
      <c r="R54" s="7">
        <f>+R53+R46</f>
        <v>15853.400000000001</v>
      </c>
      <c r="S54" s="7">
        <f>+S53+S46</f>
        <v>17104</v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</row>
    <row r="55" spans="2:64" x14ac:dyDescent="0.2">
      <c r="B55" t="s">
        <v>70</v>
      </c>
      <c r="C55" s="6"/>
      <c r="D55" s="6"/>
      <c r="E55" s="6"/>
      <c r="F55" s="6"/>
      <c r="G55" s="6"/>
      <c r="H55" s="6"/>
      <c r="I55" s="6"/>
      <c r="J55" s="6"/>
      <c r="K55" s="6"/>
      <c r="L55" s="6">
        <v>8448.2000000000007</v>
      </c>
      <c r="M55" s="6">
        <v>8818.2000000000007</v>
      </c>
      <c r="N55" s="6">
        <v>9102.7000000000007</v>
      </c>
      <c r="O55" s="6">
        <v>8372.2999999999993</v>
      </c>
      <c r="P55" s="6">
        <v>8967.7999999999993</v>
      </c>
      <c r="Q55" s="6">
        <v>9341.6</v>
      </c>
      <c r="R55" s="6">
        <v>9434</v>
      </c>
      <c r="S55" s="6">
        <v>9217</v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</row>
    <row r="56" spans="2:64" x14ac:dyDescent="0.2">
      <c r="B56" t="s">
        <v>73</v>
      </c>
      <c r="C56" s="6"/>
      <c r="D56" s="6"/>
      <c r="E56" s="6"/>
      <c r="F56" s="6"/>
      <c r="G56" s="6"/>
      <c r="H56" s="6"/>
      <c r="I56" s="6"/>
      <c r="J56" s="6"/>
      <c r="K56" s="6"/>
      <c r="L56" s="6">
        <v>2606.3000000000002</v>
      </c>
      <c r="M56" s="6">
        <v>2658.1</v>
      </c>
      <c r="N56" s="6">
        <v>2682.1</v>
      </c>
      <c r="O56" s="6">
        <v>2843.5</v>
      </c>
      <c r="P56" s="6">
        <v>2918</v>
      </c>
      <c r="Q56" s="6">
        <v>3101.1</v>
      </c>
      <c r="R56" s="6">
        <v>3656.7</v>
      </c>
      <c r="S56" s="6">
        <v>3710.6</v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</row>
    <row r="57" spans="2:64" x14ac:dyDescent="0.2">
      <c r="B57" t="s">
        <v>60</v>
      </c>
      <c r="C57" s="6"/>
      <c r="D57" s="6"/>
      <c r="E57" s="6"/>
      <c r="F57" s="6"/>
      <c r="G57" s="6"/>
      <c r="H57" s="6"/>
      <c r="I57" s="6"/>
      <c r="J57" s="6"/>
      <c r="K57" s="6"/>
      <c r="L57" s="6">
        <v>571.5</v>
      </c>
      <c r="M57" s="6">
        <v>515.70000000000005</v>
      </c>
      <c r="N57" s="6">
        <v>516.70000000000005</v>
      </c>
      <c r="O57" s="6">
        <v>628.20000000000005</v>
      </c>
      <c r="P57" s="6">
        <v>698.9</v>
      </c>
      <c r="Q57" s="6">
        <v>673.5</v>
      </c>
      <c r="R57" s="6">
        <v>706.8</v>
      </c>
      <c r="S57" s="6">
        <v>742.3</v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</row>
    <row r="58" spans="2:64" x14ac:dyDescent="0.2">
      <c r="B58" t="s">
        <v>74</v>
      </c>
      <c r="C58" s="6"/>
      <c r="D58" s="6"/>
      <c r="E58" s="6"/>
      <c r="F58" s="6"/>
      <c r="G58" s="6"/>
      <c r="H58" s="6"/>
      <c r="I58" s="6"/>
      <c r="J58" s="6"/>
      <c r="K58" s="6"/>
      <c r="L58" s="6">
        <v>237.8</v>
      </c>
      <c r="M58" s="6">
        <v>240.8</v>
      </c>
      <c r="N58" s="6">
        <v>281.7</v>
      </c>
      <c r="O58" s="6">
        <v>289.3</v>
      </c>
      <c r="P58" s="6">
        <v>307.39999999999998</v>
      </c>
      <c r="Q58" s="6">
        <v>204.7</v>
      </c>
      <c r="R58" s="6">
        <v>195.3</v>
      </c>
      <c r="S58" s="6">
        <v>213.7</v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</row>
    <row r="59" spans="2:64" x14ac:dyDescent="0.2">
      <c r="B59" t="s">
        <v>75</v>
      </c>
      <c r="C59" s="6"/>
      <c r="D59" s="6"/>
      <c r="E59" s="6"/>
      <c r="F59" s="6"/>
      <c r="G59" s="6"/>
      <c r="H59" s="6"/>
      <c r="I59" s="6"/>
      <c r="J59" s="6"/>
      <c r="K59" s="6"/>
      <c r="L59" s="6">
        <v>33.700000000000003</v>
      </c>
      <c r="M59" s="6">
        <v>33.700000000000003</v>
      </c>
      <c r="N59" s="6">
        <v>18.5</v>
      </c>
      <c r="O59" s="6">
        <v>20</v>
      </c>
      <c r="P59" s="6">
        <v>17.899999999999999</v>
      </c>
      <c r="Q59" s="6">
        <v>17.899999999999999</v>
      </c>
      <c r="R59" s="6">
        <v>17.899999999999999</v>
      </c>
      <c r="S59" s="6">
        <v>16.399999999999999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</row>
    <row r="60" spans="2:64" x14ac:dyDescent="0.2">
      <c r="B60" t="s">
        <v>58</v>
      </c>
      <c r="C60" s="6"/>
      <c r="D60" s="6"/>
      <c r="E60" s="6"/>
      <c r="F60" s="6"/>
      <c r="G60" s="6"/>
      <c r="H60" s="6"/>
      <c r="I60" s="6"/>
      <c r="J60" s="6"/>
      <c r="K60" s="6"/>
      <c r="L60" s="6">
        <v>0</v>
      </c>
      <c r="M60" s="6">
        <v>0</v>
      </c>
      <c r="N60" s="6">
        <v>159.80000000000001</v>
      </c>
      <c r="O60" s="6">
        <v>159.80000000000001</v>
      </c>
      <c r="P60" s="6">
        <v>149.4</v>
      </c>
      <c r="Q60" s="6">
        <v>275.10000000000002</v>
      </c>
      <c r="R60" s="6">
        <v>245.8</v>
      </c>
      <c r="S60" s="6">
        <v>337.3</v>
      </c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</row>
    <row r="61" spans="2:64" x14ac:dyDescent="0.2">
      <c r="B61" t="s">
        <v>38</v>
      </c>
      <c r="C61" s="6"/>
      <c r="D61" s="6"/>
      <c r="E61" s="6"/>
      <c r="F61" s="6"/>
      <c r="G61" s="6"/>
      <c r="H61" s="6"/>
      <c r="I61" s="6"/>
      <c r="J61" s="6"/>
      <c r="K61" s="6"/>
      <c r="L61" s="6">
        <v>22.4</v>
      </c>
      <c r="M61" s="6">
        <v>27.4</v>
      </c>
      <c r="N61" s="6">
        <v>31.4</v>
      </c>
      <c r="O61" s="6">
        <v>19</v>
      </c>
      <c r="P61" s="6">
        <v>58.4</v>
      </c>
      <c r="Q61" s="6">
        <v>31</v>
      </c>
      <c r="R61" s="6">
        <v>46.2</v>
      </c>
      <c r="S61" s="6">
        <v>32.5</v>
      </c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</row>
    <row r="62" spans="2:64" x14ac:dyDescent="0.2">
      <c r="B62" t="s">
        <v>76</v>
      </c>
      <c r="C62" s="6"/>
      <c r="D62" s="6"/>
      <c r="E62" s="6"/>
      <c r="F62" s="6"/>
      <c r="G62" s="6"/>
      <c r="H62" s="6"/>
      <c r="I62" s="6"/>
      <c r="J62" s="6"/>
      <c r="K62" s="6"/>
      <c r="L62" s="6">
        <f t="shared" ref="L62:Q62" si="36">+SUM(L56:L61)</f>
        <v>3471.7000000000003</v>
      </c>
      <c r="M62" s="6">
        <f t="shared" si="36"/>
        <v>3475.7000000000003</v>
      </c>
      <c r="N62" s="6">
        <f t="shared" si="36"/>
        <v>3690.2000000000003</v>
      </c>
      <c r="O62" s="6">
        <f t="shared" si="36"/>
        <v>3959.8</v>
      </c>
      <c r="P62" s="6">
        <f t="shared" si="36"/>
        <v>4150</v>
      </c>
      <c r="Q62" s="6">
        <f t="shared" ref="Q62:R62" si="37">+SUM(Q56:Q61)</f>
        <v>4303.3</v>
      </c>
      <c r="R62" s="6">
        <f t="shared" si="37"/>
        <v>4868.7</v>
      </c>
      <c r="S62" s="6">
        <f>+SUM(S56:S61)</f>
        <v>5052.7999999999993</v>
      </c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</row>
    <row r="63" spans="2:64" x14ac:dyDescent="0.2">
      <c r="B63" t="s">
        <v>73</v>
      </c>
      <c r="C63" s="6"/>
      <c r="D63" s="6"/>
      <c r="E63" s="6"/>
      <c r="F63" s="6"/>
      <c r="G63" s="6"/>
      <c r="H63" s="6"/>
      <c r="I63" s="6"/>
      <c r="J63" s="6"/>
      <c r="K63" s="6"/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1247.8</v>
      </c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</row>
    <row r="64" spans="2:64" x14ac:dyDescent="0.2">
      <c r="B64" t="s">
        <v>77</v>
      </c>
      <c r="C64" s="6"/>
      <c r="D64" s="6"/>
      <c r="E64" s="6"/>
      <c r="F64" s="6"/>
      <c r="G64" s="6"/>
      <c r="H64" s="6"/>
      <c r="I64" s="6"/>
      <c r="J64" s="6"/>
      <c r="K64" s="6"/>
      <c r="L64" s="6">
        <v>365.4</v>
      </c>
      <c r="M64" s="6">
        <v>377.1</v>
      </c>
      <c r="N64" s="6">
        <v>334</v>
      </c>
      <c r="O64" s="6">
        <v>525.1</v>
      </c>
      <c r="P64" s="6">
        <v>504.5</v>
      </c>
      <c r="Q64" s="6">
        <v>506.8</v>
      </c>
      <c r="R64" s="6">
        <v>508.2</v>
      </c>
      <c r="S64" s="6">
        <v>383.6</v>
      </c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</row>
    <row r="65" spans="1:64" x14ac:dyDescent="0.2">
      <c r="B65" t="s">
        <v>65</v>
      </c>
      <c r="C65" s="6"/>
      <c r="D65" s="6"/>
      <c r="E65" s="6"/>
      <c r="F65" s="6"/>
      <c r="G65" s="6"/>
      <c r="H65" s="6"/>
      <c r="I65" s="6"/>
      <c r="J65" s="6"/>
      <c r="K65" s="6"/>
      <c r="L65" s="6">
        <v>170.5</v>
      </c>
      <c r="M65" s="6">
        <v>132.4</v>
      </c>
      <c r="N65" s="6">
        <v>121.5</v>
      </c>
      <c r="O65" s="6">
        <v>136.69999999999999</v>
      </c>
      <c r="P65" s="6">
        <v>102.4</v>
      </c>
      <c r="Q65" s="6">
        <v>207.4</v>
      </c>
      <c r="R65" s="6">
        <v>120.3</v>
      </c>
      <c r="S65" s="6">
        <v>85.1</v>
      </c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</row>
    <row r="66" spans="1:64" x14ac:dyDescent="0.2">
      <c r="B66" t="s">
        <v>75</v>
      </c>
      <c r="C66" s="6"/>
      <c r="D66" s="6"/>
      <c r="E66" s="6"/>
      <c r="F66" s="6"/>
      <c r="G66" s="6"/>
      <c r="H66" s="6"/>
      <c r="I66" s="6"/>
      <c r="J66" s="6"/>
      <c r="K66" s="6"/>
      <c r="L66" s="6">
        <v>27.4</v>
      </c>
      <c r="M66" s="6">
        <v>104.1</v>
      </c>
      <c r="N66" s="6">
        <v>38.4</v>
      </c>
      <c r="O66" s="6">
        <v>211.2</v>
      </c>
      <c r="P66" s="6">
        <v>64.3</v>
      </c>
      <c r="Q66" s="6">
        <v>19.8</v>
      </c>
      <c r="R66" s="6">
        <v>17.8</v>
      </c>
      <c r="S66" s="6">
        <v>46.9</v>
      </c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</row>
    <row r="67" spans="1:64" x14ac:dyDescent="0.2">
      <c r="B67" t="s">
        <v>58</v>
      </c>
      <c r="C67" s="6"/>
      <c r="D67" s="6"/>
      <c r="E67" s="6"/>
      <c r="F67" s="6"/>
      <c r="G67" s="6"/>
      <c r="H67" s="6"/>
      <c r="I67" s="6"/>
      <c r="J67" s="6"/>
      <c r="K67" s="6"/>
      <c r="L67" s="6">
        <v>0</v>
      </c>
      <c r="M67" s="6">
        <v>0</v>
      </c>
      <c r="N67" s="6">
        <v>67</v>
      </c>
      <c r="O67" s="6">
        <v>54.6</v>
      </c>
      <c r="P67" s="6">
        <v>48.5</v>
      </c>
      <c r="Q67" s="6">
        <v>56.3</v>
      </c>
      <c r="R67" s="6">
        <v>59.1</v>
      </c>
      <c r="S67" s="6">
        <v>73.400000000000006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</row>
    <row r="68" spans="1:64" x14ac:dyDescent="0.2">
      <c r="B68" t="s">
        <v>38</v>
      </c>
      <c r="C68" s="6"/>
      <c r="D68" s="6"/>
      <c r="E68" s="6"/>
      <c r="F68" s="6"/>
      <c r="G68" s="6"/>
      <c r="H68" s="6"/>
      <c r="I68" s="6"/>
      <c r="J68" s="6"/>
      <c r="K68" s="6"/>
      <c r="L68" s="6">
        <v>507.2</v>
      </c>
      <c r="M68" s="6">
        <v>495.6</v>
      </c>
      <c r="N68" s="6">
        <v>518.20000000000005</v>
      </c>
      <c r="O68" s="6">
        <v>736.3</v>
      </c>
      <c r="P68" s="6">
        <v>746.2</v>
      </c>
      <c r="Q68" s="6">
        <v>686.9</v>
      </c>
      <c r="R68" s="6">
        <v>845.3</v>
      </c>
      <c r="S68" s="6">
        <v>997.4</v>
      </c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</row>
    <row r="69" spans="1:64" x14ac:dyDescent="0.2">
      <c r="B69" t="s">
        <v>78</v>
      </c>
      <c r="C69" s="6"/>
      <c r="D69" s="6"/>
      <c r="E69" s="6"/>
      <c r="F69" s="6"/>
      <c r="G69" s="6"/>
      <c r="H69" s="6"/>
      <c r="I69" s="6"/>
      <c r="J69" s="6"/>
      <c r="K69" s="6"/>
      <c r="L69" s="6">
        <f t="shared" ref="L69:M69" si="38">+SUM(L63:L68)</f>
        <v>1070.5</v>
      </c>
      <c r="M69" s="6">
        <f t="shared" si="38"/>
        <v>1109.2</v>
      </c>
      <c r="N69" s="6">
        <f>+SUM(N63:N68)</f>
        <v>1079.0999999999999</v>
      </c>
      <c r="O69" s="6">
        <f>+SUM(O63:O68)</f>
        <v>1663.9</v>
      </c>
      <c r="P69" s="6">
        <f>+SUM(P63:P68)</f>
        <v>1465.9</v>
      </c>
      <c r="Q69" s="6">
        <f>+SUM(Q63:Q68)</f>
        <v>1477.1999999999998</v>
      </c>
      <c r="R69" s="6">
        <f>+SUM(R63:R68)</f>
        <v>1550.6999999999998</v>
      </c>
      <c r="S69" s="6">
        <f>+SUM(S63:S68)</f>
        <v>2834.2000000000003</v>
      </c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</row>
    <row r="70" spans="1:64" x14ac:dyDescent="0.2">
      <c r="B70" t="s">
        <v>71</v>
      </c>
      <c r="C70" s="6"/>
      <c r="D70" s="6"/>
      <c r="E70" s="6"/>
      <c r="F70" s="6"/>
      <c r="G70" s="6"/>
      <c r="H70" s="6"/>
      <c r="I70" s="6"/>
      <c r="J70" s="6"/>
      <c r="K70" s="6"/>
      <c r="L70" s="6">
        <f t="shared" ref="L70" si="39">+L69+L62</f>
        <v>4542.2000000000007</v>
      </c>
      <c r="M70" s="6">
        <f t="shared" ref="M70" si="40">+M69+M62</f>
        <v>4584.9000000000005</v>
      </c>
      <c r="N70" s="6">
        <f t="shared" ref="N70:Q70" si="41">+N69+N62</f>
        <v>4769.3</v>
      </c>
      <c r="O70" s="6">
        <f t="shared" si="41"/>
        <v>5623.7000000000007</v>
      </c>
      <c r="P70" s="6">
        <f t="shared" si="41"/>
        <v>5615.9</v>
      </c>
      <c r="Q70" s="6">
        <f t="shared" si="41"/>
        <v>5780.5</v>
      </c>
      <c r="R70" s="6">
        <f>+R69+R62</f>
        <v>6419.4</v>
      </c>
      <c r="S70" s="6">
        <f>+S69+S62</f>
        <v>7887</v>
      </c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</row>
    <row r="71" spans="1:64" x14ac:dyDescent="0.2">
      <c r="A71" s="2"/>
      <c r="B71" s="2" t="s">
        <v>72</v>
      </c>
      <c r="C71" s="7"/>
      <c r="D71" s="7"/>
      <c r="E71" s="7"/>
      <c r="F71" s="7"/>
      <c r="G71" s="7"/>
      <c r="H71" s="7"/>
      <c r="I71" s="7"/>
      <c r="J71" s="7"/>
      <c r="K71" s="7"/>
      <c r="L71" s="7">
        <f t="shared" ref="L71" si="42">+L70+L55</f>
        <v>12990.400000000001</v>
      </c>
      <c r="M71" s="7">
        <f t="shared" ref="M71" si="43">+M70+M55</f>
        <v>13403.100000000002</v>
      </c>
      <c r="N71" s="7">
        <f t="shared" ref="N71:Q71" si="44">+N70+N55</f>
        <v>13872</v>
      </c>
      <c r="O71" s="7">
        <f t="shared" si="44"/>
        <v>13996</v>
      </c>
      <c r="P71" s="7">
        <f t="shared" si="44"/>
        <v>14583.699999999999</v>
      </c>
      <c r="Q71" s="7">
        <f t="shared" si="44"/>
        <v>15122.1</v>
      </c>
      <c r="R71" s="7">
        <f>+R70+R55</f>
        <v>15853.4</v>
      </c>
      <c r="S71" s="7">
        <f>+S70+S55</f>
        <v>17104</v>
      </c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</row>
    <row r="72" spans="1:64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</row>
    <row r="73" spans="1:64" x14ac:dyDescent="0.2">
      <c r="B73" t="s">
        <v>32</v>
      </c>
      <c r="C73" s="6"/>
      <c r="D73" s="6"/>
      <c r="E73" s="6"/>
      <c r="F73" s="6"/>
      <c r="G73" s="6"/>
      <c r="H73" s="6"/>
      <c r="I73" s="6"/>
      <c r="J73" s="6"/>
      <c r="K73" s="6"/>
      <c r="L73" s="6">
        <v>711.6</v>
      </c>
      <c r="M73" s="6">
        <v>665.5</v>
      </c>
      <c r="N73" s="6">
        <v>747.7</v>
      </c>
      <c r="O73" s="6">
        <v>677.9</v>
      </c>
      <c r="P73" s="6">
        <v>1390.6</v>
      </c>
      <c r="Q73" s="6">
        <v>1476.3</v>
      </c>
      <c r="R73" s="6">
        <v>1182.4000000000001</v>
      </c>
      <c r="S73" s="6">
        <v>939.7</v>
      </c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</row>
    <row r="74" spans="1:64" x14ac:dyDescent="0.2">
      <c r="B74" t="s">
        <v>80</v>
      </c>
      <c r="C74" s="6"/>
      <c r="D74" s="6"/>
      <c r="E74" s="6"/>
      <c r="F74" s="6"/>
      <c r="G74" s="6"/>
      <c r="H74" s="6"/>
      <c r="I74" s="6"/>
      <c r="J74" s="6"/>
      <c r="K74" s="6"/>
      <c r="L74" s="6">
        <v>318.7</v>
      </c>
      <c r="M74" s="6">
        <v>351.2</v>
      </c>
      <c r="N74" s="6">
        <v>503.1</v>
      </c>
      <c r="O74" s="6">
        <v>460</v>
      </c>
      <c r="P74" s="6">
        <v>361.5</v>
      </c>
      <c r="Q74" s="6">
        <v>352.3</v>
      </c>
      <c r="R74" s="6">
        <v>375</v>
      </c>
      <c r="S74" s="6">
        <v>419.8</v>
      </c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</row>
    <row r="75" spans="1:64" x14ac:dyDescent="0.2">
      <c r="B75" t="s">
        <v>81</v>
      </c>
      <c r="C75" s="6"/>
      <c r="D75" s="6"/>
      <c r="E75" s="6"/>
      <c r="F75" s="6"/>
      <c r="G75" s="6"/>
      <c r="H75" s="6"/>
      <c r="I75" s="6"/>
      <c r="J75" s="6"/>
      <c r="K75" s="6"/>
      <c r="L75" s="6">
        <v>180</v>
      </c>
      <c r="M75" s="6">
        <v>206.7</v>
      </c>
      <c r="N75" s="6">
        <v>291.2</v>
      </c>
      <c r="O75" s="6">
        <v>774.1</v>
      </c>
      <c r="P75" s="6">
        <v>498.2</v>
      </c>
      <c r="Q75" s="6">
        <v>428.4</v>
      </c>
      <c r="R75" s="6">
        <v>513</v>
      </c>
      <c r="S75" s="6">
        <v>694.8</v>
      </c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</row>
    <row r="76" spans="1:64" x14ac:dyDescent="0.2">
      <c r="B76" t="s">
        <v>82</v>
      </c>
      <c r="C76" s="6"/>
      <c r="D76" s="6"/>
      <c r="E76" s="6"/>
      <c r="F76" s="6"/>
      <c r="G76" s="6"/>
      <c r="H76" s="6"/>
      <c r="I76" s="6"/>
      <c r="J76" s="6"/>
      <c r="K76" s="6"/>
      <c r="L76" s="6">
        <v>168.1</v>
      </c>
      <c r="M76" s="6">
        <v>-101.1</v>
      </c>
      <c r="N76" s="6">
        <v>100.9</v>
      </c>
      <c r="O76" s="6">
        <v>294.2</v>
      </c>
      <c r="P76" s="6">
        <v>-6.2</v>
      </c>
      <c r="Q76" s="6">
        <v>-363.9</v>
      </c>
      <c r="R76" s="6">
        <v>-36.700000000000003</v>
      </c>
      <c r="S76" s="6">
        <v>-138.4</v>
      </c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</row>
    <row r="77" spans="1:64" x14ac:dyDescent="0.2">
      <c r="B77" t="s">
        <v>83</v>
      </c>
      <c r="C77" s="6"/>
      <c r="D77" s="6"/>
      <c r="E77" s="6"/>
      <c r="F77" s="6"/>
      <c r="G77" s="6"/>
      <c r="H77" s="6"/>
      <c r="I77" s="6"/>
      <c r="J77" s="6"/>
      <c r="K77" s="6"/>
      <c r="L77" s="6">
        <v>-122.3</v>
      </c>
      <c r="M77" s="6">
        <v>-103.1</v>
      </c>
      <c r="N77" s="6">
        <v>-174.3</v>
      </c>
      <c r="O77" s="6">
        <v>-196.4</v>
      </c>
      <c r="P77" s="6">
        <v>-219.1</v>
      </c>
      <c r="Q77" s="6">
        <v>-140.80000000000001</v>
      </c>
      <c r="R77" s="6">
        <v>-98.3</v>
      </c>
      <c r="S77" s="6">
        <v>-211</v>
      </c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</row>
    <row r="78" spans="1:64" x14ac:dyDescent="0.2">
      <c r="B78" t="s">
        <v>28</v>
      </c>
      <c r="C78" s="6"/>
      <c r="D78" s="6"/>
      <c r="E78" s="6"/>
      <c r="F78" s="6"/>
      <c r="G78" s="6"/>
      <c r="H78" s="6"/>
      <c r="I78" s="6"/>
      <c r="J78" s="6"/>
      <c r="K78" s="6"/>
      <c r="L78" s="6">
        <v>8.3000000000000007</v>
      </c>
      <c r="M78" s="6">
        <v>96.5</v>
      </c>
      <c r="N78" s="6">
        <v>124.8</v>
      </c>
      <c r="O78" s="6">
        <v>115.8</v>
      </c>
      <c r="P78" s="6">
        <v>33.9</v>
      </c>
      <c r="Q78" s="6">
        <v>93</v>
      </c>
      <c r="R78" s="6">
        <v>49.9</v>
      </c>
      <c r="S78" s="6">
        <v>51.4</v>
      </c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</row>
    <row r="79" spans="1:64" x14ac:dyDescent="0.2">
      <c r="B79" t="s">
        <v>84</v>
      </c>
      <c r="C79" s="6"/>
      <c r="D79" s="6"/>
      <c r="E79" s="6"/>
      <c r="F79" s="6"/>
      <c r="G79" s="6"/>
      <c r="H79" s="6"/>
      <c r="I79" s="6"/>
      <c r="J79" s="6"/>
      <c r="K79" s="6"/>
      <c r="L79" s="6">
        <v>-148.9</v>
      </c>
      <c r="M79" s="6">
        <v>-111.4</v>
      </c>
      <c r="N79" s="6">
        <v>-127</v>
      </c>
      <c r="O79" s="6">
        <v>-312.2</v>
      </c>
      <c r="P79" s="6">
        <v>-118</v>
      </c>
      <c r="Q79" s="6">
        <v>-199.2</v>
      </c>
      <c r="R79" s="6">
        <v>-248.7</v>
      </c>
      <c r="S79" s="6">
        <v>-226.1</v>
      </c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</row>
    <row r="80" spans="1:64" x14ac:dyDescent="0.2">
      <c r="B80" t="s">
        <v>85</v>
      </c>
      <c r="C80" s="6"/>
      <c r="D80" s="6"/>
      <c r="E80" s="6"/>
      <c r="F80" s="6"/>
      <c r="G80" s="6"/>
      <c r="H80" s="6"/>
      <c r="I80" s="6"/>
      <c r="J80" s="6"/>
      <c r="K80" s="6"/>
      <c r="L80" s="6">
        <v>-67</v>
      </c>
      <c r="M80" s="6">
        <v>-219.8</v>
      </c>
      <c r="N80" s="6">
        <v>-166.8</v>
      </c>
      <c r="O80" s="6">
        <v>-228</v>
      </c>
      <c r="P80" s="6">
        <v>-374.2</v>
      </c>
      <c r="Q80" s="6">
        <v>-253.6</v>
      </c>
      <c r="R80" s="6">
        <v>-389.6</v>
      </c>
      <c r="S80" s="6">
        <v>-351.1</v>
      </c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</row>
    <row r="81" spans="2:64" x14ac:dyDescent="0.2">
      <c r="B81" s="2" t="s">
        <v>79</v>
      </c>
      <c r="C81" s="6"/>
      <c r="D81" s="6"/>
      <c r="E81" s="6"/>
      <c r="F81" s="6"/>
      <c r="G81" s="6"/>
      <c r="H81" s="6"/>
      <c r="I81" s="6"/>
      <c r="J81" s="6"/>
      <c r="K81" s="6"/>
      <c r="L81" s="7">
        <f t="shared" ref="L81:P81" si="45">+SUM(L73:L80)</f>
        <v>1048.4999999999998</v>
      </c>
      <c r="M81" s="7">
        <f t="shared" si="45"/>
        <v>784.50000000000023</v>
      </c>
      <c r="N81" s="7">
        <f t="shared" si="45"/>
        <v>1299.6000000000004</v>
      </c>
      <c r="O81" s="7">
        <f t="shared" si="45"/>
        <v>1585.3999999999999</v>
      </c>
      <c r="P81" s="7">
        <f t="shared" ref="P81:R81" si="46">+SUM(P73:P80)</f>
        <v>1566.7</v>
      </c>
      <c r="Q81" s="7">
        <f t="shared" si="46"/>
        <v>1392.5</v>
      </c>
      <c r="R81" s="7">
        <f t="shared" si="46"/>
        <v>1347</v>
      </c>
      <c r="S81" s="7">
        <f>+SUM(S73:S80)</f>
        <v>1179.1000000000004</v>
      </c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</row>
    <row r="82" spans="2:64" x14ac:dyDescent="0.2">
      <c r="B82" t="s">
        <v>86</v>
      </c>
      <c r="C82" s="6"/>
      <c r="D82" s="6"/>
      <c r="E82" s="6"/>
      <c r="F82" s="6"/>
      <c r="G82" s="6"/>
      <c r="H82" s="6"/>
      <c r="I82" s="6"/>
      <c r="J82" s="6"/>
      <c r="K82" s="6"/>
      <c r="L82" s="6">
        <v>-7.9</v>
      </c>
      <c r="M82" s="6">
        <v>-394.1</v>
      </c>
      <c r="N82" s="6">
        <v>-5.9</v>
      </c>
      <c r="O82" s="6">
        <v>-1560.1</v>
      </c>
      <c r="P82" s="6">
        <v>-3.9</v>
      </c>
      <c r="Q82" s="6">
        <v>-3.7</v>
      </c>
      <c r="R82" s="6">
        <v>-581.70000000000005</v>
      </c>
      <c r="S82" s="6">
        <v>-575.6</v>
      </c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</row>
    <row r="83" spans="2:64" x14ac:dyDescent="0.2">
      <c r="B83" t="s">
        <v>87</v>
      </c>
      <c r="C83" s="6"/>
      <c r="D83" s="6"/>
      <c r="E83" s="6"/>
      <c r="F83" s="6"/>
      <c r="G83" s="6"/>
      <c r="H83" s="6"/>
      <c r="I83" s="6"/>
      <c r="J83" s="6"/>
      <c r="K83" s="6"/>
      <c r="L83" s="6">
        <v>-54.4</v>
      </c>
      <c r="M83" s="6">
        <v>-15.3</v>
      </c>
      <c r="N83" s="6">
        <v>-28.2</v>
      </c>
      <c r="O83" s="6">
        <v>-44.2</v>
      </c>
      <c r="P83" s="6">
        <v>-28.8</v>
      </c>
      <c r="Q83" s="6">
        <v>-125.4</v>
      </c>
      <c r="R83" s="6">
        <v>-109.4</v>
      </c>
      <c r="S83" s="6">
        <v>-48.3</v>
      </c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</row>
    <row r="84" spans="2:64" x14ac:dyDescent="0.2">
      <c r="B84" t="s">
        <v>88</v>
      </c>
      <c r="C84" s="6"/>
      <c r="D84" s="6"/>
      <c r="E84" s="6"/>
      <c r="F84" s="6"/>
      <c r="G84" s="6"/>
      <c r="H84" s="6"/>
      <c r="I84" s="6"/>
      <c r="J84" s="6"/>
      <c r="K84" s="6"/>
      <c r="L84" s="6">
        <v>-54.1</v>
      </c>
      <c r="M84" s="6">
        <v>-109.7</v>
      </c>
      <c r="N84" s="6">
        <v>-93.5</v>
      </c>
      <c r="O84" s="6">
        <v>-156.5</v>
      </c>
      <c r="P84" s="6">
        <v>-211.6</v>
      </c>
      <c r="Q84" s="6">
        <v>-264.10000000000002</v>
      </c>
      <c r="R84" s="6">
        <v>-199</v>
      </c>
      <c r="S84" s="6">
        <v>-216</v>
      </c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</row>
    <row r="85" spans="2:64" x14ac:dyDescent="0.2">
      <c r="B85" t="s">
        <v>89</v>
      </c>
      <c r="C85" s="6"/>
      <c r="D85" s="6"/>
      <c r="E85" s="6"/>
      <c r="F85" s="6"/>
      <c r="G85" s="6"/>
      <c r="H85" s="6"/>
      <c r="I85" s="6"/>
      <c r="J85" s="6"/>
      <c r="K85" s="6"/>
      <c r="L85" s="6">
        <v>15.9</v>
      </c>
      <c r="M85" s="6">
        <v>1.1000000000000001</v>
      </c>
      <c r="N85" s="6">
        <f>1.2+68.5</f>
        <v>69.7</v>
      </c>
      <c r="O85" s="6">
        <v>1.6</v>
      </c>
      <c r="P85" s="6">
        <v>57.2</v>
      </c>
      <c r="Q85" s="6">
        <v>245.8</v>
      </c>
      <c r="R85" s="6">
        <v>2.4</v>
      </c>
      <c r="S85" s="6">
        <v>2.9</v>
      </c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</row>
    <row r="86" spans="2:64" x14ac:dyDescent="0.2">
      <c r="B86" t="s">
        <v>90</v>
      </c>
      <c r="C86" s="6"/>
      <c r="D86" s="6"/>
      <c r="E86" s="6"/>
      <c r="F86" s="6"/>
      <c r="G86" s="6"/>
      <c r="H86" s="6"/>
      <c r="I86" s="6"/>
      <c r="J86" s="6"/>
      <c r="K86" s="6"/>
      <c r="L86" s="6">
        <v>6.8</v>
      </c>
      <c r="M86" s="6">
        <v>7.4</v>
      </c>
      <c r="N86" s="6">
        <v>8</v>
      </c>
      <c r="O86" s="6">
        <v>7.5</v>
      </c>
      <c r="P86" s="6">
        <v>9.6</v>
      </c>
      <c r="Q86" s="6">
        <v>15.6</v>
      </c>
      <c r="R86" s="6">
        <v>12.4</v>
      </c>
      <c r="S86" s="6">
        <v>12.9</v>
      </c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</row>
    <row r="87" spans="2:64" x14ac:dyDescent="0.2">
      <c r="B87" s="2" t="s">
        <v>91</v>
      </c>
      <c r="C87" s="6"/>
      <c r="D87" s="6"/>
      <c r="E87" s="6"/>
      <c r="F87" s="6"/>
      <c r="G87" s="6"/>
      <c r="H87" s="6"/>
      <c r="I87" s="6"/>
      <c r="J87" s="6"/>
      <c r="K87" s="6"/>
      <c r="L87" s="7">
        <f t="shared" ref="L87:Q87" si="47">+SUM(L82:L86)</f>
        <v>-93.7</v>
      </c>
      <c r="M87" s="7">
        <f t="shared" si="47"/>
        <v>-510.6</v>
      </c>
      <c r="N87" s="7">
        <f t="shared" si="47"/>
        <v>-49.899999999999991</v>
      </c>
      <c r="O87" s="7">
        <f t="shared" si="47"/>
        <v>-1751.7</v>
      </c>
      <c r="P87" s="7">
        <f t="shared" si="47"/>
        <v>-177.50000000000003</v>
      </c>
      <c r="Q87" s="7">
        <f t="shared" ref="Q87:R87" si="48">+SUM(Q82:Q86)</f>
        <v>-131.80000000000004</v>
      </c>
      <c r="R87" s="7">
        <f t="shared" si="48"/>
        <v>-875.30000000000007</v>
      </c>
      <c r="S87" s="7">
        <f>+SUM(S82:S86)</f>
        <v>-824.1</v>
      </c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</row>
    <row r="88" spans="2:64" x14ac:dyDescent="0.2">
      <c r="B88" t="s">
        <v>92</v>
      </c>
      <c r="C88" s="6"/>
      <c r="D88" s="6"/>
      <c r="E88" s="6"/>
      <c r="F88" s="6"/>
      <c r="G88" s="6"/>
      <c r="H88" s="6"/>
      <c r="I88" s="6"/>
      <c r="J88" s="6"/>
      <c r="K88" s="6"/>
      <c r="L88" s="6">
        <v>0</v>
      </c>
      <c r="M88" s="6">
        <v>0</v>
      </c>
      <c r="N88" s="6">
        <v>-81.3</v>
      </c>
      <c r="O88" s="6">
        <v>-70.3</v>
      </c>
      <c r="P88" s="6">
        <v>-58.8</v>
      </c>
      <c r="Q88" s="6">
        <v>-67.400000000000006</v>
      </c>
      <c r="R88" s="6">
        <v>-67.8</v>
      </c>
      <c r="S88" s="6">
        <v>-94.3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</row>
    <row r="89" spans="2:64" x14ac:dyDescent="0.2">
      <c r="B89" t="s">
        <v>93</v>
      </c>
      <c r="C89" s="6"/>
      <c r="D89" s="6"/>
      <c r="E89" s="6"/>
      <c r="F89" s="6"/>
      <c r="G89" s="6"/>
      <c r="H89" s="6"/>
      <c r="I89" s="6"/>
      <c r="J89" s="6"/>
      <c r="K89" s="6"/>
      <c r="L89" s="6">
        <v>0</v>
      </c>
      <c r="M89" s="6">
        <v>0</v>
      </c>
      <c r="N89" s="6">
        <v>6.8</v>
      </c>
      <c r="O89" s="6">
        <f>14.7+7549.5</f>
        <v>7564.2</v>
      </c>
      <c r="P89" s="6">
        <v>-45.2</v>
      </c>
      <c r="Q89" s="6">
        <v>138.30000000000001</v>
      </c>
      <c r="R89" s="6">
        <v>581</v>
      </c>
      <c r="S89" s="6">
        <v>405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</row>
    <row r="90" spans="2:64" x14ac:dyDescent="0.2">
      <c r="B90" t="s">
        <v>94</v>
      </c>
      <c r="C90" s="6"/>
      <c r="D90" s="6"/>
      <c r="E90" s="6"/>
      <c r="F90" s="6"/>
      <c r="G90" s="6"/>
      <c r="H90" s="6"/>
      <c r="I90" s="6"/>
      <c r="J90" s="6"/>
      <c r="K90" s="6"/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2233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</row>
    <row r="91" spans="2:64" x14ac:dyDescent="0.2">
      <c r="B91" t="s">
        <v>95</v>
      </c>
      <c r="C91" s="6"/>
      <c r="D91" s="6"/>
      <c r="E91" s="6"/>
      <c r="F91" s="6"/>
      <c r="G91" s="6"/>
      <c r="H91" s="6"/>
      <c r="I91" s="6"/>
      <c r="J91" s="6"/>
      <c r="K91" s="6"/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-1355</v>
      </c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</row>
    <row r="92" spans="2:64" x14ac:dyDescent="0.2">
      <c r="B92" t="s">
        <v>96</v>
      </c>
      <c r="C92" s="6"/>
      <c r="D92" s="6"/>
      <c r="E92" s="6"/>
      <c r="F92" s="6"/>
      <c r="G92" s="6"/>
      <c r="H92" s="6"/>
      <c r="I92" s="6"/>
      <c r="J92" s="6"/>
      <c r="K92" s="6"/>
      <c r="L92" s="6">
        <v>0</v>
      </c>
      <c r="M92" s="6">
        <v>0</v>
      </c>
      <c r="N92" s="6">
        <v>0</v>
      </c>
      <c r="O92" s="6">
        <v>-7299</v>
      </c>
      <c r="P92" s="6">
        <v>0</v>
      </c>
      <c r="Q92" s="6">
        <v>-4</v>
      </c>
      <c r="R92" s="6">
        <v>-4.2</v>
      </c>
      <c r="S92" s="6">
        <v>-4.0999999999999996</v>
      </c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</row>
    <row r="93" spans="2:64" x14ac:dyDescent="0.2">
      <c r="B93" t="s">
        <v>97</v>
      </c>
      <c r="C93" s="6"/>
      <c r="D93" s="6"/>
      <c r="E93" s="6"/>
      <c r="F93" s="6"/>
      <c r="G93" s="6"/>
      <c r="H93" s="6"/>
      <c r="I93" s="6"/>
      <c r="J93" s="6"/>
      <c r="K93" s="6"/>
      <c r="L93" s="6">
        <v>-896.7</v>
      </c>
      <c r="M93" s="6">
        <v>-572.9</v>
      </c>
      <c r="N93" s="6">
        <v>-598</v>
      </c>
      <c r="O93" s="6">
        <v>-608.29999999999995</v>
      </c>
      <c r="P93" s="6">
        <v>-626.70000000000005</v>
      </c>
      <c r="Q93" s="6">
        <v>-692</v>
      </c>
      <c r="R93" s="6">
        <v>-714.6</v>
      </c>
      <c r="S93" s="6">
        <v>-709.8</v>
      </c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</row>
    <row r="94" spans="2:64" x14ac:dyDescent="0.2">
      <c r="B94" t="s">
        <v>98</v>
      </c>
      <c r="C94" s="6"/>
      <c r="D94" s="6"/>
      <c r="E94" s="6"/>
      <c r="F94" s="6"/>
      <c r="G94" s="6"/>
      <c r="H94" s="6"/>
      <c r="I94" s="6"/>
      <c r="J94" s="6"/>
      <c r="K94" s="6"/>
      <c r="L94" s="6">
        <v>0</v>
      </c>
      <c r="M94" s="6">
        <v>0</v>
      </c>
      <c r="N94" s="6">
        <v>0</v>
      </c>
      <c r="O94" s="6">
        <v>-188.5</v>
      </c>
      <c r="P94" s="6">
        <v>-607.1</v>
      </c>
      <c r="Q94" s="6">
        <v>-776.4</v>
      </c>
      <c r="R94" s="6">
        <v>-180.6</v>
      </c>
      <c r="S94" s="6">
        <v>-773.6</v>
      </c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</row>
    <row r="95" spans="2:64" x14ac:dyDescent="0.2">
      <c r="B95" s="2" t="s">
        <v>99</v>
      </c>
      <c r="C95" s="6"/>
      <c r="D95" s="6"/>
      <c r="E95" s="6"/>
      <c r="F95" s="6"/>
      <c r="G95" s="6"/>
      <c r="H95" s="6"/>
      <c r="I95" s="6"/>
      <c r="J95" s="6"/>
      <c r="K95" s="6"/>
      <c r="L95" s="7">
        <f t="shared" ref="L95:Q95" si="49">+SUM(L88:L94)</f>
        <v>-896.7</v>
      </c>
      <c r="M95" s="7">
        <f t="shared" si="49"/>
        <v>-572.9</v>
      </c>
      <c r="N95" s="7">
        <f t="shared" si="49"/>
        <v>-672.5</v>
      </c>
      <c r="O95" s="7">
        <f t="shared" si="49"/>
        <v>-601.90000000000032</v>
      </c>
      <c r="P95" s="7">
        <f t="shared" si="49"/>
        <v>-1337.8000000000002</v>
      </c>
      <c r="Q95" s="7">
        <f t="shared" ref="Q95:R95" si="50">+SUM(Q88:Q94)</f>
        <v>-1401.5</v>
      </c>
      <c r="R95" s="7">
        <f t="shared" si="50"/>
        <v>-386.19999999999993</v>
      </c>
      <c r="S95" s="7">
        <f>+SUM(S88:S94)</f>
        <v>-298.80000000000007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</row>
    <row r="96" spans="2:64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</row>
    <row r="97" spans="2:64" x14ac:dyDescent="0.2">
      <c r="B97" s="2" t="s">
        <v>101</v>
      </c>
      <c r="C97" s="6"/>
      <c r="D97" s="6"/>
      <c r="E97" s="6"/>
      <c r="F97" s="6"/>
      <c r="G97" s="6"/>
      <c r="H97" s="6"/>
      <c r="I97" s="6"/>
      <c r="J97" s="6"/>
      <c r="K97" s="6"/>
      <c r="L97" s="7">
        <f t="shared" ref="L97:P97" si="51">+SUM(L96,L95,L87,L81)</f>
        <v>58.099999999999682</v>
      </c>
      <c r="M97" s="7">
        <f t="shared" si="51"/>
        <v>-298.99999999999977</v>
      </c>
      <c r="N97" s="7">
        <f t="shared" si="51"/>
        <v>577.20000000000039</v>
      </c>
      <c r="O97" s="7">
        <f t="shared" si="51"/>
        <v>-768.2000000000005</v>
      </c>
      <c r="P97" s="7">
        <f t="shared" ref="P97:R97" si="52">+SUM(P96,P95,P87,P81)</f>
        <v>51.399999999999864</v>
      </c>
      <c r="Q97" s="7">
        <f t="shared" si="52"/>
        <v>-140.79999999999995</v>
      </c>
      <c r="R97" s="7">
        <f t="shared" si="52"/>
        <v>85.5</v>
      </c>
      <c r="S97" s="7">
        <f>+SUM(S96,S95,S87,S81)</f>
        <v>56.200000000000273</v>
      </c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</row>
    <row r="98" spans="2:64" x14ac:dyDescent="0.2">
      <c r="B98" t="s">
        <v>100</v>
      </c>
      <c r="C98" s="6"/>
      <c r="D98" s="6"/>
      <c r="E98" s="6"/>
      <c r="F98" s="6"/>
      <c r="G98" s="6"/>
      <c r="H98" s="6"/>
      <c r="I98" s="6"/>
      <c r="J98" s="6"/>
      <c r="K98" s="6"/>
      <c r="L98" s="6">
        <v>570.29999999999995</v>
      </c>
      <c r="M98" s="6">
        <v>605.20000000000005</v>
      </c>
      <c r="N98" s="6">
        <v>310.8</v>
      </c>
      <c r="O98" s="6">
        <v>897.5</v>
      </c>
      <c r="P98" s="6">
        <v>117</v>
      </c>
      <c r="Q98" s="6">
        <v>-10.6</v>
      </c>
      <c r="R98" s="6">
        <v>-8.1</v>
      </c>
      <c r="S98" s="6">
        <v>4.3</v>
      </c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</row>
    <row r="99" spans="2:64" x14ac:dyDescent="0.2">
      <c r="B99" t="s">
        <v>102</v>
      </c>
      <c r="C99" s="6"/>
      <c r="D99" s="6"/>
      <c r="E99" s="6"/>
      <c r="F99" s="6"/>
      <c r="G99" s="6"/>
      <c r="H99" s="6"/>
      <c r="I99" s="6"/>
      <c r="J99" s="6"/>
      <c r="K99" s="6"/>
      <c r="L99" s="6">
        <v>-23.2</v>
      </c>
      <c r="M99" s="6">
        <v>4.5999999999999996</v>
      </c>
      <c r="N99" s="6">
        <v>9.5</v>
      </c>
      <c r="O99" s="6">
        <v>-12.3</v>
      </c>
      <c r="P99" s="6">
        <v>5.2</v>
      </c>
      <c r="Q99" s="6">
        <v>173.6</v>
      </c>
      <c r="R99" s="6">
        <v>22.2</v>
      </c>
      <c r="S99" s="6">
        <v>99.6</v>
      </c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</row>
    <row r="100" spans="2:64" x14ac:dyDescent="0.2">
      <c r="B100" t="s">
        <v>103</v>
      </c>
      <c r="C100" s="6"/>
      <c r="D100" s="6"/>
      <c r="E100" s="6"/>
      <c r="F100" s="6"/>
      <c r="G100" s="6"/>
      <c r="H100" s="6"/>
      <c r="I100" s="6"/>
      <c r="J100" s="6"/>
      <c r="K100" s="6"/>
      <c r="L100" s="6">
        <f t="shared" ref="L100:O100" si="53">+L99+L97+L98</f>
        <v>605.19999999999959</v>
      </c>
      <c r="M100" s="6">
        <f t="shared" si="53"/>
        <v>310.8000000000003</v>
      </c>
      <c r="N100" s="6">
        <f t="shared" si="53"/>
        <v>897.50000000000045</v>
      </c>
      <c r="O100" s="6">
        <f t="shared" si="53"/>
        <v>116.99999999999955</v>
      </c>
      <c r="P100" s="6">
        <f>+P99+P97+P98</f>
        <v>173.59999999999985</v>
      </c>
      <c r="Q100" s="6">
        <f>+Q99+Q97+Q98</f>
        <v>22.200000000000038</v>
      </c>
      <c r="R100" s="6">
        <f>+R99+R97+R98</f>
        <v>99.600000000000009</v>
      </c>
      <c r="S100" s="6">
        <f>+S99+S97+S98</f>
        <v>160.10000000000028</v>
      </c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</row>
    <row r="101" spans="2:64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</row>
    <row r="102" spans="2:64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</row>
    <row r="103" spans="2:64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</row>
    <row r="104" spans="2:64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</row>
    <row r="105" spans="2:64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</row>
    <row r="106" spans="2:64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</row>
    <row r="107" spans="2:64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</row>
    <row r="108" spans="2:64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</row>
    <row r="109" spans="2:64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</row>
    <row r="110" spans="2:64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</row>
    <row r="111" spans="2:64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</row>
    <row r="112" spans="2:64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</row>
    <row r="113" spans="3:64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</row>
    <row r="114" spans="3:64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</row>
    <row r="115" spans="3:64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</row>
    <row r="116" spans="3:64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</row>
    <row r="117" spans="3:64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</row>
    <row r="118" spans="3:64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</row>
    <row r="119" spans="3:64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</row>
    <row r="120" spans="3:64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</row>
    <row r="121" spans="3:64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</row>
    <row r="122" spans="3:64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</row>
    <row r="123" spans="3:64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</row>
    <row r="124" spans="3:64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</row>
    <row r="125" spans="3:64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</row>
    <row r="126" spans="3:64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</row>
    <row r="127" spans="3:64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</row>
    <row r="128" spans="3:64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</row>
    <row r="129" spans="3:64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</row>
    <row r="130" spans="3:64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</row>
    <row r="131" spans="3:64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</row>
    <row r="132" spans="3:64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</row>
    <row r="133" spans="3:64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</row>
    <row r="134" spans="3:64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</row>
    <row r="135" spans="3:64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</row>
    <row r="136" spans="3:64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</row>
    <row r="137" spans="3:64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</row>
    <row r="138" spans="3:64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</row>
    <row r="139" spans="3:64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</row>
    <row r="140" spans="3:64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</row>
    <row r="141" spans="3:64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</row>
    <row r="142" spans="3:64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</row>
    <row r="143" spans="3:64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</row>
    <row r="144" spans="3:64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</row>
    <row r="145" spans="3:64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</row>
    <row r="146" spans="3:64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</row>
    <row r="147" spans="3:64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</row>
    <row r="148" spans="3:64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</row>
    <row r="149" spans="3:64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</row>
    <row r="150" spans="3:64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</row>
    <row r="151" spans="3:64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</row>
    <row r="152" spans="3:64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</row>
    <row r="153" spans="3:64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</row>
    <row r="154" spans="3:64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</row>
    <row r="155" spans="3:64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</row>
    <row r="156" spans="3:64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</row>
    <row r="157" spans="3:64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</row>
    <row r="158" spans="3:64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</row>
    <row r="159" spans="3:64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</row>
    <row r="160" spans="3:64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</row>
    <row r="161" spans="3:64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</row>
    <row r="162" spans="3:64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</row>
    <row r="163" spans="3:64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</row>
    <row r="164" spans="3:64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</row>
    <row r="165" spans="3:64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</row>
    <row r="166" spans="3:64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</row>
    <row r="167" spans="3:64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</row>
    <row r="168" spans="3:64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</row>
    <row r="169" spans="3:64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</row>
    <row r="170" spans="3:64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</row>
    <row r="171" spans="3:64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</row>
    <row r="172" spans="3:64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</row>
    <row r="173" spans="3:64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</row>
    <row r="174" spans="3:64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</row>
    <row r="175" spans="3:64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</row>
    <row r="176" spans="3:64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</row>
    <row r="177" spans="3:64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</row>
    <row r="178" spans="3:64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</row>
    <row r="179" spans="3:64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</row>
    <row r="180" spans="3:64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</row>
    <row r="181" spans="3:64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</row>
    <row r="182" spans="3:64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</row>
    <row r="183" spans="3:64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</row>
    <row r="184" spans="3:64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</row>
    <row r="185" spans="3:64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</row>
    <row r="186" spans="3:64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</row>
    <row r="187" spans="3:64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</row>
    <row r="188" spans="3:64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</row>
    <row r="189" spans="3:64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</row>
    <row r="190" spans="3:64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</row>
    <row r="191" spans="3:64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</row>
    <row r="192" spans="3:64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</row>
    <row r="193" spans="3:64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</row>
    <row r="194" spans="3:64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</row>
    <row r="195" spans="3:64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</row>
    <row r="196" spans="3:64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</row>
    <row r="197" spans="3:64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</row>
    <row r="198" spans="3:64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</row>
    <row r="199" spans="3:64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</row>
    <row r="200" spans="3:64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</row>
    <row r="201" spans="3:64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</row>
    <row r="202" spans="3:64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</row>
    <row r="203" spans="3:64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</row>
    <row r="204" spans="3:64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</row>
    <row r="205" spans="3:64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</row>
    <row r="206" spans="3:64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</row>
    <row r="207" spans="3:64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</row>
    <row r="208" spans="3:64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</row>
    <row r="209" spans="3:64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</row>
    <row r="210" spans="3:64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</row>
    <row r="211" spans="3:64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</row>
    <row r="212" spans="3:64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</row>
    <row r="213" spans="3:64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</row>
    <row r="214" spans="3:64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</row>
    <row r="215" spans="3:64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</row>
    <row r="216" spans="3:64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</row>
    <row r="217" spans="3:64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</row>
    <row r="218" spans="3:64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</row>
    <row r="219" spans="3:64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</row>
    <row r="220" spans="3:64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</row>
    <row r="221" spans="3:64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</row>
    <row r="222" spans="3:64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</row>
    <row r="223" spans="3:64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</row>
    <row r="224" spans="3:64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</row>
    <row r="225" spans="3:64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</row>
    <row r="226" spans="3:64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</row>
    <row r="227" spans="3:64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</row>
    <row r="228" spans="3:64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</row>
    <row r="229" spans="3:64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</row>
    <row r="230" spans="3:64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</row>
    <row r="231" spans="3:64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</row>
    <row r="232" spans="3:64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</row>
    <row r="233" spans="3:64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</row>
    <row r="234" spans="3:64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</row>
    <row r="235" spans="3:64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</row>
    <row r="236" spans="3:64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</row>
    <row r="237" spans="3:64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</row>
    <row r="238" spans="3:64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</row>
    <row r="239" spans="3:64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</row>
    <row r="240" spans="3:64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</row>
    <row r="241" spans="3:64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</row>
    <row r="242" spans="3:64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</row>
    <row r="243" spans="3:64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</row>
    <row r="244" spans="3:64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</row>
    <row r="245" spans="3:64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</row>
    <row r="246" spans="3:64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</row>
    <row r="247" spans="3:64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</row>
    <row r="248" spans="3:64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</row>
    <row r="249" spans="3:64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</row>
    <row r="250" spans="3:64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</row>
    <row r="251" spans="3:64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</row>
    <row r="252" spans="3:64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</row>
    <row r="253" spans="3:64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</row>
    <row r="254" spans="3:64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</row>
    <row r="255" spans="3:64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</row>
    <row r="256" spans="3:64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</row>
    <row r="257" spans="3:64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</row>
    <row r="258" spans="3:64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</row>
    <row r="259" spans="3:64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</row>
    <row r="260" spans="3:64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</row>
    <row r="261" spans="3:64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</row>
    <row r="262" spans="3:64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</row>
    <row r="263" spans="3:64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</row>
    <row r="264" spans="3:64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</row>
    <row r="265" spans="3:64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</row>
    <row r="266" spans="3:64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</row>
    <row r="267" spans="3:64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</row>
    <row r="268" spans="3:64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</row>
    <row r="269" spans="3:64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</row>
    <row r="270" spans="3:64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</row>
    <row r="271" spans="3:64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</row>
    <row r="272" spans="3:64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</row>
    <row r="273" spans="3:64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</row>
    <row r="274" spans="3:64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</row>
    <row r="275" spans="3:64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</row>
    <row r="276" spans="3:64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</row>
    <row r="277" spans="3:64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</row>
    <row r="278" spans="3:64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</row>
    <row r="279" spans="3:64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</row>
    <row r="280" spans="3:64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</row>
    <row r="281" spans="3:64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</row>
    <row r="282" spans="3:64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</row>
    <row r="283" spans="3:64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</row>
    <row r="284" spans="3:64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</row>
    <row r="285" spans="3:64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</row>
    <row r="286" spans="3:64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</row>
    <row r="287" spans="3:64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</row>
    <row r="288" spans="3:64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</row>
    <row r="289" spans="3:64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</row>
    <row r="290" spans="3:64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</row>
    <row r="291" spans="3:64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</row>
    <row r="292" spans="3:64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</row>
    <row r="293" spans="3:64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</row>
    <row r="294" spans="3:64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</row>
    <row r="295" spans="3:64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</row>
    <row r="296" spans="3:64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</row>
    <row r="297" spans="3:64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</row>
    <row r="298" spans="3:64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</row>
    <row r="299" spans="3:64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</row>
    <row r="300" spans="3:64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</row>
    <row r="301" spans="3:64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</row>
    <row r="302" spans="3:64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</row>
    <row r="303" spans="3:64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</row>
    <row r="304" spans="3:64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</row>
    <row r="305" spans="3:64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</row>
    <row r="306" spans="3:64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</row>
    <row r="307" spans="3:64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</row>
    <row r="308" spans="3:64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</row>
    <row r="309" spans="3:64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</row>
    <row r="310" spans="3:64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</row>
    <row r="311" spans="3:64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</row>
    <row r="312" spans="3:64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</row>
    <row r="313" spans="3:64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</row>
    <row r="314" spans="3:64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</row>
    <row r="315" spans="3:64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</row>
    <row r="316" spans="3:64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</row>
    <row r="317" spans="3:64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</row>
    <row r="318" spans="3:64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</row>
    <row r="319" spans="3:64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</row>
    <row r="320" spans="3:64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</row>
    <row r="321" spans="3:64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</row>
    <row r="322" spans="3:64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</row>
    <row r="323" spans="3:64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</row>
    <row r="324" spans="3:64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</row>
    <row r="325" spans="3:64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</row>
    <row r="326" spans="3:64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</row>
    <row r="327" spans="3:64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</row>
    <row r="328" spans="3:64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</row>
    <row r="329" spans="3:64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</row>
    <row r="330" spans="3:64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</row>
    <row r="331" spans="3:64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</row>
    <row r="332" spans="3:64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</row>
    <row r="333" spans="3:64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</row>
    <row r="334" spans="3:64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</row>
    <row r="335" spans="3:64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</row>
    <row r="336" spans="3:64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</row>
    <row r="337" spans="3:64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</row>
    <row r="338" spans="3:64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</row>
    <row r="339" spans="3:64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</row>
    <row r="340" spans="3:64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</row>
    <row r="341" spans="3:64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</row>
    <row r="342" spans="3:64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</row>
    <row r="343" spans="3:64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</row>
    <row r="344" spans="3:64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</row>
    <row r="345" spans="3:64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</row>
    <row r="346" spans="3:64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</row>
    <row r="347" spans="3:64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</row>
    <row r="348" spans="3:64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</row>
    <row r="349" spans="3:64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</row>
    <row r="350" spans="3:64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</row>
    <row r="351" spans="3:64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</row>
    <row r="352" spans="3:64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</row>
    <row r="353" spans="3:64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</row>
    <row r="354" spans="3:64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</row>
    <row r="355" spans="3:64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</row>
    <row r="356" spans="3:64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</row>
    <row r="357" spans="3:64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</row>
    <row r="358" spans="3:64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</row>
    <row r="359" spans="3:64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</row>
    <row r="360" spans="3:64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</row>
    <row r="361" spans="3:64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</row>
    <row r="362" spans="3:64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</row>
    <row r="363" spans="3:64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</row>
    <row r="364" spans="3:64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</row>
    <row r="365" spans="3:64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</row>
    <row r="366" spans="3:64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</row>
    <row r="367" spans="3:64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</row>
    <row r="368" spans="3:64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spans="3:32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 spans="3:32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spans="3:32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spans="3:32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spans="3:32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spans="3:32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spans="3:32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spans="3:32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spans="3:32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spans="3:32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spans="3:32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spans="3:32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spans="3:32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 spans="3:32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 spans="3:32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 spans="3:32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 spans="3:32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 spans="3:32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 spans="3:32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 spans="3:32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 spans="3:32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 spans="3:32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 spans="3:32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 spans="3:32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 spans="3:32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 spans="3:32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 spans="3:32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 spans="3:32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 spans="3:32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 spans="3:32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spans="3:32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spans="3:32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spans="3:32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spans="3:32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spans="3:32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spans="3:32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spans="3:32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spans="3:32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spans="3:32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spans="3:32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spans="3:32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spans="3:32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spans="3:32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spans="3:32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spans="3:32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spans="3:32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spans="3:32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spans="3:32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spans="3:32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spans="3:32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spans="3:32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spans="3:32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spans="3:32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spans="3:32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spans="3:32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spans="3:32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spans="3:32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spans="3:32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spans="3:32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spans="3:32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spans="3:32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spans="3:32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spans="3:32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spans="3:32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spans="3:32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 spans="3:32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 spans="3:32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 spans="3:32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 spans="3:32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 spans="3:32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 spans="3:32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 spans="3:32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 spans="3:32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 spans="3:32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 spans="3:32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 spans="3:32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 spans="3:32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 spans="3:32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 spans="3:32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 spans="3:32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 spans="3:32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 spans="3:32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 spans="3:32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 spans="3:32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 spans="3:32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 spans="3:32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 spans="3:32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</sheetData>
  <hyperlinks>
    <hyperlink ref="A1" location="Main!A1" display="Main" xr:uid="{045468A1-3DAF-463D-BF7D-92662B42E658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J17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4" sqref="C14:J14"/>
    </sheetView>
  </sheetViews>
  <sheetFormatPr defaultRowHeight="12.75" x14ac:dyDescent="0.2"/>
  <cols>
    <col min="1" max="1" width="5.140625" bestFit="1" customWidth="1"/>
    <col min="2" max="2" width="22.42578125" customWidth="1"/>
  </cols>
  <sheetData>
    <row r="1" spans="1:10" x14ac:dyDescent="0.2">
      <c r="A1" s="8" t="s">
        <v>9</v>
      </c>
    </row>
    <row r="2" spans="1:10" x14ac:dyDescent="0.2">
      <c r="C2" s="5" t="s">
        <v>179</v>
      </c>
      <c r="D2" s="5" t="s">
        <v>173</v>
      </c>
      <c r="E2" s="5" t="s">
        <v>45</v>
      </c>
      <c r="F2" s="5" t="s">
        <v>40</v>
      </c>
      <c r="G2" s="5" t="s">
        <v>41</v>
      </c>
      <c r="H2" s="5" t="s">
        <v>42</v>
      </c>
      <c r="I2" s="5" t="s">
        <v>43</v>
      </c>
      <c r="J2" s="5" t="s">
        <v>44</v>
      </c>
    </row>
    <row r="3" spans="1:10" x14ac:dyDescent="0.2">
      <c r="B3" t="s">
        <v>46</v>
      </c>
      <c r="C3">
        <v>120</v>
      </c>
      <c r="D3">
        <v>78.45</v>
      </c>
      <c r="E3">
        <v>81.25</v>
      </c>
      <c r="F3">
        <v>104.1</v>
      </c>
      <c r="G3">
        <v>137.30000000000001</v>
      </c>
      <c r="H3">
        <v>122.1</v>
      </c>
      <c r="I3">
        <v>117.3</v>
      </c>
      <c r="J3">
        <v>95.3</v>
      </c>
    </row>
    <row r="4" spans="1:10" x14ac:dyDescent="0.2">
      <c r="B4" t="s">
        <v>47</v>
      </c>
      <c r="C4" s="6">
        <v>100</v>
      </c>
      <c r="D4" s="6">
        <v>99.802999999999997</v>
      </c>
      <c r="E4" s="6">
        <v>99.94</v>
      </c>
      <c r="F4" s="6">
        <v>99.659000000000006</v>
      </c>
      <c r="G4" s="6">
        <v>95.688999999999993</v>
      </c>
      <c r="H4" s="6">
        <v>90.850999999999999</v>
      </c>
      <c r="I4" s="6">
        <v>86.668000000000006</v>
      </c>
      <c r="J4" s="6">
        <v>82.162000000000006</v>
      </c>
    </row>
    <row r="5" spans="1:10" x14ac:dyDescent="0.2">
      <c r="B5" t="s">
        <v>4</v>
      </c>
      <c r="C5" s="3">
        <f t="shared" ref="C5:F5" si="0">+C3*C4</f>
        <v>12000</v>
      </c>
      <c r="D5" s="3">
        <f t="shared" ref="D5" si="1">+D3*D4</f>
        <v>7829.5453500000003</v>
      </c>
      <c r="E5" s="3">
        <f t="shared" si="0"/>
        <v>8120.125</v>
      </c>
      <c r="F5" s="3">
        <f t="shared" si="0"/>
        <v>10374.501899999999</v>
      </c>
      <c r="G5" s="3">
        <f t="shared" ref="G5" si="2">+G3*G4</f>
        <v>13138.099700000001</v>
      </c>
      <c r="H5" s="3">
        <f t="shared" ref="H5" si="3">+H3*H4</f>
        <v>11092.907099999999</v>
      </c>
      <c r="I5" s="3">
        <f t="shared" ref="I5" si="4">+I3*I4</f>
        <v>10166.1564</v>
      </c>
      <c r="J5" s="3">
        <f>+J3*J4</f>
        <v>7830.0386000000008</v>
      </c>
    </row>
    <row r="6" spans="1:10" x14ac:dyDescent="0.2">
      <c r="B6" t="s">
        <v>5</v>
      </c>
      <c r="C6" s="3">
        <f>+Model!L52</f>
        <v>605.20000000000005</v>
      </c>
      <c r="D6" s="3">
        <f>+Model!M52</f>
        <v>310.8</v>
      </c>
      <c r="E6" s="3">
        <f>+Model!N52</f>
        <v>897.5</v>
      </c>
      <c r="F6" s="3">
        <f>+Model!O52</f>
        <v>117</v>
      </c>
      <c r="G6" s="3">
        <f>+Model!P52</f>
        <v>173.6</v>
      </c>
      <c r="H6" s="3">
        <f>+Model!Q52</f>
        <v>22.2</v>
      </c>
      <c r="I6" s="3">
        <f>+Model!R52</f>
        <v>99.6</v>
      </c>
      <c r="J6" s="3">
        <f>+Model!S52</f>
        <v>160.1</v>
      </c>
    </row>
    <row r="7" spans="1:10" x14ac:dyDescent="0.2">
      <c r="B7" t="s">
        <v>6</v>
      </c>
      <c r="C7" s="3">
        <f>+Model!L56+Model!L63</f>
        <v>2606.3000000000002</v>
      </c>
      <c r="D7" s="3">
        <f>+Model!M56+Model!M63</f>
        <v>2658.1</v>
      </c>
      <c r="E7" s="3">
        <f>+Model!N56+Model!N63</f>
        <v>2682.1</v>
      </c>
      <c r="F7" s="3">
        <f>+Model!O56+Model!O63</f>
        <v>2843.5</v>
      </c>
      <c r="G7" s="3">
        <f>+Model!P56+Model!P63</f>
        <v>2918</v>
      </c>
      <c r="H7" s="3">
        <f>+Model!Q56+Model!Q63</f>
        <v>3101.1</v>
      </c>
      <c r="I7" s="3">
        <f>+Model!R56+Model!R63</f>
        <v>3656.7</v>
      </c>
      <c r="J7" s="3">
        <f>+Model!S56+Model!S63</f>
        <v>4958.3999999999996</v>
      </c>
    </row>
    <row r="8" spans="1:10" x14ac:dyDescent="0.2">
      <c r="B8" t="s">
        <v>7</v>
      </c>
      <c r="C8" s="3">
        <f t="shared" ref="C8:I8" si="5">+C5-C6+C7</f>
        <v>14001.099999999999</v>
      </c>
      <c r="D8" s="3">
        <f t="shared" si="5"/>
        <v>10176.84535</v>
      </c>
      <c r="E8" s="3">
        <f t="shared" si="5"/>
        <v>9904.7250000000004</v>
      </c>
      <c r="F8" s="3">
        <f t="shared" si="5"/>
        <v>13101.001899999999</v>
      </c>
      <c r="G8" s="3">
        <f t="shared" si="5"/>
        <v>15882.4997</v>
      </c>
      <c r="H8" s="3">
        <f t="shared" si="5"/>
        <v>14171.807099999998</v>
      </c>
      <c r="I8" s="3">
        <f t="shared" si="5"/>
        <v>13723.256399999998</v>
      </c>
      <c r="J8" s="3">
        <f>+J5-J6+J7</f>
        <v>12628.338599999999</v>
      </c>
    </row>
    <row r="10" spans="1:10" x14ac:dyDescent="0.2">
      <c r="B10" t="s">
        <v>181</v>
      </c>
    </row>
    <row r="11" spans="1:10" x14ac:dyDescent="0.2">
      <c r="B11" t="s">
        <v>182</v>
      </c>
    </row>
    <row r="12" spans="1:10" x14ac:dyDescent="0.2">
      <c r="B12" t="s">
        <v>184</v>
      </c>
    </row>
    <row r="14" spans="1:10" x14ac:dyDescent="0.2">
      <c r="B14" t="s">
        <v>180</v>
      </c>
      <c r="C14" s="21">
        <f>+Model!L23/Model!L55</f>
        <v>8.4230960441277467E-2</v>
      </c>
      <c r="D14" s="21">
        <f>+Model!M23/Model!M55</f>
        <v>7.5468916558934993E-2</v>
      </c>
      <c r="E14" s="21">
        <f>+Model!N23/Model!N55</f>
        <v>8.2140463818427517E-2</v>
      </c>
      <c r="F14" s="21">
        <f>+Model!O23/Model!O55</f>
        <v>8.0969387145706673E-2</v>
      </c>
      <c r="G14" s="21">
        <f>+Model!P23/Model!P55</f>
        <v>0.15506590245099139</v>
      </c>
      <c r="H14" s="21">
        <f>+Model!Q23/Model!Q55</f>
        <v>0.15803502611972264</v>
      </c>
      <c r="I14" s="21">
        <f>+Model!R23/Model!R55</f>
        <v>0.12533389866440531</v>
      </c>
      <c r="J14" s="21">
        <f>+Model!S23/Model!S55</f>
        <v>0.10195291309536725</v>
      </c>
    </row>
    <row r="15" spans="1:10" x14ac:dyDescent="0.2">
      <c r="B15" t="s">
        <v>183</v>
      </c>
    </row>
    <row r="16" spans="1:10" x14ac:dyDescent="0.2">
      <c r="B16" t="s">
        <v>138</v>
      </c>
    </row>
    <row r="17" spans="2:2" x14ac:dyDescent="0.2">
      <c r="B17" t="s">
        <v>185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zoomScaleNormal="100" workbookViewId="0">
      <selection activeCell="E13" sqref="E13"/>
    </sheetView>
  </sheetViews>
  <sheetFormatPr defaultRowHeight="12.75" x14ac:dyDescent="0.2"/>
  <cols>
    <col min="1" max="1" width="4.7109375" bestFit="1" customWidth="1"/>
    <col min="5" max="5" width="10.140625" bestFit="1" customWidth="1"/>
  </cols>
  <sheetData>
    <row r="1" spans="1:41" ht="19.5" x14ac:dyDescent="0.3">
      <c r="A1" s="23" t="s">
        <v>9</v>
      </c>
      <c r="B1" s="24" t="s">
        <v>115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</row>
    <row r="2" spans="1:41" x14ac:dyDescent="0.2">
      <c r="E2" s="25"/>
    </row>
    <row r="3" spans="1:41" x14ac:dyDescent="0.2">
      <c r="B3" t="s">
        <v>116</v>
      </c>
      <c r="E3" s="26" t="s">
        <v>167</v>
      </c>
      <c r="G3" t="s">
        <v>117</v>
      </c>
      <c r="J3" s="26">
        <f>+Main!J2</f>
        <v>86.5</v>
      </c>
      <c r="L3" t="s">
        <v>117</v>
      </c>
      <c r="O3" s="26">
        <f>+J3</f>
        <v>86.5</v>
      </c>
    </row>
    <row r="4" spans="1:41" x14ac:dyDescent="0.2">
      <c r="B4" t="s">
        <v>118</v>
      </c>
      <c r="E4" s="27">
        <f ca="1">+TODAY()</f>
        <v>45977</v>
      </c>
      <c r="G4" t="s">
        <v>119</v>
      </c>
      <c r="J4" s="28">
        <f ca="1">V62</f>
        <v>107.52888780978846</v>
      </c>
      <c r="L4" t="s">
        <v>120</v>
      </c>
      <c r="O4" s="29">
        <f>+J15+O15+T15</f>
        <v>0</v>
      </c>
    </row>
    <row r="5" spans="1:41" x14ac:dyDescent="0.2">
      <c r="B5" t="s">
        <v>121</v>
      </c>
      <c r="E5" s="73">
        <v>46022</v>
      </c>
      <c r="G5" t="s">
        <v>122</v>
      </c>
      <c r="J5" s="31">
        <f ca="1">J4/J3-1</f>
        <v>0.24310852959293006</v>
      </c>
      <c r="L5" t="s">
        <v>122</v>
      </c>
      <c r="O5" s="31">
        <f>O4/O3-1</f>
        <v>-1</v>
      </c>
    </row>
    <row r="7" spans="1:41" ht="15" x14ac:dyDescent="0.25">
      <c r="A7" s="32" t="s">
        <v>123</v>
      </c>
      <c r="B7" s="33" t="s">
        <v>124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41" ht="15" x14ac:dyDescent="0.25">
      <c r="A8" s="32"/>
    </row>
    <row r="9" spans="1:41" ht="15" x14ac:dyDescent="0.25">
      <c r="A9" s="32"/>
      <c r="B9" s="34" t="s">
        <v>125</v>
      </c>
      <c r="C9" s="35"/>
      <c r="D9" s="35"/>
      <c r="E9" s="35"/>
      <c r="G9" s="34" t="s">
        <v>126</v>
      </c>
      <c r="H9" s="34"/>
      <c r="I9" s="35"/>
      <c r="J9" s="35"/>
      <c r="L9" s="34" t="s">
        <v>127</v>
      </c>
      <c r="M9" s="35"/>
      <c r="N9" s="35"/>
      <c r="O9" s="35"/>
      <c r="Q9" s="34" t="s">
        <v>128</v>
      </c>
      <c r="R9" s="35"/>
      <c r="S9" s="35"/>
      <c r="T9" s="35"/>
    </row>
    <row r="10" spans="1:41" ht="15" x14ac:dyDescent="0.25">
      <c r="A10" s="32"/>
      <c r="B10" s="36" t="s">
        <v>129</v>
      </c>
      <c r="G10" s="36" t="s">
        <v>129</v>
      </c>
      <c r="H10" s="36"/>
      <c r="I10" s="36" t="s">
        <v>130</v>
      </c>
      <c r="J10" s="36" t="s">
        <v>131</v>
      </c>
      <c r="L10" s="36" t="s">
        <v>129</v>
      </c>
      <c r="N10" s="36" t="s">
        <v>130</v>
      </c>
      <c r="O10" s="36" t="s">
        <v>131</v>
      </c>
      <c r="Q10" s="36" t="s">
        <v>129</v>
      </c>
      <c r="S10" s="36" t="s">
        <v>130</v>
      </c>
      <c r="T10" s="36" t="s">
        <v>131</v>
      </c>
    </row>
    <row r="11" spans="1:41" ht="15" x14ac:dyDescent="0.25">
      <c r="B11" t="s">
        <v>20</v>
      </c>
      <c r="E11" s="30">
        <v>2</v>
      </c>
      <c r="G11" t="s">
        <v>132</v>
      </c>
      <c r="K11" s="37"/>
      <c r="L11" t="s">
        <v>132</v>
      </c>
      <c r="Q11" t="s">
        <v>132</v>
      </c>
    </row>
    <row r="12" spans="1:41" x14ac:dyDescent="0.2">
      <c r="B12" t="s">
        <v>133</v>
      </c>
      <c r="E12" s="30">
        <v>2</v>
      </c>
      <c r="G12" t="s">
        <v>133</v>
      </c>
      <c r="L12" t="s">
        <v>133</v>
      </c>
      <c r="Q12" t="s">
        <v>133</v>
      </c>
    </row>
    <row r="13" spans="1:41" x14ac:dyDescent="0.2">
      <c r="B13" t="s">
        <v>134</v>
      </c>
      <c r="E13" s="30">
        <v>2</v>
      </c>
      <c r="G13" t="s">
        <v>135</v>
      </c>
      <c r="J13" s="38"/>
      <c r="O13" s="38"/>
      <c r="T13" s="38"/>
    </row>
    <row r="14" spans="1:41" x14ac:dyDescent="0.2">
      <c r="B14" t="s">
        <v>136</v>
      </c>
      <c r="E14" s="30">
        <v>2</v>
      </c>
      <c r="G14" t="s">
        <v>137</v>
      </c>
      <c r="J14" s="38"/>
      <c r="L14" t="s">
        <v>137</v>
      </c>
      <c r="O14" s="38"/>
      <c r="Q14" t="s">
        <v>137</v>
      </c>
      <c r="T14" s="38"/>
    </row>
    <row r="15" spans="1:41" x14ac:dyDescent="0.2">
      <c r="B15" t="s">
        <v>138</v>
      </c>
      <c r="E15" s="30">
        <v>2</v>
      </c>
      <c r="G15" t="s">
        <v>139</v>
      </c>
      <c r="J15" s="38"/>
      <c r="L15" t="s">
        <v>139</v>
      </c>
      <c r="O15" s="38"/>
      <c r="Q15" t="s">
        <v>139</v>
      </c>
      <c r="T15" s="38"/>
    </row>
    <row r="17" spans="1:22" ht="15" x14ac:dyDescent="0.25">
      <c r="B17" s="36" t="s">
        <v>140</v>
      </c>
    </row>
    <row r="18" spans="1:22" x14ac:dyDescent="0.2">
      <c r="B18" t="s">
        <v>134</v>
      </c>
      <c r="E18" s="38">
        <f>CHOOSE(E13,J18,O18,T18)</f>
        <v>0.09</v>
      </c>
      <c r="G18" t="s">
        <v>134</v>
      </c>
      <c r="J18" s="38">
        <v>0.1</v>
      </c>
      <c r="L18" t="s">
        <v>134</v>
      </c>
      <c r="O18" s="38">
        <v>0.09</v>
      </c>
      <c r="Q18" t="s">
        <v>134</v>
      </c>
      <c r="T18" s="38">
        <v>0.08</v>
      </c>
    </row>
    <row r="19" spans="1:22" x14ac:dyDescent="0.2">
      <c r="B19" t="s">
        <v>136</v>
      </c>
      <c r="E19" s="38">
        <f>CHOOSE(E14,J19,O19,T19)</f>
        <v>0.01</v>
      </c>
      <c r="G19" t="s">
        <v>136</v>
      </c>
      <c r="J19" s="38">
        <v>5.0000000000000001E-3</v>
      </c>
      <c r="L19" t="s">
        <v>136</v>
      </c>
      <c r="O19" s="38">
        <v>0.01</v>
      </c>
      <c r="Q19" t="s">
        <v>136</v>
      </c>
      <c r="T19" s="38">
        <v>1.4999999999999999E-2</v>
      </c>
    </row>
    <row r="20" spans="1:22" x14ac:dyDescent="0.2">
      <c r="B20" t="s">
        <v>141</v>
      </c>
      <c r="E20" s="38">
        <f>CHOOSE(E15,J20,O20,T20)</f>
        <v>0.11</v>
      </c>
      <c r="G20" t="s">
        <v>141</v>
      </c>
      <c r="J20" s="38">
        <v>0.1</v>
      </c>
      <c r="L20" t="s">
        <v>141</v>
      </c>
      <c r="O20" s="38">
        <v>0.11</v>
      </c>
      <c r="Q20" t="s">
        <v>141</v>
      </c>
      <c r="T20" s="38">
        <v>0.12</v>
      </c>
    </row>
    <row r="24" spans="1:22" ht="15" x14ac:dyDescent="0.25">
      <c r="A24" s="32" t="s">
        <v>123</v>
      </c>
      <c r="B24" s="33" t="s">
        <v>142</v>
      </c>
      <c r="C24" s="33"/>
      <c r="D24" s="33"/>
      <c r="E24" s="33"/>
      <c r="F24" s="33"/>
      <c r="G24" s="39">
        <v>19</v>
      </c>
      <c r="H24" s="39">
        <f>G24+1</f>
        <v>20</v>
      </c>
      <c r="I24" s="39">
        <f t="shared" ref="I24:V24" si="0">H24+1</f>
        <v>21</v>
      </c>
      <c r="J24" s="39">
        <f t="shared" si="0"/>
        <v>22</v>
      </c>
      <c r="K24" s="39">
        <f t="shared" si="0"/>
        <v>23</v>
      </c>
      <c r="L24" s="39">
        <f t="shared" si="0"/>
        <v>24</v>
      </c>
      <c r="M24" s="39">
        <f t="shared" si="0"/>
        <v>25</v>
      </c>
      <c r="N24" s="39">
        <f t="shared" si="0"/>
        <v>26</v>
      </c>
      <c r="O24" s="39">
        <f t="shared" si="0"/>
        <v>27</v>
      </c>
      <c r="P24" s="39">
        <f t="shared" si="0"/>
        <v>28</v>
      </c>
      <c r="Q24" s="39">
        <f t="shared" si="0"/>
        <v>29</v>
      </c>
      <c r="R24" s="39">
        <f t="shared" si="0"/>
        <v>30</v>
      </c>
      <c r="S24" s="39">
        <f t="shared" si="0"/>
        <v>31</v>
      </c>
      <c r="T24" s="39">
        <f t="shared" si="0"/>
        <v>32</v>
      </c>
      <c r="U24" s="39">
        <f t="shared" si="0"/>
        <v>33</v>
      </c>
      <c r="V24" s="39">
        <f t="shared" si="0"/>
        <v>34</v>
      </c>
    </row>
    <row r="25" spans="1:22" x14ac:dyDescent="0.2">
      <c r="B25" t="s">
        <v>132</v>
      </c>
      <c r="G25" s="3">
        <f>+Model!N10</f>
        <v>6719</v>
      </c>
      <c r="H25" s="3">
        <f>+Model!O10</f>
        <v>8005.9</v>
      </c>
      <c r="I25" s="3">
        <f>+Model!P10</f>
        <v>8232.7000000000007</v>
      </c>
      <c r="J25" s="3">
        <f>+Model!Q10</f>
        <v>8762.2000000000007</v>
      </c>
      <c r="K25" s="3">
        <f>+Model!R10</f>
        <v>8730.9</v>
      </c>
      <c r="L25" s="3">
        <f>+Model!S10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5" x14ac:dyDescent="0.25">
      <c r="B26" s="40" t="s">
        <v>143</v>
      </c>
      <c r="C26" s="41"/>
      <c r="G26" s="42"/>
      <c r="H26" s="43">
        <f t="shared" ref="H26:L26" si="2">H25/G25-1</f>
        <v>0.19153147789849667</v>
      </c>
      <c r="I26" s="43">
        <f t="shared" si="2"/>
        <v>2.8329107283378674E-2</v>
      </c>
      <c r="J26" s="43">
        <f t="shared" si="2"/>
        <v>6.4316688328251992E-2</v>
      </c>
      <c r="K26" s="43">
        <f t="shared" si="2"/>
        <v>-3.5721622423593447E-3</v>
      </c>
      <c r="L26" s="43">
        <f t="shared" si="2"/>
        <v>5.3969235703077656E-2</v>
      </c>
      <c r="M26" s="43" cm="1">
        <f t="array" aca="1" ref="M26" ca="1">OFFSET(M26,$E$11,,)</f>
        <v>0.01</v>
      </c>
      <c r="N26" s="43" cm="1">
        <f t="array" aca="1" ref="N26" ca="1">OFFSET(N26,$E$11,,)</f>
        <v>0.01</v>
      </c>
      <c r="O26" s="43" cm="1">
        <f t="array" aca="1" ref="O26" ca="1">OFFSET(O26,$E$11,,)</f>
        <v>0.01</v>
      </c>
      <c r="P26" s="43" cm="1">
        <f t="array" aca="1" ref="P26" ca="1">OFFSET(P26,$E$11,,)</f>
        <v>0.01</v>
      </c>
      <c r="Q26" s="43" cm="1">
        <f t="array" aca="1" ref="Q26" ca="1">OFFSET(Q26,$E$11,,)</f>
        <v>0.01</v>
      </c>
      <c r="R26" s="43" cm="1">
        <f t="array" aca="1" ref="R26" ca="1">OFFSET(R26,$E$11,,)</f>
        <v>0.01</v>
      </c>
      <c r="S26" s="43" cm="1">
        <f t="array" aca="1" ref="S26" ca="1">OFFSET(S26,$E$11,,)</f>
        <v>0.01</v>
      </c>
      <c r="T26" s="43" cm="1">
        <f t="array" aca="1" ref="T26" ca="1">OFFSET(T26,$E$11,,)</f>
        <v>0.01</v>
      </c>
      <c r="U26" s="43" cm="1">
        <f t="array" aca="1" ref="U26" ca="1">OFFSET(U26,$E$11,,)</f>
        <v>0.01</v>
      </c>
      <c r="V26" s="43" cm="1">
        <f t="array" aca="1" ref="V26" ca="1">OFFSET(V26,$E$11,,)</f>
        <v>0.01</v>
      </c>
    </row>
    <row r="27" spans="1:22" ht="15" x14ac:dyDescent="0.25">
      <c r="B27" s="40" t="s">
        <v>126</v>
      </c>
      <c r="C27" s="41"/>
      <c r="I27" s="21"/>
      <c r="J27" s="21"/>
      <c r="K27" s="21"/>
      <c r="L27" s="21"/>
      <c r="M27" s="44">
        <v>-0.01</v>
      </c>
      <c r="N27" s="44">
        <v>-0.01</v>
      </c>
      <c r="O27" s="44">
        <v>-0.01</v>
      </c>
      <c r="P27" s="44">
        <v>-0.01</v>
      </c>
      <c r="Q27" s="44">
        <v>-0.01</v>
      </c>
      <c r="R27" s="44">
        <v>-0.01</v>
      </c>
      <c r="S27" s="44">
        <v>-0.01</v>
      </c>
      <c r="T27" s="44">
        <v>-0.01</v>
      </c>
      <c r="U27" s="44">
        <v>-0.01</v>
      </c>
      <c r="V27" s="44">
        <v>-0.01</v>
      </c>
    </row>
    <row r="28" spans="1:22" ht="15" x14ac:dyDescent="0.25">
      <c r="B28" s="40" t="s">
        <v>144</v>
      </c>
      <c r="C28" s="41"/>
      <c r="I28" s="21"/>
      <c r="J28" s="21"/>
      <c r="K28" s="21"/>
      <c r="L28" s="21"/>
      <c r="M28" s="44">
        <v>0.01</v>
      </c>
      <c r="N28" s="44">
        <v>0.01</v>
      </c>
      <c r="O28" s="44">
        <v>0.01</v>
      </c>
      <c r="P28" s="44">
        <v>0.01</v>
      </c>
      <c r="Q28" s="44">
        <v>0.01</v>
      </c>
      <c r="R28" s="44">
        <v>0.01</v>
      </c>
      <c r="S28" s="44">
        <v>0.01</v>
      </c>
      <c r="T28" s="44">
        <v>0.01</v>
      </c>
      <c r="U28" s="44">
        <v>0.01</v>
      </c>
      <c r="V28" s="44">
        <v>0.01</v>
      </c>
    </row>
    <row r="29" spans="1:22" ht="15" x14ac:dyDescent="0.25">
      <c r="B29" s="40" t="s">
        <v>145</v>
      </c>
      <c r="C29" s="41"/>
      <c r="I29" s="21"/>
      <c r="J29" s="21"/>
      <c r="K29" s="21"/>
      <c r="L29" s="21"/>
      <c r="M29" s="44">
        <v>0.03</v>
      </c>
      <c r="N29" s="44">
        <v>0.03</v>
      </c>
      <c r="O29" s="44">
        <v>0.03</v>
      </c>
      <c r="P29" s="44">
        <v>0.03</v>
      </c>
      <c r="Q29" s="44">
        <v>0.03</v>
      </c>
      <c r="R29" s="44">
        <v>0.03</v>
      </c>
      <c r="S29" s="44">
        <v>0.03</v>
      </c>
      <c r="T29" s="44">
        <v>0.03</v>
      </c>
      <c r="U29" s="44">
        <v>0.03</v>
      </c>
      <c r="V29" s="44">
        <v>0.03</v>
      </c>
    </row>
    <row r="31" spans="1:22" x14ac:dyDescent="0.2">
      <c r="B31" t="s">
        <v>133</v>
      </c>
      <c r="G31" s="3">
        <f>+Model!N17</f>
        <v>977.20000000000016</v>
      </c>
      <c r="H31" s="3">
        <f>+Model!O17</f>
        <v>985.59999999999991</v>
      </c>
      <c r="I31" s="3">
        <f>+Model!P17</f>
        <v>1814.2000000000003</v>
      </c>
      <c r="J31" s="3">
        <f>+Model!Q17</f>
        <v>1953.0000000000009</v>
      </c>
      <c r="K31" s="3">
        <f>+Model!R17</f>
        <v>1638.2999999999995</v>
      </c>
      <c r="L31" s="3">
        <f>+Model!S17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5" x14ac:dyDescent="0.25">
      <c r="B32" s="40" t="s">
        <v>146</v>
      </c>
      <c r="G32" s="43">
        <f>G31/G25</f>
        <v>0.14543830927221316</v>
      </c>
      <c r="H32" s="43">
        <f t="shared" ref="H32:L32" si="4">H31/H25</f>
        <v>0.12310920695986709</v>
      </c>
      <c r="I32" s="43">
        <f t="shared" si="4"/>
        <v>0.22036512930144425</v>
      </c>
      <c r="J32" s="43">
        <f t="shared" si="4"/>
        <v>0.22288922873251019</v>
      </c>
      <c r="K32" s="43">
        <f t="shared" si="4"/>
        <v>0.18764388551008482</v>
      </c>
      <c r="L32" s="43">
        <f t="shared" si="4"/>
        <v>0.1499875028526097</v>
      </c>
      <c r="M32" s="43" cm="1">
        <f t="array" aca="1" ref="M32" ca="1">OFFSET(M32,$E$12,,)</f>
        <v>0.15</v>
      </c>
      <c r="N32" s="43" cm="1">
        <f t="array" aca="1" ref="N32" ca="1">OFFSET(N32,$E$12,,)</f>
        <v>0.15</v>
      </c>
      <c r="O32" s="43" cm="1">
        <f t="array" aca="1" ref="O32" ca="1">OFFSET(O32,$E$12,,)</f>
        <v>0.15</v>
      </c>
      <c r="P32" s="43" cm="1">
        <f t="array" aca="1" ref="P32" ca="1">OFFSET(P32,$E$12,,)</f>
        <v>0.15</v>
      </c>
      <c r="Q32" s="43" cm="1">
        <f t="array" aca="1" ref="Q32" ca="1">OFFSET(Q32,$E$12,,)</f>
        <v>0.15</v>
      </c>
      <c r="R32" s="43" cm="1">
        <f t="array" aca="1" ref="R32" ca="1">OFFSET(R32,$E$12,,)</f>
        <v>0.15</v>
      </c>
      <c r="S32" s="43" cm="1">
        <f t="array" aca="1" ref="S32" ca="1">OFFSET(S32,$E$12,,)</f>
        <v>0.15</v>
      </c>
      <c r="T32" s="43" cm="1">
        <f t="array" aca="1" ref="T32" ca="1">OFFSET(T32,$E$12,,)</f>
        <v>0.15</v>
      </c>
      <c r="U32" s="43" cm="1">
        <f t="array" aca="1" ref="U32" ca="1">OFFSET(U32,$E$12,,)</f>
        <v>0.15</v>
      </c>
      <c r="V32" s="43" cm="1">
        <f t="array" aca="1" ref="V32" ca="1">OFFSET(V32,$E$12,,)</f>
        <v>0.15</v>
      </c>
    </row>
    <row r="33" spans="2:22" ht="15" x14ac:dyDescent="0.25">
      <c r="B33" s="40" t="s">
        <v>126</v>
      </c>
      <c r="M33" s="44">
        <v>0.13</v>
      </c>
      <c r="N33" s="44">
        <v>0.13</v>
      </c>
      <c r="O33" s="44">
        <v>0.13</v>
      </c>
      <c r="P33" s="44">
        <v>0.13</v>
      </c>
      <c r="Q33" s="44">
        <v>0.13</v>
      </c>
      <c r="R33" s="44">
        <v>0.13</v>
      </c>
      <c r="S33" s="44">
        <v>0.13</v>
      </c>
      <c r="T33" s="44">
        <v>0.13</v>
      </c>
      <c r="U33" s="44">
        <v>0.13</v>
      </c>
      <c r="V33" s="44">
        <v>0.13</v>
      </c>
    </row>
    <row r="34" spans="2:22" ht="15" x14ac:dyDescent="0.25">
      <c r="B34" s="40" t="s">
        <v>144</v>
      </c>
      <c r="M34" s="44">
        <v>0.15</v>
      </c>
      <c r="N34" s="44">
        <v>0.15</v>
      </c>
      <c r="O34" s="44">
        <v>0.15</v>
      </c>
      <c r="P34" s="44">
        <v>0.15</v>
      </c>
      <c r="Q34" s="44">
        <v>0.15</v>
      </c>
      <c r="R34" s="44">
        <v>0.15</v>
      </c>
      <c r="S34" s="44">
        <v>0.15</v>
      </c>
      <c r="T34" s="44">
        <v>0.15</v>
      </c>
      <c r="U34" s="44">
        <v>0.15</v>
      </c>
      <c r="V34" s="44">
        <v>0.15</v>
      </c>
    </row>
    <row r="35" spans="2:22" ht="15" x14ac:dyDescent="0.25">
      <c r="B35" s="40" t="s">
        <v>145</v>
      </c>
      <c r="M35" s="44">
        <v>0.18</v>
      </c>
      <c r="N35" s="44">
        <v>0.18</v>
      </c>
      <c r="O35" s="44">
        <v>0.18</v>
      </c>
      <c r="P35" s="44">
        <v>0.18</v>
      </c>
      <c r="Q35" s="44">
        <v>0.18</v>
      </c>
      <c r="R35" s="44">
        <v>0.18</v>
      </c>
      <c r="S35" s="44">
        <v>0.18</v>
      </c>
      <c r="T35" s="44">
        <v>0.18</v>
      </c>
      <c r="U35" s="44">
        <v>0.18</v>
      </c>
      <c r="V35" s="44">
        <v>0.18</v>
      </c>
    </row>
    <row r="37" spans="2:22" x14ac:dyDescent="0.2">
      <c r="B37" t="s">
        <v>147</v>
      </c>
      <c r="G37" s="3">
        <f>+Model!N22</f>
        <v>200.9</v>
      </c>
      <c r="H37" s="3">
        <f>+Model!O22</f>
        <v>273.5</v>
      </c>
      <c r="I37" s="3">
        <f>+Model!P22</f>
        <v>377.9</v>
      </c>
      <c r="J37" s="3">
        <f>+Model!Q22</f>
        <v>380.2</v>
      </c>
      <c r="K37" s="3">
        <f>+Model!R22</f>
        <v>308.39999999999998</v>
      </c>
      <c r="L37" s="3">
        <f>+Model!S22</f>
        <v>279.60000000000002</v>
      </c>
      <c r="M37" s="3">
        <f ca="1">M38*M31</f>
        <v>278.82363000000004</v>
      </c>
      <c r="N37" s="3">
        <f t="shared" ref="N37:V37" ca="1" si="5">N38*N31</f>
        <v>281.61186630000009</v>
      </c>
      <c r="O37" s="3">
        <f t="shared" ca="1" si="5"/>
        <v>284.42798496300003</v>
      </c>
      <c r="P37" s="3">
        <f t="shared" ca="1" si="5"/>
        <v>287.27226481263</v>
      </c>
      <c r="Q37" s="3">
        <f t="shared" ca="1" si="5"/>
        <v>290.14498746075634</v>
      </c>
      <c r="R37" s="3">
        <f t="shared" ca="1" si="5"/>
        <v>293.04643733536392</v>
      </c>
      <c r="S37" s="3">
        <f t="shared" ca="1" si="5"/>
        <v>295.97690170871755</v>
      </c>
      <c r="T37" s="3">
        <f t="shared" ca="1" si="5"/>
        <v>298.93667072580473</v>
      </c>
      <c r="U37" s="3">
        <f t="shared" ca="1" si="5"/>
        <v>301.92603743306279</v>
      </c>
      <c r="V37" s="3">
        <f t="shared" ca="1" si="5"/>
        <v>304.94529780739339</v>
      </c>
    </row>
    <row r="38" spans="2:22" ht="15" x14ac:dyDescent="0.25">
      <c r="B38" s="41" t="s">
        <v>148</v>
      </c>
      <c r="G38" s="43">
        <f t="shared" ref="G38:L38" si="6">G37/G31</f>
        <v>0.20558739255014324</v>
      </c>
      <c r="H38" s="43">
        <f t="shared" si="6"/>
        <v>0.27749594155844159</v>
      </c>
      <c r="I38" s="43">
        <f t="shared" si="6"/>
        <v>0.20830117958328737</v>
      </c>
      <c r="J38" s="43">
        <f t="shared" si="6"/>
        <v>0.19467485919098812</v>
      </c>
      <c r="K38" s="43">
        <f t="shared" si="6"/>
        <v>0.18824391137154373</v>
      </c>
      <c r="L38" s="43">
        <f t="shared" si="6"/>
        <v>0.20257933632806843</v>
      </c>
      <c r="M38" s="43">
        <v>0.2</v>
      </c>
      <c r="N38" s="43">
        <v>0.2</v>
      </c>
      <c r="O38" s="43">
        <v>0.2</v>
      </c>
      <c r="P38" s="43">
        <v>0.2</v>
      </c>
      <c r="Q38" s="43">
        <v>0.2</v>
      </c>
      <c r="R38" s="43">
        <v>0.2</v>
      </c>
      <c r="S38" s="43">
        <v>0.2</v>
      </c>
      <c r="T38" s="43">
        <v>0.2</v>
      </c>
      <c r="U38" s="43">
        <v>0.2</v>
      </c>
      <c r="V38" s="43">
        <v>0.2</v>
      </c>
    </row>
    <row r="39" spans="2:22" x14ac:dyDescent="0.2">
      <c r="B39" s="41"/>
    </row>
    <row r="40" spans="2:22" ht="15" x14ac:dyDescent="0.25">
      <c r="B40" s="45" t="s">
        <v>149</v>
      </c>
      <c r="C40" s="46"/>
      <c r="D40" s="46"/>
      <c r="E40" s="46"/>
      <c r="F40" s="46"/>
      <c r="G40" s="47">
        <f t="shared" ref="G40:V40" si="7">G31-G37</f>
        <v>776.30000000000018</v>
      </c>
      <c r="H40" s="47">
        <f t="shared" si="7"/>
        <v>712.09999999999991</v>
      </c>
      <c r="I40" s="47">
        <f t="shared" si="7"/>
        <v>1436.3000000000002</v>
      </c>
      <c r="J40" s="47">
        <f t="shared" si="7"/>
        <v>1572.8000000000009</v>
      </c>
      <c r="K40" s="47">
        <f t="shared" si="7"/>
        <v>1329.8999999999996</v>
      </c>
      <c r="L40" s="47">
        <f t="shared" si="7"/>
        <v>1100.5999999999999</v>
      </c>
      <c r="M40" s="47">
        <f t="shared" ca="1" si="7"/>
        <v>1115.2945199999999</v>
      </c>
      <c r="N40" s="47">
        <f t="shared" ca="1" si="7"/>
        <v>1126.4474652000004</v>
      </c>
      <c r="O40" s="47">
        <f t="shared" ca="1" si="7"/>
        <v>1137.7119398520001</v>
      </c>
      <c r="P40" s="47">
        <f t="shared" ca="1" si="7"/>
        <v>1149.08905925052</v>
      </c>
      <c r="Q40" s="47">
        <f t="shared" ca="1" si="7"/>
        <v>1160.5799498430254</v>
      </c>
      <c r="R40" s="47">
        <f t="shared" ca="1" si="7"/>
        <v>1172.1857493414557</v>
      </c>
      <c r="S40" s="47">
        <f t="shared" ca="1" si="7"/>
        <v>1183.9076068348702</v>
      </c>
      <c r="T40" s="47">
        <f t="shared" ca="1" si="7"/>
        <v>1195.7466829032187</v>
      </c>
      <c r="U40" s="47">
        <f t="shared" ca="1" si="7"/>
        <v>1207.7041497322512</v>
      </c>
      <c r="V40" s="48">
        <f t="shared" ca="1" si="7"/>
        <v>1219.7811912295733</v>
      </c>
    </row>
    <row r="42" spans="2:22" x14ac:dyDescent="0.2">
      <c r="B42" t="s">
        <v>150</v>
      </c>
      <c r="G42" s="3"/>
      <c r="H42" s="3"/>
      <c r="I42" s="3"/>
      <c r="J42" s="3"/>
      <c r="K42" s="3">
        <f>+Model!R74</f>
        <v>375</v>
      </c>
      <c r="L42" s="3">
        <f>+Model!S74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5" x14ac:dyDescent="0.25">
      <c r="B43" s="40" t="s">
        <v>146</v>
      </c>
      <c r="C43" s="42"/>
      <c r="D43" s="42"/>
      <c r="E43" s="42"/>
      <c r="F43" s="42"/>
      <c r="G43" s="49">
        <f t="shared" ref="G43:L43" si="9">G42/G25</f>
        <v>0</v>
      </c>
      <c r="H43" s="49">
        <f t="shared" si="9"/>
        <v>0</v>
      </c>
      <c r="I43" s="49">
        <f t="shared" si="9"/>
        <v>0</v>
      </c>
      <c r="J43" s="49">
        <f t="shared" si="9"/>
        <v>0</v>
      </c>
      <c r="K43" s="49">
        <f t="shared" si="9"/>
        <v>4.2950898532797308E-2</v>
      </c>
      <c r="L43" s="49">
        <f t="shared" si="9"/>
        <v>4.5620021516827682E-2</v>
      </c>
      <c r="M43" s="50">
        <v>4.3999999999999997E-2</v>
      </c>
      <c r="N43" s="50">
        <v>4.3999999999999997E-2</v>
      </c>
      <c r="O43" s="50">
        <v>4.3999999999999997E-2</v>
      </c>
      <c r="P43" s="50">
        <v>4.3999999999999997E-2</v>
      </c>
      <c r="Q43" s="50">
        <v>4.3999999999999997E-2</v>
      </c>
      <c r="R43" s="50">
        <v>4.3999999999999997E-2</v>
      </c>
      <c r="S43" s="50">
        <v>4.3999999999999997E-2</v>
      </c>
      <c r="T43" s="50">
        <v>4.3999999999999997E-2</v>
      </c>
      <c r="U43" s="50">
        <v>4.3999999999999997E-2</v>
      </c>
      <c r="V43" s="50">
        <v>4.3999999999999997E-2</v>
      </c>
    </row>
    <row r="45" spans="2:22" x14ac:dyDescent="0.2">
      <c r="B45" t="s">
        <v>151</v>
      </c>
      <c r="G45" s="3"/>
      <c r="H45" s="3"/>
      <c r="I45" s="3"/>
      <c r="J45" s="3"/>
      <c r="K45" s="3">
        <f>+Model!R83+Model!R84</f>
        <v>-308.39999999999998</v>
      </c>
      <c r="L45" s="3">
        <f>+Model!S83+Model!S84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5" x14ac:dyDescent="0.25">
      <c r="B46" s="40" t="s">
        <v>146</v>
      </c>
      <c r="G46" s="49">
        <f t="shared" ref="G46:L46" si="11">G45/G25</f>
        <v>0</v>
      </c>
      <c r="H46" s="49">
        <f t="shared" si="11"/>
        <v>0</v>
      </c>
      <c r="I46" s="49">
        <f t="shared" si="11"/>
        <v>0</v>
      </c>
      <c r="J46" s="49">
        <f t="shared" si="11"/>
        <v>0</v>
      </c>
      <c r="K46" s="49">
        <f t="shared" si="11"/>
        <v>-3.5322818953372505E-2</v>
      </c>
      <c r="L46" s="49">
        <f t="shared" si="11"/>
        <v>-2.8721704828245726E-2</v>
      </c>
      <c r="M46" s="50">
        <v>-3.3000000000000002E-2</v>
      </c>
      <c r="N46" s="50">
        <v>-3.3000000000000002E-2</v>
      </c>
      <c r="O46" s="50">
        <v>-3.3000000000000002E-2</v>
      </c>
      <c r="P46" s="50">
        <v>-3.3000000000000002E-2</v>
      </c>
      <c r="Q46" s="50">
        <v>-3.3000000000000002E-2</v>
      </c>
      <c r="R46" s="50">
        <v>-3.3000000000000002E-2</v>
      </c>
      <c r="S46" s="50">
        <v>-3.3000000000000002E-2</v>
      </c>
      <c r="T46" s="50">
        <v>-3.3000000000000002E-2</v>
      </c>
      <c r="U46" s="50">
        <v>-3.3000000000000002E-2</v>
      </c>
      <c r="V46" s="50">
        <v>-3.3000000000000002E-2</v>
      </c>
    </row>
    <row r="48" spans="2:22" x14ac:dyDescent="0.2">
      <c r="B48" t="s">
        <v>152</v>
      </c>
      <c r="G48" s="3"/>
      <c r="H48" s="3"/>
      <c r="I48" s="3"/>
      <c r="J48" s="3"/>
      <c r="K48" s="3">
        <f>+Model!R76</f>
        <v>-36.700000000000003</v>
      </c>
      <c r="L48" s="3">
        <f>+Model!S76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5" x14ac:dyDescent="0.25">
      <c r="B49" s="40" t="s">
        <v>146</v>
      </c>
      <c r="G49" s="49">
        <f t="shared" ref="G49:L49" si="13">G48/G25</f>
        <v>0</v>
      </c>
      <c r="H49" s="49">
        <f t="shared" si="13"/>
        <v>0</v>
      </c>
      <c r="I49" s="49">
        <f t="shared" si="13"/>
        <v>0</v>
      </c>
      <c r="J49" s="49">
        <f t="shared" si="13"/>
        <v>0</v>
      </c>
      <c r="K49" s="49">
        <f t="shared" si="13"/>
        <v>-4.2034612697430971E-3</v>
      </c>
      <c r="L49" s="49">
        <f t="shared" si="13"/>
        <v>-1.5040045207072299E-2</v>
      </c>
      <c r="M49" s="50">
        <v>-0.01</v>
      </c>
      <c r="N49" s="50">
        <v>-0.01</v>
      </c>
      <c r="O49" s="50">
        <v>-0.01</v>
      </c>
      <c r="P49" s="50">
        <v>-0.01</v>
      </c>
      <c r="Q49" s="50">
        <v>-0.01</v>
      </c>
      <c r="R49" s="50">
        <v>-0.01</v>
      </c>
      <c r="S49" s="50">
        <v>-0.01</v>
      </c>
      <c r="T49" s="50">
        <v>-0.01</v>
      </c>
      <c r="U49" s="50">
        <v>-0.01</v>
      </c>
      <c r="V49" s="50">
        <v>-0.01</v>
      </c>
    </row>
    <row r="51" spans="2:24" ht="15" x14ac:dyDescent="0.25">
      <c r="B51" s="51" t="s">
        <v>153</v>
      </c>
      <c r="C51" s="52"/>
      <c r="D51" s="52"/>
      <c r="E51" s="52"/>
      <c r="F51" s="52"/>
      <c r="G51" s="53">
        <f>G40+G42+G45+G48</f>
        <v>776.30000000000018</v>
      </c>
      <c r="H51" s="53">
        <f t="shared" ref="H51:U51" si="14">H40+H42+H45+H48</f>
        <v>712.09999999999991</v>
      </c>
      <c r="I51" s="53">
        <f t="shared" si="14"/>
        <v>1436.3000000000002</v>
      </c>
      <c r="J51" s="53">
        <f t="shared" si="14"/>
        <v>1572.8000000000009</v>
      </c>
      <c r="K51" s="53">
        <f t="shared" si="14"/>
        <v>1359.7999999999995</v>
      </c>
      <c r="L51" s="53">
        <f t="shared" si="14"/>
        <v>1117.6999999999998</v>
      </c>
      <c r="M51" s="53">
        <f ca="1">M40+M42+M45+M48</f>
        <v>1124.5886409999998</v>
      </c>
      <c r="N51" s="53">
        <f t="shared" ca="1" si="14"/>
        <v>1135.8345274100004</v>
      </c>
      <c r="O51" s="53">
        <f t="shared" ca="1" si="14"/>
        <v>1147.1928726840999</v>
      </c>
      <c r="P51" s="53">
        <f t="shared" ca="1" si="14"/>
        <v>1158.664801410941</v>
      </c>
      <c r="Q51" s="53">
        <f t="shared" ca="1" si="14"/>
        <v>1170.2514494250504</v>
      </c>
      <c r="R51" s="53">
        <f t="shared" ca="1" si="14"/>
        <v>1181.953963919301</v>
      </c>
      <c r="S51" s="53">
        <f t="shared" ca="1" si="14"/>
        <v>1193.7735035584942</v>
      </c>
      <c r="T51" s="53">
        <f t="shared" ca="1" si="14"/>
        <v>1205.7112385940788</v>
      </c>
      <c r="U51" s="53">
        <f t="shared" ca="1" si="14"/>
        <v>1217.7683509800199</v>
      </c>
      <c r="V51" s="54">
        <f ca="1">V40+V42+V45+V48</f>
        <v>1229.9460344898198</v>
      </c>
    </row>
    <row r="52" spans="2:24" ht="15" x14ac:dyDescent="0.25">
      <c r="B52" s="55" t="s">
        <v>154</v>
      </c>
      <c r="C52" s="56"/>
      <c r="D52" s="56"/>
      <c r="E52" s="56"/>
      <c r="F52" s="56"/>
      <c r="G52" s="57"/>
      <c r="H52" s="57"/>
      <c r="I52" s="57"/>
      <c r="J52" s="57"/>
      <c r="K52" s="57"/>
      <c r="L52" s="57"/>
      <c r="M52" s="57">
        <f ca="1">(M51/(1+$E$18)^M53)*M53</f>
        <v>139.06741862420071</v>
      </c>
      <c r="N52" s="57">
        <f ca="1">N51/(1+$E$18)^N53</f>
        <v>1030.8850848472869</v>
      </c>
      <c r="O52" s="57">
        <f t="shared" ref="O52:U52" ca="1" si="15">O51/(1+$E$18)^O53</f>
        <v>955.22379421629262</v>
      </c>
      <c r="P52" s="57">
        <f t="shared" ca="1" si="15"/>
        <v>885.11562583344539</v>
      </c>
      <c r="Q52" s="57">
        <f t="shared" ca="1" si="15"/>
        <v>820.15301109337599</v>
      </c>
      <c r="R52" s="57">
        <f t="shared" ca="1" si="15"/>
        <v>759.95829468285308</v>
      </c>
      <c r="S52" s="57">
        <f t="shared" ca="1" si="15"/>
        <v>704.1815391097997</v>
      </c>
      <c r="T52" s="57">
        <f t="shared" ca="1" si="15"/>
        <v>652.49849036779574</v>
      </c>
      <c r="U52" s="57">
        <f t="shared" ca="1" si="15"/>
        <v>604.60869290960909</v>
      </c>
      <c r="V52" s="58">
        <f ca="1">V51/(1+$E$18)^V53</f>
        <v>560.23374297128885</v>
      </c>
    </row>
    <row r="53" spans="2:24" x14ac:dyDescent="0.2">
      <c r="B53" t="s">
        <v>155</v>
      </c>
      <c r="M53" s="74">
        <f ca="1">YEARFRAC(E4,E5)</f>
        <v>0.125</v>
      </c>
      <c r="N53" s="74">
        <f ca="1">M53+1</f>
        <v>1.125</v>
      </c>
      <c r="O53" s="74">
        <f ca="1">N53+1</f>
        <v>2.125</v>
      </c>
      <c r="P53" s="74">
        <f t="shared" ref="P53:V53" ca="1" si="16">O53+1</f>
        <v>3.125</v>
      </c>
      <c r="Q53" s="74">
        <f t="shared" ca="1" si="16"/>
        <v>4.125</v>
      </c>
      <c r="R53" s="74">
        <f t="shared" ca="1" si="16"/>
        <v>5.125</v>
      </c>
      <c r="S53" s="74">
        <f t="shared" ca="1" si="16"/>
        <v>6.125</v>
      </c>
      <c r="T53" s="74">
        <f t="shared" ca="1" si="16"/>
        <v>7.125</v>
      </c>
      <c r="U53" s="74">
        <f t="shared" ca="1" si="16"/>
        <v>8.125</v>
      </c>
      <c r="V53" s="74">
        <f t="shared" ca="1" si="16"/>
        <v>9.125</v>
      </c>
    </row>
    <row r="54" spans="2:24" x14ac:dyDescent="0.2">
      <c r="B54" t="s">
        <v>156</v>
      </c>
      <c r="N54" s="59"/>
      <c r="O54" s="59"/>
      <c r="P54" s="59"/>
      <c r="Q54" s="59"/>
      <c r="V54" s="3">
        <f ca="1">SUM(M52:V52)</f>
        <v>7111.9256946559481</v>
      </c>
    </row>
    <row r="55" spans="2:24" x14ac:dyDescent="0.2">
      <c r="B55" t="s">
        <v>157</v>
      </c>
      <c r="N55" s="59"/>
      <c r="O55" s="59"/>
      <c r="P55" s="59"/>
      <c r="Q55" s="59"/>
      <c r="V55" s="3">
        <f ca="1">+(V40*(1+E19))*(1-(E19/E20))/(E18-E19)</f>
        <v>13999.761399339419</v>
      </c>
      <c r="X55" s="60" t="s">
        <v>158</v>
      </c>
    </row>
    <row r="56" spans="2:24" x14ac:dyDescent="0.2">
      <c r="B56" s="18" t="s">
        <v>159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61"/>
      <c r="O56" s="61"/>
      <c r="P56" s="61"/>
      <c r="Q56" s="61"/>
      <c r="R56" s="61"/>
      <c r="S56" s="61"/>
      <c r="T56" s="61"/>
      <c r="U56" s="61"/>
      <c r="V56" s="62">
        <f ca="1">V55/(1+E18)^V53</f>
        <v>6376.8153313411149</v>
      </c>
    </row>
    <row r="57" spans="2:24" x14ac:dyDescent="0.2">
      <c r="B57" s="63" t="s">
        <v>160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5">
        <f ca="1">V54+V56</f>
        <v>13488.741025997064</v>
      </c>
    </row>
    <row r="58" spans="2:24" x14ac:dyDescent="0.2">
      <c r="B58" t="s">
        <v>161</v>
      </c>
      <c r="N58" s="59"/>
      <c r="O58" s="59"/>
      <c r="P58" s="59"/>
      <c r="Q58" s="59"/>
      <c r="V58" s="66">
        <f>+Main!J5</f>
        <v>97.5</v>
      </c>
    </row>
    <row r="59" spans="2:24" x14ac:dyDescent="0.2">
      <c r="B59" s="18" t="s">
        <v>162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1"/>
      <c r="O59" s="61"/>
      <c r="P59" s="61"/>
      <c r="Q59" s="61"/>
      <c r="R59" s="61"/>
      <c r="S59" s="61"/>
      <c r="T59" s="61"/>
      <c r="U59" s="61"/>
      <c r="V59" s="62">
        <f>+Main!J6</f>
        <v>5104.8999999999996</v>
      </c>
    </row>
    <row r="60" spans="2:24" x14ac:dyDescent="0.2">
      <c r="B60" t="s">
        <v>163</v>
      </c>
      <c r="N60" s="59"/>
      <c r="O60" s="59"/>
      <c r="P60" s="59"/>
      <c r="Q60" s="59"/>
      <c r="V60" s="66">
        <f ca="1">V57+V58-V59</f>
        <v>8481.3410259970642</v>
      </c>
    </row>
    <row r="61" spans="2:24" x14ac:dyDescent="0.2">
      <c r="B61" s="18" t="s">
        <v>164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61"/>
      <c r="O61" s="61"/>
      <c r="P61" s="61"/>
      <c r="Q61" s="61"/>
      <c r="R61" s="61"/>
      <c r="S61" s="61"/>
      <c r="T61" s="61"/>
      <c r="U61" s="61"/>
      <c r="V61" s="62">
        <f>+Main!J3</f>
        <v>78.875</v>
      </c>
    </row>
    <row r="62" spans="2:24" x14ac:dyDescent="0.2">
      <c r="B62" t="s">
        <v>117</v>
      </c>
      <c r="V62" s="66">
        <f ca="1">V60/V61</f>
        <v>107.52888780978846</v>
      </c>
    </row>
    <row r="66" spans="1:22" ht="15" x14ac:dyDescent="0.25">
      <c r="A66" s="32" t="s">
        <v>123</v>
      </c>
      <c r="B66" s="33" t="s">
        <v>165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8" spans="1:22" ht="15" x14ac:dyDescent="0.25">
      <c r="B68" s="67"/>
      <c r="C68" s="75" t="s">
        <v>136</v>
      </c>
      <c r="D68" s="75"/>
      <c r="E68" s="75"/>
      <c r="F68" s="75"/>
      <c r="G68" s="75"/>
      <c r="H68" s="75"/>
      <c r="I68" s="75"/>
      <c r="J68" s="76"/>
      <c r="M68" s="67"/>
      <c r="N68" s="77" t="s">
        <v>166</v>
      </c>
      <c r="O68" s="77"/>
      <c r="P68" s="77"/>
      <c r="Q68" s="77"/>
      <c r="R68" s="77"/>
      <c r="S68" s="77"/>
      <c r="T68" s="77"/>
      <c r="U68" s="78"/>
    </row>
    <row r="69" spans="1:22" ht="15" x14ac:dyDescent="0.25">
      <c r="B69" s="79" t="s">
        <v>134</v>
      </c>
      <c r="C69" s="68">
        <f ca="1">+J4</f>
        <v>107.52888780978846</v>
      </c>
      <c r="D69" s="69">
        <v>-5.0000000000000001E-3</v>
      </c>
      <c r="E69" s="69">
        <v>0</v>
      </c>
      <c r="F69" s="69">
        <v>5.0000000000000001E-3</v>
      </c>
      <c r="G69" s="69">
        <v>0.01</v>
      </c>
      <c r="H69" s="69">
        <v>1.4999999999999999E-2</v>
      </c>
      <c r="I69" s="69">
        <v>0.02</v>
      </c>
      <c r="J69" s="69">
        <v>2.5000000000000001E-2</v>
      </c>
      <c r="M69" s="79" t="s">
        <v>134</v>
      </c>
      <c r="N69" s="68">
        <f ca="1">+J4</f>
        <v>107.52888780978846</v>
      </c>
      <c r="O69" s="69">
        <v>0.08</v>
      </c>
      <c r="P69" s="69">
        <v>0.09</v>
      </c>
      <c r="Q69" s="69">
        <v>0.1</v>
      </c>
      <c r="R69" s="69">
        <v>0.11</v>
      </c>
      <c r="S69" s="69">
        <v>0.12</v>
      </c>
      <c r="T69" s="69">
        <v>0.13</v>
      </c>
      <c r="U69" s="69">
        <v>0.14000000000000001</v>
      </c>
    </row>
    <row r="70" spans="1:22" ht="15" x14ac:dyDescent="0.25">
      <c r="B70" s="79"/>
      <c r="C70" s="70">
        <v>0.06</v>
      </c>
      <c r="D70" s="71">
        <f t="dataTable" ref="D70:J76" dt2D="1" dtr="1" r1="E19" r2="E18" ca="1"/>
        <v>184.53884725281412</v>
      </c>
      <c r="E70" s="71">
        <v>190.56515794106548</v>
      </c>
      <c r="F70" s="71">
        <v>197.6120612686436</v>
      </c>
      <c r="G70" s="72">
        <v>205.98573502734655</v>
      </c>
      <c r="H70" s="71">
        <v>216.12843602754933</v>
      </c>
      <c r="I70" s="71">
        <v>228.70354948481429</v>
      </c>
      <c r="J70" s="71">
        <v>244.75353788073949</v>
      </c>
      <c r="M70" s="79"/>
      <c r="N70" s="70">
        <v>0.06</v>
      </c>
      <c r="O70" s="71">
        <f t="dataTable" ref="O70:U76" dt2D="1" dtr="1" r1="E20" r2="E18" ca="1"/>
        <v>199.72800977224412</v>
      </c>
      <c r="P70" s="71">
        <v>202.27745339469325</v>
      </c>
      <c r="Q70" s="71">
        <v>204.31700829265259</v>
      </c>
      <c r="R70" s="72">
        <v>205.98573502734655</v>
      </c>
      <c r="S70" s="71">
        <v>207.37634063959155</v>
      </c>
      <c r="T70" s="71">
        <v>208.55300692687581</v>
      </c>
      <c r="U70" s="71">
        <v>209.56157803026233</v>
      </c>
    </row>
    <row r="71" spans="1:22" ht="15" x14ac:dyDescent="0.25">
      <c r="B71" s="79"/>
      <c r="C71" s="70">
        <v>7.0000000000000007E-2</v>
      </c>
      <c r="D71" s="71">
        <v>150.37839858893122</v>
      </c>
      <c r="E71" s="71">
        <v>153.84837878743784</v>
      </c>
      <c r="F71" s="71">
        <v>157.79387376220672</v>
      </c>
      <c r="G71" s="72">
        <v>162.33376220730324</v>
      </c>
      <c r="H71" s="71">
        <v>167.63015143281689</v>
      </c>
      <c r="I71" s="71">
        <v>173.90999167287279</v>
      </c>
      <c r="J71" s="71">
        <v>181.50109993231834</v>
      </c>
      <c r="M71" s="79"/>
      <c r="N71" s="70">
        <v>7.0000000000000007E-2</v>
      </c>
      <c r="O71" s="71">
        <v>157.54719352817176</v>
      </c>
      <c r="P71" s="71">
        <v>159.49727706411423</v>
      </c>
      <c r="Q71" s="71">
        <v>161.05734389286818</v>
      </c>
      <c r="R71" s="72">
        <v>162.33376220730324</v>
      </c>
      <c r="S71" s="71">
        <v>163.39744413599914</v>
      </c>
      <c r="T71" s="71">
        <v>164.29748269104951</v>
      </c>
      <c r="U71" s="71">
        <v>165.06894430966412</v>
      </c>
    </row>
    <row r="72" spans="1:22" ht="15" x14ac:dyDescent="0.25">
      <c r="B72" s="79"/>
      <c r="C72" s="70">
        <v>0.08</v>
      </c>
      <c r="D72" s="72">
        <v>124.32485684869482</v>
      </c>
      <c r="E72" s="72">
        <v>126.33258664708057</v>
      </c>
      <c r="F72" s="72">
        <v>128.56157646406393</v>
      </c>
      <c r="G72" s="72">
        <v>131.05923916077293</v>
      </c>
      <c r="H72" s="72">
        <v>133.88757617099049</v>
      </c>
      <c r="I72" s="72">
        <v>137.1292560730937</v>
      </c>
      <c r="J72" s="72">
        <v>140.89700874668773</v>
      </c>
      <c r="M72" s="79"/>
      <c r="N72" s="70">
        <v>0.08</v>
      </c>
      <c r="O72" s="72">
        <v>127.29035570906559</v>
      </c>
      <c r="P72" s="72">
        <v>128.82582674494637</v>
      </c>
      <c r="Q72" s="72">
        <v>130.05420357365099</v>
      </c>
      <c r="R72" s="72">
        <v>131.05923916077293</v>
      </c>
      <c r="S72" s="72">
        <v>131.89676881670792</v>
      </c>
      <c r="T72" s="72">
        <v>132.6054477563452</v>
      </c>
      <c r="U72" s="72">
        <v>133.21288684746287</v>
      </c>
    </row>
    <row r="73" spans="1:22" ht="15" x14ac:dyDescent="0.25">
      <c r="B73" s="79"/>
      <c r="C73" s="70">
        <v>0.09</v>
      </c>
      <c r="D73" s="71">
        <v>103.81303862972794</v>
      </c>
      <c r="E73" s="71">
        <v>104.94960726278248</v>
      </c>
      <c r="F73" s="71">
        <v>106.18222084670664</v>
      </c>
      <c r="G73" s="72">
        <v>107.52888780978846</v>
      </c>
      <c r="H73" s="71">
        <v>109.01241882785948</v>
      </c>
      <c r="I73" s="71">
        <v>110.66214191270311</v>
      </c>
      <c r="J73" s="71">
        <v>112.51640907972839</v>
      </c>
      <c r="M73" s="79"/>
      <c r="N73" s="70">
        <v>0.09</v>
      </c>
      <c r="O73" s="71">
        <v>104.49712140819997</v>
      </c>
      <c r="P73" s="71">
        <v>105.732285497736</v>
      </c>
      <c r="Q73" s="71">
        <v>106.72041676936489</v>
      </c>
      <c r="R73" s="72">
        <v>107.52888780978846</v>
      </c>
      <c r="S73" s="71">
        <v>108.20261367680813</v>
      </c>
      <c r="T73" s="71">
        <v>108.77268941044015</v>
      </c>
      <c r="U73" s="71">
        <v>109.26132575355331</v>
      </c>
    </row>
    <row r="74" spans="1:22" ht="15" x14ac:dyDescent="0.25">
      <c r="B74" s="79"/>
      <c r="C74" s="70">
        <v>0.1</v>
      </c>
      <c r="D74" s="71">
        <v>87.255412993573543</v>
      </c>
      <c r="E74" s="71">
        <v>87.858612236868737</v>
      </c>
      <c r="F74" s="71">
        <v>88.494297118725726</v>
      </c>
      <c r="G74" s="72">
        <v>89.167881912238116</v>
      </c>
      <c r="H74" s="71">
        <v>89.886054837109882</v>
      </c>
      <c r="I74" s="71">
        <v>90.657176167970832</v>
      </c>
      <c r="J74" s="71">
        <v>91.491835586018809</v>
      </c>
      <c r="M74" s="79"/>
      <c r="N74" s="70">
        <v>0.1</v>
      </c>
      <c r="O74" s="71">
        <v>86.688452464507321</v>
      </c>
      <c r="P74" s="71">
        <v>87.698590387656921</v>
      </c>
      <c r="Q74" s="71">
        <v>88.506700726176604</v>
      </c>
      <c r="R74" s="72">
        <v>89.167881912238116</v>
      </c>
      <c r="S74" s="71">
        <v>89.718866233956092</v>
      </c>
      <c r="T74" s="71">
        <v>90.185083736948215</v>
      </c>
      <c r="U74" s="71">
        <v>90.584698739512888</v>
      </c>
    </row>
    <row r="75" spans="1:22" ht="15" x14ac:dyDescent="0.25">
      <c r="B75" s="79"/>
      <c r="C75" s="70">
        <v>0.11</v>
      </c>
      <c r="D75" s="71">
        <v>73.616992828006701</v>
      </c>
      <c r="E75" s="71">
        <v>73.888229057065615</v>
      </c>
      <c r="F75" s="71">
        <v>74.159465286124515</v>
      </c>
      <c r="G75" s="72">
        <v>74.430701515183387</v>
      </c>
      <c r="H75" s="71">
        <v>74.701937744242315</v>
      </c>
      <c r="I75" s="71">
        <v>74.973173973301215</v>
      </c>
      <c r="J75" s="71">
        <v>75.244410202360115</v>
      </c>
      <c r="M75" s="79"/>
      <c r="N75" s="70">
        <v>0.11</v>
      </c>
      <c r="O75" s="71">
        <v>72.37608708006222</v>
      </c>
      <c r="P75" s="71">
        <v>73.213152220296749</v>
      </c>
      <c r="Q75" s="71">
        <v>73.882804332484426</v>
      </c>
      <c r="R75" s="72">
        <v>74.430701515183387</v>
      </c>
      <c r="S75" s="71">
        <v>74.887282500765878</v>
      </c>
      <c r="T75" s="71">
        <v>75.273620257797234</v>
      </c>
      <c r="U75" s="71">
        <v>75.604766906681235</v>
      </c>
    </row>
    <row r="76" spans="1:22" ht="15" x14ac:dyDescent="0.25">
      <c r="B76" s="80"/>
      <c r="C76" s="70">
        <v>0.12</v>
      </c>
      <c r="D76" s="71">
        <v>62.194282825513589</v>
      </c>
      <c r="E76" s="71">
        <v>62.257596535119845</v>
      </c>
      <c r="F76" s="71">
        <v>62.304683390090155</v>
      </c>
      <c r="G76" s="72">
        <v>62.33333063751963</v>
      </c>
      <c r="H76" s="71">
        <v>62.340904047759615</v>
      </c>
      <c r="I76" s="71">
        <v>62.324242545231662</v>
      </c>
      <c r="J76" s="71">
        <v>62.279519564761863</v>
      </c>
      <c r="M76" s="80"/>
      <c r="N76" s="70">
        <v>0.12</v>
      </c>
      <c r="O76" s="71">
        <v>60.612273160484044</v>
      </c>
      <c r="P76" s="71">
        <v>61.313444725202245</v>
      </c>
      <c r="Q76" s="71">
        <v>61.874381976976792</v>
      </c>
      <c r="R76" s="72">
        <v>62.33333063751963</v>
      </c>
      <c r="S76" s="71">
        <v>62.715787854638663</v>
      </c>
      <c r="T76" s="71">
        <v>63.039405499893213</v>
      </c>
      <c r="U76" s="71">
        <v>63.316792052968552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2025-11-16T12:22:12Z</dcterms:modified>
</cp:coreProperties>
</file>