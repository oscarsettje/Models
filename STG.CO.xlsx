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scar\Downloads\"/>
    </mc:Choice>
  </mc:AlternateContent>
  <xr:revisionPtr revIDLastSave="0" documentId="13_ncr:1_{60C8CD12-FD6B-43C9-B517-2539DA5A33D3}" xr6:coauthVersionLast="47" xr6:coauthVersionMax="47" xr10:uidLastSave="{00000000-0000-0000-0000-000000000000}"/>
  <bookViews>
    <workbookView xWindow="-110" yWindow="-110" windowWidth="19420" windowHeight="11010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5" i="2"/>
  <c r="I35" i="2"/>
  <c r="J34" i="2"/>
  <c r="I34" i="2"/>
  <c r="J33" i="2"/>
  <c r="I33" i="2"/>
  <c r="J32" i="2"/>
  <c r="I32" i="2"/>
  <c r="E16" i="2"/>
  <c r="I23" i="2"/>
  <c r="I21" i="2"/>
  <c r="I17" i="2"/>
  <c r="I16" i="2"/>
  <c r="I12" i="2"/>
  <c r="V61" i="4"/>
  <c r="V59" i="4"/>
  <c r="V58" i="4"/>
  <c r="K48" i="4"/>
  <c r="L48" i="4"/>
  <c r="L49" i="4" s="1"/>
  <c r="K45" i="4"/>
  <c r="L45" i="4"/>
  <c r="K42" i="4"/>
  <c r="L42" i="4"/>
  <c r="L43" i="4" s="1"/>
  <c r="K37" i="4"/>
  <c r="K40" i="4" s="1"/>
  <c r="K51" i="4" s="1"/>
  <c r="L37" i="4"/>
  <c r="K31" i="4"/>
  <c r="L31" i="4"/>
  <c r="L32" i="4" s="1"/>
  <c r="K25" i="4"/>
  <c r="L25" i="4"/>
  <c r="J3" i="4"/>
  <c r="J51" i="4"/>
  <c r="I51" i="4"/>
  <c r="H51" i="4"/>
  <c r="G51" i="4"/>
  <c r="K49" i="4"/>
  <c r="J49" i="4"/>
  <c r="I49" i="4"/>
  <c r="H49" i="4"/>
  <c r="G49" i="4"/>
  <c r="L46" i="4"/>
  <c r="K46" i="4"/>
  <c r="J46" i="4"/>
  <c r="I46" i="4"/>
  <c r="H46" i="4"/>
  <c r="G46" i="4"/>
  <c r="K43" i="4"/>
  <c r="J43" i="4"/>
  <c r="I43" i="4"/>
  <c r="H43" i="4"/>
  <c r="G43" i="4"/>
  <c r="L40" i="4"/>
  <c r="J40" i="4"/>
  <c r="I40" i="4"/>
  <c r="H40" i="4"/>
  <c r="G40" i="4"/>
  <c r="L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O3" i="4"/>
  <c r="N53" i="4" l="1"/>
  <c r="O53" i="4" s="1"/>
  <c r="P53" i="4" s="1"/>
  <c r="Q53" i="4" s="1"/>
  <c r="R53" i="4" s="1"/>
  <c r="S53" i="4" s="1"/>
  <c r="T53" i="4" s="1"/>
  <c r="U53" i="4" s="1"/>
  <c r="V53" i="4" s="1"/>
  <c r="L51" i="4"/>
  <c r="K38" i="4"/>
  <c r="M31" i="4"/>
  <c r="M37" i="4" s="1"/>
  <c r="M40" i="4" s="1"/>
  <c r="O5" i="4"/>
  <c r="N25" i="4"/>
  <c r="N31" i="4" s="1"/>
  <c r="M45" i="4"/>
  <c r="M48" i="4"/>
  <c r="M42" i="4"/>
  <c r="M51" i="4" l="1"/>
  <c r="M52" i="4" s="1"/>
  <c r="N37" i="4"/>
  <c r="N40" i="4" s="1"/>
  <c r="O25" i="4"/>
  <c r="N45" i="4"/>
  <c r="N48" i="4"/>
  <c r="N42" i="4"/>
  <c r="O45" i="4" l="1"/>
  <c r="O42" i="4"/>
  <c r="P25" i="4"/>
  <c r="O48" i="4"/>
  <c r="O31" i="4"/>
  <c r="N51" i="4"/>
  <c r="N52" i="4" s="1"/>
  <c r="O37" i="4" l="1"/>
  <c r="O40" i="4" s="1"/>
  <c r="O51" i="4" s="1"/>
  <c r="O52" i="4" s="1"/>
  <c r="P48" i="4"/>
  <c r="P42" i="4"/>
  <c r="Q25" i="4"/>
  <c r="P45" i="4"/>
  <c r="P31" i="4"/>
  <c r="P37" i="4" l="1"/>
  <c r="P40" i="4" s="1"/>
  <c r="P51" i="4" s="1"/>
  <c r="P52" i="4" s="1"/>
  <c r="Q48" i="4"/>
  <c r="R25" i="4"/>
  <c r="Q42" i="4"/>
  <c r="Q45" i="4"/>
  <c r="Q31" i="4"/>
  <c r="Q37" i="4" l="1"/>
  <c r="Q40" i="4" s="1"/>
  <c r="Q51" i="4" s="1"/>
  <c r="Q52" i="4" s="1"/>
  <c r="R48" i="4"/>
  <c r="R45" i="4"/>
  <c r="S25" i="4"/>
  <c r="R42" i="4"/>
  <c r="R31" i="4"/>
  <c r="S48" i="4" l="1"/>
  <c r="T25" i="4"/>
  <c r="S42" i="4"/>
  <c r="S45" i="4"/>
  <c r="S31" i="4"/>
  <c r="R37" i="4"/>
  <c r="R40" i="4" s="1"/>
  <c r="R51" i="4" s="1"/>
  <c r="R52" i="4" s="1"/>
  <c r="S37" i="4" l="1"/>
  <c r="S40" i="4" s="1"/>
  <c r="S51" i="4" s="1"/>
  <c r="S52" i="4" s="1"/>
  <c r="T42" i="4"/>
  <c r="T45" i="4"/>
  <c r="U25" i="4"/>
  <c r="T48" i="4"/>
  <c r="T31" i="4"/>
  <c r="T37" i="4" l="1"/>
  <c r="T40" i="4" s="1"/>
  <c r="T51" i="4" s="1"/>
  <c r="T52" i="4" s="1"/>
  <c r="V25" i="4"/>
  <c r="U48" i="4"/>
  <c r="U42" i="4"/>
  <c r="U45" i="4"/>
  <c r="U31" i="4"/>
  <c r="V42" i="4" l="1"/>
  <c r="V48" i="4"/>
  <c r="V45" i="4"/>
  <c r="V31" i="4"/>
  <c r="U37" i="4"/>
  <c r="U40" i="4" s="1"/>
  <c r="U51" i="4" s="1"/>
  <c r="U52" i="4" s="1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H35" i="2"/>
  <c r="G35" i="2"/>
  <c r="F35" i="2"/>
  <c r="D35" i="2"/>
  <c r="C35" i="2"/>
  <c r="H34" i="2"/>
  <c r="G34" i="2"/>
  <c r="F34" i="2"/>
  <c r="D34" i="2"/>
  <c r="C34" i="2"/>
  <c r="H33" i="2"/>
  <c r="G33" i="2"/>
  <c r="F33" i="2"/>
  <c r="D33" i="2"/>
  <c r="C33" i="2"/>
  <c r="O35" i="2"/>
  <c r="N35" i="2"/>
  <c r="M35" i="2"/>
  <c r="O34" i="2"/>
  <c r="N34" i="2"/>
  <c r="M34" i="2"/>
  <c r="O33" i="2"/>
  <c r="N33" i="2"/>
  <c r="M33" i="2"/>
  <c r="P35" i="2"/>
  <c r="P34" i="2"/>
  <c r="P33" i="2"/>
  <c r="G32" i="2"/>
  <c r="H32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P32" i="2"/>
  <c r="P31" i="2"/>
  <c r="P30" i="2"/>
  <c r="P29" i="2"/>
  <c r="P28" i="2"/>
  <c r="O95" i="2"/>
  <c r="N95" i="2"/>
  <c r="P95" i="2"/>
  <c r="O87" i="2"/>
  <c r="N87" i="2"/>
  <c r="P87" i="2"/>
  <c r="O81" i="2"/>
  <c r="N81" i="2"/>
  <c r="P81" i="2"/>
  <c r="O69" i="2"/>
  <c r="O62" i="2"/>
  <c r="N62" i="2"/>
  <c r="P69" i="2"/>
  <c r="P62" i="2"/>
  <c r="O53" i="2"/>
  <c r="N53" i="2"/>
  <c r="O46" i="2"/>
  <c r="N46" i="2"/>
  <c r="M46" i="2"/>
  <c r="P53" i="2"/>
  <c r="P46" i="2"/>
  <c r="O16" i="2"/>
  <c r="N12" i="2"/>
  <c r="N17" i="2" s="1"/>
  <c r="N21" i="2" s="1"/>
  <c r="N23" i="2" s="1"/>
  <c r="N25" i="2" s="1"/>
  <c r="O12" i="2"/>
  <c r="M17" i="2"/>
  <c r="M21" i="2" s="1"/>
  <c r="M23" i="2" s="1"/>
  <c r="M25" i="2" s="1"/>
  <c r="P16" i="2"/>
  <c r="P12" i="2"/>
  <c r="P17" i="2" s="1"/>
  <c r="P21" i="2" s="1"/>
  <c r="P23" i="2" s="1"/>
  <c r="P25" i="2" s="1"/>
  <c r="D5" i="3"/>
  <c r="E5" i="3"/>
  <c r="F5" i="3"/>
  <c r="G5" i="3"/>
  <c r="H5" i="3"/>
  <c r="C16" i="2"/>
  <c r="J25" i="2"/>
  <c r="I25" i="2"/>
  <c r="G16" i="2"/>
  <c r="D16" i="2"/>
  <c r="G12" i="2"/>
  <c r="F12" i="2"/>
  <c r="F17" i="2" s="1"/>
  <c r="F21" i="2" s="1"/>
  <c r="F23" i="2" s="1"/>
  <c r="F25" i="2" s="1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H16" i="2"/>
  <c r="H12" i="2"/>
  <c r="J4" i="1"/>
  <c r="J7" i="1" s="1"/>
  <c r="E34" i="2" l="1"/>
  <c r="E35" i="2"/>
  <c r="E33" i="2"/>
  <c r="P54" i="2"/>
  <c r="O54" i="2"/>
  <c r="P70" i="2"/>
  <c r="P71" i="2" s="1"/>
  <c r="P97" i="2"/>
  <c r="P100" i="2" s="1"/>
  <c r="O97" i="2"/>
  <c r="O100" i="2" s="1"/>
  <c r="O70" i="2"/>
  <c r="O71" i="2" s="1"/>
  <c r="O17" i="2"/>
  <c r="O21" i="2" s="1"/>
  <c r="O23" i="2" s="1"/>
  <c r="O25" i="2" s="1"/>
  <c r="G17" i="2"/>
  <c r="G21" i="2" s="1"/>
  <c r="G23" i="2" s="1"/>
  <c r="G25" i="2" s="1"/>
  <c r="C17" i="2"/>
  <c r="C21" i="2" s="1"/>
  <c r="C23" i="2" s="1"/>
  <c r="C25" i="2" s="1"/>
  <c r="H17" i="2"/>
  <c r="H21" i="2" s="1"/>
  <c r="H23" i="2" s="1"/>
  <c r="H2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<sst xmlns="http://schemas.openxmlformats.org/spreadsheetml/2006/main" count="243" uniqueCount="173">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</sst>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1</xdr:rowOff>
    </xdr:from>
    <xdr:to>
      <xdr:col>4</xdr:col>
      <xdr:colOff>41137</xdr:colOff>
      <xdr:row>26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15</xdr:col>
      <xdr:colOff>29770</xdr:colOff>
      <xdr:row>45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29"/>
  <sheetViews>
    <sheetView tabSelected="1" zoomScale="200" zoomScaleNormal="200" workbookViewId="0">
      <selection activeCell="D1" sqref="D1"/>
    </sheetView>
  </sheetViews>
  <sheetFormatPr defaultRowHeight="12.5" x14ac:dyDescent="0.25"/>
  <cols>
    <col min="1" max="1" width="3.54296875" customWidth="1"/>
  </cols>
  <sheetData>
    <row r="1" spans="1:11" ht="13" x14ac:dyDescent="0.3">
      <c r="A1" s="2" t="s">
        <v>0</v>
      </c>
    </row>
    <row r="2" spans="1:11" x14ac:dyDescent="0.25">
      <c r="A2" t="s">
        <v>1</v>
      </c>
      <c r="I2" t="s">
        <v>2</v>
      </c>
      <c r="J2">
        <v>86.5</v>
      </c>
    </row>
    <row r="3" spans="1:11" x14ac:dyDescent="0.25">
      <c r="I3" t="s">
        <v>3</v>
      </c>
      <c r="J3" s="6">
        <v>78.875</v>
      </c>
      <c r="K3" s="5" t="s">
        <v>18</v>
      </c>
    </row>
    <row r="4" spans="1:11" x14ac:dyDescent="0.25">
      <c r="B4" s="1" t="s">
        <v>8</v>
      </c>
      <c r="I4" t="s">
        <v>4</v>
      </c>
      <c r="J4" s="6">
        <f>+J2*J3</f>
        <v>6822.6875</v>
      </c>
    </row>
    <row r="5" spans="1:11" x14ac:dyDescent="0.25">
      <c r="I5" t="s">
        <v>5</v>
      </c>
      <c r="J5" s="6">
        <v>97.5</v>
      </c>
      <c r="K5" s="5" t="s">
        <v>18</v>
      </c>
    </row>
    <row r="6" spans="1:11" ht="13" x14ac:dyDescent="0.3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3954.9+1150</f>
        <v>5104.8999999999996</v>
      </c>
      <c r="K6" s="5" t="s">
        <v>18</v>
      </c>
    </row>
    <row r="7" spans="1:11" x14ac:dyDescent="0.25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11830.0875</v>
      </c>
    </row>
    <row r="8" spans="1:11" x14ac:dyDescent="0.25">
      <c r="B8" s="15" t="s">
        <v>36</v>
      </c>
      <c r="D8" t="s">
        <v>171</v>
      </c>
      <c r="F8" s="16"/>
    </row>
    <row r="9" spans="1:11" x14ac:dyDescent="0.25">
      <c r="B9" s="15" t="s">
        <v>37</v>
      </c>
      <c r="D9" t="s">
        <v>172</v>
      </c>
      <c r="F9" s="16"/>
    </row>
    <row r="10" spans="1:11" x14ac:dyDescent="0.25">
      <c r="B10" s="17" t="s">
        <v>38</v>
      </c>
      <c r="C10" s="18"/>
      <c r="D10" s="18"/>
      <c r="E10" s="18"/>
      <c r="F10" s="19"/>
      <c r="I10" t="s">
        <v>39</v>
      </c>
    </row>
    <row r="11" spans="1:11" x14ac:dyDescent="0.25">
      <c r="I11" t="s">
        <v>48</v>
      </c>
    </row>
    <row r="12" spans="1:11" ht="13" x14ac:dyDescent="0.3">
      <c r="B12" s="4" t="s">
        <v>10</v>
      </c>
    </row>
    <row r="13" spans="1:11" x14ac:dyDescent="0.25">
      <c r="B13" t="s">
        <v>11</v>
      </c>
      <c r="I13" t="s">
        <v>51</v>
      </c>
    </row>
    <row r="14" spans="1:11" x14ac:dyDescent="0.25">
      <c r="I14" s="20">
        <v>10219</v>
      </c>
    </row>
    <row r="15" spans="1:11" x14ac:dyDescent="0.25">
      <c r="B15" t="s">
        <v>168</v>
      </c>
    </row>
    <row r="29" spans="2:2" x14ac:dyDescent="0.25">
      <c r="B29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I455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5" x14ac:dyDescent="0.25"/>
  <cols>
    <col min="1" max="1" width="5" bestFit="1" customWidth="1"/>
    <col min="2" max="2" width="28" customWidth="1"/>
  </cols>
  <sheetData>
    <row r="1" spans="1:61" x14ac:dyDescent="0.25">
      <c r="A1" s="1" t="s">
        <v>9</v>
      </c>
    </row>
    <row r="2" spans="1:61" x14ac:dyDescent="0.25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M2" s="5" t="s">
        <v>41</v>
      </c>
      <c r="N2" s="5" t="s">
        <v>42</v>
      </c>
      <c r="O2" s="5" t="s">
        <v>43</v>
      </c>
      <c r="P2" s="5" t="s">
        <v>44</v>
      </c>
    </row>
    <row r="3" spans="1:61" x14ac:dyDescent="0.25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>
        <v>4745.8</v>
      </c>
      <c r="P3" s="6">
        <v>4911.8999999999996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</row>
    <row r="4" spans="1:61" x14ac:dyDescent="0.25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>
        <v>3459.6</v>
      </c>
      <c r="P4" s="6">
        <v>3756.2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</row>
    <row r="5" spans="1:61" x14ac:dyDescent="0.25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>
        <v>525.5</v>
      </c>
      <c r="P5" s="6">
        <v>534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</row>
    <row r="6" spans="1:61" x14ac:dyDescent="0.25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>
        <v>3235.9</v>
      </c>
      <c r="P6" s="6">
        <v>3299.5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61" x14ac:dyDescent="0.25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>
        <v>4294.5</v>
      </c>
      <c r="P7" s="6">
        <v>4431.2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</row>
    <row r="8" spans="1:61" x14ac:dyDescent="0.25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>
        <v>193.3</v>
      </c>
      <c r="P8" s="6">
        <v>420.9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1" x14ac:dyDescent="0.25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>
        <v>1007.2</v>
      </c>
      <c r="P9" s="6">
        <v>1050.5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s="2" customFormat="1" ht="13" x14ac:dyDescent="0.3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/>
      <c r="G10" s="7">
        <v>1973.7</v>
      </c>
      <c r="H10" s="7">
        <v>2361.4</v>
      </c>
      <c r="I10" s="7">
        <v>2357.3000000000002</v>
      </c>
      <c r="J10" s="7"/>
      <c r="K10" s="7"/>
      <c r="L10" s="7"/>
      <c r="M10" s="7"/>
      <c r="N10" s="7"/>
      <c r="O10" s="7">
        <v>8730.9</v>
      </c>
      <c r="P10" s="7">
        <v>9202.1</v>
      </c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</row>
    <row r="11" spans="1:61" x14ac:dyDescent="0.25">
      <c r="B11" t="s">
        <v>21</v>
      </c>
      <c r="C11" s="6">
        <v>1067.0999999999999</v>
      </c>
      <c r="D11" s="6">
        <v>1256.5999999999999</v>
      </c>
      <c r="E11" s="6">
        <v>1304.5</v>
      </c>
      <c r="F11" s="6"/>
      <c r="G11" s="6">
        <v>1107</v>
      </c>
      <c r="H11" s="6">
        <v>1298</v>
      </c>
      <c r="I11" s="6">
        <v>1307.0999999999999</v>
      </c>
      <c r="J11" s="6"/>
      <c r="K11" s="6"/>
      <c r="L11" s="6"/>
      <c r="M11" s="6"/>
      <c r="N11" s="6"/>
      <c r="O11" s="6">
        <v>4526.8</v>
      </c>
      <c r="P11" s="6">
        <v>4923.6000000000004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</row>
    <row r="12" spans="1:61" x14ac:dyDescent="0.25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0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/>
      <c r="K12" s="6"/>
      <c r="L12" s="6"/>
      <c r="M12" s="6"/>
      <c r="N12" s="6">
        <f>+N10-N11</f>
        <v>0</v>
      </c>
      <c r="O12" s="6">
        <f>+O10-O11</f>
        <v>4204.0999999999995</v>
      </c>
      <c r="P12" s="6">
        <f>+P10-P11</f>
        <v>4278.5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</row>
    <row r="13" spans="1:61" x14ac:dyDescent="0.25">
      <c r="B13" t="s">
        <v>23</v>
      </c>
      <c r="C13" s="6">
        <v>295.7</v>
      </c>
      <c r="D13" s="6">
        <v>288.7</v>
      </c>
      <c r="E13" s="6">
        <v>293.8</v>
      </c>
      <c r="F13" s="6"/>
      <c r="G13" s="6">
        <v>285.89999999999998</v>
      </c>
      <c r="H13" s="6">
        <v>277</v>
      </c>
      <c r="I13" s="6">
        <v>317.60000000000002</v>
      </c>
      <c r="J13" s="6"/>
      <c r="K13" s="6"/>
      <c r="L13" s="6"/>
      <c r="M13" s="6"/>
      <c r="N13" s="6"/>
      <c r="O13" s="6">
        <v>1142.5999999999999</v>
      </c>
      <c r="P13" s="6">
        <v>1190.8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</row>
    <row r="14" spans="1:61" x14ac:dyDescent="0.25">
      <c r="B14" t="s">
        <v>34</v>
      </c>
      <c r="C14" s="6">
        <v>254.3</v>
      </c>
      <c r="D14" s="6">
        <v>255.8</v>
      </c>
      <c r="E14" s="6">
        <v>272.89999999999998</v>
      </c>
      <c r="F14" s="6"/>
      <c r="G14" s="6">
        <v>274.89999999999998</v>
      </c>
      <c r="H14" s="6">
        <v>294.2</v>
      </c>
      <c r="I14" s="6">
        <v>232.9</v>
      </c>
      <c r="J14" s="6"/>
      <c r="K14" s="6"/>
      <c r="L14" s="6"/>
      <c r="M14" s="6"/>
      <c r="N14" s="6"/>
      <c r="O14" s="6">
        <v>968</v>
      </c>
      <c r="P14" s="6">
        <v>1057.2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</row>
    <row r="15" spans="1:61" x14ac:dyDescent="0.25">
      <c r="B15" t="s">
        <v>24</v>
      </c>
      <c r="C15" s="6">
        <v>3.6</v>
      </c>
      <c r="D15" s="6">
        <v>15.8</v>
      </c>
      <c r="E15" s="6">
        <v>8.4</v>
      </c>
      <c r="F15" s="6"/>
      <c r="G15" s="6">
        <v>11.1</v>
      </c>
      <c r="H15" s="6">
        <v>6.9</v>
      </c>
      <c r="I15" s="6">
        <v>18.899999999999999</v>
      </c>
      <c r="J15" s="6"/>
      <c r="K15" s="6"/>
      <c r="L15" s="6"/>
      <c r="M15" s="6"/>
      <c r="N15" s="6"/>
      <c r="O15" s="6">
        <v>12.2</v>
      </c>
      <c r="P15" s="6">
        <v>48.5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</row>
    <row r="16" spans="1:61" x14ac:dyDescent="0.25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/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/>
      <c r="K16" s="6"/>
      <c r="L16" s="6"/>
      <c r="M16" s="6"/>
      <c r="N16" s="6"/>
      <c r="O16" s="6">
        <f>201+174+92.4</f>
        <v>467.4</v>
      </c>
      <c r="P16" s="6">
        <f>236.3+183.5+279</f>
        <v>698.8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</row>
    <row r="17" spans="2:61" x14ac:dyDescent="0.25">
      <c r="B17" t="s">
        <v>26</v>
      </c>
      <c r="C17" s="6">
        <f t="shared" ref="C17:G17" si="1">+C12-SUM(C13:C14,C16)+C15</f>
        <v>208.00000000000009</v>
      </c>
      <c r="D17" s="6">
        <f t="shared" si="1"/>
        <v>429.40000000000026</v>
      </c>
      <c r="E17" s="6">
        <f t="shared" si="1"/>
        <v>401.09999999999991</v>
      </c>
      <c r="F17" s="6">
        <f t="shared" si="1"/>
        <v>0</v>
      </c>
      <c r="G17" s="6">
        <f t="shared" si="1"/>
        <v>135.90000000000006</v>
      </c>
      <c r="H17" s="6">
        <f>+H12-SUM(H13:H14,H16)+H15</f>
        <v>354</v>
      </c>
      <c r="I17" s="6">
        <f>+I12-SUM(I13:I14,I16)+I15</f>
        <v>366.00000000000023</v>
      </c>
      <c r="J17" s="6"/>
      <c r="K17" s="6"/>
      <c r="L17" s="6"/>
      <c r="M17" s="6">
        <f t="shared" ref="M17:P17" si="2">+M12-SUM(M13:M14,M16)+M15</f>
        <v>0</v>
      </c>
      <c r="N17" s="6">
        <f t="shared" si="2"/>
        <v>0</v>
      </c>
      <c r="O17" s="6">
        <f t="shared" si="2"/>
        <v>1638.2999999999995</v>
      </c>
      <c r="P17" s="6">
        <f t="shared" si="2"/>
        <v>1380.1999999999998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</row>
    <row r="18" spans="2:61" x14ac:dyDescent="0.25">
      <c r="B18" t="s">
        <v>27</v>
      </c>
      <c r="C18" s="6">
        <v>5.0999999999999996</v>
      </c>
      <c r="D18" s="6">
        <v>8.3000000000000007</v>
      </c>
      <c r="E18" s="6">
        <v>7.5</v>
      </c>
      <c r="F18" s="6"/>
      <c r="G18" s="6">
        <v>3.9</v>
      </c>
      <c r="H18" s="6">
        <v>7.8</v>
      </c>
      <c r="I18" s="6">
        <v>6.7</v>
      </c>
      <c r="J18" s="6"/>
      <c r="K18" s="6"/>
      <c r="L18" s="6"/>
      <c r="M18" s="6"/>
      <c r="N18" s="6"/>
      <c r="O18" s="6">
        <v>29.4</v>
      </c>
      <c r="P18" s="6">
        <v>25.4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</row>
    <row r="19" spans="2:61" x14ac:dyDescent="0.25">
      <c r="B19" t="s">
        <v>28</v>
      </c>
      <c r="C19" s="6">
        <v>15</v>
      </c>
      <c r="D19" s="6">
        <v>16</v>
      </c>
      <c r="E19" s="6">
        <v>52.8</v>
      </c>
      <c r="F19" s="6"/>
      <c r="G19" s="6">
        <v>16.100000000000001</v>
      </c>
      <c r="H19" s="6">
        <v>18.899999999999999</v>
      </c>
      <c r="I19" s="6">
        <v>8.5</v>
      </c>
      <c r="J19" s="6"/>
      <c r="K19" s="6"/>
      <c r="L19" s="6"/>
      <c r="M19" s="6"/>
      <c r="N19" s="6"/>
      <c r="O19" s="6">
        <v>184.6</v>
      </c>
      <c r="P19" s="6">
        <v>130.19999999999999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</row>
    <row r="20" spans="2:61" x14ac:dyDescent="0.25">
      <c r="B20" t="s">
        <v>29</v>
      </c>
      <c r="C20" s="6">
        <v>69.2</v>
      </c>
      <c r="D20" s="6">
        <v>68.599999999999994</v>
      </c>
      <c r="E20" s="6">
        <v>78.400000000000006</v>
      </c>
      <c r="F20" s="6"/>
      <c r="G20" s="6">
        <v>89</v>
      </c>
      <c r="H20" s="6">
        <v>85.9</v>
      </c>
      <c r="I20" s="6">
        <v>86.1</v>
      </c>
      <c r="J20" s="6"/>
      <c r="K20" s="6"/>
      <c r="L20" s="6"/>
      <c r="M20" s="6"/>
      <c r="N20" s="6"/>
      <c r="O20" s="6">
        <v>361.5</v>
      </c>
      <c r="P20" s="6">
        <v>316.5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</row>
    <row r="21" spans="2:61" x14ac:dyDescent="0.25">
      <c r="B21" t="s">
        <v>30</v>
      </c>
      <c r="C21" s="6">
        <f t="shared" ref="C21:G21" si="3">+C17+C18+C19-C20</f>
        <v>158.90000000000009</v>
      </c>
      <c r="D21" s="6">
        <f t="shared" si="3"/>
        <v>385.10000000000025</v>
      </c>
      <c r="E21" s="6">
        <f t="shared" si="3"/>
        <v>382.99999999999989</v>
      </c>
      <c r="F21" s="6">
        <f t="shared" si="3"/>
        <v>0</v>
      </c>
      <c r="G21" s="6">
        <f t="shared" si="3"/>
        <v>66.900000000000063</v>
      </c>
      <c r="H21" s="6">
        <f>+H17+H18+H19-H20</f>
        <v>294.79999999999995</v>
      </c>
      <c r="I21" s="6">
        <f>+I17+I18+I19-I20</f>
        <v>295.10000000000025</v>
      </c>
      <c r="J21" s="6"/>
      <c r="K21" s="6"/>
      <c r="L21" s="6"/>
      <c r="M21" s="6">
        <f t="shared" ref="M21:P21" si="4">+M17+M18+M19-M20</f>
        <v>0</v>
      </c>
      <c r="N21" s="6">
        <f t="shared" si="4"/>
        <v>0</v>
      </c>
      <c r="O21" s="6">
        <f t="shared" si="4"/>
        <v>1490.7999999999995</v>
      </c>
      <c r="P21" s="6">
        <f t="shared" si="4"/>
        <v>1219.3</v>
      </c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</row>
    <row r="22" spans="2:61" x14ac:dyDescent="0.25">
      <c r="B22" t="s">
        <v>31</v>
      </c>
      <c r="C22" s="6">
        <v>34.1</v>
      </c>
      <c r="D22" s="6">
        <v>88.3</v>
      </c>
      <c r="E22" s="6">
        <v>85.9</v>
      </c>
      <c r="F22" s="6"/>
      <c r="G22" s="6">
        <v>15.4</v>
      </c>
      <c r="H22" s="6">
        <v>67.8</v>
      </c>
      <c r="I22" s="6">
        <v>67.8</v>
      </c>
      <c r="J22" s="6"/>
      <c r="K22" s="6"/>
      <c r="L22" s="6"/>
      <c r="M22" s="6"/>
      <c r="N22" s="6"/>
      <c r="O22" s="6">
        <v>308.39999999999998</v>
      </c>
      <c r="P22" s="6">
        <v>279.60000000000002</v>
      </c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</row>
    <row r="23" spans="2:61" x14ac:dyDescent="0.25">
      <c r="B23" t="s">
        <v>32</v>
      </c>
      <c r="C23" s="6">
        <f t="shared" ref="C23:G23" si="5">+C21-C22</f>
        <v>124.8000000000001</v>
      </c>
      <c r="D23" s="6">
        <f t="shared" si="5"/>
        <v>296.80000000000024</v>
      </c>
      <c r="E23" s="6">
        <f t="shared" si="5"/>
        <v>297.09999999999991</v>
      </c>
      <c r="F23" s="6">
        <f t="shared" si="5"/>
        <v>0</v>
      </c>
      <c r="G23" s="6">
        <f t="shared" si="5"/>
        <v>51.500000000000064</v>
      </c>
      <c r="H23" s="6">
        <f>+H21-H22</f>
        <v>226.99999999999994</v>
      </c>
      <c r="I23" s="6">
        <f>+I21-I22</f>
        <v>227.30000000000024</v>
      </c>
      <c r="J23" s="6"/>
      <c r="K23" s="6"/>
      <c r="L23" s="6"/>
      <c r="M23" s="6">
        <f t="shared" ref="M23:O23" si="6">+M21-M22</f>
        <v>0</v>
      </c>
      <c r="N23" s="6">
        <f t="shared" si="6"/>
        <v>0</v>
      </c>
      <c r="O23" s="6">
        <f t="shared" si="6"/>
        <v>1182.3999999999996</v>
      </c>
      <c r="P23" s="6">
        <f>+P21-P22</f>
        <v>939.69999999999993</v>
      </c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2:61" x14ac:dyDescent="0.25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</row>
    <row r="25" spans="2:61" x14ac:dyDescent="0.25">
      <c r="B25" t="s">
        <v>33</v>
      </c>
      <c r="C25" s="6">
        <f t="shared" ref="C25:F25" si="7">+C23/C26</f>
        <v>1.4618204818853746</v>
      </c>
      <c r="D25" s="6">
        <f t="shared" si="7"/>
        <v>3.5185053465158767</v>
      </c>
      <c r="E25" s="6">
        <f t="shared" si="7"/>
        <v>3.5759421301589964</v>
      </c>
      <c r="F25" s="6" t="e">
        <f t="shared" si="7"/>
        <v>#DIV/0!</v>
      </c>
      <c r="G25" s="6">
        <f>+G23/G26</f>
        <v>0.65323000038052315</v>
      </c>
      <c r="H25" s="6">
        <f t="shared" ref="H25:J25" si="8">+H23/H26</f>
        <v>2.8787014139876979</v>
      </c>
      <c r="I25" s="6">
        <f t="shared" si="8"/>
        <v>2.8817749603803517</v>
      </c>
      <c r="J25" s="6" t="e">
        <f t="shared" si="8"/>
        <v>#DIV/0!</v>
      </c>
      <c r="K25" s="6"/>
      <c r="L25" s="6"/>
      <c r="M25" s="6">
        <f t="shared" ref="M25:O25" si="9">+M23/M26</f>
        <v>0</v>
      </c>
      <c r="N25" s="6">
        <f t="shared" si="9"/>
        <v>0</v>
      </c>
      <c r="O25" s="6">
        <f t="shared" si="9"/>
        <v>13.642867032814875</v>
      </c>
      <c r="P25" s="6">
        <f>+P23/P26</f>
        <v>11.437160731238283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2:61" x14ac:dyDescent="0.25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/>
      <c r="G26" s="6">
        <v>78.838999999999999</v>
      </c>
      <c r="H26" s="6">
        <v>78.855000000000004</v>
      </c>
      <c r="I26" s="6">
        <v>78.875</v>
      </c>
      <c r="J26" s="6"/>
      <c r="K26" s="6"/>
      <c r="L26" s="6"/>
      <c r="M26" s="6">
        <v>95.688999999999993</v>
      </c>
      <c r="N26" s="6">
        <v>90.850999999999999</v>
      </c>
      <c r="O26" s="6">
        <v>86.668000000000006</v>
      </c>
      <c r="P26" s="6">
        <v>82.162000000000006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7" spans="2:61" x14ac:dyDescent="0.25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</row>
    <row r="28" spans="2:61" x14ac:dyDescent="0.25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1" t="e">
        <f t="shared" ref="M28:O32" si="10">+M6/L6-1</f>
        <v>#DIV/0!</v>
      </c>
      <c r="N28" s="21" t="e">
        <f t="shared" si="10"/>
        <v>#DIV/0!</v>
      </c>
      <c r="O28" s="21" t="e">
        <f t="shared" si="10"/>
        <v>#DIV/0!</v>
      </c>
      <c r="P28" s="21">
        <f>+P6/O6-1</f>
        <v>1.9654501066163954E-2</v>
      </c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</row>
    <row r="29" spans="2:61" x14ac:dyDescent="0.25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1" t="e">
        <f t="shared" si="10"/>
        <v>#DIV/0!</v>
      </c>
      <c r="N29" s="21" t="e">
        <f t="shared" si="10"/>
        <v>#DIV/0!</v>
      </c>
      <c r="O29" s="21" t="e">
        <f t="shared" si="10"/>
        <v>#DIV/0!</v>
      </c>
      <c r="P29" s="21">
        <f t="shared" ref="P29:P32" si="11">+P7/O7-1</f>
        <v>3.1831412271509985E-2</v>
      </c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</row>
    <row r="30" spans="2:61" x14ac:dyDescent="0.25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1" t="e">
        <f t="shared" si="10"/>
        <v>#DIV/0!</v>
      </c>
      <c r="N30" s="21" t="e">
        <f t="shared" si="10"/>
        <v>#DIV/0!</v>
      </c>
      <c r="O30" s="21" t="e">
        <f t="shared" si="10"/>
        <v>#DIV/0!</v>
      </c>
      <c r="P30" s="21">
        <f t="shared" si="11"/>
        <v>1.1774443869632694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2:61" x14ac:dyDescent="0.25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1" t="e">
        <f t="shared" si="10"/>
        <v>#DIV/0!</v>
      </c>
      <c r="N31" s="21" t="e">
        <f t="shared" si="10"/>
        <v>#DIV/0!</v>
      </c>
      <c r="O31" s="21" t="e">
        <f t="shared" si="10"/>
        <v>#DIV/0!</v>
      </c>
      <c r="P31" s="21">
        <f t="shared" si="11"/>
        <v>4.2990468625893508E-2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</row>
    <row r="32" spans="2:61" ht="13" x14ac:dyDescent="0.3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 t="e">
        <f>+J10/F10-1</f>
        <v>#DIV/0!</v>
      </c>
      <c r="K32" s="6"/>
      <c r="L32" s="6"/>
      <c r="M32" s="22" t="e">
        <f t="shared" si="10"/>
        <v>#DIV/0!</v>
      </c>
      <c r="N32" s="22" t="e">
        <f t="shared" si="10"/>
        <v>#DIV/0!</v>
      </c>
      <c r="O32" s="22" t="e">
        <f t="shared" si="10"/>
        <v>#DIV/0!</v>
      </c>
      <c r="P32" s="22">
        <f t="shared" si="11"/>
        <v>5.3969235703077656E-2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</row>
    <row r="33" spans="2:61" x14ac:dyDescent="0.25">
      <c r="B33" t="s">
        <v>112</v>
      </c>
      <c r="C33" s="21">
        <f t="shared" ref="C33:H33" si="12">+C12/C10</f>
        <v>0.45229174151824669</v>
      </c>
      <c r="D33" s="21">
        <f t="shared" si="12"/>
        <v>0.46884774706230459</v>
      </c>
      <c r="E33" s="21">
        <f t="shared" si="12"/>
        <v>0.46327916066652952</v>
      </c>
      <c r="F33" s="21" t="e">
        <f t="shared" si="12"/>
        <v>#DIV/0!</v>
      </c>
      <c r="G33" s="21">
        <f t="shared" si="12"/>
        <v>0.439124487004104</v>
      </c>
      <c r="H33" s="21">
        <f t="shared" si="12"/>
        <v>0.450326077750487</v>
      </c>
      <c r="I33" s="21">
        <f t="shared" ref="I33:J33" si="13">+I12/I10</f>
        <v>0.44550969329317447</v>
      </c>
      <c r="J33" s="21" t="e">
        <f t="shared" si="13"/>
        <v>#DIV/0!</v>
      </c>
      <c r="K33" s="6"/>
      <c r="L33" s="6"/>
      <c r="M33" s="21" t="e">
        <f t="shared" ref="M33:O33" si="14">+M12/M10</f>
        <v>#DIV/0!</v>
      </c>
      <c r="N33" s="21" t="e">
        <f t="shared" si="14"/>
        <v>#DIV/0!</v>
      </c>
      <c r="O33" s="21">
        <f t="shared" si="14"/>
        <v>0.48151966005795505</v>
      </c>
      <c r="P33" s="21">
        <f>+P12/P10</f>
        <v>0.46494821834146549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</row>
    <row r="34" spans="2:61" x14ac:dyDescent="0.25">
      <c r="B34" t="s">
        <v>113</v>
      </c>
      <c r="C34" s="21">
        <f t="shared" ref="C34:H34" si="15">+C17/C10</f>
        <v>0.10675973925986762</v>
      </c>
      <c r="D34" s="21">
        <f t="shared" si="15"/>
        <v>0.18150308563699394</v>
      </c>
      <c r="E34" s="21">
        <f t="shared" si="15"/>
        <v>0.16502777206336142</v>
      </c>
      <c r="F34" s="21" t="e">
        <f t="shared" si="15"/>
        <v>#DIV/0!</v>
      </c>
      <c r="G34" s="21">
        <f t="shared" si="15"/>
        <v>6.8855449156406776E-2</v>
      </c>
      <c r="H34" s="21">
        <f t="shared" si="15"/>
        <v>0.14991106970441262</v>
      </c>
      <c r="I34" s="21">
        <f t="shared" ref="I34:J34" si="16">+I17/I10</f>
        <v>0.15526237644763086</v>
      </c>
      <c r="J34" s="21" t="e">
        <f t="shared" si="16"/>
        <v>#DIV/0!</v>
      </c>
      <c r="K34" s="6"/>
      <c r="L34" s="6"/>
      <c r="M34" s="21" t="e">
        <f t="shared" ref="M34:O34" si="17">+M17/M10</f>
        <v>#DIV/0!</v>
      </c>
      <c r="N34" s="21" t="e">
        <f t="shared" si="17"/>
        <v>#DIV/0!</v>
      </c>
      <c r="O34" s="21">
        <f t="shared" si="17"/>
        <v>0.18764388551008482</v>
      </c>
      <c r="P34" s="21">
        <f>+P17/P10</f>
        <v>0.1499875028526097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</row>
    <row r="35" spans="2:61" x14ac:dyDescent="0.25">
      <c r="B35" t="s">
        <v>114</v>
      </c>
      <c r="C35" s="21">
        <f t="shared" ref="C35:H35" si="18">+C22/C21</f>
        <v>0.2146003775959722</v>
      </c>
      <c r="D35" s="21">
        <f t="shared" si="18"/>
        <v>0.22929109322253943</v>
      </c>
      <c r="E35" s="21">
        <f t="shared" si="18"/>
        <v>0.22428198433420374</v>
      </c>
      <c r="F35" s="21" t="e">
        <f t="shared" si="18"/>
        <v>#DIV/0!</v>
      </c>
      <c r="G35" s="21">
        <f t="shared" si="18"/>
        <v>0.23019431988041833</v>
      </c>
      <c r="H35" s="21">
        <f t="shared" si="18"/>
        <v>0.22998643147896883</v>
      </c>
      <c r="I35" s="21">
        <f t="shared" ref="I35:J35" si="19">+I22/I21</f>
        <v>0.22975262622839696</v>
      </c>
      <c r="J35" s="21" t="e">
        <f t="shared" si="19"/>
        <v>#DIV/0!</v>
      </c>
      <c r="K35" s="6"/>
      <c r="L35" s="6"/>
      <c r="M35" s="21" t="e">
        <f t="shared" ref="M35:O35" si="20">+M22/M21</f>
        <v>#DIV/0!</v>
      </c>
      <c r="N35" s="21" t="e">
        <f t="shared" si="20"/>
        <v>#DIV/0!</v>
      </c>
      <c r="O35" s="21">
        <f t="shared" si="20"/>
        <v>0.2068687952777033</v>
      </c>
      <c r="P35" s="21">
        <f>+P22/P21</f>
        <v>0.22931190027064713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</row>
    <row r="36" spans="2:61" x14ac:dyDescent="0.25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</row>
    <row r="37" spans="2:61" x14ac:dyDescent="0.25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>
        <v>5235.6000000000004</v>
      </c>
      <c r="P37" s="6">
        <v>5409.9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2:61" x14ac:dyDescent="0.25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3226.1</v>
      </c>
      <c r="P38" s="6">
        <v>3224.1</v>
      </c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</row>
    <row r="39" spans="2:61" x14ac:dyDescent="0.25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74.400000000000006</v>
      </c>
      <c r="P39" s="6">
        <v>65.3</v>
      </c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</row>
    <row r="40" spans="2:61" x14ac:dyDescent="0.25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404</v>
      </c>
      <c r="P40" s="6">
        <v>400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</row>
    <row r="41" spans="2:61" x14ac:dyDescent="0.25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183.1</v>
      </c>
      <c r="P41" s="6">
        <v>215.5</v>
      </c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</row>
    <row r="42" spans="2:61" x14ac:dyDescent="0.25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1475.1</v>
      </c>
      <c r="P42" s="6">
        <v>1664.2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2:61" x14ac:dyDescent="0.25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>
        <v>284.60000000000002</v>
      </c>
      <c r="P43" s="6">
        <v>402.3</v>
      </c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</row>
    <row r="44" spans="2:61" x14ac:dyDescent="0.25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>
        <v>234</v>
      </c>
      <c r="P44" s="6">
        <v>261.89999999999998</v>
      </c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</row>
    <row r="45" spans="2:61" x14ac:dyDescent="0.25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>
        <v>93.7</v>
      </c>
      <c r="P45" s="6">
        <v>129.80000000000001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</row>
    <row r="46" spans="2:61" x14ac:dyDescent="0.25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>
        <f t="shared" ref="M46:O46" si="21">+SUM(M37:M45)</f>
        <v>0</v>
      </c>
      <c r="N46" s="6">
        <f t="shared" si="21"/>
        <v>0</v>
      </c>
      <c r="O46" s="6">
        <f t="shared" si="21"/>
        <v>11210.600000000002</v>
      </c>
      <c r="P46" s="6">
        <f>+SUM(P37:P45)</f>
        <v>11772.999999999998</v>
      </c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</row>
    <row r="47" spans="2:61" x14ac:dyDescent="0.25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>
        <v>3269.6</v>
      </c>
      <c r="P47" s="6">
        <v>3478.2</v>
      </c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</row>
    <row r="48" spans="2:61" x14ac:dyDescent="0.25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>
        <v>963.7</v>
      </c>
      <c r="P48" s="6">
        <v>1213.7</v>
      </c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</row>
    <row r="49" spans="2:61" x14ac:dyDescent="0.25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>
        <v>113.7</v>
      </c>
      <c r="P49" s="6">
        <v>207</v>
      </c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</row>
    <row r="50" spans="2:61" x14ac:dyDescent="0.25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>
        <v>63.3</v>
      </c>
      <c r="P50" s="6">
        <v>97.4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2:61" x14ac:dyDescent="0.25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>
        <v>132.9</v>
      </c>
      <c r="P51" s="6">
        <v>174.6</v>
      </c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</row>
    <row r="52" spans="2:61" x14ac:dyDescent="0.25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>
        <v>99.6</v>
      </c>
      <c r="P52" s="6">
        <v>160.1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</row>
    <row r="53" spans="2:61" x14ac:dyDescent="0.25">
      <c r="B53" t="s">
        <v>68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>
        <f t="shared" ref="N53:O53" si="22">+SUM(N47:N52)</f>
        <v>0</v>
      </c>
      <c r="O53" s="6">
        <f t="shared" si="22"/>
        <v>4642.8</v>
      </c>
      <c r="P53" s="6">
        <f>+SUM(P47:P52)</f>
        <v>5331</v>
      </c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</row>
    <row r="54" spans="2:61" ht="13" x14ac:dyDescent="0.3">
      <c r="B54" s="2" t="s">
        <v>69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>
        <f>+O53+O46</f>
        <v>15853.400000000001</v>
      </c>
      <c r="P54" s="7">
        <f>+P53+P46</f>
        <v>17104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</row>
    <row r="55" spans="2:61" x14ac:dyDescent="0.25">
      <c r="B55" t="s">
        <v>70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>
        <v>9434</v>
      </c>
      <c r="P55" s="6">
        <v>9217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</row>
    <row r="56" spans="2:61" x14ac:dyDescent="0.25">
      <c r="B56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>
        <v>3656.7</v>
      </c>
      <c r="P56" s="6">
        <v>3710.6</v>
      </c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</row>
    <row r="57" spans="2:61" x14ac:dyDescent="0.25">
      <c r="B57" t="s">
        <v>60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>
        <v>706.8</v>
      </c>
      <c r="P57" s="6">
        <v>742.3</v>
      </c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</row>
    <row r="58" spans="2:61" x14ac:dyDescent="0.25">
      <c r="B58" t="s">
        <v>74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>
        <v>195.3</v>
      </c>
      <c r="P58" s="6">
        <v>213.7</v>
      </c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2:61" x14ac:dyDescent="0.25">
      <c r="B59" t="s">
        <v>75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>
        <v>17.899999999999999</v>
      </c>
      <c r="P59" s="6">
        <v>16.399999999999999</v>
      </c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2:61" x14ac:dyDescent="0.25">
      <c r="B60" t="s">
        <v>58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>
        <v>245.8</v>
      </c>
      <c r="P60" s="6">
        <v>337.3</v>
      </c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2:61" x14ac:dyDescent="0.25">
      <c r="B61" t="s">
        <v>38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>
        <v>46.2</v>
      </c>
      <c r="P61" s="6">
        <v>32.5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</row>
    <row r="62" spans="2:61" x14ac:dyDescent="0.25">
      <c r="B62" t="s">
        <v>76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f t="shared" ref="N62:O62" si="23">+SUM(N56:N61)</f>
        <v>0</v>
      </c>
      <c r="O62" s="6">
        <f t="shared" si="23"/>
        <v>4868.7</v>
      </c>
      <c r="P62" s="6">
        <f>+SUM(P56:P61)</f>
        <v>5052.7999999999993</v>
      </c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</row>
    <row r="63" spans="2:61" x14ac:dyDescent="0.25">
      <c r="B63" t="s">
        <v>73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>
        <v>0</v>
      </c>
      <c r="P63" s="6">
        <v>1247.8</v>
      </c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</row>
    <row r="64" spans="2:61" x14ac:dyDescent="0.25">
      <c r="B64" t="s">
        <v>77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>
        <v>508.2</v>
      </c>
      <c r="P64" s="6">
        <v>383.6</v>
      </c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</row>
    <row r="65" spans="1:61" x14ac:dyDescent="0.25">
      <c r="B65" t="s">
        <v>65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>
        <v>120.3</v>
      </c>
      <c r="P65" s="6">
        <v>85.1</v>
      </c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</row>
    <row r="66" spans="1:61" x14ac:dyDescent="0.25">
      <c r="B66" t="s">
        <v>75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>
        <v>17.8</v>
      </c>
      <c r="P66" s="6">
        <v>46.9</v>
      </c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</row>
    <row r="67" spans="1:61" x14ac:dyDescent="0.25">
      <c r="B67" t="s">
        <v>58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>
        <v>59.1</v>
      </c>
      <c r="P67" s="6">
        <v>73.400000000000006</v>
      </c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</row>
    <row r="68" spans="1:61" x14ac:dyDescent="0.25">
      <c r="B68" t="s">
        <v>38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>
        <v>845.3</v>
      </c>
      <c r="P68" s="6">
        <v>997.4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</row>
    <row r="69" spans="1:61" x14ac:dyDescent="0.25">
      <c r="B69" t="s">
        <v>78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>
        <f>+SUM(O63:O68)</f>
        <v>1550.6999999999998</v>
      </c>
      <c r="P69" s="6">
        <f>+SUM(P63:P68)</f>
        <v>2834.2000000000003</v>
      </c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</row>
    <row r="70" spans="1:61" x14ac:dyDescent="0.25">
      <c r="B70" t="s">
        <v>71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>
        <f>+O69+O62</f>
        <v>6419.4</v>
      </c>
      <c r="P70" s="6">
        <f>+P69+P62</f>
        <v>7887</v>
      </c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</row>
    <row r="71" spans="1:61" ht="13" x14ac:dyDescent="0.3">
      <c r="A71" s="2"/>
      <c r="B71" s="2" t="s">
        <v>72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>
        <f>+O70+O55</f>
        <v>15853.4</v>
      </c>
      <c r="P71" s="7">
        <f>+P70+P55</f>
        <v>17104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</row>
    <row r="72" spans="1:61" x14ac:dyDescent="0.25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</row>
    <row r="73" spans="1:61" x14ac:dyDescent="0.25">
      <c r="B73" t="s">
        <v>32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>
        <v>1182.4000000000001</v>
      </c>
      <c r="P73" s="6">
        <v>939.7</v>
      </c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</row>
    <row r="74" spans="1:61" x14ac:dyDescent="0.25">
      <c r="B74" t="s">
        <v>80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>
        <v>375</v>
      </c>
      <c r="P74" s="6">
        <v>419.8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</row>
    <row r="75" spans="1:61" x14ac:dyDescent="0.25">
      <c r="B75" t="s">
        <v>81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>
        <v>513</v>
      </c>
      <c r="P75" s="6">
        <v>694.8</v>
      </c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</row>
    <row r="76" spans="1:61" x14ac:dyDescent="0.25">
      <c r="B76" t="s">
        <v>82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>
        <v>-36.700000000000003</v>
      </c>
      <c r="P76" s="6">
        <v>-138.4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</row>
    <row r="77" spans="1:61" x14ac:dyDescent="0.25">
      <c r="B77" t="s">
        <v>83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>
        <v>-98.3</v>
      </c>
      <c r="P77" s="6">
        <v>-211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</row>
    <row r="78" spans="1:61" x14ac:dyDescent="0.25">
      <c r="B78" t="s">
        <v>28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>
        <v>49.9</v>
      </c>
      <c r="P78" s="6">
        <v>51.4</v>
      </c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</row>
    <row r="79" spans="1:61" x14ac:dyDescent="0.25">
      <c r="B79" t="s">
        <v>84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>
        <v>-248.7</v>
      </c>
      <c r="P79" s="6">
        <v>-226.1</v>
      </c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</row>
    <row r="80" spans="1:61" x14ac:dyDescent="0.25">
      <c r="B80" t="s">
        <v>85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>
        <v>-389.6</v>
      </c>
      <c r="P80" s="6">
        <v>-351.1</v>
      </c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</row>
    <row r="81" spans="2:61" ht="13" x14ac:dyDescent="0.3">
      <c r="B81" s="2" t="s">
        <v>79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7">
        <f t="shared" ref="N81:O81" si="24">+SUM(N73:N80)</f>
        <v>0</v>
      </c>
      <c r="O81" s="7">
        <f t="shared" si="24"/>
        <v>1347</v>
      </c>
      <c r="P81" s="7">
        <f>+SUM(P73:P80)</f>
        <v>1179.1000000000004</v>
      </c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</row>
    <row r="82" spans="2:61" x14ac:dyDescent="0.25">
      <c r="B82" t="s">
        <v>86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>
        <v>-581.70000000000005</v>
      </c>
      <c r="P82" s="6">
        <v>-575.6</v>
      </c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</row>
    <row r="83" spans="2:61" x14ac:dyDescent="0.25">
      <c r="B83" t="s">
        <v>87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>
        <v>-109.4</v>
      </c>
      <c r="P83" s="6">
        <v>-48.3</v>
      </c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</row>
    <row r="84" spans="2:61" x14ac:dyDescent="0.25">
      <c r="B84" t="s">
        <v>88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>
        <v>-199</v>
      </c>
      <c r="P84" s="6">
        <v>-216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</row>
    <row r="85" spans="2:61" x14ac:dyDescent="0.25">
      <c r="B85" t="s">
        <v>89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>
        <v>2.4</v>
      </c>
      <c r="P85" s="6">
        <v>2.9</v>
      </c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</row>
    <row r="86" spans="2:61" x14ac:dyDescent="0.25">
      <c r="B86" t="s">
        <v>90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>
        <v>12.4</v>
      </c>
      <c r="P86" s="6">
        <v>12.9</v>
      </c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</row>
    <row r="87" spans="2:61" ht="13" x14ac:dyDescent="0.3">
      <c r="B87" s="2" t="s">
        <v>91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7">
        <f t="shared" ref="N87:O87" si="25">+SUM(N82:N86)</f>
        <v>0</v>
      </c>
      <c r="O87" s="7">
        <f t="shared" si="25"/>
        <v>-875.30000000000007</v>
      </c>
      <c r="P87" s="7">
        <f>+SUM(P82:P86)</f>
        <v>-824.1</v>
      </c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</row>
    <row r="88" spans="2:61" x14ac:dyDescent="0.25">
      <c r="B88" t="s">
        <v>92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>
        <v>-67.8</v>
      </c>
      <c r="P88" s="6">
        <v>-94.3</v>
      </c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</row>
    <row r="89" spans="2:61" x14ac:dyDescent="0.25">
      <c r="B89" t="s">
        <v>93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>
        <v>581</v>
      </c>
      <c r="P89" s="6">
        <v>405</v>
      </c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</row>
    <row r="90" spans="2:61" x14ac:dyDescent="0.25">
      <c r="B90" t="s">
        <v>94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>
        <v>0</v>
      </c>
      <c r="P90" s="6">
        <v>2233</v>
      </c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</row>
    <row r="91" spans="2:61" x14ac:dyDescent="0.25">
      <c r="B91" t="s">
        <v>95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>
        <v>0</v>
      </c>
      <c r="P91" s="6">
        <v>-1355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</row>
    <row r="92" spans="2:61" x14ac:dyDescent="0.25">
      <c r="B92" t="s">
        <v>96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>
        <v>-4.2</v>
      </c>
      <c r="P92" s="6">
        <v>-4.0999999999999996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</row>
    <row r="93" spans="2:61" x14ac:dyDescent="0.25">
      <c r="B93" t="s">
        <v>97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>
        <v>-714.6</v>
      </c>
      <c r="P93" s="6">
        <v>-709.8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2:61" x14ac:dyDescent="0.25">
      <c r="B94" t="s">
        <v>98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>
        <v>-180.6</v>
      </c>
      <c r="P94" s="6">
        <v>-773.6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</row>
    <row r="95" spans="2:61" ht="13" x14ac:dyDescent="0.3">
      <c r="B95" s="2" t="s">
        <v>99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7">
        <f t="shared" ref="N95:O95" si="26">+SUM(N88:N94)</f>
        <v>0</v>
      </c>
      <c r="O95" s="7">
        <f t="shared" si="26"/>
        <v>-386.19999999999993</v>
      </c>
      <c r="P95" s="7">
        <f>+SUM(P88:P94)</f>
        <v>-298.80000000000007</v>
      </c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</row>
    <row r="96" spans="2:61" x14ac:dyDescent="0.25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</row>
    <row r="97" spans="2:61" ht="13" x14ac:dyDescent="0.3">
      <c r="B97" s="2" t="s">
        <v>101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7">
        <f t="shared" ref="O97" si="27">+SUM(O96,O95,O87,O81)</f>
        <v>85.5</v>
      </c>
      <c r="P97" s="7">
        <f>+SUM(P96,P95,P87,P81)</f>
        <v>56.200000000000273</v>
      </c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</row>
    <row r="98" spans="2:61" x14ac:dyDescent="0.25">
      <c r="B98" t="s">
        <v>100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>
        <v>-8.1</v>
      </c>
      <c r="P98" s="6">
        <v>4.3</v>
      </c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</row>
    <row r="99" spans="2:61" x14ac:dyDescent="0.25">
      <c r="B99" t="s">
        <v>102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>
        <v>22.2</v>
      </c>
      <c r="P99" s="6">
        <v>99.6</v>
      </c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</row>
    <row r="100" spans="2:61" x14ac:dyDescent="0.25">
      <c r="B100" t="s">
        <v>103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>
        <f>+O99+O97+O98</f>
        <v>99.600000000000009</v>
      </c>
      <c r="P100" s="6">
        <f>+P99+P97+P98</f>
        <v>160.10000000000028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</row>
    <row r="101" spans="2:61" x14ac:dyDescent="0.2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</row>
    <row r="102" spans="2:61" x14ac:dyDescent="0.25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</row>
    <row r="103" spans="2:61" x14ac:dyDescent="0.25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</row>
    <row r="104" spans="2:61" x14ac:dyDescent="0.2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</row>
    <row r="105" spans="2:61" x14ac:dyDescent="0.2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</row>
    <row r="106" spans="2:61" x14ac:dyDescent="0.2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</row>
    <row r="107" spans="2:61" x14ac:dyDescent="0.25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</row>
    <row r="108" spans="2:61" x14ac:dyDescent="0.25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</row>
    <row r="109" spans="2:61" x14ac:dyDescent="0.2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</row>
    <row r="110" spans="2:61" x14ac:dyDescent="0.2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</row>
    <row r="111" spans="2:61" x14ac:dyDescent="0.25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</row>
    <row r="112" spans="2:61" x14ac:dyDescent="0.25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</row>
    <row r="113" spans="3:61" x14ac:dyDescent="0.25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</row>
    <row r="114" spans="3:61" x14ac:dyDescent="0.25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</row>
    <row r="115" spans="3:61" x14ac:dyDescent="0.25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</row>
    <row r="116" spans="3:61" x14ac:dyDescent="0.25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</row>
    <row r="117" spans="3:61" x14ac:dyDescent="0.25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</row>
    <row r="118" spans="3:61" x14ac:dyDescent="0.25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</row>
    <row r="119" spans="3:61" x14ac:dyDescent="0.25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</row>
    <row r="120" spans="3:61" x14ac:dyDescent="0.25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</row>
    <row r="121" spans="3:61" x14ac:dyDescent="0.25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</row>
    <row r="122" spans="3:61" x14ac:dyDescent="0.25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</row>
    <row r="123" spans="3:61" x14ac:dyDescent="0.25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</row>
    <row r="124" spans="3:61" x14ac:dyDescent="0.25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</row>
    <row r="125" spans="3:61" x14ac:dyDescent="0.25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</row>
    <row r="126" spans="3:61" x14ac:dyDescent="0.25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</row>
    <row r="127" spans="3:61" x14ac:dyDescent="0.25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</row>
    <row r="128" spans="3:61" x14ac:dyDescent="0.25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</row>
    <row r="129" spans="3:61" x14ac:dyDescent="0.25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</row>
    <row r="130" spans="3:61" x14ac:dyDescent="0.2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</row>
    <row r="131" spans="3:61" x14ac:dyDescent="0.25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</row>
    <row r="132" spans="3:61" x14ac:dyDescent="0.25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</row>
    <row r="133" spans="3:61" x14ac:dyDescent="0.2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</row>
    <row r="134" spans="3:61" x14ac:dyDescent="0.25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</row>
    <row r="135" spans="3:61" x14ac:dyDescent="0.25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</row>
    <row r="136" spans="3:61" x14ac:dyDescent="0.25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</row>
    <row r="137" spans="3:61" x14ac:dyDescent="0.25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</row>
    <row r="138" spans="3:61" x14ac:dyDescent="0.25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</row>
    <row r="139" spans="3:61" x14ac:dyDescent="0.25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</row>
    <row r="140" spans="3:61" x14ac:dyDescent="0.25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</row>
    <row r="141" spans="3:61" x14ac:dyDescent="0.2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</row>
    <row r="142" spans="3:61" x14ac:dyDescent="0.2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</row>
    <row r="143" spans="3:61" x14ac:dyDescent="0.2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</row>
    <row r="144" spans="3:61" x14ac:dyDescent="0.25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</row>
    <row r="145" spans="3:61" x14ac:dyDescent="0.25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</row>
    <row r="146" spans="3:61" x14ac:dyDescent="0.25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</row>
    <row r="147" spans="3:61" x14ac:dyDescent="0.25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</row>
    <row r="148" spans="3:61" x14ac:dyDescent="0.25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</row>
    <row r="149" spans="3:61" x14ac:dyDescent="0.25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</row>
    <row r="150" spans="3:61" x14ac:dyDescent="0.25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</row>
    <row r="151" spans="3:61" x14ac:dyDescent="0.25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</row>
    <row r="152" spans="3:61" x14ac:dyDescent="0.25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</row>
    <row r="153" spans="3:61" x14ac:dyDescent="0.25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</row>
    <row r="154" spans="3:61" x14ac:dyDescent="0.25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</row>
    <row r="155" spans="3:61" x14ac:dyDescent="0.25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</row>
    <row r="156" spans="3:61" x14ac:dyDescent="0.25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</row>
    <row r="157" spans="3:61" x14ac:dyDescent="0.25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</row>
    <row r="158" spans="3:61" x14ac:dyDescent="0.25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</row>
    <row r="159" spans="3:61" x14ac:dyDescent="0.25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</row>
    <row r="160" spans="3:61" x14ac:dyDescent="0.25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</row>
    <row r="161" spans="3:61" x14ac:dyDescent="0.25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</row>
    <row r="162" spans="3:61" x14ac:dyDescent="0.25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</row>
    <row r="163" spans="3:61" x14ac:dyDescent="0.25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</row>
    <row r="164" spans="3:61" x14ac:dyDescent="0.25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</row>
    <row r="165" spans="3:61" x14ac:dyDescent="0.25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</row>
    <row r="166" spans="3:61" x14ac:dyDescent="0.25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</row>
    <row r="167" spans="3:61" x14ac:dyDescent="0.25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</row>
    <row r="168" spans="3:61" x14ac:dyDescent="0.25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</row>
    <row r="169" spans="3:61" x14ac:dyDescent="0.25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</row>
    <row r="170" spans="3:61" x14ac:dyDescent="0.25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</row>
    <row r="171" spans="3:61" x14ac:dyDescent="0.25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</row>
    <row r="172" spans="3:61" x14ac:dyDescent="0.25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</row>
    <row r="173" spans="3:61" x14ac:dyDescent="0.25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</row>
    <row r="174" spans="3:61" x14ac:dyDescent="0.25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</row>
    <row r="175" spans="3:61" x14ac:dyDescent="0.25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</row>
    <row r="176" spans="3:61" x14ac:dyDescent="0.25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</row>
    <row r="177" spans="3:61" x14ac:dyDescent="0.25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</row>
    <row r="178" spans="3:61" x14ac:dyDescent="0.25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</row>
    <row r="179" spans="3:61" x14ac:dyDescent="0.25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</row>
    <row r="180" spans="3:61" x14ac:dyDescent="0.25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</row>
    <row r="181" spans="3:61" x14ac:dyDescent="0.25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</row>
    <row r="182" spans="3:61" x14ac:dyDescent="0.25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</row>
    <row r="183" spans="3:61" x14ac:dyDescent="0.25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</row>
    <row r="184" spans="3:61" x14ac:dyDescent="0.25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</row>
    <row r="185" spans="3:61" x14ac:dyDescent="0.25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</row>
    <row r="186" spans="3:61" x14ac:dyDescent="0.25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</row>
    <row r="187" spans="3:61" x14ac:dyDescent="0.25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</row>
    <row r="188" spans="3:61" x14ac:dyDescent="0.25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</row>
    <row r="189" spans="3:61" x14ac:dyDescent="0.25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</row>
    <row r="190" spans="3:61" x14ac:dyDescent="0.25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</row>
    <row r="191" spans="3:61" x14ac:dyDescent="0.25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</row>
    <row r="192" spans="3:61" x14ac:dyDescent="0.25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</row>
    <row r="193" spans="3:61" x14ac:dyDescent="0.25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</row>
    <row r="194" spans="3:61" x14ac:dyDescent="0.25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</row>
    <row r="195" spans="3:61" x14ac:dyDescent="0.25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</row>
    <row r="196" spans="3:61" x14ac:dyDescent="0.25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</row>
    <row r="197" spans="3:61" x14ac:dyDescent="0.25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</row>
    <row r="198" spans="3:61" x14ac:dyDescent="0.25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</row>
    <row r="199" spans="3:61" x14ac:dyDescent="0.25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</row>
    <row r="200" spans="3:61" x14ac:dyDescent="0.25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</row>
    <row r="201" spans="3:61" x14ac:dyDescent="0.25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</row>
    <row r="202" spans="3:61" x14ac:dyDescent="0.25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</row>
    <row r="203" spans="3:61" x14ac:dyDescent="0.25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</row>
    <row r="204" spans="3:61" x14ac:dyDescent="0.25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</row>
    <row r="205" spans="3:61" x14ac:dyDescent="0.25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</row>
    <row r="206" spans="3:61" x14ac:dyDescent="0.25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</row>
    <row r="207" spans="3:61" x14ac:dyDescent="0.25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</row>
    <row r="208" spans="3:61" x14ac:dyDescent="0.25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</row>
    <row r="209" spans="3:61" x14ac:dyDescent="0.25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</row>
    <row r="210" spans="3:61" x14ac:dyDescent="0.25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</row>
    <row r="211" spans="3:61" x14ac:dyDescent="0.25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</row>
    <row r="212" spans="3:61" x14ac:dyDescent="0.25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</row>
    <row r="213" spans="3:61" x14ac:dyDescent="0.25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</row>
    <row r="214" spans="3:61" x14ac:dyDescent="0.25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</row>
    <row r="215" spans="3:61" x14ac:dyDescent="0.25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</row>
    <row r="216" spans="3:61" x14ac:dyDescent="0.25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</row>
    <row r="217" spans="3:61" x14ac:dyDescent="0.25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</row>
    <row r="218" spans="3:61" x14ac:dyDescent="0.25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</row>
    <row r="219" spans="3:61" x14ac:dyDescent="0.25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</row>
    <row r="220" spans="3:61" x14ac:dyDescent="0.25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</row>
    <row r="221" spans="3:61" x14ac:dyDescent="0.25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</row>
    <row r="222" spans="3:61" x14ac:dyDescent="0.25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</row>
    <row r="223" spans="3:61" x14ac:dyDescent="0.25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</row>
    <row r="224" spans="3:61" x14ac:dyDescent="0.25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</row>
    <row r="225" spans="3:61" x14ac:dyDescent="0.25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</row>
    <row r="226" spans="3:61" x14ac:dyDescent="0.25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</row>
    <row r="227" spans="3:61" x14ac:dyDescent="0.25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</row>
    <row r="228" spans="3:61" x14ac:dyDescent="0.25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</row>
    <row r="229" spans="3:61" x14ac:dyDescent="0.25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</row>
    <row r="230" spans="3:61" x14ac:dyDescent="0.25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</row>
    <row r="231" spans="3:61" x14ac:dyDescent="0.25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</row>
    <row r="232" spans="3:61" x14ac:dyDescent="0.25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</row>
    <row r="233" spans="3:61" x14ac:dyDescent="0.25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</row>
    <row r="234" spans="3:61" x14ac:dyDescent="0.25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</row>
    <row r="235" spans="3:61" x14ac:dyDescent="0.25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</row>
    <row r="236" spans="3:61" x14ac:dyDescent="0.25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</row>
    <row r="237" spans="3:61" x14ac:dyDescent="0.25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</row>
    <row r="238" spans="3:61" x14ac:dyDescent="0.25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</row>
    <row r="239" spans="3:61" x14ac:dyDescent="0.25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</row>
    <row r="240" spans="3:61" x14ac:dyDescent="0.25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</row>
    <row r="241" spans="3:61" x14ac:dyDescent="0.25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</row>
    <row r="242" spans="3:61" x14ac:dyDescent="0.25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</row>
    <row r="243" spans="3:61" x14ac:dyDescent="0.25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</row>
    <row r="244" spans="3:61" x14ac:dyDescent="0.25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</row>
    <row r="245" spans="3:61" x14ac:dyDescent="0.25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</row>
    <row r="246" spans="3:61" x14ac:dyDescent="0.25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</row>
    <row r="247" spans="3:61" x14ac:dyDescent="0.25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</row>
    <row r="248" spans="3:61" x14ac:dyDescent="0.25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</row>
    <row r="249" spans="3:61" x14ac:dyDescent="0.25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</row>
    <row r="250" spans="3:61" x14ac:dyDescent="0.25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</row>
    <row r="251" spans="3:61" x14ac:dyDescent="0.25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</row>
    <row r="252" spans="3:61" x14ac:dyDescent="0.25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</row>
    <row r="253" spans="3:61" x14ac:dyDescent="0.25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</row>
    <row r="254" spans="3:61" x14ac:dyDescent="0.25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</row>
    <row r="255" spans="3:61" x14ac:dyDescent="0.25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</row>
    <row r="256" spans="3:61" x14ac:dyDescent="0.25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</row>
    <row r="257" spans="3:61" x14ac:dyDescent="0.25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</row>
    <row r="258" spans="3:61" x14ac:dyDescent="0.25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</row>
    <row r="259" spans="3:61" x14ac:dyDescent="0.25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</row>
    <row r="260" spans="3:61" x14ac:dyDescent="0.25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</row>
    <row r="261" spans="3:61" x14ac:dyDescent="0.25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</row>
    <row r="262" spans="3:61" x14ac:dyDescent="0.25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</row>
    <row r="263" spans="3:61" x14ac:dyDescent="0.25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</row>
    <row r="264" spans="3:61" x14ac:dyDescent="0.25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</row>
    <row r="265" spans="3:61" x14ac:dyDescent="0.25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</row>
    <row r="266" spans="3:61" x14ac:dyDescent="0.25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</row>
    <row r="267" spans="3:61" x14ac:dyDescent="0.25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</row>
    <row r="268" spans="3:61" x14ac:dyDescent="0.25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</row>
    <row r="269" spans="3:61" x14ac:dyDescent="0.25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</row>
    <row r="270" spans="3:61" x14ac:dyDescent="0.25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</row>
    <row r="271" spans="3:61" x14ac:dyDescent="0.25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</row>
    <row r="272" spans="3:61" x14ac:dyDescent="0.25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</row>
    <row r="273" spans="3:61" x14ac:dyDescent="0.25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</row>
    <row r="274" spans="3:61" x14ac:dyDescent="0.25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</row>
    <row r="275" spans="3:61" x14ac:dyDescent="0.25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</row>
    <row r="276" spans="3:61" x14ac:dyDescent="0.25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</row>
    <row r="277" spans="3:61" x14ac:dyDescent="0.25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</row>
    <row r="278" spans="3:61" x14ac:dyDescent="0.25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</row>
    <row r="279" spans="3:61" x14ac:dyDescent="0.25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</row>
    <row r="280" spans="3:61" x14ac:dyDescent="0.25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</row>
    <row r="281" spans="3:61" x14ac:dyDescent="0.25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</row>
    <row r="282" spans="3:61" x14ac:dyDescent="0.25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</row>
    <row r="283" spans="3:61" x14ac:dyDescent="0.25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</row>
    <row r="284" spans="3:61" x14ac:dyDescent="0.25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</row>
    <row r="285" spans="3:61" x14ac:dyDescent="0.25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</row>
    <row r="286" spans="3:61" x14ac:dyDescent="0.25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</row>
    <row r="287" spans="3:61" x14ac:dyDescent="0.25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</row>
    <row r="288" spans="3:61" x14ac:dyDescent="0.25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</row>
    <row r="289" spans="3:61" x14ac:dyDescent="0.25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</row>
    <row r="290" spans="3:61" x14ac:dyDescent="0.25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</row>
    <row r="291" spans="3:61" x14ac:dyDescent="0.25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</row>
    <row r="292" spans="3:61" x14ac:dyDescent="0.25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</row>
    <row r="293" spans="3:61" x14ac:dyDescent="0.25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</row>
    <row r="294" spans="3:61" x14ac:dyDescent="0.25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</row>
    <row r="295" spans="3:61" x14ac:dyDescent="0.25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</row>
    <row r="296" spans="3:61" x14ac:dyDescent="0.25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</row>
    <row r="297" spans="3:61" x14ac:dyDescent="0.25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</row>
    <row r="298" spans="3:61" x14ac:dyDescent="0.25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</row>
    <row r="299" spans="3:61" x14ac:dyDescent="0.25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</row>
    <row r="300" spans="3:61" x14ac:dyDescent="0.25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</row>
    <row r="301" spans="3:61" x14ac:dyDescent="0.25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</row>
    <row r="302" spans="3:61" x14ac:dyDescent="0.25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</row>
    <row r="303" spans="3:61" x14ac:dyDescent="0.25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</row>
    <row r="304" spans="3:61" x14ac:dyDescent="0.25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</row>
    <row r="305" spans="3:61" x14ac:dyDescent="0.25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</row>
    <row r="306" spans="3:61" x14ac:dyDescent="0.25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</row>
    <row r="307" spans="3:61" x14ac:dyDescent="0.25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</row>
    <row r="308" spans="3:61" x14ac:dyDescent="0.25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</row>
    <row r="309" spans="3:61" x14ac:dyDescent="0.25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</row>
    <row r="310" spans="3:61" x14ac:dyDescent="0.25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</row>
    <row r="311" spans="3:61" x14ac:dyDescent="0.25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</row>
    <row r="312" spans="3:61" x14ac:dyDescent="0.25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</row>
    <row r="313" spans="3:61" x14ac:dyDescent="0.25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</row>
    <row r="314" spans="3:61" x14ac:dyDescent="0.25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</row>
    <row r="315" spans="3:61" x14ac:dyDescent="0.25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</row>
    <row r="316" spans="3:61" x14ac:dyDescent="0.25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</row>
    <row r="317" spans="3:61" x14ac:dyDescent="0.25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</row>
    <row r="318" spans="3:61" x14ac:dyDescent="0.25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</row>
    <row r="319" spans="3:61" x14ac:dyDescent="0.25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</row>
    <row r="320" spans="3:61" x14ac:dyDescent="0.25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</row>
    <row r="321" spans="3:61" x14ac:dyDescent="0.25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</row>
    <row r="322" spans="3:61" x14ac:dyDescent="0.25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</row>
    <row r="323" spans="3:61" x14ac:dyDescent="0.25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</row>
    <row r="324" spans="3:61" x14ac:dyDescent="0.25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</row>
    <row r="325" spans="3:61" x14ac:dyDescent="0.25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</row>
    <row r="326" spans="3:61" x14ac:dyDescent="0.25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</row>
    <row r="327" spans="3:61" x14ac:dyDescent="0.25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</row>
    <row r="328" spans="3:61" x14ac:dyDescent="0.25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</row>
    <row r="329" spans="3:61" x14ac:dyDescent="0.25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</row>
    <row r="330" spans="3:61" x14ac:dyDescent="0.25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</row>
    <row r="331" spans="3:61" x14ac:dyDescent="0.25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</row>
    <row r="332" spans="3:61" x14ac:dyDescent="0.25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</row>
    <row r="333" spans="3:61" x14ac:dyDescent="0.25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</row>
    <row r="334" spans="3:61" x14ac:dyDescent="0.25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</row>
    <row r="335" spans="3:61" x14ac:dyDescent="0.25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</row>
    <row r="336" spans="3:61" x14ac:dyDescent="0.25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</row>
    <row r="337" spans="3:61" x14ac:dyDescent="0.25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</row>
    <row r="338" spans="3:61" x14ac:dyDescent="0.25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</row>
    <row r="339" spans="3:61" x14ac:dyDescent="0.25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</row>
    <row r="340" spans="3:61" x14ac:dyDescent="0.25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</row>
    <row r="341" spans="3:61" x14ac:dyDescent="0.25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</row>
    <row r="342" spans="3:61" x14ac:dyDescent="0.25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</row>
    <row r="343" spans="3:61" x14ac:dyDescent="0.25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</row>
    <row r="344" spans="3:61" x14ac:dyDescent="0.25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</row>
    <row r="345" spans="3:61" x14ac:dyDescent="0.25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</row>
    <row r="346" spans="3:61" x14ac:dyDescent="0.25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</row>
    <row r="347" spans="3:61" x14ac:dyDescent="0.25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</row>
    <row r="348" spans="3:61" x14ac:dyDescent="0.25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</row>
    <row r="349" spans="3:61" x14ac:dyDescent="0.25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</row>
    <row r="350" spans="3:61" x14ac:dyDescent="0.25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</row>
    <row r="351" spans="3:61" x14ac:dyDescent="0.25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</row>
    <row r="352" spans="3:61" x14ac:dyDescent="0.25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</row>
    <row r="353" spans="3:61" x14ac:dyDescent="0.25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</row>
    <row r="354" spans="3:61" x14ac:dyDescent="0.25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</row>
    <row r="355" spans="3:61" x14ac:dyDescent="0.25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</row>
    <row r="356" spans="3:61" x14ac:dyDescent="0.25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</row>
    <row r="357" spans="3:61" x14ac:dyDescent="0.25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</row>
    <row r="358" spans="3:61" x14ac:dyDescent="0.25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</row>
    <row r="359" spans="3:61" x14ac:dyDescent="0.25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</row>
    <row r="360" spans="3:61" x14ac:dyDescent="0.25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</row>
    <row r="361" spans="3:61" x14ac:dyDescent="0.25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</row>
    <row r="362" spans="3:61" x14ac:dyDescent="0.25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</row>
    <row r="363" spans="3:61" x14ac:dyDescent="0.25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</row>
    <row r="364" spans="3:61" x14ac:dyDescent="0.25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</row>
    <row r="365" spans="3:61" x14ac:dyDescent="0.25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</row>
    <row r="366" spans="3:61" x14ac:dyDescent="0.25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</row>
    <row r="367" spans="3:61" x14ac:dyDescent="0.25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</row>
    <row r="368" spans="3:61" x14ac:dyDescent="0.25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3:29" x14ac:dyDescent="0.25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3:29" x14ac:dyDescent="0.25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3:29" x14ac:dyDescent="0.25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3:29" x14ac:dyDescent="0.25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3:29" x14ac:dyDescent="0.25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3:29" x14ac:dyDescent="0.25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3:29" x14ac:dyDescent="0.25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3:29" x14ac:dyDescent="0.25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3:29" x14ac:dyDescent="0.25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3:29" x14ac:dyDescent="0.25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3:29" x14ac:dyDescent="0.25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3:29" x14ac:dyDescent="0.25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3:29" x14ac:dyDescent="0.25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3:29" x14ac:dyDescent="0.25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3:29" x14ac:dyDescent="0.25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3:29" x14ac:dyDescent="0.25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3:29" x14ac:dyDescent="0.25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3:29" x14ac:dyDescent="0.25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3:29" x14ac:dyDescent="0.25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3:29" x14ac:dyDescent="0.25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3:29" x14ac:dyDescent="0.25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3:29" x14ac:dyDescent="0.25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3:29" x14ac:dyDescent="0.25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3:29" x14ac:dyDescent="0.25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3:29" x14ac:dyDescent="0.25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3:29" x14ac:dyDescent="0.25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3:29" x14ac:dyDescent="0.25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3:29" x14ac:dyDescent="0.25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3:29" x14ac:dyDescent="0.25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3:29" x14ac:dyDescent="0.25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3:29" x14ac:dyDescent="0.25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3:29" x14ac:dyDescent="0.25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3:29" x14ac:dyDescent="0.25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3:29" x14ac:dyDescent="0.25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3:29" x14ac:dyDescent="0.25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3:29" x14ac:dyDescent="0.25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3:29" x14ac:dyDescent="0.25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3:29" x14ac:dyDescent="0.25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3:29" x14ac:dyDescent="0.25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3:29" x14ac:dyDescent="0.25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3:29" x14ac:dyDescent="0.25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3:29" x14ac:dyDescent="0.25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3:29" x14ac:dyDescent="0.25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3:29" x14ac:dyDescent="0.25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3:29" x14ac:dyDescent="0.25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3:29" x14ac:dyDescent="0.25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3:29" x14ac:dyDescent="0.25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3:29" x14ac:dyDescent="0.25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3:29" x14ac:dyDescent="0.25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3:29" x14ac:dyDescent="0.25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3:29" x14ac:dyDescent="0.25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3:29" x14ac:dyDescent="0.25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3:29" x14ac:dyDescent="0.25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3:29" x14ac:dyDescent="0.25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3:29" x14ac:dyDescent="0.25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3:29" x14ac:dyDescent="0.25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3:29" x14ac:dyDescent="0.25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3:29" x14ac:dyDescent="0.25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3:29" x14ac:dyDescent="0.25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3:29" x14ac:dyDescent="0.25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3:29" x14ac:dyDescent="0.25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3:29" x14ac:dyDescent="0.25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3:29" x14ac:dyDescent="0.25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3:29" x14ac:dyDescent="0.25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3:29" x14ac:dyDescent="0.25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3:29" x14ac:dyDescent="0.25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3:29" x14ac:dyDescent="0.25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3:29" x14ac:dyDescent="0.25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3:29" x14ac:dyDescent="0.25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3:29" x14ac:dyDescent="0.25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3:29" x14ac:dyDescent="0.25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3:29" x14ac:dyDescent="0.25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3:29" x14ac:dyDescent="0.25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3:29" x14ac:dyDescent="0.25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3:29" x14ac:dyDescent="0.25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3:29" x14ac:dyDescent="0.25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3:29" x14ac:dyDescent="0.25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3:29" x14ac:dyDescent="0.25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3:29" x14ac:dyDescent="0.25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3:29" x14ac:dyDescent="0.25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3:29" x14ac:dyDescent="0.25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3:29" x14ac:dyDescent="0.25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3:29" x14ac:dyDescent="0.25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3:29" x14ac:dyDescent="0.25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3:29" x14ac:dyDescent="0.25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3:29" x14ac:dyDescent="0.25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3:29" x14ac:dyDescent="0.25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</sheetData>
  <hyperlinks>
    <hyperlink ref="A1" location="Main!A1" display="Main" xr:uid="{045468A1-3DAF-463D-BF7D-92662B42E6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H5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" sqref="E4:H4"/>
    </sheetView>
  </sheetViews>
  <sheetFormatPr defaultRowHeight="12.5" x14ac:dyDescent="0.25"/>
  <cols>
    <col min="1" max="1" width="5.1796875" bestFit="1" customWidth="1"/>
    <col min="2" max="2" width="22.453125" customWidth="1"/>
  </cols>
  <sheetData>
    <row r="1" spans="1:8" x14ac:dyDescent="0.25">
      <c r="A1" s="8" t="s">
        <v>9</v>
      </c>
    </row>
    <row r="2" spans="1:8" x14ac:dyDescent="0.25">
      <c r="C2" s="5" t="s">
        <v>45</v>
      </c>
      <c r="D2" s="5" t="s">
        <v>40</v>
      </c>
      <c r="E2" s="5" t="s">
        <v>41</v>
      </c>
      <c r="F2" s="5" t="s">
        <v>42</v>
      </c>
      <c r="G2" s="5" t="s">
        <v>43</v>
      </c>
      <c r="H2" s="5" t="s">
        <v>44</v>
      </c>
    </row>
    <row r="3" spans="1:8" x14ac:dyDescent="0.25">
      <c r="B3" t="s">
        <v>46</v>
      </c>
      <c r="D3">
        <v>104.1</v>
      </c>
      <c r="E3">
        <v>137.30000000000001</v>
      </c>
      <c r="F3">
        <v>122.1</v>
      </c>
      <c r="G3">
        <v>117.3</v>
      </c>
      <c r="H3">
        <v>95.3</v>
      </c>
    </row>
    <row r="4" spans="1:8" x14ac:dyDescent="0.25">
      <c r="B4" t="s">
        <v>47</v>
      </c>
      <c r="C4" s="6"/>
      <c r="D4" s="6">
        <v>99.659000000000006</v>
      </c>
      <c r="E4" s="6">
        <v>95.688999999999993</v>
      </c>
      <c r="F4" s="6">
        <v>90.850999999999999</v>
      </c>
      <c r="G4" s="6">
        <v>86.668000000000006</v>
      </c>
      <c r="H4" s="6">
        <v>82.162000000000006</v>
      </c>
    </row>
    <row r="5" spans="1:8" x14ac:dyDescent="0.25">
      <c r="B5" t="s">
        <v>4</v>
      </c>
      <c r="C5" s="3"/>
      <c r="D5" s="3">
        <f t="shared" ref="D5" si="0">+D3*D4</f>
        <v>10374.501899999999</v>
      </c>
      <c r="E5" s="3">
        <f t="shared" ref="E5" si="1">+E3*E4</f>
        <v>13138.099700000001</v>
      </c>
      <c r="F5" s="3">
        <f t="shared" ref="F5" si="2">+F3*F4</f>
        <v>11092.907099999999</v>
      </c>
      <c r="G5" s="3">
        <f t="shared" ref="G5" si="3">+G3*G4</f>
        <v>10166.1564</v>
      </c>
      <c r="H5" s="3">
        <f>+H3*H4</f>
        <v>7830.0386000000008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/>
  </sheetViews>
  <sheetFormatPr defaultRowHeight="12.5" x14ac:dyDescent="0.25"/>
  <cols>
    <col min="1" max="1" width="4.7265625" bestFit="1" customWidth="1"/>
    <col min="5" max="5" width="10.1796875" bestFit="1" customWidth="1"/>
  </cols>
  <sheetData>
    <row r="1" spans="1:41" ht="19.5" x14ac:dyDescent="0.45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5">
      <c r="E2" s="25"/>
    </row>
    <row r="3" spans="1:41" x14ac:dyDescent="0.25">
      <c r="B3" t="s">
        <v>116</v>
      </c>
      <c r="E3" s="26" t="s">
        <v>167</v>
      </c>
      <c r="G3" t="s">
        <v>117</v>
      </c>
      <c r="J3" s="26">
        <f>+Main!J2</f>
        <v>86.5</v>
      </c>
      <c r="L3" t="s">
        <v>117</v>
      </c>
      <c r="O3" s="26">
        <f>+J3</f>
        <v>86.5</v>
      </c>
    </row>
    <row r="4" spans="1:41" x14ac:dyDescent="0.25">
      <c r="B4" t="s">
        <v>118</v>
      </c>
      <c r="E4" s="27">
        <f ca="1">+TODAY()</f>
        <v>45972</v>
      </c>
      <c r="G4" t="s">
        <v>119</v>
      </c>
      <c r="J4" s="28">
        <f ca="1">V62</f>
        <v>149.07544726671193</v>
      </c>
      <c r="L4" t="s">
        <v>120</v>
      </c>
      <c r="O4" s="29">
        <f>+J15+O15+T15</f>
        <v>0</v>
      </c>
    </row>
    <row r="5" spans="1:41" x14ac:dyDescent="0.25">
      <c r="B5" t="s">
        <v>121</v>
      </c>
      <c r="E5" s="73">
        <v>46022</v>
      </c>
      <c r="G5" t="s">
        <v>122</v>
      </c>
      <c r="J5" s="31">
        <f ca="1">J4/J3-1</f>
        <v>0.72341557533771028</v>
      </c>
      <c r="L5" t="s">
        <v>122</v>
      </c>
      <c r="O5" s="31">
        <f>O4/O3-1</f>
        <v>-1</v>
      </c>
    </row>
    <row r="7" spans="1:41" ht="14.5" x14ac:dyDescent="0.3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4.5" x14ac:dyDescent="0.35">
      <c r="A8" s="32"/>
    </row>
    <row r="9" spans="1:41" ht="14.5" x14ac:dyDescent="0.3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4.5" x14ac:dyDescent="0.3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4.5" x14ac:dyDescent="0.3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5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5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5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5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4.5" x14ac:dyDescent="0.35">
      <c r="B17" s="36" t="s">
        <v>140</v>
      </c>
    </row>
    <row r="18" spans="1:22" x14ac:dyDescent="0.25">
      <c r="B18" t="s">
        <v>134</v>
      </c>
      <c r="E18" s="38">
        <f>CHOOSE(E13,J18,O18,T18)</f>
        <v>0.09</v>
      </c>
      <c r="G18" t="s">
        <v>134</v>
      </c>
      <c r="J18" s="38"/>
      <c r="L18" t="s">
        <v>134</v>
      </c>
      <c r="O18" s="38">
        <v>0.09</v>
      </c>
      <c r="Q18" t="s">
        <v>134</v>
      </c>
      <c r="T18" s="38"/>
    </row>
    <row r="19" spans="1:22" x14ac:dyDescent="0.25">
      <c r="B19" t="s">
        <v>136</v>
      </c>
      <c r="E19" s="38">
        <f>CHOOSE(E14,J19,O19,T19)</f>
        <v>0.01</v>
      </c>
      <c r="G19" t="s">
        <v>136</v>
      </c>
      <c r="J19" s="38"/>
      <c r="L19" t="s">
        <v>136</v>
      </c>
      <c r="O19" s="38">
        <v>0.01</v>
      </c>
      <c r="Q19" t="s">
        <v>136</v>
      </c>
      <c r="T19" s="38"/>
    </row>
    <row r="20" spans="1:22" x14ac:dyDescent="0.25">
      <c r="B20" t="s">
        <v>141</v>
      </c>
      <c r="E20" s="38">
        <f>CHOOSE(E15,J20,O20,T20)</f>
        <v>0.1</v>
      </c>
      <c r="G20" t="s">
        <v>141</v>
      </c>
      <c r="J20" s="38"/>
      <c r="L20" t="s">
        <v>141</v>
      </c>
      <c r="O20" s="38">
        <v>0.1</v>
      </c>
      <c r="Q20" t="s">
        <v>141</v>
      </c>
      <c r="T20" s="38"/>
    </row>
    <row r="24" spans="1:22" ht="14.5" x14ac:dyDescent="0.3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5">
      <c r="B25" t="s">
        <v>132</v>
      </c>
      <c r="G25" s="3"/>
      <c r="H25" s="3"/>
      <c r="I25" s="3"/>
      <c r="J25" s="3"/>
      <c r="K25" s="3">
        <f>+Model!O10</f>
        <v>8730.9</v>
      </c>
      <c r="L25" s="3">
        <f>+Model!P10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4.5" x14ac:dyDescent="0.35">
      <c r="B26" s="40" t="s">
        <v>143</v>
      </c>
      <c r="C26" s="41"/>
      <c r="G26" s="42"/>
      <c r="H26" s="43" t="e">
        <f t="shared" ref="H26:L26" si="2">H25/G25-1</f>
        <v>#DIV/0!</v>
      </c>
      <c r="I26" s="43" t="e">
        <f t="shared" si="2"/>
        <v>#DIV/0!</v>
      </c>
      <c r="J26" s="43" t="e">
        <f t="shared" si="2"/>
        <v>#DIV/0!</v>
      </c>
      <c r="K26" s="43" t="e">
        <f t="shared" si="2"/>
        <v>#DIV/0!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4.5" x14ac:dyDescent="0.35">
      <c r="B27" s="40" t="s">
        <v>126</v>
      </c>
      <c r="C27" s="41"/>
      <c r="I27" s="21"/>
      <c r="J27" s="21"/>
      <c r="K27" s="21"/>
      <c r="L27" s="21"/>
      <c r="M27" s="44"/>
      <c r="N27" s="44"/>
      <c r="O27" s="44"/>
      <c r="P27" s="44"/>
      <c r="Q27" s="44"/>
      <c r="R27" s="44"/>
      <c r="S27" s="44"/>
      <c r="T27" s="44"/>
      <c r="U27" s="44"/>
      <c r="V27" s="44"/>
    </row>
    <row r="28" spans="1:22" ht="14.5" x14ac:dyDescent="0.3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4.5" x14ac:dyDescent="0.35">
      <c r="B29" s="40" t="s">
        <v>145</v>
      </c>
      <c r="C29" s="41"/>
      <c r="I29" s="21"/>
      <c r="J29" s="21"/>
      <c r="K29" s="21"/>
      <c r="L29" s="21"/>
      <c r="M29" s="44"/>
      <c r="N29" s="44"/>
      <c r="O29" s="44"/>
      <c r="P29" s="44"/>
      <c r="Q29" s="44"/>
      <c r="R29" s="44"/>
      <c r="S29" s="44"/>
      <c r="T29" s="44"/>
      <c r="U29" s="44"/>
      <c r="V29" s="44"/>
    </row>
    <row r="31" spans="1:22" x14ac:dyDescent="0.25">
      <c r="B31" t="s">
        <v>133</v>
      </c>
      <c r="G31" s="3"/>
      <c r="H31" s="3"/>
      <c r="I31" s="3"/>
      <c r="J31" s="3"/>
      <c r="K31" s="3">
        <f>+Model!O17</f>
        <v>1638.2999999999995</v>
      </c>
      <c r="L31" s="3">
        <f>+Model!P17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4.5" x14ac:dyDescent="0.35">
      <c r="B32" s="40" t="s">
        <v>146</v>
      </c>
      <c r="G32" s="43" t="e">
        <f>G31/G25</f>
        <v>#DIV/0!</v>
      </c>
      <c r="H32" s="43" t="e">
        <f t="shared" ref="H32:L32" si="4">H31/H25</f>
        <v>#DIV/0!</v>
      </c>
      <c r="I32" s="43" t="e">
        <f t="shared" si="4"/>
        <v>#DIV/0!</v>
      </c>
      <c r="J32" s="43" t="e">
        <f t="shared" si="4"/>
        <v>#DIV/0!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4.5" x14ac:dyDescent="0.35">
      <c r="B33" s="40" t="s">
        <v>126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</row>
    <row r="34" spans="2:22" ht="14.5" x14ac:dyDescent="0.3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4.5" x14ac:dyDescent="0.35">
      <c r="B35" s="40" t="s">
        <v>145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</row>
    <row r="37" spans="2:22" x14ac:dyDescent="0.25">
      <c r="B37" t="s">
        <v>147</v>
      </c>
      <c r="G37" s="3"/>
      <c r="H37" s="3"/>
      <c r="I37" s="3"/>
      <c r="J37" s="3"/>
      <c r="K37" s="3">
        <f>+Model!O22</f>
        <v>308.39999999999998</v>
      </c>
      <c r="L37" s="3">
        <f>+Model!P22</f>
        <v>279.60000000000002</v>
      </c>
      <c r="M37" s="3">
        <f ca="1">M38*M31</f>
        <v>0</v>
      </c>
      <c r="N37" s="3">
        <f t="shared" ref="N37:V37" ca="1" si="5">N38*N31</f>
        <v>0</v>
      </c>
      <c r="O37" s="3">
        <f t="shared" ca="1" si="5"/>
        <v>0</v>
      </c>
      <c r="P37" s="3">
        <f t="shared" ca="1" si="5"/>
        <v>0</v>
      </c>
      <c r="Q37" s="3">
        <f t="shared" ca="1" si="5"/>
        <v>0</v>
      </c>
      <c r="R37" s="3">
        <f t="shared" ca="1" si="5"/>
        <v>0</v>
      </c>
      <c r="S37" s="3">
        <f t="shared" ca="1" si="5"/>
        <v>0</v>
      </c>
      <c r="T37" s="3">
        <f t="shared" ca="1" si="5"/>
        <v>0</v>
      </c>
      <c r="U37" s="3">
        <f t="shared" ca="1" si="5"/>
        <v>0</v>
      </c>
      <c r="V37" s="3">
        <f t="shared" ca="1" si="5"/>
        <v>0</v>
      </c>
    </row>
    <row r="38" spans="2:22" ht="14.5" x14ac:dyDescent="0.35">
      <c r="B38" s="41" t="s">
        <v>148</v>
      </c>
      <c r="G38" s="43" t="e">
        <f t="shared" ref="G38:L38" si="6">G37/G31</f>
        <v>#DIV/0!</v>
      </c>
      <c r="H38" s="43" t="e">
        <f t="shared" si="6"/>
        <v>#DIV/0!</v>
      </c>
      <c r="I38" s="43" t="e">
        <f t="shared" si="6"/>
        <v>#DIV/0!</v>
      </c>
      <c r="J38" s="43" t="e">
        <f t="shared" si="6"/>
        <v>#DIV/0!</v>
      </c>
      <c r="K38" s="43">
        <f t="shared" si="6"/>
        <v>0.18824391137154373</v>
      </c>
      <c r="L38" s="43">
        <f t="shared" si="6"/>
        <v>0.20257933632806843</v>
      </c>
      <c r="M38" s="43"/>
      <c r="N38" s="43"/>
      <c r="O38" s="43"/>
      <c r="P38" s="43"/>
      <c r="Q38" s="43"/>
      <c r="R38" s="43"/>
      <c r="S38" s="43"/>
      <c r="T38" s="43"/>
      <c r="U38" s="43"/>
      <c r="V38" s="43"/>
    </row>
    <row r="39" spans="2:22" x14ac:dyDescent="0.25">
      <c r="B39" s="41"/>
    </row>
    <row r="40" spans="2:22" ht="14.5" x14ac:dyDescent="0.35">
      <c r="B40" s="45" t="s">
        <v>149</v>
      </c>
      <c r="C40" s="46"/>
      <c r="D40" s="46"/>
      <c r="E40" s="46"/>
      <c r="F40" s="46"/>
      <c r="G40" s="47">
        <f t="shared" ref="G40:V40" si="7">G31-G37</f>
        <v>0</v>
      </c>
      <c r="H40" s="47">
        <f t="shared" si="7"/>
        <v>0</v>
      </c>
      <c r="I40" s="47">
        <f t="shared" si="7"/>
        <v>0</v>
      </c>
      <c r="J40" s="47">
        <f t="shared" si="7"/>
        <v>0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1394.11815</v>
      </c>
      <c r="N40" s="47">
        <f t="shared" ca="1" si="7"/>
        <v>1408.0593315000003</v>
      </c>
      <c r="O40" s="47">
        <f t="shared" ca="1" si="7"/>
        <v>1422.1399248150001</v>
      </c>
      <c r="P40" s="47">
        <f t="shared" ca="1" si="7"/>
        <v>1436.3613240631501</v>
      </c>
      <c r="Q40" s="47">
        <f t="shared" ca="1" si="7"/>
        <v>1450.7249373037816</v>
      </c>
      <c r="R40" s="47">
        <f t="shared" ca="1" si="7"/>
        <v>1465.2321866768195</v>
      </c>
      <c r="S40" s="47">
        <f t="shared" ca="1" si="7"/>
        <v>1479.8845085435878</v>
      </c>
      <c r="T40" s="47">
        <f t="shared" ca="1" si="7"/>
        <v>1494.6833536290235</v>
      </c>
      <c r="U40" s="47">
        <f t="shared" ca="1" si="7"/>
        <v>1509.6301871653138</v>
      </c>
      <c r="V40" s="48">
        <f t="shared" ca="1" si="7"/>
        <v>1524.7264890369668</v>
      </c>
    </row>
    <row r="42" spans="2:22" x14ac:dyDescent="0.25">
      <c r="B42" t="s">
        <v>150</v>
      </c>
      <c r="G42" s="3"/>
      <c r="H42" s="3"/>
      <c r="I42" s="3"/>
      <c r="J42" s="3"/>
      <c r="K42" s="3">
        <f>+Model!O74</f>
        <v>375</v>
      </c>
      <c r="L42" s="3">
        <f>+Model!P74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4.5" x14ac:dyDescent="0.35">
      <c r="B43" s="40" t="s">
        <v>146</v>
      </c>
      <c r="C43" s="42"/>
      <c r="D43" s="42"/>
      <c r="E43" s="42"/>
      <c r="F43" s="42"/>
      <c r="G43" s="49" t="e">
        <f t="shared" ref="G43:L43" si="9">G42/G25</f>
        <v>#DIV/0!</v>
      </c>
      <c r="H43" s="49" t="e">
        <f t="shared" si="9"/>
        <v>#DIV/0!</v>
      </c>
      <c r="I43" s="49" t="e">
        <f t="shared" si="9"/>
        <v>#DIV/0!</v>
      </c>
      <c r="J43" s="49" t="e">
        <f t="shared" si="9"/>
        <v>#DIV/0!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5">
      <c r="B45" t="s">
        <v>151</v>
      </c>
      <c r="G45" s="3"/>
      <c r="H45" s="3"/>
      <c r="I45" s="3"/>
      <c r="J45" s="3"/>
      <c r="K45" s="3">
        <f>+Model!O83+Model!O84</f>
        <v>-308.39999999999998</v>
      </c>
      <c r="L45" s="3">
        <f>+Model!P83+Model!P84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4.5" x14ac:dyDescent="0.35">
      <c r="B46" s="40" t="s">
        <v>146</v>
      </c>
      <c r="G46" s="49" t="e">
        <f t="shared" ref="G46:L46" si="11">G45/G25</f>
        <v>#DIV/0!</v>
      </c>
      <c r="H46" s="49" t="e">
        <f t="shared" si="11"/>
        <v>#DIV/0!</v>
      </c>
      <c r="I46" s="49" t="e">
        <f t="shared" si="11"/>
        <v>#DIV/0!</v>
      </c>
      <c r="J46" s="49" t="e">
        <f t="shared" si="11"/>
        <v>#DIV/0!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5">
      <c r="B48" t="s">
        <v>152</v>
      </c>
      <c r="G48" s="3"/>
      <c r="H48" s="3"/>
      <c r="I48" s="3"/>
      <c r="J48" s="3"/>
      <c r="K48" s="3">
        <f>+Model!O76</f>
        <v>-36.700000000000003</v>
      </c>
      <c r="L48" s="3">
        <f>+Model!P76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4.5" x14ac:dyDescent="0.35">
      <c r="B49" s="40" t="s">
        <v>146</v>
      </c>
      <c r="G49" s="49" t="e">
        <f t="shared" ref="G49:L49" si="13">G48/G25</f>
        <v>#DIV/0!</v>
      </c>
      <c r="H49" s="49" t="e">
        <f t="shared" si="13"/>
        <v>#DIV/0!</v>
      </c>
      <c r="I49" s="49" t="e">
        <f t="shared" si="13"/>
        <v>#DIV/0!</v>
      </c>
      <c r="J49" s="49" t="e">
        <f t="shared" si="13"/>
        <v>#DIV/0!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4.5" x14ac:dyDescent="0.35">
      <c r="B51" s="51" t="s">
        <v>153</v>
      </c>
      <c r="C51" s="52"/>
      <c r="D51" s="52"/>
      <c r="E51" s="52"/>
      <c r="F51" s="52"/>
      <c r="G51" s="53">
        <f>G40+G42+G45+G48</f>
        <v>0</v>
      </c>
      <c r="H51" s="53">
        <f t="shared" ref="H51:U51" si="14">H40+H42+H45+H48</f>
        <v>0</v>
      </c>
      <c r="I51" s="53">
        <f t="shared" si="14"/>
        <v>0</v>
      </c>
      <c r="J51" s="53">
        <f t="shared" si="14"/>
        <v>0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1403.4122710000001</v>
      </c>
      <c r="N51" s="53">
        <f t="shared" ca="1" si="14"/>
        <v>1417.4463937100002</v>
      </c>
      <c r="O51" s="53">
        <f t="shared" ca="1" si="14"/>
        <v>1431.6208576470999</v>
      </c>
      <c r="P51" s="53">
        <f t="shared" ca="1" si="14"/>
        <v>1445.937066223571</v>
      </c>
      <c r="Q51" s="53">
        <f t="shared" ca="1" si="14"/>
        <v>1460.3964368858067</v>
      </c>
      <c r="R51" s="53">
        <f t="shared" ca="1" si="14"/>
        <v>1475.0004012546649</v>
      </c>
      <c r="S51" s="53">
        <f t="shared" ca="1" si="14"/>
        <v>1489.7504052672116</v>
      </c>
      <c r="T51" s="53">
        <f t="shared" ca="1" si="14"/>
        <v>1504.6479093198836</v>
      </c>
      <c r="U51" s="53">
        <f t="shared" ca="1" si="14"/>
        <v>1519.6943884130826</v>
      </c>
      <c r="V51" s="54">
        <f ca="1">V40+V42+V45+V48</f>
        <v>1534.8913322972132</v>
      </c>
    </row>
    <row r="52" spans="2:24" ht="14.5" x14ac:dyDescent="0.3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192.5992751861524</v>
      </c>
      <c r="N52" s="57">
        <f ca="1">N51/(1+$E$18)^N53</f>
        <v>1284.9375496822936</v>
      </c>
      <c r="O52" s="57">
        <f t="shared" ref="O52:U52" ca="1" si="15">O51/(1+$E$18)^O53</f>
        <v>1190.6302065863451</v>
      </c>
      <c r="P52" s="57">
        <f t="shared" ca="1" si="15"/>
        <v>1103.2445033506501</v>
      </c>
      <c r="Q52" s="57">
        <f t="shared" ca="1" si="15"/>
        <v>1022.2724297102352</v>
      </c>
      <c r="R52" s="57">
        <f t="shared" ca="1" si="15"/>
        <v>947.24326055719041</v>
      </c>
      <c r="S52" s="57">
        <f t="shared" ca="1" si="15"/>
        <v>877.72081941537829</v>
      </c>
      <c r="T52" s="57">
        <f t="shared" ca="1" si="15"/>
        <v>813.30094276103853</v>
      </c>
      <c r="U52" s="57">
        <f t="shared" ca="1" si="15"/>
        <v>753.6091304483017</v>
      </c>
      <c r="V52" s="58">
        <f ca="1">V51/(1+$E$18)^V53</f>
        <v>698.29836858053636</v>
      </c>
    </row>
    <row r="53" spans="2:24" x14ac:dyDescent="0.25">
      <c r="B53" t="s">
        <v>155</v>
      </c>
      <c r="M53" s="74">
        <f ca="1">YEARFRAC(E4,E5)</f>
        <v>0.1388888888888889</v>
      </c>
      <c r="N53" s="74">
        <f ca="1">M53+1</f>
        <v>1.1388888888888888</v>
      </c>
      <c r="O53" s="74">
        <f ca="1">N53+1</f>
        <v>2.1388888888888888</v>
      </c>
      <c r="P53" s="74">
        <f t="shared" ref="P53:V53" ca="1" si="16">O53+1</f>
        <v>3.1388888888888888</v>
      </c>
      <c r="Q53" s="74">
        <f t="shared" ca="1" si="16"/>
        <v>4.1388888888888893</v>
      </c>
      <c r="R53" s="74">
        <f t="shared" ca="1" si="16"/>
        <v>5.1388888888888893</v>
      </c>
      <c r="S53" s="74">
        <f t="shared" ca="1" si="16"/>
        <v>6.1388888888888893</v>
      </c>
      <c r="T53" s="74">
        <f t="shared" ca="1" si="16"/>
        <v>7.1388888888888893</v>
      </c>
      <c r="U53" s="74">
        <f t="shared" ca="1" si="16"/>
        <v>8.1388888888888893</v>
      </c>
      <c r="V53" s="74">
        <f t="shared" ca="1" si="16"/>
        <v>9.1388888888888893</v>
      </c>
    </row>
    <row r="54" spans="2:24" x14ac:dyDescent="0.25">
      <c r="B54" t="s">
        <v>156</v>
      </c>
      <c r="N54" s="59"/>
      <c r="O54" s="59"/>
      <c r="P54" s="59"/>
      <c r="Q54" s="59"/>
      <c r="V54" s="3">
        <f ca="1">SUM(M52:V52)</f>
        <v>8883.8564862781204</v>
      </c>
    </row>
    <row r="55" spans="2:24" x14ac:dyDescent="0.25">
      <c r="B55" t="s">
        <v>157</v>
      </c>
      <c r="N55" s="59"/>
      <c r="O55" s="59"/>
      <c r="P55" s="59"/>
      <c r="Q55" s="59"/>
      <c r="V55" s="3">
        <f ca="1">+(V40*(1+E19))*(1-(E19/E20))/(E18-E19)</f>
        <v>17324.704731682534</v>
      </c>
      <c r="X55" s="60" t="s">
        <v>158</v>
      </c>
    </row>
    <row r="56" spans="2:24" x14ac:dyDescent="0.25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7881.8694168837847</v>
      </c>
    </row>
    <row r="57" spans="2:24" x14ac:dyDescent="0.25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16765.725903161903</v>
      </c>
    </row>
    <row r="58" spans="2:24" x14ac:dyDescent="0.25">
      <c r="B58" t="s">
        <v>161</v>
      </c>
      <c r="N58" s="59"/>
      <c r="O58" s="59"/>
      <c r="P58" s="59"/>
      <c r="Q58" s="59"/>
      <c r="V58" s="66">
        <f>+Main!J5</f>
        <v>97.5</v>
      </c>
    </row>
    <row r="59" spans="2:24" x14ac:dyDescent="0.25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5104.8999999999996</v>
      </c>
    </row>
    <row r="60" spans="2:24" x14ac:dyDescent="0.25">
      <c r="B60" t="s">
        <v>163</v>
      </c>
      <c r="N60" s="59"/>
      <c r="O60" s="59"/>
      <c r="P60" s="59"/>
      <c r="Q60" s="59"/>
      <c r="V60" s="66">
        <f ca="1">V57+V58-V59</f>
        <v>11758.325903161904</v>
      </c>
    </row>
    <row r="61" spans="2:24" x14ac:dyDescent="0.25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78.875</v>
      </c>
    </row>
    <row r="62" spans="2:24" x14ac:dyDescent="0.25">
      <c r="B62" t="s">
        <v>117</v>
      </c>
      <c r="V62" s="66">
        <f ca="1">V60/V61</f>
        <v>149.07544726671193</v>
      </c>
    </row>
    <row r="66" spans="1:22" ht="14.5" x14ac:dyDescent="0.3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4.5" x14ac:dyDescent="0.3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4.5" x14ac:dyDescent="0.35">
      <c r="B69" s="79" t="s">
        <v>134</v>
      </c>
      <c r="C69" s="68">
        <f ca="1">+J4</f>
        <v>149.07544726671193</v>
      </c>
      <c r="D69" s="69"/>
      <c r="E69" s="69"/>
      <c r="F69" s="69"/>
      <c r="G69" s="69"/>
      <c r="H69" s="69"/>
      <c r="I69" s="69"/>
      <c r="J69" s="69"/>
      <c r="M69" s="79" t="s">
        <v>134</v>
      </c>
      <c r="N69" s="68">
        <f ca="1">+J4</f>
        <v>149.07544726671193</v>
      </c>
      <c r="O69" s="69"/>
      <c r="P69" s="69"/>
      <c r="Q69" s="69"/>
      <c r="R69" s="69"/>
      <c r="S69" s="69"/>
      <c r="T69" s="69"/>
      <c r="U69" s="69"/>
    </row>
    <row r="70" spans="1:22" ht="14.5" x14ac:dyDescent="0.35">
      <c r="B70" s="79"/>
      <c r="C70" s="70"/>
      <c r="D70" s="71"/>
      <c r="E70" s="71"/>
      <c r="F70" s="71"/>
      <c r="G70" s="72"/>
      <c r="H70" s="71"/>
      <c r="I70" s="71"/>
      <c r="J70" s="71"/>
      <c r="M70" s="79"/>
      <c r="N70" s="70"/>
      <c r="O70" s="71"/>
      <c r="P70" s="71"/>
      <c r="Q70" s="71"/>
      <c r="R70" s="72"/>
      <c r="S70" s="71"/>
      <c r="T70" s="71"/>
      <c r="U70" s="71"/>
    </row>
    <row r="71" spans="1:22" ht="14.5" x14ac:dyDescent="0.35">
      <c r="B71" s="79"/>
      <c r="C71" s="70"/>
      <c r="D71" s="71"/>
      <c r="E71" s="71"/>
      <c r="F71" s="71"/>
      <c r="G71" s="72"/>
      <c r="H71" s="71"/>
      <c r="I71" s="71"/>
      <c r="J71" s="71"/>
      <c r="M71" s="79"/>
      <c r="N71" s="70"/>
      <c r="O71" s="71"/>
      <c r="P71" s="71"/>
      <c r="Q71" s="71"/>
      <c r="R71" s="72"/>
      <c r="S71" s="71"/>
      <c r="T71" s="71"/>
      <c r="U71" s="71"/>
    </row>
    <row r="72" spans="1:22" ht="14.5" x14ac:dyDescent="0.35">
      <c r="B72" s="79"/>
      <c r="C72" s="70"/>
      <c r="D72" s="72"/>
      <c r="E72" s="72"/>
      <c r="F72" s="72"/>
      <c r="G72" s="72"/>
      <c r="H72" s="72"/>
      <c r="I72" s="72"/>
      <c r="J72" s="72"/>
      <c r="M72" s="79"/>
      <c r="N72" s="70"/>
      <c r="O72" s="72"/>
      <c r="P72" s="72"/>
      <c r="Q72" s="72"/>
      <c r="R72" s="72"/>
      <c r="S72" s="72"/>
      <c r="T72" s="72"/>
      <c r="U72" s="72"/>
    </row>
    <row r="73" spans="1:22" ht="14.5" x14ac:dyDescent="0.35">
      <c r="B73" s="79"/>
      <c r="C73" s="70"/>
      <c r="D73" s="71"/>
      <c r="E73" s="71"/>
      <c r="F73" s="71"/>
      <c r="G73" s="72"/>
      <c r="H73" s="71"/>
      <c r="I73" s="71"/>
      <c r="J73" s="71"/>
      <c r="M73" s="79"/>
      <c r="N73" s="70"/>
      <c r="O73" s="71"/>
      <c r="P73" s="71"/>
      <c r="Q73" s="71"/>
      <c r="R73" s="72"/>
      <c r="S73" s="71"/>
      <c r="T73" s="71"/>
      <c r="U73" s="71"/>
    </row>
    <row r="74" spans="1:22" ht="14.5" x14ac:dyDescent="0.35">
      <c r="B74" s="79"/>
      <c r="C74" s="70"/>
      <c r="D74" s="71"/>
      <c r="E74" s="71"/>
      <c r="F74" s="71"/>
      <c r="G74" s="72"/>
      <c r="H74" s="71"/>
      <c r="I74" s="71"/>
      <c r="J74" s="71"/>
      <c r="M74" s="79"/>
      <c r="N74" s="70"/>
      <c r="O74" s="71"/>
      <c r="P74" s="71"/>
      <c r="Q74" s="71"/>
      <c r="R74" s="72"/>
      <c r="S74" s="71"/>
      <c r="T74" s="71"/>
      <c r="U74" s="71"/>
    </row>
    <row r="75" spans="1:22" ht="14.5" x14ac:dyDescent="0.35">
      <c r="B75" s="79"/>
      <c r="C75" s="70"/>
      <c r="D75" s="71"/>
      <c r="E75" s="71"/>
      <c r="F75" s="71"/>
      <c r="G75" s="72"/>
      <c r="H75" s="71"/>
      <c r="I75" s="71"/>
      <c r="J75" s="71"/>
      <c r="M75" s="79"/>
      <c r="N75" s="70"/>
      <c r="O75" s="71"/>
      <c r="P75" s="71"/>
      <c r="Q75" s="71"/>
      <c r="R75" s="72"/>
      <c r="S75" s="71"/>
      <c r="T75" s="71"/>
      <c r="U75" s="71"/>
    </row>
    <row r="76" spans="1:22" ht="14.5" x14ac:dyDescent="0.35">
      <c r="B76" s="80"/>
      <c r="C76" s="70"/>
      <c r="D76" s="71"/>
      <c r="E76" s="71"/>
      <c r="F76" s="71"/>
      <c r="G76" s="72"/>
      <c r="H76" s="71"/>
      <c r="I76" s="71"/>
      <c r="J76" s="71"/>
      <c r="M76" s="80"/>
      <c r="N76" s="70"/>
      <c r="O76" s="71"/>
      <c r="P76" s="71"/>
      <c r="Q76" s="71"/>
      <c r="R76" s="72"/>
      <c r="S76" s="71"/>
      <c r="T76" s="71"/>
      <c r="U76" s="71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2025-11-11T17:02:16Z</dcterms:modified>
</cp:coreProperties>
</file>