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05EAF8F-0E57-4E09-9934-8ED630068C26}" xr6:coauthVersionLast="47" xr6:coauthVersionMax="47" xr10:uidLastSave="{00000000-0000-0000-0000-000000000000}"/>
  <bookViews>
    <workbookView xWindow="19095" yWindow="0" windowWidth="19410" windowHeight="20925" xr2:uid="{F0F54F86-B9EF-4E89-80C7-6F9BAE07501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2" i="2" l="1"/>
  <c r="S41" i="2"/>
  <c r="S40" i="2"/>
  <c r="U42" i="2"/>
  <c r="T42" i="2"/>
  <c r="U41" i="2"/>
  <c r="T41" i="2"/>
  <c r="U40" i="2"/>
  <c r="T40" i="2"/>
  <c r="S39" i="2"/>
  <c r="S38" i="2"/>
  <c r="S37" i="2"/>
  <c r="S36" i="2"/>
  <c r="T39" i="2"/>
  <c r="T38" i="2"/>
  <c r="T37" i="2"/>
  <c r="T36" i="2"/>
  <c r="U39" i="2"/>
  <c r="U38" i="2"/>
  <c r="U37" i="2"/>
  <c r="U36" i="2"/>
  <c r="T35" i="2"/>
  <c r="T34" i="2"/>
  <c r="U35" i="2"/>
  <c r="U34" i="2"/>
  <c r="T33" i="2"/>
  <c r="U33" i="2"/>
  <c r="T30" i="2"/>
  <c r="S30" i="2"/>
  <c r="U30" i="2"/>
  <c r="S27" i="2"/>
  <c r="S24" i="2"/>
  <c r="S22" i="2"/>
  <c r="S23" i="2" s="1"/>
  <c r="S26" i="2" s="1"/>
  <c r="S28" i="2" s="1"/>
  <c r="S16" i="2"/>
  <c r="U28" i="2"/>
  <c r="T28" i="2"/>
  <c r="R28" i="2"/>
  <c r="Q28" i="2"/>
  <c r="P28" i="2"/>
  <c r="U26" i="2"/>
  <c r="T26" i="2"/>
  <c r="R26" i="2"/>
  <c r="Q26" i="2"/>
  <c r="P26" i="2"/>
  <c r="T16" i="2"/>
  <c r="U23" i="2"/>
  <c r="T23" i="2"/>
  <c r="R23" i="2"/>
  <c r="Q23" i="2"/>
  <c r="P23" i="2"/>
  <c r="U22" i="2"/>
  <c r="U16" i="2"/>
  <c r="H5" i="1"/>
  <c r="N5" i="2"/>
  <c r="T5" i="2"/>
  <c r="U5" i="2"/>
  <c r="T11" i="2"/>
  <c r="U11" i="2"/>
  <c r="H3" i="1"/>
  <c r="H35" i="2"/>
  <c r="G35" i="2"/>
  <c r="L34" i="2"/>
  <c r="K34" i="2"/>
  <c r="J34" i="2"/>
  <c r="I34" i="2"/>
  <c r="H34" i="2"/>
  <c r="G34" i="2"/>
  <c r="L33" i="2"/>
  <c r="K33" i="2"/>
  <c r="J33" i="2"/>
  <c r="I33" i="2"/>
  <c r="H33" i="2"/>
  <c r="G33" i="2"/>
  <c r="M34" i="2"/>
  <c r="M33" i="2"/>
  <c r="N42" i="2"/>
  <c r="N41" i="2"/>
  <c r="N40" i="2"/>
  <c r="N38" i="2"/>
  <c r="M38" i="2"/>
  <c r="L38" i="2"/>
  <c r="K38" i="2"/>
  <c r="J38" i="2"/>
  <c r="N37" i="2"/>
  <c r="M37" i="2"/>
  <c r="L37" i="2"/>
  <c r="K37" i="2"/>
  <c r="J37" i="2"/>
  <c r="N36" i="2"/>
  <c r="M36" i="2"/>
  <c r="L36" i="2"/>
  <c r="K36" i="2"/>
  <c r="J36" i="2"/>
  <c r="I5" i="2"/>
  <c r="I35" i="2" s="1"/>
  <c r="J5" i="2"/>
  <c r="J35" i="2" s="1"/>
  <c r="K5" i="2"/>
  <c r="K35" i="2" s="1"/>
  <c r="L5" i="2"/>
  <c r="L35" i="2" s="1"/>
  <c r="M5" i="2"/>
  <c r="M14" i="2"/>
  <c r="M16" i="2" s="1"/>
  <c r="M23" i="2" s="1"/>
  <c r="M26" i="2" s="1"/>
  <c r="M28" i="2" s="1"/>
  <c r="M30" i="2" s="1"/>
  <c r="L14" i="2"/>
  <c r="L16" i="2" s="1"/>
  <c r="L23" i="2" s="1"/>
  <c r="L26" i="2" s="1"/>
  <c r="L28" i="2" s="1"/>
  <c r="L30" i="2" s="1"/>
  <c r="K14" i="2"/>
  <c r="K16" i="2" s="1"/>
  <c r="K23" i="2" s="1"/>
  <c r="K26" i="2" s="1"/>
  <c r="K28" i="2" s="1"/>
  <c r="K30" i="2" s="1"/>
  <c r="H38" i="2"/>
  <c r="G38" i="2"/>
  <c r="H37" i="2"/>
  <c r="G37" i="2"/>
  <c r="H36" i="2"/>
  <c r="G36" i="2"/>
  <c r="I38" i="2"/>
  <c r="I37" i="2"/>
  <c r="I36" i="2"/>
  <c r="D23" i="2"/>
  <c r="D26" i="2" s="1"/>
  <c r="C23" i="2"/>
  <c r="E22" i="2"/>
  <c r="J14" i="2"/>
  <c r="N39" i="2" s="1"/>
  <c r="H14" i="2"/>
  <c r="G14" i="2"/>
  <c r="G16" i="2" s="1"/>
  <c r="F14" i="2"/>
  <c r="F16" i="2" s="1"/>
  <c r="E14" i="2"/>
  <c r="E16" i="2" s="1"/>
  <c r="D14" i="2"/>
  <c r="D40" i="2" s="1"/>
  <c r="C14" i="2"/>
  <c r="C40" i="2" s="1"/>
  <c r="I14" i="2"/>
  <c r="I16" i="2" s="1"/>
  <c r="H4" i="1"/>
  <c r="H7" i="1" s="1"/>
  <c r="J39" i="2" l="1"/>
  <c r="L42" i="2"/>
  <c r="M35" i="2"/>
  <c r="M42" i="2"/>
  <c r="K39" i="2"/>
  <c r="K40" i="2"/>
  <c r="L40" i="2"/>
  <c r="M40" i="2"/>
  <c r="K41" i="2"/>
  <c r="L41" i="2"/>
  <c r="L39" i="2"/>
  <c r="M39" i="2"/>
  <c r="M41" i="2"/>
  <c r="K42" i="2"/>
  <c r="H39" i="2"/>
  <c r="C41" i="2"/>
  <c r="H16" i="2"/>
  <c r="H40" i="2" s="1"/>
  <c r="J16" i="2"/>
  <c r="G39" i="2"/>
  <c r="D42" i="2"/>
  <c r="D28" i="2"/>
  <c r="D30" i="2" s="1"/>
  <c r="I40" i="2"/>
  <c r="I23" i="2"/>
  <c r="E40" i="2"/>
  <c r="E23" i="2"/>
  <c r="F23" i="2"/>
  <c r="F40" i="2"/>
  <c r="G40" i="2"/>
  <c r="G23" i="2"/>
  <c r="D41" i="2"/>
  <c r="C26" i="2"/>
  <c r="I39" i="2"/>
  <c r="J23" i="2" l="1"/>
  <c r="J41" i="2" s="1"/>
  <c r="J40" i="2"/>
  <c r="H23" i="2"/>
  <c r="H26" i="2" s="1"/>
  <c r="C42" i="2"/>
  <c r="C28" i="2"/>
  <c r="C30" i="2" s="1"/>
  <c r="G41" i="2"/>
  <c r="G26" i="2"/>
  <c r="F26" i="2"/>
  <c r="F41" i="2"/>
  <c r="E41" i="2"/>
  <c r="E26" i="2"/>
  <c r="I26" i="2"/>
  <c r="I41" i="2"/>
  <c r="J26" i="2" l="1"/>
  <c r="J42" i="2" s="1"/>
  <c r="H41" i="2"/>
  <c r="I28" i="2"/>
  <c r="I30" i="2" s="1"/>
  <c r="I42" i="2"/>
  <c r="E28" i="2"/>
  <c r="E30" i="2" s="1"/>
  <c r="E42" i="2"/>
  <c r="F42" i="2"/>
  <c r="F28" i="2"/>
  <c r="F30" i="2" s="1"/>
  <c r="G42" i="2"/>
  <c r="G28" i="2"/>
  <c r="G30" i="2" s="1"/>
  <c r="H42" i="2"/>
  <c r="H28" i="2"/>
  <c r="H30" i="2" s="1"/>
  <c r="J28" i="2" l="1"/>
  <c r="J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B21" authorId="0" shapeId="0" xr:uid="{17BE5044-A823-4CEB-8EBD-4B162FB14622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Lawsuit against Microsoft, Openai etc.</t>
        </r>
      </text>
    </comment>
  </commentList>
</comments>
</file>

<file path=xl/sharedStrings.xml><?xml version="1.0" encoding="utf-8"?>
<sst xmlns="http://schemas.openxmlformats.org/spreadsheetml/2006/main" count="68" uniqueCount="63">
  <si>
    <t>NYT</t>
  </si>
  <si>
    <t>New York Times</t>
  </si>
  <si>
    <t>numbers in mio USD</t>
  </si>
  <si>
    <t>IR</t>
  </si>
  <si>
    <t>Price</t>
  </si>
  <si>
    <t>Shares</t>
  </si>
  <si>
    <t>MC</t>
  </si>
  <si>
    <t>Cash</t>
  </si>
  <si>
    <t>Debt</t>
  </si>
  <si>
    <t>EV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</si>
  <si>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</si>
  <si>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</si>
  <si>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</si>
  <si>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</si>
  <si>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</si>
  <si>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</si>
  <si>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</si>
  <si>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</si>
  <si>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</si>
  <si>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 xml:space="preserve">Subscriptions </t>
  </si>
  <si>
    <t>Advertising</t>
  </si>
  <si>
    <t>Other</t>
  </si>
  <si>
    <t>Revenue</t>
  </si>
  <si>
    <t>COGS (ex. D&amp;A)</t>
  </si>
  <si>
    <t>Gross Profit</t>
  </si>
  <si>
    <t>G&amp;A</t>
  </si>
  <si>
    <t>D&amp;A</t>
  </si>
  <si>
    <t>Generative AI Litigation Cost</t>
  </si>
  <si>
    <t>S&amp;M</t>
  </si>
  <si>
    <t>Product Development</t>
  </si>
  <si>
    <t>Operating Income</t>
  </si>
  <si>
    <t>Other Income</t>
  </si>
  <si>
    <t>Interest Income</t>
  </si>
  <si>
    <t>Pretax Income</t>
  </si>
  <si>
    <t>Tax Expense</t>
  </si>
  <si>
    <t>Net Income</t>
  </si>
  <si>
    <t>EPS</t>
  </si>
  <si>
    <t>Revenue Growth</t>
  </si>
  <si>
    <t xml:space="preserve">Gross Margin </t>
  </si>
  <si>
    <t xml:space="preserve">Operating Margin </t>
  </si>
  <si>
    <t>Tax Rate</t>
  </si>
  <si>
    <t>Digital Only Subscriptions</t>
  </si>
  <si>
    <t xml:space="preserve">Print Subscription </t>
  </si>
  <si>
    <t>Q125</t>
  </si>
  <si>
    <t>Q225</t>
  </si>
  <si>
    <t>Q325</t>
  </si>
  <si>
    <t>Q425</t>
  </si>
  <si>
    <t>FY20</t>
  </si>
  <si>
    <t>FY21</t>
  </si>
  <si>
    <t>FY22</t>
  </si>
  <si>
    <t>FY23</t>
  </si>
  <si>
    <t>FY24</t>
  </si>
  <si>
    <t>FY25</t>
  </si>
  <si>
    <t>Digital Only Subscribers</t>
  </si>
  <si>
    <t>Print Subscribers</t>
  </si>
  <si>
    <t>Total Subscribers</t>
  </si>
  <si>
    <t>Subscription Rev Growth</t>
  </si>
  <si>
    <t>Ad  Rev Growth</t>
  </si>
  <si>
    <t>Other Rev Growth</t>
  </si>
  <si>
    <t>Digital Subs Growth</t>
  </si>
  <si>
    <t>Print Subs Growth</t>
  </si>
  <si>
    <t>Ttoal Subs Growth</t>
  </si>
  <si>
    <t>Digital Only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</si>
</sst>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8" fillId="0" borderId="0" xfId="0" applyFont="1"/>
    <xf numFmtId="0" fontId="3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0" fontId="9" fillId="0" borderId="0" xfId="2" applyFont="1"/>
    <xf numFmtId="3" fontId="8" fillId="0" borderId="0" xfId="0" applyNumberFormat="1" applyFont="1"/>
    <xf numFmtId="4" fontId="3" fillId="0" borderId="0" xfId="0" applyNumberFormat="1" applyFont="1"/>
    <xf numFmtId="9" fontId="3" fillId="0" borderId="0" xfId="1" applyFont="1"/>
    <xf numFmtId="0" fontId="2" fillId="0" borderId="0" xfId="0" applyFont="1"/>
    <xf numFmtId="0" fontId="2" fillId="0" borderId="0" xfId="0" applyFont="1" applyAlignment="1">
      <alignment horizontal="right"/>
    </xf>
    <xf numFmtId="9" fontId="8" fillId="0" borderId="0" xfId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ytco.com/investo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CF83-7391-4A3C-86D5-7F69C84C063E}">
  <dimension ref="A1:I7"/>
  <sheetViews>
    <sheetView tabSelected="1" zoomScale="200" zoomScaleNormal="200" workbookViewId="0">
      <selection activeCell="H6" sqref="H6"/>
    </sheetView>
  </sheetViews>
  <sheetFormatPr defaultRowHeight="12.75" x14ac:dyDescent="0.2"/>
  <cols>
    <col min="1" max="1" width="4.140625" style="2" customWidth="1"/>
    <col min="2" max="16384" width="9.140625" style="2"/>
  </cols>
  <sheetData>
    <row r="1" spans="1:9" x14ac:dyDescent="0.2">
      <c r="A1" s="1" t="s">
        <v>1</v>
      </c>
    </row>
    <row r="2" spans="1:9" x14ac:dyDescent="0.2">
      <c r="A2" s="2" t="s">
        <v>2</v>
      </c>
      <c r="G2" s="2" t="s">
        <v>4</v>
      </c>
      <c r="H2" s="2">
        <v>80.5</v>
      </c>
    </row>
    <row r="3" spans="1:9" x14ac:dyDescent="0.2">
      <c r="G3" s="2" t="s">
        <v>5</v>
      </c>
      <c r="H3" s="3">
        <f>160.457961+0.780724</f>
        <v>161.238685</v>
      </c>
      <c r="I3" s="12" t="s">
        <v>46</v>
      </c>
    </row>
    <row r="4" spans="1:9" x14ac:dyDescent="0.2">
      <c r="B4" s="2" t="s">
        <v>0</v>
      </c>
      <c r="G4" s="2" t="s">
        <v>6</v>
      </c>
      <c r="H4" s="3">
        <f>+H2*H3</f>
        <v>12979.714142500001</v>
      </c>
    </row>
    <row r="5" spans="1:9" x14ac:dyDescent="0.2">
      <c r="B5" s="5" t="s">
        <v>3</v>
      </c>
      <c r="G5" s="2" t="s">
        <v>7</v>
      </c>
      <c r="H5" s="3">
        <f>255.445+386.712</f>
        <v>642.15699999999993</v>
      </c>
      <c r="I5" s="12" t="s">
        <v>46</v>
      </c>
    </row>
    <row r="6" spans="1:9" x14ac:dyDescent="0.2">
      <c r="G6" s="2" t="s">
        <v>8</v>
      </c>
      <c r="H6" s="3">
        <v>0</v>
      </c>
      <c r="I6" s="12" t="s">
        <v>46</v>
      </c>
    </row>
    <row r="7" spans="1:9" x14ac:dyDescent="0.2">
      <c r="G7" s="2" t="s">
        <v>9</v>
      </c>
      <c r="H7" s="3">
        <f>+H4-H5+H6</f>
        <v>12337.557142500002</v>
      </c>
    </row>
  </sheetData>
  <hyperlinks>
    <hyperlink ref="B5" r:id="rId1" xr:uid="{0509C328-EF98-4F9F-867C-043324BB1F4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A468-4260-4D44-8423-D91A08F99504}">
  <dimension ref="A1:V208"/>
  <sheetViews>
    <sheetView zoomScale="200" zoomScaleNormal="200" workbookViewId="0">
      <pane xSplit="2" ySplit="2" topLeftCell="Q14" activePane="bottomRight" state="frozen"/>
      <selection pane="topRight" activeCell="C1" sqref="C1"/>
      <selection pane="bottomLeft" activeCell="A3" sqref="A3"/>
      <selection pane="bottomRight" activeCell="B39" sqref="B39"/>
    </sheetView>
  </sheetViews>
  <sheetFormatPr defaultRowHeight="12.75" x14ac:dyDescent="0.2"/>
  <cols>
    <col min="1" max="1" width="5.42578125" style="2" bestFit="1" customWidth="1"/>
    <col min="2" max="2" width="26.28515625" style="2" customWidth="1"/>
    <col min="3" max="16384" width="9.140625" style="2"/>
  </cols>
  <sheetData>
    <row r="1" spans="1:22" x14ac:dyDescent="0.2">
      <c r="A1" s="5" t="s">
        <v>11</v>
      </c>
    </row>
    <row r="2" spans="1:22" x14ac:dyDescent="0.2"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10</v>
      </c>
      <c r="J2" s="4" t="s">
        <v>18</v>
      </c>
      <c r="K2" s="10" t="s">
        <v>43</v>
      </c>
      <c r="L2" s="10" t="s">
        <v>44</v>
      </c>
      <c r="M2" s="10" t="s">
        <v>45</v>
      </c>
      <c r="N2" s="10" t="s">
        <v>46</v>
      </c>
      <c r="O2" s="4"/>
      <c r="P2" s="10" t="s">
        <v>47</v>
      </c>
      <c r="Q2" s="10" t="s">
        <v>48</v>
      </c>
      <c r="R2" s="10" t="s">
        <v>49</v>
      </c>
      <c r="S2" s="10" t="s">
        <v>50</v>
      </c>
      <c r="T2" s="10" t="s">
        <v>51</v>
      </c>
      <c r="U2" s="10" t="s">
        <v>52</v>
      </c>
    </row>
    <row r="3" spans="1:22" x14ac:dyDescent="0.2">
      <c r="B3" s="9" t="s">
        <v>53</v>
      </c>
      <c r="C3" s="3"/>
      <c r="D3" s="3"/>
      <c r="E3" s="3"/>
      <c r="F3" s="3"/>
      <c r="G3" s="3"/>
      <c r="H3" s="3"/>
      <c r="I3" s="3">
        <v>10470</v>
      </c>
      <c r="J3" s="3">
        <v>10820</v>
      </c>
      <c r="K3" s="3">
        <v>11060</v>
      </c>
      <c r="L3" s="3">
        <v>11300</v>
      </c>
      <c r="M3" s="3">
        <v>11760</v>
      </c>
      <c r="N3" s="3">
        <v>12210</v>
      </c>
      <c r="O3" s="3"/>
      <c r="P3" s="3"/>
      <c r="Q3" s="3"/>
      <c r="R3" s="3"/>
      <c r="S3" s="3"/>
      <c r="T3" s="3">
        <v>10820</v>
      </c>
      <c r="U3" s="3">
        <v>12210</v>
      </c>
      <c r="V3" s="3"/>
    </row>
    <row r="4" spans="1:22" x14ac:dyDescent="0.2">
      <c r="B4" s="9" t="s">
        <v>54</v>
      </c>
      <c r="C4" s="3"/>
      <c r="D4" s="3"/>
      <c r="E4" s="3"/>
      <c r="F4" s="3"/>
      <c r="G4" s="3"/>
      <c r="H4" s="3"/>
      <c r="I4" s="3">
        <v>620</v>
      </c>
      <c r="J4" s="3">
        <v>610</v>
      </c>
      <c r="K4" s="3">
        <v>600</v>
      </c>
      <c r="L4" s="3">
        <v>580</v>
      </c>
      <c r="M4" s="3">
        <v>570</v>
      </c>
      <c r="N4" s="3">
        <v>570</v>
      </c>
      <c r="O4" s="3"/>
      <c r="P4" s="3"/>
      <c r="Q4" s="3"/>
      <c r="R4" s="3"/>
      <c r="S4" s="3"/>
      <c r="T4" s="3">
        <v>610</v>
      </c>
      <c r="U4" s="3">
        <v>570</v>
      </c>
      <c r="V4" s="3"/>
    </row>
    <row r="5" spans="1:22" x14ac:dyDescent="0.2">
      <c r="B5" s="1" t="s">
        <v>55</v>
      </c>
      <c r="C5" s="6"/>
      <c r="D5" s="6"/>
      <c r="E5" s="6"/>
      <c r="F5" s="6"/>
      <c r="G5" s="6"/>
      <c r="H5" s="6"/>
      <c r="I5" s="6">
        <f>+I3+I4</f>
        <v>11090</v>
      </c>
      <c r="J5" s="6">
        <f>+J3+J4</f>
        <v>11430</v>
      </c>
      <c r="K5" s="6">
        <f>+K3+K4</f>
        <v>11660</v>
      </c>
      <c r="L5" s="6">
        <f>+L3+L4</f>
        <v>11880</v>
      </c>
      <c r="M5" s="6">
        <f>+M3+M4</f>
        <v>12330</v>
      </c>
      <c r="N5" s="6">
        <f>+N3+N4</f>
        <v>12780</v>
      </c>
      <c r="O5" s="3"/>
      <c r="P5" s="3"/>
      <c r="Q5" s="3"/>
      <c r="R5" s="3"/>
      <c r="S5" s="3"/>
      <c r="T5" s="6">
        <f>+T3+T4</f>
        <v>11430</v>
      </c>
      <c r="U5" s="6">
        <f>+U3+U4</f>
        <v>12780</v>
      </c>
      <c r="V5" s="3"/>
    </row>
    <row r="6" spans="1:22" x14ac:dyDescent="0.2">
      <c r="B6" s="14" t="s">
        <v>62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>
        <v>9.42</v>
      </c>
      <c r="U6" s="15">
        <v>9.68</v>
      </c>
      <c r="V6" s="3"/>
    </row>
    <row r="7" spans="1:22" x14ac:dyDescent="0.2">
      <c r="B7" s="1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3"/>
      <c r="P7" s="3"/>
      <c r="Q7" s="3"/>
      <c r="R7" s="3"/>
      <c r="S7" s="3"/>
      <c r="T7" s="6"/>
      <c r="U7" s="6"/>
      <c r="V7" s="3"/>
    </row>
    <row r="8" spans="1:22" x14ac:dyDescent="0.2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2">
      <c r="B9" s="2" t="s">
        <v>41</v>
      </c>
      <c r="C9" s="3"/>
      <c r="D9" s="3"/>
      <c r="E9" s="3">
        <v>282.22800000000001</v>
      </c>
      <c r="F9" s="3"/>
      <c r="G9" s="3"/>
      <c r="H9" s="3"/>
      <c r="I9" s="3">
        <v>322.19799999999998</v>
      </c>
      <c r="J9" s="3"/>
      <c r="K9" s="3"/>
      <c r="L9" s="3"/>
      <c r="M9" s="3">
        <v>367.44299999999998</v>
      </c>
      <c r="N9" s="3"/>
      <c r="O9" s="3"/>
      <c r="P9" s="3"/>
      <c r="Q9" s="3"/>
      <c r="R9" s="3"/>
      <c r="S9" s="3"/>
      <c r="T9" s="3">
        <v>1254.5920000000001</v>
      </c>
      <c r="U9" s="3">
        <v>1434.336</v>
      </c>
      <c r="V9" s="3"/>
    </row>
    <row r="10" spans="1:22" x14ac:dyDescent="0.2">
      <c r="B10" s="2" t="s">
        <v>42</v>
      </c>
      <c r="C10" s="3"/>
      <c r="D10" s="3"/>
      <c r="E10" s="3">
        <v>136.34899999999999</v>
      </c>
      <c r="F10" s="3"/>
      <c r="G10" s="3"/>
      <c r="H10" s="3"/>
      <c r="I10" s="3">
        <v>131.12899999999999</v>
      </c>
      <c r="J10" s="4"/>
      <c r="M10" s="3">
        <v>127.187</v>
      </c>
      <c r="Q10" s="13"/>
      <c r="R10" s="13"/>
      <c r="S10" s="13"/>
      <c r="T10" s="13">
        <v>533.61500000000001</v>
      </c>
      <c r="U10" s="13">
        <v>516.44200000000001</v>
      </c>
      <c r="V10" s="13"/>
    </row>
    <row r="11" spans="1:22" x14ac:dyDescent="0.2">
      <c r="B11" s="2" t="s">
        <v>19</v>
      </c>
      <c r="C11" s="3"/>
      <c r="D11" s="3"/>
      <c r="E11" s="3">
        <v>418.577</v>
      </c>
      <c r="F11" s="3"/>
      <c r="G11" s="3"/>
      <c r="H11" s="3"/>
      <c r="I11" s="3">
        <v>453.327</v>
      </c>
      <c r="J11" s="3"/>
      <c r="K11" s="3"/>
      <c r="L11" s="3"/>
      <c r="M11" s="3">
        <v>494.63</v>
      </c>
      <c r="N11" s="3"/>
      <c r="O11" s="3"/>
      <c r="P11" s="3"/>
      <c r="Q11" s="3"/>
      <c r="R11" s="3"/>
      <c r="S11" s="3">
        <v>1656.153</v>
      </c>
      <c r="T11" s="13">
        <f>+T9+T10</f>
        <v>1788.2070000000001</v>
      </c>
      <c r="U11" s="13">
        <f>+U9+U10</f>
        <v>1950.778</v>
      </c>
      <c r="V11" s="3"/>
    </row>
    <row r="12" spans="1:22" x14ac:dyDescent="0.2">
      <c r="B12" s="2" t="s">
        <v>20</v>
      </c>
      <c r="C12" s="3"/>
      <c r="D12" s="3"/>
      <c r="E12" s="3">
        <v>117.113</v>
      </c>
      <c r="F12" s="3"/>
      <c r="G12" s="3"/>
      <c r="H12" s="3"/>
      <c r="I12" s="3">
        <v>118.37</v>
      </c>
      <c r="J12" s="3"/>
      <c r="K12" s="3"/>
      <c r="L12" s="3"/>
      <c r="M12" s="3">
        <v>132.291</v>
      </c>
      <c r="N12" s="3"/>
      <c r="O12" s="3"/>
      <c r="P12" s="3"/>
      <c r="Q12" s="3"/>
      <c r="R12" s="3"/>
      <c r="S12" s="3">
        <v>505.20600000000002</v>
      </c>
      <c r="T12" s="3">
        <v>506.31099999999998</v>
      </c>
      <c r="U12" s="3">
        <v>565.99300000000005</v>
      </c>
      <c r="V12" s="3"/>
    </row>
    <row r="13" spans="1:22" x14ac:dyDescent="0.2">
      <c r="B13" s="2" t="s">
        <v>21</v>
      </c>
      <c r="C13" s="3"/>
      <c r="D13" s="3"/>
      <c r="E13" s="3">
        <v>62.655000000000001</v>
      </c>
      <c r="F13" s="3"/>
      <c r="G13" s="3"/>
      <c r="H13" s="3"/>
      <c r="I13" s="3">
        <v>68.480999999999995</v>
      </c>
      <c r="J13" s="3"/>
      <c r="K13" s="3"/>
      <c r="L13" s="3"/>
      <c r="M13" s="3">
        <v>73.900000000000006</v>
      </c>
      <c r="N13" s="3"/>
      <c r="O13" s="3"/>
      <c r="P13" s="3"/>
      <c r="Q13" s="3"/>
      <c r="R13" s="3"/>
      <c r="S13" s="3">
        <v>264.79300000000001</v>
      </c>
      <c r="T13" s="3">
        <v>291.40100000000001</v>
      </c>
      <c r="U13" s="3">
        <v>308.14699999999999</v>
      </c>
      <c r="V13" s="3"/>
    </row>
    <row r="14" spans="1:22" x14ac:dyDescent="0.2">
      <c r="B14" s="1" t="s">
        <v>22</v>
      </c>
      <c r="C14" s="6">
        <f t="shared" ref="C14:H14" si="0">+SUM(C11:C13)</f>
        <v>0</v>
      </c>
      <c r="D14" s="6">
        <f t="shared" si="0"/>
        <v>0</v>
      </c>
      <c r="E14" s="6">
        <f t="shared" si="0"/>
        <v>598.34500000000003</v>
      </c>
      <c r="F14" s="6">
        <f t="shared" si="0"/>
        <v>0</v>
      </c>
      <c r="G14" s="6">
        <f t="shared" si="0"/>
        <v>0</v>
      </c>
      <c r="H14" s="6">
        <f t="shared" si="0"/>
        <v>0</v>
      </c>
      <c r="I14" s="6">
        <f>+SUM(I11:I13)</f>
        <v>640.178</v>
      </c>
      <c r="J14" s="6">
        <f t="shared" ref="J14:M14" si="1">+SUM(J11:J13)</f>
        <v>0</v>
      </c>
      <c r="K14" s="6">
        <f t="shared" si="1"/>
        <v>0</v>
      </c>
      <c r="L14" s="6">
        <f t="shared" si="1"/>
        <v>0</v>
      </c>
      <c r="M14" s="6">
        <f t="shared" si="1"/>
        <v>700.82100000000003</v>
      </c>
      <c r="N14" s="3"/>
      <c r="O14" s="3"/>
      <c r="P14" s="3"/>
      <c r="Q14" s="3"/>
      <c r="R14" s="3"/>
      <c r="S14" s="6">
        <v>2426.152</v>
      </c>
      <c r="T14" s="6">
        <v>2585.9189999999999</v>
      </c>
      <c r="U14" s="6">
        <v>2824.9180000000001</v>
      </c>
      <c r="V14" s="3"/>
    </row>
    <row r="15" spans="1:22" x14ac:dyDescent="0.2">
      <c r="B15" s="2" t="s">
        <v>23</v>
      </c>
      <c r="C15" s="3"/>
      <c r="D15" s="3"/>
      <c r="E15" s="3">
        <v>311.13499999999999</v>
      </c>
      <c r="F15" s="3"/>
      <c r="G15" s="3"/>
      <c r="H15" s="3"/>
      <c r="I15" s="3">
        <v>331.839</v>
      </c>
      <c r="J15" s="3"/>
      <c r="K15" s="3"/>
      <c r="L15" s="3"/>
      <c r="M15" s="3">
        <v>349.07499999999999</v>
      </c>
      <c r="N15" s="3"/>
      <c r="O15" s="3"/>
      <c r="P15" s="3"/>
      <c r="Q15" s="3"/>
      <c r="R15" s="3"/>
      <c r="S15" s="3">
        <v>1249.0609999999999</v>
      </c>
      <c r="T15" s="3">
        <v>1309.5139999999999</v>
      </c>
      <c r="U15" s="3">
        <v>1389.713</v>
      </c>
      <c r="V15" s="3"/>
    </row>
    <row r="16" spans="1:22" x14ac:dyDescent="0.2">
      <c r="B16" s="2" t="s">
        <v>24</v>
      </c>
      <c r="C16" s="3"/>
      <c r="D16" s="3"/>
      <c r="E16" s="3">
        <f t="shared" ref="E16:H16" si="2">+E14-E15</f>
        <v>287.21000000000004</v>
      </c>
      <c r="F16" s="3">
        <f t="shared" si="2"/>
        <v>0</v>
      </c>
      <c r="G16" s="3">
        <f t="shared" si="2"/>
        <v>0</v>
      </c>
      <c r="H16" s="3">
        <f t="shared" si="2"/>
        <v>0</v>
      </c>
      <c r="I16" s="3">
        <f>+I14-I15</f>
        <v>308.339</v>
      </c>
      <c r="J16" s="3">
        <f t="shared" ref="J16:M16" si="3">+J14-J15</f>
        <v>0</v>
      </c>
      <c r="K16" s="3">
        <f t="shared" si="3"/>
        <v>0</v>
      </c>
      <c r="L16" s="3">
        <f t="shared" si="3"/>
        <v>0</v>
      </c>
      <c r="M16" s="3">
        <f t="shared" si="3"/>
        <v>351.74600000000004</v>
      </c>
      <c r="N16" s="3"/>
      <c r="O16" s="3"/>
      <c r="P16" s="3"/>
      <c r="Q16" s="3"/>
      <c r="R16" s="3"/>
      <c r="S16" s="3">
        <f>+S14-S15</f>
        <v>1177.0910000000001</v>
      </c>
      <c r="T16" s="3">
        <f>+T14-T15</f>
        <v>1276.405</v>
      </c>
      <c r="U16" s="3">
        <f>+U14-U15</f>
        <v>1435.2050000000002</v>
      </c>
      <c r="V16" s="3"/>
    </row>
    <row r="17" spans="2:22" x14ac:dyDescent="0.2">
      <c r="B17" s="2" t="s">
        <v>28</v>
      </c>
      <c r="C17" s="3"/>
      <c r="D17" s="3"/>
      <c r="E17" s="3">
        <v>62.634999999999998</v>
      </c>
      <c r="F17" s="3"/>
      <c r="G17" s="3"/>
      <c r="H17" s="3"/>
      <c r="I17" s="3">
        <v>69.131</v>
      </c>
      <c r="J17" s="3"/>
      <c r="K17" s="3"/>
      <c r="L17" s="3"/>
      <c r="M17" s="3">
        <v>79.576999999999998</v>
      </c>
      <c r="N17" s="3"/>
      <c r="O17" s="3"/>
      <c r="P17" s="3"/>
      <c r="Q17" s="3"/>
      <c r="R17" s="3"/>
      <c r="S17" s="3">
        <v>260.22699999999998</v>
      </c>
      <c r="T17" s="3">
        <v>278.42500000000001</v>
      </c>
      <c r="U17" s="3">
        <v>307.084</v>
      </c>
      <c r="V17" s="3"/>
    </row>
    <row r="18" spans="2:22" x14ac:dyDescent="0.2">
      <c r="B18" s="2" t="s">
        <v>29</v>
      </c>
      <c r="C18" s="3"/>
      <c r="D18" s="3"/>
      <c r="E18" s="3">
        <v>57.433</v>
      </c>
      <c r="F18" s="3"/>
      <c r="G18" s="3"/>
      <c r="H18" s="3"/>
      <c r="I18" s="3">
        <v>61.03</v>
      </c>
      <c r="J18" s="3"/>
      <c r="K18" s="3"/>
      <c r="L18" s="3"/>
      <c r="M18" s="3">
        <v>66.989000000000004</v>
      </c>
      <c r="N18" s="3"/>
      <c r="O18" s="3"/>
      <c r="P18" s="3"/>
      <c r="Q18" s="3"/>
      <c r="R18" s="3"/>
      <c r="S18" s="3">
        <v>228.804</v>
      </c>
      <c r="T18" s="3">
        <v>248.19800000000001</v>
      </c>
      <c r="U18" s="3">
        <v>264.34699999999998</v>
      </c>
      <c r="V18" s="3"/>
    </row>
    <row r="19" spans="2:22" x14ac:dyDescent="0.2">
      <c r="B19" s="2" t="s">
        <v>25</v>
      </c>
      <c r="C19" s="3"/>
      <c r="D19" s="3"/>
      <c r="E19" s="3">
        <v>81.87</v>
      </c>
      <c r="F19" s="3"/>
      <c r="G19" s="3"/>
      <c r="H19" s="3"/>
      <c r="I19" s="3">
        <v>76.209000000000003</v>
      </c>
      <c r="J19" s="3"/>
      <c r="K19" s="3"/>
      <c r="L19" s="3"/>
      <c r="M19" s="3">
        <v>76.64</v>
      </c>
      <c r="N19" s="3"/>
      <c r="O19" s="3"/>
      <c r="P19" s="3"/>
      <c r="Q19" s="3"/>
      <c r="R19" s="3"/>
      <c r="S19" s="3">
        <v>311.03899999999999</v>
      </c>
      <c r="T19" s="3">
        <v>307.93</v>
      </c>
      <c r="U19" s="3">
        <v>328.06400000000002</v>
      </c>
      <c r="V19" s="3"/>
    </row>
    <row r="20" spans="2:22" x14ac:dyDescent="0.2">
      <c r="B20" s="2" t="s">
        <v>26</v>
      </c>
      <c r="C20" s="3"/>
      <c r="D20" s="3"/>
      <c r="E20" s="3">
        <v>21.475000000000001</v>
      </c>
      <c r="F20" s="3"/>
      <c r="G20" s="3"/>
      <c r="H20" s="3"/>
      <c r="I20" s="3">
        <v>20.622</v>
      </c>
      <c r="J20" s="3"/>
      <c r="K20" s="3"/>
      <c r="L20" s="3"/>
      <c r="M20" s="3">
        <v>21.341000000000001</v>
      </c>
      <c r="N20" s="3"/>
      <c r="O20" s="3"/>
      <c r="P20" s="3"/>
      <c r="Q20" s="3"/>
      <c r="R20" s="3"/>
      <c r="S20" s="3">
        <v>86.114999999999995</v>
      </c>
      <c r="T20" s="3">
        <v>82.936000000000007</v>
      </c>
      <c r="U20" s="3">
        <v>85.007000000000005</v>
      </c>
      <c r="V20" s="3"/>
    </row>
    <row r="21" spans="2:22" x14ac:dyDescent="0.2">
      <c r="B21" s="2" t="s">
        <v>27</v>
      </c>
      <c r="C21" s="3"/>
      <c r="D21" s="3"/>
      <c r="E21" s="3">
        <v>0</v>
      </c>
      <c r="F21" s="3"/>
      <c r="G21" s="3"/>
      <c r="H21" s="3"/>
      <c r="I21" s="3">
        <v>4.62</v>
      </c>
      <c r="J21" s="3"/>
      <c r="K21" s="3"/>
      <c r="L21" s="3"/>
      <c r="M21" s="3">
        <v>2.411</v>
      </c>
      <c r="N21" s="3"/>
      <c r="O21" s="3"/>
      <c r="P21" s="3"/>
      <c r="Q21" s="3"/>
      <c r="R21" s="3"/>
      <c r="S21" s="3">
        <v>0</v>
      </c>
      <c r="T21" s="3">
        <v>10.8</v>
      </c>
      <c r="U21" s="3">
        <v>13.321</v>
      </c>
      <c r="V21" s="3"/>
    </row>
    <row r="22" spans="2:22" x14ac:dyDescent="0.2">
      <c r="B22" s="2" t="s">
        <v>21</v>
      </c>
      <c r="C22" s="3"/>
      <c r="D22" s="3"/>
      <c r="E22" s="3">
        <f>2.503-2.273</f>
        <v>0.22999999999999998</v>
      </c>
      <c r="F22" s="3"/>
      <c r="G22" s="3"/>
      <c r="H22" s="3"/>
      <c r="I22" s="3">
        <v>0</v>
      </c>
      <c r="J22" s="3"/>
      <c r="K22" s="3"/>
      <c r="L22" s="3"/>
      <c r="M22" s="3">
        <v>0</v>
      </c>
      <c r="N22" s="3"/>
      <c r="O22" s="3"/>
      <c r="P22" s="3"/>
      <c r="Q22" s="3"/>
      <c r="R22" s="3"/>
      <c r="S22" s="3">
        <f>15.239-0.605</f>
        <v>14.634</v>
      </c>
      <c r="T22" s="3">
        <v>-2.98</v>
      </c>
      <c r="U22" s="3">
        <f>2.858+2.967</f>
        <v>5.8250000000000002</v>
      </c>
      <c r="V22" s="3"/>
    </row>
    <row r="23" spans="2:22" x14ac:dyDescent="0.2">
      <c r="B23" s="2" t="s">
        <v>30</v>
      </c>
      <c r="C23" s="3">
        <f t="shared" ref="C23:H23" si="4">+C16-SUM(C17:C22)</f>
        <v>0</v>
      </c>
      <c r="D23" s="3">
        <f t="shared" si="4"/>
        <v>0</v>
      </c>
      <c r="E23" s="3">
        <f t="shared" si="4"/>
        <v>63.567000000000064</v>
      </c>
      <c r="F23" s="3">
        <f t="shared" si="4"/>
        <v>0</v>
      </c>
      <c r="G23" s="3">
        <f t="shared" si="4"/>
        <v>0</v>
      </c>
      <c r="H23" s="3">
        <f t="shared" si="4"/>
        <v>0</v>
      </c>
      <c r="I23" s="3">
        <f>+I16-SUM(I17:I22)</f>
        <v>76.726999999999975</v>
      </c>
      <c r="J23" s="3">
        <f t="shared" ref="J23:M23" si="5">+J16-SUM(J17:J22)</f>
        <v>0</v>
      </c>
      <c r="K23" s="3">
        <f t="shared" si="5"/>
        <v>0</v>
      </c>
      <c r="L23" s="3">
        <f t="shared" si="5"/>
        <v>0</v>
      </c>
      <c r="M23" s="3">
        <f t="shared" si="5"/>
        <v>104.78800000000001</v>
      </c>
      <c r="N23" s="3"/>
      <c r="O23" s="3"/>
      <c r="P23" s="3">
        <f t="shared" ref="P23:U23" si="6">+P16-SUM(P17:P22)</f>
        <v>0</v>
      </c>
      <c r="Q23" s="3">
        <f t="shared" si="6"/>
        <v>0</v>
      </c>
      <c r="R23" s="3">
        <f t="shared" si="6"/>
        <v>0</v>
      </c>
      <c r="S23" s="3">
        <f t="shared" si="6"/>
        <v>276.27200000000016</v>
      </c>
      <c r="T23" s="3">
        <f t="shared" si="6"/>
        <v>351.09599999999989</v>
      </c>
      <c r="U23" s="3">
        <f t="shared" si="6"/>
        <v>431.5569999999999</v>
      </c>
      <c r="V23" s="3"/>
    </row>
    <row r="24" spans="2:22" x14ac:dyDescent="0.2">
      <c r="B24" s="2" t="s">
        <v>31</v>
      </c>
      <c r="C24" s="3"/>
      <c r="D24" s="3"/>
      <c r="E24" s="3">
        <v>0.68400000000000005</v>
      </c>
      <c r="F24" s="3"/>
      <c r="G24" s="3"/>
      <c r="H24" s="3"/>
      <c r="I24" s="3">
        <v>-1.05</v>
      </c>
      <c r="J24" s="3"/>
      <c r="K24" s="3"/>
      <c r="L24" s="3"/>
      <c r="M24" s="3">
        <v>-4.649</v>
      </c>
      <c r="N24" s="3"/>
      <c r="O24" s="3"/>
      <c r="P24" s="3"/>
      <c r="Q24" s="3"/>
      <c r="R24" s="3"/>
      <c r="S24" s="3">
        <f>2.737+2.477</f>
        <v>5.2140000000000004</v>
      </c>
      <c r="T24" s="3">
        <v>-4.1580000000000004</v>
      </c>
      <c r="U24" s="3">
        <v>-18.556999999999999</v>
      </c>
      <c r="V24" s="3"/>
    </row>
    <row r="25" spans="2:22" x14ac:dyDescent="0.2">
      <c r="B25" s="2" t="s">
        <v>32</v>
      </c>
      <c r="C25" s="3"/>
      <c r="D25" s="3"/>
      <c r="E25" s="3">
        <v>5.7359999999999998</v>
      </c>
      <c r="F25" s="3"/>
      <c r="G25" s="3"/>
      <c r="H25" s="3"/>
      <c r="I25" s="3">
        <v>9.3659999999999997</v>
      </c>
      <c r="J25" s="3"/>
      <c r="K25" s="3"/>
      <c r="L25" s="3"/>
      <c r="M25" s="3">
        <v>7.851</v>
      </c>
      <c r="N25" s="3"/>
      <c r="O25" s="3"/>
      <c r="P25" s="3"/>
      <c r="Q25" s="3"/>
      <c r="R25" s="3"/>
      <c r="S25" s="3">
        <v>21.102</v>
      </c>
      <c r="T25" s="3">
        <v>36.484999999999999</v>
      </c>
      <c r="U25" s="3">
        <v>38.256</v>
      </c>
      <c r="V25" s="3"/>
    </row>
    <row r="26" spans="2:22" x14ac:dyDescent="0.2">
      <c r="B26" s="2" t="s">
        <v>33</v>
      </c>
      <c r="C26" s="3">
        <f t="shared" ref="C26:H26" si="7">+C23+SUM(C24:C25)</f>
        <v>0</v>
      </c>
      <c r="D26" s="3">
        <f t="shared" si="7"/>
        <v>0</v>
      </c>
      <c r="E26" s="3">
        <f t="shared" si="7"/>
        <v>69.987000000000066</v>
      </c>
      <c r="F26" s="3">
        <f t="shared" si="7"/>
        <v>0</v>
      </c>
      <c r="G26" s="3">
        <f t="shared" si="7"/>
        <v>0</v>
      </c>
      <c r="H26" s="3">
        <f t="shared" si="7"/>
        <v>0</v>
      </c>
      <c r="I26" s="3">
        <f>+I23+SUM(I24:I25)</f>
        <v>85.042999999999978</v>
      </c>
      <c r="J26" s="3">
        <f t="shared" ref="J26:M26" si="8">+J23+SUM(J24:J25)</f>
        <v>0</v>
      </c>
      <c r="K26" s="3">
        <f t="shared" si="8"/>
        <v>0</v>
      </c>
      <c r="L26" s="3">
        <f t="shared" si="8"/>
        <v>0</v>
      </c>
      <c r="M26" s="3">
        <f t="shared" si="8"/>
        <v>107.99000000000001</v>
      </c>
      <c r="N26" s="3"/>
      <c r="O26" s="3"/>
      <c r="P26" s="3">
        <f t="shared" ref="P26:U26" si="9">+P23+SUM(P24:P25)</f>
        <v>0</v>
      </c>
      <c r="Q26" s="3">
        <f t="shared" si="9"/>
        <v>0</v>
      </c>
      <c r="R26" s="3">
        <f t="shared" si="9"/>
        <v>0</v>
      </c>
      <c r="S26" s="3">
        <f t="shared" si="9"/>
        <v>302.58800000000019</v>
      </c>
      <c r="T26" s="3">
        <f t="shared" si="9"/>
        <v>383.42299999999989</v>
      </c>
      <c r="U26" s="3">
        <f t="shared" si="9"/>
        <v>451.25599999999991</v>
      </c>
      <c r="V26" s="3"/>
    </row>
    <row r="27" spans="2:22" x14ac:dyDescent="0.2">
      <c r="B27" s="2" t="s">
        <v>34</v>
      </c>
      <c r="C27" s="3"/>
      <c r="D27" s="3"/>
      <c r="E27" s="3">
        <v>16.372</v>
      </c>
      <c r="F27" s="3"/>
      <c r="G27" s="3"/>
      <c r="H27" s="3"/>
      <c r="I27" s="3">
        <v>20.9</v>
      </c>
      <c r="J27" s="3"/>
      <c r="K27" s="3"/>
      <c r="L27" s="3"/>
      <c r="M27" s="3">
        <v>26.352</v>
      </c>
      <c r="N27" s="3"/>
      <c r="O27" s="3"/>
      <c r="P27" s="3"/>
      <c r="Q27" s="3"/>
      <c r="R27" s="3"/>
      <c r="S27" s="3">
        <f>69.836-0.365</f>
        <v>69.471000000000004</v>
      </c>
      <c r="T27" s="3">
        <v>89.597999999999999</v>
      </c>
      <c r="U27" s="3">
        <v>107.27500000000001</v>
      </c>
      <c r="V27" s="3"/>
    </row>
    <row r="28" spans="2:22" x14ac:dyDescent="0.2">
      <c r="B28" s="2" t="s">
        <v>35</v>
      </c>
      <c r="C28" s="3">
        <f t="shared" ref="C28:H28" si="10">+C26-C27</f>
        <v>0</v>
      </c>
      <c r="D28" s="3">
        <f t="shared" si="10"/>
        <v>0</v>
      </c>
      <c r="E28" s="3">
        <f t="shared" si="10"/>
        <v>53.615000000000066</v>
      </c>
      <c r="F28" s="3">
        <f t="shared" si="10"/>
        <v>0</v>
      </c>
      <c r="G28" s="3">
        <f t="shared" si="10"/>
        <v>0</v>
      </c>
      <c r="H28" s="3">
        <f t="shared" si="10"/>
        <v>0</v>
      </c>
      <c r="I28" s="3">
        <f>+I26-I27</f>
        <v>64.142999999999972</v>
      </c>
      <c r="J28" s="3">
        <f t="shared" ref="J28:M28" si="11">+J26-J27</f>
        <v>0</v>
      </c>
      <c r="K28" s="3">
        <f t="shared" si="11"/>
        <v>0</v>
      </c>
      <c r="L28" s="3">
        <f t="shared" si="11"/>
        <v>0</v>
      </c>
      <c r="M28" s="3">
        <f t="shared" si="11"/>
        <v>81.638000000000005</v>
      </c>
      <c r="N28" s="3"/>
      <c r="O28" s="3"/>
      <c r="P28" s="3">
        <f t="shared" ref="P28:U28" si="12">+P26-P27</f>
        <v>0</v>
      </c>
      <c r="Q28" s="3">
        <f t="shared" si="12"/>
        <v>0</v>
      </c>
      <c r="R28" s="3">
        <f t="shared" si="12"/>
        <v>0</v>
      </c>
      <c r="S28" s="3">
        <f t="shared" si="12"/>
        <v>233.11700000000019</v>
      </c>
      <c r="T28" s="3">
        <f t="shared" si="12"/>
        <v>293.82499999999987</v>
      </c>
      <c r="U28" s="3">
        <f t="shared" si="12"/>
        <v>343.98099999999988</v>
      </c>
      <c r="V28" s="3"/>
    </row>
    <row r="29" spans="2:22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2:22" x14ac:dyDescent="0.2">
      <c r="B30" s="2" t="s">
        <v>36</v>
      </c>
      <c r="C30" s="7" t="e">
        <f t="shared" ref="C30:D30" si="13">+C28/C31</f>
        <v>#DIV/0!</v>
      </c>
      <c r="D30" s="7" t="e">
        <f t="shared" si="13"/>
        <v>#DIV/0!</v>
      </c>
      <c r="E30" s="7">
        <f>+E28/E31</f>
        <v>0.32579237761897856</v>
      </c>
      <c r="F30" s="7" t="e">
        <f t="shared" ref="F30:M30" si="14">+F28/F31</f>
        <v>#DIV/0!</v>
      </c>
      <c r="G30" s="7" t="e">
        <f t="shared" si="14"/>
        <v>#DIV/0!</v>
      </c>
      <c r="H30" s="7" t="e">
        <f t="shared" si="14"/>
        <v>#DIV/0!</v>
      </c>
      <c r="I30" s="7">
        <f t="shared" si="14"/>
        <v>0.3901191468139325</v>
      </c>
      <c r="J30" s="7" t="e">
        <f t="shared" si="14"/>
        <v>#DIV/0!</v>
      </c>
      <c r="K30" s="7" t="e">
        <f t="shared" si="14"/>
        <v>#DIV/0!</v>
      </c>
      <c r="L30" s="7" t="e">
        <f t="shared" si="14"/>
        <v>#DIV/0!</v>
      </c>
      <c r="M30" s="7">
        <f t="shared" si="14"/>
        <v>0.50077903595833695</v>
      </c>
      <c r="N30" s="3"/>
      <c r="O30" s="3"/>
      <c r="P30" s="3"/>
      <c r="Q30" s="3"/>
      <c r="R30" s="3"/>
      <c r="S30" s="7">
        <f t="shared" ref="S30:T30" si="15">+S28/S31</f>
        <v>1.4152233170026904</v>
      </c>
      <c r="T30" s="7">
        <f t="shared" si="15"/>
        <v>1.7869849475444723</v>
      </c>
      <c r="U30" s="7">
        <f>+U28/U31</f>
        <v>2.1082822067088745</v>
      </c>
      <c r="V30" s="3"/>
    </row>
    <row r="31" spans="2:22" x14ac:dyDescent="0.2">
      <c r="B31" s="2" t="s">
        <v>5</v>
      </c>
      <c r="C31" s="3"/>
      <c r="D31" s="3"/>
      <c r="E31" s="3">
        <v>164.56800000000001</v>
      </c>
      <c r="F31" s="3"/>
      <c r="G31" s="3"/>
      <c r="H31" s="3"/>
      <c r="I31" s="3">
        <v>164.41900000000001</v>
      </c>
      <c r="J31" s="3"/>
      <c r="K31" s="3"/>
      <c r="L31" s="3"/>
      <c r="M31" s="3">
        <v>163.02199999999999</v>
      </c>
      <c r="N31" s="3"/>
      <c r="O31" s="3"/>
      <c r="P31" s="3"/>
      <c r="Q31" s="3"/>
      <c r="R31" s="3"/>
      <c r="S31" s="3">
        <v>164.721</v>
      </c>
      <c r="T31" s="3">
        <v>164.42500000000001</v>
      </c>
      <c r="U31" s="3">
        <v>163.15700000000001</v>
      </c>
      <c r="V31" s="3"/>
    </row>
    <row r="32" spans="2:22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9" t="s">
        <v>59</v>
      </c>
      <c r="C33" s="3"/>
      <c r="D33" s="3"/>
      <c r="E33" s="3"/>
      <c r="F33" s="3"/>
      <c r="G33" s="8" t="e">
        <f>+G3/C3-1</f>
        <v>#DIV/0!</v>
      </c>
      <c r="H33" s="8" t="e">
        <f>+H3/D3-1</f>
        <v>#DIV/0!</v>
      </c>
      <c r="I33" s="8" t="e">
        <f>+I3/E3-1</f>
        <v>#DIV/0!</v>
      </c>
      <c r="J33" s="8" t="e">
        <f>+J3/F3-1</f>
        <v>#DIV/0!</v>
      </c>
      <c r="K33" s="8" t="e">
        <f>+K3/G3-1</f>
        <v>#DIV/0!</v>
      </c>
      <c r="L33" s="8" t="e">
        <f>+L3/H3-1</f>
        <v>#DIV/0!</v>
      </c>
      <c r="M33" s="8">
        <f>+M3/I3-1</f>
        <v>0.12320916905444124</v>
      </c>
      <c r="N33" s="3"/>
      <c r="O33" s="3"/>
      <c r="P33" s="3"/>
      <c r="Q33" s="3"/>
      <c r="R33" s="3"/>
      <c r="S33" s="3"/>
      <c r="T33" s="8" t="e">
        <f>+T3/S3-1</f>
        <v>#DIV/0!</v>
      </c>
      <c r="U33" s="8">
        <f>+U3/T3-1</f>
        <v>0.1284658040665434</v>
      </c>
      <c r="V33" s="3"/>
    </row>
    <row r="34" spans="2:22" x14ac:dyDescent="0.2">
      <c r="B34" s="9" t="s">
        <v>60</v>
      </c>
      <c r="C34" s="3"/>
      <c r="D34" s="3"/>
      <c r="E34" s="3"/>
      <c r="F34" s="3"/>
      <c r="G34" s="8" t="e">
        <f>+G4/C4-1</f>
        <v>#DIV/0!</v>
      </c>
      <c r="H34" s="8" t="e">
        <f>+H4/D4-1</f>
        <v>#DIV/0!</v>
      </c>
      <c r="I34" s="8" t="e">
        <f>+I4/E4-1</f>
        <v>#DIV/0!</v>
      </c>
      <c r="J34" s="8" t="e">
        <f>+J4/F4-1</f>
        <v>#DIV/0!</v>
      </c>
      <c r="K34" s="8" t="e">
        <f>+K4/G4-1</f>
        <v>#DIV/0!</v>
      </c>
      <c r="L34" s="8" t="e">
        <f>+L4/H4-1</f>
        <v>#DIV/0!</v>
      </c>
      <c r="M34" s="8">
        <f>+M4/I4-1</f>
        <v>-8.064516129032262E-2</v>
      </c>
      <c r="N34" s="3"/>
      <c r="O34" s="3"/>
      <c r="P34" s="3"/>
      <c r="Q34" s="3"/>
      <c r="R34" s="3"/>
      <c r="S34" s="3"/>
      <c r="T34" s="8" t="e">
        <f>+T4/S4-1</f>
        <v>#DIV/0!</v>
      </c>
      <c r="U34" s="8">
        <f>+U4/T4-1</f>
        <v>-6.557377049180324E-2</v>
      </c>
      <c r="V34" s="3"/>
    </row>
    <row r="35" spans="2:22" x14ac:dyDescent="0.2">
      <c r="B35" s="9" t="s">
        <v>61</v>
      </c>
      <c r="C35" s="3"/>
      <c r="D35" s="3"/>
      <c r="E35" s="3"/>
      <c r="F35" s="3"/>
      <c r="G35" s="8" t="e">
        <f>+G5/C5-1</f>
        <v>#DIV/0!</v>
      </c>
      <c r="H35" s="8" t="e">
        <f>+H5/D5-1</f>
        <v>#DIV/0!</v>
      </c>
      <c r="I35" s="8" t="e">
        <f>+I5/E5-1</f>
        <v>#DIV/0!</v>
      </c>
      <c r="J35" s="8" t="e">
        <f>+J5/F5-1</f>
        <v>#DIV/0!</v>
      </c>
      <c r="K35" s="8" t="e">
        <f>+K5/G5-1</f>
        <v>#DIV/0!</v>
      </c>
      <c r="L35" s="8" t="e">
        <f>+L5/H5-1</f>
        <v>#DIV/0!</v>
      </c>
      <c r="M35" s="8">
        <f>+M5/I5-1</f>
        <v>0.11181244364292153</v>
      </c>
      <c r="N35" s="3"/>
      <c r="O35" s="3"/>
      <c r="P35" s="3"/>
      <c r="Q35" s="3"/>
      <c r="R35" s="3"/>
      <c r="S35" s="3"/>
      <c r="T35" s="8" t="e">
        <f>+T5/S5-1</f>
        <v>#DIV/0!</v>
      </c>
      <c r="U35" s="8">
        <f>+U5/T5-1</f>
        <v>0.11811023622047245</v>
      </c>
      <c r="V35" s="3"/>
    </row>
    <row r="36" spans="2:22" x14ac:dyDescent="0.2">
      <c r="B36" s="9" t="s">
        <v>56</v>
      </c>
      <c r="C36" s="3"/>
      <c r="D36" s="3"/>
      <c r="E36" s="3"/>
      <c r="F36" s="3"/>
      <c r="G36" s="8" t="e">
        <f t="shared" ref="G36:H39" si="16">+G11/C11-1</f>
        <v>#DIV/0!</v>
      </c>
      <c r="H36" s="8" t="e">
        <f t="shared" si="16"/>
        <v>#DIV/0!</v>
      </c>
      <c r="I36" s="8">
        <f>+I11/E11-1</f>
        <v>8.3019372779679745E-2</v>
      </c>
      <c r="J36" s="8" t="e">
        <f t="shared" ref="J36:N39" si="17">+J11/F11-1</f>
        <v>#DIV/0!</v>
      </c>
      <c r="K36" s="8" t="e">
        <f t="shared" si="17"/>
        <v>#DIV/0!</v>
      </c>
      <c r="L36" s="8" t="e">
        <f t="shared" si="17"/>
        <v>#DIV/0!</v>
      </c>
      <c r="M36" s="8">
        <f t="shared" si="17"/>
        <v>9.1110831695442762E-2</v>
      </c>
      <c r="N36" s="8" t="e">
        <f t="shared" si="17"/>
        <v>#DIV/0!</v>
      </c>
      <c r="O36" s="3"/>
      <c r="P36" s="3"/>
      <c r="Q36" s="3"/>
      <c r="R36" s="3"/>
      <c r="S36" s="8" t="e">
        <f>+S11/R11-1</f>
        <v>#DIV/0!</v>
      </c>
      <c r="T36" s="8">
        <f>+T11/S11-1</f>
        <v>7.9735386766802474E-2</v>
      </c>
      <c r="U36" s="8">
        <f>+U11/T11-1</f>
        <v>9.0912852930337351E-2</v>
      </c>
      <c r="V36" s="3"/>
    </row>
    <row r="37" spans="2:22" x14ac:dyDescent="0.2">
      <c r="B37" s="9" t="s">
        <v>57</v>
      </c>
      <c r="C37" s="3"/>
      <c r="D37" s="3"/>
      <c r="E37" s="3"/>
      <c r="F37" s="3"/>
      <c r="G37" s="8" t="e">
        <f t="shared" si="16"/>
        <v>#DIV/0!</v>
      </c>
      <c r="H37" s="8" t="e">
        <f t="shared" si="16"/>
        <v>#DIV/0!</v>
      </c>
      <c r="I37" s="8">
        <f t="shared" ref="I37:I39" si="18">+I12/E12-1</f>
        <v>1.0733223467932707E-2</v>
      </c>
      <c r="J37" s="8" t="e">
        <f t="shared" si="17"/>
        <v>#DIV/0!</v>
      </c>
      <c r="K37" s="8" t="e">
        <f t="shared" si="17"/>
        <v>#DIV/0!</v>
      </c>
      <c r="L37" s="8" t="e">
        <f t="shared" si="17"/>
        <v>#DIV/0!</v>
      </c>
      <c r="M37" s="8">
        <f t="shared" si="17"/>
        <v>0.11760581228351774</v>
      </c>
      <c r="N37" s="8" t="e">
        <f t="shared" si="17"/>
        <v>#DIV/0!</v>
      </c>
      <c r="O37" s="3"/>
      <c r="P37" s="3"/>
      <c r="Q37" s="3"/>
      <c r="R37" s="3"/>
      <c r="S37" s="8" t="e">
        <f>+S12/R12-1</f>
        <v>#DIV/0!</v>
      </c>
      <c r="T37" s="8">
        <f>+T12/S12-1</f>
        <v>2.1872265966753623E-3</v>
      </c>
      <c r="U37" s="8">
        <f>+U12/T12-1</f>
        <v>0.11787616701987536</v>
      </c>
      <c r="V37" s="3"/>
    </row>
    <row r="38" spans="2:22" x14ac:dyDescent="0.2">
      <c r="B38" s="9" t="s">
        <v>58</v>
      </c>
      <c r="C38" s="3"/>
      <c r="D38" s="3"/>
      <c r="E38" s="3"/>
      <c r="F38" s="3"/>
      <c r="G38" s="8" t="e">
        <f t="shared" si="16"/>
        <v>#DIV/0!</v>
      </c>
      <c r="H38" s="8" t="e">
        <f t="shared" si="16"/>
        <v>#DIV/0!</v>
      </c>
      <c r="I38" s="8">
        <f t="shared" si="18"/>
        <v>9.2985396217380778E-2</v>
      </c>
      <c r="J38" s="8" t="e">
        <f t="shared" si="17"/>
        <v>#DIV/0!</v>
      </c>
      <c r="K38" s="8" t="e">
        <f t="shared" si="17"/>
        <v>#DIV/0!</v>
      </c>
      <c r="L38" s="8" t="e">
        <f t="shared" si="17"/>
        <v>#DIV/0!</v>
      </c>
      <c r="M38" s="8">
        <f t="shared" si="17"/>
        <v>7.9131437917086656E-2</v>
      </c>
      <c r="N38" s="8" t="e">
        <f t="shared" si="17"/>
        <v>#DIV/0!</v>
      </c>
      <c r="O38" s="3"/>
      <c r="P38" s="3"/>
      <c r="Q38" s="3"/>
      <c r="R38" s="3"/>
      <c r="S38" s="8" t="e">
        <f>+S13/R13-1</f>
        <v>#DIV/0!</v>
      </c>
      <c r="T38" s="8">
        <f>+T13/S13-1</f>
        <v>0.10048604003882278</v>
      </c>
      <c r="U38" s="8">
        <f>+U13/T13-1</f>
        <v>5.7467201553872416E-2</v>
      </c>
      <c r="V38" s="3"/>
    </row>
    <row r="39" spans="2:22" x14ac:dyDescent="0.2">
      <c r="B39" s="1" t="s">
        <v>37</v>
      </c>
      <c r="C39" s="6"/>
      <c r="D39" s="6"/>
      <c r="E39" s="6"/>
      <c r="F39" s="6"/>
      <c r="G39" s="11" t="e">
        <f t="shared" si="16"/>
        <v>#DIV/0!</v>
      </c>
      <c r="H39" s="11" t="e">
        <f t="shared" si="16"/>
        <v>#DIV/0!</v>
      </c>
      <c r="I39" s="11">
        <f t="shared" si="18"/>
        <v>6.9914514201672828E-2</v>
      </c>
      <c r="J39" s="11" t="e">
        <f t="shared" si="17"/>
        <v>#DIV/0!</v>
      </c>
      <c r="K39" s="11" t="e">
        <f t="shared" si="17"/>
        <v>#DIV/0!</v>
      </c>
      <c r="L39" s="11" t="e">
        <f t="shared" si="17"/>
        <v>#DIV/0!</v>
      </c>
      <c r="M39" s="11">
        <f t="shared" si="17"/>
        <v>9.4728341180109421E-2</v>
      </c>
      <c r="N39" s="11" t="e">
        <f t="shared" si="17"/>
        <v>#DIV/0!</v>
      </c>
      <c r="O39" s="3"/>
      <c r="P39" s="3"/>
      <c r="Q39" s="3"/>
      <c r="R39" s="3"/>
      <c r="S39" s="11" t="e">
        <f>+S14/R14-1</f>
        <v>#DIV/0!</v>
      </c>
      <c r="T39" s="11">
        <f>+T14/S14-1</f>
        <v>6.5852015867101432E-2</v>
      </c>
      <c r="U39" s="11">
        <f>+U14/T14-1</f>
        <v>9.2423235221211542E-2</v>
      </c>
      <c r="V39" s="3"/>
    </row>
    <row r="40" spans="2:22" x14ac:dyDescent="0.2">
      <c r="B40" s="2" t="s">
        <v>38</v>
      </c>
      <c r="C40" s="8" t="e">
        <f t="shared" ref="C40:H40" si="19">+C16/C14</f>
        <v>#DIV/0!</v>
      </c>
      <c r="D40" s="8" t="e">
        <f t="shared" si="19"/>
        <v>#DIV/0!</v>
      </c>
      <c r="E40" s="8">
        <f t="shared" si="19"/>
        <v>0.48000735361706043</v>
      </c>
      <c r="F40" s="8" t="e">
        <f t="shared" si="19"/>
        <v>#DIV/0!</v>
      </c>
      <c r="G40" s="8" t="e">
        <f t="shared" si="19"/>
        <v>#DIV/0!</v>
      </c>
      <c r="H40" s="8" t="e">
        <f t="shared" si="19"/>
        <v>#DIV/0!</v>
      </c>
      <c r="I40" s="8">
        <f>+I16/I14</f>
        <v>0.48164572978140452</v>
      </c>
      <c r="J40" s="8" t="e">
        <f t="shared" ref="J40:N40" si="20">+J16/J14</f>
        <v>#DIV/0!</v>
      </c>
      <c r="K40" s="8" t="e">
        <f t="shared" si="20"/>
        <v>#DIV/0!</v>
      </c>
      <c r="L40" s="8" t="e">
        <f t="shared" si="20"/>
        <v>#DIV/0!</v>
      </c>
      <c r="M40" s="8">
        <f t="shared" si="20"/>
        <v>0.50190562212034173</v>
      </c>
      <c r="N40" s="8" t="e">
        <f t="shared" si="20"/>
        <v>#DIV/0!</v>
      </c>
      <c r="O40" s="3"/>
      <c r="P40" s="3"/>
      <c r="Q40" s="3"/>
      <c r="R40" s="3"/>
      <c r="S40" s="8">
        <f t="shared" ref="S40" si="21">+S16/S14</f>
        <v>0.48516787076819595</v>
      </c>
      <c r="T40" s="8">
        <f t="shared" ref="T40:U40" si="22">+T16/T14</f>
        <v>0.49359821401985138</v>
      </c>
      <c r="U40" s="8">
        <f t="shared" si="22"/>
        <v>0.50805191513523584</v>
      </c>
      <c r="V40" s="3"/>
    </row>
    <row r="41" spans="2:22" x14ac:dyDescent="0.2">
      <c r="B41" s="2" t="s">
        <v>39</v>
      </c>
      <c r="C41" s="8" t="e">
        <f t="shared" ref="C41:H41" si="23">+C23/C14</f>
        <v>#DIV/0!</v>
      </c>
      <c r="D41" s="8" t="e">
        <f t="shared" si="23"/>
        <v>#DIV/0!</v>
      </c>
      <c r="E41" s="8">
        <f t="shared" si="23"/>
        <v>0.10623803992679819</v>
      </c>
      <c r="F41" s="8" t="e">
        <f t="shared" si="23"/>
        <v>#DIV/0!</v>
      </c>
      <c r="G41" s="8" t="e">
        <f t="shared" si="23"/>
        <v>#DIV/0!</v>
      </c>
      <c r="H41" s="8" t="e">
        <f t="shared" si="23"/>
        <v>#DIV/0!</v>
      </c>
      <c r="I41" s="8">
        <f>+I23/I14</f>
        <v>0.11985260349465301</v>
      </c>
      <c r="J41" s="8" t="e">
        <f t="shared" ref="J41:N41" si="24">+J23/J14</f>
        <v>#DIV/0!</v>
      </c>
      <c r="K41" s="8" t="e">
        <f t="shared" si="24"/>
        <v>#DIV/0!</v>
      </c>
      <c r="L41" s="8" t="e">
        <f t="shared" si="24"/>
        <v>#DIV/0!</v>
      </c>
      <c r="M41" s="8">
        <f t="shared" si="24"/>
        <v>0.14952177517511606</v>
      </c>
      <c r="N41" s="8" t="e">
        <f t="shared" si="24"/>
        <v>#DIV/0!</v>
      </c>
      <c r="O41" s="3"/>
      <c r="P41" s="3"/>
      <c r="Q41" s="3"/>
      <c r="R41" s="3"/>
      <c r="S41" s="8">
        <f t="shared" ref="S41" si="25">+S23/S14</f>
        <v>0.11387250262967867</v>
      </c>
      <c r="T41" s="8">
        <f t="shared" ref="T41:U41" si="26">+T23/T14</f>
        <v>0.13577223416510723</v>
      </c>
      <c r="U41" s="8">
        <f t="shared" si="26"/>
        <v>0.15276797415004609</v>
      </c>
      <c r="V41" s="3"/>
    </row>
    <row r="42" spans="2:22" x14ac:dyDescent="0.2">
      <c r="B42" s="2" t="s">
        <v>40</v>
      </c>
      <c r="C42" s="8" t="e">
        <f t="shared" ref="C42:H42" si="27">+C27/C26</f>
        <v>#DIV/0!</v>
      </c>
      <c r="D42" s="8" t="e">
        <f t="shared" si="27"/>
        <v>#DIV/0!</v>
      </c>
      <c r="E42" s="8">
        <f t="shared" si="27"/>
        <v>0.23392915827225033</v>
      </c>
      <c r="F42" s="8" t="e">
        <f t="shared" si="27"/>
        <v>#DIV/0!</v>
      </c>
      <c r="G42" s="8" t="e">
        <f t="shared" si="27"/>
        <v>#DIV/0!</v>
      </c>
      <c r="H42" s="8" t="e">
        <f t="shared" si="27"/>
        <v>#DIV/0!</v>
      </c>
      <c r="I42" s="8">
        <f>+I27/I26</f>
        <v>0.2457580282915702</v>
      </c>
      <c r="J42" s="8" t="e">
        <f t="shared" ref="J42:N42" si="28">+J27/J26</f>
        <v>#DIV/0!</v>
      </c>
      <c r="K42" s="8" t="e">
        <f t="shared" si="28"/>
        <v>#DIV/0!</v>
      </c>
      <c r="L42" s="8" t="e">
        <f t="shared" si="28"/>
        <v>#DIV/0!</v>
      </c>
      <c r="M42" s="8">
        <f t="shared" si="28"/>
        <v>0.24402259468469301</v>
      </c>
      <c r="N42" s="8" t="e">
        <f t="shared" si="28"/>
        <v>#DIV/0!</v>
      </c>
      <c r="O42" s="3"/>
      <c r="P42" s="3"/>
      <c r="Q42" s="3"/>
      <c r="R42" s="3"/>
      <c r="S42" s="8">
        <f t="shared" ref="S42" si="29">+S27/S26</f>
        <v>0.22958940870093975</v>
      </c>
      <c r="T42" s="8">
        <f t="shared" ref="T42:U42" si="30">+T27/T26</f>
        <v>0.23367925241834742</v>
      </c>
      <c r="U42" s="8">
        <f t="shared" si="30"/>
        <v>0.23772537096459664</v>
      </c>
      <c r="V42" s="3"/>
    </row>
    <row r="43" spans="2:22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3:22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3:22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3:22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3:22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3:22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3:22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3:22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3:22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3:22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3:22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3:22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3:22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3:22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3:22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3:22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3:22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3:22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3:22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3:22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3:22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3:22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3:22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3:22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3:22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3:22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3:22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3:22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3:22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3:22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3:22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3:22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3:22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3:22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3:22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3:22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3:22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3:22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3:22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3:22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3:22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3:22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3:22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3:22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3:22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3:22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3:22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3:22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3:22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3:22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3:22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3:22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3:22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3:22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3:22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3:22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3:22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3:22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3:22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3:22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3:22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3:22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3:22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3:22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3:22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3:22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3:22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3:22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3:22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3:22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3:22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3:22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3:22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3:22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3:22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3:22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3:22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3:22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3:22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3:22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3:22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3:22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3:22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3:22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3:22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3:22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3:22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3:22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3:22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3:22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3:22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3:22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3:22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3:22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3:22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3:22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3:22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3:22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3:22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3:22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3:22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3:22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3:22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3:22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3:22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3:22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3:22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3:22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3:22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3:22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3:22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3:22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3:22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3:22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3:22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3:22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3:22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3:22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3:22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3:22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3:22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3:22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3:22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3:22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3:22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3:22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3:22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3:22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3:22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3:22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3:22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3:22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3:22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3:22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3:22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3:22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3:22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3:22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3:22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3:22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3:22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3:22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3:22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3:22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3:22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3:22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3:22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3:22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3:22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3:22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3:22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3:22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3:22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3:22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3:22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3:22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</sheetData>
  <hyperlinks>
    <hyperlink ref="A1" location="Main!A1" display="Main" xr:uid="{5649D24E-83E0-4D00-976A-B7A06201555C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2025-01-15T16:55:17Z</dcterms:created>
  <dcterms:modified xsi:type="dcterms:W3CDTF">2026-03-19T10:22:28Z</dcterms:modified>
</cp:coreProperties>
</file>