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2D781380-ED7C-4EB6-986F-1DD0A7F99B4E}" xr6:coauthVersionLast="47" xr6:coauthVersionMax="47" xr10:uidLastSave="{00000000-0000-0000-0000-000000000000}"/>
  <bookViews>
    <workbookView xWindow="19095" yWindow="0" windowWidth="19410" windowHeight="20985" activeTab="2" xr2:uid="{741B4546-CE17-46BE-B44E-AD9A2227116F}"/>
  </bookViews>
  <sheets>
    <sheet name="Main" sheetId="1" r:id="rId1"/>
    <sheet name="Model" sheetId="2" r:id="rId2"/>
    <sheet name="Quarters" sheetId="9" r:id="rId3"/>
    <sheet name="Ratios" sheetId="8" r:id="rId4"/>
    <sheet name="DCF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1" i="9" l="1"/>
  <c r="L30" i="9"/>
  <c r="L29" i="9"/>
  <c r="L28" i="9"/>
  <c r="L27" i="9"/>
  <c r="L26" i="9"/>
  <c r="L25" i="9"/>
  <c r="L24" i="9"/>
  <c r="L23" i="9"/>
  <c r="L22" i="9"/>
  <c r="L21" i="9"/>
  <c r="L20" i="9"/>
  <c r="L19" i="9"/>
  <c r="L18" i="9"/>
  <c r="L16" i="9"/>
  <c r="L15" i="9"/>
  <c r="L14" i="9"/>
  <c r="L13" i="9"/>
  <c r="L12" i="9"/>
  <c r="L11" i="9"/>
  <c r="L10" i="9"/>
  <c r="L9" i="9"/>
  <c r="L8" i="9"/>
  <c r="L7" i="9"/>
  <c r="L6" i="9"/>
  <c r="L5" i="9"/>
  <c r="L4" i="9"/>
  <c r="L3" i="9"/>
  <c r="H40" i="2"/>
  <c r="G40" i="2"/>
  <c r="F40" i="2"/>
  <c r="E40" i="2"/>
  <c r="H39" i="2"/>
  <c r="G39" i="2"/>
  <c r="F39" i="2"/>
  <c r="E39" i="2"/>
  <c r="H38" i="2"/>
  <c r="G38" i="2"/>
  <c r="F38" i="2"/>
  <c r="E38" i="2"/>
  <c r="H37" i="2"/>
  <c r="G37" i="2"/>
  <c r="F37" i="2"/>
  <c r="E37" i="2"/>
  <c r="H36" i="2"/>
  <c r="G36" i="2"/>
  <c r="F36" i="2"/>
  <c r="E36" i="2"/>
  <c r="H35" i="2"/>
  <c r="G35" i="2"/>
  <c r="F35" i="2"/>
  <c r="E35" i="2"/>
  <c r="I39" i="2"/>
  <c r="I38" i="2"/>
  <c r="I37" i="2"/>
  <c r="I36" i="2"/>
  <c r="I35" i="2"/>
  <c r="I40" i="2"/>
  <c r="J52" i="2"/>
  <c r="I52" i="2"/>
  <c r="H52" i="2"/>
  <c r="J51" i="2"/>
  <c r="I51" i="2"/>
  <c r="H51" i="2"/>
  <c r="J50" i="2"/>
  <c r="I50" i="2"/>
  <c r="H50" i="2"/>
  <c r="J49" i="2"/>
  <c r="I49" i="2"/>
  <c r="H49" i="2"/>
  <c r="J48" i="2"/>
  <c r="I48" i="2"/>
  <c r="H48" i="2"/>
  <c r="J47" i="2"/>
  <c r="I47" i="2"/>
  <c r="H47" i="2"/>
  <c r="J46" i="2"/>
  <c r="I46" i="2"/>
  <c r="H46" i="2"/>
  <c r="J45" i="2"/>
  <c r="I45" i="2"/>
  <c r="H45" i="2"/>
  <c r="J44" i="2"/>
  <c r="I44" i="2"/>
  <c r="H44" i="2"/>
  <c r="J43" i="2"/>
  <c r="I43" i="2"/>
  <c r="H43" i="2"/>
  <c r="J42" i="2"/>
  <c r="I42" i="2"/>
  <c r="H42" i="2"/>
  <c r="J41" i="2"/>
  <c r="I41" i="2"/>
  <c r="H41" i="2"/>
  <c r="I32" i="2"/>
  <c r="K6" i="1"/>
  <c r="I21" i="2"/>
  <c r="I23" i="2"/>
  <c r="I25" i="2" s="1"/>
  <c r="I28" i="2" s="1"/>
  <c r="I30" i="2" s="1"/>
  <c r="H21" i="2"/>
  <c r="I18" i="2"/>
  <c r="H29" i="2"/>
  <c r="H27" i="2"/>
  <c r="H26" i="2"/>
  <c r="H24" i="2"/>
  <c r="H22" i="2"/>
  <c r="H20" i="2"/>
  <c r="H19" i="2"/>
  <c r="H17" i="2"/>
  <c r="H16" i="2"/>
  <c r="H18" i="2" s="1"/>
  <c r="H15" i="2"/>
  <c r="H14" i="2"/>
  <c r="H13" i="2"/>
  <c r="H12" i="2"/>
  <c r="H11" i="2"/>
  <c r="H10" i="2"/>
  <c r="H9" i="2"/>
  <c r="H8" i="2"/>
  <c r="H7" i="2"/>
  <c r="H6" i="2"/>
  <c r="H5" i="2"/>
  <c r="H4" i="2"/>
  <c r="H3" i="2"/>
  <c r="F8" i="2"/>
  <c r="F7" i="2"/>
  <c r="F6" i="2"/>
  <c r="F5" i="2"/>
  <c r="F4" i="2"/>
  <c r="F3" i="2"/>
  <c r="K31" i="9"/>
  <c r="J31" i="9"/>
  <c r="K30" i="9"/>
  <c r="J30" i="9"/>
  <c r="K29" i="9"/>
  <c r="J29" i="9"/>
  <c r="K28" i="9"/>
  <c r="J28" i="9"/>
  <c r="K27" i="9"/>
  <c r="J27" i="9"/>
  <c r="K26" i="9"/>
  <c r="J26" i="9"/>
  <c r="K25" i="9"/>
  <c r="J25" i="9"/>
  <c r="K24" i="9"/>
  <c r="J24" i="9"/>
  <c r="K23" i="9"/>
  <c r="J23" i="9"/>
  <c r="K22" i="9"/>
  <c r="J22" i="9"/>
  <c r="K21" i="9"/>
  <c r="J21" i="9"/>
  <c r="K20" i="9"/>
  <c r="J20" i="9"/>
  <c r="K19" i="9"/>
  <c r="J19" i="9"/>
  <c r="K18" i="9"/>
  <c r="J18" i="9"/>
  <c r="J11" i="8"/>
  <c r="J6" i="8"/>
  <c r="J4" i="8"/>
  <c r="J5" i="8" s="1"/>
  <c r="J7" i="8" s="1"/>
  <c r="S135" i="2"/>
  <c r="S131" i="2"/>
  <c r="S124" i="2"/>
  <c r="S99" i="2"/>
  <c r="S90" i="2"/>
  <c r="S82" i="2"/>
  <c r="S71" i="2"/>
  <c r="S64" i="2"/>
  <c r="S72" i="2" s="1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18" i="2"/>
  <c r="S21" i="2" s="1"/>
  <c r="D15" i="9"/>
  <c r="D14" i="9"/>
  <c r="D13" i="9"/>
  <c r="D12" i="9"/>
  <c r="D11" i="9"/>
  <c r="D10" i="9"/>
  <c r="D9" i="9"/>
  <c r="D16" i="9" s="1"/>
  <c r="D8" i="9"/>
  <c r="D7" i="9"/>
  <c r="H22" i="9" s="1"/>
  <c r="D6" i="9"/>
  <c r="H21" i="9" s="1"/>
  <c r="D5" i="9"/>
  <c r="H20" i="9" s="1"/>
  <c r="D4" i="9"/>
  <c r="D3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H19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" i="9"/>
  <c r="G47" i="2"/>
  <c r="G46" i="2"/>
  <c r="G45" i="2"/>
  <c r="G44" i="2"/>
  <c r="G43" i="2"/>
  <c r="G42" i="2"/>
  <c r="G41" i="2"/>
  <c r="G18" i="2"/>
  <c r="G21" i="2" s="1"/>
  <c r="G23" i="2" s="1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F16" i="9"/>
  <c r="I31" i="9"/>
  <c r="C16" i="9"/>
  <c r="G16" i="9"/>
  <c r="G31" i="9" s="1"/>
  <c r="H11" i="8"/>
  <c r="G11" i="8"/>
  <c r="F11" i="8"/>
  <c r="E11" i="8"/>
  <c r="D11" i="8"/>
  <c r="C11" i="8"/>
  <c r="I11" i="8"/>
  <c r="H6" i="8"/>
  <c r="G6" i="8"/>
  <c r="F6" i="8"/>
  <c r="E6" i="8"/>
  <c r="D6" i="8"/>
  <c r="C6" i="8"/>
  <c r="I6" i="8"/>
  <c r="R41" i="2"/>
  <c r="Q41" i="2"/>
  <c r="P41" i="2"/>
  <c r="O41" i="2"/>
  <c r="N41" i="2"/>
  <c r="R40" i="2"/>
  <c r="Q40" i="2"/>
  <c r="P40" i="2"/>
  <c r="O40" i="2"/>
  <c r="N40" i="2"/>
  <c r="R39" i="2"/>
  <c r="Q39" i="2"/>
  <c r="P39" i="2"/>
  <c r="O39" i="2"/>
  <c r="N39" i="2"/>
  <c r="R38" i="2"/>
  <c r="Q38" i="2"/>
  <c r="P38" i="2"/>
  <c r="O38" i="2"/>
  <c r="N38" i="2"/>
  <c r="R37" i="2"/>
  <c r="Q37" i="2"/>
  <c r="P37" i="2"/>
  <c r="O37" i="2"/>
  <c r="N37" i="2"/>
  <c r="R36" i="2"/>
  <c r="Q36" i="2"/>
  <c r="P36" i="2"/>
  <c r="O36" i="2"/>
  <c r="N36" i="2"/>
  <c r="R35" i="2"/>
  <c r="Q35" i="2"/>
  <c r="P35" i="2"/>
  <c r="O35" i="2"/>
  <c r="N35" i="2"/>
  <c r="M40" i="2"/>
  <c r="M39" i="2"/>
  <c r="M38" i="2"/>
  <c r="M37" i="2"/>
  <c r="M36" i="2"/>
  <c r="M35" i="2"/>
  <c r="Q47" i="2"/>
  <c r="P47" i="2"/>
  <c r="O47" i="2"/>
  <c r="N47" i="2"/>
  <c r="M47" i="2"/>
  <c r="Q46" i="2"/>
  <c r="P46" i="2"/>
  <c r="O46" i="2"/>
  <c r="N46" i="2"/>
  <c r="M46" i="2"/>
  <c r="Q45" i="2"/>
  <c r="P45" i="2"/>
  <c r="O45" i="2"/>
  <c r="N45" i="2"/>
  <c r="M45" i="2"/>
  <c r="Q44" i="2"/>
  <c r="P44" i="2"/>
  <c r="O44" i="2"/>
  <c r="N44" i="2"/>
  <c r="M44" i="2"/>
  <c r="Q43" i="2"/>
  <c r="P43" i="2"/>
  <c r="O43" i="2"/>
  <c r="N43" i="2"/>
  <c r="M43" i="2"/>
  <c r="Q42" i="2"/>
  <c r="P42" i="2"/>
  <c r="O42" i="2"/>
  <c r="N42" i="2"/>
  <c r="M42" i="2"/>
  <c r="M41" i="2"/>
  <c r="R47" i="2"/>
  <c r="R46" i="2"/>
  <c r="R45" i="2"/>
  <c r="R44" i="2"/>
  <c r="R43" i="2"/>
  <c r="R42" i="2"/>
  <c r="E47" i="2"/>
  <c r="E46" i="2"/>
  <c r="E45" i="2"/>
  <c r="E44" i="2"/>
  <c r="E43" i="2"/>
  <c r="E42" i="2"/>
  <c r="E41" i="2"/>
  <c r="F29" i="2"/>
  <c r="F27" i="2"/>
  <c r="F26" i="2"/>
  <c r="F24" i="2"/>
  <c r="F22" i="2"/>
  <c r="F20" i="2"/>
  <c r="F19" i="2"/>
  <c r="F17" i="2"/>
  <c r="F15" i="2"/>
  <c r="F14" i="2"/>
  <c r="F13" i="2"/>
  <c r="F12" i="2"/>
  <c r="F11" i="2"/>
  <c r="F10" i="2"/>
  <c r="F9" i="2"/>
  <c r="H4" i="8"/>
  <c r="H5" i="8" s="1"/>
  <c r="G4" i="8"/>
  <c r="G5" i="8" s="1"/>
  <c r="F4" i="8"/>
  <c r="F5" i="8" s="1"/>
  <c r="E4" i="8"/>
  <c r="E5" i="8" s="1"/>
  <c r="D4" i="8"/>
  <c r="D5" i="8" s="1"/>
  <c r="C4" i="8"/>
  <c r="C5" i="8" s="1"/>
  <c r="D2" i="8"/>
  <c r="E2" i="8" s="1"/>
  <c r="F2" i="8" s="1"/>
  <c r="G2" i="8" s="1"/>
  <c r="H2" i="8" s="1"/>
  <c r="I2" i="8" s="1"/>
  <c r="J2" i="8" s="1"/>
  <c r="S100" i="2" l="1"/>
  <c r="S101" i="2" s="1"/>
  <c r="E7" i="8"/>
  <c r="C7" i="8"/>
  <c r="D7" i="8"/>
  <c r="G49" i="2"/>
  <c r="J10" i="8"/>
  <c r="F7" i="8"/>
  <c r="G7" i="8"/>
  <c r="H7" i="8"/>
  <c r="H23" i="9"/>
  <c r="H18" i="9"/>
  <c r="G25" i="2"/>
  <c r="G50" i="2"/>
  <c r="H23" i="2"/>
  <c r="H25" i="2" s="1"/>
  <c r="H28" i="2" s="1"/>
  <c r="H30" i="2" s="1"/>
  <c r="H32" i="2" s="1"/>
  <c r="S23" i="2"/>
  <c r="J27" i="8"/>
  <c r="H24" i="9"/>
  <c r="H25" i="9"/>
  <c r="H27" i="9"/>
  <c r="H26" i="9"/>
  <c r="H28" i="9"/>
  <c r="H29" i="9"/>
  <c r="H30" i="9"/>
  <c r="H31" i="9"/>
  <c r="K48" i="7"/>
  <c r="J48" i="7"/>
  <c r="I48" i="7"/>
  <c r="H48" i="7"/>
  <c r="G48" i="7"/>
  <c r="L48" i="7"/>
  <c r="K45" i="7"/>
  <c r="J45" i="7"/>
  <c r="I45" i="7"/>
  <c r="I46" i="7" s="1"/>
  <c r="H45" i="7"/>
  <c r="G45" i="7"/>
  <c r="L45" i="7"/>
  <c r="K42" i="7"/>
  <c r="J42" i="7"/>
  <c r="L42" i="7"/>
  <c r="K37" i="7"/>
  <c r="J37" i="7"/>
  <c r="I37" i="7"/>
  <c r="H37" i="7"/>
  <c r="G37" i="7"/>
  <c r="L37" i="7"/>
  <c r="L25" i="7"/>
  <c r="K25" i="7"/>
  <c r="J25" i="7"/>
  <c r="I25" i="7"/>
  <c r="H25" i="7"/>
  <c r="G25" i="7"/>
  <c r="E3" i="7"/>
  <c r="H49" i="7"/>
  <c r="G49" i="7"/>
  <c r="V32" i="7" a="1"/>
  <c r="V32" i="7" s="1"/>
  <c r="U32" i="7" a="1"/>
  <c r="U32" i="7" s="1"/>
  <c r="T32" i="7" a="1"/>
  <c r="T32" i="7" s="1"/>
  <c r="S32" i="7" a="1"/>
  <c r="S32" i="7" s="1"/>
  <c r="R32" i="7" a="1"/>
  <c r="R32" i="7" s="1"/>
  <c r="Q32" i="7" a="1"/>
  <c r="Q32" i="7" s="1"/>
  <c r="P32" i="7" a="1"/>
  <c r="P32" i="7" s="1"/>
  <c r="O32" i="7" a="1"/>
  <c r="O32" i="7" s="1"/>
  <c r="N32" i="7" a="1"/>
  <c r="N32" i="7" s="1"/>
  <c r="M32" i="7" a="1"/>
  <c r="M32" i="7" s="1"/>
  <c r="V26" i="7" a="1"/>
  <c r="V26" i="7" s="1"/>
  <c r="U26" i="7" a="1"/>
  <c r="U26" i="7" s="1"/>
  <c r="T26" i="7" a="1"/>
  <c r="T26" i="7" s="1"/>
  <c r="S26" i="7" a="1"/>
  <c r="S26" i="7" s="1"/>
  <c r="R26" i="7" a="1"/>
  <c r="R26" i="7" s="1"/>
  <c r="Q26" i="7" a="1"/>
  <c r="Q26" i="7" s="1"/>
  <c r="P26" i="7" a="1"/>
  <c r="P26" i="7" s="1"/>
  <c r="O26" i="7" a="1"/>
  <c r="O26" i="7" s="1"/>
  <c r="N26" i="7" a="1"/>
  <c r="N26" i="7" s="1"/>
  <c r="M26" i="7" a="1"/>
  <c r="M26" i="7" s="1"/>
  <c r="H24" i="7"/>
  <c r="I24" i="7" s="1"/>
  <c r="J24" i="7" s="1"/>
  <c r="K24" i="7" s="1"/>
  <c r="L24" i="7" s="1"/>
  <c r="M24" i="7" s="1"/>
  <c r="N24" i="7" s="1"/>
  <c r="O24" i="7" s="1"/>
  <c r="P24" i="7" s="1"/>
  <c r="Q24" i="7" s="1"/>
  <c r="R24" i="7" s="1"/>
  <c r="S24" i="7" s="1"/>
  <c r="T24" i="7" s="1"/>
  <c r="U24" i="7" s="1"/>
  <c r="V24" i="7" s="1"/>
  <c r="E20" i="7"/>
  <c r="E19" i="7"/>
  <c r="E18" i="7"/>
  <c r="O4" i="7"/>
  <c r="O5" i="7" s="1"/>
  <c r="E4" i="7"/>
  <c r="M53" i="7" s="1"/>
  <c r="N53" i="7" s="1"/>
  <c r="O53" i="7" s="1"/>
  <c r="P53" i="7" s="1"/>
  <c r="Q53" i="7" s="1"/>
  <c r="R53" i="7" s="1"/>
  <c r="S53" i="7" s="1"/>
  <c r="T53" i="7" s="1"/>
  <c r="U53" i="7" s="1"/>
  <c r="V53" i="7" s="1"/>
  <c r="O3" i="7"/>
  <c r="K46" i="7" l="1"/>
  <c r="J46" i="7"/>
  <c r="L43" i="7"/>
  <c r="S25" i="2"/>
  <c r="J23" i="8"/>
  <c r="S50" i="2"/>
  <c r="J43" i="7"/>
  <c r="K43" i="7"/>
  <c r="L46" i="7"/>
  <c r="G28" i="2"/>
  <c r="G52" i="2"/>
  <c r="G46" i="7"/>
  <c r="H46" i="7"/>
  <c r="I49" i="7"/>
  <c r="L26" i="7"/>
  <c r="K49" i="7"/>
  <c r="H26" i="7"/>
  <c r="I26" i="7"/>
  <c r="J26" i="7"/>
  <c r="K26" i="7"/>
  <c r="M25" i="7"/>
  <c r="M31" i="7" s="1"/>
  <c r="M37" i="7" s="1"/>
  <c r="M40" i="7" s="1"/>
  <c r="L49" i="7"/>
  <c r="J49" i="7"/>
  <c r="G30" i="2" l="1"/>
  <c r="G32" i="2" s="1"/>
  <c r="G51" i="2"/>
  <c r="S28" i="2"/>
  <c r="S52" i="2"/>
  <c r="J24" i="8" s="1"/>
  <c r="M48" i="7"/>
  <c r="M42" i="7"/>
  <c r="M45" i="7"/>
  <c r="N25" i="7"/>
  <c r="O25" i="7" s="1"/>
  <c r="S30" i="2" l="1"/>
  <c r="S51" i="2"/>
  <c r="J22" i="8"/>
  <c r="N42" i="7"/>
  <c r="N31" i="7"/>
  <c r="N37" i="7" s="1"/>
  <c r="N40" i="7" s="1"/>
  <c r="N48" i="7"/>
  <c r="N45" i="7"/>
  <c r="M51" i="7"/>
  <c r="M52" i="7" s="1"/>
  <c r="O48" i="7"/>
  <c r="P25" i="7"/>
  <c r="O45" i="7"/>
  <c r="O42" i="7"/>
  <c r="O31" i="7"/>
  <c r="S103" i="2" l="1"/>
  <c r="S115" i="2" s="1"/>
  <c r="S133" i="2" s="1"/>
  <c r="S136" i="2" s="1"/>
  <c r="S32" i="2"/>
  <c r="N51" i="7"/>
  <c r="N52" i="7" s="1"/>
  <c r="O37" i="7"/>
  <c r="O40" i="7" s="1"/>
  <c r="O51" i="7" s="1"/>
  <c r="O52" i="7" s="1"/>
  <c r="P45" i="7"/>
  <c r="P48" i="7"/>
  <c r="Q25" i="7"/>
  <c r="P42" i="7"/>
  <c r="P31" i="7"/>
  <c r="P37" i="7" l="1"/>
  <c r="P40" i="7" s="1"/>
  <c r="P51" i="7" s="1"/>
  <c r="P52" i="7" s="1"/>
  <c r="Q48" i="7"/>
  <c r="Q42" i="7"/>
  <c r="R25" i="7"/>
  <c r="Q45" i="7"/>
  <c r="Q31" i="7"/>
  <c r="Q37" i="7" l="1"/>
  <c r="Q40" i="7" s="1"/>
  <c r="Q51" i="7" s="1"/>
  <c r="Q52" i="7" s="1"/>
  <c r="R48" i="7"/>
  <c r="R45" i="7"/>
  <c r="R42" i="7"/>
  <c r="S25" i="7"/>
  <c r="R31" i="7"/>
  <c r="R37" i="7" l="1"/>
  <c r="R40" i="7" s="1"/>
  <c r="R51" i="7" s="1"/>
  <c r="R52" i="7" s="1"/>
  <c r="S48" i="7"/>
  <c r="T25" i="7"/>
  <c r="S45" i="7"/>
  <c r="S42" i="7"/>
  <c r="S31" i="7"/>
  <c r="S37" i="7" l="1"/>
  <c r="S40" i="7" s="1"/>
  <c r="S51" i="7" s="1"/>
  <c r="S52" i="7" s="1"/>
  <c r="T48" i="7"/>
  <c r="U25" i="7"/>
  <c r="T45" i="7"/>
  <c r="T42" i="7"/>
  <c r="T31" i="7"/>
  <c r="T37" i="7" l="1"/>
  <c r="T40" i="7" s="1"/>
  <c r="T51" i="7" s="1"/>
  <c r="T52" i="7" s="1"/>
  <c r="U45" i="7"/>
  <c r="U48" i="7"/>
  <c r="U42" i="7"/>
  <c r="V25" i="7"/>
  <c r="U31" i="7"/>
  <c r="U37" i="7" l="1"/>
  <c r="U40" i="7" s="1"/>
  <c r="U51" i="7" s="1"/>
  <c r="U52" i="7" s="1"/>
  <c r="V48" i="7"/>
  <c r="V42" i="7"/>
  <c r="V45" i="7"/>
  <c r="V31" i="7"/>
  <c r="V37" i="7" l="1"/>
  <c r="V40" i="7" s="1"/>
  <c r="V51" i="7" l="1"/>
  <c r="V52" i="7" s="1"/>
  <c r="V54" i="7" s="1"/>
  <c r="V55" i="7"/>
  <c r="V56" i="7" s="1"/>
  <c r="V57" i="7" l="1"/>
  <c r="V60" i="7" s="1"/>
  <c r="V62" i="7" s="1"/>
  <c r="J4" i="7" s="1"/>
  <c r="N69" i="7" l="1"/>
  <c r="J5" i="7"/>
  <c r="C69" i="7"/>
  <c r="Q131" i="2"/>
  <c r="P131" i="2"/>
  <c r="O131" i="2"/>
  <c r="N131" i="2"/>
  <c r="M131" i="2"/>
  <c r="L131" i="2"/>
  <c r="R131" i="2"/>
  <c r="Q124" i="2"/>
  <c r="P124" i="2"/>
  <c r="O124" i="2"/>
  <c r="N124" i="2"/>
  <c r="M124" i="2"/>
  <c r="L124" i="2"/>
  <c r="R124" i="2"/>
  <c r="K4" i="1"/>
  <c r="P99" i="2"/>
  <c r="O99" i="2"/>
  <c r="N99" i="2"/>
  <c r="M99" i="2"/>
  <c r="L99" i="2"/>
  <c r="R99" i="2"/>
  <c r="Q99" i="2"/>
  <c r="Q90" i="2"/>
  <c r="P90" i="2"/>
  <c r="O90" i="2"/>
  <c r="N90" i="2"/>
  <c r="M90" i="2"/>
  <c r="L90" i="2"/>
  <c r="R90" i="2"/>
  <c r="Q82" i="2"/>
  <c r="P82" i="2"/>
  <c r="O82" i="2"/>
  <c r="N82" i="2"/>
  <c r="M82" i="2"/>
  <c r="L82" i="2"/>
  <c r="R82" i="2"/>
  <c r="Q64" i="2"/>
  <c r="H10" i="8" s="1"/>
  <c r="P64" i="2"/>
  <c r="G10" i="8" s="1"/>
  <c r="O64" i="2"/>
  <c r="F10" i="8" s="1"/>
  <c r="N64" i="2"/>
  <c r="E10" i="8" s="1"/>
  <c r="M64" i="2"/>
  <c r="L64" i="2"/>
  <c r="C10" i="8" s="1"/>
  <c r="R64" i="2"/>
  <c r="I10" i="8" s="1"/>
  <c r="Q71" i="2"/>
  <c r="P71" i="2"/>
  <c r="O71" i="2"/>
  <c r="N71" i="2"/>
  <c r="M71" i="2"/>
  <c r="L71" i="2"/>
  <c r="R71" i="2"/>
  <c r="R48" i="2"/>
  <c r="R18" i="2"/>
  <c r="R21" i="2" s="1"/>
  <c r="D29" i="2"/>
  <c r="D27" i="2"/>
  <c r="D26" i="2"/>
  <c r="D24" i="2"/>
  <c r="D22" i="2"/>
  <c r="D20" i="2"/>
  <c r="D19" i="2"/>
  <c r="D17" i="2"/>
  <c r="D15" i="2"/>
  <c r="F47" i="2" s="1"/>
  <c r="D14" i="2"/>
  <c r="F46" i="2" s="1"/>
  <c r="D13" i="2"/>
  <c r="F45" i="2" s="1"/>
  <c r="D12" i="2"/>
  <c r="F44" i="2" s="1"/>
  <c r="D11" i="2"/>
  <c r="F43" i="2" s="1"/>
  <c r="D10" i="2"/>
  <c r="F42" i="2" s="1"/>
  <c r="D9" i="2"/>
  <c r="F41" i="2" s="1"/>
  <c r="E16" i="2"/>
  <c r="C16" i="2"/>
  <c r="C18" i="2" s="1"/>
  <c r="C21" i="2" s="1"/>
  <c r="C23" i="2" s="1"/>
  <c r="C25" i="2" s="1"/>
  <c r="C28" i="2" s="1"/>
  <c r="C30" i="2" s="1"/>
  <c r="C32" i="2" s="1"/>
  <c r="F16" i="2"/>
  <c r="F18" i="2" s="1"/>
  <c r="F49" i="2" s="1"/>
  <c r="E18" i="2" l="1"/>
  <c r="E21" i="2" s="1"/>
  <c r="E23" i="2" s="1"/>
  <c r="E25" i="2" s="1"/>
  <c r="E52" i="2" s="1"/>
  <c r="G48" i="2"/>
  <c r="M72" i="2"/>
  <c r="D10" i="8"/>
  <c r="R23" i="2"/>
  <c r="R25" i="2"/>
  <c r="R28" i="2" s="1"/>
  <c r="L31" i="7"/>
  <c r="L72" i="2"/>
  <c r="Q100" i="2"/>
  <c r="Q101" i="2" s="1"/>
  <c r="R100" i="2"/>
  <c r="R101" i="2" s="1"/>
  <c r="L100" i="2"/>
  <c r="L101" i="2" s="1"/>
  <c r="M100" i="2"/>
  <c r="M101" i="2" s="1"/>
  <c r="N100" i="2"/>
  <c r="N101" i="2" s="1"/>
  <c r="O100" i="2"/>
  <c r="O101" i="2" s="1"/>
  <c r="P100" i="2"/>
  <c r="P101" i="2" s="1"/>
  <c r="O72" i="2"/>
  <c r="P72" i="2"/>
  <c r="Q72" i="2"/>
  <c r="R49" i="2"/>
  <c r="R50" i="2"/>
  <c r="R51" i="2"/>
  <c r="R72" i="2"/>
  <c r="I27" i="8" s="1"/>
  <c r="N72" i="2"/>
  <c r="F21" i="2"/>
  <c r="F23" i="2" s="1"/>
  <c r="F50" i="2" s="1"/>
  <c r="E48" i="2"/>
  <c r="D16" i="2"/>
  <c r="D18" i="2" s="1"/>
  <c r="D21" i="2" s="1"/>
  <c r="D23" i="2" s="1"/>
  <c r="D50" i="2" s="1"/>
  <c r="E49" i="2" l="1"/>
  <c r="E50" i="2"/>
  <c r="E28" i="2"/>
  <c r="R30" i="2"/>
  <c r="R103" i="2" s="1"/>
  <c r="R115" i="2" s="1"/>
  <c r="R133" i="2" s="1"/>
  <c r="I22" i="8"/>
  <c r="I23" i="8"/>
  <c r="R52" i="2"/>
  <c r="I24" i="8" s="1"/>
  <c r="L40" i="7"/>
  <c r="L51" i="7" s="1"/>
  <c r="L38" i="7"/>
  <c r="L32" i="7"/>
  <c r="F25" i="2"/>
  <c r="F52" i="2" s="1"/>
  <c r="D49" i="2"/>
  <c r="E30" i="2"/>
  <c r="E32" i="2" s="1"/>
  <c r="E51" i="2"/>
  <c r="D25" i="2"/>
  <c r="D28" i="2" s="1"/>
  <c r="F48" i="2"/>
  <c r="D52" i="2" l="1"/>
  <c r="F28" i="2"/>
  <c r="F30" i="2" s="1"/>
  <c r="F32" i="2" s="1"/>
  <c r="D30" i="2"/>
  <c r="D32" i="2" s="1"/>
  <c r="D51" i="2"/>
  <c r="F51" i="2" l="1"/>
  <c r="L136" i="2"/>
  <c r="M136" i="2"/>
  <c r="L105" i="2"/>
  <c r="M105" i="2"/>
  <c r="L104" i="2"/>
  <c r="M104" i="2"/>
  <c r="G42" i="7" s="1"/>
  <c r="G43" i="7" s="1"/>
  <c r="N136" i="2"/>
  <c r="O136" i="2"/>
  <c r="N105" i="2"/>
  <c r="O105" i="2"/>
  <c r="N104" i="2"/>
  <c r="H42" i="7" s="1"/>
  <c r="H43" i="7" s="1"/>
  <c r="O104" i="2"/>
  <c r="I42" i="7" s="1"/>
  <c r="I43" i="7" s="1"/>
  <c r="P48" i="2"/>
  <c r="O48" i="2"/>
  <c r="N48" i="2"/>
  <c r="M48" i="2"/>
  <c r="Q48" i="2"/>
  <c r="Q18" i="2"/>
  <c r="Q21" i="2" s="1"/>
  <c r="H27" i="8" s="1"/>
  <c r="P18" i="2"/>
  <c r="P49" i="2" s="1"/>
  <c r="O18" i="2"/>
  <c r="N18" i="2"/>
  <c r="N21" i="2" s="1"/>
  <c r="M18" i="2"/>
  <c r="M21" i="2" s="1"/>
  <c r="L18" i="2"/>
  <c r="L21" i="2" s="1"/>
  <c r="L23" i="2" l="1"/>
  <c r="C27" i="8"/>
  <c r="N23" i="2"/>
  <c r="E27" i="8"/>
  <c r="M23" i="2"/>
  <c r="D27" i="8"/>
  <c r="L49" i="2"/>
  <c r="L50" i="2"/>
  <c r="O21" i="2"/>
  <c r="Q23" i="2"/>
  <c r="N25" i="2"/>
  <c r="N28" i="2" s="1"/>
  <c r="E22" i="8" s="1"/>
  <c r="L25" i="2"/>
  <c r="K7" i="1"/>
  <c r="M49" i="2"/>
  <c r="N49" i="2"/>
  <c r="O49" i="2"/>
  <c r="Q49" i="2"/>
  <c r="M25" i="2"/>
  <c r="M28" i="2" s="1"/>
  <c r="D22" i="8" s="1"/>
  <c r="P21" i="2"/>
  <c r="K31" i="7" l="1"/>
  <c r="H23" i="8"/>
  <c r="G31" i="7"/>
  <c r="D23" i="8"/>
  <c r="O23" i="2"/>
  <c r="O25" i="2" s="1"/>
  <c r="F27" i="8"/>
  <c r="P23" i="2"/>
  <c r="P50" i="2" s="1"/>
  <c r="G27" i="8"/>
  <c r="H31" i="7"/>
  <c r="E23" i="8"/>
  <c r="N50" i="2"/>
  <c r="M50" i="2"/>
  <c r="C23" i="8"/>
  <c r="K32" i="7"/>
  <c r="K40" i="7"/>
  <c r="K51" i="7" s="1"/>
  <c r="K38" i="7"/>
  <c r="N52" i="2"/>
  <c r="E24" i="8" s="1"/>
  <c r="Q50" i="2"/>
  <c r="M30" i="2"/>
  <c r="M32" i="2" s="1"/>
  <c r="L28" i="2"/>
  <c r="C22" i="8" s="1"/>
  <c r="L52" i="2"/>
  <c r="C24" i="8" s="1"/>
  <c r="N30" i="2"/>
  <c r="N32" i="2" s="1"/>
  <c r="Q25" i="2"/>
  <c r="N51" i="2"/>
  <c r="M52" i="2"/>
  <c r="D24" i="8" s="1"/>
  <c r="P25" i="2" l="1"/>
  <c r="O50" i="2"/>
  <c r="H32" i="7"/>
  <c r="H40" i="7"/>
  <c r="H51" i="7" s="1"/>
  <c r="H38" i="7"/>
  <c r="J31" i="7"/>
  <c r="G23" i="8"/>
  <c r="I31" i="7"/>
  <c r="F23" i="8"/>
  <c r="G32" i="7"/>
  <c r="G38" i="7"/>
  <c r="G40" i="7"/>
  <c r="G51" i="7" s="1"/>
  <c r="L30" i="2"/>
  <c r="L32" i="2" s="1"/>
  <c r="L51" i="2"/>
  <c r="N103" i="2"/>
  <c r="N115" i="2" s="1"/>
  <c r="Q28" i="2"/>
  <c r="H22" i="8" s="1"/>
  <c r="Q52" i="2"/>
  <c r="H24" i="8" s="1"/>
  <c r="O28" i="2"/>
  <c r="F22" i="8" s="1"/>
  <c r="O52" i="2"/>
  <c r="F24" i="8" s="1"/>
  <c r="M51" i="2"/>
  <c r="M103" i="2"/>
  <c r="M115" i="2" s="1"/>
  <c r="P52" i="2"/>
  <c r="G24" i="8" s="1"/>
  <c r="P28" i="2"/>
  <c r="G22" i="8" s="1"/>
  <c r="I38" i="7" l="1"/>
  <c r="I40" i="7"/>
  <c r="I51" i="7" s="1"/>
  <c r="I32" i="7"/>
  <c r="J38" i="7"/>
  <c r="J40" i="7"/>
  <c r="J51" i="7" s="1"/>
  <c r="J32" i="7"/>
  <c r="M133" i="2"/>
  <c r="L103" i="2"/>
  <c r="L115" i="2" s="1"/>
  <c r="O30" i="2"/>
  <c r="O32" i="2" s="1"/>
  <c r="O51" i="2"/>
  <c r="Q30" i="2"/>
  <c r="Q32" i="2" s="1"/>
  <c r="Q51" i="2"/>
  <c r="N133" i="2"/>
  <c r="P30" i="2"/>
  <c r="P32" i="2" s="1"/>
  <c r="P51" i="2"/>
  <c r="O103" i="2" l="1"/>
  <c r="O115" i="2" s="1"/>
  <c r="L133" i="2"/>
  <c r="Q103" i="2"/>
  <c r="Q115" i="2" s="1"/>
  <c r="Q133" i="2" s="1"/>
  <c r="P103" i="2"/>
  <c r="P115" i="2" s="1"/>
  <c r="P133" i="2" l="1"/>
  <c r="O133" i="2"/>
  <c r="R32" i="2" l="1"/>
  <c r="I4" i="8"/>
  <c r="I5" i="8" s="1"/>
  <c r="I7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Oscar Settje</author>
  </authors>
  <commentList>
    <comment ref="B2" authorId="0" shapeId="0" xr:uid="{598B5F8B-83E8-40C7-9BD3-1CEFEFAABFFC}">
      <text>
        <r>
          <rPr>
            <b/>
            <sz val="9"/>
            <color indexed="81"/>
            <rFont val="Tahoma"/>
            <family val="2"/>
          </rPr>
          <t>Oscar Settje:</t>
        </r>
        <r>
          <rPr>
            <sz val="9"/>
            <color indexed="81"/>
            <rFont val="Tahoma"/>
            <family val="2"/>
          </rPr>
          <t xml:space="preserve">
Rundungsfehler
</t>
        </r>
      </text>
    </comment>
    <comment ref="Q52" authorId="0" shapeId="0" xr:uid="{D3D99A64-EF33-466A-B9AF-ACAD3542991D}">
      <text>
        <r>
          <rPr>
            <b/>
            <sz val="9"/>
            <color indexed="81"/>
            <rFont val="Tahoma"/>
            <family val="2"/>
          </rPr>
          <t>Oscar Settje:</t>
        </r>
        <r>
          <rPr>
            <sz val="9"/>
            <color indexed="81"/>
            <rFont val="Tahoma"/>
            <family val="2"/>
          </rPr>
          <t xml:space="preserve">
25% Corporate Tax In France</t>
        </r>
      </text>
    </comment>
    <comment ref="R52" authorId="0" shapeId="0" xr:uid="{04A3E990-FD1E-4A78-ADA3-CF71886A5907}">
      <text>
        <r>
          <rPr>
            <b/>
            <sz val="9"/>
            <color indexed="81"/>
            <rFont val="Tahoma"/>
            <family val="2"/>
          </rPr>
          <t>Oscar Settje:</t>
        </r>
        <r>
          <rPr>
            <sz val="9"/>
            <color indexed="81"/>
            <rFont val="Tahoma"/>
            <family val="2"/>
          </rPr>
          <t xml:space="preserve">
25% Corporate Tax In France</t>
        </r>
      </text>
    </comment>
    <comment ref="S52" authorId="0" shapeId="0" xr:uid="{CDBE45AD-E83F-4924-B3E8-3562444ADED4}">
      <text>
        <r>
          <rPr>
            <b/>
            <sz val="9"/>
            <color indexed="81"/>
            <rFont val="Tahoma"/>
            <family val="2"/>
          </rPr>
          <t>Oscar Settje:</t>
        </r>
        <r>
          <rPr>
            <sz val="9"/>
            <color indexed="81"/>
            <rFont val="Tahoma"/>
            <family val="2"/>
          </rPr>
          <t xml:space="preserve">
25% Corporate Tax In France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tc={28C1DA04-5C4B-4635-8E1B-7C7C8223BEAB}</author>
  </authors>
  <commentList>
    <comment ref="K31" authorId="0" shapeId="0" xr:uid="{28C1DA04-5C4B-4635-8E1B-7C7C8223BEAB}">
      <text>
        <t>[Threaded comment]
Your version of Excel allows you to read this threaded comment; however, any edits to it will get removed if the file is opened in a newer version of Excel. Learn more: https://go.microsoft.com/fwlink/?linkid=870924
Comment:
    At constant fx rate +5,6%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<sst xmlns="http://schemas.openxmlformats.org/spreadsheetml/2006/main" count="462" uniqueCount="380">
  <si>
    <t>Main</t>
  </si>
  <si>
    <t>Price</t>
  </si>
  <si>
    <t>MC</t>
  </si>
  <si>
    <t>Cash</t>
  </si>
  <si>
    <t xml:space="preserve">Debt </t>
  </si>
  <si>
    <t>EV</t>
  </si>
  <si>
    <t>FY18</t>
  </si>
  <si>
    <t>FY19</t>
  </si>
  <si>
    <t>FY20</t>
  </si>
  <si>
    <t>FY21</t>
  </si>
  <si>
    <t>FY22</t>
  </si>
  <si>
    <t>FY23</t>
  </si>
  <si>
    <t>x</t>
  </si>
  <si>
    <t>Leather Goods and Saddlery</t>
  </si>
  <si>
    <t>Ready to Wear and Accesoires</t>
  </si>
  <si>
    <t>Silk and Textiles</t>
  </si>
  <si>
    <t>Other Hermes Sectors</t>
  </si>
  <si>
    <t>Perfume and Beauty</t>
  </si>
  <si>
    <t xml:space="preserve">Watches </t>
  </si>
  <si>
    <t>Other Prodcuts</t>
  </si>
  <si>
    <t>in Mio EUR</t>
  </si>
  <si>
    <t>Revenues</t>
  </si>
  <si>
    <t>COGS</t>
  </si>
  <si>
    <t>Gross Profit</t>
  </si>
  <si>
    <t>SGA</t>
  </si>
  <si>
    <t>Other Income and Expenses</t>
  </si>
  <si>
    <t>Operating Profit</t>
  </si>
  <si>
    <t>Net Financial Income</t>
  </si>
  <si>
    <t>Pretax Profit</t>
  </si>
  <si>
    <t>Tax Expense</t>
  </si>
  <si>
    <t>Net Income</t>
  </si>
  <si>
    <t xml:space="preserve">Shares </t>
  </si>
  <si>
    <t>EPS</t>
  </si>
  <si>
    <t>Net Icome from Associates</t>
  </si>
  <si>
    <t>Non-Controlling Interest</t>
  </si>
  <si>
    <t>Income attributable to Owners</t>
  </si>
  <si>
    <t>Recurring Operating Income</t>
  </si>
  <si>
    <t>Other non-occuring expenses</t>
  </si>
  <si>
    <t>Revenue Growth</t>
  </si>
  <si>
    <t>Gross-Margin</t>
  </si>
  <si>
    <t>Operating-Margin</t>
  </si>
  <si>
    <t>Net-Margin</t>
  </si>
  <si>
    <t>Tax-Rate</t>
  </si>
  <si>
    <t>Cash and Cash Equivalents</t>
  </si>
  <si>
    <t>Goodwill</t>
  </si>
  <si>
    <t>Intangible Assets</t>
  </si>
  <si>
    <t>Right-of Use Asset</t>
  </si>
  <si>
    <t>PP&amp;E</t>
  </si>
  <si>
    <t>Investment Property</t>
  </si>
  <si>
    <t>Financial Assets</t>
  </si>
  <si>
    <t>Investments in Associates</t>
  </si>
  <si>
    <t>Loans and Deposits</t>
  </si>
  <si>
    <t>Deffered Tax Assets</t>
  </si>
  <si>
    <t>Other non-current Assets</t>
  </si>
  <si>
    <t>Total non-current Assets</t>
  </si>
  <si>
    <t>Inventories and work in progress</t>
  </si>
  <si>
    <t>Trade and other receivables</t>
  </si>
  <si>
    <t>Current Tax Receivables</t>
  </si>
  <si>
    <t>Other Current Assets</t>
  </si>
  <si>
    <t>Financial Derivates</t>
  </si>
  <si>
    <t>Total Current Assets</t>
  </si>
  <si>
    <t>Total Assets</t>
  </si>
  <si>
    <t>Share Capital</t>
  </si>
  <si>
    <t>Share Premium</t>
  </si>
  <si>
    <t>Treassury Shares</t>
  </si>
  <si>
    <t>Reserves</t>
  </si>
  <si>
    <t>Forreign Currency Adjustments</t>
  </si>
  <si>
    <t>Revaluation Adjustments</t>
  </si>
  <si>
    <t>Net Income attrutible to Owners</t>
  </si>
  <si>
    <t>Equity</t>
  </si>
  <si>
    <t>Non-Controlling Assets</t>
  </si>
  <si>
    <t>Non-Current Provisions</t>
  </si>
  <si>
    <t>Non-Current Lease Liabilties</t>
  </si>
  <si>
    <t>Non-Current Borrowings</t>
  </si>
  <si>
    <t>Non-Current Post Employment Benefits</t>
  </si>
  <si>
    <t>Deffered Tax Liabilities</t>
  </si>
  <si>
    <t>Other Non-Current Liabilities</t>
  </si>
  <si>
    <t>Total Non-Current Liabilities</t>
  </si>
  <si>
    <t>Current Borrowings</t>
  </si>
  <si>
    <t>Current Lease Liabilties</t>
  </si>
  <si>
    <t>Current Provisions</t>
  </si>
  <si>
    <t>Current Post Employment Benefits</t>
  </si>
  <si>
    <t>Trade and other payables</t>
  </si>
  <si>
    <t>Current Tax Liabilities</t>
  </si>
  <si>
    <t>Other Current Liabilities</t>
  </si>
  <si>
    <t>Total Current Liabilities</t>
  </si>
  <si>
    <t>Total Equity &amp; Liabilities</t>
  </si>
  <si>
    <t>Total Liabilites</t>
  </si>
  <si>
    <t>Net Income attrutible to owners</t>
  </si>
  <si>
    <t>D&amp;A</t>
  </si>
  <si>
    <t>Exchange and Value Adjustments</t>
  </si>
  <si>
    <t>Change in Provisions</t>
  </si>
  <si>
    <t>Net Income from Associates</t>
  </si>
  <si>
    <t>Net Income attrutible to non controlling</t>
  </si>
  <si>
    <t>Capital Gains/loss</t>
  </si>
  <si>
    <t>Deffered Tax Expense</t>
  </si>
  <si>
    <t>Accrued Expenses</t>
  </si>
  <si>
    <t xml:space="preserve">Dividend Income </t>
  </si>
  <si>
    <t>Other</t>
  </si>
  <si>
    <t>Change in WC</t>
  </si>
  <si>
    <t>CFFO</t>
  </si>
  <si>
    <t>CapEx</t>
  </si>
  <si>
    <t>Acquisitions of consolidated shares</t>
  </si>
  <si>
    <t>Acquisitions of financial assets</t>
  </si>
  <si>
    <t>Disposal of operating assets</t>
  </si>
  <si>
    <t>Disposal of consolidated shares</t>
  </si>
  <si>
    <t>Disposal of financial assets</t>
  </si>
  <si>
    <t>Change in Payables and Receivables</t>
  </si>
  <si>
    <t>Dividends received</t>
  </si>
  <si>
    <t>CFFI</t>
  </si>
  <si>
    <t>Dividends paid</t>
  </si>
  <si>
    <t>Repayment of lease liabilities</t>
  </si>
  <si>
    <t>Repurchase of stock</t>
  </si>
  <si>
    <t>Issuance of Borrowings</t>
  </si>
  <si>
    <t>Repayment of borrowings</t>
  </si>
  <si>
    <t>CFFF</t>
  </si>
  <si>
    <t>Foreign Currency exchange rate adjustments</t>
  </si>
  <si>
    <t>Change in Cash</t>
  </si>
  <si>
    <t>Cash BOP</t>
  </si>
  <si>
    <t>Cash EOP</t>
  </si>
  <si>
    <t>FY24</t>
  </si>
  <si>
    <t>Ratios</t>
  </si>
  <si>
    <t>Return on Capital Employed (ROCE)</t>
  </si>
  <si>
    <t>Return on Capital Invested (ROIC)</t>
  </si>
  <si>
    <t>Retention Rate</t>
  </si>
  <si>
    <t>Reinvestment Rate</t>
  </si>
  <si>
    <t>Gearing</t>
  </si>
  <si>
    <t>Net Debt / EBITDA</t>
  </si>
  <si>
    <t>Cash Burn Rate</t>
  </si>
  <si>
    <t>Market Cap</t>
  </si>
  <si>
    <t>PEG Ratio</t>
  </si>
  <si>
    <t>EV/EBITDA</t>
  </si>
  <si>
    <t>EV/EBIT</t>
  </si>
  <si>
    <t>EV/FCF</t>
  </si>
  <si>
    <t>EV/Sales</t>
  </si>
  <si>
    <t>H123</t>
  </si>
  <si>
    <t>H223</t>
  </si>
  <si>
    <t>H124</t>
  </si>
  <si>
    <t>H224</t>
  </si>
  <si>
    <t>Segment</t>
  </si>
  <si>
    <t>% of Rev</t>
  </si>
  <si>
    <t>Costumers</t>
  </si>
  <si>
    <t>IR</t>
  </si>
  <si>
    <t>RMS</t>
  </si>
  <si>
    <t>Shares</t>
  </si>
  <si>
    <t>Competitors</t>
  </si>
  <si>
    <t xml:space="preserve">Employee Count: </t>
  </si>
  <si>
    <t>Managment:</t>
  </si>
  <si>
    <t>CEO</t>
  </si>
  <si>
    <t>Axel Dumas</t>
  </si>
  <si>
    <t>France</t>
  </si>
  <si>
    <t>Europe</t>
  </si>
  <si>
    <t>Japan</t>
  </si>
  <si>
    <t>Asia Pacific</t>
  </si>
  <si>
    <t xml:space="preserve">America </t>
  </si>
  <si>
    <t>Other (middle east)</t>
  </si>
  <si>
    <t>Notes</t>
  </si>
  <si>
    <t>FY24: 2.300 new jobs (1.300 in France)</t>
  </si>
  <si>
    <t>Q424</t>
  </si>
  <si>
    <t>Ticker</t>
  </si>
  <si>
    <t>Share Price</t>
  </si>
  <si>
    <t>Date</t>
  </si>
  <si>
    <t>Fair Share Price</t>
  </si>
  <si>
    <t>Scneario DCF Price</t>
  </si>
  <si>
    <t>End of FY</t>
  </si>
  <si>
    <t>Implied Upside</t>
  </si>
  <si>
    <t>Assumptions</t>
  </si>
  <si>
    <t>Switches</t>
  </si>
  <si>
    <t>Conservative Case</t>
  </si>
  <si>
    <t>Base Case</t>
  </si>
  <si>
    <t>Optimistic Case</t>
  </si>
  <si>
    <t>Assuptions</t>
  </si>
  <si>
    <t>Year</t>
  </si>
  <si>
    <t>Metic</t>
  </si>
  <si>
    <t>Revenue</t>
  </si>
  <si>
    <t xml:space="preserve">Revenue </t>
  </si>
  <si>
    <t>EBIT</t>
  </si>
  <si>
    <t>WACC</t>
  </si>
  <si>
    <t>Implied Share Price</t>
  </si>
  <si>
    <t>TGR</t>
  </si>
  <si>
    <t>Probability</t>
  </si>
  <si>
    <t>ROIC</t>
  </si>
  <si>
    <t>Implied Share Price * p</t>
  </si>
  <si>
    <t>Valuation</t>
  </si>
  <si>
    <t>RONIC</t>
  </si>
  <si>
    <t>Model</t>
  </si>
  <si>
    <t>Growth (%)</t>
  </si>
  <si>
    <t xml:space="preserve">Base Case </t>
  </si>
  <si>
    <t>Optimisitic Case</t>
  </si>
  <si>
    <t>% of Sales</t>
  </si>
  <si>
    <t>Taxes</t>
  </si>
  <si>
    <t>Tax Rate (%)</t>
  </si>
  <si>
    <t>Nopat</t>
  </si>
  <si>
    <t>D&amp;A and other non-cash Expenses</t>
  </si>
  <si>
    <t>Unlevered Free Cashflow</t>
  </si>
  <si>
    <t>Present Value of unlevered FC</t>
  </si>
  <si>
    <t>Discount Period</t>
  </si>
  <si>
    <t>Sum of Present Value</t>
  </si>
  <si>
    <t>Terminal Value</t>
  </si>
  <si>
    <t>=&gt; CV(t) = NOPAT(t+1)*(1-g/RONIC)/(WACC - g) =&gt; equal pertuity formula: CV = FCF*(1+g) /(WACC-g)</t>
  </si>
  <si>
    <t>Present Value of TV</t>
  </si>
  <si>
    <t>Enterprise Value</t>
  </si>
  <si>
    <t>(+) Cash and other non-operating assets</t>
  </si>
  <si>
    <t>(-) Debt and other non-equity claims</t>
  </si>
  <si>
    <t>Equity Value</t>
  </si>
  <si>
    <t xml:space="preserve">Number of Shares </t>
  </si>
  <si>
    <t>Sensitivity Analysis</t>
  </si>
  <si>
    <t>ROINC</t>
  </si>
  <si>
    <t>Hermés DCF</t>
  </si>
  <si>
    <t>https://quartr.com/insights/business-philosophy/hermes-two-centuries-of-craftsmanship-and-excellence</t>
  </si>
  <si>
    <t>Assuming leadership in 1978 Jean-Louis Dumas transformed th company in a global luxury brand</t>
  </si>
  <si>
    <t>Emile Maurice son of Thierry Hermés -&gt; 3 daughters: married into three families: Guerrand, Puech, Dumas</t>
  </si>
  <si>
    <t>History:</t>
  </si>
  <si>
    <t>Founded 1837 by Thierry Hermés -&gt; leather goods for european royals</t>
  </si>
  <si>
    <t xml:space="preserve">Every heir of Hermés began their career as in apprentice in production </t>
  </si>
  <si>
    <t xml:space="preserve">2003 -&gt; silk and textiles was the most important, now today leather goods </t>
  </si>
  <si>
    <t>In 2011 the Dumas family prevented a takeover by LVMH by pooling their shares: over 50 descendants pooled their shares into a holding -&gt; 52% of voting shares</t>
  </si>
  <si>
    <t xml:space="preserve">Since 2014 Axel Dumas -&gt; CEO in the 6. Generation </t>
  </si>
  <si>
    <t>Iconic Models: Birkin bag(Starting price: 8.850), Kelly Bag (Starting price: 8.450)</t>
  </si>
  <si>
    <t>Founded</t>
  </si>
  <si>
    <t>Executive Chairman</t>
  </si>
  <si>
    <t>Hermès</t>
  </si>
  <si>
    <t>Henri-Louis Bauer</t>
  </si>
  <si>
    <t>CFO</t>
  </si>
  <si>
    <t xml:space="preserve">Eric du Halgouet </t>
  </si>
  <si>
    <t>Artistiv EVP</t>
  </si>
  <si>
    <t>Pierre-Alexis Dumas</t>
  </si>
  <si>
    <t>CCO</t>
  </si>
  <si>
    <t>Charlotte David</t>
  </si>
  <si>
    <t>CSDO</t>
  </si>
  <si>
    <t>Floarian Craen</t>
  </si>
  <si>
    <t>CSAO</t>
  </si>
  <si>
    <t>Olivier Fournier</t>
  </si>
  <si>
    <t>CISO</t>
  </si>
  <si>
    <t>Wilfried Guerrand</t>
  </si>
  <si>
    <t>CHRO</t>
  </si>
  <si>
    <t>Sharon MacBeath</t>
  </si>
  <si>
    <t>CMDO</t>
  </si>
  <si>
    <t>Guillame de Seynes</t>
  </si>
  <si>
    <t>Chairwoman</t>
  </si>
  <si>
    <t>Agnès de Villers</t>
  </si>
  <si>
    <t>Design Senior Executive:</t>
  </si>
  <si>
    <t>Watches</t>
  </si>
  <si>
    <t>Ready to Wear W</t>
  </si>
  <si>
    <t>Julien Faurie</t>
  </si>
  <si>
    <t>Shoes</t>
  </si>
  <si>
    <t>Leather Goods</t>
  </si>
  <si>
    <t>Ready to Wear M</t>
  </si>
  <si>
    <t>Home</t>
  </si>
  <si>
    <t>Accessoires</t>
  </si>
  <si>
    <t>Jewellery</t>
  </si>
  <si>
    <t>Alix Coindreau</t>
  </si>
  <si>
    <t>Laurent Dordet</t>
  </si>
  <si>
    <t>Cielo Dunbavand</t>
  </si>
  <si>
    <t>Ly Lallier</t>
  </si>
  <si>
    <t>Véronique Nichanian</t>
  </si>
  <si>
    <t>Anne-Sarah Panhard</t>
  </si>
  <si>
    <t>Élodie Potdevin</t>
  </si>
  <si>
    <t xml:space="preserve">Ambre Pulcini </t>
  </si>
  <si>
    <t>Shares o/s</t>
  </si>
  <si>
    <t>Net Debt</t>
  </si>
  <si>
    <t>Value Driver</t>
  </si>
  <si>
    <t>Capital Emloyed</t>
  </si>
  <si>
    <t>=Long Term Assets + Working Capital (Exclusive of cash)-Accounts Payables</t>
  </si>
  <si>
    <t>Invested Capital</t>
  </si>
  <si>
    <t>=Net Working Capital + PP&amp;E + Other Net Operating Assets (net of Liabilties) + (Intangibles)</t>
  </si>
  <si>
    <t>Invested Capital (exl. Intangibles)</t>
  </si>
  <si>
    <t>Total Funds Invested</t>
  </si>
  <si>
    <t>Invested Capital + Non-Operating Assets</t>
  </si>
  <si>
    <t>NOPAT</t>
  </si>
  <si>
    <t>EBITA * (1-Marginal Tax Rate)</t>
  </si>
  <si>
    <t>Net Investment</t>
  </si>
  <si>
    <t>=Invested Capital (t+1)-Invested Capital (t)</t>
  </si>
  <si>
    <t>FCF</t>
  </si>
  <si>
    <t>=NOPAT + non-cash Expenses - Investments in Invested Capital</t>
  </si>
  <si>
    <t>Investment Rate</t>
  </si>
  <si>
    <t>=Net Investment/NOPAT</t>
  </si>
  <si>
    <t>Economic Profit</t>
  </si>
  <si>
    <t>=Invested Capital *(ROIC-WACC)</t>
  </si>
  <si>
    <t>Efficency-Ratios</t>
  </si>
  <si>
    <t>Capital Turnover</t>
  </si>
  <si>
    <t>=Revenue/Total Assets</t>
  </si>
  <si>
    <t>Return on Equity (ROE)</t>
  </si>
  <si>
    <t>=Net Income/Book Value of Equity</t>
  </si>
  <si>
    <t>=EBIT/Capital Employed</t>
  </si>
  <si>
    <t>=NOPAT/Invested Capital</t>
  </si>
  <si>
    <t>ROIC without Intangibles</t>
  </si>
  <si>
    <t>=NOPAT/(Invested Capital exclusive of Intangibles)</t>
  </si>
  <si>
    <t>Decomposed ROIC</t>
  </si>
  <si>
    <t>= ROIC = (1-operating cash tax)* (EBITA/Revenues) * (Revenue/Invested Capital)</t>
  </si>
  <si>
    <t>=1 - Dividends/Net Income</t>
  </si>
  <si>
    <t>=Net CapEx + Change in WC / EBIT * (1-t)</t>
  </si>
  <si>
    <t>Epected Growth in Net Income</t>
  </si>
  <si>
    <t>=ROE * Retention Rate</t>
  </si>
  <si>
    <t>Expected Growth in NOPAT</t>
  </si>
  <si>
    <t>=ROIC * Reinvestment Rate</t>
  </si>
  <si>
    <t>Finacial Stability Ratios</t>
  </si>
  <si>
    <t>Equity/Debt Ratio</t>
  </si>
  <si>
    <t>=Book Value of Equtiy/Book Value of Debt</t>
  </si>
  <si>
    <t>=(Debt - Cash (Net Debt))/Book Value of Equity</t>
  </si>
  <si>
    <t>Interest Coverage Ratio</t>
  </si>
  <si>
    <t>=EBIT/Interest Expenses</t>
  </si>
  <si>
    <t>=Net Debt/EBITDA</t>
  </si>
  <si>
    <t>=Book Value of Equity/Absolute value of Loss</t>
  </si>
  <si>
    <t>WC-Managment Ratios</t>
  </si>
  <si>
    <t>Debitor-Duration</t>
  </si>
  <si>
    <t>=Accounts Receivables/Revenue*360</t>
  </si>
  <si>
    <t>Creditor-Duration</t>
  </si>
  <si>
    <t>=Accounts Payable/Revenue*360</t>
  </si>
  <si>
    <t>Inventory Intensity</t>
  </si>
  <si>
    <t>=Inventory/Balance Sheet Total</t>
  </si>
  <si>
    <t>Invetory Turnover</t>
  </si>
  <si>
    <t>=Cogs/Inventory</t>
  </si>
  <si>
    <t>Storage-Duration</t>
  </si>
  <si>
    <t>=360/Inventory Turnover</t>
  </si>
  <si>
    <t>Cash Conversion Cycle</t>
  </si>
  <si>
    <t>=Debitor Duration + Storage Duration - Creditor Duration</t>
  </si>
  <si>
    <t>Multipliers</t>
  </si>
  <si>
    <t>Equitymultiples</t>
  </si>
  <si>
    <t>P/E Ratio</t>
  </si>
  <si>
    <t>=Share Price/EPS</t>
  </si>
  <si>
    <t>=P/E Ratio / Growth</t>
  </si>
  <si>
    <t>P/B Ratio</t>
  </si>
  <si>
    <t>=Market Cap/Book Vakue of Equity</t>
  </si>
  <si>
    <t>P/TB Ratio</t>
  </si>
  <si>
    <t>=Market Cap / Tangible Book Value</t>
  </si>
  <si>
    <t>P/Cf Ratio</t>
  </si>
  <si>
    <t>=Share Price/Cashflow per share</t>
  </si>
  <si>
    <t>P/R Ratio</t>
  </si>
  <si>
    <t>=Share Price/Revenue per Share</t>
  </si>
  <si>
    <t>Entitymultiples</t>
  </si>
  <si>
    <t>=EV/EBITDA</t>
  </si>
  <si>
    <t>=EV/EBIT</t>
  </si>
  <si>
    <t>=EV/FCF</t>
  </si>
  <si>
    <t>=EV/Revenue</t>
  </si>
  <si>
    <t>France Growth</t>
  </si>
  <si>
    <t>Europe Growth</t>
  </si>
  <si>
    <t>Japan Growth</t>
  </si>
  <si>
    <t>Asia Pacific Growth</t>
  </si>
  <si>
    <t>America Growth</t>
  </si>
  <si>
    <t>Other Growth</t>
  </si>
  <si>
    <t>Return on Assets (ROA)</t>
  </si>
  <si>
    <t>Q124</t>
  </si>
  <si>
    <t>Q224</t>
  </si>
  <si>
    <t>Q324</t>
  </si>
  <si>
    <t>Q125</t>
  </si>
  <si>
    <t>Q225</t>
  </si>
  <si>
    <t>Q325</t>
  </si>
  <si>
    <t>Q425</t>
  </si>
  <si>
    <t>France Revenue</t>
  </si>
  <si>
    <t>Europe Revenue</t>
  </si>
  <si>
    <t>Japan Revenue</t>
  </si>
  <si>
    <t>APAC Revenue</t>
  </si>
  <si>
    <t>Americas Revenue</t>
  </si>
  <si>
    <t>Other (Middle East)</t>
  </si>
  <si>
    <t>Leather Goods &amp; Saddlery</t>
  </si>
  <si>
    <t>Ready-to-Wear &amp; Accessoires</t>
  </si>
  <si>
    <t>Others</t>
  </si>
  <si>
    <t>Perfume &amp; Beauty</t>
  </si>
  <si>
    <t>Other products</t>
  </si>
  <si>
    <t>Total Revenue</t>
  </si>
  <si>
    <t>APAC Growth</t>
  </si>
  <si>
    <t>Americas Growth</t>
  </si>
  <si>
    <t>Middle East Growth</t>
  </si>
  <si>
    <t>Leather Goods Growth</t>
  </si>
  <si>
    <t>Ready to Wear Growth</t>
  </si>
  <si>
    <t>Silk &amp; Textiles Growth</t>
  </si>
  <si>
    <t>Others Growth</t>
  </si>
  <si>
    <t>Beauty Growth</t>
  </si>
  <si>
    <t>Watches Growth</t>
  </si>
  <si>
    <t>Other Products Growth</t>
  </si>
  <si>
    <t>H125</t>
  </si>
  <si>
    <t>H225</t>
  </si>
  <si>
    <t>FY25</t>
  </si>
  <si>
    <t>Q126</t>
  </si>
  <si>
    <t>Q226</t>
  </si>
  <si>
    <t>Q326</t>
  </si>
  <si>
    <t>Q426</t>
  </si>
  <si>
    <t>H126</t>
  </si>
  <si>
    <t>H226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</si>
</sst>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;[Red]#,##0.0"/>
    <numFmt numFmtId="165" formatCode="#,##0;[Red]#,##0"/>
    <numFmt numFmtId="166" formatCode="#,##0;\(#,##0\)"/>
    <numFmt numFmtId="167" formatCode="#,##0.0"/>
    <numFmt numFmtId="168" formatCode="0.0%"/>
    <numFmt numFmtId="169" formatCode="&quot;FY&quot;0&quot;A&quot;"/>
    <numFmt numFmtId="170" formatCode="0.0"/>
    <numFmt numFmtId="171" formatCode="\F\Y#,##0"/>
    <numFmt numFmtId="172" formatCode="#,##0.0;\(#,##0.0\)"/>
  </numFmts>
  <fonts count="19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u/>
      <sz val="10"/>
      <color theme="1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i/>
      <sz val="10"/>
      <color theme="1"/>
      <name val="Arial"/>
      <family val="2"/>
    </font>
    <font>
      <sz val="10"/>
      <color theme="0" tint="-0.1499984740745262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1E9D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96">
    <xf numFmtId="0" fontId="0" fillId="0" borderId="0" xfId="0"/>
    <xf numFmtId="0" fontId="10" fillId="0" borderId="0" xfId="0" applyFont="1"/>
    <xf numFmtId="0" fontId="4" fillId="0" borderId="0" xfId="0" applyFont="1"/>
    <xf numFmtId="165" fontId="4" fillId="0" borderId="0" xfId="0" applyNumberFormat="1" applyFont="1"/>
    <xf numFmtId="17" fontId="4" fillId="0" borderId="0" xfId="0" applyNumberFormat="1" applyFont="1"/>
    <xf numFmtId="0" fontId="12" fillId="0" borderId="0" xfId="1" applyFont="1"/>
    <xf numFmtId="166" fontId="4" fillId="0" borderId="0" xfId="0" applyNumberFormat="1" applyFont="1"/>
    <xf numFmtId="0" fontId="13" fillId="0" borderId="2" xfId="0" applyFont="1" applyBorder="1"/>
    <xf numFmtId="0" fontId="13" fillId="0" borderId="3" xfId="0" applyFont="1" applyBorder="1"/>
    <xf numFmtId="0" fontId="13" fillId="0" borderId="4" xfId="0" applyFont="1" applyBorder="1"/>
    <xf numFmtId="0" fontId="4" fillId="0" borderId="5" xfId="0" applyFont="1" applyBorder="1"/>
    <xf numFmtId="9" fontId="4" fillId="0" borderId="6" xfId="2" applyFont="1" applyBorder="1"/>
    <xf numFmtId="0" fontId="4" fillId="0" borderId="7" xfId="0" applyFont="1" applyBorder="1"/>
    <xf numFmtId="0" fontId="4" fillId="0" borderId="8" xfId="0" applyFont="1" applyBorder="1"/>
    <xf numFmtId="9" fontId="4" fillId="0" borderId="0" xfId="2" applyFont="1"/>
    <xf numFmtId="0" fontId="4" fillId="0" borderId="9" xfId="0" applyFont="1" applyBorder="1"/>
    <xf numFmtId="3" fontId="4" fillId="0" borderId="0" xfId="0" applyNumberFormat="1" applyFont="1"/>
    <xf numFmtId="0" fontId="14" fillId="0" borderId="0" xfId="0" applyFont="1"/>
    <xf numFmtId="0" fontId="4" fillId="0" borderId="10" xfId="0" applyFont="1" applyBorder="1"/>
    <xf numFmtId="9" fontId="4" fillId="0" borderId="1" xfId="2" applyFont="1" applyBorder="1"/>
    <xf numFmtId="0" fontId="4" fillId="0" borderId="11" xfId="0" applyFont="1" applyBorder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166" fontId="10" fillId="0" borderId="0" xfId="0" applyNumberFormat="1" applyFont="1"/>
    <xf numFmtId="172" fontId="4" fillId="0" borderId="0" xfId="0" applyNumberFormat="1" applyFont="1"/>
    <xf numFmtId="0" fontId="10" fillId="0" borderId="0" xfId="0" applyFont="1" applyAlignment="1">
      <alignment horizontal="center"/>
    </xf>
    <xf numFmtId="9" fontId="10" fillId="0" borderId="0" xfId="2" applyFont="1"/>
    <xf numFmtId="164" fontId="10" fillId="0" borderId="0" xfId="0" applyNumberFormat="1" applyFont="1"/>
    <xf numFmtId="165" fontId="10" fillId="0" borderId="0" xfId="0" applyNumberFormat="1" applyFont="1"/>
    <xf numFmtId="0" fontId="15" fillId="0" borderId="0" xfId="0" applyFont="1"/>
    <xf numFmtId="171" fontId="16" fillId="0" borderId="0" xfId="0" applyNumberFormat="1" applyFont="1" applyAlignment="1">
      <alignment horizontal="right"/>
    </xf>
    <xf numFmtId="0" fontId="16" fillId="0" borderId="0" xfId="0" applyFont="1"/>
    <xf numFmtId="0" fontId="4" fillId="0" borderId="0" xfId="0" applyFont="1" applyAlignment="1">
      <alignment horizontal="center"/>
    </xf>
    <xf numFmtId="0" fontId="4" fillId="0" borderId="0" xfId="0" quotePrefix="1" applyFont="1"/>
    <xf numFmtId="9" fontId="4" fillId="0" borderId="0" xfId="0" applyNumberFormat="1" applyFont="1"/>
    <xf numFmtId="2" fontId="4" fillId="0" borderId="0" xfId="0" applyNumberFormat="1" applyFont="1" applyAlignment="1">
      <alignment horizontal="right"/>
    </xf>
    <xf numFmtId="2" fontId="4" fillId="0" borderId="0" xfId="0" applyNumberFormat="1" applyFont="1"/>
    <xf numFmtId="164" fontId="4" fillId="0" borderId="0" xfId="0" applyNumberFormat="1" applyFont="1"/>
    <xf numFmtId="0" fontId="12" fillId="0" borderId="1" xfId="1" applyFont="1" applyBorder="1"/>
    <xf numFmtId="0" fontId="10" fillId="0" borderId="1" xfId="0" applyFont="1" applyBorder="1"/>
    <xf numFmtId="0" fontId="4" fillId="0" borderId="1" xfId="0" applyFont="1" applyBorder="1"/>
    <xf numFmtId="0" fontId="4" fillId="0" borderId="12" xfId="0" applyFont="1" applyBorder="1"/>
    <xf numFmtId="0" fontId="4" fillId="2" borderId="13" xfId="0" applyFont="1" applyFill="1" applyBorder="1" applyAlignment="1">
      <alignment horizontal="center"/>
    </xf>
    <xf numFmtId="14" fontId="4" fillId="2" borderId="13" xfId="0" applyNumberFormat="1" applyFont="1" applyFill="1" applyBorder="1" applyAlignment="1">
      <alignment horizontal="center"/>
    </xf>
    <xf numFmtId="2" fontId="4" fillId="2" borderId="13" xfId="0" applyNumberFormat="1" applyFont="1" applyFill="1" applyBorder="1" applyAlignment="1">
      <alignment horizontal="center"/>
    </xf>
    <xf numFmtId="167" fontId="4" fillId="2" borderId="14" xfId="2" applyNumberFormat="1" applyFont="1" applyFill="1" applyBorder="1" applyAlignment="1">
      <alignment horizontal="center"/>
    </xf>
    <xf numFmtId="14" fontId="4" fillId="2" borderId="14" xfId="0" applyNumberFormat="1" applyFont="1" applyFill="1" applyBorder="1" applyAlignment="1">
      <alignment horizontal="center"/>
    </xf>
    <xf numFmtId="9" fontId="4" fillId="2" borderId="14" xfId="2" applyFont="1" applyFill="1" applyBorder="1" applyAlignment="1">
      <alignment horizontal="center"/>
    </xf>
    <xf numFmtId="0" fontId="9" fillId="3" borderId="0" xfId="0" applyFont="1" applyFill="1"/>
    <xf numFmtId="0" fontId="9" fillId="4" borderId="0" xfId="0" applyFont="1" applyFill="1"/>
    <xf numFmtId="0" fontId="11" fillId="4" borderId="0" xfId="0" applyFont="1" applyFill="1"/>
    <xf numFmtId="0" fontId="13" fillId="0" borderId="0" xfId="0" applyFont="1"/>
    <xf numFmtId="0" fontId="4" fillId="2" borderId="14" xfId="0" applyFont="1" applyFill="1" applyBorder="1" applyAlignment="1">
      <alignment horizontal="center"/>
    </xf>
    <xf numFmtId="168" fontId="4" fillId="2" borderId="14" xfId="2" applyNumberFormat="1" applyFont="1" applyFill="1" applyBorder="1" applyAlignment="1">
      <alignment horizontal="center"/>
    </xf>
    <xf numFmtId="169" fontId="9" fillId="3" borderId="0" xfId="0" applyNumberFormat="1" applyFont="1" applyFill="1"/>
    <xf numFmtId="0" fontId="17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17" fillId="0" borderId="0" xfId="0" applyFont="1"/>
    <xf numFmtId="9" fontId="17" fillId="0" borderId="0" xfId="2" applyFont="1"/>
    <xf numFmtId="168" fontId="4" fillId="2" borderId="14" xfId="2" applyNumberFormat="1" applyFont="1" applyFill="1" applyBorder="1" applyAlignment="1">
      <alignment horizontal="right"/>
    </xf>
    <xf numFmtId="0" fontId="10" fillId="5" borderId="2" xfId="0" applyFont="1" applyFill="1" applyBorder="1"/>
    <xf numFmtId="0" fontId="10" fillId="5" borderId="3" xfId="0" applyFont="1" applyFill="1" applyBorder="1"/>
    <xf numFmtId="166" fontId="10" fillId="5" borderId="3" xfId="0" applyNumberFormat="1" applyFont="1" applyFill="1" applyBorder="1"/>
    <xf numFmtId="166" fontId="10" fillId="5" borderId="4" xfId="0" applyNumberFormat="1" applyFont="1" applyFill="1" applyBorder="1"/>
    <xf numFmtId="168" fontId="17" fillId="0" borderId="0" xfId="2" applyNumberFormat="1" applyFont="1"/>
    <xf numFmtId="168" fontId="17" fillId="0" borderId="0" xfId="0" applyNumberFormat="1" applyFont="1"/>
    <xf numFmtId="164" fontId="10" fillId="5" borderId="5" xfId="0" applyNumberFormat="1" applyFont="1" applyFill="1" applyBorder="1"/>
    <xf numFmtId="164" fontId="10" fillId="5" borderId="6" xfId="0" applyNumberFormat="1" applyFont="1" applyFill="1" applyBorder="1"/>
    <xf numFmtId="166" fontId="10" fillId="5" borderId="6" xfId="0" applyNumberFormat="1" applyFont="1" applyFill="1" applyBorder="1"/>
    <xf numFmtId="166" fontId="10" fillId="5" borderId="7" xfId="0" applyNumberFormat="1" applyFont="1" applyFill="1" applyBorder="1"/>
    <xf numFmtId="164" fontId="10" fillId="5" borderId="10" xfId="0" applyNumberFormat="1" applyFont="1" applyFill="1" applyBorder="1"/>
    <xf numFmtId="164" fontId="10" fillId="5" borderId="1" xfId="0" applyNumberFormat="1" applyFont="1" applyFill="1" applyBorder="1"/>
    <xf numFmtId="166" fontId="10" fillId="5" borderId="1" xfId="0" applyNumberFormat="1" applyFont="1" applyFill="1" applyBorder="1"/>
    <xf numFmtId="166" fontId="10" fillId="5" borderId="11" xfId="0" applyNumberFormat="1" applyFont="1" applyFill="1" applyBorder="1"/>
    <xf numFmtId="164" fontId="4" fillId="0" borderId="1" xfId="0" applyNumberFormat="1" applyFont="1" applyBorder="1"/>
    <xf numFmtId="164" fontId="4" fillId="0" borderId="1" xfId="0" applyNumberFormat="1" applyFont="1" applyBorder="1" applyAlignment="1">
      <alignment horizontal="right"/>
    </xf>
    <xf numFmtId="0" fontId="4" fillId="0" borderId="3" xfId="0" applyFont="1" applyBorder="1"/>
    <xf numFmtId="164" fontId="4" fillId="0" borderId="3" xfId="0" applyNumberFormat="1" applyFont="1" applyBorder="1"/>
    <xf numFmtId="164" fontId="4" fillId="0" borderId="3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right"/>
    </xf>
    <xf numFmtId="0" fontId="4" fillId="6" borderId="5" xfId="0" applyFont="1" applyFill="1" applyBorder="1"/>
    <xf numFmtId="2" fontId="18" fillId="6" borderId="6" xfId="0" applyNumberFormat="1" applyFont="1" applyFill="1" applyBorder="1"/>
    <xf numFmtId="168" fontId="9" fillId="6" borderId="6" xfId="0" applyNumberFormat="1" applyFont="1" applyFill="1" applyBorder="1"/>
    <xf numFmtId="168" fontId="9" fillId="6" borderId="0" xfId="0" applyNumberFormat="1" applyFont="1" applyFill="1"/>
    <xf numFmtId="170" fontId="4" fillId="0" borderId="0" xfId="0" applyNumberFormat="1" applyFont="1"/>
    <xf numFmtId="170" fontId="10" fillId="0" borderId="0" xfId="0" applyNumberFormat="1" applyFont="1"/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10" fillId="6" borderId="6" xfId="0" applyFont="1" applyFill="1" applyBorder="1" applyAlignment="1">
      <alignment horizontal="center"/>
    </xf>
    <xf numFmtId="0" fontId="10" fillId="6" borderId="7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/>
    </xf>
    <xf numFmtId="0" fontId="10" fillId="6" borderId="4" xfId="0" applyFont="1" applyFill="1" applyBorder="1" applyAlignment="1">
      <alignment horizontal="center"/>
    </xf>
    <xf numFmtId="0" fontId="10" fillId="6" borderId="15" xfId="0" applyFont="1" applyFill="1" applyBorder="1" applyAlignment="1">
      <alignment horizontal="center" vertical="center" textRotation="90"/>
    </xf>
    <xf numFmtId="0" fontId="10" fillId="6" borderId="16" xfId="0" applyFont="1" applyFill="1" applyBorder="1" applyAlignment="1">
      <alignment horizontal="center" vertical="center" textRotation="90"/>
    </xf>
    <xf numFmtId="0" fontId="1" fillId="0" borderId="0" xfId="0" applyFont="1" applyAlignment="1">
      <alignment horizontal="right"/>
    </xf>
    <xf numFmtId="17" fontId="1" fillId="0" borderId="0" xfId="0" applyNumberFormat="1" applyFont="1" applyAlignment="1">
      <alignment horizontal="right"/>
    </xf>
  </cellXfs>
  <cellStyles count="3">
    <cellStyle name="Hyperlink" xfId="1" builtinId="8"/>
    <cellStyle name="Normal" xfId="0" builtinId="0"/>
    <cellStyle name="Per cent" xfId="2" builtinId="5"/>
  </cellStyles>
  <dxfs count="4"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295276</xdr:colOff>
      <xdr:row>27</xdr:row>
      <xdr:rowOff>14288</xdr:rowOff>
    </xdr:from>
    <xdr:to>
      <xdr:col>2</xdr:col>
      <xdr:colOff>460777</xdr:colOff>
      <xdr:row>44</xdr:row>
      <xdr:rowOff>61913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9CF50F-87E4-87C5-2679-598D08E89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6" y="5348288"/>
          <a:ext cx="2165751" cy="2800350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457200</xdr:colOff>
      <xdr:row>27</xdr:row>
      <xdr:rowOff>14290</xdr:rowOff>
    </xdr:from>
    <xdr:to>
      <xdr:col>5</xdr:col>
      <xdr:colOff>676274</xdr:colOff>
      <xdr:row>44</xdr:row>
      <xdr:rowOff>55793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19E1F92-D1A2-4FD5-5455-7164B0755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5348290"/>
          <a:ext cx="2171699" cy="2794228"/>
        </a:xfrm>
        <a:prstGeom prst="rect">
          <a:avLst/>
        </a:prstGeom>
      </xdr:spPr>
    </xdr:pic>
    <xdr:clientData/>
  </xdr:twoCellAnchor>
  <xdr:twoCellAnchor editAs="oneCell">
    <xdr:from>
      <xdr:col>12</xdr:col>
      <xdr:colOff>414338</xdr:colOff>
      <xdr:row>0</xdr:row>
      <xdr:rowOff>57150</xdr:rowOff>
    </xdr:from>
    <xdr:to>
      <xdr:col>17</xdr:col>
      <xdr:colOff>190500</xdr:colOff>
      <xdr:row>12</xdr:row>
      <xdr:rowOff>122803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A718765-AA89-5F17-FB4C-2C17B15F3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4913" y="57150"/>
          <a:ext cx="2824162" cy="20087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</xdr:colOff>
      <xdr:row>0</xdr:row>
      <xdr:rowOff>139700</xdr:rowOff>
    </xdr:from>
    <xdr:to>
      <xdr:col>10</xdr:col>
      <xdr:colOff>38100</xdr:colOff>
      <xdr:row>62</xdr:row>
      <xdr:rowOff>22225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7556C33-D3DE-48C5-BF09-3DEB68D29BE3}"/>
            </a:ext>
          </a:extLst>
        </xdr:cNvPr>
        <xdr:cNvCxnSpPr/>
      </xdr:nvCxnSpPr>
      <xdr:spPr>
        <a:xfrm>
          <a:off x="7381875" y="139700"/>
          <a:ext cx="0" cy="99218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Oscar Settje" id="{3F6A3302-15E3-43C1-9764-E3B4B612F0E6}" userId="7ff36870b973954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31" dT="2026-04-17T15:36:04.27" personId="{3F6A3302-15E3-43C1-9764-E3B4B612F0E6}" id="{28C1DA04-5C4B-4635-8E1B-7C7C8223BEAB}">
    <text>At constant fx rate +5,6%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inance.hermes.com/e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611CB-4939-4284-BB55-E8E105429665}">
  <dimension ref="A1:Q43"/>
  <sheetViews>
    <sheetView topLeftCell="E1" zoomScale="200" zoomScaleNormal="200" workbookViewId="0">
      <selection activeCell="K3" sqref="K3"/>
    </sheetView>
  </sheetViews>
  <sheetFormatPr defaultRowHeight="12.75" x14ac:dyDescent="0.2"/>
  <cols>
    <col min="1" max="1" width="4.5703125" style="2" customWidth="1"/>
    <col min="2" max="2" width="25.42578125" style="2" bestFit="1" customWidth="1"/>
    <col min="3" max="3" width="9.140625" style="2"/>
    <col min="4" max="4" width="11" style="2" bestFit="1" customWidth="1"/>
    <col min="5" max="5" width="9.140625" style="2"/>
    <col min="6" max="6" width="12.28515625" style="2" customWidth="1"/>
    <col min="7" max="8" width="9.140625" style="2"/>
    <col min="9" max="9" width="8.85546875" style="2" bestFit="1" customWidth="1"/>
    <col min="10" max="16384" width="9.140625" style="2"/>
  </cols>
  <sheetData>
    <row r="1" spans="1:17" x14ac:dyDescent="0.2">
      <c r="A1" s="1" t="s">
        <v>221</v>
      </c>
    </row>
    <row r="2" spans="1:17" x14ac:dyDescent="0.2">
      <c r="A2" s="2" t="s">
        <v>20</v>
      </c>
      <c r="J2" s="2" t="s">
        <v>1</v>
      </c>
      <c r="K2" s="3">
        <v>1553</v>
      </c>
      <c r="L2" s="4"/>
    </row>
    <row r="3" spans="1:17" x14ac:dyDescent="0.2">
      <c r="J3" s="2" t="s">
        <v>144</v>
      </c>
      <c r="K3" s="6">
        <v>104.793239</v>
      </c>
      <c r="L3" s="95" t="s">
        <v>375</v>
      </c>
    </row>
    <row r="4" spans="1:17" x14ac:dyDescent="0.2">
      <c r="B4" s="5" t="s">
        <v>142</v>
      </c>
      <c r="J4" s="2" t="s">
        <v>2</v>
      </c>
      <c r="K4" s="6">
        <f>K2*K3</f>
        <v>162743.90016699999</v>
      </c>
    </row>
    <row r="5" spans="1:17" x14ac:dyDescent="0.2">
      <c r="B5" s="2" t="s">
        <v>143</v>
      </c>
      <c r="J5" s="2" t="s">
        <v>3</v>
      </c>
      <c r="K5" s="6">
        <v>12310</v>
      </c>
      <c r="L5" s="95" t="s">
        <v>375</v>
      </c>
    </row>
    <row r="6" spans="1:17" x14ac:dyDescent="0.2">
      <c r="J6" s="2" t="s">
        <v>4</v>
      </c>
      <c r="K6" s="6">
        <f>1+4</f>
        <v>5</v>
      </c>
      <c r="L6" s="95" t="s">
        <v>375</v>
      </c>
    </row>
    <row r="7" spans="1:17" x14ac:dyDescent="0.2">
      <c r="B7" s="7" t="s">
        <v>139</v>
      </c>
      <c r="C7" s="8" t="s">
        <v>140</v>
      </c>
      <c r="D7" s="9" t="s">
        <v>141</v>
      </c>
      <c r="E7" s="8" t="s">
        <v>145</v>
      </c>
      <c r="F7" s="9"/>
      <c r="J7" s="2" t="s">
        <v>5</v>
      </c>
      <c r="K7" s="6">
        <f>K4-K5+K6</f>
        <v>150438.90016699999</v>
      </c>
    </row>
    <row r="8" spans="1:17" x14ac:dyDescent="0.2">
      <c r="B8" s="10" t="s">
        <v>13</v>
      </c>
      <c r="C8" s="11">
        <v>0.42843816631130066</v>
      </c>
      <c r="D8" s="11"/>
      <c r="E8" s="11"/>
      <c r="F8" s="12"/>
    </row>
    <row r="9" spans="1:17" x14ac:dyDescent="0.2">
      <c r="B9" s="13" t="s">
        <v>14</v>
      </c>
      <c r="C9" s="14">
        <v>0.28811300639658849</v>
      </c>
      <c r="D9" s="14"/>
      <c r="E9" s="14"/>
      <c r="F9" s="15"/>
      <c r="J9" s="2" t="s">
        <v>146</v>
      </c>
      <c r="L9" s="16">
        <v>23242</v>
      </c>
    </row>
    <row r="10" spans="1:17" x14ac:dyDescent="0.2">
      <c r="B10" s="13" t="s">
        <v>15</v>
      </c>
      <c r="C10" s="14">
        <v>5.8102345415778252E-2</v>
      </c>
      <c r="D10" s="14"/>
      <c r="E10" s="14"/>
      <c r="F10" s="15"/>
      <c r="J10" s="2" t="s">
        <v>219</v>
      </c>
      <c r="K10" s="2">
        <v>1837</v>
      </c>
    </row>
    <row r="11" spans="1:17" x14ac:dyDescent="0.2">
      <c r="B11" s="13" t="s">
        <v>16</v>
      </c>
      <c r="C11" s="14">
        <v>0.12886460554371001</v>
      </c>
      <c r="D11" s="14"/>
      <c r="E11" s="14"/>
      <c r="F11" s="15"/>
    </row>
    <row r="12" spans="1:17" x14ac:dyDescent="0.2">
      <c r="B12" s="13" t="s">
        <v>17</v>
      </c>
      <c r="C12" s="14">
        <v>3.4514925373134331E-2</v>
      </c>
      <c r="D12" s="14"/>
      <c r="E12" s="14"/>
      <c r="F12" s="15"/>
      <c r="J12" s="17" t="s">
        <v>147</v>
      </c>
      <c r="O12" s="17" t="s">
        <v>241</v>
      </c>
    </row>
    <row r="13" spans="1:17" x14ac:dyDescent="0.2">
      <c r="B13" s="13" t="s">
        <v>18</v>
      </c>
      <c r="C13" s="14">
        <v>4.1044776119402986E-2</v>
      </c>
      <c r="D13" s="14"/>
      <c r="E13" s="14"/>
      <c r="F13" s="15"/>
      <c r="J13" s="2" t="s">
        <v>220</v>
      </c>
      <c r="L13" s="2" t="s">
        <v>222</v>
      </c>
      <c r="O13" s="2" t="s">
        <v>15</v>
      </c>
      <c r="Q13" s="2" t="s">
        <v>251</v>
      </c>
    </row>
    <row r="14" spans="1:17" x14ac:dyDescent="0.2">
      <c r="B14" s="18" t="s">
        <v>19</v>
      </c>
      <c r="C14" s="19">
        <v>2.0922174840085288E-2</v>
      </c>
      <c r="D14" s="19"/>
      <c r="E14" s="19"/>
      <c r="F14" s="20"/>
      <c r="J14" s="2" t="s">
        <v>239</v>
      </c>
      <c r="L14" s="2" t="s">
        <v>240</v>
      </c>
      <c r="O14" s="2" t="s">
        <v>242</v>
      </c>
      <c r="Q14" s="2" t="s">
        <v>252</v>
      </c>
    </row>
    <row r="15" spans="1:17" x14ac:dyDescent="0.2">
      <c r="J15" s="21" t="s">
        <v>148</v>
      </c>
      <c r="L15" s="2" t="s">
        <v>149</v>
      </c>
      <c r="O15" s="2" t="s">
        <v>243</v>
      </c>
      <c r="Q15" s="2" t="s">
        <v>253</v>
      </c>
    </row>
    <row r="16" spans="1:17" x14ac:dyDescent="0.2">
      <c r="B16" s="17" t="s">
        <v>156</v>
      </c>
      <c r="J16" s="2" t="s">
        <v>223</v>
      </c>
      <c r="L16" s="2" t="s">
        <v>224</v>
      </c>
      <c r="O16" s="2" t="s">
        <v>245</v>
      </c>
      <c r="Q16" s="2" t="s">
        <v>244</v>
      </c>
    </row>
    <row r="17" spans="2:17" x14ac:dyDescent="0.2">
      <c r="B17" s="2" t="s">
        <v>218</v>
      </c>
      <c r="J17" s="2" t="s">
        <v>225</v>
      </c>
      <c r="L17" s="2" t="s">
        <v>226</v>
      </c>
      <c r="O17" s="2" t="s">
        <v>246</v>
      </c>
      <c r="Q17" s="2" t="s">
        <v>254</v>
      </c>
    </row>
    <row r="18" spans="2:17" x14ac:dyDescent="0.2">
      <c r="B18" s="2" t="s">
        <v>157</v>
      </c>
      <c r="J18" s="2" t="s">
        <v>227</v>
      </c>
      <c r="L18" s="2" t="s">
        <v>228</v>
      </c>
      <c r="O18" s="2" t="s">
        <v>247</v>
      </c>
      <c r="Q18" s="2" t="s">
        <v>255</v>
      </c>
    </row>
    <row r="19" spans="2:17" x14ac:dyDescent="0.2">
      <c r="J19" s="2" t="s">
        <v>229</v>
      </c>
      <c r="L19" s="2" t="s">
        <v>230</v>
      </c>
      <c r="O19" s="2" t="s">
        <v>248</v>
      </c>
      <c r="Q19" s="2" t="s">
        <v>256</v>
      </c>
    </row>
    <row r="20" spans="2:17" x14ac:dyDescent="0.2">
      <c r="J20" s="2" t="s">
        <v>231</v>
      </c>
      <c r="L20" s="2" t="s">
        <v>232</v>
      </c>
      <c r="O20" s="2" t="s">
        <v>249</v>
      </c>
      <c r="Q20" s="2" t="s">
        <v>257</v>
      </c>
    </row>
    <row r="21" spans="2:17" x14ac:dyDescent="0.2">
      <c r="J21" s="2" t="s">
        <v>233</v>
      </c>
      <c r="L21" s="2" t="s">
        <v>234</v>
      </c>
      <c r="O21" s="2" t="s">
        <v>250</v>
      </c>
      <c r="Q21" s="2" t="s">
        <v>258</v>
      </c>
    </row>
    <row r="22" spans="2:17" x14ac:dyDescent="0.2">
      <c r="B22" s="17" t="s">
        <v>212</v>
      </c>
      <c r="J22" s="2" t="s">
        <v>235</v>
      </c>
      <c r="L22" s="2" t="s">
        <v>236</v>
      </c>
    </row>
    <row r="23" spans="2:17" x14ac:dyDescent="0.2">
      <c r="B23" s="2" t="s">
        <v>213</v>
      </c>
      <c r="J23" s="2" t="s">
        <v>237</v>
      </c>
      <c r="L23" s="2" t="s">
        <v>238</v>
      </c>
    </row>
    <row r="24" spans="2:17" x14ac:dyDescent="0.2">
      <c r="B24" s="2" t="s">
        <v>211</v>
      </c>
    </row>
    <row r="25" spans="2:17" x14ac:dyDescent="0.2">
      <c r="B25" s="2" t="s">
        <v>210</v>
      </c>
    </row>
    <row r="26" spans="2:17" x14ac:dyDescent="0.2">
      <c r="B26" s="2" t="s">
        <v>216</v>
      </c>
    </row>
    <row r="27" spans="2:17" x14ac:dyDescent="0.2">
      <c r="B27" s="2" t="s">
        <v>214</v>
      </c>
    </row>
    <row r="28" spans="2:17" x14ac:dyDescent="0.2">
      <c r="B28" s="2" t="s">
        <v>215</v>
      </c>
    </row>
    <row r="29" spans="2:17" x14ac:dyDescent="0.2">
      <c r="B29" s="2" t="s">
        <v>217</v>
      </c>
    </row>
    <row r="43" spans="2:2" x14ac:dyDescent="0.2">
      <c r="B43" s="2" t="s">
        <v>209</v>
      </c>
    </row>
  </sheetData>
  <hyperlinks>
    <hyperlink ref="B4" r:id="rId1" display="Hermes Investor Relations" xr:uid="{3EB190E7-33C9-4B9E-94DF-F4EA0865C3B8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309D6-3A4F-4395-8AED-64E48B77494B}">
  <dimension ref="A1:CG211"/>
  <sheetViews>
    <sheetView zoomScale="200" zoomScaleNormal="200" workbookViewId="0">
      <pane xSplit="2" ySplit="2" topLeftCell="G3" activePane="bottomRight" state="frozen"/>
      <selection pane="topRight" activeCell="C1" sqref="C1"/>
      <selection pane="bottomLeft" activeCell="A3" sqref="A3"/>
      <selection pane="bottomRight" activeCell="I1" sqref="I1"/>
    </sheetView>
  </sheetViews>
  <sheetFormatPr defaultRowHeight="12.75" x14ac:dyDescent="0.2"/>
  <cols>
    <col min="1" max="1" width="4.42578125" style="2" customWidth="1"/>
    <col min="2" max="2" width="36.7109375" style="2" customWidth="1"/>
    <col min="3" max="16384" width="9.140625" style="2"/>
  </cols>
  <sheetData>
    <row r="1" spans="1:85" x14ac:dyDescent="0.2">
      <c r="A1" s="5" t="s">
        <v>0</v>
      </c>
    </row>
    <row r="2" spans="1:85" x14ac:dyDescent="0.2">
      <c r="B2" s="1"/>
      <c r="C2" s="22" t="s">
        <v>135</v>
      </c>
      <c r="D2" s="22" t="s">
        <v>136</v>
      </c>
      <c r="E2" s="22" t="s">
        <v>137</v>
      </c>
      <c r="F2" s="22" t="s">
        <v>138</v>
      </c>
      <c r="G2" s="22" t="s">
        <v>371</v>
      </c>
      <c r="H2" s="22" t="s">
        <v>372</v>
      </c>
      <c r="I2" s="94" t="s">
        <v>378</v>
      </c>
      <c r="J2" s="94" t="s">
        <v>379</v>
      </c>
      <c r="K2" s="22"/>
      <c r="L2" s="22" t="s">
        <v>6</v>
      </c>
      <c r="M2" s="22" t="s">
        <v>7</v>
      </c>
      <c r="N2" s="22" t="s">
        <v>8</v>
      </c>
      <c r="O2" s="22" t="s">
        <v>9</v>
      </c>
      <c r="P2" s="22" t="s">
        <v>10</v>
      </c>
      <c r="Q2" s="22" t="s">
        <v>11</v>
      </c>
      <c r="R2" s="22" t="s">
        <v>120</v>
      </c>
      <c r="S2" s="86" t="s">
        <v>373</v>
      </c>
    </row>
    <row r="3" spans="1:85" x14ac:dyDescent="0.2">
      <c r="B3" s="2" t="s">
        <v>150</v>
      </c>
      <c r="C3" s="6"/>
      <c r="D3" s="6"/>
      <c r="E3" s="6">
        <v>680</v>
      </c>
      <c r="F3" s="6">
        <f>+R3-E3</f>
        <v>767</v>
      </c>
      <c r="G3" s="6">
        <v>740</v>
      </c>
      <c r="H3" s="6">
        <f>+S3-G3</f>
        <v>835</v>
      </c>
      <c r="I3" s="6">
        <v>753</v>
      </c>
      <c r="J3" s="6"/>
      <c r="K3" s="6"/>
      <c r="L3" s="6">
        <v>802.2</v>
      </c>
      <c r="M3" s="6">
        <v>867.3</v>
      </c>
      <c r="N3" s="6">
        <v>619.6</v>
      </c>
      <c r="O3" s="6">
        <v>838</v>
      </c>
      <c r="P3" s="6">
        <v>1064</v>
      </c>
      <c r="Q3" s="6">
        <v>1274</v>
      </c>
      <c r="R3" s="6">
        <v>1447</v>
      </c>
      <c r="S3" s="6">
        <v>1575</v>
      </c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</row>
    <row r="4" spans="1:85" x14ac:dyDescent="0.2">
      <c r="B4" s="2" t="s">
        <v>151</v>
      </c>
      <c r="C4" s="6"/>
      <c r="D4" s="6"/>
      <c r="E4" s="6">
        <v>970</v>
      </c>
      <c r="F4" s="6">
        <f t="shared" ref="F4:F8" si="0">+R4-E4</f>
        <v>1177</v>
      </c>
      <c r="G4" s="6">
        <v>1088</v>
      </c>
      <c r="H4" s="6">
        <f t="shared" ref="H4:I29" si="1">+S4-G4</f>
        <v>1274</v>
      </c>
      <c r="I4" s="6">
        <v>1165</v>
      </c>
      <c r="J4" s="6"/>
      <c r="K4" s="6"/>
      <c r="L4" s="6">
        <v>1106.5</v>
      </c>
      <c r="M4" s="6">
        <v>1201.9000000000001</v>
      </c>
      <c r="N4" s="6">
        <v>953.4</v>
      </c>
      <c r="O4" s="6">
        <v>1393</v>
      </c>
      <c r="P4" s="6">
        <v>1536</v>
      </c>
      <c r="Q4" s="6">
        <v>1818</v>
      </c>
      <c r="R4" s="6">
        <v>2147</v>
      </c>
      <c r="S4" s="6">
        <v>2362</v>
      </c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</row>
    <row r="5" spans="1:85" x14ac:dyDescent="0.2">
      <c r="B5" s="2" t="s">
        <v>152</v>
      </c>
      <c r="C5" s="6"/>
      <c r="D5" s="6"/>
      <c r="E5" s="6">
        <v>693</v>
      </c>
      <c r="F5" s="6">
        <f t="shared" si="0"/>
        <v>744</v>
      </c>
      <c r="G5" s="6">
        <v>815</v>
      </c>
      <c r="H5" s="6">
        <f t="shared" si="1"/>
        <v>776</v>
      </c>
      <c r="I5" s="6">
        <v>798</v>
      </c>
      <c r="J5" s="6"/>
      <c r="K5" s="6"/>
      <c r="L5" s="6">
        <v>748.3</v>
      </c>
      <c r="M5" s="6">
        <v>846</v>
      </c>
      <c r="N5" s="6">
        <v>833.9</v>
      </c>
      <c r="O5" s="6">
        <v>877</v>
      </c>
      <c r="P5" s="6">
        <v>1101</v>
      </c>
      <c r="Q5" s="6">
        <v>1269</v>
      </c>
      <c r="R5" s="6">
        <v>1437</v>
      </c>
      <c r="S5" s="6">
        <v>1591</v>
      </c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</row>
    <row r="6" spans="1:85" x14ac:dyDescent="0.2">
      <c r="B6" s="2" t="s">
        <v>153</v>
      </c>
      <c r="C6" s="6"/>
      <c r="D6" s="6"/>
      <c r="E6" s="6">
        <v>3521</v>
      </c>
      <c r="F6" s="6">
        <f t="shared" si="0"/>
        <v>3127</v>
      </c>
      <c r="G6" s="6">
        <v>3574</v>
      </c>
      <c r="H6" s="6">
        <f t="shared" si="1"/>
        <v>3128</v>
      </c>
      <c r="I6" s="6">
        <v>3533</v>
      </c>
      <c r="J6" s="6"/>
      <c r="K6" s="6"/>
      <c r="L6" s="6">
        <v>2142.4</v>
      </c>
      <c r="M6" s="6">
        <v>2589.6</v>
      </c>
      <c r="N6" s="6">
        <v>2915.4</v>
      </c>
      <c r="O6" s="6">
        <v>4251</v>
      </c>
      <c r="P6" s="6">
        <v>5556</v>
      </c>
      <c r="Q6" s="6">
        <v>6273</v>
      </c>
      <c r="R6" s="6">
        <v>6648</v>
      </c>
      <c r="S6" s="6">
        <v>6702</v>
      </c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</row>
    <row r="7" spans="1:85" x14ac:dyDescent="0.2">
      <c r="B7" s="2" t="s">
        <v>154</v>
      </c>
      <c r="C7" s="6"/>
      <c r="D7" s="6"/>
      <c r="E7" s="6">
        <v>1329</v>
      </c>
      <c r="F7" s="6">
        <f t="shared" si="0"/>
        <v>1536</v>
      </c>
      <c r="G7" s="6">
        <v>1455</v>
      </c>
      <c r="H7" s="6">
        <f t="shared" si="1"/>
        <v>1620</v>
      </c>
      <c r="I7" s="6">
        <v>1585</v>
      </c>
      <c r="J7" s="6"/>
      <c r="K7" s="6"/>
      <c r="L7" s="6">
        <v>1058.5999999999999</v>
      </c>
      <c r="M7" s="6">
        <v>1240.7</v>
      </c>
      <c r="N7" s="6">
        <v>959</v>
      </c>
      <c r="O7" s="6">
        <v>1458</v>
      </c>
      <c r="P7" s="6">
        <v>2138</v>
      </c>
      <c r="Q7" s="6">
        <v>2592</v>
      </c>
      <c r="R7" s="6">
        <v>2865</v>
      </c>
      <c r="S7" s="6">
        <v>3075</v>
      </c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</row>
    <row r="8" spans="1:85" x14ac:dyDescent="0.2">
      <c r="B8" s="2" t="s">
        <v>155</v>
      </c>
      <c r="C8" s="6"/>
      <c r="D8" s="6"/>
      <c r="E8" s="6">
        <v>311</v>
      </c>
      <c r="F8" s="6">
        <f t="shared" si="0"/>
        <v>316</v>
      </c>
      <c r="G8" s="6">
        <v>362</v>
      </c>
      <c r="H8" s="6">
        <f t="shared" si="1"/>
        <v>335</v>
      </c>
      <c r="I8" s="6">
        <v>330</v>
      </c>
      <c r="J8" s="6"/>
      <c r="K8" s="6"/>
      <c r="L8" s="6">
        <v>108.1</v>
      </c>
      <c r="M8" s="6">
        <v>120</v>
      </c>
      <c r="N8" s="6">
        <v>108.2</v>
      </c>
      <c r="O8" s="6">
        <v>156</v>
      </c>
      <c r="P8" s="6">
        <v>207</v>
      </c>
      <c r="Q8" s="6">
        <v>299</v>
      </c>
      <c r="R8" s="6">
        <v>627</v>
      </c>
      <c r="S8" s="6">
        <v>697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</row>
    <row r="9" spans="1:85" x14ac:dyDescent="0.2">
      <c r="B9" s="2" t="s">
        <v>13</v>
      </c>
      <c r="C9" s="6">
        <v>2780</v>
      </c>
      <c r="D9" s="6">
        <f>Q9-C9</f>
        <v>2767</v>
      </c>
      <c r="E9" s="6">
        <v>3215</v>
      </c>
      <c r="F9" s="6">
        <f>+R9-E9</f>
        <v>3242</v>
      </c>
      <c r="G9" s="6">
        <v>3578</v>
      </c>
      <c r="H9" s="6">
        <f t="shared" si="1"/>
        <v>3492</v>
      </c>
      <c r="I9" s="6">
        <v>3761</v>
      </c>
      <c r="J9" s="6"/>
      <c r="K9" s="6"/>
      <c r="L9" s="6">
        <v>2976</v>
      </c>
      <c r="M9" s="6">
        <v>3414</v>
      </c>
      <c r="N9" s="6">
        <v>3209</v>
      </c>
      <c r="O9" s="6">
        <v>4091</v>
      </c>
      <c r="P9" s="6">
        <v>4963</v>
      </c>
      <c r="Q9" s="6">
        <v>5547</v>
      </c>
      <c r="R9" s="6">
        <v>6457</v>
      </c>
      <c r="S9" s="6">
        <v>7070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</row>
    <row r="10" spans="1:85" x14ac:dyDescent="0.2">
      <c r="B10" s="2" t="s">
        <v>14</v>
      </c>
      <c r="C10" s="6">
        <v>1922</v>
      </c>
      <c r="D10" s="6">
        <f t="shared" ref="D10:D29" si="2">Q10-C10</f>
        <v>1957</v>
      </c>
      <c r="E10" s="6">
        <v>2162</v>
      </c>
      <c r="F10" s="6">
        <f t="shared" ref="F10:F15" si="3">+R10-E10</f>
        <v>2243</v>
      </c>
      <c r="G10" s="6">
        <v>2255</v>
      </c>
      <c r="H10" s="6">
        <f t="shared" si="1"/>
        <v>2270</v>
      </c>
      <c r="I10" s="6">
        <v>2198</v>
      </c>
      <c r="J10" s="6"/>
      <c r="K10" s="6"/>
      <c r="L10" s="6">
        <v>1310</v>
      </c>
      <c r="M10" s="6">
        <v>1574</v>
      </c>
      <c r="N10" s="6">
        <v>1409</v>
      </c>
      <c r="O10" s="6">
        <v>2219</v>
      </c>
      <c r="P10" s="6">
        <v>3152</v>
      </c>
      <c r="Q10" s="6">
        <v>3879</v>
      </c>
      <c r="R10" s="6">
        <v>4405</v>
      </c>
      <c r="S10" s="6">
        <v>4525</v>
      </c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</row>
    <row r="11" spans="1:85" x14ac:dyDescent="0.2">
      <c r="B11" s="2" t="s">
        <v>15</v>
      </c>
      <c r="C11" s="6">
        <v>444</v>
      </c>
      <c r="D11" s="6">
        <f t="shared" si="2"/>
        <v>488</v>
      </c>
      <c r="E11" s="6">
        <v>436</v>
      </c>
      <c r="F11" s="6">
        <f t="shared" si="3"/>
        <v>514</v>
      </c>
      <c r="G11" s="6">
        <v>447</v>
      </c>
      <c r="H11" s="6">
        <f t="shared" si="1"/>
        <v>517</v>
      </c>
      <c r="I11" s="6">
        <v>469</v>
      </c>
      <c r="J11" s="6"/>
      <c r="K11" s="6"/>
      <c r="L11" s="6">
        <v>537</v>
      </c>
      <c r="M11" s="6">
        <v>592</v>
      </c>
      <c r="N11" s="6">
        <v>452</v>
      </c>
      <c r="O11" s="6">
        <v>669</v>
      </c>
      <c r="P11" s="6">
        <v>842</v>
      </c>
      <c r="Q11" s="6">
        <v>932</v>
      </c>
      <c r="R11" s="6">
        <v>950</v>
      </c>
      <c r="S11" s="6">
        <v>964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</row>
    <row r="12" spans="1:85" x14ac:dyDescent="0.2">
      <c r="B12" s="2" t="s">
        <v>16</v>
      </c>
      <c r="C12" s="6">
        <v>836</v>
      </c>
      <c r="D12" s="6">
        <f t="shared" si="2"/>
        <v>817</v>
      </c>
      <c r="E12" s="6">
        <v>967</v>
      </c>
      <c r="F12" s="6">
        <f t="shared" si="3"/>
        <v>942</v>
      </c>
      <c r="G12" s="6">
        <v>1056</v>
      </c>
      <c r="H12" s="6">
        <f t="shared" si="1"/>
        <v>999</v>
      </c>
      <c r="I12" s="6">
        <v>1065</v>
      </c>
      <c r="J12" s="6"/>
      <c r="K12" s="6"/>
      <c r="L12" s="6">
        <v>425</v>
      </c>
      <c r="M12" s="6">
        <v>525</v>
      </c>
      <c r="N12" s="6">
        <v>643</v>
      </c>
      <c r="O12" s="6">
        <v>1001</v>
      </c>
      <c r="P12" s="6">
        <v>1371</v>
      </c>
      <c r="Q12" s="6">
        <v>1653</v>
      </c>
      <c r="R12" s="6">
        <v>1909</v>
      </c>
      <c r="S12" s="6">
        <v>2055</v>
      </c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</row>
    <row r="13" spans="1:85" x14ac:dyDescent="0.2">
      <c r="B13" s="2" t="s">
        <v>17</v>
      </c>
      <c r="C13" s="6">
        <v>249</v>
      </c>
      <c r="D13" s="6">
        <f t="shared" si="2"/>
        <v>243</v>
      </c>
      <c r="E13" s="6">
        <v>259</v>
      </c>
      <c r="F13" s="6">
        <f t="shared" si="3"/>
        <v>276</v>
      </c>
      <c r="G13" s="6">
        <v>248</v>
      </c>
      <c r="H13" s="6">
        <f t="shared" si="1"/>
        <v>241</v>
      </c>
      <c r="I13" s="6">
        <v>233</v>
      </c>
      <c r="J13" s="6"/>
      <c r="K13" s="6"/>
      <c r="L13" s="6">
        <v>312</v>
      </c>
      <c r="M13" s="6">
        <v>326</v>
      </c>
      <c r="N13" s="6">
        <v>263</v>
      </c>
      <c r="O13" s="6">
        <v>385</v>
      </c>
      <c r="P13" s="6">
        <v>448</v>
      </c>
      <c r="Q13" s="6">
        <v>492</v>
      </c>
      <c r="R13" s="6">
        <v>535</v>
      </c>
      <c r="S13" s="6">
        <v>489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</row>
    <row r="14" spans="1:85" x14ac:dyDescent="0.2">
      <c r="B14" s="2" t="s">
        <v>18</v>
      </c>
      <c r="C14" s="6">
        <v>317</v>
      </c>
      <c r="D14" s="6">
        <f t="shared" si="2"/>
        <v>294</v>
      </c>
      <c r="E14" s="6">
        <v>308</v>
      </c>
      <c r="F14" s="6">
        <f t="shared" si="3"/>
        <v>269</v>
      </c>
      <c r="G14" s="6">
        <v>281</v>
      </c>
      <c r="H14" s="6">
        <f t="shared" si="1"/>
        <v>268</v>
      </c>
      <c r="I14" s="6">
        <v>269</v>
      </c>
      <c r="J14" s="6"/>
      <c r="K14" s="6"/>
      <c r="L14" s="6">
        <v>169</v>
      </c>
      <c r="M14" s="6">
        <v>193</v>
      </c>
      <c r="N14" s="6">
        <v>196</v>
      </c>
      <c r="O14" s="6">
        <v>337</v>
      </c>
      <c r="P14" s="6">
        <v>519</v>
      </c>
      <c r="Q14" s="6">
        <v>611</v>
      </c>
      <c r="R14" s="6">
        <v>577</v>
      </c>
      <c r="S14" s="6">
        <v>549</v>
      </c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</row>
    <row r="15" spans="1:85" x14ac:dyDescent="0.2">
      <c r="B15" s="2" t="s">
        <v>19</v>
      </c>
      <c r="C15" s="6">
        <v>150</v>
      </c>
      <c r="D15" s="6">
        <f t="shared" si="2"/>
        <v>163</v>
      </c>
      <c r="E15" s="6">
        <v>157</v>
      </c>
      <c r="F15" s="6">
        <f t="shared" si="3"/>
        <v>180</v>
      </c>
      <c r="G15" s="6">
        <v>168</v>
      </c>
      <c r="H15" s="6">
        <f t="shared" si="1"/>
        <v>181</v>
      </c>
      <c r="I15" s="6">
        <v>168</v>
      </c>
      <c r="J15" s="6"/>
      <c r="K15" s="6"/>
      <c r="L15" s="6">
        <v>238</v>
      </c>
      <c r="M15" s="6">
        <v>258</v>
      </c>
      <c r="N15" s="6">
        <v>218</v>
      </c>
      <c r="O15" s="6">
        <v>279</v>
      </c>
      <c r="P15" s="6">
        <v>306</v>
      </c>
      <c r="Q15" s="6">
        <v>313</v>
      </c>
      <c r="R15" s="6">
        <v>337</v>
      </c>
      <c r="S15" s="6">
        <v>349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</row>
    <row r="16" spans="1:85" x14ac:dyDescent="0.2">
      <c r="B16" s="1" t="s">
        <v>21</v>
      </c>
      <c r="C16" s="23">
        <f t="shared" ref="C16:E16" si="4">SUM(C9:C15)</f>
        <v>6698</v>
      </c>
      <c r="D16" s="23">
        <f t="shared" si="4"/>
        <v>6729</v>
      </c>
      <c r="E16" s="23">
        <f t="shared" si="4"/>
        <v>7504</v>
      </c>
      <c r="F16" s="23">
        <f>SUM(F9:F15)</f>
        <v>7666</v>
      </c>
      <c r="G16" s="23">
        <v>8034</v>
      </c>
      <c r="H16" s="23">
        <f t="shared" si="1"/>
        <v>7968</v>
      </c>
      <c r="I16" s="23">
        <v>8163</v>
      </c>
      <c r="J16" s="23"/>
      <c r="K16" s="23"/>
      <c r="L16" s="23">
        <v>5966.1</v>
      </c>
      <c r="M16" s="23">
        <v>6883.4</v>
      </c>
      <c r="N16" s="23">
        <v>6389</v>
      </c>
      <c r="O16" s="23">
        <v>8982</v>
      </c>
      <c r="P16" s="23">
        <v>11602</v>
      </c>
      <c r="Q16" s="23">
        <v>13427</v>
      </c>
      <c r="R16" s="23">
        <v>15170</v>
      </c>
      <c r="S16" s="23">
        <v>16002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</row>
    <row r="17" spans="2:85" x14ac:dyDescent="0.2">
      <c r="B17" s="2" t="s">
        <v>22</v>
      </c>
      <c r="C17" s="6">
        <v>1863</v>
      </c>
      <c r="D17" s="6">
        <f t="shared" si="2"/>
        <v>1856</v>
      </c>
      <c r="E17" s="6">
        <v>2206</v>
      </c>
      <c r="F17" s="6">
        <f>+R17-E17</f>
        <v>2305</v>
      </c>
      <c r="G17" s="6">
        <v>2356</v>
      </c>
      <c r="H17" s="6">
        <f t="shared" si="1"/>
        <v>2267</v>
      </c>
      <c r="I17" s="6">
        <v>2356</v>
      </c>
      <c r="J17" s="6"/>
      <c r="K17" s="6"/>
      <c r="L17" s="6">
        <v>1791.8</v>
      </c>
      <c r="M17" s="6">
        <v>2124.9</v>
      </c>
      <c r="N17" s="6">
        <v>2013</v>
      </c>
      <c r="O17" s="6">
        <v>2580</v>
      </c>
      <c r="P17" s="6">
        <v>3389</v>
      </c>
      <c r="Q17" s="6">
        <v>3719</v>
      </c>
      <c r="R17" s="6">
        <v>4511</v>
      </c>
      <c r="S17" s="6">
        <v>4623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</row>
    <row r="18" spans="2:85" x14ac:dyDescent="0.2">
      <c r="B18" s="2" t="s">
        <v>23</v>
      </c>
      <c r="C18" s="6">
        <f t="shared" ref="C18:I18" si="5">C16-C17</f>
        <v>4835</v>
      </c>
      <c r="D18" s="6">
        <f t="shared" si="5"/>
        <v>4873</v>
      </c>
      <c r="E18" s="6">
        <f t="shared" si="5"/>
        <v>5298</v>
      </c>
      <c r="F18" s="6">
        <f t="shared" si="5"/>
        <v>5361</v>
      </c>
      <c r="G18" s="6">
        <f t="shared" si="5"/>
        <v>5678</v>
      </c>
      <c r="H18" s="6">
        <f t="shared" si="5"/>
        <v>5701</v>
      </c>
      <c r="I18" s="6">
        <f t="shared" si="5"/>
        <v>5807</v>
      </c>
      <c r="J18" s="6"/>
      <c r="K18" s="6"/>
      <c r="L18" s="6">
        <f t="shared" ref="L18:P18" si="6">L16-L17</f>
        <v>4174.3</v>
      </c>
      <c r="M18" s="6">
        <f t="shared" si="6"/>
        <v>4758.5</v>
      </c>
      <c r="N18" s="6">
        <f t="shared" si="6"/>
        <v>4376</v>
      </c>
      <c r="O18" s="6">
        <f t="shared" si="6"/>
        <v>6402</v>
      </c>
      <c r="P18" s="6">
        <f t="shared" si="6"/>
        <v>8213</v>
      </c>
      <c r="Q18" s="6">
        <f>Q16-Q17</f>
        <v>9708</v>
      </c>
      <c r="R18" s="6">
        <f>R16-R17</f>
        <v>10659</v>
      </c>
      <c r="S18" s="6">
        <f>S16-S17</f>
        <v>11379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</row>
    <row r="19" spans="2:85" x14ac:dyDescent="0.2">
      <c r="B19" s="2" t="s">
        <v>24</v>
      </c>
      <c r="C19" s="6">
        <v>1485</v>
      </c>
      <c r="D19" s="6">
        <f t="shared" si="2"/>
        <v>1684</v>
      </c>
      <c r="E19" s="6">
        <v>1682</v>
      </c>
      <c r="F19" s="6">
        <f>+R19-E19</f>
        <v>1887</v>
      </c>
      <c r="G19" s="6">
        <v>1832</v>
      </c>
      <c r="H19" s="6">
        <f t="shared" si="1"/>
        <v>1872</v>
      </c>
      <c r="I19" s="6">
        <v>1899</v>
      </c>
      <c r="J19" s="6"/>
      <c r="K19" s="6"/>
      <c r="L19" s="6">
        <v>1562.3</v>
      </c>
      <c r="M19" s="6">
        <v>1815.7</v>
      </c>
      <c r="N19" s="6">
        <v>1699</v>
      </c>
      <c r="O19" s="6">
        <v>2137</v>
      </c>
      <c r="P19" s="6">
        <v>2680</v>
      </c>
      <c r="Q19" s="6">
        <v>3169</v>
      </c>
      <c r="R19" s="6">
        <v>3569</v>
      </c>
      <c r="S19" s="6">
        <v>3704</v>
      </c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</row>
    <row r="20" spans="2:85" x14ac:dyDescent="0.2">
      <c r="B20" s="2" t="s">
        <v>25</v>
      </c>
      <c r="C20" s="6">
        <v>403</v>
      </c>
      <c r="D20" s="6">
        <f t="shared" si="2"/>
        <v>486</v>
      </c>
      <c r="E20" s="6">
        <v>467</v>
      </c>
      <c r="F20" s="6">
        <f>+R20-E20</f>
        <v>475</v>
      </c>
      <c r="G20" s="6">
        <v>519</v>
      </c>
      <c r="H20" s="6">
        <f t="shared" si="1"/>
        <v>587</v>
      </c>
      <c r="I20" s="6">
        <v>558</v>
      </c>
      <c r="J20" s="6"/>
      <c r="K20" s="6"/>
      <c r="L20" s="6">
        <v>536.70000000000005</v>
      </c>
      <c r="M20" s="6">
        <v>604</v>
      </c>
      <c r="N20" s="6">
        <v>696</v>
      </c>
      <c r="O20" s="6">
        <v>734</v>
      </c>
      <c r="P20" s="6">
        <v>836</v>
      </c>
      <c r="Q20" s="6">
        <v>889</v>
      </c>
      <c r="R20" s="6">
        <v>942</v>
      </c>
      <c r="S20" s="6">
        <v>1106</v>
      </c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</row>
    <row r="21" spans="2:85" x14ac:dyDescent="0.2">
      <c r="B21" s="2" t="s">
        <v>36</v>
      </c>
      <c r="C21" s="6">
        <f>C18-C19-C20</f>
        <v>2947</v>
      </c>
      <c r="D21" s="6">
        <f>D18-D19-D20</f>
        <v>2703</v>
      </c>
      <c r="E21" s="6">
        <f>E18-E19-E20</f>
        <v>3149</v>
      </c>
      <c r="F21" s="6">
        <f>F18-F19-F20</f>
        <v>2999</v>
      </c>
      <c r="G21" s="6">
        <f>G18-G19-G20</f>
        <v>3327</v>
      </c>
      <c r="H21" s="6">
        <f>H18-H19-H20</f>
        <v>3242</v>
      </c>
      <c r="I21" s="6">
        <f>+I18-I19-I20</f>
        <v>3350</v>
      </c>
      <c r="J21" s="6"/>
      <c r="K21" s="6"/>
      <c r="L21" s="6">
        <f t="shared" ref="L21:P21" si="7">L18-L19-L20</f>
        <v>2075.3000000000002</v>
      </c>
      <c r="M21" s="6">
        <f t="shared" si="7"/>
        <v>2338.8000000000002</v>
      </c>
      <c r="N21" s="6">
        <f t="shared" si="7"/>
        <v>1981</v>
      </c>
      <c r="O21" s="6">
        <f>O18-O19-O20-1</f>
        <v>3530</v>
      </c>
      <c r="P21" s="6">
        <f t="shared" si="7"/>
        <v>4697</v>
      </c>
      <c r="Q21" s="6">
        <f>Q18-Q19-Q20</f>
        <v>5650</v>
      </c>
      <c r="R21" s="6">
        <f>R18-R19-R20</f>
        <v>6148</v>
      </c>
      <c r="S21" s="6">
        <f>S18-S19-S20</f>
        <v>6569</v>
      </c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</row>
    <row r="22" spans="2:85" x14ac:dyDescent="0.2">
      <c r="B22" s="2" t="s">
        <v>37</v>
      </c>
      <c r="C22" s="6">
        <v>0</v>
      </c>
      <c r="D22" s="6">
        <f t="shared" si="2"/>
        <v>0</v>
      </c>
      <c r="E22" s="6">
        <v>0</v>
      </c>
      <c r="F22" s="6">
        <f>+R22-E22</f>
        <v>0</v>
      </c>
      <c r="G22" s="6">
        <v>0</v>
      </c>
      <c r="H22" s="6">
        <f t="shared" si="1"/>
        <v>0</v>
      </c>
      <c r="I22" s="6">
        <v>0</v>
      </c>
      <c r="J22" s="6"/>
      <c r="K22" s="6"/>
      <c r="L22" s="6">
        <v>52.7</v>
      </c>
      <c r="M22" s="6">
        <v>0</v>
      </c>
      <c r="N22" s="6">
        <v>91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</row>
    <row r="23" spans="2:85" x14ac:dyDescent="0.2">
      <c r="B23" s="2" t="s">
        <v>26</v>
      </c>
      <c r="C23" s="6">
        <f t="shared" ref="C23:I23" si="8">C21+C22</f>
        <v>2947</v>
      </c>
      <c r="D23" s="6">
        <f t="shared" si="8"/>
        <v>2703</v>
      </c>
      <c r="E23" s="6">
        <f>E21+E22</f>
        <v>3149</v>
      </c>
      <c r="F23" s="6">
        <f t="shared" si="8"/>
        <v>2999</v>
      </c>
      <c r="G23" s="6">
        <f t="shared" si="8"/>
        <v>3327</v>
      </c>
      <c r="H23" s="6">
        <f t="shared" si="8"/>
        <v>3242</v>
      </c>
      <c r="I23" s="6">
        <f t="shared" si="8"/>
        <v>3350</v>
      </c>
      <c r="J23" s="6"/>
      <c r="K23" s="6"/>
      <c r="L23" s="6">
        <f>L21+L22</f>
        <v>2128</v>
      </c>
      <c r="M23" s="6">
        <f>M21+M22+0.1</f>
        <v>2338.9</v>
      </c>
      <c r="N23" s="6">
        <f>N21+N22+1</f>
        <v>2073</v>
      </c>
      <c r="O23" s="6">
        <f>O21+O22</f>
        <v>3530</v>
      </c>
      <c r="P23" s="6">
        <f>P21+P22</f>
        <v>4697</v>
      </c>
      <c r="Q23" s="6">
        <f>Q21+Q22</f>
        <v>5650</v>
      </c>
      <c r="R23" s="6">
        <f>R21+R22</f>
        <v>6148</v>
      </c>
      <c r="S23" s="6">
        <f>S21+S22</f>
        <v>6569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</row>
    <row r="24" spans="2:85" x14ac:dyDescent="0.2">
      <c r="B24" s="2" t="s">
        <v>27</v>
      </c>
      <c r="C24" s="6">
        <v>75</v>
      </c>
      <c r="D24" s="6">
        <f t="shared" si="2"/>
        <v>115</v>
      </c>
      <c r="E24" s="6">
        <v>141</v>
      </c>
      <c r="F24" s="6">
        <f>+R24-E24</f>
        <v>142</v>
      </c>
      <c r="G24" s="6">
        <v>148</v>
      </c>
      <c r="H24" s="6">
        <f t="shared" si="1"/>
        <v>59</v>
      </c>
      <c r="I24" s="6">
        <v>90</v>
      </c>
      <c r="J24" s="6"/>
      <c r="K24" s="6"/>
      <c r="L24" s="6">
        <v>-61.8</v>
      </c>
      <c r="M24" s="6">
        <v>-68.599999999999994</v>
      </c>
      <c r="N24" s="6">
        <v>-86</v>
      </c>
      <c r="O24" s="6">
        <v>-96</v>
      </c>
      <c r="P24" s="6">
        <v>-62</v>
      </c>
      <c r="Q24" s="6">
        <v>190</v>
      </c>
      <c r="R24" s="6">
        <v>283</v>
      </c>
      <c r="S24" s="6">
        <v>207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</row>
    <row r="25" spans="2:85" x14ac:dyDescent="0.2">
      <c r="B25" s="2" t="s">
        <v>28</v>
      </c>
      <c r="C25" s="6">
        <f t="shared" ref="C25:I25" si="9">C23+C24</f>
        <v>3022</v>
      </c>
      <c r="D25" s="6">
        <f t="shared" si="9"/>
        <v>2818</v>
      </c>
      <c r="E25" s="6">
        <f t="shared" si="9"/>
        <v>3290</v>
      </c>
      <c r="F25" s="6">
        <f t="shared" si="9"/>
        <v>3141</v>
      </c>
      <c r="G25" s="6">
        <f t="shared" si="9"/>
        <v>3475</v>
      </c>
      <c r="H25" s="6">
        <f t="shared" si="9"/>
        <v>3301</v>
      </c>
      <c r="I25" s="6">
        <f t="shared" si="9"/>
        <v>3440</v>
      </c>
      <c r="J25" s="6"/>
      <c r="K25" s="6"/>
      <c r="L25" s="6">
        <f t="shared" ref="L25:P25" si="10">L23+L24</f>
        <v>2066.1999999999998</v>
      </c>
      <c r="M25" s="6">
        <f t="shared" si="10"/>
        <v>2270.3000000000002</v>
      </c>
      <c r="N25" s="6">
        <f t="shared" si="10"/>
        <v>1987</v>
      </c>
      <c r="O25" s="6">
        <f t="shared" si="10"/>
        <v>3434</v>
      </c>
      <c r="P25" s="6">
        <f t="shared" si="10"/>
        <v>4635</v>
      </c>
      <c r="Q25" s="6">
        <f>Q23+Q24</f>
        <v>5840</v>
      </c>
      <c r="R25" s="6">
        <f>R23+R24</f>
        <v>6431</v>
      </c>
      <c r="S25" s="6">
        <f>S23+S24</f>
        <v>6776</v>
      </c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</row>
    <row r="26" spans="2:85" x14ac:dyDescent="0.2">
      <c r="B26" s="2" t="s">
        <v>29</v>
      </c>
      <c r="C26" s="6">
        <v>831</v>
      </c>
      <c r="D26" s="6">
        <f t="shared" si="2"/>
        <v>792</v>
      </c>
      <c r="E26" s="6">
        <v>927</v>
      </c>
      <c r="F26" s="6">
        <f>+R26-E26</f>
        <v>918</v>
      </c>
      <c r="G26" s="6">
        <v>1230</v>
      </c>
      <c r="H26" s="6">
        <f t="shared" si="1"/>
        <v>1033</v>
      </c>
      <c r="I26" s="6">
        <v>1217</v>
      </c>
      <c r="J26" s="6"/>
      <c r="K26" s="6"/>
      <c r="L26" s="6">
        <v>672.2</v>
      </c>
      <c r="M26" s="6">
        <v>751</v>
      </c>
      <c r="N26" s="6">
        <v>613</v>
      </c>
      <c r="O26" s="6">
        <v>1015</v>
      </c>
      <c r="P26" s="6">
        <v>1305</v>
      </c>
      <c r="Q26" s="6">
        <v>1623</v>
      </c>
      <c r="R26" s="6">
        <v>1845</v>
      </c>
      <c r="S26" s="6">
        <v>2263</v>
      </c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</row>
    <row r="27" spans="2:85" x14ac:dyDescent="0.2">
      <c r="B27" s="2" t="s">
        <v>33</v>
      </c>
      <c r="C27" s="6">
        <v>43</v>
      </c>
      <c r="D27" s="6">
        <f t="shared" si="2"/>
        <v>62</v>
      </c>
      <c r="E27" s="6">
        <v>16</v>
      </c>
      <c r="F27" s="6">
        <f>+R27-E27</f>
        <v>28</v>
      </c>
      <c r="G27" s="6">
        <v>26</v>
      </c>
      <c r="H27" s="6">
        <f t="shared" si="1"/>
        <v>21</v>
      </c>
      <c r="I27" s="6">
        <v>23</v>
      </c>
      <c r="J27" s="6"/>
      <c r="K27" s="6"/>
      <c r="L27" s="6">
        <v>16.600000000000001</v>
      </c>
      <c r="M27" s="6">
        <v>15.9</v>
      </c>
      <c r="N27" s="6">
        <v>16</v>
      </c>
      <c r="O27" s="6">
        <v>34</v>
      </c>
      <c r="P27" s="6">
        <v>50</v>
      </c>
      <c r="Q27" s="6">
        <v>105</v>
      </c>
      <c r="R27" s="6">
        <v>44</v>
      </c>
      <c r="S27" s="6">
        <v>47</v>
      </c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</row>
    <row r="28" spans="2:85" x14ac:dyDescent="0.2">
      <c r="B28" s="2" t="s">
        <v>30</v>
      </c>
      <c r="C28" s="6">
        <f t="shared" ref="C28:I28" si="11">C25-C26+C27</f>
        <v>2234</v>
      </c>
      <c r="D28" s="6">
        <f t="shared" si="11"/>
        <v>2088</v>
      </c>
      <c r="E28" s="6">
        <f t="shared" si="11"/>
        <v>2379</v>
      </c>
      <c r="F28" s="6">
        <f t="shared" si="11"/>
        <v>2251</v>
      </c>
      <c r="G28" s="6">
        <f t="shared" si="11"/>
        <v>2271</v>
      </c>
      <c r="H28" s="6">
        <f t="shared" si="11"/>
        <v>2289</v>
      </c>
      <c r="I28" s="6">
        <f t="shared" si="11"/>
        <v>2246</v>
      </c>
      <c r="J28" s="6"/>
      <c r="K28" s="6"/>
      <c r="L28" s="6">
        <f t="shared" ref="L28:P28" si="12">L25-L26+L27</f>
        <v>1410.5999999999997</v>
      </c>
      <c r="M28" s="6">
        <f>M25-M26+M27+0.1</f>
        <v>1535.3000000000002</v>
      </c>
      <c r="N28" s="6">
        <f>N25-N26+N27</f>
        <v>1390</v>
      </c>
      <c r="O28" s="6">
        <f>O25-O26+O27+1</f>
        <v>2454</v>
      </c>
      <c r="P28" s="6">
        <f t="shared" si="12"/>
        <v>3380</v>
      </c>
      <c r="Q28" s="6">
        <f>Q25-Q26+Q27</f>
        <v>4322</v>
      </c>
      <c r="R28" s="6">
        <f>R25-R26+R27</f>
        <v>4630</v>
      </c>
      <c r="S28" s="6">
        <f>S25-S26+S27</f>
        <v>4560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</row>
    <row r="29" spans="2:85" x14ac:dyDescent="0.2">
      <c r="B29" s="2" t="s">
        <v>34</v>
      </c>
      <c r="C29" s="6">
        <v>-8</v>
      </c>
      <c r="D29" s="6">
        <f t="shared" si="2"/>
        <v>-3</v>
      </c>
      <c r="E29" s="6">
        <v>-10</v>
      </c>
      <c r="F29" s="6">
        <f>+R29-E29</f>
        <v>-18</v>
      </c>
      <c r="G29" s="6">
        <v>-25</v>
      </c>
      <c r="H29" s="6">
        <f t="shared" si="1"/>
        <v>-11</v>
      </c>
      <c r="I29" s="6">
        <v>-9</v>
      </c>
      <c r="J29" s="6"/>
      <c r="K29" s="6"/>
      <c r="L29" s="6">
        <v>-5.0999999999999996</v>
      </c>
      <c r="M29" s="6">
        <v>-7</v>
      </c>
      <c r="N29" s="6">
        <v>-4</v>
      </c>
      <c r="O29" s="6">
        <v>-8</v>
      </c>
      <c r="P29" s="6">
        <v>-13</v>
      </c>
      <c r="Q29" s="6">
        <v>-11</v>
      </c>
      <c r="R29" s="6">
        <v>-28</v>
      </c>
      <c r="S29" s="6">
        <v>-36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</row>
    <row r="30" spans="2:85" x14ac:dyDescent="0.2">
      <c r="B30" s="2" t="s">
        <v>35</v>
      </c>
      <c r="C30" s="6">
        <f t="shared" ref="C30:I30" si="13">C28+C29</f>
        <v>2226</v>
      </c>
      <c r="D30" s="6">
        <f t="shared" si="13"/>
        <v>2085</v>
      </c>
      <c r="E30" s="6">
        <f t="shared" si="13"/>
        <v>2369</v>
      </c>
      <c r="F30" s="6">
        <f t="shared" si="13"/>
        <v>2233</v>
      </c>
      <c r="G30" s="6">
        <f t="shared" si="13"/>
        <v>2246</v>
      </c>
      <c r="H30" s="6">
        <f t="shared" si="13"/>
        <v>2278</v>
      </c>
      <c r="I30" s="6">
        <f t="shared" si="13"/>
        <v>2237</v>
      </c>
      <c r="J30" s="6"/>
      <c r="K30" s="6"/>
      <c r="L30" s="6">
        <f t="shared" ref="L30:P30" si="14">L28+L29</f>
        <v>1405.4999999999998</v>
      </c>
      <c r="M30" s="6">
        <f>M28+M29-0.1</f>
        <v>1528.2000000000003</v>
      </c>
      <c r="N30" s="6">
        <f>N28+N29-1</f>
        <v>1385</v>
      </c>
      <c r="O30" s="6">
        <f>O28+O29-1</f>
        <v>2445</v>
      </c>
      <c r="P30" s="6">
        <f t="shared" si="14"/>
        <v>3367</v>
      </c>
      <c r="Q30" s="6">
        <f>Q28+Q29</f>
        <v>4311</v>
      </c>
      <c r="R30" s="6">
        <f>R28+R29</f>
        <v>4602</v>
      </c>
      <c r="S30" s="6">
        <f>S28+S29</f>
        <v>4524</v>
      </c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</row>
    <row r="31" spans="2:85" x14ac:dyDescent="0.2"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</row>
    <row r="32" spans="2:85" x14ac:dyDescent="0.2">
      <c r="B32" s="2" t="s">
        <v>32</v>
      </c>
      <c r="C32" s="24">
        <f t="shared" ref="C32" si="15">+C30/C33</f>
        <v>21.271293474961926</v>
      </c>
      <c r="D32" s="24">
        <f t="shared" ref="D32" si="16">+D30/D33</f>
        <v>19.923920438138193</v>
      </c>
      <c r="E32" s="24">
        <f t="shared" ref="E32" si="17">+E30/E33</f>
        <v>22.637778186066846</v>
      </c>
      <c r="F32" s="24">
        <f t="shared" ref="F32:I32" si="18">+F30/F33</f>
        <v>21.338184334946082</v>
      </c>
      <c r="G32" s="24">
        <f t="shared" si="18"/>
        <v>21.423903396853365</v>
      </c>
      <c r="H32" s="24">
        <f t="shared" si="18"/>
        <v>21.57822002456545</v>
      </c>
      <c r="I32" s="24">
        <f t="shared" si="18"/>
        <v>21.346797000901937</v>
      </c>
      <c r="J32" s="24"/>
      <c r="K32" s="24"/>
      <c r="L32" s="24">
        <f t="shared" ref="L32:P32" si="19">+L30/L33</f>
        <v>13.484183110774275</v>
      </c>
      <c r="M32" s="24">
        <f t="shared" si="19"/>
        <v>14.6613508572645</v>
      </c>
      <c r="N32" s="24">
        <f t="shared" si="19"/>
        <v>13.262374427338333</v>
      </c>
      <c r="O32" s="24">
        <f t="shared" si="19"/>
        <v>23.369548646559043</v>
      </c>
      <c r="P32" s="24">
        <f t="shared" si="19"/>
        <v>32.20015039679393</v>
      </c>
      <c r="Q32" s="24">
        <f>+Q30/Q33</f>
        <v>41.195213913100119</v>
      </c>
      <c r="R32" s="24">
        <f>+R30/R33</f>
        <v>43.975962521012931</v>
      </c>
      <c r="S32" s="24">
        <f>+S30/S33</f>
        <v>42.853321945186167</v>
      </c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</row>
    <row r="33" spans="1:85" x14ac:dyDescent="0.2">
      <c r="B33" s="2" t="s">
        <v>31</v>
      </c>
      <c r="C33" s="6">
        <v>104.648079</v>
      </c>
      <c r="D33" s="6">
        <v>104.648079</v>
      </c>
      <c r="E33" s="6">
        <v>104.648079</v>
      </c>
      <c r="F33" s="6">
        <v>104.648079</v>
      </c>
      <c r="G33" s="3">
        <v>104.83617099999999</v>
      </c>
      <c r="H33" s="6">
        <v>105.569412</v>
      </c>
      <c r="I33" s="6">
        <v>104.793239</v>
      </c>
      <c r="J33" s="6"/>
      <c r="K33" s="6"/>
      <c r="L33" s="6">
        <v>104.233233</v>
      </c>
      <c r="M33" s="6">
        <v>104.233233</v>
      </c>
      <c r="N33" s="6">
        <v>104.430772</v>
      </c>
      <c r="O33" s="6">
        <v>104.62333</v>
      </c>
      <c r="P33" s="6">
        <v>104.564729</v>
      </c>
      <c r="Q33" s="6">
        <v>104.648079</v>
      </c>
      <c r="R33" s="6">
        <v>104.648079</v>
      </c>
      <c r="S33" s="6">
        <v>105.569412</v>
      </c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</row>
    <row r="34" spans="1:85" x14ac:dyDescent="0.2"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</row>
    <row r="35" spans="1:85" x14ac:dyDescent="0.2">
      <c r="B35" s="2" t="s">
        <v>335</v>
      </c>
      <c r="C35" s="6"/>
      <c r="D35" s="6"/>
      <c r="E35" s="14" t="e">
        <f t="shared" ref="E35:E40" si="20">+E3/C3-1</f>
        <v>#DIV/0!</v>
      </c>
      <c r="F35" s="14" t="e">
        <f t="shared" ref="F35:F40" si="21">+F3/D3-1</f>
        <v>#DIV/0!</v>
      </c>
      <c r="G35" s="14">
        <f t="shared" ref="G35:G40" si="22">+G3/E3-1</f>
        <v>8.8235294117646967E-2</v>
      </c>
      <c r="H35" s="14">
        <f t="shared" ref="H35:H40" si="23">+H3/F3-1</f>
        <v>8.8657105606258169E-2</v>
      </c>
      <c r="I35" s="14">
        <f t="shared" ref="I35:I39" si="24">+I3/G3-1</f>
        <v>1.7567567567567499E-2</v>
      </c>
      <c r="J35" s="6"/>
      <c r="K35" s="6"/>
      <c r="L35" s="6"/>
      <c r="M35" s="14">
        <f t="shared" ref="M35:S40" si="25">M3/L3-1</f>
        <v>8.1151832460732765E-2</v>
      </c>
      <c r="N35" s="14">
        <f t="shared" si="25"/>
        <v>-0.28559898535685457</v>
      </c>
      <c r="O35" s="14">
        <f t="shared" si="25"/>
        <v>0.35248547449967726</v>
      </c>
      <c r="P35" s="14">
        <f t="shared" si="25"/>
        <v>0.269689737470167</v>
      </c>
      <c r="Q35" s="14">
        <f t="shared" si="25"/>
        <v>0.19736842105263164</v>
      </c>
      <c r="R35" s="14">
        <f t="shared" si="25"/>
        <v>0.13579277864992156</v>
      </c>
      <c r="S35" s="14">
        <f t="shared" si="25"/>
        <v>8.845888044229433E-2</v>
      </c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</row>
    <row r="36" spans="1:85" x14ac:dyDescent="0.2">
      <c r="B36" s="2" t="s">
        <v>336</v>
      </c>
      <c r="C36" s="6"/>
      <c r="D36" s="6"/>
      <c r="E36" s="14" t="e">
        <f t="shared" si="20"/>
        <v>#DIV/0!</v>
      </c>
      <c r="F36" s="14" t="e">
        <f t="shared" si="21"/>
        <v>#DIV/0!</v>
      </c>
      <c r="G36" s="14">
        <f t="shared" si="22"/>
        <v>0.12164948453608249</v>
      </c>
      <c r="H36" s="14">
        <f t="shared" si="23"/>
        <v>8.2412914188615183E-2</v>
      </c>
      <c r="I36" s="14">
        <f t="shared" si="24"/>
        <v>7.0772058823529438E-2</v>
      </c>
      <c r="J36" s="6"/>
      <c r="K36" s="6"/>
      <c r="L36" s="6"/>
      <c r="M36" s="14">
        <f t="shared" si="25"/>
        <v>8.6217803886127431E-2</v>
      </c>
      <c r="N36" s="14">
        <f t="shared" si="25"/>
        <v>-0.20675596971461863</v>
      </c>
      <c r="O36" s="14">
        <f t="shared" si="25"/>
        <v>0.46108663729809107</v>
      </c>
      <c r="P36" s="14">
        <f t="shared" si="25"/>
        <v>0.10265613783201721</v>
      </c>
      <c r="Q36" s="14">
        <f t="shared" si="25"/>
        <v>0.18359375</v>
      </c>
      <c r="R36" s="14">
        <f t="shared" si="25"/>
        <v>0.18096809680968096</v>
      </c>
      <c r="S36" s="14">
        <f t="shared" si="25"/>
        <v>0.10013972985561259</v>
      </c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</row>
    <row r="37" spans="1:85" x14ac:dyDescent="0.2">
      <c r="B37" s="2" t="s">
        <v>337</v>
      </c>
      <c r="C37" s="6"/>
      <c r="D37" s="6"/>
      <c r="E37" s="14" t="e">
        <f t="shared" si="20"/>
        <v>#DIV/0!</v>
      </c>
      <c r="F37" s="14" t="e">
        <f t="shared" si="21"/>
        <v>#DIV/0!</v>
      </c>
      <c r="G37" s="14">
        <f t="shared" si="22"/>
        <v>0.17604617604617601</v>
      </c>
      <c r="H37" s="14">
        <f t="shared" si="23"/>
        <v>4.3010752688172005E-2</v>
      </c>
      <c r="I37" s="14">
        <f t="shared" si="24"/>
        <v>-2.0858895705521463E-2</v>
      </c>
      <c r="J37" s="6"/>
      <c r="K37" s="6"/>
      <c r="L37" s="6"/>
      <c r="M37" s="14">
        <f t="shared" si="25"/>
        <v>0.1305626085794469</v>
      </c>
      <c r="N37" s="14">
        <f t="shared" si="25"/>
        <v>-1.4302600472813287E-2</v>
      </c>
      <c r="O37" s="14">
        <f t="shared" si="25"/>
        <v>5.1684854299076655E-2</v>
      </c>
      <c r="P37" s="14">
        <f t="shared" si="25"/>
        <v>0.25541619156214357</v>
      </c>
      <c r="Q37" s="14">
        <f t="shared" si="25"/>
        <v>0.15258855585831066</v>
      </c>
      <c r="R37" s="14">
        <f t="shared" si="25"/>
        <v>0.13238770685579193</v>
      </c>
      <c r="S37" s="14">
        <f t="shared" si="25"/>
        <v>0.10716771050800289</v>
      </c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</row>
    <row r="38" spans="1:85" x14ac:dyDescent="0.2">
      <c r="B38" s="2" t="s">
        <v>338</v>
      </c>
      <c r="C38" s="6"/>
      <c r="D38" s="6"/>
      <c r="E38" s="14" t="e">
        <f t="shared" si="20"/>
        <v>#DIV/0!</v>
      </c>
      <c r="F38" s="14" t="e">
        <f t="shared" si="21"/>
        <v>#DIV/0!</v>
      </c>
      <c r="G38" s="14">
        <f t="shared" si="22"/>
        <v>1.5052541891508175E-2</v>
      </c>
      <c r="H38" s="14">
        <f t="shared" si="23"/>
        <v>3.1979533098813739E-4</v>
      </c>
      <c r="I38" s="14">
        <f t="shared" si="24"/>
        <v>-1.1471740346950199E-2</v>
      </c>
      <c r="J38" s="6"/>
      <c r="K38" s="6"/>
      <c r="L38" s="6"/>
      <c r="M38" s="14">
        <f t="shared" si="25"/>
        <v>0.20873786407766981</v>
      </c>
      <c r="N38" s="14">
        <f t="shared" si="25"/>
        <v>0.12581093605189997</v>
      </c>
      <c r="O38" s="14">
        <f t="shared" si="25"/>
        <v>0.45811895451739026</v>
      </c>
      <c r="P38" s="14">
        <f t="shared" si="25"/>
        <v>0.30698659139026119</v>
      </c>
      <c r="Q38" s="14">
        <f t="shared" si="25"/>
        <v>0.12904967602591788</v>
      </c>
      <c r="R38" s="14">
        <f t="shared" si="25"/>
        <v>5.9780009564801562E-2</v>
      </c>
      <c r="S38" s="14">
        <f t="shared" si="25"/>
        <v>8.1227436823103627E-3</v>
      </c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</row>
    <row r="39" spans="1:85" x14ac:dyDescent="0.2">
      <c r="B39" s="2" t="s">
        <v>339</v>
      </c>
      <c r="C39" s="6"/>
      <c r="D39" s="6"/>
      <c r="E39" s="14" t="e">
        <f t="shared" si="20"/>
        <v>#DIV/0!</v>
      </c>
      <c r="F39" s="14" t="e">
        <f t="shared" si="21"/>
        <v>#DIV/0!</v>
      </c>
      <c r="G39" s="14">
        <f t="shared" si="22"/>
        <v>9.4808126410835136E-2</v>
      </c>
      <c r="H39" s="14">
        <f t="shared" si="23"/>
        <v>5.46875E-2</v>
      </c>
      <c r="I39" s="14">
        <f t="shared" si="24"/>
        <v>8.9347079037800592E-2</v>
      </c>
      <c r="J39" s="6"/>
      <c r="K39" s="6"/>
      <c r="L39" s="6"/>
      <c r="M39" s="14">
        <f t="shared" si="25"/>
        <v>0.17201964859248076</v>
      </c>
      <c r="N39" s="14">
        <f t="shared" si="25"/>
        <v>-0.22704924639316515</v>
      </c>
      <c r="O39" s="14">
        <f t="shared" si="25"/>
        <v>0.52033368091762244</v>
      </c>
      <c r="P39" s="14">
        <f t="shared" si="25"/>
        <v>0.46639231824417005</v>
      </c>
      <c r="Q39" s="14">
        <f t="shared" si="25"/>
        <v>0.21234798877455563</v>
      </c>
      <c r="R39" s="14">
        <f t="shared" si="25"/>
        <v>0.10532407407407418</v>
      </c>
      <c r="S39" s="14">
        <f t="shared" si="25"/>
        <v>7.3298429319371694E-2</v>
      </c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</row>
    <row r="40" spans="1:85" x14ac:dyDescent="0.2">
      <c r="B40" s="2" t="s">
        <v>340</v>
      </c>
      <c r="C40" s="6"/>
      <c r="D40" s="6"/>
      <c r="E40" s="14" t="e">
        <f t="shared" si="20"/>
        <v>#DIV/0!</v>
      </c>
      <c r="F40" s="14" t="e">
        <f t="shared" si="21"/>
        <v>#DIV/0!</v>
      </c>
      <c r="G40" s="14">
        <f t="shared" si="22"/>
        <v>0.16398713826366551</v>
      </c>
      <c r="H40" s="14">
        <f t="shared" si="23"/>
        <v>6.0126582278481111E-2</v>
      </c>
      <c r="I40" s="14">
        <f>+I8/G8-1</f>
        <v>-8.8397790055248615E-2</v>
      </c>
      <c r="J40" s="6"/>
      <c r="K40" s="6"/>
      <c r="L40" s="6"/>
      <c r="M40" s="14">
        <f t="shared" si="25"/>
        <v>0.11008325624421844</v>
      </c>
      <c r="N40" s="14">
        <f t="shared" si="25"/>
        <v>-9.8333333333333273E-2</v>
      </c>
      <c r="O40" s="14">
        <f t="shared" si="25"/>
        <v>0.44177449168207028</v>
      </c>
      <c r="P40" s="14">
        <f t="shared" si="25"/>
        <v>0.32692307692307687</v>
      </c>
      <c r="Q40" s="14">
        <f t="shared" si="25"/>
        <v>0.44444444444444442</v>
      </c>
      <c r="R40" s="14">
        <f t="shared" si="25"/>
        <v>1.0969899665551841</v>
      </c>
      <c r="S40" s="14">
        <f t="shared" si="25"/>
        <v>0.11164274322169065</v>
      </c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</row>
    <row r="41" spans="1:85" x14ac:dyDescent="0.2">
      <c r="A41" s="25"/>
      <c r="B41" s="2" t="s">
        <v>13</v>
      </c>
      <c r="C41" s="14"/>
      <c r="D41" s="14"/>
      <c r="E41" s="14">
        <f t="shared" ref="E41:E47" si="26">E9/C9-1</f>
        <v>0.15647482014388481</v>
      </c>
      <c r="F41" s="14">
        <f t="shared" ref="F41:G47" si="27">F9/D9-1</f>
        <v>0.17166606432959886</v>
      </c>
      <c r="G41" s="14">
        <f t="shared" si="27"/>
        <v>0.11290824261275278</v>
      </c>
      <c r="H41" s="14">
        <f t="shared" ref="H41:H48" si="28">H9/F9-1</f>
        <v>7.7112893275755656E-2</v>
      </c>
      <c r="I41" s="14">
        <f t="shared" ref="I41:I48" si="29">I9/G9-1</f>
        <v>5.1145891559530421E-2</v>
      </c>
      <c r="J41" s="14">
        <f t="shared" ref="J41:J48" si="30">J9/H9-1</f>
        <v>-1</v>
      </c>
      <c r="K41" s="14"/>
      <c r="L41" s="14"/>
      <c r="M41" s="14">
        <f t="shared" ref="M41:M47" si="31">M9/L9-1</f>
        <v>0.14717741935483875</v>
      </c>
      <c r="N41" s="14">
        <f t="shared" ref="N41:S41" si="32">N9/M9-1</f>
        <v>-6.0046865846514308E-2</v>
      </c>
      <c r="O41" s="14">
        <f t="shared" si="32"/>
        <v>0.274851978809598</v>
      </c>
      <c r="P41" s="14">
        <f t="shared" si="32"/>
        <v>0.21315081887069187</v>
      </c>
      <c r="Q41" s="14">
        <f t="shared" si="32"/>
        <v>0.11767076365101747</v>
      </c>
      <c r="R41" s="14">
        <f t="shared" si="32"/>
        <v>0.1640526410672436</v>
      </c>
      <c r="S41" s="14">
        <f t="shared" si="32"/>
        <v>9.4935728666563524E-2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</row>
    <row r="42" spans="1:85" x14ac:dyDescent="0.2">
      <c r="A42" s="25"/>
      <c r="B42" s="2" t="s">
        <v>14</v>
      </c>
      <c r="C42" s="14"/>
      <c r="D42" s="14"/>
      <c r="E42" s="14">
        <f t="shared" si="26"/>
        <v>0.12486992715920908</v>
      </c>
      <c r="F42" s="14">
        <f t="shared" si="27"/>
        <v>0.14614205416453752</v>
      </c>
      <c r="G42" s="14">
        <f t="shared" si="27"/>
        <v>4.3015726179463476E-2</v>
      </c>
      <c r="H42" s="14">
        <f t="shared" si="28"/>
        <v>1.2037449843959047E-2</v>
      </c>
      <c r="I42" s="14">
        <f t="shared" si="29"/>
        <v>-2.5277161862527708E-2</v>
      </c>
      <c r="J42" s="14">
        <f t="shared" si="30"/>
        <v>-1</v>
      </c>
      <c r="K42" s="14"/>
      <c r="L42" s="14"/>
      <c r="M42" s="14">
        <f t="shared" si="31"/>
        <v>0.20152671755725193</v>
      </c>
      <c r="N42" s="14">
        <f t="shared" ref="N42:S47" si="33">N10/M10-1</f>
        <v>-0.10482846251588307</v>
      </c>
      <c r="O42" s="14">
        <f t="shared" si="33"/>
        <v>0.57487579843860903</v>
      </c>
      <c r="P42" s="14">
        <f t="shared" si="33"/>
        <v>0.42045966651644884</v>
      </c>
      <c r="Q42" s="14">
        <f t="shared" si="33"/>
        <v>0.23064720812182737</v>
      </c>
      <c r="R42" s="14">
        <f t="shared" si="33"/>
        <v>0.13560195926785257</v>
      </c>
      <c r="S42" s="14">
        <f t="shared" si="33"/>
        <v>2.7241770715096481E-2</v>
      </c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</row>
    <row r="43" spans="1:85" x14ac:dyDescent="0.2">
      <c r="A43" s="25"/>
      <c r="B43" s="2" t="s">
        <v>15</v>
      </c>
      <c r="C43" s="14"/>
      <c r="D43" s="14"/>
      <c r="E43" s="14">
        <f t="shared" si="26"/>
        <v>-1.8018018018018056E-2</v>
      </c>
      <c r="F43" s="14">
        <f t="shared" si="27"/>
        <v>5.3278688524590168E-2</v>
      </c>
      <c r="G43" s="14">
        <f t="shared" si="27"/>
        <v>2.5229357798165042E-2</v>
      </c>
      <c r="H43" s="14">
        <f t="shared" si="28"/>
        <v>5.8365758754863606E-3</v>
      </c>
      <c r="I43" s="14">
        <f t="shared" si="29"/>
        <v>4.9217002237136542E-2</v>
      </c>
      <c r="J43" s="14">
        <f t="shared" si="30"/>
        <v>-1</v>
      </c>
      <c r="K43" s="14"/>
      <c r="L43" s="14"/>
      <c r="M43" s="14">
        <f t="shared" si="31"/>
        <v>0.10242085661080069</v>
      </c>
      <c r="N43" s="14">
        <f t="shared" si="33"/>
        <v>-0.23648648648648651</v>
      </c>
      <c r="O43" s="14">
        <f t="shared" si="33"/>
        <v>0.48008849557522115</v>
      </c>
      <c r="P43" s="14">
        <f t="shared" si="33"/>
        <v>0.25859491778774291</v>
      </c>
      <c r="Q43" s="14">
        <f t="shared" si="33"/>
        <v>0.10688836104513055</v>
      </c>
      <c r="R43" s="14">
        <f t="shared" si="33"/>
        <v>1.93133047210301E-2</v>
      </c>
      <c r="S43" s="14">
        <f t="shared" si="33"/>
        <v>1.4736842105263159E-2</v>
      </c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</row>
    <row r="44" spans="1:85" x14ac:dyDescent="0.2">
      <c r="A44" s="25"/>
      <c r="B44" s="2" t="s">
        <v>16</v>
      </c>
      <c r="C44" s="14"/>
      <c r="D44" s="14"/>
      <c r="E44" s="14">
        <f t="shared" si="26"/>
        <v>0.15669856459330145</v>
      </c>
      <c r="F44" s="14">
        <f t="shared" si="27"/>
        <v>0.15299877600979195</v>
      </c>
      <c r="G44" s="14">
        <f t="shared" si="27"/>
        <v>9.203722854188201E-2</v>
      </c>
      <c r="H44" s="14">
        <f t="shared" si="28"/>
        <v>6.0509554140127486E-2</v>
      </c>
      <c r="I44" s="14">
        <f t="shared" si="29"/>
        <v>8.5227272727272929E-3</v>
      </c>
      <c r="J44" s="14">
        <f t="shared" si="30"/>
        <v>-1</v>
      </c>
      <c r="K44" s="14"/>
      <c r="L44" s="14"/>
      <c r="M44" s="14">
        <f t="shared" si="31"/>
        <v>0.23529411764705888</v>
      </c>
      <c r="N44" s="14">
        <f t="shared" si="33"/>
        <v>0.22476190476190472</v>
      </c>
      <c r="O44" s="14">
        <f t="shared" si="33"/>
        <v>0.55676516329704517</v>
      </c>
      <c r="P44" s="14">
        <f t="shared" si="33"/>
        <v>0.36963036963036955</v>
      </c>
      <c r="Q44" s="14">
        <f t="shared" si="33"/>
        <v>0.20568927789934355</v>
      </c>
      <c r="R44" s="14">
        <f t="shared" si="33"/>
        <v>0.15486993345432554</v>
      </c>
      <c r="S44" s="14">
        <f t="shared" si="33"/>
        <v>7.6479832372970069E-2</v>
      </c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</row>
    <row r="45" spans="1:85" x14ac:dyDescent="0.2">
      <c r="A45" s="25"/>
      <c r="B45" s="2" t="s">
        <v>17</v>
      </c>
      <c r="C45" s="14"/>
      <c r="D45" s="14"/>
      <c r="E45" s="14">
        <f t="shared" si="26"/>
        <v>4.016064257028118E-2</v>
      </c>
      <c r="F45" s="14">
        <f t="shared" si="27"/>
        <v>0.13580246913580241</v>
      </c>
      <c r="G45" s="14">
        <f t="shared" si="27"/>
        <v>-4.2471042471042497E-2</v>
      </c>
      <c r="H45" s="14">
        <f t="shared" si="28"/>
        <v>-0.12681159420289856</v>
      </c>
      <c r="I45" s="14">
        <f t="shared" si="29"/>
        <v>-6.0483870967741882E-2</v>
      </c>
      <c r="J45" s="14">
        <f t="shared" si="30"/>
        <v>-1</v>
      </c>
      <c r="K45" s="14"/>
      <c r="L45" s="14"/>
      <c r="M45" s="14">
        <f t="shared" si="31"/>
        <v>4.4871794871794934E-2</v>
      </c>
      <c r="N45" s="14">
        <f t="shared" si="33"/>
        <v>-0.19325153374233128</v>
      </c>
      <c r="O45" s="14">
        <f t="shared" si="33"/>
        <v>0.46387832699619769</v>
      </c>
      <c r="P45" s="14">
        <f t="shared" si="33"/>
        <v>0.16363636363636358</v>
      </c>
      <c r="Q45" s="14">
        <f t="shared" si="33"/>
        <v>9.8214285714285809E-2</v>
      </c>
      <c r="R45" s="14">
        <f t="shared" si="33"/>
        <v>8.7398373983739841E-2</v>
      </c>
      <c r="S45" s="14">
        <f t="shared" si="33"/>
        <v>-8.5981308411214985E-2</v>
      </c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</row>
    <row r="46" spans="1:85" x14ac:dyDescent="0.2">
      <c r="A46" s="25"/>
      <c r="B46" s="2" t="s">
        <v>18</v>
      </c>
      <c r="C46" s="14"/>
      <c r="D46" s="14"/>
      <c r="E46" s="14">
        <f t="shared" si="26"/>
        <v>-2.8391167192429068E-2</v>
      </c>
      <c r="F46" s="14">
        <f t="shared" si="27"/>
        <v>-8.503401360544216E-2</v>
      </c>
      <c r="G46" s="14">
        <f t="shared" si="27"/>
        <v>-8.7662337662337664E-2</v>
      </c>
      <c r="H46" s="14">
        <f t="shared" si="28"/>
        <v>-3.7174721189591198E-3</v>
      </c>
      <c r="I46" s="14">
        <f t="shared" si="29"/>
        <v>-4.2704626334519546E-2</v>
      </c>
      <c r="J46" s="14">
        <f t="shared" si="30"/>
        <v>-1</v>
      </c>
      <c r="K46" s="14"/>
      <c r="L46" s="14"/>
      <c r="M46" s="14">
        <f t="shared" si="31"/>
        <v>0.14201183431952669</v>
      </c>
      <c r="N46" s="14">
        <f t="shared" si="33"/>
        <v>1.5544041450777257E-2</v>
      </c>
      <c r="O46" s="14">
        <f t="shared" si="33"/>
        <v>0.71938775510204089</v>
      </c>
      <c r="P46" s="14">
        <f t="shared" si="33"/>
        <v>0.5400593471810089</v>
      </c>
      <c r="Q46" s="14">
        <f t="shared" si="33"/>
        <v>0.17726396917148368</v>
      </c>
      <c r="R46" s="14">
        <f t="shared" si="33"/>
        <v>-5.5646481178396101E-2</v>
      </c>
      <c r="S46" s="14">
        <f t="shared" si="33"/>
        <v>-4.8526863084922045E-2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</row>
    <row r="47" spans="1:85" x14ac:dyDescent="0.2">
      <c r="A47" s="25"/>
      <c r="B47" s="2" t="s">
        <v>19</v>
      </c>
      <c r="C47" s="14"/>
      <c r="D47" s="14"/>
      <c r="E47" s="14">
        <f t="shared" si="26"/>
        <v>4.6666666666666634E-2</v>
      </c>
      <c r="F47" s="14">
        <f t="shared" si="27"/>
        <v>0.10429447852760743</v>
      </c>
      <c r="G47" s="14">
        <f t="shared" si="27"/>
        <v>7.0063694267515908E-2</v>
      </c>
      <c r="H47" s="14">
        <f t="shared" si="28"/>
        <v>5.5555555555555358E-3</v>
      </c>
      <c r="I47" s="14">
        <f t="shared" si="29"/>
        <v>0</v>
      </c>
      <c r="J47" s="14">
        <f t="shared" si="30"/>
        <v>-1</v>
      </c>
      <c r="K47" s="14"/>
      <c r="L47" s="14"/>
      <c r="M47" s="14">
        <f t="shared" si="31"/>
        <v>8.4033613445378075E-2</v>
      </c>
      <c r="N47" s="14">
        <f t="shared" si="33"/>
        <v>-0.15503875968992253</v>
      </c>
      <c r="O47" s="14">
        <f t="shared" si="33"/>
        <v>0.27981651376146788</v>
      </c>
      <c r="P47" s="14">
        <f t="shared" si="33"/>
        <v>9.6774193548387011E-2</v>
      </c>
      <c r="Q47" s="14">
        <f t="shared" si="33"/>
        <v>2.2875816993463971E-2</v>
      </c>
      <c r="R47" s="14">
        <f t="shared" si="33"/>
        <v>7.667731629392982E-2</v>
      </c>
      <c r="S47" s="14">
        <f t="shared" si="33"/>
        <v>3.5608308605341144E-2</v>
      </c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</row>
    <row r="48" spans="1:85" x14ac:dyDescent="0.2">
      <c r="B48" s="1" t="s">
        <v>38</v>
      </c>
      <c r="C48" s="26"/>
      <c r="D48" s="26"/>
      <c r="E48" s="26">
        <f>E16/C16-1</f>
        <v>0.12033442818751872</v>
      </c>
      <c r="F48" s="26">
        <f>F16/D16-1</f>
        <v>0.13924803091098226</v>
      </c>
      <c r="G48" s="26">
        <f>G16/E16-1</f>
        <v>7.0628997867803855E-2</v>
      </c>
      <c r="H48" s="26">
        <f t="shared" si="28"/>
        <v>3.9394729976519605E-2</v>
      </c>
      <c r="I48" s="26">
        <f t="shared" si="29"/>
        <v>1.6056758775205404E-2</v>
      </c>
      <c r="J48" s="26">
        <f t="shared" si="30"/>
        <v>-1</v>
      </c>
      <c r="K48" s="14"/>
      <c r="L48" s="14"/>
      <c r="M48" s="26">
        <f t="shared" ref="M48:S48" si="34">M16/L16-1</f>
        <v>0.15375203231591805</v>
      </c>
      <c r="N48" s="26">
        <f t="shared" si="34"/>
        <v>-7.1824970218206108E-2</v>
      </c>
      <c r="O48" s="26">
        <f t="shared" si="34"/>
        <v>0.40585381123806541</v>
      </c>
      <c r="P48" s="26">
        <f t="shared" si="34"/>
        <v>0.2916945001113338</v>
      </c>
      <c r="Q48" s="26">
        <f t="shared" si="34"/>
        <v>0.15730046543699361</v>
      </c>
      <c r="R48" s="26">
        <f t="shared" si="34"/>
        <v>0.12981306323080366</v>
      </c>
      <c r="S48" s="26">
        <f t="shared" si="34"/>
        <v>5.484508899143048E-2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</row>
    <row r="49" spans="2:85" x14ac:dyDescent="0.2">
      <c r="B49" s="2" t="s">
        <v>39</v>
      </c>
      <c r="C49" s="14"/>
      <c r="D49" s="14">
        <f>D18/D16</f>
        <v>0.72417892703224851</v>
      </c>
      <c r="E49" s="14">
        <f>E18/E16</f>
        <v>0.70602345415778256</v>
      </c>
      <c r="F49" s="14">
        <f>F18/F16</f>
        <v>0.69932168014609963</v>
      </c>
      <c r="G49" s="14">
        <f>G18/G16</f>
        <v>0.70674632810555138</v>
      </c>
      <c r="H49" s="14">
        <f t="shared" ref="H49:J49" si="35">H18/H16</f>
        <v>0.71548694779116462</v>
      </c>
      <c r="I49" s="14">
        <f t="shared" si="35"/>
        <v>0.71138061987014578</v>
      </c>
      <c r="J49" s="14" t="e">
        <f t="shared" si="35"/>
        <v>#DIV/0!</v>
      </c>
      <c r="K49" s="14"/>
      <c r="L49" s="14">
        <f t="shared" ref="L49:R49" si="36">L18/L16</f>
        <v>0.69966980104255705</v>
      </c>
      <c r="M49" s="14">
        <f t="shared" si="36"/>
        <v>0.69130081064590176</v>
      </c>
      <c r="N49" s="14">
        <f t="shared" si="36"/>
        <v>0.68492721865706685</v>
      </c>
      <c r="O49" s="14">
        <f t="shared" si="36"/>
        <v>0.71275885103540415</v>
      </c>
      <c r="P49" s="14">
        <f t="shared" si="36"/>
        <v>0.70789519048439919</v>
      </c>
      <c r="Q49" s="14">
        <f t="shared" si="36"/>
        <v>0.72302077902733297</v>
      </c>
      <c r="R49" s="14">
        <f t="shared" si="36"/>
        <v>0.70263678312458799</v>
      </c>
      <c r="S49" s="14">
        <f t="shared" ref="S49" si="37">S18/S16</f>
        <v>0.71109861267341579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</row>
    <row r="50" spans="2:85" x14ac:dyDescent="0.2">
      <c r="B50" s="2" t="s">
        <v>40</v>
      </c>
      <c r="C50" s="14"/>
      <c r="D50" s="14">
        <f>D23/D16</f>
        <v>0.4016941596076683</v>
      </c>
      <c r="E50" s="14">
        <f>E23/E16</f>
        <v>0.41964285714285715</v>
      </c>
      <c r="F50" s="14">
        <f>F23/F16</f>
        <v>0.39120793112444563</v>
      </c>
      <c r="G50" s="14">
        <f>G23/G16</f>
        <v>0.41411501120238986</v>
      </c>
      <c r="H50" s="14">
        <f t="shared" ref="H50:J50" si="38">H23/H16</f>
        <v>0.40687751004016065</v>
      </c>
      <c r="I50" s="14">
        <f t="shared" si="38"/>
        <v>0.41038833762097265</v>
      </c>
      <c r="J50" s="14" t="e">
        <f t="shared" si="38"/>
        <v>#DIV/0!</v>
      </c>
      <c r="K50" s="14"/>
      <c r="L50" s="14">
        <f t="shared" ref="L50:R50" si="39">L23/L16</f>
        <v>0.35668191951190892</v>
      </c>
      <c r="M50" s="14">
        <f t="shared" si="39"/>
        <v>0.33978847662492379</v>
      </c>
      <c r="N50" s="14">
        <f t="shared" si="39"/>
        <v>0.32446392236656751</v>
      </c>
      <c r="O50" s="14">
        <f t="shared" si="39"/>
        <v>0.39300823869962148</v>
      </c>
      <c r="P50" s="14">
        <f t="shared" si="39"/>
        <v>0.40484399241510083</v>
      </c>
      <c r="Q50" s="14">
        <f t="shared" si="39"/>
        <v>0.42079392269308108</v>
      </c>
      <c r="R50" s="14">
        <f t="shared" si="39"/>
        <v>0.40527356624917599</v>
      </c>
      <c r="S50" s="14">
        <f t="shared" ref="S50" si="40">S23/S16</f>
        <v>0.41051118610173726</v>
      </c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</row>
    <row r="51" spans="2:85" x14ac:dyDescent="0.2">
      <c r="B51" s="2" t="s">
        <v>41</v>
      </c>
      <c r="C51" s="14"/>
      <c r="D51" s="14">
        <f>D28/D16</f>
        <v>0.31029870708872048</v>
      </c>
      <c r="E51" s="14">
        <f>E28/E16</f>
        <v>0.3170309168443497</v>
      </c>
      <c r="F51" s="14">
        <f>F28/F16</f>
        <v>0.29363422906339681</v>
      </c>
      <c r="G51" s="14">
        <f>G28/G16</f>
        <v>0.28267363704256909</v>
      </c>
      <c r="H51" s="14">
        <f t="shared" ref="H51:J51" si="41">H28/H16</f>
        <v>0.28727409638554219</v>
      </c>
      <c r="I51" s="14">
        <f t="shared" si="41"/>
        <v>0.27514394217812077</v>
      </c>
      <c r="J51" s="14" t="e">
        <f t="shared" si="41"/>
        <v>#DIV/0!</v>
      </c>
      <c r="K51" s="14"/>
      <c r="L51" s="14">
        <f t="shared" ref="L51:R51" si="42">L28/L16</f>
        <v>0.23643586262382454</v>
      </c>
      <c r="M51" s="14">
        <f t="shared" si="42"/>
        <v>0.22304384461167451</v>
      </c>
      <c r="N51" s="14">
        <f t="shared" si="42"/>
        <v>0.21756143371419628</v>
      </c>
      <c r="O51" s="14">
        <f t="shared" si="42"/>
        <v>0.27321309285237139</v>
      </c>
      <c r="P51" s="14">
        <f t="shared" si="42"/>
        <v>0.2913290811928978</v>
      </c>
      <c r="Q51" s="14">
        <f t="shared" si="42"/>
        <v>0.32188873166008786</v>
      </c>
      <c r="R51" s="14">
        <f t="shared" si="42"/>
        <v>0.30520764667106132</v>
      </c>
      <c r="S51" s="14">
        <f t="shared" ref="S51" si="43">S28/S16</f>
        <v>0.28496437945256842</v>
      </c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</row>
    <row r="52" spans="2:85" x14ac:dyDescent="0.2">
      <c r="B52" s="2" t="s">
        <v>42</v>
      </c>
      <c r="C52" s="14"/>
      <c r="D52" s="14">
        <f>D26/D25</f>
        <v>0.28105039034776436</v>
      </c>
      <c r="E52" s="14">
        <f>E26/E25</f>
        <v>0.28176291793313069</v>
      </c>
      <c r="F52" s="14">
        <f>F26/F25</f>
        <v>0.29226361031518627</v>
      </c>
      <c r="G52" s="14">
        <f>G26/G25</f>
        <v>0.35395683453237409</v>
      </c>
      <c r="H52" s="14">
        <f t="shared" ref="H52:J52" si="44">H26/H25</f>
        <v>0.31293547409875794</v>
      </c>
      <c r="I52" s="14">
        <f t="shared" si="44"/>
        <v>0.35377906976744183</v>
      </c>
      <c r="J52" s="14" t="e">
        <f t="shared" si="44"/>
        <v>#DIV/0!</v>
      </c>
      <c r="K52" s="14"/>
      <c r="L52" s="14">
        <f t="shared" ref="L52:R52" si="45">L26/L25</f>
        <v>0.32533152647371993</v>
      </c>
      <c r="M52" s="14">
        <f t="shared" si="45"/>
        <v>0.3307932872307624</v>
      </c>
      <c r="N52" s="14">
        <f t="shared" si="45"/>
        <v>0.30850528434826369</v>
      </c>
      <c r="O52" s="14">
        <f t="shared" si="45"/>
        <v>0.29557367501456028</v>
      </c>
      <c r="P52" s="14">
        <f t="shared" si="45"/>
        <v>0.28155339805825241</v>
      </c>
      <c r="Q52" s="14">
        <f t="shared" si="45"/>
        <v>0.27791095890410961</v>
      </c>
      <c r="R52" s="14">
        <f t="shared" si="45"/>
        <v>0.28689161872181618</v>
      </c>
      <c r="S52" s="14">
        <f t="shared" ref="S52" si="46">S26/S25</f>
        <v>0.33397284533648169</v>
      </c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</row>
    <row r="53" spans="2:85" x14ac:dyDescent="0.2"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</row>
    <row r="54" spans="2:85" x14ac:dyDescent="0.2">
      <c r="B54" s="2" t="s">
        <v>44</v>
      </c>
      <c r="C54" s="6"/>
      <c r="D54" s="6"/>
      <c r="E54" s="6"/>
      <c r="F54" s="6"/>
      <c r="G54" s="6"/>
      <c r="H54" s="6"/>
      <c r="I54" s="6"/>
      <c r="J54" s="6"/>
      <c r="K54" s="6"/>
      <c r="L54" s="6">
        <v>15.7</v>
      </c>
      <c r="M54" s="6">
        <v>16.2</v>
      </c>
      <c r="N54" s="6">
        <v>42</v>
      </c>
      <c r="O54" s="6">
        <v>42</v>
      </c>
      <c r="P54" s="6">
        <v>0</v>
      </c>
      <c r="Q54" s="6">
        <v>72</v>
      </c>
      <c r="R54" s="6">
        <v>228</v>
      </c>
      <c r="S54" s="6">
        <v>180</v>
      </c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</row>
    <row r="55" spans="2:85" x14ac:dyDescent="0.2">
      <c r="B55" s="2" t="s">
        <v>45</v>
      </c>
      <c r="C55" s="6"/>
      <c r="D55" s="6"/>
      <c r="E55" s="6"/>
      <c r="F55" s="6"/>
      <c r="G55" s="6"/>
      <c r="H55" s="6"/>
      <c r="I55" s="6"/>
      <c r="J55" s="6"/>
      <c r="K55" s="6"/>
      <c r="L55" s="6">
        <v>142</v>
      </c>
      <c r="M55" s="6">
        <v>184.1</v>
      </c>
      <c r="N55" s="6">
        <v>221</v>
      </c>
      <c r="O55" s="6">
        <v>258</v>
      </c>
      <c r="P55" s="6">
        <v>213</v>
      </c>
      <c r="Q55" s="6">
        <v>225</v>
      </c>
      <c r="R55" s="6">
        <v>237</v>
      </c>
      <c r="S55" s="6">
        <v>231</v>
      </c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</row>
    <row r="56" spans="2:85" x14ac:dyDescent="0.2">
      <c r="B56" s="2" t="s">
        <v>46</v>
      </c>
      <c r="C56" s="6"/>
      <c r="D56" s="6"/>
      <c r="E56" s="6"/>
      <c r="F56" s="6"/>
      <c r="G56" s="6"/>
      <c r="H56" s="6"/>
      <c r="I56" s="6"/>
      <c r="J56" s="6"/>
      <c r="K56" s="6"/>
      <c r="L56" s="6">
        <v>982.9</v>
      </c>
      <c r="M56" s="6">
        <v>954.3</v>
      </c>
      <c r="N56" s="6">
        <v>1446</v>
      </c>
      <c r="O56" s="6">
        <v>1517</v>
      </c>
      <c r="P56" s="6">
        <v>1582</v>
      </c>
      <c r="Q56" s="6">
        <v>1716</v>
      </c>
      <c r="R56" s="6">
        <v>1786</v>
      </c>
      <c r="S56" s="6">
        <v>2002</v>
      </c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</row>
    <row r="57" spans="2:85" x14ac:dyDescent="0.2">
      <c r="B57" s="2" t="s">
        <v>47</v>
      </c>
      <c r="C57" s="6"/>
      <c r="D57" s="6"/>
      <c r="E57" s="6"/>
      <c r="F57" s="6"/>
      <c r="G57" s="6"/>
      <c r="H57" s="6"/>
      <c r="I57" s="6"/>
      <c r="J57" s="6"/>
      <c r="K57" s="6"/>
      <c r="L57" s="6">
        <v>1345.4</v>
      </c>
      <c r="M57" s="6">
        <v>1541.8</v>
      </c>
      <c r="N57" s="6">
        <v>1646</v>
      </c>
      <c r="O57" s="6">
        <v>1881</v>
      </c>
      <c r="P57" s="6">
        <v>2007</v>
      </c>
      <c r="Q57" s="6">
        <v>2340</v>
      </c>
      <c r="R57" s="6">
        <v>2980</v>
      </c>
      <c r="S57" s="6">
        <v>3486</v>
      </c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</row>
    <row r="58" spans="2:85" x14ac:dyDescent="0.2">
      <c r="B58" s="2" t="s">
        <v>48</v>
      </c>
      <c r="C58" s="6"/>
      <c r="D58" s="6"/>
      <c r="E58" s="6"/>
      <c r="F58" s="6"/>
      <c r="G58" s="6"/>
      <c r="H58" s="6"/>
      <c r="I58" s="6"/>
      <c r="J58" s="6"/>
      <c r="K58" s="6"/>
      <c r="L58" s="6">
        <v>76.900000000000006</v>
      </c>
      <c r="M58" s="6">
        <v>78</v>
      </c>
      <c r="N58" s="6">
        <v>73</v>
      </c>
      <c r="O58" s="6">
        <v>9</v>
      </c>
      <c r="P58" s="6">
        <v>8</v>
      </c>
      <c r="Q58" s="6">
        <v>7</v>
      </c>
      <c r="R58" s="6">
        <v>0</v>
      </c>
      <c r="S58" s="6">
        <v>0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</row>
    <row r="59" spans="2:85" x14ac:dyDescent="0.2">
      <c r="B59" s="2" t="s">
        <v>49</v>
      </c>
      <c r="C59" s="6"/>
      <c r="D59" s="6"/>
      <c r="E59" s="6"/>
      <c r="F59" s="6"/>
      <c r="G59" s="6"/>
      <c r="H59" s="6"/>
      <c r="I59" s="6"/>
      <c r="J59" s="6"/>
      <c r="K59" s="6"/>
      <c r="L59" s="6">
        <v>313.89999999999998</v>
      </c>
      <c r="M59" s="6">
        <v>357.4</v>
      </c>
      <c r="N59" s="6">
        <v>368</v>
      </c>
      <c r="O59" s="6">
        <v>617</v>
      </c>
      <c r="P59" s="6">
        <v>1109</v>
      </c>
      <c r="Q59" s="6">
        <v>1141</v>
      </c>
      <c r="R59" s="6">
        <v>1050</v>
      </c>
      <c r="S59" s="6">
        <v>1196</v>
      </c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</row>
    <row r="60" spans="2:85" x14ac:dyDescent="0.2">
      <c r="B60" s="2" t="s">
        <v>50</v>
      </c>
      <c r="C60" s="6"/>
      <c r="D60" s="6"/>
      <c r="E60" s="6"/>
      <c r="F60" s="6"/>
      <c r="G60" s="6"/>
      <c r="H60" s="6"/>
      <c r="I60" s="6"/>
      <c r="J60" s="6"/>
      <c r="K60" s="6"/>
      <c r="L60" s="6">
        <v>75.099999999999994</v>
      </c>
      <c r="M60" s="6">
        <v>79.3</v>
      </c>
      <c r="N60" s="6">
        <v>49</v>
      </c>
      <c r="O60" s="6">
        <v>51</v>
      </c>
      <c r="P60" s="6">
        <v>54</v>
      </c>
      <c r="Q60" s="6">
        <v>200</v>
      </c>
      <c r="R60" s="6">
        <v>238</v>
      </c>
      <c r="S60" s="6">
        <v>227</v>
      </c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</row>
    <row r="61" spans="2:85" x14ac:dyDescent="0.2">
      <c r="B61" s="2" t="s">
        <v>51</v>
      </c>
      <c r="C61" s="6"/>
      <c r="D61" s="6"/>
      <c r="E61" s="6"/>
      <c r="F61" s="6"/>
      <c r="G61" s="6"/>
      <c r="H61" s="6"/>
      <c r="I61" s="6"/>
      <c r="J61" s="6"/>
      <c r="K61" s="6"/>
      <c r="L61" s="6">
        <v>46.7</v>
      </c>
      <c r="M61" s="6">
        <v>58.1</v>
      </c>
      <c r="N61" s="6">
        <v>56</v>
      </c>
      <c r="O61" s="6">
        <v>59</v>
      </c>
      <c r="P61" s="6">
        <v>65</v>
      </c>
      <c r="Q61" s="6">
        <v>70</v>
      </c>
      <c r="R61" s="6">
        <v>0</v>
      </c>
      <c r="S61" s="6">
        <v>0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</row>
    <row r="62" spans="2:85" x14ac:dyDescent="0.2">
      <c r="B62" s="2" t="s">
        <v>52</v>
      </c>
      <c r="C62" s="6"/>
      <c r="D62" s="6"/>
      <c r="E62" s="6"/>
      <c r="F62" s="6"/>
      <c r="G62" s="6"/>
      <c r="H62" s="6"/>
      <c r="I62" s="6"/>
      <c r="J62" s="6"/>
      <c r="K62" s="6"/>
      <c r="L62" s="6">
        <v>562.4</v>
      </c>
      <c r="M62" s="6">
        <v>510.8</v>
      </c>
      <c r="N62" s="6">
        <v>475</v>
      </c>
      <c r="O62" s="6">
        <v>546</v>
      </c>
      <c r="P62" s="6">
        <v>555</v>
      </c>
      <c r="Q62" s="6">
        <v>631</v>
      </c>
      <c r="R62" s="6">
        <v>929</v>
      </c>
      <c r="S62" s="6">
        <v>914</v>
      </c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</row>
    <row r="63" spans="2:85" x14ac:dyDescent="0.2">
      <c r="B63" s="2" t="s">
        <v>53</v>
      </c>
      <c r="C63" s="6"/>
      <c r="D63" s="6"/>
      <c r="E63" s="6"/>
      <c r="F63" s="6"/>
      <c r="G63" s="6"/>
      <c r="H63" s="6"/>
      <c r="I63" s="6"/>
      <c r="J63" s="6"/>
      <c r="K63" s="6"/>
      <c r="L63" s="6">
        <v>15.3</v>
      </c>
      <c r="M63" s="6">
        <v>10.5</v>
      </c>
      <c r="N63" s="6">
        <v>24</v>
      </c>
      <c r="O63" s="6">
        <v>22</v>
      </c>
      <c r="P63" s="6">
        <v>39</v>
      </c>
      <c r="Q63" s="6">
        <v>37</v>
      </c>
      <c r="R63" s="6">
        <v>159</v>
      </c>
      <c r="S63" s="6">
        <v>176</v>
      </c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</row>
    <row r="64" spans="2:85" x14ac:dyDescent="0.2">
      <c r="B64" s="2" t="s">
        <v>54</v>
      </c>
      <c r="C64" s="6"/>
      <c r="D64" s="6"/>
      <c r="E64" s="6"/>
      <c r="F64" s="6"/>
      <c r="G64" s="6"/>
      <c r="H64" s="6"/>
      <c r="I64" s="6"/>
      <c r="J64" s="6"/>
      <c r="K64" s="6"/>
      <c r="L64" s="6">
        <f t="shared" ref="L64:Q64" si="47">SUM(L54:L63)</f>
        <v>3576.3</v>
      </c>
      <c r="M64" s="6">
        <f t="shared" si="47"/>
        <v>3790.5</v>
      </c>
      <c r="N64" s="6">
        <f t="shared" si="47"/>
        <v>4400</v>
      </c>
      <c r="O64" s="6">
        <f t="shared" si="47"/>
        <v>5002</v>
      </c>
      <c r="P64" s="6">
        <f t="shared" si="47"/>
        <v>5632</v>
      </c>
      <c r="Q64" s="6">
        <f t="shared" si="47"/>
        <v>6439</v>
      </c>
      <c r="R64" s="6">
        <f>SUM(R54:R63)</f>
        <v>7607</v>
      </c>
      <c r="S64" s="6">
        <f>SUM(S54:S63)</f>
        <v>8412</v>
      </c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</row>
    <row r="65" spans="2:85" x14ac:dyDescent="0.2">
      <c r="B65" s="2" t="s">
        <v>55</v>
      </c>
      <c r="C65" s="6"/>
      <c r="D65" s="6"/>
      <c r="E65" s="6"/>
      <c r="F65" s="6"/>
      <c r="G65" s="6"/>
      <c r="H65" s="6"/>
      <c r="I65" s="6"/>
      <c r="J65" s="6"/>
      <c r="K65" s="6"/>
      <c r="L65" s="6">
        <v>963.6</v>
      </c>
      <c r="M65" s="6">
        <v>1132.5999999999999</v>
      </c>
      <c r="N65" s="6">
        <v>1289</v>
      </c>
      <c r="O65" s="6">
        <v>1449</v>
      </c>
      <c r="P65" s="6">
        <v>1779</v>
      </c>
      <c r="Q65" s="6">
        <v>2414</v>
      </c>
      <c r="R65" s="6">
        <v>2797</v>
      </c>
      <c r="S65" s="6">
        <v>2575</v>
      </c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</row>
    <row r="66" spans="2:85" x14ac:dyDescent="0.2">
      <c r="B66" s="2" t="s">
        <v>56</v>
      </c>
      <c r="C66" s="6"/>
      <c r="D66" s="6"/>
      <c r="E66" s="6"/>
      <c r="F66" s="6"/>
      <c r="G66" s="6"/>
      <c r="H66" s="6"/>
      <c r="I66" s="6"/>
      <c r="J66" s="6"/>
      <c r="K66" s="6"/>
      <c r="L66" s="6">
        <v>280.7</v>
      </c>
      <c r="M66" s="6">
        <v>317.89999999999998</v>
      </c>
      <c r="N66" s="6">
        <v>250</v>
      </c>
      <c r="O66" s="6">
        <v>333</v>
      </c>
      <c r="P66" s="6">
        <v>383</v>
      </c>
      <c r="Q66" s="6">
        <v>431</v>
      </c>
      <c r="R66" s="6">
        <v>478</v>
      </c>
      <c r="S66" s="6">
        <v>418</v>
      </c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</row>
    <row r="67" spans="2:85" x14ac:dyDescent="0.2">
      <c r="B67" s="2" t="s">
        <v>57</v>
      </c>
      <c r="C67" s="6"/>
      <c r="D67" s="6"/>
      <c r="E67" s="6"/>
      <c r="F67" s="6"/>
      <c r="G67" s="6"/>
      <c r="H67" s="6"/>
      <c r="I67" s="6"/>
      <c r="J67" s="6"/>
      <c r="K67" s="6"/>
      <c r="L67" s="6">
        <v>17.899999999999999</v>
      </c>
      <c r="M67" s="6">
        <v>20.7</v>
      </c>
      <c r="N67" s="6">
        <v>63</v>
      </c>
      <c r="O67" s="6">
        <v>58</v>
      </c>
      <c r="P67" s="6">
        <v>19</v>
      </c>
      <c r="Q67" s="6">
        <v>51</v>
      </c>
      <c r="R67" s="6">
        <v>28</v>
      </c>
      <c r="S67" s="6">
        <v>45</v>
      </c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</row>
    <row r="68" spans="2:85" x14ac:dyDescent="0.2">
      <c r="B68" s="2" t="s">
        <v>58</v>
      </c>
      <c r="C68" s="6"/>
      <c r="D68" s="6"/>
      <c r="E68" s="6"/>
      <c r="F68" s="6"/>
      <c r="G68" s="6"/>
      <c r="H68" s="6"/>
      <c r="I68" s="6"/>
      <c r="J68" s="6"/>
      <c r="K68" s="6"/>
      <c r="L68" s="6">
        <v>199.4</v>
      </c>
      <c r="M68" s="6">
        <v>198.6</v>
      </c>
      <c r="N68" s="6">
        <v>193</v>
      </c>
      <c r="O68" s="6">
        <v>257</v>
      </c>
      <c r="P68" s="6">
        <v>263</v>
      </c>
      <c r="Q68" s="6">
        <v>300</v>
      </c>
      <c r="R68" s="6">
        <v>398</v>
      </c>
      <c r="S68" s="6">
        <v>370</v>
      </c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</row>
    <row r="69" spans="2:85" x14ac:dyDescent="0.2">
      <c r="B69" s="2" t="s">
        <v>59</v>
      </c>
      <c r="C69" s="6"/>
      <c r="D69" s="6"/>
      <c r="E69" s="6"/>
      <c r="F69" s="6"/>
      <c r="G69" s="6"/>
      <c r="H69" s="6"/>
      <c r="I69" s="6"/>
      <c r="J69" s="6"/>
      <c r="K69" s="6"/>
      <c r="L69" s="6">
        <v>34.9</v>
      </c>
      <c r="M69" s="6">
        <v>36.5</v>
      </c>
      <c r="N69" s="6">
        <v>121</v>
      </c>
      <c r="O69" s="6">
        <v>53</v>
      </c>
      <c r="P69" s="6">
        <v>160</v>
      </c>
      <c r="Q69" s="6">
        <v>188</v>
      </c>
      <c r="R69" s="6">
        <v>132</v>
      </c>
      <c r="S69" s="6">
        <v>262</v>
      </c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</row>
    <row r="70" spans="2:85" x14ac:dyDescent="0.2">
      <c r="B70" s="2" t="s">
        <v>43</v>
      </c>
      <c r="C70" s="6"/>
      <c r="D70" s="6"/>
      <c r="E70" s="6"/>
      <c r="F70" s="6"/>
      <c r="G70" s="6"/>
      <c r="H70" s="6"/>
      <c r="I70" s="6"/>
      <c r="J70" s="6"/>
      <c r="K70" s="6"/>
      <c r="L70" s="6">
        <v>3479.1</v>
      </c>
      <c r="M70" s="6">
        <v>4384.2</v>
      </c>
      <c r="N70" s="6">
        <v>4733</v>
      </c>
      <c r="O70" s="6">
        <v>6696</v>
      </c>
      <c r="P70" s="6">
        <v>9225</v>
      </c>
      <c r="Q70" s="6">
        <v>10625</v>
      </c>
      <c r="R70" s="6">
        <v>11642</v>
      </c>
      <c r="S70" s="6">
        <v>12239</v>
      </c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</row>
    <row r="71" spans="2:85" x14ac:dyDescent="0.2">
      <c r="B71" s="2" t="s">
        <v>60</v>
      </c>
      <c r="C71" s="6"/>
      <c r="D71" s="6"/>
      <c r="E71" s="6"/>
      <c r="F71" s="6"/>
      <c r="G71" s="6"/>
      <c r="H71" s="6"/>
      <c r="I71" s="6"/>
      <c r="J71" s="6"/>
      <c r="K71" s="6"/>
      <c r="L71" s="6">
        <f t="shared" ref="L71:Q71" si="48">SUM(L65:L70)</f>
        <v>4975.6000000000004</v>
      </c>
      <c r="M71" s="6">
        <f t="shared" si="48"/>
        <v>6090.5</v>
      </c>
      <c r="N71" s="6">
        <f t="shared" si="48"/>
        <v>6649</v>
      </c>
      <c r="O71" s="6">
        <f t="shared" si="48"/>
        <v>8846</v>
      </c>
      <c r="P71" s="6">
        <f t="shared" si="48"/>
        <v>11829</v>
      </c>
      <c r="Q71" s="6">
        <f t="shared" si="48"/>
        <v>14009</v>
      </c>
      <c r="R71" s="6">
        <f>SUM(R65:R70)</f>
        <v>15475</v>
      </c>
      <c r="S71" s="6">
        <f>SUM(S65:S70)</f>
        <v>15909</v>
      </c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</row>
    <row r="72" spans="2:85" x14ac:dyDescent="0.2">
      <c r="B72" s="1" t="s">
        <v>61</v>
      </c>
      <c r="C72" s="23"/>
      <c r="D72" s="23"/>
      <c r="E72" s="23"/>
      <c r="F72" s="23"/>
      <c r="G72" s="23"/>
      <c r="H72" s="23"/>
      <c r="I72" s="23"/>
      <c r="J72" s="23"/>
      <c r="K72" s="23"/>
      <c r="L72" s="23">
        <f t="shared" ref="L72:P72" si="49">L64+L71</f>
        <v>8551.9000000000015</v>
      </c>
      <c r="M72" s="23">
        <f t="shared" si="49"/>
        <v>9881</v>
      </c>
      <c r="N72" s="23">
        <f t="shared" si="49"/>
        <v>11049</v>
      </c>
      <c r="O72" s="23">
        <f t="shared" si="49"/>
        <v>13848</v>
      </c>
      <c r="P72" s="23">
        <f t="shared" si="49"/>
        <v>17461</v>
      </c>
      <c r="Q72" s="23">
        <f>Q64+Q71</f>
        <v>20448</v>
      </c>
      <c r="R72" s="23">
        <f>R64+R71</f>
        <v>23082</v>
      </c>
      <c r="S72" s="23">
        <f>S64+S71</f>
        <v>24321</v>
      </c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</row>
    <row r="73" spans="2:85" x14ac:dyDescent="0.2"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</row>
    <row r="74" spans="2:85" x14ac:dyDescent="0.2">
      <c r="B74" s="2" t="s">
        <v>62</v>
      </c>
      <c r="C74" s="6"/>
      <c r="D74" s="6"/>
      <c r="E74" s="6"/>
      <c r="F74" s="6"/>
      <c r="G74" s="6"/>
      <c r="H74" s="6"/>
      <c r="I74" s="6"/>
      <c r="J74" s="6"/>
      <c r="K74" s="6"/>
      <c r="L74" s="6">
        <v>53.8</v>
      </c>
      <c r="M74" s="6">
        <v>53.8</v>
      </c>
      <c r="N74" s="6">
        <v>54</v>
      </c>
      <c r="O74" s="6">
        <v>54</v>
      </c>
      <c r="P74" s="6">
        <v>54</v>
      </c>
      <c r="Q74" s="6">
        <v>54</v>
      </c>
      <c r="R74" s="6">
        <v>54</v>
      </c>
      <c r="S74" s="6">
        <v>54</v>
      </c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</row>
    <row r="75" spans="2:85" x14ac:dyDescent="0.2">
      <c r="B75" s="2" t="s">
        <v>63</v>
      </c>
      <c r="C75" s="6"/>
      <c r="D75" s="6"/>
      <c r="E75" s="6"/>
      <c r="F75" s="6"/>
      <c r="G75" s="6"/>
      <c r="H75" s="6"/>
      <c r="I75" s="6"/>
      <c r="J75" s="6"/>
      <c r="K75" s="6"/>
      <c r="L75" s="6">
        <v>49.6</v>
      </c>
      <c r="M75" s="6">
        <v>49.6</v>
      </c>
      <c r="N75" s="6">
        <v>50</v>
      </c>
      <c r="O75" s="6">
        <v>50</v>
      </c>
      <c r="P75" s="6">
        <v>50</v>
      </c>
      <c r="Q75" s="6">
        <v>50</v>
      </c>
      <c r="R75" s="6">
        <v>50</v>
      </c>
      <c r="S75" s="6">
        <v>50</v>
      </c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</row>
    <row r="76" spans="2:85" x14ac:dyDescent="0.2">
      <c r="B76" s="2" t="s">
        <v>64</v>
      </c>
      <c r="C76" s="6"/>
      <c r="D76" s="6"/>
      <c r="E76" s="6"/>
      <c r="F76" s="6"/>
      <c r="G76" s="6"/>
      <c r="H76" s="6"/>
      <c r="I76" s="6"/>
      <c r="J76" s="6"/>
      <c r="K76" s="6"/>
      <c r="L76" s="6">
        <v>-465.2</v>
      </c>
      <c r="M76" s="6">
        <v>-508.8</v>
      </c>
      <c r="N76" s="6">
        <v>-464</v>
      </c>
      <c r="O76" s="6">
        <v>-551</v>
      </c>
      <c r="P76" s="6">
        <v>-674</v>
      </c>
      <c r="Q76" s="6">
        <v>-698</v>
      </c>
      <c r="R76" s="6">
        <v>-670</v>
      </c>
      <c r="S76" s="6">
        <v>-677</v>
      </c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</row>
    <row r="77" spans="2:85" x14ac:dyDescent="0.2">
      <c r="B77" s="2" t="s">
        <v>65</v>
      </c>
      <c r="C77" s="6"/>
      <c r="D77" s="6"/>
      <c r="E77" s="6"/>
      <c r="F77" s="6"/>
      <c r="G77" s="6"/>
      <c r="H77" s="6"/>
      <c r="I77" s="6"/>
      <c r="J77" s="6"/>
      <c r="K77" s="6"/>
      <c r="L77" s="6">
        <v>4290.1000000000004</v>
      </c>
      <c r="M77" s="6">
        <v>5255.7</v>
      </c>
      <c r="N77" s="6">
        <v>6212</v>
      </c>
      <c r="O77" s="6">
        <v>7142</v>
      </c>
      <c r="P77" s="6">
        <v>8795</v>
      </c>
      <c r="Q77" s="6">
        <v>10744</v>
      </c>
      <c r="R77" s="6">
        <v>12464</v>
      </c>
      <c r="S77" s="6">
        <v>14443</v>
      </c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</row>
    <row r="78" spans="2:85" x14ac:dyDescent="0.2">
      <c r="B78" s="2" t="s">
        <v>66</v>
      </c>
      <c r="C78" s="6"/>
      <c r="D78" s="6"/>
      <c r="E78" s="6"/>
      <c r="F78" s="6"/>
      <c r="G78" s="6"/>
      <c r="H78" s="6"/>
      <c r="I78" s="6"/>
      <c r="J78" s="6"/>
      <c r="K78" s="6"/>
      <c r="L78" s="6">
        <v>88</v>
      </c>
      <c r="M78" s="6">
        <v>138.69999999999999</v>
      </c>
      <c r="N78" s="6">
        <v>38</v>
      </c>
      <c r="O78" s="6">
        <v>178</v>
      </c>
      <c r="P78" s="6">
        <v>303</v>
      </c>
      <c r="Q78" s="6">
        <v>189</v>
      </c>
      <c r="R78" s="6">
        <v>355</v>
      </c>
      <c r="S78" s="6">
        <v>-173</v>
      </c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</row>
    <row r="79" spans="2:85" x14ac:dyDescent="0.2">
      <c r="B79" s="2" t="s">
        <v>67</v>
      </c>
      <c r="C79" s="6"/>
      <c r="D79" s="6"/>
      <c r="E79" s="6"/>
      <c r="F79" s="6"/>
      <c r="G79" s="6"/>
      <c r="H79" s="6"/>
      <c r="I79" s="6"/>
      <c r="J79" s="6"/>
      <c r="K79" s="6"/>
      <c r="L79" s="6">
        <v>48</v>
      </c>
      <c r="M79" s="6">
        <v>50.9</v>
      </c>
      <c r="N79" s="6">
        <v>106</v>
      </c>
      <c r="O79" s="6">
        <v>83</v>
      </c>
      <c r="P79" s="6">
        <v>546</v>
      </c>
      <c r="Q79" s="6">
        <v>553</v>
      </c>
      <c r="R79" s="6">
        <v>471</v>
      </c>
      <c r="S79" s="6">
        <v>621</v>
      </c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</row>
    <row r="80" spans="2:85" x14ac:dyDescent="0.2">
      <c r="B80" s="2" t="s">
        <v>68</v>
      </c>
      <c r="C80" s="6"/>
      <c r="D80" s="6"/>
      <c r="E80" s="6"/>
      <c r="F80" s="6"/>
      <c r="G80" s="6"/>
      <c r="H80" s="6"/>
      <c r="I80" s="6"/>
      <c r="J80" s="6"/>
      <c r="K80" s="6"/>
      <c r="L80" s="6">
        <v>1405.5</v>
      </c>
      <c r="M80" s="6">
        <v>1528.2</v>
      </c>
      <c r="N80" s="6">
        <v>1385</v>
      </c>
      <c r="O80" s="6">
        <v>2445</v>
      </c>
      <c r="P80" s="6">
        <v>3367</v>
      </c>
      <c r="Q80" s="6">
        <v>4311</v>
      </c>
      <c r="R80" s="6">
        <v>4603</v>
      </c>
      <c r="S80" s="6">
        <v>4524</v>
      </c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</row>
    <row r="81" spans="1:85" x14ac:dyDescent="0.2">
      <c r="B81" s="2" t="s">
        <v>70</v>
      </c>
      <c r="C81" s="6"/>
      <c r="D81" s="6"/>
      <c r="E81" s="6"/>
      <c r="F81" s="6"/>
      <c r="G81" s="6"/>
      <c r="H81" s="6"/>
      <c r="I81" s="6"/>
      <c r="J81" s="6"/>
      <c r="K81" s="6"/>
      <c r="L81" s="6">
        <v>4.9000000000000004</v>
      </c>
      <c r="M81" s="6">
        <v>7.8</v>
      </c>
      <c r="N81" s="6">
        <v>11</v>
      </c>
      <c r="O81" s="6">
        <v>12</v>
      </c>
      <c r="P81" s="6">
        <v>16</v>
      </c>
      <c r="Q81" s="6">
        <v>2</v>
      </c>
      <c r="R81" s="6">
        <v>7</v>
      </c>
      <c r="S81" s="6">
        <v>6</v>
      </c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</row>
    <row r="82" spans="1:85" x14ac:dyDescent="0.2">
      <c r="A82" s="27"/>
      <c r="B82" s="1" t="s">
        <v>69</v>
      </c>
      <c r="C82" s="6"/>
      <c r="D82" s="6"/>
      <c r="E82" s="6"/>
      <c r="F82" s="6"/>
      <c r="G82" s="6"/>
      <c r="H82" s="6"/>
      <c r="I82" s="6"/>
      <c r="J82" s="6"/>
      <c r="K82" s="6"/>
      <c r="L82" s="23">
        <f t="shared" ref="L82:Q82" si="50">SUM(L74:L81)</f>
        <v>5474.7</v>
      </c>
      <c r="M82" s="23">
        <f t="shared" si="50"/>
        <v>6575.9</v>
      </c>
      <c r="N82" s="23">
        <f t="shared" si="50"/>
        <v>7392</v>
      </c>
      <c r="O82" s="23">
        <f t="shared" si="50"/>
        <v>9413</v>
      </c>
      <c r="P82" s="23">
        <f t="shared" si="50"/>
        <v>12457</v>
      </c>
      <c r="Q82" s="23">
        <f t="shared" si="50"/>
        <v>15205</v>
      </c>
      <c r="R82" s="23">
        <f>SUM(R74:R81)</f>
        <v>17334</v>
      </c>
      <c r="S82" s="23">
        <f>SUM(S74:S81)</f>
        <v>18848</v>
      </c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</row>
    <row r="83" spans="1:85" x14ac:dyDescent="0.2">
      <c r="B83" s="27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</row>
    <row r="84" spans="1:85" x14ac:dyDescent="0.2">
      <c r="B84" s="2" t="s">
        <v>73</v>
      </c>
      <c r="C84" s="6"/>
      <c r="D84" s="6"/>
      <c r="E84" s="6"/>
      <c r="F84" s="6"/>
      <c r="G84" s="6"/>
      <c r="H84" s="6"/>
      <c r="I84" s="6"/>
      <c r="J84" s="6"/>
      <c r="K84" s="6"/>
      <c r="L84" s="6">
        <v>27.5</v>
      </c>
      <c r="M84" s="6">
        <v>29.6</v>
      </c>
      <c r="N84" s="6">
        <v>18</v>
      </c>
      <c r="O84" s="6">
        <v>24</v>
      </c>
      <c r="P84" s="6">
        <v>35</v>
      </c>
      <c r="Q84" s="6">
        <v>50</v>
      </c>
      <c r="R84" s="6">
        <v>61</v>
      </c>
      <c r="S84" s="6">
        <v>34</v>
      </c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</row>
    <row r="85" spans="1:85" x14ac:dyDescent="0.2">
      <c r="B85" s="2" t="s">
        <v>72</v>
      </c>
      <c r="C85" s="6"/>
      <c r="D85" s="6"/>
      <c r="E85" s="6"/>
      <c r="F85" s="6"/>
      <c r="G85" s="6"/>
      <c r="H85" s="6"/>
      <c r="I85" s="6"/>
      <c r="J85" s="6"/>
      <c r="K85" s="6"/>
      <c r="L85" s="6">
        <v>936.7</v>
      </c>
      <c r="M85" s="6">
        <v>896</v>
      </c>
      <c r="N85" s="6">
        <v>1447</v>
      </c>
      <c r="O85" s="6">
        <v>1529</v>
      </c>
      <c r="P85" s="6">
        <v>1629</v>
      </c>
      <c r="Q85" s="6">
        <v>1720</v>
      </c>
      <c r="R85" s="6">
        <v>1781</v>
      </c>
      <c r="S85" s="6">
        <v>1987</v>
      </c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</row>
    <row r="86" spans="1:85" x14ac:dyDescent="0.2">
      <c r="B86" s="2" t="s">
        <v>71</v>
      </c>
      <c r="C86" s="6"/>
      <c r="D86" s="6"/>
      <c r="E86" s="6"/>
      <c r="F86" s="6"/>
      <c r="G86" s="6"/>
      <c r="H86" s="6"/>
      <c r="I86" s="6"/>
      <c r="J86" s="6"/>
      <c r="K86" s="6"/>
      <c r="L86" s="6">
        <v>16.399999999999999</v>
      </c>
      <c r="M86" s="6">
        <v>29</v>
      </c>
      <c r="N86" s="6">
        <v>22</v>
      </c>
      <c r="O86" s="6">
        <v>26</v>
      </c>
      <c r="P86" s="6">
        <v>30</v>
      </c>
      <c r="Q86" s="6">
        <v>31</v>
      </c>
      <c r="R86" s="6">
        <v>33</v>
      </c>
      <c r="S86" s="6">
        <v>38</v>
      </c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</row>
    <row r="87" spans="1:85" x14ac:dyDescent="0.2">
      <c r="B87" s="2" t="s">
        <v>74</v>
      </c>
      <c r="C87" s="6"/>
      <c r="D87" s="6"/>
      <c r="E87" s="6"/>
      <c r="F87" s="6"/>
      <c r="G87" s="6"/>
      <c r="H87" s="6"/>
      <c r="I87" s="6"/>
      <c r="J87" s="6"/>
      <c r="K87" s="6"/>
      <c r="L87" s="6">
        <v>196</v>
      </c>
      <c r="M87" s="6">
        <v>270</v>
      </c>
      <c r="N87" s="6">
        <v>275</v>
      </c>
      <c r="O87" s="6">
        <v>220</v>
      </c>
      <c r="P87" s="6">
        <v>181</v>
      </c>
      <c r="Q87" s="6">
        <v>151</v>
      </c>
      <c r="R87" s="6">
        <v>173</v>
      </c>
      <c r="S87" s="6">
        <v>146</v>
      </c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</row>
    <row r="88" spans="1:85" x14ac:dyDescent="0.2">
      <c r="B88" s="2" t="s">
        <v>75</v>
      </c>
      <c r="C88" s="6"/>
      <c r="D88" s="6"/>
      <c r="E88" s="6"/>
      <c r="F88" s="6"/>
      <c r="G88" s="6"/>
      <c r="H88" s="6"/>
      <c r="I88" s="6"/>
      <c r="J88" s="6"/>
      <c r="K88" s="6"/>
      <c r="L88" s="6">
        <v>37.299999999999997</v>
      </c>
      <c r="M88" s="6">
        <v>24.6</v>
      </c>
      <c r="N88" s="6">
        <v>22</v>
      </c>
      <c r="O88" s="6">
        <v>15</v>
      </c>
      <c r="P88" s="6">
        <v>20</v>
      </c>
      <c r="Q88" s="6">
        <v>2</v>
      </c>
      <c r="R88" s="6">
        <v>5</v>
      </c>
      <c r="S88" s="6">
        <v>14</v>
      </c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</row>
    <row r="89" spans="1:85" x14ac:dyDescent="0.2">
      <c r="B89" s="2" t="s">
        <v>76</v>
      </c>
      <c r="C89" s="6"/>
      <c r="D89" s="6"/>
      <c r="E89" s="6"/>
      <c r="F89" s="6"/>
      <c r="G89" s="6"/>
      <c r="H89" s="6"/>
      <c r="I89" s="6"/>
      <c r="J89" s="6"/>
      <c r="K89" s="6"/>
      <c r="L89" s="6">
        <v>46.5</v>
      </c>
      <c r="M89" s="6">
        <v>32.5</v>
      </c>
      <c r="N89" s="6">
        <v>36</v>
      </c>
      <c r="O89" s="6">
        <v>45</v>
      </c>
      <c r="P89" s="6">
        <v>103</v>
      </c>
      <c r="Q89" s="6">
        <v>106</v>
      </c>
      <c r="R89" s="6">
        <v>69</v>
      </c>
      <c r="S89" s="6">
        <v>72</v>
      </c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</row>
    <row r="90" spans="1:85" x14ac:dyDescent="0.2">
      <c r="B90" s="2" t="s">
        <v>77</v>
      </c>
      <c r="C90" s="6"/>
      <c r="D90" s="6"/>
      <c r="E90" s="6"/>
      <c r="F90" s="6"/>
      <c r="G90" s="6"/>
      <c r="H90" s="6"/>
      <c r="I90" s="6"/>
      <c r="J90" s="6"/>
      <c r="K90" s="6"/>
      <c r="L90" s="6">
        <f t="shared" ref="L90:Q90" si="51">SUM(L84:L89)</f>
        <v>1260.3999999999999</v>
      </c>
      <c r="M90" s="6">
        <f t="shared" si="51"/>
        <v>1281.6999999999998</v>
      </c>
      <c r="N90" s="6">
        <f t="shared" si="51"/>
        <v>1820</v>
      </c>
      <c r="O90" s="6">
        <f t="shared" si="51"/>
        <v>1859</v>
      </c>
      <c r="P90" s="6">
        <f t="shared" si="51"/>
        <v>1998</v>
      </c>
      <c r="Q90" s="6">
        <f t="shared" si="51"/>
        <v>2060</v>
      </c>
      <c r="R90" s="6">
        <f>SUM(R84:R89)</f>
        <v>2122</v>
      </c>
      <c r="S90" s="6">
        <f>SUM(S84:S89)</f>
        <v>2291</v>
      </c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</row>
    <row r="91" spans="1:85" x14ac:dyDescent="0.2">
      <c r="B91" s="2" t="s">
        <v>78</v>
      </c>
      <c r="C91" s="6"/>
      <c r="D91" s="6"/>
      <c r="E91" s="6"/>
      <c r="F91" s="6"/>
      <c r="G91" s="6"/>
      <c r="H91" s="6"/>
      <c r="I91" s="6"/>
      <c r="J91" s="6"/>
      <c r="K91" s="6"/>
      <c r="L91" s="6">
        <v>22.5</v>
      </c>
      <c r="M91" s="6">
        <v>20.5</v>
      </c>
      <c r="N91" s="6">
        <v>25</v>
      </c>
      <c r="O91" s="6">
        <v>1</v>
      </c>
      <c r="P91" s="6">
        <v>2</v>
      </c>
      <c r="Q91" s="6">
        <v>1</v>
      </c>
      <c r="R91" s="6">
        <v>0</v>
      </c>
      <c r="S91" s="6">
        <v>0</v>
      </c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</row>
    <row r="92" spans="1:85" x14ac:dyDescent="0.2">
      <c r="B92" s="2" t="s">
        <v>79</v>
      </c>
      <c r="C92" s="6"/>
      <c r="D92" s="6"/>
      <c r="E92" s="6"/>
      <c r="F92" s="6"/>
      <c r="G92" s="6"/>
      <c r="H92" s="6"/>
      <c r="I92" s="6"/>
      <c r="J92" s="6"/>
      <c r="K92" s="6"/>
      <c r="L92" s="6">
        <v>179.3</v>
      </c>
      <c r="M92" s="6">
        <v>195.6</v>
      </c>
      <c r="N92" s="6">
        <v>196</v>
      </c>
      <c r="O92" s="6">
        <v>248</v>
      </c>
      <c r="P92" s="6">
        <v>268</v>
      </c>
      <c r="Q92" s="6">
        <v>289</v>
      </c>
      <c r="R92" s="6">
        <v>332</v>
      </c>
      <c r="S92" s="6">
        <v>325</v>
      </c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</row>
    <row r="93" spans="1:85" x14ac:dyDescent="0.2">
      <c r="B93" s="2" t="s">
        <v>80</v>
      </c>
      <c r="C93" s="6"/>
      <c r="D93" s="6"/>
      <c r="E93" s="6"/>
      <c r="F93" s="6"/>
      <c r="G93" s="6"/>
      <c r="H93" s="6"/>
      <c r="I93" s="6"/>
      <c r="J93" s="6"/>
      <c r="K93" s="6"/>
      <c r="L93" s="6">
        <v>96.3</v>
      </c>
      <c r="M93" s="6">
        <v>101.4</v>
      </c>
      <c r="N93" s="6">
        <v>100</v>
      </c>
      <c r="O93" s="6">
        <v>115</v>
      </c>
      <c r="P93" s="6">
        <v>133</v>
      </c>
      <c r="Q93" s="6">
        <v>134</v>
      </c>
      <c r="R93" s="6">
        <v>96</v>
      </c>
      <c r="S93" s="6">
        <v>122</v>
      </c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</row>
    <row r="94" spans="1:85" x14ac:dyDescent="0.2">
      <c r="B94" s="2" t="s">
        <v>81</v>
      </c>
      <c r="C94" s="6"/>
      <c r="D94" s="6"/>
      <c r="E94" s="6"/>
      <c r="F94" s="6"/>
      <c r="G94" s="6"/>
      <c r="H94" s="6"/>
      <c r="I94" s="6"/>
      <c r="J94" s="6"/>
      <c r="K94" s="6"/>
      <c r="L94" s="6">
        <v>6.9</v>
      </c>
      <c r="M94" s="6">
        <v>18.2</v>
      </c>
      <c r="N94" s="6">
        <v>28</v>
      </c>
      <c r="O94" s="6">
        <v>40</v>
      </c>
      <c r="P94" s="6">
        <v>15</v>
      </c>
      <c r="Q94" s="6">
        <v>16</v>
      </c>
      <c r="R94" s="6">
        <v>16</v>
      </c>
      <c r="S94" s="6">
        <v>19</v>
      </c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</row>
    <row r="95" spans="1:85" x14ac:dyDescent="0.2">
      <c r="B95" s="2" t="s">
        <v>82</v>
      </c>
      <c r="C95" s="6"/>
      <c r="D95" s="6"/>
      <c r="E95" s="6"/>
      <c r="F95" s="6"/>
      <c r="G95" s="6"/>
      <c r="H95" s="6"/>
      <c r="I95" s="6"/>
      <c r="J95" s="6"/>
      <c r="K95" s="6"/>
      <c r="L95" s="6">
        <v>467</v>
      </c>
      <c r="M95" s="6">
        <v>480.4</v>
      </c>
      <c r="N95" s="6">
        <v>448</v>
      </c>
      <c r="O95" s="6">
        <v>535</v>
      </c>
      <c r="P95" s="6">
        <v>777</v>
      </c>
      <c r="Q95" s="6">
        <v>880</v>
      </c>
      <c r="R95" s="6">
        <v>832</v>
      </c>
      <c r="S95" s="6">
        <v>702</v>
      </c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</row>
    <row r="96" spans="1:85" x14ac:dyDescent="0.2">
      <c r="B96" s="2" t="s">
        <v>59</v>
      </c>
      <c r="C96" s="6"/>
      <c r="D96" s="6"/>
      <c r="E96" s="6"/>
      <c r="F96" s="6"/>
      <c r="G96" s="6"/>
      <c r="H96" s="6"/>
      <c r="I96" s="6"/>
      <c r="J96" s="6"/>
      <c r="K96" s="6"/>
      <c r="L96" s="6">
        <v>57.8</v>
      </c>
      <c r="M96" s="6">
        <v>47.1</v>
      </c>
      <c r="N96" s="6">
        <v>29</v>
      </c>
      <c r="O96" s="6">
        <v>122</v>
      </c>
      <c r="P96" s="6">
        <v>74</v>
      </c>
      <c r="Q96" s="6">
        <v>45</v>
      </c>
      <c r="R96" s="6">
        <v>161</v>
      </c>
      <c r="S96" s="6">
        <v>61</v>
      </c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</row>
    <row r="97" spans="2:85" x14ac:dyDescent="0.2">
      <c r="B97" s="2" t="s">
        <v>83</v>
      </c>
      <c r="C97" s="6"/>
      <c r="D97" s="6"/>
      <c r="E97" s="6"/>
      <c r="F97" s="6"/>
      <c r="G97" s="6"/>
      <c r="H97" s="6"/>
      <c r="I97" s="6"/>
      <c r="J97" s="6"/>
      <c r="K97" s="6"/>
      <c r="L97" s="6">
        <v>314.60000000000002</v>
      </c>
      <c r="M97" s="6">
        <v>360.1</v>
      </c>
      <c r="N97" s="6">
        <v>218</v>
      </c>
      <c r="O97" s="6">
        <v>347</v>
      </c>
      <c r="P97" s="6">
        <v>496</v>
      </c>
      <c r="Q97" s="6">
        <v>586</v>
      </c>
      <c r="R97" s="6">
        <v>773</v>
      </c>
      <c r="S97" s="6">
        <v>542</v>
      </c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</row>
    <row r="98" spans="2:85" x14ac:dyDescent="0.2">
      <c r="B98" s="2" t="s">
        <v>84</v>
      </c>
      <c r="C98" s="6"/>
      <c r="D98" s="6"/>
      <c r="E98" s="6"/>
      <c r="F98" s="6"/>
      <c r="G98" s="6"/>
      <c r="H98" s="6"/>
      <c r="I98" s="6"/>
      <c r="J98" s="6"/>
      <c r="K98" s="6"/>
      <c r="L98" s="6">
        <v>572.20000000000005</v>
      </c>
      <c r="M98" s="6">
        <v>800.2</v>
      </c>
      <c r="N98" s="6">
        <v>795</v>
      </c>
      <c r="O98" s="6">
        <v>1168</v>
      </c>
      <c r="P98" s="6">
        <v>1239</v>
      </c>
      <c r="Q98" s="6">
        <v>1233</v>
      </c>
      <c r="R98" s="6">
        <v>1419</v>
      </c>
      <c r="S98" s="6">
        <v>1414</v>
      </c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</row>
    <row r="99" spans="2:85" x14ac:dyDescent="0.2">
      <c r="B99" s="2" t="s">
        <v>85</v>
      </c>
      <c r="C99" s="6"/>
      <c r="D99" s="6"/>
      <c r="E99" s="6"/>
      <c r="F99" s="6"/>
      <c r="G99" s="6"/>
      <c r="H99" s="6"/>
      <c r="I99" s="6"/>
      <c r="J99" s="6"/>
      <c r="K99" s="6"/>
      <c r="L99" s="6">
        <f t="shared" ref="L99:P99" si="52">SUM(L91:L98)</f>
        <v>1716.6000000000001</v>
      </c>
      <c r="M99" s="6">
        <f t="shared" si="52"/>
        <v>2023.5</v>
      </c>
      <c r="N99" s="6">
        <f t="shared" si="52"/>
        <v>1839</v>
      </c>
      <c r="O99" s="6">
        <f t="shared" si="52"/>
        <v>2576</v>
      </c>
      <c r="P99" s="6">
        <f t="shared" si="52"/>
        <v>3004</v>
      </c>
      <c r="Q99" s="6">
        <f>SUM(Q91:Q98)</f>
        <v>3184</v>
      </c>
      <c r="R99" s="6">
        <f>SUM(R91:R98)</f>
        <v>3629</v>
      </c>
      <c r="S99" s="6">
        <f>SUM(S91:S98)</f>
        <v>3185</v>
      </c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</row>
    <row r="100" spans="2:85" x14ac:dyDescent="0.2">
      <c r="B100" s="2" t="s">
        <v>87</v>
      </c>
      <c r="C100" s="6"/>
      <c r="D100" s="6"/>
      <c r="E100" s="6"/>
      <c r="F100" s="6"/>
      <c r="G100" s="6"/>
      <c r="H100" s="6"/>
      <c r="I100" s="6"/>
      <c r="J100" s="6"/>
      <c r="K100" s="6"/>
      <c r="L100" s="6">
        <f t="shared" ref="L100:Q100" si="53">L99+L90</f>
        <v>2977</v>
      </c>
      <c r="M100" s="6">
        <f t="shared" si="53"/>
        <v>3305.2</v>
      </c>
      <c r="N100" s="6">
        <f t="shared" si="53"/>
        <v>3659</v>
      </c>
      <c r="O100" s="6">
        <f t="shared" si="53"/>
        <v>4435</v>
      </c>
      <c r="P100" s="6">
        <f t="shared" si="53"/>
        <v>5002</v>
      </c>
      <c r="Q100" s="6">
        <f t="shared" si="53"/>
        <v>5244</v>
      </c>
      <c r="R100" s="6">
        <f>R99+R90</f>
        <v>5751</v>
      </c>
      <c r="S100" s="6">
        <f>S99+S90</f>
        <v>5476</v>
      </c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</row>
    <row r="101" spans="2:85" x14ac:dyDescent="0.2">
      <c r="B101" s="1" t="s">
        <v>86</v>
      </c>
      <c r="C101" s="6"/>
      <c r="D101" s="6"/>
      <c r="E101" s="6"/>
      <c r="F101" s="6"/>
      <c r="G101" s="6"/>
      <c r="H101" s="6"/>
      <c r="I101" s="6"/>
      <c r="J101" s="6"/>
      <c r="K101" s="6"/>
      <c r="L101" s="23">
        <f t="shared" ref="L101:Q101" si="54">L100+L82</f>
        <v>8451.7000000000007</v>
      </c>
      <c r="M101" s="23">
        <f t="shared" si="54"/>
        <v>9881.0999999999985</v>
      </c>
      <c r="N101" s="23">
        <f t="shared" si="54"/>
        <v>11051</v>
      </c>
      <c r="O101" s="23">
        <f t="shared" si="54"/>
        <v>13848</v>
      </c>
      <c r="P101" s="23">
        <f t="shared" si="54"/>
        <v>17459</v>
      </c>
      <c r="Q101" s="23">
        <f t="shared" si="54"/>
        <v>20449</v>
      </c>
      <c r="R101" s="23">
        <f>R100+R82</f>
        <v>23085</v>
      </c>
      <c r="S101" s="23">
        <f>S100+S82</f>
        <v>24324</v>
      </c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</row>
    <row r="102" spans="2:85" x14ac:dyDescent="0.2">
      <c r="C102" s="6"/>
      <c r="D102" s="6"/>
      <c r="E102" s="6"/>
      <c r="F102" s="6"/>
      <c r="G102" s="6"/>
      <c r="H102" s="6"/>
      <c r="I102" s="6"/>
      <c r="J102" s="6"/>
      <c r="K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</row>
    <row r="103" spans="2:85" x14ac:dyDescent="0.2">
      <c r="B103" s="2" t="s">
        <v>88</v>
      </c>
      <c r="C103" s="6"/>
      <c r="D103" s="6"/>
      <c r="E103" s="6"/>
      <c r="F103" s="6"/>
      <c r="G103" s="6"/>
      <c r="H103" s="6"/>
      <c r="I103" s="6"/>
      <c r="J103" s="6"/>
      <c r="K103" s="6"/>
      <c r="L103" s="6">
        <f t="shared" ref="L103:S103" si="55">L30</f>
        <v>1405.4999999999998</v>
      </c>
      <c r="M103" s="6">
        <f t="shared" si="55"/>
        <v>1528.2000000000003</v>
      </c>
      <c r="N103" s="6">
        <f t="shared" si="55"/>
        <v>1385</v>
      </c>
      <c r="O103" s="6">
        <f t="shared" si="55"/>
        <v>2445</v>
      </c>
      <c r="P103" s="6">
        <f t="shared" si="55"/>
        <v>3367</v>
      </c>
      <c r="Q103" s="6">
        <f t="shared" si="55"/>
        <v>4311</v>
      </c>
      <c r="R103" s="6">
        <f t="shared" si="55"/>
        <v>4602</v>
      </c>
      <c r="S103" s="6">
        <f t="shared" si="55"/>
        <v>4524</v>
      </c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</row>
    <row r="104" spans="2:85" x14ac:dyDescent="0.2">
      <c r="B104" s="2" t="s">
        <v>89</v>
      </c>
      <c r="C104" s="6"/>
      <c r="D104" s="6"/>
      <c r="E104" s="6"/>
      <c r="F104" s="6"/>
      <c r="G104" s="6"/>
      <c r="H104" s="6"/>
      <c r="I104" s="6"/>
      <c r="J104" s="6"/>
      <c r="K104" s="6"/>
      <c r="L104" s="6">
        <f>217+188.8</f>
        <v>405.8</v>
      </c>
      <c r="M104" s="6">
        <f>236.2+211.5</f>
        <v>447.7</v>
      </c>
      <c r="N104" s="6">
        <f>271+243</f>
        <v>514</v>
      </c>
      <c r="O104" s="6">
        <f>312+251</f>
        <v>563</v>
      </c>
      <c r="P104" s="6">
        <v>730</v>
      </c>
      <c r="Q104" s="6">
        <v>772</v>
      </c>
      <c r="R104" s="6">
        <v>844</v>
      </c>
      <c r="S104" s="6">
        <v>926</v>
      </c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</row>
    <row r="105" spans="2:85" x14ac:dyDescent="0.2">
      <c r="B105" s="2" t="s">
        <v>90</v>
      </c>
      <c r="C105" s="6"/>
      <c r="D105" s="6"/>
      <c r="E105" s="6"/>
      <c r="F105" s="6"/>
      <c r="G105" s="6"/>
      <c r="H105" s="6"/>
      <c r="I105" s="6"/>
      <c r="J105" s="6"/>
      <c r="K105" s="6"/>
      <c r="L105" s="6">
        <f>70.3-0.2-3.6</f>
        <v>66.5</v>
      </c>
      <c r="M105" s="6">
        <f>28.5-0.3-19</f>
        <v>9.1999999999999993</v>
      </c>
      <c r="N105" s="6">
        <f>54+1+30</f>
        <v>85</v>
      </c>
      <c r="O105" s="6">
        <f>61-1-46</f>
        <v>14</v>
      </c>
      <c r="P105" s="6">
        <v>12</v>
      </c>
      <c r="Q105" s="6">
        <v>56</v>
      </c>
      <c r="R105" s="6">
        <v>-56</v>
      </c>
      <c r="S105" s="6">
        <v>79</v>
      </c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</row>
    <row r="106" spans="2:85" x14ac:dyDescent="0.2">
      <c r="B106" s="2" t="s">
        <v>91</v>
      </c>
      <c r="C106" s="6"/>
      <c r="D106" s="6"/>
      <c r="E106" s="6"/>
      <c r="F106" s="6"/>
      <c r="G106" s="6"/>
      <c r="H106" s="6"/>
      <c r="I106" s="6"/>
      <c r="J106" s="6"/>
      <c r="K106" s="6"/>
      <c r="L106" s="6">
        <v>30.3</v>
      </c>
      <c r="M106" s="6">
        <v>41</v>
      </c>
      <c r="N106" s="6">
        <v>26</v>
      </c>
      <c r="O106" s="6">
        <v>28</v>
      </c>
      <c r="P106" s="6">
        <v>12</v>
      </c>
      <c r="Q106" s="6">
        <v>15</v>
      </c>
      <c r="R106" s="6">
        <v>-29</v>
      </c>
      <c r="S106" s="6">
        <v>27</v>
      </c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</row>
    <row r="107" spans="2:85" x14ac:dyDescent="0.2">
      <c r="B107" s="2" t="s">
        <v>92</v>
      </c>
      <c r="C107" s="6"/>
      <c r="D107" s="6"/>
      <c r="E107" s="6"/>
      <c r="F107" s="6"/>
      <c r="G107" s="6"/>
      <c r="H107" s="6"/>
      <c r="I107" s="6"/>
      <c r="J107" s="6"/>
      <c r="K107" s="6"/>
      <c r="L107" s="6">
        <v>-16.600000000000001</v>
      </c>
      <c r="M107" s="6">
        <v>-15.9</v>
      </c>
      <c r="N107" s="6">
        <v>-16</v>
      </c>
      <c r="O107" s="6">
        <v>-34</v>
      </c>
      <c r="P107" s="6">
        <v>-50</v>
      </c>
      <c r="Q107" s="6">
        <v>-105</v>
      </c>
      <c r="R107" s="6">
        <v>-44</v>
      </c>
      <c r="S107" s="6">
        <v>-47</v>
      </c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</row>
    <row r="108" spans="2:85" x14ac:dyDescent="0.2">
      <c r="B108" s="2" t="s">
        <v>93</v>
      </c>
      <c r="C108" s="6"/>
      <c r="D108" s="6"/>
      <c r="E108" s="6"/>
      <c r="F108" s="6"/>
      <c r="G108" s="6"/>
      <c r="H108" s="6"/>
      <c r="I108" s="6"/>
      <c r="J108" s="6"/>
      <c r="K108" s="6"/>
      <c r="L108" s="6">
        <v>5.0999999999999996</v>
      </c>
      <c r="M108" s="6">
        <v>7</v>
      </c>
      <c r="N108" s="6">
        <v>4</v>
      </c>
      <c r="O108" s="6">
        <v>8</v>
      </c>
      <c r="P108" s="6">
        <v>13</v>
      </c>
      <c r="Q108" s="6">
        <v>12</v>
      </c>
      <c r="R108" s="6">
        <v>28</v>
      </c>
      <c r="S108" s="6">
        <v>36</v>
      </c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</row>
    <row r="109" spans="2:85" x14ac:dyDescent="0.2">
      <c r="B109" s="2" t="s">
        <v>94</v>
      </c>
      <c r="C109" s="6"/>
      <c r="D109" s="6"/>
      <c r="E109" s="6"/>
      <c r="F109" s="6"/>
      <c r="G109" s="6"/>
      <c r="H109" s="6"/>
      <c r="I109" s="6"/>
      <c r="J109" s="6"/>
      <c r="K109" s="6"/>
      <c r="L109" s="6">
        <v>-49.5</v>
      </c>
      <c r="M109" s="6">
        <v>1.2</v>
      </c>
      <c r="N109" s="6">
        <v>-90</v>
      </c>
      <c r="O109" s="6">
        <v>-4</v>
      </c>
      <c r="P109" s="6">
        <v>-1</v>
      </c>
      <c r="Q109" s="6">
        <v>-14</v>
      </c>
      <c r="R109" s="6">
        <v>-2</v>
      </c>
      <c r="S109" s="6">
        <v>3</v>
      </c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</row>
    <row r="110" spans="2:85" x14ac:dyDescent="0.2">
      <c r="B110" s="2" t="s">
        <v>95</v>
      </c>
      <c r="C110" s="6"/>
      <c r="D110" s="6"/>
      <c r="E110" s="6"/>
      <c r="F110" s="6"/>
      <c r="G110" s="6"/>
      <c r="H110" s="6"/>
      <c r="I110" s="6"/>
      <c r="J110" s="6"/>
      <c r="K110" s="6"/>
      <c r="L110" s="6">
        <v>-24.7</v>
      </c>
      <c r="M110" s="6">
        <v>-29</v>
      </c>
      <c r="N110" s="6">
        <v>5</v>
      </c>
      <c r="O110" s="6">
        <v>-15</v>
      </c>
      <c r="P110" s="6">
        <v>-16</v>
      </c>
      <c r="Q110" s="6">
        <v>-14</v>
      </c>
      <c r="R110" s="6">
        <v>-93</v>
      </c>
      <c r="S110" s="6">
        <v>-45</v>
      </c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</row>
    <row r="111" spans="2:85" x14ac:dyDescent="0.2">
      <c r="B111" s="2" t="s">
        <v>96</v>
      </c>
      <c r="C111" s="6"/>
      <c r="D111" s="6"/>
      <c r="E111" s="6"/>
      <c r="F111" s="6"/>
      <c r="G111" s="6"/>
      <c r="H111" s="6"/>
      <c r="I111" s="6"/>
      <c r="J111" s="6"/>
      <c r="K111" s="6"/>
      <c r="L111" s="6">
        <v>51.4</v>
      </c>
      <c r="M111" s="6">
        <v>87.7</v>
      </c>
      <c r="N111" s="6">
        <v>79</v>
      </c>
      <c r="O111" s="6">
        <v>59</v>
      </c>
      <c r="P111" s="6">
        <v>55</v>
      </c>
      <c r="Q111" s="6">
        <v>104</v>
      </c>
      <c r="R111" s="6">
        <v>142</v>
      </c>
      <c r="S111" s="6">
        <v>132</v>
      </c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</row>
    <row r="112" spans="2:85" x14ac:dyDescent="0.2">
      <c r="B112" s="2" t="s">
        <v>97</v>
      </c>
      <c r="C112" s="6"/>
      <c r="D112" s="6"/>
      <c r="E112" s="6"/>
      <c r="F112" s="6"/>
      <c r="G112" s="6"/>
      <c r="H112" s="6"/>
      <c r="I112" s="6"/>
      <c r="J112" s="6"/>
      <c r="K112" s="6"/>
      <c r="L112" s="6">
        <v>-10</v>
      </c>
      <c r="M112" s="6">
        <v>-13.3</v>
      </c>
      <c r="N112" s="6">
        <v>0</v>
      </c>
      <c r="O112" s="6">
        <v>-10</v>
      </c>
      <c r="P112" s="6">
        <v>-11</v>
      </c>
      <c r="Q112" s="6">
        <v>-12</v>
      </c>
      <c r="R112" s="6">
        <v>-16</v>
      </c>
      <c r="S112" s="6">
        <v>-27</v>
      </c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</row>
    <row r="113" spans="2:85" x14ac:dyDescent="0.2">
      <c r="B113" s="2" t="s">
        <v>98</v>
      </c>
      <c r="C113" s="6"/>
      <c r="D113" s="6"/>
      <c r="E113" s="6"/>
      <c r="F113" s="6"/>
      <c r="G113" s="6"/>
      <c r="H113" s="6"/>
      <c r="I113" s="6"/>
      <c r="J113" s="6"/>
      <c r="K113" s="6"/>
      <c r="L113" s="6">
        <v>-0.3</v>
      </c>
      <c r="M113" s="6">
        <v>-0.3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-1</v>
      </c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</row>
    <row r="114" spans="2:85" x14ac:dyDescent="0.2">
      <c r="B114" s="2" t="s">
        <v>99</v>
      </c>
      <c r="C114" s="6"/>
      <c r="D114" s="6"/>
      <c r="E114" s="6"/>
      <c r="F114" s="6"/>
      <c r="G114" s="6"/>
      <c r="H114" s="6"/>
      <c r="I114" s="6"/>
      <c r="J114" s="6"/>
      <c r="K114" s="6"/>
      <c r="L114" s="6">
        <v>76.7</v>
      </c>
      <c r="M114" s="6">
        <v>23.9</v>
      </c>
      <c r="N114" s="6">
        <v>-350</v>
      </c>
      <c r="O114" s="6">
        <v>346</v>
      </c>
      <c r="P114" s="6">
        <v>73</v>
      </c>
      <c r="Q114" s="6">
        <v>-794</v>
      </c>
      <c r="R114" s="6">
        <v>-239</v>
      </c>
      <c r="S114" s="6">
        <v>-233</v>
      </c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</row>
    <row r="115" spans="2:85" x14ac:dyDescent="0.2">
      <c r="B115" s="1" t="s">
        <v>100</v>
      </c>
      <c r="C115" s="6"/>
      <c r="D115" s="6"/>
      <c r="E115" s="6"/>
      <c r="F115" s="6"/>
      <c r="G115" s="6"/>
      <c r="H115" s="6"/>
      <c r="I115" s="6"/>
      <c r="J115" s="6"/>
      <c r="K115" s="6"/>
      <c r="L115" s="23">
        <f t="shared" ref="L115:Q115" si="56">SUM(L103:L114)</f>
        <v>1940.1999999999998</v>
      </c>
      <c r="M115" s="23">
        <f t="shared" si="56"/>
        <v>2087.4</v>
      </c>
      <c r="N115" s="23">
        <f t="shared" si="56"/>
        <v>1642</v>
      </c>
      <c r="O115" s="23">
        <f t="shared" si="56"/>
        <v>3400</v>
      </c>
      <c r="P115" s="23">
        <f t="shared" si="56"/>
        <v>4184</v>
      </c>
      <c r="Q115" s="23">
        <f t="shared" si="56"/>
        <v>4331</v>
      </c>
      <c r="R115" s="23">
        <f>SUM(R103:R114)</f>
        <v>5137</v>
      </c>
      <c r="S115" s="23">
        <f>SUM(S103:S114)</f>
        <v>5374</v>
      </c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</row>
    <row r="116" spans="2:85" x14ac:dyDescent="0.2">
      <c r="B116" s="2" t="s">
        <v>101</v>
      </c>
      <c r="C116" s="6"/>
      <c r="D116" s="6"/>
      <c r="E116" s="6"/>
      <c r="F116" s="6"/>
      <c r="G116" s="6"/>
      <c r="H116" s="6"/>
      <c r="I116" s="6"/>
      <c r="J116" s="6"/>
      <c r="K116" s="6"/>
      <c r="L116" s="6">
        <v>-312.3</v>
      </c>
      <c r="M116" s="6">
        <v>-478</v>
      </c>
      <c r="N116" s="6">
        <v>-448</v>
      </c>
      <c r="O116" s="6">
        <v>-532</v>
      </c>
      <c r="P116" s="6">
        <v>-518</v>
      </c>
      <c r="Q116" s="6">
        <v>-859</v>
      </c>
      <c r="R116" s="6">
        <v>-1067</v>
      </c>
      <c r="S116" s="6">
        <v>-1161</v>
      </c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</row>
    <row r="117" spans="2:85" x14ac:dyDescent="0.2">
      <c r="B117" s="2" t="s">
        <v>102</v>
      </c>
      <c r="C117" s="6"/>
      <c r="D117" s="6"/>
      <c r="E117" s="6"/>
      <c r="F117" s="6"/>
      <c r="G117" s="6"/>
      <c r="H117" s="6"/>
      <c r="I117" s="6"/>
      <c r="J117" s="6"/>
      <c r="K117" s="6"/>
      <c r="L117" s="6">
        <v>-8.4</v>
      </c>
      <c r="M117" s="6">
        <v>-12.8</v>
      </c>
      <c r="N117" s="6">
        <v>-72</v>
      </c>
      <c r="O117" s="6">
        <v>0</v>
      </c>
      <c r="P117" s="6">
        <v>-1</v>
      </c>
      <c r="Q117" s="6">
        <v>-288</v>
      </c>
      <c r="R117" s="6">
        <v>-229</v>
      </c>
      <c r="S117" s="6">
        <v>-60</v>
      </c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</row>
    <row r="118" spans="2:85" x14ac:dyDescent="0.2">
      <c r="B118" s="2" t="s">
        <v>103</v>
      </c>
      <c r="C118" s="6"/>
      <c r="D118" s="6"/>
      <c r="E118" s="6"/>
      <c r="F118" s="6"/>
      <c r="G118" s="6"/>
      <c r="H118" s="6"/>
      <c r="I118" s="6"/>
      <c r="J118" s="6"/>
      <c r="K118" s="6"/>
      <c r="L118" s="6">
        <v>-80</v>
      </c>
      <c r="M118" s="6">
        <v>-76.599999999999994</v>
      </c>
      <c r="N118" s="6">
        <v>-36</v>
      </c>
      <c r="O118" s="6">
        <v>-198</v>
      </c>
      <c r="P118" s="6">
        <v>-165</v>
      </c>
      <c r="Q118" s="6">
        <v>-52</v>
      </c>
      <c r="R118" s="6">
        <v>-27</v>
      </c>
      <c r="S118" s="6">
        <v>-180</v>
      </c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</row>
    <row r="119" spans="2:85" x14ac:dyDescent="0.2">
      <c r="B119" s="2" t="s">
        <v>104</v>
      </c>
      <c r="C119" s="6"/>
      <c r="D119" s="6"/>
      <c r="E119" s="6"/>
      <c r="F119" s="6"/>
      <c r="G119" s="6"/>
      <c r="H119" s="6"/>
      <c r="I119" s="6"/>
      <c r="J119" s="6"/>
      <c r="K119" s="6"/>
      <c r="L119" s="6">
        <v>-4.4000000000000004</v>
      </c>
      <c r="M119" s="6">
        <v>23.5</v>
      </c>
      <c r="N119" s="6">
        <v>0</v>
      </c>
      <c r="O119" s="6">
        <v>3</v>
      </c>
      <c r="P119" s="6">
        <v>1</v>
      </c>
      <c r="Q119" s="6">
        <v>0</v>
      </c>
      <c r="R119" s="6">
        <v>1</v>
      </c>
      <c r="S119" s="6">
        <v>1</v>
      </c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</row>
    <row r="120" spans="2:85" x14ac:dyDescent="0.2">
      <c r="B120" s="2" t="s">
        <v>105</v>
      </c>
      <c r="C120" s="6"/>
      <c r="D120" s="6"/>
      <c r="E120" s="6"/>
      <c r="F120" s="6"/>
      <c r="G120" s="6"/>
      <c r="H120" s="6"/>
      <c r="I120" s="6"/>
      <c r="J120" s="6"/>
      <c r="K120" s="6"/>
      <c r="L120" s="6">
        <v>69.099999999999994</v>
      </c>
      <c r="M120" s="6">
        <v>0.3</v>
      </c>
      <c r="N120" s="6">
        <v>81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</row>
    <row r="121" spans="2:85" x14ac:dyDescent="0.2">
      <c r="B121" s="2" t="s">
        <v>106</v>
      </c>
      <c r="C121" s="6"/>
      <c r="D121" s="6"/>
      <c r="E121" s="6"/>
      <c r="F121" s="6"/>
      <c r="G121" s="6"/>
      <c r="H121" s="6"/>
      <c r="I121" s="6"/>
      <c r="J121" s="6"/>
      <c r="K121" s="6"/>
      <c r="L121" s="6">
        <v>69.099999999999994</v>
      </c>
      <c r="M121" s="6">
        <v>35</v>
      </c>
      <c r="N121" s="6">
        <v>10</v>
      </c>
      <c r="O121" s="6">
        <v>6</v>
      </c>
      <c r="P121" s="6">
        <v>5</v>
      </c>
      <c r="Q121" s="6">
        <v>0</v>
      </c>
      <c r="R121" s="6">
        <v>145</v>
      </c>
      <c r="S121" s="6">
        <v>9</v>
      </c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</row>
    <row r="122" spans="2:85" x14ac:dyDescent="0.2">
      <c r="B122" s="2" t="s">
        <v>107</v>
      </c>
      <c r="C122" s="6"/>
      <c r="D122" s="6"/>
      <c r="E122" s="6"/>
      <c r="F122" s="6"/>
      <c r="G122" s="6"/>
      <c r="H122" s="6"/>
      <c r="I122" s="6"/>
      <c r="J122" s="6"/>
      <c r="K122" s="6"/>
      <c r="L122" s="6">
        <v>0</v>
      </c>
      <c r="M122" s="6">
        <v>0</v>
      </c>
      <c r="N122" s="6">
        <v>11</v>
      </c>
      <c r="O122" s="6">
        <v>6</v>
      </c>
      <c r="P122" s="6">
        <v>32</v>
      </c>
      <c r="Q122" s="6">
        <v>93</v>
      </c>
      <c r="R122" s="6">
        <v>-49</v>
      </c>
      <c r="S122" s="6">
        <v>39</v>
      </c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</row>
    <row r="123" spans="2:85" x14ac:dyDescent="0.2">
      <c r="B123" s="2" t="s">
        <v>108</v>
      </c>
      <c r="C123" s="6"/>
      <c r="D123" s="6"/>
      <c r="E123" s="6"/>
      <c r="F123" s="6"/>
      <c r="G123" s="6"/>
      <c r="H123" s="6"/>
      <c r="I123" s="6"/>
      <c r="J123" s="6"/>
      <c r="K123" s="6"/>
      <c r="L123" s="6">
        <v>27.6</v>
      </c>
      <c r="M123" s="6">
        <v>37.5</v>
      </c>
      <c r="N123" s="6">
        <v>21</v>
      </c>
      <c r="O123" s="6">
        <v>47</v>
      </c>
      <c r="P123" s="6">
        <v>67</v>
      </c>
      <c r="Q123" s="6">
        <v>112</v>
      </c>
      <c r="R123" s="6">
        <v>39</v>
      </c>
      <c r="S123" s="6">
        <v>75</v>
      </c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</row>
    <row r="124" spans="2:85" x14ac:dyDescent="0.2">
      <c r="B124" s="1" t="s">
        <v>109</v>
      </c>
      <c r="C124" s="6"/>
      <c r="D124" s="6"/>
      <c r="E124" s="6"/>
      <c r="F124" s="6"/>
      <c r="G124" s="6"/>
      <c r="H124" s="6"/>
      <c r="I124" s="6"/>
      <c r="J124" s="6"/>
      <c r="K124" s="6"/>
      <c r="L124" s="23">
        <f t="shared" ref="L124:Q124" si="57">SUM(L116:L123)</f>
        <v>-239.29999999999998</v>
      </c>
      <c r="M124" s="23">
        <f t="shared" si="57"/>
        <v>-471.1</v>
      </c>
      <c r="N124" s="23">
        <f t="shared" si="57"/>
        <v>-433</v>
      </c>
      <c r="O124" s="23">
        <f t="shared" si="57"/>
        <v>-668</v>
      </c>
      <c r="P124" s="23">
        <f t="shared" si="57"/>
        <v>-579</v>
      </c>
      <c r="Q124" s="23">
        <f t="shared" si="57"/>
        <v>-994</v>
      </c>
      <c r="R124" s="23">
        <f>SUM(R116:R123)</f>
        <v>-1187</v>
      </c>
      <c r="S124" s="23">
        <f>SUM(S116:S123)</f>
        <v>-1277</v>
      </c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</row>
    <row r="125" spans="2:85" x14ac:dyDescent="0.2">
      <c r="B125" s="2" t="s">
        <v>110</v>
      </c>
      <c r="C125" s="6"/>
      <c r="D125" s="6"/>
      <c r="E125" s="6"/>
      <c r="F125" s="6"/>
      <c r="G125" s="6"/>
      <c r="H125" s="6"/>
      <c r="I125" s="6"/>
      <c r="J125" s="6"/>
      <c r="K125" s="6"/>
      <c r="L125" s="6">
        <v>-958.3</v>
      </c>
      <c r="M125" s="6">
        <v>-486.6</v>
      </c>
      <c r="N125" s="6">
        <v>-490</v>
      </c>
      <c r="O125" s="6">
        <v>-490</v>
      </c>
      <c r="P125" s="6">
        <v>-852</v>
      </c>
      <c r="Q125" s="6">
        <v>-1386</v>
      </c>
      <c r="R125" s="6">
        <v>-2705</v>
      </c>
      <c r="S125" s="6">
        <v>-2796</v>
      </c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</row>
    <row r="126" spans="2:85" x14ac:dyDescent="0.2">
      <c r="B126" s="2" t="s">
        <v>111</v>
      </c>
      <c r="C126" s="6"/>
      <c r="D126" s="6"/>
      <c r="E126" s="6"/>
      <c r="F126" s="6"/>
      <c r="G126" s="6"/>
      <c r="H126" s="6"/>
      <c r="I126" s="6"/>
      <c r="J126" s="6"/>
      <c r="K126" s="6"/>
      <c r="L126" s="6">
        <v>-180.7</v>
      </c>
      <c r="M126" s="6">
        <v>-202.8</v>
      </c>
      <c r="N126" s="6">
        <v>-199</v>
      </c>
      <c r="O126" s="6">
        <v>-212</v>
      </c>
      <c r="P126" s="6">
        <v>-261</v>
      </c>
      <c r="Q126" s="6">
        <v>-277</v>
      </c>
      <c r="R126" s="6">
        <v>-305</v>
      </c>
      <c r="S126" s="6">
        <v>-332</v>
      </c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</row>
    <row r="127" spans="2:85" x14ac:dyDescent="0.2">
      <c r="B127" s="2" t="s">
        <v>112</v>
      </c>
      <c r="C127" s="6"/>
      <c r="D127" s="6"/>
      <c r="E127" s="6"/>
      <c r="F127" s="6"/>
      <c r="G127" s="6"/>
      <c r="H127" s="6"/>
      <c r="I127" s="6"/>
      <c r="J127" s="6"/>
      <c r="K127" s="6"/>
      <c r="L127" s="6">
        <v>-59.7</v>
      </c>
      <c r="M127" s="6">
        <v>-53.1</v>
      </c>
      <c r="N127" s="6">
        <v>-122</v>
      </c>
      <c r="O127" s="6">
        <v>-158</v>
      </c>
      <c r="P127" s="6">
        <v>-123</v>
      </c>
      <c r="Q127" s="6">
        <v>-130</v>
      </c>
      <c r="R127" s="6">
        <v>-37</v>
      </c>
      <c r="S127" s="6">
        <v>-8</v>
      </c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</row>
    <row r="128" spans="2:85" x14ac:dyDescent="0.2">
      <c r="B128" s="2" t="s">
        <v>113</v>
      </c>
      <c r="C128" s="6"/>
      <c r="D128" s="6"/>
      <c r="E128" s="6"/>
      <c r="F128" s="6"/>
      <c r="G128" s="6"/>
      <c r="H128" s="6"/>
      <c r="I128" s="6"/>
      <c r="J128" s="6"/>
      <c r="K128" s="6"/>
      <c r="L128" s="6">
        <v>0.2</v>
      </c>
      <c r="M128" s="6">
        <v>0</v>
      </c>
      <c r="N128" s="6">
        <v>8</v>
      </c>
      <c r="O128" s="6">
        <v>0</v>
      </c>
      <c r="P128" s="6">
        <v>0</v>
      </c>
      <c r="Q128" s="6">
        <v>0</v>
      </c>
      <c r="R128" s="6">
        <v>0</v>
      </c>
      <c r="S128" s="6">
        <v>9</v>
      </c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</row>
    <row r="129" spans="2:85" x14ac:dyDescent="0.2">
      <c r="B129" s="2" t="s">
        <v>114</v>
      </c>
      <c r="C129" s="6"/>
      <c r="D129" s="6"/>
      <c r="E129" s="6"/>
      <c r="F129" s="6"/>
      <c r="G129" s="6"/>
      <c r="H129" s="6"/>
      <c r="I129" s="6"/>
      <c r="J129" s="6"/>
      <c r="K129" s="6"/>
      <c r="L129" s="6">
        <v>-1.8</v>
      </c>
      <c r="M129" s="6">
        <v>-0.3</v>
      </c>
      <c r="N129" s="6">
        <v>-8</v>
      </c>
      <c r="O129" s="6">
        <v>-8</v>
      </c>
      <c r="P129" s="6">
        <v>0</v>
      </c>
      <c r="Q129" s="6">
        <v>-1</v>
      </c>
      <c r="R129" s="6">
        <v>-1</v>
      </c>
      <c r="S129" s="6">
        <v>-9</v>
      </c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</row>
    <row r="130" spans="2:85" x14ac:dyDescent="0.2">
      <c r="B130" s="2" t="s">
        <v>98</v>
      </c>
      <c r="C130" s="6"/>
      <c r="D130" s="6"/>
      <c r="E130" s="6"/>
      <c r="F130" s="6"/>
      <c r="G130" s="6"/>
      <c r="H130" s="6"/>
      <c r="I130" s="6"/>
      <c r="J130" s="6"/>
      <c r="K130" s="6"/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2</v>
      </c>
      <c r="S130" s="6">
        <v>1</v>
      </c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</row>
    <row r="131" spans="2:85" x14ac:dyDescent="0.2">
      <c r="B131" s="1" t="s">
        <v>115</v>
      </c>
      <c r="C131" s="6"/>
      <c r="D131" s="6"/>
      <c r="E131" s="6"/>
      <c r="F131" s="6"/>
      <c r="G131" s="6"/>
      <c r="H131" s="6"/>
      <c r="I131" s="6"/>
      <c r="J131" s="6"/>
      <c r="K131" s="6"/>
      <c r="L131" s="23">
        <f t="shared" ref="L131:Q131" si="58">SUM(L125:L130)</f>
        <v>-1200.3</v>
      </c>
      <c r="M131" s="23">
        <f t="shared" si="58"/>
        <v>-742.80000000000007</v>
      </c>
      <c r="N131" s="23">
        <f t="shared" si="58"/>
        <v>-811</v>
      </c>
      <c r="O131" s="23">
        <f t="shared" si="58"/>
        <v>-868</v>
      </c>
      <c r="P131" s="23">
        <f t="shared" si="58"/>
        <v>-1236</v>
      </c>
      <c r="Q131" s="23">
        <f t="shared" si="58"/>
        <v>-1794</v>
      </c>
      <c r="R131" s="23">
        <f>SUM(R125:R130)</f>
        <v>-3046</v>
      </c>
      <c r="S131" s="23">
        <f>SUM(S125:S130)</f>
        <v>-3135</v>
      </c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</row>
    <row r="132" spans="2:85" x14ac:dyDescent="0.2">
      <c r="B132" s="2" t="s">
        <v>116</v>
      </c>
      <c r="C132" s="6"/>
      <c r="D132" s="6"/>
      <c r="E132" s="6"/>
      <c r="F132" s="6"/>
      <c r="G132" s="6"/>
      <c r="H132" s="6"/>
      <c r="I132" s="6"/>
      <c r="J132" s="6"/>
      <c r="K132" s="6"/>
      <c r="L132" s="6">
        <v>52.8</v>
      </c>
      <c r="M132" s="6">
        <v>33.1</v>
      </c>
      <c r="N132" s="6">
        <v>-55</v>
      </c>
      <c r="O132" s="6">
        <v>110</v>
      </c>
      <c r="P132" s="6">
        <v>159</v>
      </c>
      <c r="Q132" s="6">
        <v>-138</v>
      </c>
      <c r="R132" s="6">
        <v>119</v>
      </c>
      <c r="S132" s="6">
        <v>-364</v>
      </c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</row>
    <row r="133" spans="2:85" x14ac:dyDescent="0.2">
      <c r="B133" s="1" t="s">
        <v>117</v>
      </c>
      <c r="C133" s="6"/>
      <c r="D133" s="6"/>
      <c r="E133" s="6"/>
      <c r="F133" s="6"/>
      <c r="G133" s="6"/>
      <c r="H133" s="6"/>
      <c r="I133" s="6"/>
      <c r="J133" s="6"/>
      <c r="K133" s="6"/>
      <c r="L133" s="6">
        <f>L115+L124+L131+L132+0.1</f>
        <v>553.49999999999989</v>
      </c>
      <c r="M133" s="6">
        <f t="shared" ref="M133:N133" si="59">M115+M124+M131+M132</f>
        <v>906.60000000000014</v>
      </c>
      <c r="N133" s="6">
        <f t="shared" si="59"/>
        <v>343</v>
      </c>
      <c r="O133" s="6">
        <f>O115+O124+O131+O132+1</f>
        <v>1975</v>
      </c>
      <c r="P133" s="6">
        <f>P115+P124+P131+P132+1</f>
        <v>2529</v>
      </c>
      <c r="Q133" s="6">
        <f>Q115+Q124+Q131+Q132</f>
        <v>1405</v>
      </c>
      <c r="R133" s="6">
        <f>R115+R124+R131+R132</f>
        <v>1023</v>
      </c>
      <c r="S133" s="6">
        <f>S115+S124+S131+S132</f>
        <v>598</v>
      </c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</row>
    <row r="134" spans="2:85" x14ac:dyDescent="0.2"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</row>
    <row r="135" spans="2:85" x14ac:dyDescent="0.2">
      <c r="B135" s="2" t="s">
        <v>118</v>
      </c>
      <c r="C135" s="6"/>
      <c r="D135" s="6"/>
      <c r="E135" s="6"/>
      <c r="F135" s="6"/>
      <c r="G135" s="6"/>
      <c r="H135" s="6"/>
      <c r="I135" s="6"/>
      <c r="J135" s="6"/>
      <c r="K135" s="6"/>
      <c r="L135" s="6">
        <v>2911.7</v>
      </c>
      <c r="M135" s="6">
        <v>3465.1</v>
      </c>
      <c r="N135" s="6">
        <v>4372</v>
      </c>
      <c r="O135" s="6">
        <v>4717</v>
      </c>
      <c r="P135" s="6">
        <v>6695</v>
      </c>
      <c r="Q135" s="6">
        <v>9223</v>
      </c>
      <c r="R135" s="6">
        <v>10625</v>
      </c>
      <c r="S135" s="6">
        <f>+R136</f>
        <v>11642</v>
      </c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</row>
    <row r="136" spans="2:85" x14ac:dyDescent="0.2">
      <c r="B136" s="2" t="s">
        <v>119</v>
      </c>
      <c r="C136" s="6"/>
      <c r="D136" s="6"/>
      <c r="E136" s="6"/>
      <c r="F136" s="6"/>
      <c r="G136" s="6"/>
      <c r="H136" s="6"/>
      <c r="I136" s="6"/>
      <c r="J136" s="6"/>
      <c r="K136" s="6"/>
      <c r="L136" s="6">
        <f>M135</f>
        <v>3465.1</v>
      </c>
      <c r="M136" s="6">
        <f>N135</f>
        <v>4372</v>
      </c>
      <c r="N136" s="6">
        <f>O135</f>
        <v>4717</v>
      </c>
      <c r="O136" s="6">
        <f>P135</f>
        <v>6695</v>
      </c>
      <c r="P136" s="6">
        <v>9223</v>
      </c>
      <c r="Q136" s="6">
        <v>10625</v>
      </c>
      <c r="R136" s="6">
        <v>11642</v>
      </c>
      <c r="S136" s="6">
        <f>+S133+S135</f>
        <v>12240</v>
      </c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</row>
    <row r="137" spans="2:85" x14ac:dyDescent="0.2"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</row>
    <row r="138" spans="2:85" x14ac:dyDescent="0.2"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</row>
    <row r="139" spans="2:85" x14ac:dyDescent="0.2"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</row>
    <row r="140" spans="2:85" x14ac:dyDescent="0.2"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</row>
    <row r="141" spans="2:85" x14ac:dyDescent="0.2"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</row>
    <row r="142" spans="2:85" x14ac:dyDescent="0.2"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</row>
    <row r="143" spans="2:85" x14ac:dyDescent="0.2"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</row>
    <row r="144" spans="2:85" x14ac:dyDescent="0.2"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</row>
    <row r="145" spans="3:85" x14ac:dyDescent="0.2"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</row>
    <row r="146" spans="3:85" x14ac:dyDescent="0.2"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</row>
    <row r="147" spans="3:85" x14ac:dyDescent="0.2"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</row>
    <row r="148" spans="3:85" x14ac:dyDescent="0.2"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</row>
    <row r="149" spans="3:85" x14ac:dyDescent="0.2"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</row>
    <row r="150" spans="3:85" x14ac:dyDescent="0.2"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</row>
    <row r="151" spans="3:85" x14ac:dyDescent="0.2"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</row>
    <row r="152" spans="3:85" x14ac:dyDescent="0.2"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</row>
    <row r="153" spans="3:85" x14ac:dyDescent="0.2"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</row>
    <row r="154" spans="3:85" x14ac:dyDescent="0.2"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</row>
    <row r="155" spans="3:85" x14ac:dyDescent="0.2"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</row>
    <row r="156" spans="3:85" x14ac:dyDescent="0.2"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</row>
    <row r="157" spans="3:85" x14ac:dyDescent="0.2"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</row>
    <row r="158" spans="3:85" x14ac:dyDescent="0.2"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</row>
    <row r="159" spans="3:85" x14ac:dyDescent="0.2"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</row>
    <row r="160" spans="3:85" x14ac:dyDescent="0.2"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</row>
    <row r="161" spans="3:85" x14ac:dyDescent="0.2"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</row>
    <row r="162" spans="3:85" x14ac:dyDescent="0.2"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</row>
    <row r="163" spans="3:85" x14ac:dyDescent="0.2"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</row>
    <row r="164" spans="3:85" x14ac:dyDescent="0.2"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</row>
    <row r="165" spans="3:85" x14ac:dyDescent="0.2"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</row>
    <row r="166" spans="3:85" x14ac:dyDescent="0.2"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</row>
    <row r="167" spans="3:85" x14ac:dyDescent="0.2"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</row>
    <row r="168" spans="3:85" x14ac:dyDescent="0.2"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</row>
    <row r="169" spans="3:85" x14ac:dyDescent="0.2"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</row>
    <row r="170" spans="3:85" x14ac:dyDescent="0.2"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</row>
    <row r="171" spans="3:85" x14ac:dyDescent="0.2"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</row>
    <row r="172" spans="3:85" x14ac:dyDescent="0.2"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</row>
    <row r="173" spans="3:85" x14ac:dyDescent="0.2"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</row>
    <row r="174" spans="3:85" x14ac:dyDescent="0.2"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</row>
    <row r="175" spans="3:85" x14ac:dyDescent="0.2"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</row>
    <row r="176" spans="3:85" x14ac:dyDescent="0.2"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</row>
    <row r="177" spans="3:85" x14ac:dyDescent="0.2"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</row>
    <row r="178" spans="3:85" x14ac:dyDescent="0.2"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</row>
    <row r="179" spans="3:85" x14ac:dyDescent="0.2"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</row>
    <row r="180" spans="3:85" x14ac:dyDescent="0.2"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</row>
    <row r="181" spans="3:85" x14ac:dyDescent="0.2"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</row>
    <row r="182" spans="3:85" x14ac:dyDescent="0.2"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</row>
    <row r="183" spans="3:85" x14ac:dyDescent="0.2"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</row>
    <row r="184" spans="3:85" x14ac:dyDescent="0.2"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</row>
    <row r="185" spans="3:85" x14ac:dyDescent="0.2"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</row>
    <row r="186" spans="3:85" x14ac:dyDescent="0.2"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</row>
    <row r="187" spans="3:85" x14ac:dyDescent="0.2"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</row>
    <row r="188" spans="3:85" x14ac:dyDescent="0.2"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</row>
    <row r="189" spans="3:85" x14ac:dyDescent="0.2"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</row>
    <row r="190" spans="3:85" x14ac:dyDescent="0.2"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</row>
    <row r="191" spans="3:85" x14ac:dyDescent="0.2"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</row>
    <row r="192" spans="3:85" x14ac:dyDescent="0.2"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</row>
    <row r="193" spans="3:85" x14ac:dyDescent="0.2"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</row>
    <row r="194" spans="3:85" x14ac:dyDescent="0.2"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</row>
    <row r="195" spans="3:85" x14ac:dyDescent="0.2"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</row>
    <row r="196" spans="3:85" x14ac:dyDescent="0.2"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</row>
    <row r="197" spans="3:85" x14ac:dyDescent="0.2"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</row>
    <row r="198" spans="3:85" x14ac:dyDescent="0.2"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</row>
    <row r="199" spans="3:85" x14ac:dyDescent="0.2"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</row>
    <row r="200" spans="3:85" x14ac:dyDescent="0.2"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</row>
    <row r="201" spans="3:85" x14ac:dyDescent="0.2"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</row>
    <row r="202" spans="3:85" x14ac:dyDescent="0.2"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</row>
    <row r="203" spans="3:85" x14ac:dyDescent="0.2"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</row>
    <row r="204" spans="3:85" x14ac:dyDescent="0.2"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</row>
    <row r="205" spans="3:85" x14ac:dyDescent="0.2"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</row>
    <row r="206" spans="3:85" x14ac:dyDescent="0.2"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</row>
    <row r="207" spans="3:85" x14ac:dyDescent="0.2"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</row>
    <row r="208" spans="3:85" x14ac:dyDescent="0.2"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</row>
    <row r="209" spans="3:85" x14ac:dyDescent="0.2"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</row>
    <row r="210" spans="3:85" x14ac:dyDescent="0.2"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</row>
    <row r="211" spans="3:85" x14ac:dyDescent="0.2"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</row>
  </sheetData>
  <hyperlinks>
    <hyperlink ref="A1" location="Main!A1" display="Main" xr:uid="{0EE8CA07-97BB-40D2-941B-76026C3DD82E}"/>
  </hyperlink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6B46D-662B-4E09-95CB-83916B2C2340}">
  <dimension ref="A1:AD430"/>
  <sheetViews>
    <sheetView tabSelected="1" zoomScale="200" zoomScaleNormal="200" workbookViewId="0">
      <pane xSplit="2" ySplit="2" topLeftCell="H3" activePane="bottomRight" state="frozen"/>
      <selection pane="topRight" activeCell="C1" sqref="C1"/>
      <selection pane="bottomLeft" activeCell="A3" sqref="A3"/>
      <selection pane="bottomRight" activeCell="L31" sqref="L31"/>
    </sheetView>
  </sheetViews>
  <sheetFormatPr defaultRowHeight="12.75" x14ac:dyDescent="0.2"/>
  <cols>
    <col min="1" max="1" width="5.42578125" style="2" bestFit="1" customWidth="1"/>
    <col min="2" max="2" width="28.7109375" style="2" customWidth="1"/>
    <col min="3" max="16384" width="9.140625" style="2"/>
  </cols>
  <sheetData>
    <row r="1" spans="1:30" x14ac:dyDescent="0.2">
      <c r="A1" s="5" t="s">
        <v>0</v>
      </c>
    </row>
    <row r="2" spans="1:30" x14ac:dyDescent="0.2">
      <c r="C2" s="22" t="s">
        <v>342</v>
      </c>
      <c r="D2" s="22" t="s">
        <v>343</v>
      </c>
      <c r="E2" s="22" t="s">
        <v>344</v>
      </c>
      <c r="F2" s="22" t="s">
        <v>158</v>
      </c>
      <c r="G2" s="22" t="s">
        <v>345</v>
      </c>
      <c r="H2" s="22" t="s">
        <v>346</v>
      </c>
      <c r="I2" s="22" t="s">
        <v>347</v>
      </c>
      <c r="J2" s="22" t="s">
        <v>348</v>
      </c>
      <c r="K2" s="87" t="s">
        <v>374</v>
      </c>
      <c r="L2" s="87" t="s">
        <v>375</v>
      </c>
      <c r="M2" s="87" t="s">
        <v>376</v>
      </c>
      <c r="N2" s="87" t="s">
        <v>377</v>
      </c>
    </row>
    <row r="3" spans="1:30" x14ac:dyDescent="0.2">
      <c r="B3" s="2" t="s">
        <v>349</v>
      </c>
      <c r="C3" s="3">
        <v>312</v>
      </c>
      <c r="D3" s="3">
        <f>+Model!E3-Quarters!C3</f>
        <v>368</v>
      </c>
      <c r="E3" s="3">
        <v>365</v>
      </c>
      <c r="F3" s="3"/>
      <c r="G3" s="3">
        <v>357</v>
      </c>
      <c r="H3" s="3">
        <f>+Model!G3-Quarters!G3</f>
        <v>383</v>
      </c>
      <c r="I3" s="3">
        <v>403</v>
      </c>
      <c r="J3" s="3"/>
      <c r="K3" s="3">
        <v>347</v>
      </c>
      <c r="L3" s="3">
        <f>+Model!I3-Quarters!K3</f>
        <v>406</v>
      </c>
    </row>
    <row r="4" spans="1:30" x14ac:dyDescent="0.2">
      <c r="B4" s="2" t="s">
        <v>350</v>
      </c>
      <c r="C4" s="3">
        <v>444</v>
      </c>
      <c r="D4" s="3">
        <f>+Model!E4-Quarters!C4</f>
        <v>526</v>
      </c>
      <c r="E4" s="3">
        <v>584</v>
      </c>
      <c r="F4" s="3"/>
      <c r="G4" s="3">
        <v>501</v>
      </c>
      <c r="H4" s="3">
        <f>+Model!G4-Quarters!G4</f>
        <v>587</v>
      </c>
      <c r="I4" s="3">
        <v>633</v>
      </c>
      <c r="J4" s="3"/>
      <c r="K4" s="3">
        <v>538</v>
      </c>
      <c r="L4" s="3">
        <f>+Model!I4-Quarters!K4</f>
        <v>627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x14ac:dyDescent="0.2">
      <c r="B5" s="2" t="s">
        <v>351</v>
      </c>
      <c r="C5" s="3">
        <v>357</v>
      </c>
      <c r="D5" s="3">
        <f>+Model!E5-Quarters!C5</f>
        <v>336</v>
      </c>
      <c r="E5" s="3">
        <v>360</v>
      </c>
      <c r="F5" s="3"/>
      <c r="G5" s="3">
        <v>421</v>
      </c>
      <c r="H5" s="3">
        <f>+Model!G5-Quarters!G5</f>
        <v>394</v>
      </c>
      <c r="I5" s="3">
        <v>389</v>
      </c>
      <c r="J5" s="3"/>
      <c r="K5" s="3">
        <v>404</v>
      </c>
      <c r="L5" s="3">
        <f>+Model!I5-Quarters!K5</f>
        <v>394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x14ac:dyDescent="0.2">
      <c r="B6" s="2" t="s">
        <v>352</v>
      </c>
      <c r="C6" s="3">
        <v>1920</v>
      </c>
      <c r="D6" s="3">
        <f>+Model!E6-Quarters!C6</f>
        <v>1601</v>
      </c>
      <c r="E6" s="3">
        <v>1584</v>
      </c>
      <c r="F6" s="3"/>
      <c r="G6" s="3">
        <v>1971</v>
      </c>
      <c r="H6" s="3">
        <f>+Model!G6-Quarters!G6</f>
        <v>1603</v>
      </c>
      <c r="I6" s="3">
        <v>1589</v>
      </c>
      <c r="J6" s="3"/>
      <c r="K6" s="3">
        <v>1881</v>
      </c>
      <c r="L6" s="3">
        <f>+Model!I6-Quarters!K6</f>
        <v>1652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x14ac:dyDescent="0.2">
      <c r="B7" s="2" t="s">
        <v>353</v>
      </c>
      <c r="C7" s="3">
        <v>614</v>
      </c>
      <c r="D7" s="3">
        <f>+Model!E7-Quarters!C7</f>
        <v>715</v>
      </c>
      <c r="E7" s="3">
        <v>666</v>
      </c>
      <c r="F7" s="3"/>
      <c r="G7" s="3">
        <v>695</v>
      </c>
      <c r="H7" s="3">
        <f>+Model!G7-Quarters!G7</f>
        <v>760</v>
      </c>
      <c r="I7" s="3">
        <v>714</v>
      </c>
      <c r="J7" s="3"/>
      <c r="K7" s="3">
        <v>739</v>
      </c>
      <c r="L7" s="3">
        <f>+Model!I7-Quarters!K7</f>
        <v>846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x14ac:dyDescent="0.2">
      <c r="B8" s="2" t="s">
        <v>354</v>
      </c>
      <c r="C8" s="3">
        <v>158</v>
      </c>
      <c r="D8" s="3">
        <f>+Model!E8-Quarters!C8</f>
        <v>153</v>
      </c>
      <c r="E8" s="3">
        <v>145</v>
      </c>
      <c r="F8" s="3"/>
      <c r="G8" s="3">
        <v>185</v>
      </c>
      <c r="H8" s="3">
        <f>+Model!G8-Quarters!G8</f>
        <v>177</v>
      </c>
      <c r="I8" s="3">
        <v>154</v>
      </c>
      <c r="J8" s="3"/>
      <c r="K8" s="3">
        <v>160</v>
      </c>
      <c r="L8" s="3">
        <f>+Model!I8-Quarters!K8</f>
        <v>170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x14ac:dyDescent="0.2">
      <c r="B9" s="2" t="s">
        <v>355</v>
      </c>
      <c r="C9" s="3">
        <v>1628</v>
      </c>
      <c r="D9" s="3">
        <f>+Model!E9-Quarters!C9</f>
        <v>1587</v>
      </c>
      <c r="E9" s="3">
        <v>1573</v>
      </c>
      <c r="F9" s="3"/>
      <c r="G9" s="3">
        <v>1813</v>
      </c>
      <c r="H9" s="3">
        <f>+Model!G9-Quarters!G9</f>
        <v>1765</v>
      </c>
      <c r="I9" s="3">
        <v>1700</v>
      </c>
      <c r="J9" s="3"/>
      <c r="K9" s="3">
        <v>1849</v>
      </c>
      <c r="L9" s="3">
        <f>+Model!I9-Quarters!K9</f>
        <v>1912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x14ac:dyDescent="0.2">
      <c r="B10" s="2" t="s">
        <v>356</v>
      </c>
      <c r="C10" s="3">
        <v>1061</v>
      </c>
      <c r="D10" s="3">
        <f>+Model!E10-Quarters!C10</f>
        <v>1101</v>
      </c>
      <c r="E10" s="3">
        <v>1134</v>
      </c>
      <c r="F10" s="3"/>
      <c r="G10" s="3">
        <v>1149</v>
      </c>
      <c r="H10" s="3">
        <f>+Model!G10-Quarters!G10</f>
        <v>1106</v>
      </c>
      <c r="I10" s="3">
        <v>1157</v>
      </c>
      <c r="J10" s="3"/>
      <c r="K10" s="3">
        <v>1076</v>
      </c>
      <c r="L10" s="3">
        <f>+Model!I10-Quarters!K10</f>
        <v>1122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x14ac:dyDescent="0.2">
      <c r="B11" s="2" t="s">
        <v>15</v>
      </c>
      <c r="C11" s="3">
        <v>242</v>
      </c>
      <c r="D11" s="3">
        <f>+Model!E11-Quarters!C11</f>
        <v>194</v>
      </c>
      <c r="E11" s="3">
        <v>210</v>
      </c>
      <c r="F11" s="3"/>
      <c r="G11" s="3">
        <v>256</v>
      </c>
      <c r="H11" s="3">
        <f>+Model!G11-Quarters!G11</f>
        <v>191</v>
      </c>
      <c r="I11" s="3">
        <v>209</v>
      </c>
      <c r="J11" s="3"/>
      <c r="K11" s="3">
        <v>257</v>
      </c>
      <c r="L11" s="3">
        <f>+Model!I11-Quarters!K11</f>
        <v>212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B12" s="2" t="s">
        <v>357</v>
      </c>
      <c r="C12" s="3">
        <v>505</v>
      </c>
      <c r="D12" s="3">
        <f>+Model!E12-Quarters!C12</f>
        <v>462</v>
      </c>
      <c r="E12" s="3">
        <v>455</v>
      </c>
      <c r="F12" s="3"/>
      <c r="G12" s="3">
        <v>544</v>
      </c>
      <c r="H12" s="3">
        <f>+Model!G12-Quarters!G12</f>
        <v>512</v>
      </c>
      <c r="I12" s="3">
        <v>484</v>
      </c>
      <c r="J12" s="3"/>
      <c r="K12" s="3">
        <v>540</v>
      </c>
      <c r="L12" s="3">
        <f>+Model!I12-Quarters!K12</f>
        <v>525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x14ac:dyDescent="0.2">
      <c r="B13" s="2" t="s">
        <v>358</v>
      </c>
      <c r="C13" s="3">
        <v>130</v>
      </c>
      <c r="D13" s="3">
        <f>+Model!E13-Quarters!C13</f>
        <v>129</v>
      </c>
      <c r="E13" s="3">
        <v>129</v>
      </c>
      <c r="F13" s="3"/>
      <c r="G13" s="3">
        <v>129</v>
      </c>
      <c r="H13" s="3">
        <f>+Model!G13-Quarters!G13</f>
        <v>119</v>
      </c>
      <c r="I13" s="3">
        <v>118</v>
      </c>
      <c r="J13" s="3"/>
      <c r="K13" s="3">
        <v>127</v>
      </c>
      <c r="L13" s="3">
        <f>+Model!I13-Quarters!K13</f>
        <v>106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x14ac:dyDescent="0.2">
      <c r="B14" s="2" t="s">
        <v>242</v>
      </c>
      <c r="C14" s="3">
        <v>166</v>
      </c>
      <c r="D14" s="3">
        <f>+Model!E14-Quarters!C14</f>
        <v>142</v>
      </c>
      <c r="E14" s="3">
        <v>126</v>
      </c>
      <c r="F14" s="3"/>
      <c r="G14" s="3">
        <v>151</v>
      </c>
      <c r="H14" s="3">
        <f>+Model!G14-Quarters!G14</f>
        <v>130</v>
      </c>
      <c r="I14" s="3">
        <v>131</v>
      </c>
      <c r="J14" s="3"/>
      <c r="K14" s="3">
        <v>135</v>
      </c>
      <c r="L14" s="3">
        <f>+Model!I14-Quarters!K14</f>
        <v>134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x14ac:dyDescent="0.2">
      <c r="B15" s="2" t="s">
        <v>359</v>
      </c>
      <c r="C15" s="3">
        <v>74</v>
      </c>
      <c r="D15" s="3">
        <f>+Model!E15-Quarters!C15</f>
        <v>83</v>
      </c>
      <c r="E15" s="3">
        <v>76</v>
      </c>
      <c r="F15" s="3"/>
      <c r="G15" s="3">
        <v>87</v>
      </c>
      <c r="H15" s="3">
        <f>+Model!G15-Quarters!G15</f>
        <v>81</v>
      </c>
      <c r="I15" s="3">
        <v>82</v>
      </c>
      <c r="J15" s="3"/>
      <c r="K15" s="3">
        <v>86</v>
      </c>
      <c r="L15" s="3">
        <f>+Model!I15-Quarters!K15</f>
        <v>82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x14ac:dyDescent="0.2">
      <c r="B16" s="1" t="s">
        <v>360</v>
      </c>
      <c r="C16" s="28">
        <f t="shared" ref="C16:F16" si="0">+SUM(C9:C15)</f>
        <v>3806</v>
      </c>
      <c r="D16" s="28">
        <f t="shared" si="0"/>
        <v>3698</v>
      </c>
      <c r="E16" s="28">
        <v>3704</v>
      </c>
      <c r="F16" s="28">
        <f t="shared" si="0"/>
        <v>0</v>
      </c>
      <c r="G16" s="28">
        <f>+SUM(G9:G15)</f>
        <v>4129</v>
      </c>
      <c r="H16" s="28">
        <f>+Model!G16-Quarters!G16</f>
        <v>3905</v>
      </c>
      <c r="I16" s="28">
        <v>3881</v>
      </c>
      <c r="J16" s="28"/>
      <c r="K16" s="28">
        <v>4070</v>
      </c>
      <c r="L16" s="28">
        <f>+Model!I16-Quarters!K16</f>
        <v>4093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2:30" x14ac:dyDescent="0.2">
      <c r="B17" s="1"/>
      <c r="C17" s="28"/>
      <c r="D17" s="28"/>
      <c r="E17" s="28"/>
      <c r="F17" s="28"/>
      <c r="G17" s="28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2:30" x14ac:dyDescent="0.2">
      <c r="B18" s="2" t="s">
        <v>335</v>
      </c>
      <c r="C18" s="3"/>
      <c r="D18" s="3"/>
      <c r="E18" s="3"/>
      <c r="F18" s="3"/>
      <c r="G18" s="14">
        <f t="shared" ref="G18:I31" si="1">+G3/C3-1</f>
        <v>0.14423076923076916</v>
      </c>
      <c r="H18" s="14">
        <f t="shared" si="1"/>
        <v>4.0760869565217295E-2</v>
      </c>
      <c r="I18" s="14">
        <f t="shared" si="1"/>
        <v>0.10410958904109591</v>
      </c>
      <c r="J18" s="14" t="e">
        <f t="shared" ref="J18:J31" si="2">+J3/F3-1</f>
        <v>#DIV/0!</v>
      </c>
      <c r="K18" s="14">
        <f t="shared" ref="K18:K31" si="3">+K3/G3-1</f>
        <v>-2.8011204481792729E-2</v>
      </c>
      <c r="L18" s="14">
        <f t="shared" ref="L18:L31" si="4">+L3/H3-1</f>
        <v>6.0052219321148792E-2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2:30" x14ac:dyDescent="0.2">
      <c r="B19" s="2" t="s">
        <v>336</v>
      </c>
      <c r="C19" s="3"/>
      <c r="D19" s="3"/>
      <c r="E19" s="3"/>
      <c r="F19" s="3"/>
      <c r="G19" s="14">
        <f t="shared" si="1"/>
        <v>0.12837837837837829</v>
      </c>
      <c r="H19" s="14">
        <f t="shared" si="1"/>
        <v>0.11596958174904937</v>
      </c>
      <c r="I19" s="14">
        <f t="shared" si="1"/>
        <v>8.3904109589041154E-2</v>
      </c>
      <c r="J19" s="14" t="e">
        <f t="shared" si="2"/>
        <v>#DIV/0!</v>
      </c>
      <c r="K19" s="14">
        <f t="shared" si="3"/>
        <v>7.385229540918159E-2</v>
      </c>
      <c r="L19" s="14">
        <f t="shared" si="4"/>
        <v>6.8143100511073307E-2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2:30" x14ac:dyDescent="0.2">
      <c r="B20" s="2" t="s">
        <v>337</v>
      </c>
      <c r="C20" s="3"/>
      <c r="D20" s="3"/>
      <c r="E20" s="3"/>
      <c r="F20" s="3"/>
      <c r="G20" s="14">
        <f t="shared" si="1"/>
        <v>0.17927170868347342</v>
      </c>
      <c r="H20" s="14">
        <f t="shared" si="1"/>
        <v>0.17261904761904767</v>
      </c>
      <c r="I20" s="14">
        <f t="shared" si="1"/>
        <v>8.0555555555555491E-2</v>
      </c>
      <c r="J20" s="14" t="e">
        <f t="shared" si="2"/>
        <v>#DIV/0!</v>
      </c>
      <c r="K20" s="14">
        <f t="shared" si="3"/>
        <v>-4.0380047505938266E-2</v>
      </c>
      <c r="L20" s="14">
        <f t="shared" si="4"/>
        <v>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2:30" x14ac:dyDescent="0.2">
      <c r="B21" s="2" t="s">
        <v>361</v>
      </c>
      <c r="C21" s="3"/>
      <c r="D21" s="3"/>
      <c r="E21" s="3"/>
      <c r="F21" s="3"/>
      <c r="G21" s="14">
        <f t="shared" si="1"/>
        <v>2.6562500000000044E-2</v>
      </c>
      <c r="H21" s="14">
        <f t="shared" si="1"/>
        <v>1.2492192379762734E-3</v>
      </c>
      <c r="I21" s="14">
        <f t="shared" si="1"/>
        <v>3.1565656565657463E-3</v>
      </c>
      <c r="J21" s="14" t="e">
        <f t="shared" si="2"/>
        <v>#DIV/0!</v>
      </c>
      <c r="K21" s="14">
        <f t="shared" si="3"/>
        <v>-4.5662100456621002E-2</v>
      </c>
      <c r="L21" s="14">
        <f t="shared" si="4"/>
        <v>3.0567685589519611E-2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spans="2:30" x14ac:dyDescent="0.2">
      <c r="B22" s="2" t="s">
        <v>362</v>
      </c>
      <c r="C22" s="3"/>
      <c r="D22" s="3"/>
      <c r="E22" s="3"/>
      <c r="F22" s="3"/>
      <c r="G22" s="14">
        <f t="shared" si="1"/>
        <v>0.13192182410423459</v>
      </c>
      <c r="H22" s="14">
        <f t="shared" si="1"/>
        <v>6.2937062937062915E-2</v>
      </c>
      <c r="I22" s="14">
        <f t="shared" si="1"/>
        <v>7.2072072072072002E-2</v>
      </c>
      <c r="J22" s="14" t="e">
        <f t="shared" si="2"/>
        <v>#DIV/0!</v>
      </c>
      <c r="K22" s="14">
        <f t="shared" si="3"/>
        <v>6.3309352517985529E-2</v>
      </c>
      <c r="L22" s="14">
        <f t="shared" si="4"/>
        <v>0.11315789473684212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2:30" x14ac:dyDescent="0.2">
      <c r="B23" s="2" t="s">
        <v>363</v>
      </c>
      <c r="C23" s="3"/>
      <c r="D23" s="3"/>
      <c r="E23" s="3"/>
      <c r="F23" s="3"/>
      <c r="G23" s="14">
        <f t="shared" si="1"/>
        <v>0.17088607594936711</v>
      </c>
      <c r="H23" s="14">
        <f t="shared" si="1"/>
        <v>0.15686274509803932</v>
      </c>
      <c r="I23" s="14">
        <f t="shared" si="1"/>
        <v>6.2068965517241281E-2</v>
      </c>
      <c r="J23" s="14" t="e">
        <f t="shared" si="2"/>
        <v>#DIV/0!</v>
      </c>
      <c r="K23" s="14">
        <f t="shared" si="3"/>
        <v>-0.13513513513513509</v>
      </c>
      <c r="L23" s="14">
        <f t="shared" si="4"/>
        <v>-3.9548022598870025E-2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2:30" x14ac:dyDescent="0.2">
      <c r="B24" s="2" t="s">
        <v>364</v>
      </c>
      <c r="C24" s="3"/>
      <c r="D24" s="3"/>
      <c r="E24" s="3"/>
      <c r="F24" s="3"/>
      <c r="G24" s="14">
        <f t="shared" si="1"/>
        <v>0.11363636363636354</v>
      </c>
      <c r="H24" s="14">
        <f t="shared" si="1"/>
        <v>0.11216131064902335</v>
      </c>
      <c r="I24" s="14">
        <f t="shared" si="1"/>
        <v>8.0737444373808032E-2</v>
      </c>
      <c r="J24" s="14" t="e">
        <f t="shared" si="2"/>
        <v>#DIV/0!</v>
      </c>
      <c r="K24" s="14">
        <f t="shared" si="3"/>
        <v>1.9856591285162706E-2</v>
      </c>
      <c r="L24" s="14">
        <f t="shared" si="4"/>
        <v>8.328611898016991E-2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2:30" x14ac:dyDescent="0.2">
      <c r="B25" s="2" t="s">
        <v>365</v>
      </c>
      <c r="C25" s="3"/>
      <c r="D25" s="3"/>
      <c r="E25" s="3"/>
      <c r="F25" s="3"/>
      <c r="G25" s="14">
        <f t="shared" si="1"/>
        <v>8.2940622054665347E-2</v>
      </c>
      <c r="H25" s="14">
        <f t="shared" si="1"/>
        <v>4.5413260672115818E-3</v>
      </c>
      <c r="I25" s="14">
        <f t="shared" si="1"/>
        <v>2.0282186948853642E-2</v>
      </c>
      <c r="J25" s="14" t="e">
        <f t="shared" si="2"/>
        <v>#DIV/0!</v>
      </c>
      <c r="K25" s="14">
        <f t="shared" si="3"/>
        <v>-6.353350739773711E-2</v>
      </c>
      <c r="L25" s="14">
        <f t="shared" si="4"/>
        <v>1.4466546112115841E-2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2:30" x14ac:dyDescent="0.2">
      <c r="B26" s="2" t="s">
        <v>366</v>
      </c>
      <c r="C26" s="3"/>
      <c r="D26" s="3"/>
      <c r="E26" s="3"/>
      <c r="F26" s="3"/>
      <c r="G26" s="14">
        <f t="shared" si="1"/>
        <v>5.7851239669421517E-2</v>
      </c>
      <c r="H26" s="14">
        <f t="shared" si="1"/>
        <v>-1.5463917525773141E-2</v>
      </c>
      <c r="I26" s="14">
        <f t="shared" si="1"/>
        <v>-4.761904761904745E-3</v>
      </c>
      <c r="J26" s="14" t="e">
        <f t="shared" si="2"/>
        <v>#DIV/0!</v>
      </c>
      <c r="K26" s="14">
        <f t="shared" si="3"/>
        <v>3.90625E-3</v>
      </c>
      <c r="L26" s="14">
        <f t="shared" si="4"/>
        <v>0.10994764397905765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2:30" x14ac:dyDescent="0.2">
      <c r="B27" s="2" t="s">
        <v>367</v>
      </c>
      <c r="C27" s="3"/>
      <c r="D27" s="3"/>
      <c r="E27" s="3"/>
      <c r="F27" s="3"/>
      <c r="G27" s="14">
        <f t="shared" si="1"/>
        <v>7.7227722772277296E-2</v>
      </c>
      <c r="H27" s="14">
        <f t="shared" si="1"/>
        <v>0.10822510822510822</v>
      </c>
      <c r="I27" s="14">
        <f t="shared" si="1"/>
        <v>6.3736263736263732E-2</v>
      </c>
      <c r="J27" s="14" t="e">
        <f t="shared" si="2"/>
        <v>#DIV/0!</v>
      </c>
      <c r="K27" s="14">
        <f t="shared" si="3"/>
        <v>-7.3529411764705621E-3</v>
      </c>
      <c r="L27" s="14">
        <f t="shared" si="4"/>
        <v>2.5390625E-2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2:30" x14ac:dyDescent="0.2">
      <c r="B28" s="2" t="s">
        <v>368</v>
      </c>
      <c r="C28" s="3"/>
      <c r="D28" s="3"/>
      <c r="E28" s="3"/>
      <c r="F28" s="3"/>
      <c r="G28" s="14">
        <f t="shared" si="1"/>
        <v>-7.692307692307665E-3</v>
      </c>
      <c r="H28" s="14">
        <f t="shared" si="1"/>
        <v>-7.7519379844961267E-2</v>
      </c>
      <c r="I28" s="14">
        <f t="shared" si="1"/>
        <v>-8.5271317829457405E-2</v>
      </c>
      <c r="J28" s="14" t="e">
        <f t="shared" si="2"/>
        <v>#DIV/0!</v>
      </c>
      <c r="K28" s="14">
        <f t="shared" si="3"/>
        <v>-1.5503875968992276E-2</v>
      </c>
      <c r="L28" s="14">
        <f t="shared" si="4"/>
        <v>-0.10924369747899154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2:30" x14ac:dyDescent="0.2">
      <c r="B29" s="2" t="s">
        <v>369</v>
      </c>
      <c r="C29" s="3"/>
      <c r="D29" s="3"/>
      <c r="E29" s="3"/>
      <c r="F29" s="3"/>
      <c r="G29" s="14">
        <f t="shared" si="1"/>
        <v>-9.0361445783132543E-2</v>
      </c>
      <c r="H29" s="14">
        <f t="shared" si="1"/>
        <v>-8.4507042253521125E-2</v>
      </c>
      <c r="I29" s="14">
        <f t="shared" si="1"/>
        <v>3.9682539682539764E-2</v>
      </c>
      <c r="J29" s="14" t="e">
        <f t="shared" si="2"/>
        <v>#DIV/0!</v>
      </c>
      <c r="K29" s="14">
        <f t="shared" si="3"/>
        <v>-0.10596026490066224</v>
      </c>
      <c r="L29" s="14">
        <f t="shared" si="4"/>
        <v>3.076923076923066E-2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2:30" x14ac:dyDescent="0.2">
      <c r="B30" s="2" t="s">
        <v>370</v>
      </c>
      <c r="C30" s="3"/>
      <c r="D30" s="3"/>
      <c r="E30" s="3"/>
      <c r="F30" s="3"/>
      <c r="G30" s="14">
        <f t="shared" si="1"/>
        <v>0.17567567567567566</v>
      </c>
      <c r="H30" s="14">
        <f t="shared" si="1"/>
        <v>-2.4096385542168641E-2</v>
      </c>
      <c r="I30" s="14">
        <f t="shared" si="1"/>
        <v>7.8947368421052655E-2</v>
      </c>
      <c r="J30" s="14" t="e">
        <f t="shared" si="2"/>
        <v>#DIV/0!</v>
      </c>
      <c r="K30" s="14">
        <f t="shared" si="3"/>
        <v>-1.1494252873563204E-2</v>
      </c>
      <c r="L30" s="14">
        <f t="shared" si="4"/>
        <v>1.2345679012345734E-2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2:30" x14ac:dyDescent="0.2">
      <c r="B31" s="1" t="s">
        <v>38</v>
      </c>
      <c r="C31" s="3"/>
      <c r="D31" s="3"/>
      <c r="E31" s="3"/>
      <c r="F31" s="3"/>
      <c r="G31" s="26">
        <f t="shared" si="1"/>
        <v>8.4866001050972084E-2</v>
      </c>
      <c r="H31" s="26">
        <f t="shared" si="1"/>
        <v>5.5976203353163889E-2</v>
      </c>
      <c r="I31" s="26">
        <f t="shared" si="1"/>
        <v>4.778617710583144E-2</v>
      </c>
      <c r="J31" s="26" t="e">
        <f t="shared" si="2"/>
        <v>#DIV/0!</v>
      </c>
      <c r="K31" s="26">
        <f t="shared" si="3"/>
        <v>-1.4289174134172966E-2</v>
      </c>
      <c r="L31" s="26">
        <f t="shared" si="4"/>
        <v>4.814340588988486E-2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2:30" x14ac:dyDescent="0.2">
      <c r="C32" s="3"/>
      <c r="D32" s="3"/>
      <c r="E32" s="3"/>
      <c r="F32" s="3"/>
      <c r="G32" s="1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3:30" x14ac:dyDescent="0.2"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3:30" x14ac:dyDescent="0.2"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3:30" x14ac:dyDescent="0.2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3:30" x14ac:dyDescent="0.2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3:30" x14ac:dyDescent="0.2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3:30" x14ac:dyDescent="0.2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3:30" x14ac:dyDescent="0.2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3:30" x14ac:dyDescent="0.2"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3:30" x14ac:dyDescent="0.2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3:30" x14ac:dyDescent="0.2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3:30" x14ac:dyDescent="0.2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3:30" x14ac:dyDescent="0.2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3:30" x14ac:dyDescent="0.2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3:30" x14ac:dyDescent="0.2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3:30" x14ac:dyDescent="0.2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3:30" x14ac:dyDescent="0.2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3:30" x14ac:dyDescent="0.2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3:30" x14ac:dyDescent="0.2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3:30" x14ac:dyDescent="0.2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3:30" x14ac:dyDescent="0.2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3:30" x14ac:dyDescent="0.2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3:30" x14ac:dyDescent="0.2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3:30" x14ac:dyDescent="0.2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3:30" x14ac:dyDescent="0.2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3:30" x14ac:dyDescent="0.2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3:30" x14ac:dyDescent="0.2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3:30" x14ac:dyDescent="0.2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3:30" x14ac:dyDescent="0.2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3:30" x14ac:dyDescent="0.2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3:30" x14ac:dyDescent="0.2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3:30" x14ac:dyDescent="0.2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3:30" x14ac:dyDescent="0.2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3:30" x14ac:dyDescent="0.2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3:30" x14ac:dyDescent="0.2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3:30" x14ac:dyDescent="0.2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3:30" x14ac:dyDescent="0.2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3:30" x14ac:dyDescent="0.2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3:30" x14ac:dyDescent="0.2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3:30" x14ac:dyDescent="0.2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3:30" x14ac:dyDescent="0.2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3:30" x14ac:dyDescent="0.2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3:30" x14ac:dyDescent="0.2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3:30" x14ac:dyDescent="0.2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3:30" x14ac:dyDescent="0.2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3:30" x14ac:dyDescent="0.2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3:30" x14ac:dyDescent="0.2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3:30" x14ac:dyDescent="0.2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3:30" x14ac:dyDescent="0.2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3:30" x14ac:dyDescent="0.2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3:30" x14ac:dyDescent="0.2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3:30" x14ac:dyDescent="0.2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3:30" x14ac:dyDescent="0.2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spans="3:30" x14ac:dyDescent="0.2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3:30" x14ac:dyDescent="0.2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3:30" x14ac:dyDescent="0.2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3:30" x14ac:dyDescent="0.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3:30" x14ac:dyDescent="0.2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3:30" x14ac:dyDescent="0.2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3:30" x14ac:dyDescent="0.2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spans="3:30" x14ac:dyDescent="0.2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3:30" x14ac:dyDescent="0.2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3:30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3:30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3:30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3:30" x14ac:dyDescent="0.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3:30" x14ac:dyDescent="0.2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3:30" x14ac:dyDescent="0.2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spans="3:30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3:30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3:30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3:30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3:30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3:30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spans="3:30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3:30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3:30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3:30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3:30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3:30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3:30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spans="3:30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3:30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3:30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3:30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3:30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3:30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3:30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3:30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spans="3:30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3:30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3:30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3:30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3:30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3:30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3:30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spans="3:30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3:30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3:30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3:30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3:30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spans="3:30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3:30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spans="3:30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spans="3:30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spans="3:30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spans="3:30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spans="3:30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spans="3:30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spans="3:30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spans="3:30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spans="3:30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spans="3:30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spans="3:30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spans="3:30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spans="3:30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spans="3:30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spans="3:30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spans="3:30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spans="3:30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spans="3:30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spans="3:30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spans="3:30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spans="3:30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spans="3:30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spans="3:30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spans="3:30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spans="3:30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spans="3:30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spans="3:30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spans="3:30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spans="3:30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spans="3:30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spans="3:30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spans="3:30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spans="3:30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spans="3:30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spans="3:30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spans="3:30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spans="3:30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spans="3:30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spans="3:30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spans="3:30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spans="3:30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spans="3:30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spans="3:30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spans="3:30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spans="3:30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spans="3:30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spans="3:30" x14ac:dyDescent="0.2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spans="3:30" x14ac:dyDescent="0.2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spans="3:30" x14ac:dyDescent="0.2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spans="3:30" x14ac:dyDescent="0.2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spans="3:30" x14ac:dyDescent="0.2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spans="3:30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spans="3:30" x14ac:dyDescent="0.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spans="3:30" x14ac:dyDescent="0.2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spans="3:30" x14ac:dyDescent="0.2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spans="3:30" x14ac:dyDescent="0.2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spans="3:30" x14ac:dyDescent="0.2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spans="3:30" x14ac:dyDescent="0.2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spans="3:30" x14ac:dyDescent="0.2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spans="3:30" x14ac:dyDescent="0.2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spans="3:30" x14ac:dyDescent="0.2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spans="3:30" x14ac:dyDescent="0.2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spans="3:30" x14ac:dyDescent="0.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spans="3:30" x14ac:dyDescent="0.2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spans="3:30" x14ac:dyDescent="0.2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spans="3:30" x14ac:dyDescent="0.2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spans="3:30" x14ac:dyDescent="0.2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spans="3:30" x14ac:dyDescent="0.2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spans="3:30" x14ac:dyDescent="0.2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spans="3:30" x14ac:dyDescent="0.2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spans="3:30" x14ac:dyDescent="0.2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spans="3:30" x14ac:dyDescent="0.2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spans="3:30" x14ac:dyDescent="0.2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spans="3:30" x14ac:dyDescent="0.2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spans="3:30" x14ac:dyDescent="0.2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spans="3:30" x14ac:dyDescent="0.2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spans="3:30" x14ac:dyDescent="0.2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spans="3:30" x14ac:dyDescent="0.2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spans="3:30" x14ac:dyDescent="0.2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spans="3:30" x14ac:dyDescent="0.2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spans="3:30" x14ac:dyDescent="0.2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spans="3:30" x14ac:dyDescent="0.2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spans="3:30" x14ac:dyDescent="0.2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spans="3:30" x14ac:dyDescent="0.2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spans="3:30" x14ac:dyDescent="0.2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spans="3:30" x14ac:dyDescent="0.2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spans="3:30" x14ac:dyDescent="0.2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spans="3:30" x14ac:dyDescent="0.2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 spans="3:30" x14ac:dyDescent="0.2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 spans="3:30" x14ac:dyDescent="0.2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 spans="3:30" x14ac:dyDescent="0.2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 spans="3:30" x14ac:dyDescent="0.2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 spans="3:30" x14ac:dyDescent="0.2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 spans="3:30" x14ac:dyDescent="0.2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 spans="3:30" x14ac:dyDescent="0.2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 spans="3:30" x14ac:dyDescent="0.2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 spans="3:30" x14ac:dyDescent="0.2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 spans="3:30" x14ac:dyDescent="0.2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 spans="3:30" x14ac:dyDescent="0.2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 spans="3:30" x14ac:dyDescent="0.2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 spans="3:30" x14ac:dyDescent="0.2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 spans="3:30" x14ac:dyDescent="0.2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 spans="3:30" x14ac:dyDescent="0.2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 spans="3:30" x14ac:dyDescent="0.2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 spans="3:30" x14ac:dyDescent="0.2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 spans="3:30" x14ac:dyDescent="0.2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 spans="3:30" x14ac:dyDescent="0.2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 spans="3:30" x14ac:dyDescent="0.2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 spans="3:30" x14ac:dyDescent="0.2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 spans="3:30" x14ac:dyDescent="0.2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 spans="3:30" x14ac:dyDescent="0.2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 spans="3:30" x14ac:dyDescent="0.2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 spans="3:30" x14ac:dyDescent="0.2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 spans="3:30" x14ac:dyDescent="0.2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 spans="3:30" x14ac:dyDescent="0.2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 spans="3:30" x14ac:dyDescent="0.2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 spans="3:30" x14ac:dyDescent="0.2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 spans="3:30" x14ac:dyDescent="0.2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 spans="3:30" x14ac:dyDescent="0.2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 spans="3:30" x14ac:dyDescent="0.2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 spans="3:30" x14ac:dyDescent="0.2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 spans="3:30" x14ac:dyDescent="0.2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 spans="3:30" x14ac:dyDescent="0.2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 spans="3:30" x14ac:dyDescent="0.2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 spans="3:30" x14ac:dyDescent="0.2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 spans="3:30" x14ac:dyDescent="0.2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 spans="3:30" x14ac:dyDescent="0.2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 spans="3:30" x14ac:dyDescent="0.2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 spans="3:30" x14ac:dyDescent="0.2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 spans="3:30" x14ac:dyDescent="0.2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 spans="3:30" x14ac:dyDescent="0.2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 spans="3:30" x14ac:dyDescent="0.2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 spans="3:30" x14ac:dyDescent="0.2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 spans="3:30" x14ac:dyDescent="0.2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 spans="3:30" x14ac:dyDescent="0.2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 spans="3:30" x14ac:dyDescent="0.2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 spans="3:30" x14ac:dyDescent="0.2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 spans="3:30" x14ac:dyDescent="0.2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 spans="3:30" x14ac:dyDescent="0.2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 spans="3:30" x14ac:dyDescent="0.2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 spans="3:30" x14ac:dyDescent="0.2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 spans="3:30" x14ac:dyDescent="0.2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 spans="3:30" x14ac:dyDescent="0.2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 spans="3:30" x14ac:dyDescent="0.2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 spans="3:30" x14ac:dyDescent="0.2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 spans="3:30" x14ac:dyDescent="0.2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 spans="3:30" x14ac:dyDescent="0.2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 spans="3:30" x14ac:dyDescent="0.2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 spans="3:30" x14ac:dyDescent="0.2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 spans="3:30" x14ac:dyDescent="0.2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 spans="3:30" x14ac:dyDescent="0.2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 spans="3:30" x14ac:dyDescent="0.2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 spans="3:30" x14ac:dyDescent="0.2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 spans="3:30" x14ac:dyDescent="0.2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 spans="3:30" x14ac:dyDescent="0.2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 spans="3:30" x14ac:dyDescent="0.2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 spans="3:30" x14ac:dyDescent="0.2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 spans="3:30" x14ac:dyDescent="0.2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 spans="3:30" x14ac:dyDescent="0.2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 spans="3:30" x14ac:dyDescent="0.2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 spans="3:30" x14ac:dyDescent="0.2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 spans="3:30" x14ac:dyDescent="0.2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 spans="3:30" x14ac:dyDescent="0.2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 spans="3:30" x14ac:dyDescent="0.2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 spans="3:30" x14ac:dyDescent="0.2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 spans="3:30" x14ac:dyDescent="0.2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 spans="3:30" x14ac:dyDescent="0.2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 spans="3:30" x14ac:dyDescent="0.2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 spans="3:30" x14ac:dyDescent="0.2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 spans="3:30" x14ac:dyDescent="0.2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 spans="3:30" x14ac:dyDescent="0.2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 spans="3:30" x14ac:dyDescent="0.2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 spans="3:30" x14ac:dyDescent="0.2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 spans="3:30" x14ac:dyDescent="0.2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 spans="3:30" x14ac:dyDescent="0.2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 spans="3:30" x14ac:dyDescent="0.2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 spans="3:30" x14ac:dyDescent="0.2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 spans="3:30" x14ac:dyDescent="0.2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 spans="3:30" x14ac:dyDescent="0.2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 spans="3:30" x14ac:dyDescent="0.2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 spans="3:30" x14ac:dyDescent="0.2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 spans="3:30" x14ac:dyDescent="0.2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 spans="3:30" x14ac:dyDescent="0.2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 spans="3:30" x14ac:dyDescent="0.2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 spans="3:30" x14ac:dyDescent="0.2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 spans="3:30" x14ac:dyDescent="0.2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 spans="3:30" x14ac:dyDescent="0.2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 spans="3:30" x14ac:dyDescent="0.2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 spans="3:30" x14ac:dyDescent="0.2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 spans="3:30" x14ac:dyDescent="0.2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 spans="3:30" x14ac:dyDescent="0.2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 spans="3:30" x14ac:dyDescent="0.2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 spans="3:30" x14ac:dyDescent="0.2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 spans="3:30" x14ac:dyDescent="0.2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 spans="3:30" x14ac:dyDescent="0.2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 spans="3:30" x14ac:dyDescent="0.2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 spans="3:30" x14ac:dyDescent="0.2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 spans="3:30" x14ac:dyDescent="0.2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 spans="3:30" x14ac:dyDescent="0.2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 spans="3:30" x14ac:dyDescent="0.2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 spans="3:30" x14ac:dyDescent="0.2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 spans="3:30" x14ac:dyDescent="0.2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 spans="3:30" x14ac:dyDescent="0.2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 spans="3:30" x14ac:dyDescent="0.2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 spans="3:30" x14ac:dyDescent="0.2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 spans="3:30" x14ac:dyDescent="0.2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 spans="3:30" x14ac:dyDescent="0.2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 spans="3:30" x14ac:dyDescent="0.2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 spans="3:30" x14ac:dyDescent="0.2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 spans="3:30" x14ac:dyDescent="0.2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 spans="3:30" x14ac:dyDescent="0.2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 spans="3:30" x14ac:dyDescent="0.2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 spans="3:30" x14ac:dyDescent="0.2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 spans="3:30" x14ac:dyDescent="0.2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 spans="3:30" x14ac:dyDescent="0.2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 spans="3:30" x14ac:dyDescent="0.2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 spans="3:30" x14ac:dyDescent="0.2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 spans="3:30" x14ac:dyDescent="0.2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 spans="3:30" x14ac:dyDescent="0.2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 spans="3:30" x14ac:dyDescent="0.2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 spans="3:30" x14ac:dyDescent="0.2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 spans="3:30" x14ac:dyDescent="0.2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 spans="3:30" x14ac:dyDescent="0.2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 spans="3:30" x14ac:dyDescent="0.2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 spans="3:30" x14ac:dyDescent="0.2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 spans="3:30" x14ac:dyDescent="0.2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 spans="3:30" x14ac:dyDescent="0.2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 spans="3:30" x14ac:dyDescent="0.2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 spans="3:30" x14ac:dyDescent="0.2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 spans="3:30" x14ac:dyDescent="0.2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 spans="3:30" x14ac:dyDescent="0.2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 spans="3:30" x14ac:dyDescent="0.2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 spans="3:30" x14ac:dyDescent="0.2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 spans="3:30" x14ac:dyDescent="0.2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 spans="3:30" x14ac:dyDescent="0.2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 spans="3:30" x14ac:dyDescent="0.2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 spans="3:30" x14ac:dyDescent="0.2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 spans="3:30" x14ac:dyDescent="0.2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 spans="3:30" x14ac:dyDescent="0.2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 spans="3:30" x14ac:dyDescent="0.2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 spans="3:30" x14ac:dyDescent="0.2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 spans="3:30" x14ac:dyDescent="0.2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 spans="3:30" x14ac:dyDescent="0.2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 spans="3:30" x14ac:dyDescent="0.2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 spans="3:30" x14ac:dyDescent="0.2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 spans="3:30" x14ac:dyDescent="0.2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 spans="3:30" x14ac:dyDescent="0.2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 spans="3:30" x14ac:dyDescent="0.2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 spans="3:30" x14ac:dyDescent="0.2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 spans="3:30" x14ac:dyDescent="0.2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 spans="3:30" x14ac:dyDescent="0.2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 spans="3:30" x14ac:dyDescent="0.2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 spans="3:30" x14ac:dyDescent="0.2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 spans="3:30" x14ac:dyDescent="0.2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 spans="3:30" x14ac:dyDescent="0.2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 spans="3:30" x14ac:dyDescent="0.2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 spans="3:30" x14ac:dyDescent="0.2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 spans="3:30" x14ac:dyDescent="0.2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 spans="3:30" x14ac:dyDescent="0.2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 spans="3:30" x14ac:dyDescent="0.2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 spans="3:30" x14ac:dyDescent="0.2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 spans="3:30" x14ac:dyDescent="0.2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 spans="3:30" x14ac:dyDescent="0.2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 spans="3:30" x14ac:dyDescent="0.2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 spans="3:30" x14ac:dyDescent="0.2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 spans="3:30" x14ac:dyDescent="0.2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 spans="3:30" x14ac:dyDescent="0.2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 spans="3:30" x14ac:dyDescent="0.2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 spans="3:30" x14ac:dyDescent="0.2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 spans="3:30" x14ac:dyDescent="0.2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 spans="3:30" x14ac:dyDescent="0.2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 spans="3:30" x14ac:dyDescent="0.2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 spans="3:30" x14ac:dyDescent="0.2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 spans="3:30" x14ac:dyDescent="0.2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 spans="3:30" x14ac:dyDescent="0.2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 spans="3:30" x14ac:dyDescent="0.2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 spans="3:30" x14ac:dyDescent="0.2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 spans="3:30" x14ac:dyDescent="0.2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 spans="3:30" x14ac:dyDescent="0.2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 spans="3:30" x14ac:dyDescent="0.2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 spans="3:30" x14ac:dyDescent="0.2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 spans="3:30" x14ac:dyDescent="0.2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 spans="3:30" x14ac:dyDescent="0.2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 spans="3:30" x14ac:dyDescent="0.2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 spans="3:30" x14ac:dyDescent="0.2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 spans="3:30" x14ac:dyDescent="0.2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 spans="3:30" x14ac:dyDescent="0.2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 spans="3:30" x14ac:dyDescent="0.2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 spans="3:30" x14ac:dyDescent="0.2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 spans="3:30" x14ac:dyDescent="0.2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 spans="3:30" x14ac:dyDescent="0.2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</sheetData>
  <hyperlinks>
    <hyperlink ref="A1" location="Main!A1" display="Main" xr:uid="{C56D5325-E79F-4CEB-B98B-FED3BBFA8C05}"/>
  </hyperlink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15F4B-E54D-48A7-AD90-11FAB7A863B0}">
  <dimension ref="A1:L61"/>
  <sheetViews>
    <sheetView zoomScale="200" zoomScaleNormal="200" workbookViewId="0">
      <pane xSplit="2" ySplit="2" topLeftCell="G3" activePane="bottomRight" state="frozen"/>
      <selection pane="topRight" activeCell="C1" sqref="C1"/>
      <selection pane="bottomLeft" activeCell="A3" sqref="A3"/>
      <selection pane="bottomRight" activeCell="I2" sqref="I2"/>
    </sheetView>
  </sheetViews>
  <sheetFormatPr defaultRowHeight="12.75" x14ac:dyDescent="0.2"/>
  <cols>
    <col min="1" max="1" width="4.5703125" style="2" customWidth="1"/>
    <col min="2" max="2" width="32.42578125" style="2" bestFit="1" customWidth="1"/>
    <col min="3" max="7" width="9.28515625" style="2" bestFit="1" customWidth="1"/>
    <col min="8" max="9" width="8.7109375" style="2" bestFit="1" customWidth="1"/>
    <col min="10" max="10" width="9.28515625" style="2" bestFit="1" customWidth="1"/>
    <col min="11" max="16384" width="9.140625" style="2"/>
  </cols>
  <sheetData>
    <row r="1" spans="1:12" x14ac:dyDescent="0.2">
      <c r="A1" s="5" t="s">
        <v>0</v>
      </c>
    </row>
    <row r="2" spans="1:12" x14ac:dyDescent="0.2">
      <c r="B2" s="29" t="s">
        <v>121</v>
      </c>
      <c r="C2" s="30">
        <v>18</v>
      </c>
      <c r="D2" s="30">
        <f>+C2+1</f>
        <v>19</v>
      </c>
      <c r="E2" s="30">
        <f t="shared" ref="E2:J2" si="0">+D2+1</f>
        <v>20</v>
      </c>
      <c r="F2" s="30">
        <f t="shared" si="0"/>
        <v>21</v>
      </c>
      <c r="G2" s="30">
        <f t="shared" si="0"/>
        <v>22</v>
      </c>
      <c r="H2" s="30">
        <f t="shared" si="0"/>
        <v>23</v>
      </c>
      <c r="I2" s="30">
        <f t="shared" si="0"/>
        <v>24</v>
      </c>
      <c r="J2" s="30">
        <f t="shared" si="0"/>
        <v>25</v>
      </c>
      <c r="K2" s="31"/>
    </row>
    <row r="3" spans="1:12" x14ac:dyDescent="0.2">
      <c r="B3" s="2" t="s">
        <v>1</v>
      </c>
      <c r="C3" s="24">
        <v>477.6</v>
      </c>
      <c r="D3" s="24">
        <v>671</v>
      </c>
      <c r="E3" s="24">
        <v>884.4</v>
      </c>
      <c r="F3" s="24">
        <v>1542</v>
      </c>
      <c r="G3" s="24">
        <v>1473</v>
      </c>
      <c r="H3" s="24">
        <v>1897.4</v>
      </c>
      <c r="I3" s="24">
        <v>2237</v>
      </c>
      <c r="J3" s="3">
        <v>2146</v>
      </c>
      <c r="K3" s="6"/>
    </row>
    <row r="4" spans="1:12" x14ac:dyDescent="0.2">
      <c r="B4" s="2" t="s">
        <v>259</v>
      </c>
      <c r="C4" s="6">
        <f>+Model!L33</f>
        <v>104.233233</v>
      </c>
      <c r="D4" s="6">
        <f>+Model!M33</f>
        <v>104.233233</v>
      </c>
      <c r="E4" s="6">
        <f>+Model!N33</f>
        <v>104.430772</v>
      </c>
      <c r="F4" s="6">
        <f>+Model!O33</f>
        <v>104.62333</v>
      </c>
      <c r="G4" s="6">
        <f>+Model!P33</f>
        <v>104.564729</v>
      </c>
      <c r="H4" s="6">
        <f>+Model!Q33</f>
        <v>104.648079</v>
      </c>
      <c r="I4" s="6">
        <f>+Model!R33</f>
        <v>104.648079</v>
      </c>
      <c r="J4" s="6">
        <f>+Model!S33</f>
        <v>105.569412</v>
      </c>
      <c r="K4" s="6"/>
    </row>
    <row r="5" spans="1:12" x14ac:dyDescent="0.2">
      <c r="B5" s="2" t="s">
        <v>129</v>
      </c>
      <c r="C5" s="6">
        <f t="shared" ref="C5:H5" si="1">+C3*C4</f>
        <v>49781.792080799998</v>
      </c>
      <c r="D5" s="6">
        <f t="shared" si="1"/>
        <v>69940.499343000003</v>
      </c>
      <c r="E5" s="6">
        <f t="shared" si="1"/>
        <v>92358.574756800008</v>
      </c>
      <c r="F5" s="6">
        <f t="shared" si="1"/>
        <v>161329.17486</v>
      </c>
      <c r="G5" s="6">
        <f t="shared" si="1"/>
        <v>154023.84581699999</v>
      </c>
      <c r="H5" s="6">
        <f t="shared" si="1"/>
        <v>198559.26509460001</v>
      </c>
      <c r="I5" s="6">
        <f>+I3*I4</f>
        <v>234097.75272299998</v>
      </c>
      <c r="J5" s="6">
        <f>+J3*J4</f>
        <v>226551.95815200001</v>
      </c>
      <c r="K5" s="6"/>
    </row>
    <row r="6" spans="1:12" x14ac:dyDescent="0.2">
      <c r="B6" s="2" t="s">
        <v>260</v>
      </c>
      <c r="C6" s="6">
        <f>+Model!L84+Model!L91-Model!L70</f>
        <v>-3429.1</v>
      </c>
      <c r="D6" s="6">
        <f>+Model!M84+Model!M91-Model!M70</f>
        <v>-4334.0999999999995</v>
      </c>
      <c r="E6" s="6">
        <f>+Model!N84+Model!N91-Model!N70</f>
        <v>-4690</v>
      </c>
      <c r="F6" s="6">
        <f>+Model!O84+Model!O91-Model!O70</f>
        <v>-6671</v>
      </c>
      <c r="G6" s="6">
        <f>+Model!P84+Model!P91-Model!P70</f>
        <v>-9188</v>
      </c>
      <c r="H6" s="6">
        <f>+Model!Q84+Model!Q91-Model!Q70</f>
        <v>-10574</v>
      </c>
      <c r="I6" s="6">
        <f>+Model!R84+Model!R91-Model!R70</f>
        <v>-11581</v>
      </c>
      <c r="J6" s="6">
        <f>+Model!S84+Model!S91-Model!S70</f>
        <v>-12205</v>
      </c>
      <c r="K6" s="6"/>
    </row>
    <row r="7" spans="1:12" x14ac:dyDescent="0.2">
      <c r="B7" s="2" t="s">
        <v>5</v>
      </c>
      <c r="C7" s="6">
        <f t="shared" ref="C7:H7" si="2">+C5+C6</f>
        <v>46352.6920808</v>
      </c>
      <c r="D7" s="6">
        <f t="shared" si="2"/>
        <v>65606.399342999997</v>
      </c>
      <c r="E7" s="6">
        <f t="shared" si="2"/>
        <v>87668.574756800008</v>
      </c>
      <c r="F7" s="6">
        <f t="shared" si="2"/>
        <v>154658.17486</v>
      </c>
      <c r="G7" s="6">
        <f t="shared" si="2"/>
        <v>144835.84581699999</v>
      </c>
      <c r="H7" s="6">
        <f t="shared" si="2"/>
        <v>187985.26509460001</v>
      </c>
      <c r="I7" s="6">
        <f>+I5+I6</f>
        <v>222516.75272299998</v>
      </c>
      <c r="J7" s="6">
        <f>+J5+J6</f>
        <v>214346.95815200001</v>
      </c>
      <c r="K7" s="6"/>
    </row>
    <row r="8" spans="1:12" x14ac:dyDescent="0.2">
      <c r="C8" s="6"/>
      <c r="D8" s="6"/>
      <c r="E8" s="6"/>
      <c r="F8" s="6"/>
      <c r="G8" s="6"/>
      <c r="H8" s="6"/>
      <c r="I8" s="6"/>
      <c r="J8" s="6"/>
      <c r="K8" s="6"/>
    </row>
    <row r="9" spans="1:12" x14ac:dyDescent="0.2">
      <c r="A9" s="32" t="s">
        <v>12</v>
      </c>
      <c r="B9" s="17" t="s">
        <v>261</v>
      </c>
      <c r="C9" s="6"/>
      <c r="D9" s="6"/>
      <c r="E9" s="6"/>
      <c r="F9" s="6"/>
      <c r="G9" s="6"/>
      <c r="H9" s="6"/>
      <c r="I9" s="6"/>
      <c r="J9" s="6"/>
      <c r="K9" s="6"/>
    </row>
    <row r="10" spans="1:12" x14ac:dyDescent="0.2">
      <c r="B10" s="2" t="s">
        <v>262</v>
      </c>
      <c r="C10" s="6">
        <f>+Model!L64+Model!L66+Model!L67+Model!L68+Model!L69-Model!L95</f>
        <v>3642.2</v>
      </c>
      <c r="D10" s="6">
        <f>+Model!M64+Model!M66+Model!M67+Model!M68+Model!M69-Model!M95</f>
        <v>3883.7999999999997</v>
      </c>
      <c r="E10" s="6">
        <f>+Model!N64+Model!N66+Model!N67+Model!N68+Model!N69-Model!N95</f>
        <v>4579</v>
      </c>
      <c r="F10" s="6">
        <f>+Model!O64+Model!O66+Model!O67+Model!O68+Model!O69-Model!O95</f>
        <v>5168</v>
      </c>
      <c r="G10" s="6">
        <f>+Model!P64+Model!P66+Model!P67+Model!P68+Model!P69-Model!P95</f>
        <v>5680</v>
      </c>
      <c r="H10" s="6">
        <f>+Model!Q64+Model!Q66+Model!Q67+Model!Q68+Model!Q69-Model!Q95</f>
        <v>6529</v>
      </c>
      <c r="I10" s="6">
        <f>+Model!R64+Model!R66+Model!R67+Model!R68+Model!R69-Model!R95</f>
        <v>7811</v>
      </c>
      <c r="J10" s="6">
        <f>+Model!S64+Model!S66+Model!S67+Model!S68+Model!S69-Model!S95</f>
        <v>8805</v>
      </c>
      <c r="L10" s="33" t="s">
        <v>263</v>
      </c>
    </row>
    <row r="11" spans="1:12" x14ac:dyDescent="0.2">
      <c r="B11" s="2" t="s">
        <v>264</v>
      </c>
      <c r="C11" s="6">
        <f>+Model!L54+Model!L55+Model!L57+Model!L58+Model!L62+Model!L65+Model!L66+Model!L67+Model!L68+Model!L69-Model!L95</f>
        <v>3171.9</v>
      </c>
      <c r="D11" s="6">
        <f>+Model!M54+Model!M55+Model!M57+Model!M58+Model!M62+Model!M65+Model!M66+Model!M67+Model!M68+Model!M69-Model!M95</f>
        <v>3556.7999999999997</v>
      </c>
      <c r="E11" s="6">
        <f>+Model!N54+Model!N55+Model!N57+Model!N58+Model!N62+Model!N65+Model!N66+Model!N67+Model!N68+Model!N69-Model!N95</f>
        <v>3925</v>
      </c>
      <c r="F11" s="6">
        <f>+Model!O54+Model!O55+Model!O57+Model!O58+Model!O62+Model!O65+Model!O66+Model!O67+Model!O68+Model!O69-Model!O95</f>
        <v>4351</v>
      </c>
      <c r="G11" s="6">
        <f>+Model!P54+Model!P55+Model!P57+Model!P58+Model!P62+Model!P65+Model!P66+Model!P67+Model!P68+Model!P69-Model!P95</f>
        <v>4610</v>
      </c>
      <c r="H11" s="6">
        <f>+Model!Q54+Model!Q55+Model!Q57+Model!Q58+Model!Q62+Model!Q65+Model!Q66+Model!Q67+Model!Q68+Model!Q69-Model!Q95</f>
        <v>5779</v>
      </c>
      <c r="I11" s="6">
        <f>+Model!R54+Model!R55+Model!R57+Model!R58+Model!R62+Model!R65+Model!R66+Model!R67+Model!R68+Model!R69-Model!R95</f>
        <v>7375</v>
      </c>
      <c r="J11" s="6">
        <f>+Model!S54+Model!S55+Model!S57+Model!S58+Model!S62+Model!S65+Model!S66+Model!S67+Model!S68+Model!S69-Model!S95</f>
        <v>7779</v>
      </c>
      <c r="L11" s="33" t="s">
        <v>265</v>
      </c>
    </row>
    <row r="12" spans="1:12" x14ac:dyDescent="0.2">
      <c r="B12" s="2" t="s">
        <v>266</v>
      </c>
      <c r="C12" s="6"/>
      <c r="D12" s="6"/>
      <c r="E12" s="6"/>
      <c r="F12" s="6"/>
      <c r="G12" s="6"/>
      <c r="H12" s="6"/>
      <c r="I12" s="6"/>
      <c r="L12" s="33"/>
    </row>
    <row r="13" spans="1:12" x14ac:dyDescent="0.2">
      <c r="B13" s="2" t="s">
        <v>267</v>
      </c>
      <c r="C13" s="6"/>
      <c r="D13" s="6"/>
      <c r="E13" s="6"/>
      <c r="F13" s="6"/>
      <c r="G13" s="6"/>
      <c r="H13" s="6"/>
      <c r="I13" s="6"/>
      <c r="L13" s="33" t="s">
        <v>268</v>
      </c>
    </row>
    <row r="14" spans="1:12" x14ac:dyDescent="0.2">
      <c r="B14" s="2" t="s">
        <v>269</v>
      </c>
      <c r="C14" s="6"/>
      <c r="D14" s="6"/>
      <c r="E14" s="6"/>
      <c r="F14" s="6"/>
      <c r="G14" s="6"/>
      <c r="H14" s="6"/>
      <c r="I14" s="6"/>
      <c r="L14" s="2" t="s">
        <v>270</v>
      </c>
    </row>
    <row r="15" spans="1:12" x14ac:dyDescent="0.2">
      <c r="B15" s="2" t="s">
        <v>271</v>
      </c>
      <c r="C15" s="6"/>
      <c r="D15" s="6"/>
      <c r="E15" s="6"/>
      <c r="F15" s="6"/>
      <c r="G15" s="6"/>
      <c r="H15" s="6"/>
      <c r="I15" s="6"/>
      <c r="L15" s="33" t="s">
        <v>272</v>
      </c>
    </row>
    <row r="16" spans="1:12" x14ac:dyDescent="0.2">
      <c r="B16" s="2" t="s">
        <v>273</v>
      </c>
      <c r="C16" s="6"/>
      <c r="D16" s="6"/>
      <c r="E16" s="6"/>
      <c r="F16" s="6"/>
      <c r="G16" s="6"/>
      <c r="H16" s="6"/>
      <c r="I16" s="6"/>
      <c r="L16" s="33" t="s">
        <v>274</v>
      </c>
    </row>
    <row r="17" spans="1:12" x14ac:dyDescent="0.2">
      <c r="B17" s="2" t="s">
        <v>275</v>
      </c>
      <c r="C17" s="6"/>
      <c r="D17" s="6"/>
      <c r="E17" s="6"/>
      <c r="F17" s="6"/>
      <c r="G17" s="6"/>
      <c r="H17" s="6"/>
      <c r="I17" s="6"/>
      <c r="L17" s="33" t="s">
        <v>276</v>
      </c>
    </row>
    <row r="18" spans="1:12" x14ac:dyDescent="0.2">
      <c r="B18" s="2" t="s">
        <v>277</v>
      </c>
      <c r="C18" s="6"/>
      <c r="D18" s="6"/>
      <c r="E18" s="6"/>
      <c r="F18" s="6"/>
      <c r="G18" s="6"/>
      <c r="H18" s="6"/>
      <c r="I18" s="6"/>
      <c r="L18" s="33" t="s">
        <v>278</v>
      </c>
    </row>
    <row r="20" spans="1:12" x14ac:dyDescent="0.2">
      <c r="A20" s="32" t="s">
        <v>12</v>
      </c>
      <c r="B20" s="17" t="s">
        <v>279</v>
      </c>
    </row>
    <row r="21" spans="1:12" x14ac:dyDescent="0.2">
      <c r="B21" s="2" t="s">
        <v>280</v>
      </c>
      <c r="L21" s="33" t="s">
        <v>281</v>
      </c>
    </row>
    <row r="22" spans="1:12" x14ac:dyDescent="0.2">
      <c r="B22" s="2" t="s">
        <v>282</v>
      </c>
      <c r="C22" s="14">
        <f>Model!L28/Model!L82</f>
        <v>0.25765795386048546</v>
      </c>
      <c r="D22" s="14">
        <f>Model!M28/Model!M82</f>
        <v>0.23347374503870197</v>
      </c>
      <c r="E22" s="14">
        <f>Model!N28/Model!N82</f>
        <v>0.18804112554112554</v>
      </c>
      <c r="F22" s="14">
        <f>Model!O28/Model!O82</f>
        <v>0.26070328269414639</v>
      </c>
      <c r="G22" s="14">
        <f>Model!P28/Model!P82</f>
        <v>0.27133338685076663</v>
      </c>
      <c r="H22" s="14">
        <f>Model!Q28/Model!Q82</f>
        <v>0.28424860243341005</v>
      </c>
      <c r="I22" s="14">
        <f>Model!R28/Model!R82</f>
        <v>0.26710511134187148</v>
      </c>
      <c r="J22" s="14">
        <f>Model!S28/Model!S82</f>
        <v>0.24193548387096775</v>
      </c>
      <c r="L22" s="33" t="s">
        <v>283</v>
      </c>
    </row>
    <row r="23" spans="1:12" x14ac:dyDescent="0.2">
      <c r="B23" s="2" t="s">
        <v>122</v>
      </c>
      <c r="C23" s="14">
        <f>+Model!L23/Ratios!C10</f>
        <v>0.58426225907418594</v>
      </c>
      <c r="D23" s="14">
        <f>+Model!M23/Ratios!D10</f>
        <v>0.60221947577115198</v>
      </c>
      <c r="E23" s="14">
        <f>+Model!N23/Ratios!E10</f>
        <v>0.45271893426512338</v>
      </c>
      <c r="F23" s="14">
        <f>+Model!O23/Ratios!F10</f>
        <v>0.68304953560371517</v>
      </c>
      <c r="G23" s="14">
        <f>+Model!P23/Ratios!G10</f>
        <v>0.8269366197183099</v>
      </c>
      <c r="H23" s="14">
        <f>+Model!Q23/Ratios!H10</f>
        <v>0.86536988819114724</v>
      </c>
      <c r="I23" s="14">
        <f>+Model!R23/Ratios!I10</f>
        <v>0.78709512226347456</v>
      </c>
      <c r="J23" s="14">
        <f>+Model!S23/Ratios!J10</f>
        <v>0.74605337876206701</v>
      </c>
      <c r="L23" s="33" t="s">
        <v>284</v>
      </c>
    </row>
    <row r="24" spans="1:12" x14ac:dyDescent="0.2">
      <c r="B24" s="2" t="s">
        <v>123</v>
      </c>
      <c r="C24" s="14">
        <f>+Model!L23*(1-Model!L52)/Ratios!C11</f>
        <v>0.45262918492509968</v>
      </c>
      <c r="D24" s="14">
        <f>+Model!M23*(1-Model!M52)/Ratios!D11</f>
        <v>0.44006061080071135</v>
      </c>
      <c r="E24" s="14">
        <f>+Model!N23*(1-Model!N52)/Ratios!E11</f>
        <v>0.36521491606268774</v>
      </c>
      <c r="F24" s="14">
        <f>+Model!O23*(1-Model!O52)/Ratios!F11</f>
        <v>0.57150653348623348</v>
      </c>
      <c r="G24" s="14">
        <f>+Model!P23*(1-Model!P52)/Ratios!G11</f>
        <v>0.7320051386812122</v>
      </c>
      <c r="H24" s="14">
        <f>+Model!Q23*(1-Model!Q52)/Ratios!H11</f>
        <v>0.70597042432804658</v>
      </c>
      <c r="I24" s="14">
        <f>+Model!R23*(1-Model!R52)/Ratios!I11</f>
        <v>0.59446648516586764</v>
      </c>
      <c r="J24" s="14">
        <f>+Model!S23*(1-Model!S52)/Ratios!J11</f>
        <v>0.56242863851197478</v>
      </c>
      <c r="L24" s="33" t="s">
        <v>285</v>
      </c>
    </row>
    <row r="25" spans="1:12" x14ac:dyDescent="0.2">
      <c r="B25" s="2" t="s">
        <v>286</v>
      </c>
      <c r="L25" s="33" t="s">
        <v>287</v>
      </c>
    </row>
    <row r="26" spans="1:12" x14ac:dyDescent="0.2">
      <c r="B26" s="2" t="s">
        <v>288</v>
      </c>
      <c r="L26" s="33" t="s">
        <v>289</v>
      </c>
    </row>
    <row r="27" spans="1:12" x14ac:dyDescent="0.2">
      <c r="B27" s="2" t="s">
        <v>341</v>
      </c>
      <c r="C27" s="14">
        <f>+Model!L21/Model!L72</f>
        <v>0.24267121926121679</v>
      </c>
      <c r="D27" s="14">
        <f>+Model!M21/Model!M72</f>
        <v>0.23669669061835849</v>
      </c>
      <c r="E27" s="14">
        <f>+Model!N21/Model!N72</f>
        <v>0.17929224364195856</v>
      </c>
      <c r="F27" s="14">
        <f>+Model!O21/Model!O72</f>
        <v>0.25491045638359328</v>
      </c>
      <c r="G27" s="14">
        <f>+Model!P21/Model!P72</f>
        <v>0.26899948456560335</v>
      </c>
      <c r="H27" s="14">
        <f>+Model!Q21/Model!Q72</f>
        <v>0.27631064162754304</v>
      </c>
      <c r="I27" s="14">
        <f>+Model!R21/Model!R72</f>
        <v>0.26635473529156917</v>
      </c>
      <c r="J27" s="14">
        <f>+Model!S21/Model!S72</f>
        <v>0.27009580198182642</v>
      </c>
      <c r="L27" s="33"/>
    </row>
    <row r="29" spans="1:12" x14ac:dyDescent="0.2">
      <c r="B29" s="2" t="s">
        <v>124</v>
      </c>
      <c r="L29" s="33" t="s">
        <v>290</v>
      </c>
    </row>
    <row r="30" spans="1:12" x14ac:dyDescent="0.2">
      <c r="B30" s="2" t="s">
        <v>125</v>
      </c>
      <c r="L30" s="33" t="s">
        <v>291</v>
      </c>
    </row>
    <row r="31" spans="1:12" x14ac:dyDescent="0.2">
      <c r="B31" s="2" t="s">
        <v>292</v>
      </c>
      <c r="L31" s="33" t="s">
        <v>293</v>
      </c>
    </row>
    <row r="32" spans="1:12" x14ac:dyDescent="0.2">
      <c r="B32" s="2" t="s">
        <v>294</v>
      </c>
      <c r="L32" s="33" t="s">
        <v>295</v>
      </c>
    </row>
    <row r="34" spans="1:12" x14ac:dyDescent="0.2">
      <c r="A34" s="32" t="s">
        <v>12</v>
      </c>
      <c r="B34" s="17" t="s">
        <v>296</v>
      </c>
    </row>
    <row r="35" spans="1:12" x14ac:dyDescent="0.2">
      <c r="B35" s="2" t="s">
        <v>297</v>
      </c>
      <c r="L35" s="33" t="s">
        <v>298</v>
      </c>
    </row>
    <row r="36" spans="1:12" x14ac:dyDescent="0.2">
      <c r="B36" s="2" t="s">
        <v>126</v>
      </c>
      <c r="L36" s="33" t="s">
        <v>299</v>
      </c>
    </row>
    <row r="37" spans="1:12" x14ac:dyDescent="0.2">
      <c r="B37" s="2" t="s">
        <v>300</v>
      </c>
      <c r="L37" s="33" t="s">
        <v>301</v>
      </c>
    </row>
    <row r="38" spans="1:12" x14ac:dyDescent="0.2">
      <c r="B38" s="2" t="s">
        <v>127</v>
      </c>
      <c r="C38" s="14"/>
      <c r="D38" s="14"/>
      <c r="E38" s="14"/>
      <c r="F38" s="14"/>
      <c r="G38" s="14"/>
      <c r="J38" s="34"/>
      <c r="L38" s="33" t="s">
        <v>302</v>
      </c>
    </row>
    <row r="39" spans="1:12" x14ac:dyDescent="0.2">
      <c r="B39" s="2" t="s">
        <v>128</v>
      </c>
      <c r="C39" s="22"/>
      <c r="D39" s="35"/>
      <c r="E39" s="22"/>
      <c r="F39" s="22"/>
      <c r="G39" s="22"/>
      <c r="J39" s="34"/>
      <c r="L39" s="33" t="s">
        <v>303</v>
      </c>
    </row>
    <row r="41" spans="1:12" x14ac:dyDescent="0.2">
      <c r="A41" s="32" t="s">
        <v>12</v>
      </c>
      <c r="B41" s="17" t="s">
        <v>304</v>
      </c>
    </row>
    <row r="42" spans="1:12" x14ac:dyDescent="0.2">
      <c r="B42" s="2" t="s">
        <v>305</v>
      </c>
      <c r="C42" s="36"/>
      <c r="D42" s="36"/>
      <c r="E42" s="36"/>
      <c r="F42" s="36"/>
      <c r="G42" s="36"/>
      <c r="J42" s="36"/>
      <c r="L42" s="33" t="s">
        <v>306</v>
      </c>
    </row>
    <row r="43" spans="1:12" x14ac:dyDescent="0.2">
      <c r="B43" s="2" t="s">
        <v>307</v>
      </c>
      <c r="C43" s="36"/>
      <c r="D43" s="36"/>
      <c r="E43" s="36"/>
      <c r="F43" s="36"/>
      <c r="G43" s="36"/>
      <c r="J43" s="36"/>
      <c r="L43" s="33" t="s">
        <v>308</v>
      </c>
    </row>
    <row r="44" spans="1:12" x14ac:dyDescent="0.2">
      <c r="B44" s="2" t="s">
        <v>309</v>
      </c>
      <c r="L44" s="33" t="s">
        <v>310</v>
      </c>
    </row>
    <row r="45" spans="1:12" x14ac:dyDescent="0.2">
      <c r="B45" s="2" t="s">
        <v>311</v>
      </c>
      <c r="L45" s="33" t="s">
        <v>312</v>
      </c>
    </row>
    <row r="46" spans="1:12" x14ac:dyDescent="0.2">
      <c r="B46" s="2" t="s">
        <v>313</v>
      </c>
      <c r="L46" s="33" t="s">
        <v>314</v>
      </c>
    </row>
    <row r="47" spans="1:12" x14ac:dyDescent="0.2">
      <c r="B47" s="2" t="s">
        <v>315</v>
      </c>
      <c r="L47" s="33" t="s">
        <v>316</v>
      </c>
    </row>
    <row r="49" spans="1:12" x14ac:dyDescent="0.2">
      <c r="A49" s="32" t="s">
        <v>12</v>
      </c>
      <c r="B49" s="17" t="s">
        <v>317</v>
      </c>
    </row>
    <row r="50" spans="1:12" x14ac:dyDescent="0.2">
      <c r="B50" s="17" t="s">
        <v>318</v>
      </c>
      <c r="C50" s="37"/>
      <c r="D50" s="37"/>
      <c r="E50" s="37"/>
      <c r="F50" s="37"/>
      <c r="G50" s="37"/>
    </row>
    <row r="51" spans="1:12" x14ac:dyDescent="0.2">
      <c r="B51" s="2" t="s">
        <v>319</v>
      </c>
      <c r="C51" s="36"/>
      <c r="D51" s="36"/>
      <c r="E51" s="36"/>
      <c r="F51" s="36"/>
      <c r="G51" s="36"/>
      <c r="J51" s="36"/>
      <c r="L51" s="33" t="s">
        <v>320</v>
      </c>
    </row>
    <row r="52" spans="1:12" x14ac:dyDescent="0.2">
      <c r="B52" s="2" t="s">
        <v>130</v>
      </c>
      <c r="C52" s="36"/>
      <c r="D52" s="36"/>
      <c r="E52" s="36"/>
      <c r="F52" s="36"/>
      <c r="G52" s="36"/>
      <c r="J52" s="36"/>
      <c r="L52" s="33" t="s">
        <v>321</v>
      </c>
    </row>
    <row r="53" spans="1:12" x14ac:dyDescent="0.2">
      <c r="B53" s="2" t="s">
        <v>322</v>
      </c>
      <c r="C53" s="36"/>
      <c r="D53" s="36"/>
      <c r="E53" s="36"/>
      <c r="F53" s="36"/>
      <c r="G53" s="36"/>
      <c r="J53" s="36"/>
      <c r="L53" s="33" t="s">
        <v>323</v>
      </c>
    </row>
    <row r="54" spans="1:12" x14ac:dyDescent="0.2">
      <c r="B54" s="2" t="s">
        <v>324</v>
      </c>
      <c r="C54" s="36"/>
      <c r="D54" s="36"/>
      <c r="E54" s="36"/>
      <c r="F54" s="36"/>
      <c r="G54" s="36"/>
      <c r="J54" s="36"/>
      <c r="L54" s="33" t="s">
        <v>325</v>
      </c>
    </row>
    <row r="55" spans="1:12" x14ac:dyDescent="0.2">
      <c r="B55" s="2" t="s">
        <v>326</v>
      </c>
      <c r="C55" s="36"/>
      <c r="D55" s="36"/>
      <c r="E55" s="36"/>
      <c r="F55" s="36"/>
      <c r="G55" s="36"/>
      <c r="J55" s="36"/>
      <c r="L55" s="33" t="s">
        <v>327</v>
      </c>
    </row>
    <row r="56" spans="1:12" x14ac:dyDescent="0.2">
      <c r="B56" s="2" t="s">
        <v>328</v>
      </c>
      <c r="C56" s="36"/>
      <c r="D56" s="36"/>
      <c r="E56" s="36"/>
      <c r="F56" s="36"/>
      <c r="G56" s="36"/>
      <c r="J56" s="36"/>
      <c r="L56" s="33" t="s">
        <v>329</v>
      </c>
    </row>
    <row r="57" spans="1:12" x14ac:dyDescent="0.2">
      <c r="B57" s="17" t="s">
        <v>330</v>
      </c>
      <c r="J57" s="36"/>
    </row>
    <row r="58" spans="1:12" x14ac:dyDescent="0.2">
      <c r="B58" s="2" t="s">
        <v>131</v>
      </c>
      <c r="C58" s="36"/>
      <c r="D58" s="36"/>
      <c r="E58" s="36"/>
      <c r="F58" s="36"/>
      <c r="G58" s="36"/>
      <c r="J58" s="36"/>
      <c r="L58" s="33" t="s">
        <v>331</v>
      </c>
    </row>
    <row r="59" spans="1:12" x14ac:dyDescent="0.2">
      <c r="B59" s="2" t="s">
        <v>132</v>
      </c>
      <c r="C59" s="36"/>
      <c r="D59" s="36"/>
      <c r="E59" s="36"/>
      <c r="F59" s="36"/>
      <c r="G59" s="36"/>
      <c r="J59" s="36"/>
      <c r="L59" s="33" t="s">
        <v>332</v>
      </c>
    </row>
    <row r="60" spans="1:12" x14ac:dyDescent="0.2">
      <c r="B60" s="2" t="s">
        <v>133</v>
      </c>
      <c r="C60" s="36"/>
      <c r="D60" s="36"/>
      <c r="E60" s="36"/>
      <c r="F60" s="36"/>
      <c r="G60" s="36"/>
      <c r="J60" s="36"/>
      <c r="L60" s="33" t="s">
        <v>333</v>
      </c>
    </row>
    <row r="61" spans="1:12" x14ac:dyDescent="0.2">
      <c r="B61" s="2" t="s">
        <v>134</v>
      </c>
      <c r="C61" s="36"/>
      <c r="D61" s="36"/>
      <c r="E61" s="36"/>
      <c r="F61" s="36"/>
      <c r="G61" s="36"/>
      <c r="J61" s="36"/>
      <c r="L61" s="33" t="s">
        <v>334</v>
      </c>
    </row>
  </sheetData>
  <hyperlinks>
    <hyperlink ref="A1" location="Main!A1" display="Main" xr:uid="{18DDEDE0-31CB-4CFB-9F51-5D663027DD83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82499-4856-487D-A942-744765FA25DF}">
  <dimension ref="A1:AE76"/>
  <sheetViews>
    <sheetView showGridLines="0" workbookViewId="0">
      <selection activeCell="A2" sqref="A2"/>
    </sheetView>
  </sheetViews>
  <sheetFormatPr defaultRowHeight="12.75" x14ac:dyDescent="0.2"/>
  <cols>
    <col min="1" max="1" width="5.42578125" style="2" bestFit="1" customWidth="1"/>
    <col min="2" max="2" width="9.140625" style="2"/>
    <col min="3" max="3" width="9.28515625" style="2" bestFit="1" customWidth="1"/>
    <col min="4" max="4" width="9.140625" style="2"/>
    <col min="5" max="5" width="11.28515625" style="2" bestFit="1" customWidth="1"/>
    <col min="6" max="6" width="9.140625" style="2"/>
    <col min="7" max="22" width="9.28515625" style="2" bestFit="1" customWidth="1"/>
    <col min="23" max="16384" width="9.140625" style="2"/>
  </cols>
  <sheetData>
    <row r="1" spans="1:31" x14ac:dyDescent="0.2">
      <c r="A1" s="38" t="s">
        <v>0</v>
      </c>
      <c r="B1" s="39" t="s">
        <v>208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</row>
    <row r="2" spans="1:31" x14ac:dyDescent="0.2">
      <c r="E2" s="41"/>
    </row>
    <row r="3" spans="1:31" x14ac:dyDescent="0.2">
      <c r="B3" s="2" t="s">
        <v>159</v>
      </c>
      <c r="E3" s="42">
        <f>+Main!K2</f>
        <v>1553</v>
      </c>
      <c r="G3" s="2" t="s">
        <v>160</v>
      </c>
      <c r="J3" s="42"/>
      <c r="L3" s="2" t="s">
        <v>160</v>
      </c>
      <c r="O3" s="42">
        <f>+J3</f>
        <v>0</v>
      </c>
    </row>
    <row r="4" spans="1:31" x14ac:dyDescent="0.2">
      <c r="B4" s="2" t="s">
        <v>161</v>
      </c>
      <c r="E4" s="43">
        <f ca="1">+TODAY()</f>
        <v>46232</v>
      </c>
      <c r="G4" s="2" t="s">
        <v>162</v>
      </c>
      <c r="J4" s="44" t="e">
        <f ca="1">V62</f>
        <v>#DIV/0!</v>
      </c>
      <c r="L4" s="2" t="s">
        <v>163</v>
      </c>
      <c r="O4" s="45">
        <f>+J15+O15+T15</f>
        <v>0</v>
      </c>
    </row>
    <row r="5" spans="1:31" x14ac:dyDescent="0.2">
      <c r="B5" s="2" t="s">
        <v>164</v>
      </c>
      <c r="E5" s="46">
        <v>46022</v>
      </c>
      <c r="G5" s="2" t="s">
        <v>165</v>
      </c>
      <c r="J5" s="47" t="e">
        <f ca="1">J4/J3-1</f>
        <v>#DIV/0!</v>
      </c>
      <c r="L5" s="2" t="s">
        <v>165</v>
      </c>
      <c r="O5" s="47" t="e">
        <f>O4/O3-1</f>
        <v>#DIV/0!</v>
      </c>
    </row>
    <row r="7" spans="1:31" x14ac:dyDescent="0.2">
      <c r="A7" s="25" t="s">
        <v>12</v>
      </c>
      <c r="B7" s="48" t="s">
        <v>166</v>
      </c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</row>
    <row r="8" spans="1:31" x14ac:dyDescent="0.2">
      <c r="A8" s="25"/>
    </row>
    <row r="9" spans="1:31" x14ac:dyDescent="0.2">
      <c r="A9" s="25"/>
      <c r="B9" s="49" t="s">
        <v>167</v>
      </c>
      <c r="C9" s="50"/>
      <c r="D9" s="50"/>
      <c r="E9" s="50"/>
      <c r="G9" s="49" t="s">
        <v>168</v>
      </c>
      <c r="H9" s="49"/>
      <c r="I9" s="50"/>
      <c r="J9" s="50"/>
      <c r="L9" s="49" t="s">
        <v>169</v>
      </c>
      <c r="M9" s="50"/>
      <c r="N9" s="50"/>
      <c r="O9" s="50"/>
      <c r="Q9" s="49" t="s">
        <v>170</v>
      </c>
      <c r="R9" s="50"/>
      <c r="S9" s="50"/>
      <c r="T9" s="50"/>
    </row>
    <row r="10" spans="1:31" x14ac:dyDescent="0.2">
      <c r="A10" s="25"/>
      <c r="B10" s="51" t="s">
        <v>171</v>
      </c>
      <c r="G10" s="51" t="s">
        <v>171</v>
      </c>
      <c r="H10" s="51"/>
      <c r="I10" s="51" t="s">
        <v>172</v>
      </c>
      <c r="J10" s="51" t="s">
        <v>173</v>
      </c>
      <c r="L10" s="51" t="s">
        <v>171</v>
      </c>
      <c r="N10" s="51" t="s">
        <v>172</v>
      </c>
      <c r="O10" s="51" t="s">
        <v>173</v>
      </c>
      <c r="Q10" s="51" t="s">
        <v>171</v>
      </c>
      <c r="S10" s="51" t="s">
        <v>172</v>
      </c>
      <c r="T10" s="51" t="s">
        <v>173</v>
      </c>
    </row>
    <row r="11" spans="1:31" x14ac:dyDescent="0.2">
      <c r="B11" s="2" t="s">
        <v>174</v>
      </c>
      <c r="E11" s="52">
        <v>2</v>
      </c>
      <c r="G11" s="2" t="s">
        <v>175</v>
      </c>
      <c r="K11" s="1"/>
      <c r="L11" s="2" t="s">
        <v>175</v>
      </c>
      <c r="Q11" s="2" t="s">
        <v>175</v>
      </c>
    </row>
    <row r="12" spans="1:31" x14ac:dyDescent="0.2">
      <c r="B12" s="2" t="s">
        <v>176</v>
      </c>
      <c r="E12" s="52">
        <v>2</v>
      </c>
      <c r="G12" s="2" t="s">
        <v>176</v>
      </c>
      <c r="L12" s="2" t="s">
        <v>176</v>
      </c>
      <c r="Q12" s="2" t="s">
        <v>176</v>
      </c>
    </row>
    <row r="13" spans="1:31" x14ac:dyDescent="0.2">
      <c r="B13" s="2" t="s">
        <v>177</v>
      </c>
      <c r="E13" s="52">
        <v>2</v>
      </c>
      <c r="G13" s="2" t="s">
        <v>178</v>
      </c>
      <c r="J13" s="53"/>
      <c r="O13" s="53"/>
      <c r="T13" s="53"/>
    </row>
    <row r="14" spans="1:31" x14ac:dyDescent="0.2">
      <c r="B14" s="2" t="s">
        <v>179</v>
      </c>
      <c r="E14" s="52">
        <v>2</v>
      </c>
      <c r="G14" s="2" t="s">
        <v>180</v>
      </c>
      <c r="J14" s="53"/>
      <c r="L14" s="2" t="s">
        <v>180</v>
      </c>
      <c r="O14" s="53"/>
      <c r="Q14" s="2" t="s">
        <v>180</v>
      </c>
      <c r="T14" s="53"/>
    </row>
    <row r="15" spans="1:31" x14ac:dyDescent="0.2">
      <c r="B15" s="2" t="s">
        <v>181</v>
      </c>
      <c r="E15" s="52">
        <v>2</v>
      </c>
      <c r="G15" s="2" t="s">
        <v>182</v>
      </c>
      <c r="J15" s="53"/>
      <c r="L15" s="2" t="s">
        <v>182</v>
      </c>
      <c r="O15" s="53"/>
      <c r="Q15" s="2" t="s">
        <v>182</v>
      </c>
      <c r="T15" s="53"/>
    </row>
    <row r="17" spans="1:22" x14ac:dyDescent="0.2">
      <c r="B17" s="51" t="s">
        <v>183</v>
      </c>
    </row>
    <row r="18" spans="1:22" x14ac:dyDescent="0.2">
      <c r="B18" s="2" t="s">
        <v>177</v>
      </c>
      <c r="E18" s="53">
        <f>CHOOSE(E13,J18,O18,T18)</f>
        <v>0</v>
      </c>
      <c r="G18" s="2" t="s">
        <v>177</v>
      </c>
      <c r="J18" s="53"/>
      <c r="L18" s="2" t="s">
        <v>177</v>
      </c>
      <c r="O18" s="53"/>
      <c r="Q18" s="2" t="s">
        <v>177</v>
      </c>
      <c r="T18" s="53"/>
    </row>
    <row r="19" spans="1:22" x14ac:dyDescent="0.2">
      <c r="B19" s="2" t="s">
        <v>179</v>
      </c>
      <c r="E19" s="53">
        <f>CHOOSE(E14,J19,O19,T19)</f>
        <v>0</v>
      </c>
      <c r="G19" s="2" t="s">
        <v>179</v>
      </c>
      <c r="J19" s="53"/>
      <c r="L19" s="2" t="s">
        <v>179</v>
      </c>
      <c r="O19" s="53"/>
      <c r="Q19" s="2" t="s">
        <v>179</v>
      </c>
      <c r="T19" s="53"/>
    </row>
    <row r="20" spans="1:22" x14ac:dyDescent="0.2">
      <c r="B20" s="2" t="s">
        <v>184</v>
      </c>
      <c r="E20" s="53">
        <f>CHOOSE(E15,J20,O20,T20)</f>
        <v>0</v>
      </c>
      <c r="G20" s="2" t="s">
        <v>184</v>
      </c>
      <c r="J20" s="53"/>
      <c r="L20" s="2" t="s">
        <v>184</v>
      </c>
      <c r="O20" s="53"/>
      <c r="Q20" s="2" t="s">
        <v>184</v>
      </c>
      <c r="T20" s="53"/>
    </row>
    <row r="24" spans="1:22" x14ac:dyDescent="0.2">
      <c r="A24" s="25" t="s">
        <v>12</v>
      </c>
      <c r="B24" s="48" t="s">
        <v>185</v>
      </c>
      <c r="C24" s="48"/>
      <c r="D24" s="48"/>
      <c r="E24" s="48"/>
      <c r="F24" s="48"/>
      <c r="G24" s="54">
        <v>19</v>
      </c>
      <c r="H24" s="54">
        <f>G24+1</f>
        <v>20</v>
      </c>
      <c r="I24" s="54">
        <f t="shared" ref="I24:V24" si="0">H24+1</f>
        <v>21</v>
      </c>
      <c r="J24" s="54">
        <f t="shared" si="0"/>
        <v>22</v>
      </c>
      <c r="K24" s="54">
        <f t="shared" si="0"/>
        <v>23</v>
      </c>
      <c r="L24" s="54">
        <f t="shared" si="0"/>
        <v>24</v>
      </c>
      <c r="M24" s="54">
        <f t="shared" si="0"/>
        <v>25</v>
      </c>
      <c r="N24" s="54">
        <f t="shared" si="0"/>
        <v>26</v>
      </c>
      <c r="O24" s="54">
        <f t="shared" si="0"/>
        <v>27</v>
      </c>
      <c r="P24" s="54">
        <f t="shared" si="0"/>
        <v>28</v>
      </c>
      <c r="Q24" s="54">
        <f t="shared" si="0"/>
        <v>29</v>
      </c>
      <c r="R24" s="54">
        <f t="shared" si="0"/>
        <v>30</v>
      </c>
      <c r="S24" s="54">
        <f t="shared" si="0"/>
        <v>31</v>
      </c>
      <c r="T24" s="54">
        <f t="shared" si="0"/>
        <v>32</v>
      </c>
      <c r="U24" s="54">
        <f t="shared" si="0"/>
        <v>33</v>
      </c>
      <c r="V24" s="54">
        <f t="shared" si="0"/>
        <v>34</v>
      </c>
    </row>
    <row r="25" spans="1:22" x14ac:dyDescent="0.2">
      <c r="B25" s="2" t="s">
        <v>175</v>
      </c>
      <c r="G25" s="6">
        <f>+Model!M16</f>
        <v>6883.4</v>
      </c>
      <c r="H25" s="6">
        <f>+Model!N16</f>
        <v>6389</v>
      </c>
      <c r="I25" s="6">
        <f>+Model!O16</f>
        <v>8982</v>
      </c>
      <c r="J25" s="6">
        <f>+Model!P16</f>
        <v>11602</v>
      </c>
      <c r="K25" s="6">
        <f>+Model!Q16</f>
        <v>13427</v>
      </c>
      <c r="L25" s="6">
        <f>+Model!R16</f>
        <v>15170</v>
      </c>
      <c r="M25" s="6">
        <f ca="1">L25*(1+M26)</f>
        <v>15170</v>
      </c>
      <c r="N25" s="6">
        <f t="shared" ref="N25:V25" ca="1" si="1">M25*(1+N26)</f>
        <v>15170</v>
      </c>
      <c r="O25" s="6">
        <f t="shared" ca="1" si="1"/>
        <v>15170</v>
      </c>
      <c r="P25" s="6">
        <f t="shared" ca="1" si="1"/>
        <v>15170</v>
      </c>
      <c r="Q25" s="6">
        <f t="shared" ca="1" si="1"/>
        <v>15170</v>
      </c>
      <c r="R25" s="6">
        <f t="shared" ca="1" si="1"/>
        <v>15170</v>
      </c>
      <c r="S25" s="6">
        <f t="shared" ca="1" si="1"/>
        <v>15170</v>
      </c>
      <c r="T25" s="6">
        <f t="shared" ca="1" si="1"/>
        <v>15170</v>
      </c>
      <c r="U25" s="6">
        <f t="shared" ca="1" si="1"/>
        <v>15170</v>
      </c>
      <c r="V25" s="6">
        <f t="shared" ca="1" si="1"/>
        <v>15170</v>
      </c>
    </row>
    <row r="26" spans="1:22" x14ac:dyDescent="0.2">
      <c r="B26" s="55" t="s">
        <v>186</v>
      </c>
      <c r="C26" s="56"/>
      <c r="G26" s="57"/>
      <c r="H26" s="58">
        <f t="shared" ref="H26:L26" si="2">H25/G25-1</f>
        <v>-7.1824970218206108E-2</v>
      </c>
      <c r="I26" s="58">
        <f t="shared" si="2"/>
        <v>0.40585381123806541</v>
      </c>
      <c r="J26" s="58">
        <f t="shared" si="2"/>
        <v>0.2916945001113338</v>
      </c>
      <c r="K26" s="58">
        <f t="shared" si="2"/>
        <v>0.15730046543699361</v>
      </c>
      <c r="L26" s="58">
        <f t="shared" si="2"/>
        <v>0.12981306323080366</v>
      </c>
      <c r="M26" s="58" cm="1">
        <f t="array" aca="1" ref="M26" ca="1">OFFSET(M26,$E$11,,)</f>
        <v>0</v>
      </c>
      <c r="N26" s="58" cm="1">
        <f t="array" aca="1" ref="N26" ca="1">OFFSET(N26,$E$11,,)</f>
        <v>0</v>
      </c>
      <c r="O26" s="58" cm="1">
        <f t="array" aca="1" ref="O26" ca="1">OFFSET(O26,$E$11,,)</f>
        <v>0</v>
      </c>
      <c r="P26" s="58" cm="1">
        <f t="array" aca="1" ref="P26" ca="1">OFFSET(P26,$E$11,,)</f>
        <v>0</v>
      </c>
      <c r="Q26" s="58" cm="1">
        <f t="array" aca="1" ref="Q26" ca="1">OFFSET(Q26,$E$11,,)</f>
        <v>0</v>
      </c>
      <c r="R26" s="58" cm="1">
        <f t="array" aca="1" ref="R26" ca="1">OFFSET(R26,$E$11,,)</f>
        <v>0</v>
      </c>
      <c r="S26" s="58" cm="1">
        <f t="array" aca="1" ref="S26" ca="1">OFFSET(S26,$E$11,,)</f>
        <v>0</v>
      </c>
      <c r="T26" s="58" cm="1">
        <f t="array" aca="1" ref="T26" ca="1">OFFSET(T26,$E$11,,)</f>
        <v>0</v>
      </c>
      <c r="U26" s="58" cm="1">
        <f t="array" aca="1" ref="U26" ca="1">OFFSET(U26,$E$11,,)</f>
        <v>0</v>
      </c>
      <c r="V26" s="58" cm="1">
        <f t="array" aca="1" ref="V26" ca="1">OFFSET(V26,$E$11,,)</f>
        <v>0</v>
      </c>
    </row>
    <row r="27" spans="1:22" x14ac:dyDescent="0.2">
      <c r="B27" s="55" t="s">
        <v>168</v>
      </c>
      <c r="C27" s="56"/>
      <c r="I27" s="14"/>
      <c r="J27" s="14"/>
      <c r="K27" s="14"/>
      <c r="L27" s="14"/>
      <c r="M27" s="59"/>
      <c r="N27" s="59"/>
      <c r="O27" s="59"/>
      <c r="P27" s="59"/>
      <c r="Q27" s="59"/>
      <c r="R27" s="59"/>
      <c r="S27" s="59"/>
      <c r="T27" s="59"/>
      <c r="U27" s="59"/>
      <c r="V27" s="59"/>
    </row>
    <row r="28" spans="1:22" x14ac:dyDescent="0.2">
      <c r="B28" s="55" t="s">
        <v>187</v>
      </c>
      <c r="C28" s="56"/>
      <c r="I28" s="14"/>
      <c r="J28" s="14"/>
      <c r="K28" s="14"/>
      <c r="L28" s="14"/>
      <c r="M28" s="59"/>
      <c r="N28" s="59"/>
      <c r="O28" s="59"/>
      <c r="P28" s="59"/>
      <c r="Q28" s="59"/>
      <c r="R28" s="59"/>
      <c r="S28" s="59"/>
      <c r="T28" s="59"/>
      <c r="U28" s="59"/>
      <c r="V28" s="59"/>
    </row>
    <row r="29" spans="1:22" x14ac:dyDescent="0.2">
      <c r="B29" s="55" t="s">
        <v>188</v>
      </c>
      <c r="C29" s="56"/>
      <c r="I29" s="14"/>
      <c r="J29" s="14"/>
      <c r="K29" s="14"/>
      <c r="L29" s="14"/>
      <c r="M29" s="59"/>
      <c r="N29" s="59"/>
      <c r="O29" s="59"/>
      <c r="P29" s="59"/>
      <c r="Q29" s="59"/>
      <c r="R29" s="59"/>
      <c r="S29" s="59"/>
      <c r="T29" s="59"/>
      <c r="U29" s="59"/>
      <c r="V29" s="59"/>
    </row>
    <row r="31" spans="1:22" x14ac:dyDescent="0.2">
      <c r="B31" s="2" t="s">
        <v>176</v>
      </c>
      <c r="G31" s="6">
        <f>+Model!M23</f>
        <v>2338.9</v>
      </c>
      <c r="H31" s="6">
        <f>+Model!N23</f>
        <v>2073</v>
      </c>
      <c r="I31" s="6">
        <f>+Model!O23</f>
        <v>3530</v>
      </c>
      <c r="J31" s="6">
        <f>+Model!P23</f>
        <v>4697</v>
      </c>
      <c r="K31" s="6">
        <f>+Model!Q23</f>
        <v>5650</v>
      </c>
      <c r="L31" s="6">
        <f>+Model!R23</f>
        <v>6148</v>
      </c>
      <c r="M31" s="6">
        <f ca="1">M32*M25</f>
        <v>0</v>
      </c>
      <c r="N31" s="6">
        <f t="shared" ref="N31:V31" ca="1" si="3">N32*N25</f>
        <v>0</v>
      </c>
      <c r="O31" s="6">
        <f t="shared" ca="1" si="3"/>
        <v>0</v>
      </c>
      <c r="P31" s="6">
        <f t="shared" ca="1" si="3"/>
        <v>0</v>
      </c>
      <c r="Q31" s="6">
        <f t="shared" ca="1" si="3"/>
        <v>0</v>
      </c>
      <c r="R31" s="6">
        <f t="shared" ca="1" si="3"/>
        <v>0</v>
      </c>
      <c r="S31" s="6">
        <f t="shared" ca="1" si="3"/>
        <v>0</v>
      </c>
      <c r="T31" s="6">
        <f t="shared" ca="1" si="3"/>
        <v>0</v>
      </c>
      <c r="U31" s="6">
        <f t="shared" ca="1" si="3"/>
        <v>0</v>
      </c>
      <c r="V31" s="6">
        <f t="shared" ca="1" si="3"/>
        <v>0</v>
      </c>
    </row>
    <row r="32" spans="1:22" x14ac:dyDescent="0.2">
      <c r="B32" s="55" t="s">
        <v>189</v>
      </c>
      <c r="G32" s="58">
        <f>G31/G25</f>
        <v>0.33978847662492379</v>
      </c>
      <c r="H32" s="58">
        <f t="shared" ref="H32:L32" si="4">H31/H25</f>
        <v>0.32446392236656751</v>
      </c>
      <c r="I32" s="58">
        <f t="shared" si="4"/>
        <v>0.39300823869962148</v>
      </c>
      <c r="J32" s="58">
        <f t="shared" si="4"/>
        <v>0.40484399241510083</v>
      </c>
      <c r="K32" s="58">
        <f t="shared" si="4"/>
        <v>0.42079392269308108</v>
      </c>
      <c r="L32" s="58">
        <f t="shared" si="4"/>
        <v>0.40527356624917599</v>
      </c>
      <c r="M32" s="58" cm="1">
        <f t="array" aca="1" ref="M32" ca="1">OFFSET(M32,$E$12,,)</f>
        <v>0</v>
      </c>
      <c r="N32" s="58" cm="1">
        <f t="array" aca="1" ref="N32" ca="1">OFFSET(N32,$E$12,,)</f>
        <v>0</v>
      </c>
      <c r="O32" s="58" cm="1">
        <f t="array" aca="1" ref="O32" ca="1">OFFSET(O32,$E$12,,)</f>
        <v>0</v>
      </c>
      <c r="P32" s="58" cm="1">
        <f t="array" aca="1" ref="P32" ca="1">OFFSET(P32,$E$12,,)</f>
        <v>0</v>
      </c>
      <c r="Q32" s="58" cm="1">
        <f t="array" aca="1" ref="Q32" ca="1">OFFSET(Q32,$E$12,,)</f>
        <v>0</v>
      </c>
      <c r="R32" s="58" cm="1">
        <f t="array" aca="1" ref="R32" ca="1">OFFSET(R32,$E$12,,)</f>
        <v>0</v>
      </c>
      <c r="S32" s="58" cm="1">
        <f t="array" aca="1" ref="S32" ca="1">OFFSET(S32,$E$12,,)</f>
        <v>0</v>
      </c>
      <c r="T32" s="58" cm="1">
        <f t="array" aca="1" ref="T32" ca="1">OFFSET(T32,$E$12,,)</f>
        <v>0</v>
      </c>
      <c r="U32" s="58" cm="1">
        <f t="array" aca="1" ref="U32" ca="1">OFFSET(U32,$E$12,,)</f>
        <v>0</v>
      </c>
      <c r="V32" s="58" cm="1">
        <f t="array" aca="1" ref="V32" ca="1">OFFSET(V32,$E$12,,)</f>
        <v>0</v>
      </c>
    </row>
    <row r="33" spans="2:22" x14ac:dyDescent="0.2">
      <c r="B33" s="55" t="s">
        <v>168</v>
      </c>
      <c r="M33" s="59"/>
      <c r="N33" s="59"/>
      <c r="O33" s="59"/>
      <c r="P33" s="59"/>
      <c r="Q33" s="59"/>
      <c r="R33" s="59"/>
      <c r="S33" s="59"/>
      <c r="T33" s="59"/>
      <c r="U33" s="59"/>
      <c r="V33" s="59"/>
    </row>
    <row r="34" spans="2:22" x14ac:dyDescent="0.2">
      <c r="B34" s="55" t="s">
        <v>187</v>
      </c>
      <c r="M34" s="59"/>
      <c r="N34" s="59"/>
      <c r="O34" s="59"/>
      <c r="P34" s="59"/>
      <c r="Q34" s="59"/>
      <c r="R34" s="59"/>
      <c r="S34" s="59"/>
      <c r="T34" s="59"/>
      <c r="U34" s="59"/>
      <c r="V34" s="59"/>
    </row>
    <row r="35" spans="2:22" x14ac:dyDescent="0.2">
      <c r="B35" s="55" t="s">
        <v>188</v>
      </c>
      <c r="M35" s="59"/>
      <c r="N35" s="59"/>
      <c r="O35" s="59"/>
      <c r="P35" s="59"/>
      <c r="Q35" s="59"/>
      <c r="R35" s="59"/>
      <c r="S35" s="59"/>
      <c r="T35" s="59"/>
      <c r="U35" s="59"/>
      <c r="V35" s="59"/>
    </row>
    <row r="37" spans="2:22" x14ac:dyDescent="0.2">
      <c r="B37" s="2" t="s">
        <v>190</v>
      </c>
      <c r="G37" s="6">
        <f>+Model!M26</f>
        <v>751</v>
      </c>
      <c r="H37" s="6">
        <f>+Model!N26</f>
        <v>613</v>
      </c>
      <c r="I37" s="6">
        <f>+Model!O26</f>
        <v>1015</v>
      </c>
      <c r="J37" s="6">
        <f>+Model!P26</f>
        <v>1305</v>
      </c>
      <c r="K37" s="6">
        <f>+Model!Q26</f>
        <v>1623</v>
      </c>
      <c r="L37" s="6">
        <f>+Model!R26</f>
        <v>1845</v>
      </c>
      <c r="M37" s="6">
        <f ca="1">M38*M31</f>
        <v>0</v>
      </c>
      <c r="N37" s="6">
        <f t="shared" ref="N37:V37" ca="1" si="5">N38*N31</f>
        <v>0</v>
      </c>
      <c r="O37" s="6">
        <f t="shared" ca="1" si="5"/>
        <v>0</v>
      </c>
      <c r="P37" s="6">
        <f t="shared" ca="1" si="5"/>
        <v>0</v>
      </c>
      <c r="Q37" s="6">
        <f t="shared" ca="1" si="5"/>
        <v>0</v>
      </c>
      <c r="R37" s="6">
        <f t="shared" ca="1" si="5"/>
        <v>0</v>
      </c>
      <c r="S37" s="6">
        <f t="shared" ca="1" si="5"/>
        <v>0</v>
      </c>
      <c r="T37" s="6">
        <f t="shared" ca="1" si="5"/>
        <v>0</v>
      </c>
      <c r="U37" s="6">
        <f t="shared" ca="1" si="5"/>
        <v>0</v>
      </c>
      <c r="V37" s="6">
        <f t="shared" ca="1" si="5"/>
        <v>0</v>
      </c>
    </row>
    <row r="38" spans="2:22" x14ac:dyDescent="0.2">
      <c r="B38" s="56" t="s">
        <v>191</v>
      </c>
      <c r="G38" s="58">
        <f t="shared" ref="G38:L38" si="6">G37/G31</f>
        <v>0.32109111120612255</v>
      </c>
      <c r="H38" s="58">
        <f t="shared" si="6"/>
        <v>0.29570670525808007</v>
      </c>
      <c r="I38" s="58">
        <f t="shared" si="6"/>
        <v>0.28753541076487255</v>
      </c>
      <c r="J38" s="58">
        <f t="shared" si="6"/>
        <v>0.27783691718117948</v>
      </c>
      <c r="K38" s="58">
        <f t="shared" si="6"/>
        <v>0.28725663716814159</v>
      </c>
      <c r="L38" s="58">
        <f t="shared" si="6"/>
        <v>0.3000975927130774</v>
      </c>
      <c r="M38" s="58"/>
      <c r="N38" s="58"/>
      <c r="O38" s="58"/>
      <c r="P38" s="58"/>
      <c r="Q38" s="58"/>
      <c r="R38" s="58"/>
      <c r="S38" s="58"/>
      <c r="T38" s="58"/>
      <c r="U38" s="58"/>
      <c r="V38" s="58"/>
    </row>
    <row r="39" spans="2:22" x14ac:dyDescent="0.2">
      <c r="B39" s="56"/>
    </row>
    <row r="40" spans="2:22" x14ac:dyDescent="0.2">
      <c r="B40" s="60" t="s">
        <v>192</v>
      </c>
      <c r="C40" s="61"/>
      <c r="D40" s="61"/>
      <c r="E40" s="61"/>
      <c r="F40" s="61"/>
      <c r="G40" s="62">
        <f t="shared" ref="G40:V40" si="7">G31-G37</f>
        <v>1587.9</v>
      </c>
      <c r="H40" s="62">
        <f t="shared" si="7"/>
        <v>1460</v>
      </c>
      <c r="I40" s="62">
        <f t="shared" si="7"/>
        <v>2515</v>
      </c>
      <c r="J40" s="62">
        <f t="shared" si="7"/>
        <v>3392</v>
      </c>
      <c r="K40" s="62">
        <f t="shared" si="7"/>
        <v>4027</v>
      </c>
      <c r="L40" s="62">
        <f t="shared" si="7"/>
        <v>4303</v>
      </c>
      <c r="M40" s="62">
        <f t="shared" ca="1" si="7"/>
        <v>0</v>
      </c>
      <c r="N40" s="62">
        <f t="shared" ca="1" si="7"/>
        <v>0</v>
      </c>
      <c r="O40" s="62">
        <f t="shared" ca="1" si="7"/>
        <v>0</v>
      </c>
      <c r="P40" s="62">
        <f t="shared" ca="1" si="7"/>
        <v>0</v>
      </c>
      <c r="Q40" s="62">
        <f t="shared" ca="1" si="7"/>
        <v>0</v>
      </c>
      <c r="R40" s="62">
        <f t="shared" ca="1" si="7"/>
        <v>0</v>
      </c>
      <c r="S40" s="62">
        <f t="shared" ca="1" si="7"/>
        <v>0</v>
      </c>
      <c r="T40" s="62">
        <f t="shared" ca="1" si="7"/>
        <v>0</v>
      </c>
      <c r="U40" s="62">
        <f t="shared" ca="1" si="7"/>
        <v>0</v>
      </c>
      <c r="V40" s="63">
        <f t="shared" ca="1" si="7"/>
        <v>0</v>
      </c>
    </row>
    <row r="42" spans="2:22" x14ac:dyDescent="0.2">
      <c r="B42" s="2" t="s">
        <v>193</v>
      </c>
      <c r="G42" s="6">
        <f>+Model!M104</f>
        <v>447.7</v>
      </c>
      <c r="H42" s="6">
        <f>+Model!N104</f>
        <v>514</v>
      </c>
      <c r="I42" s="6">
        <f>+Model!O104</f>
        <v>563</v>
      </c>
      <c r="J42" s="6">
        <f>+Model!P104</f>
        <v>730</v>
      </c>
      <c r="K42" s="6">
        <f>+Model!Q104</f>
        <v>772</v>
      </c>
      <c r="L42" s="6">
        <f>+Model!R104</f>
        <v>844</v>
      </c>
      <c r="M42" s="6">
        <f ca="1">M43*M25</f>
        <v>0</v>
      </c>
      <c r="N42" s="6">
        <f t="shared" ref="N42:V42" ca="1" si="8">N43*N25</f>
        <v>0</v>
      </c>
      <c r="O42" s="6">
        <f t="shared" ca="1" si="8"/>
        <v>0</v>
      </c>
      <c r="P42" s="6">
        <f t="shared" ca="1" si="8"/>
        <v>0</v>
      </c>
      <c r="Q42" s="6">
        <f t="shared" ca="1" si="8"/>
        <v>0</v>
      </c>
      <c r="R42" s="6">
        <f t="shared" ca="1" si="8"/>
        <v>0</v>
      </c>
      <c r="S42" s="6">
        <f t="shared" ca="1" si="8"/>
        <v>0</v>
      </c>
      <c r="T42" s="6">
        <f t="shared" ca="1" si="8"/>
        <v>0</v>
      </c>
      <c r="U42" s="6">
        <f t="shared" ca="1" si="8"/>
        <v>0</v>
      </c>
      <c r="V42" s="6">
        <f t="shared" ca="1" si="8"/>
        <v>0</v>
      </c>
    </row>
    <row r="43" spans="2:22" x14ac:dyDescent="0.2">
      <c r="B43" s="55" t="s">
        <v>189</v>
      </c>
      <c r="C43" s="57"/>
      <c r="D43" s="57"/>
      <c r="E43" s="57"/>
      <c r="F43" s="57"/>
      <c r="G43" s="64">
        <f t="shared" ref="G43:L43" si="9">G42/G25</f>
        <v>6.5040532295086731E-2</v>
      </c>
      <c r="H43" s="64">
        <f t="shared" si="9"/>
        <v>8.0450774769134453E-2</v>
      </c>
      <c r="I43" s="64">
        <f t="shared" si="9"/>
        <v>6.2680917390336224E-2</v>
      </c>
      <c r="J43" s="64">
        <f t="shared" si="9"/>
        <v>6.2920186174797443E-2</v>
      </c>
      <c r="K43" s="64">
        <f t="shared" si="9"/>
        <v>5.7496089967974978E-2</v>
      </c>
      <c r="L43" s="64">
        <f t="shared" si="9"/>
        <v>5.5636123928806853E-2</v>
      </c>
      <c r="M43" s="65"/>
      <c r="N43" s="65"/>
      <c r="O43" s="65"/>
      <c r="P43" s="65"/>
      <c r="Q43" s="65"/>
      <c r="R43" s="65"/>
      <c r="S43" s="65"/>
      <c r="T43" s="65"/>
      <c r="U43" s="65"/>
      <c r="V43" s="65"/>
    </row>
    <row r="45" spans="2:22" x14ac:dyDescent="0.2">
      <c r="B45" s="2" t="s">
        <v>101</v>
      </c>
      <c r="G45" s="6">
        <f>+Model!M116</f>
        <v>-478</v>
      </c>
      <c r="H45" s="6">
        <f>+Model!N116</f>
        <v>-448</v>
      </c>
      <c r="I45" s="6">
        <f>+Model!O116</f>
        <v>-532</v>
      </c>
      <c r="J45" s="6">
        <f>+Model!P116</f>
        <v>-518</v>
      </c>
      <c r="K45" s="6">
        <f>+Model!Q116</f>
        <v>-859</v>
      </c>
      <c r="L45" s="6">
        <f>+Model!R116</f>
        <v>-1067</v>
      </c>
      <c r="M45" s="6">
        <f ca="1">M46*M25</f>
        <v>0</v>
      </c>
      <c r="N45" s="6">
        <f t="shared" ref="N45:V45" ca="1" si="10">N46*N25</f>
        <v>0</v>
      </c>
      <c r="O45" s="6">
        <f t="shared" ca="1" si="10"/>
        <v>0</v>
      </c>
      <c r="P45" s="6">
        <f t="shared" ca="1" si="10"/>
        <v>0</v>
      </c>
      <c r="Q45" s="6">
        <f t="shared" ca="1" si="10"/>
        <v>0</v>
      </c>
      <c r="R45" s="6">
        <f t="shared" ca="1" si="10"/>
        <v>0</v>
      </c>
      <c r="S45" s="6">
        <f t="shared" ca="1" si="10"/>
        <v>0</v>
      </c>
      <c r="T45" s="6">
        <f t="shared" ca="1" si="10"/>
        <v>0</v>
      </c>
      <c r="U45" s="6">
        <f t="shared" ca="1" si="10"/>
        <v>0</v>
      </c>
      <c r="V45" s="6">
        <f t="shared" ca="1" si="10"/>
        <v>0</v>
      </c>
    </row>
    <row r="46" spans="2:22" x14ac:dyDescent="0.2">
      <c r="B46" s="55" t="s">
        <v>189</v>
      </c>
      <c r="G46" s="64">
        <f t="shared" ref="G46:L46" si="11">G45/G25</f>
        <v>-6.9442426707731653E-2</v>
      </c>
      <c r="H46" s="64">
        <f t="shared" si="11"/>
        <v>-7.0120519643136647E-2</v>
      </c>
      <c r="I46" s="64">
        <f t="shared" si="11"/>
        <v>-5.9229570251614343E-2</v>
      </c>
      <c r="J46" s="64">
        <f t="shared" si="11"/>
        <v>-4.4647474573349423E-2</v>
      </c>
      <c r="K46" s="64">
        <f t="shared" si="11"/>
        <v>-6.3975571609443657E-2</v>
      </c>
      <c r="L46" s="64">
        <f t="shared" si="11"/>
        <v>-7.0336189848384967E-2</v>
      </c>
      <c r="M46" s="65"/>
      <c r="N46" s="65"/>
      <c r="O46" s="65"/>
      <c r="P46" s="65"/>
      <c r="Q46" s="65"/>
      <c r="R46" s="65"/>
      <c r="S46" s="65"/>
      <c r="T46" s="65"/>
      <c r="U46" s="65"/>
      <c r="V46" s="65"/>
    </row>
    <row r="48" spans="2:22" x14ac:dyDescent="0.2">
      <c r="B48" s="2" t="s">
        <v>99</v>
      </c>
      <c r="G48" s="6">
        <f>+Model!M114</f>
        <v>23.9</v>
      </c>
      <c r="H48" s="6">
        <f>+Model!N114</f>
        <v>-350</v>
      </c>
      <c r="I48" s="6">
        <f>+Model!O114</f>
        <v>346</v>
      </c>
      <c r="J48" s="6">
        <f>+Model!P114</f>
        <v>73</v>
      </c>
      <c r="K48" s="6">
        <f>+Model!Q114</f>
        <v>-794</v>
      </c>
      <c r="L48" s="6">
        <f>+Model!R114</f>
        <v>-239</v>
      </c>
      <c r="M48" s="6">
        <f ca="1">M49*M25</f>
        <v>0</v>
      </c>
      <c r="N48" s="6">
        <f t="shared" ref="N48:V48" ca="1" si="12">N49*N25</f>
        <v>0</v>
      </c>
      <c r="O48" s="6">
        <f t="shared" ca="1" si="12"/>
        <v>0</v>
      </c>
      <c r="P48" s="6">
        <f t="shared" ca="1" si="12"/>
        <v>0</v>
      </c>
      <c r="Q48" s="6">
        <f t="shared" ca="1" si="12"/>
        <v>0</v>
      </c>
      <c r="R48" s="6">
        <f t="shared" ca="1" si="12"/>
        <v>0</v>
      </c>
      <c r="S48" s="6">
        <f t="shared" ca="1" si="12"/>
        <v>0</v>
      </c>
      <c r="T48" s="6">
        <f t="shared" ca="1" si="12"/>
        <v>0</v>
      </c>
      <c r="U48" s="6">
        <f t="shared" ca="1" si="12"/>
        <v>0</v>
      </c>
      <c r="V48" s="6">
        <f t="shared" ca="1" si="12"/>
        <v>0</v>
      </c>
    </row>
    <row r="49" spans="2:24" x14ac:dyDescent="0.2">
      <c r="B49" s="55" t="s">
        <v>189</v>
      </c>
      <c r="G49" s="64">
        <f t="shared" ref="G49:L49" si="13">G48/G25</f>
        <v>3.4721213353865821E-3</v>
      </c>
      <c r="H49" s="64">
        <f t="shared" si="13"/>
        <v>-5.4781655971200501E-2</v>
      </c>
      <c r="I49" s="64">
        <f t="shared" si="13"/>
        <v>3.8521487419283011E-2</v>
      </c>
      <c r="J49" s="64">
        <f t="shared" si="13"/>
        <v>6.2920186174797452E-3</v>
      </c>
      <c r="K49" s="64">
        <f t="shared" si="13"/>
        <v>-5.9134579578461306E-2</v>
      </c>
      <c r="L49" s="64">
        <f t="shared" si="13"/>
        <v>-1.5754779169413317E-2</v>
      </c>
      <c r="M49" s="65"/>
      <c r="N49" s="65"/>
      <c r="O49" s="65"/>
      <c r="P49" s="65"/>
      <c r="Q49" s="65"/>
      <c r="R49" s="65"/>
      <c r="S49" s="65"/>
      <c r="T49" s="65"/>
      <c r="U49" s="65"/>
      <c r="V49" s="65"/>
    </row>
    <row r="51" spans="2:24" x14ac:dyDescent="0.2">
      <c r="B51" s="66" t="s">
        <v>194</v>
      </c>
      <c r="C51" s="67"/>
      <c r="D51" s="67"/>
      <c r="E51" s="67"/>
      <c r="F51" s="67"/>
      <c r="G51" s="68">
        <f>G40+G42+G45+G48</f>
        <v>1581.5000000000002</v>
      </c>
      <c r="H51" s="68">
        <f t="shared" ref="H51:U51" si="14">H40+H42+H45+H48</f>
        <v>1176</v>
      </c>
      <c r="I51" s="68">
        <f t="shared" si="14"/>
        <v>2892</v>
      </c>
      <c r="J51" s="68">
        <f t="shared" si="14"/>
        <v>3677</v>
      </c>
      <c r="K51" s="68">
        <f t="shared" si="14"/>
        <v>3146</v>
      </c>
      <c r="L51" s="68">
        <f t="shared" si="14"/>
        <v>3841</v>
      </c>
      <c r="M51" s="68">
        <f ca="1">M40+M42+M45+M48</f>
        <v>0</v>
      </c>
      <c r="N51" s="68">
        <f t="shared" ca="1" si="14"/>
        <v>0</v>
      </c>
      <c r="O51" s="68">
        <f t="shared" ca="1" si="14"/>
        <v>0</v>
      </c>
      <c r="P51" s="68">
        <f t="shared" ca="1" si="14"/>
        <v>0</v>
      </c>
      <c r="Q51" s="68">
        <f t="shared" ca="1" si="14"/>
        <v>0</v>
      </c>
      <c r="R51" s="68">
        <f t="shared" ca="1" si="14"/>
        <v>0</v>
      </c>
      <c r="S51" s="68">
        <f t="shared" ca="1" si="14"/>
        <v>0</v>
      </c>
      <c r="T51" s="68">
        <f t="shared" ca="1" si="14"/>
        <v>0</v>
      </c>
      <c r="U51" s="68">
        <f t="shared" ca="1" si="14"/>
        <v>0</v>
      </c>
      <c r="V51" s="69">
        <f ca="1">V40+V42+V45+V48</f>
        <v>0</v>
      </c>
    </row>
    <row r="52" spans="2:24" x14ac:dyDescent="0.2">
      <c r="B52" s="70" t="s">
        <v>195</v>
      </c>
      <c r="C52" s="71"/>
      <c r="D52" s="71"/>
      <c r="E52" s="71"/>
      <c r="F52" s="71"/>
      <c r="G52" s="72"/>
      <c r="H52" s="72"/>
      <c r="I52" s="72"/>
      <c r="J52" s="72"/>
      <c r="K52" s="72"/>
      <c r="L52" s="72"/>
      <c r="M52" s="72">
        <f ca="1">(M51/(1+$E$18)^M53)*M53</f>
        <v>0</v>
      </c>
      <c r="N52" s="72">
        <f ca="1">N51/(1+$E$18)^N53</f>
        <v>0</v>
      </c>
      <c r="O52" s="72">
        <f t="shared" ref="O52:U52" ca="1" si="15">O51/(1+$E$18)^O53</f>
        <v>0</v>
      </c>
      <c r="P52" s="72">
        <f t="shared" ca="1" si="15"/>
        <v>0</v>
      </c>
      <c r="Q52" s="72">
        <f t="shared" ca="1" si="15"/>
        <v>0</v>
      </c>
      <c r="R52" s="72">
        <f t="shared" ca="1" si="15"/>
        <v>0</v>
      </c>
      <c r="S52" s="72">
        <f t="shared" ca="1" si="15"/>
        <v>0</v>
      </c>
      <c r="T52" s="72">
        <f t="shared" ca="1" si="15"/>
        <v>0</v>
      </c>
      <c r="U52" s="72">
        <f t="shared" ca="1" si="15"/>
        <v>0</v>
      </c>
      <c r="V52" s="73">
        <f ca="1">V51/(1+$E$18)^V53</f>
        <v>0</v>
      </c>
    </row>
    <row r="53" spans="2:24" x14ac:dyDescent="0.2">
      <c r="B53" s="2" t="s">
        <v>196</v>
      </c>
      <c r="M53" s="36">
        <f ca="1">YEARFRAC(E4,E5)</f>
        <v>0.5805555555555556</v>
      </c>
      <c r="N53" s="36">
        <f ca="1">M53+1</f>
        <v>1.5805555555555557</v>
      </c>
      <c r="O53" s="36">
        <f ca="1">N53+1</f>
        <v>2.5805555555555557</v>
      </c>
      <c r="P53" s="36">
        <f t="shared" ref="P53:V53" ca="1" si="16">O53+1</f>
        <v>3.5805555555555557</v>
      </c>
      <c r="Q53" s="36">
        <f t="shared" ca="1" si="16"/>
        <v>4.5805555555555557</v>
      </c>
      <c r="R53" s="36">
        <f t="shared" ca="1" si="16"/>
        <v>5.5805555555555557</v>
      </c>
      <c r="S53" s="36">
        <f t="shared" ca="1" si="16"/>
        <v>6.5805555555555557</v>
      </c>
      <c r="T53" s="36">
        <f t="shared" ca="1" si="16"/>
        <v>7.5805555555555557</v>
      </c>
      <c r="U53" s="36">
        <f t="shared" ca="1" si="16"/>
        <v>8.5805555555555557</v>
      </c>
      <c r="V53" s="36">
        <f t="shared" ca="1" si="16"/>
        <v>9.5805555555555557</v>
      </c>
    </row>
    <row r="54" spans="2:24" x14ac:dyDescent="0.2">
      <c r="B54" s="2" t="s">
        <v>197</v>
      </c>
      <c r="N54" s="37"/>
      <c r="O54" s="37"/>
      <c r="P54" s="37"/>
      <c r="Q54" s="37"/>
      <c r="V54" s="6">
        <f ca="1">SUM(M52:V52)</f>
        <v>0</v>
      </c>
    </row>
    <row r="55" spans="2:24" x14ac:dyDescent="0.2">
      <c r="B55" s="2" t="s">
        <v>198</v>
      </c>
      <c r="N55" s="37"/>
      <c r="O55" s="37"/>
      <c r="P55" s="37"/>
      <c r="Q55" s="37"/>
      <c r="V55" s="6" t="e">
        <f ca="1">+(V40*(1+E19))*(1-(E19/E20))/(E18-E19)</f>
        <v>#DIV/0!</v>
      </c>
      <c r="X55" s="33" t="s">
        <v>199</v>
      </c>
    </row>
    <row r="56" spans="2:24" x14ac:dyDescent="0.2">
      <c r="B56" s="40" t="s">
        <v>200</v>
      </c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74"/>
      <c r="O56" s="74"/>
      <c r="P56" s="74"/>
      <c r="Q56" s="74"/>
      <c r="R56" s="74"/>
      <c r="S56" s="74"/>
      <c r="T56" s="74"/>
      <c r="U56" s="74"/>
      <c r="V56" s="75" t="e">
        <f ca="1">V55/(1+E18)^V53</f>
        <v>#DIV/0!</v>
      </c>
    </row>
    <row r="57" spans="2:24" x14ac:dyDescent="0.2">
      <c r="B57" s="76" t="s">
        <v>201</v>
      </c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7"/>
      <c r="O57" s="77"/>
      <c r="P57" s="77"/>
      <c r="Q57" s="77"/>
      <c r="R57" s="77"/>
      <c r="S57" s="77"/>
      <c r="T57" s="77"/>
      <c r="U57" s="77"/>
      <c r="V57" s="78" t="e">
        <f ca="1">V54+V56</f>
        <v>#DIV/0!</v>
      </c>
    </row>
    <row r="58" spans="2:24" x14ac:dyDescent="0.2">
      <c r="B58" s="2" t="s">
        <v>202</v>
      </c>
      <c r="N58" s="37"/>
      <c r="O58" s="37"/>
      <c r="P58" s="37"/>
      <c r="Q58" s="37"/>
      <c r="V58" s="79"/>
    </row>
    <row r="59" spans="2:24" x14ac:dyDescent="0.2">
      <c r="B59" s="40" t="s">
        <v>203</v>
      </c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74"/>
      <c r="O59" s="74"/>
      <c r="P59" s="74"/>
      <c r="Q59" s="74"/>
      <c r="R59" s="74"/>
      <c r="S59" s="74"/>
      <c r="T59" s="74"/>
      <c r="U59" s="74"/>
      <c r="V59" s="75"/>
    </row>
    <row r="60" spans="2:24" x14ac:dyDescent="0.2">
      <c r="B60" s="2" t="s">
        <v>204</v>
      </c>
      <c r="N60" s="37"/>
      <c r="O60" s="37"/>
      <c r="P60" s="37"/>
      <c r="Q60" s="37"/>
      <c r="V60" s="79" t="e">
        <f ca="1">V57+V58-V59</f>
        <v>#DIV/0!</v>
      </c>
    </row>
    <row r="61" spans="2:24" x14ac:dyDescent="0.2">
      <c r="B61" s="40" t="s">
        <v>205</v>
      </c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74"/>
      <c r="O61" s="74"/>
      <c r="P61" s="74"/>
      <c r="Q61" s="74"/>
      <c r="R61" s="74"/>
      <c r="S61" s="74"/>
      <c r="T61" s="74"/>
      <c r="U61" s="74"/>
      <c r="V61" s="75"/>
    </row>
    <row r="62" spans="2:24" x14ac:dyDescent="0.2">
      <c r="B62" s="2" t="s">
        <v>160</v>
      </c>
      <c r="V62" s="79" t="e">
        <f ca="1">V60/V61</f>
        <v>#DIV/0!</v>
      </c>
    </row>
    <row r="66" spans="1:22" x14ac:dyDescent="0.2">
      <c r="A66" s="25" t="s">
        <v>12</v>
      </c>
      <c r="B66" s="48" t="s">
        <v>206</v>
      </c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</row>
    <row r="68" spans="1:22" x14ac:dyDescent="0.2">
      <c r="B68" s="80"/>
      <c r="C68" s="88" t="s">
        <v>179</v>
      </c>
      <c r="D68" s="88"/>
      <c r="E68" s="88"/>
      <c r="F68" s="88"/>
      <c r="G68" s="88"/>
      <c r="H68" s="88"/>
      <c r="I68" s="88"/>
      <c r="J68" s="89"/>
      <c r="M68" s="80"/>
      <c r="N68" s="90" t="s">
        <v>207</v>
      </c>
      <c r="O68" s="90"/>
      <c r="P68" s="90"/>
      <c r="Q68" s="90"/>
      <c r="R68" s="90"/>
      <c r="S68" s="90"/>
      <c r="T68" s="90"/>
      <c r="U68" s="91"/>
    </row>
    <row r="69" spans="1:22" x14ac:dyDescent="0.2">
      <c r="B69" s="92" t="s">
        <v>177</v>
      </c>
      <c r="C69" s="81" t="e">
        <f ca="1">+J4</f>
        <v>#DIV/0!</v>
      </c>
      <c r="D69" s="82"/>
      <c r="E69" s="82"/>
      <c r="F69" s="82"/>
      <c r="G69" s="82"/>
      <c r="H69" s="82"/>
      <c r="I69" s="82"/>
      <c r="J69" s="82"/>
      <c r="M69" s="92" t="s">
        <v>177</v>
      </c>
      <c r="N69" s="81" t="e">
        <f ca="1">+J4</f>
        <v>#DIV/0!</v>
      </c>
      <c r="O69" s="82"/>
      <c r="P69" s="82"/>
      <c r="Q69" s="82"/>
      <c r="R69" s="82"/>
      <c r="S69" s="82"/>
      <c r="T69" s="82"/>
      <c r="U69" s="82"/>
    </row>
    <row r="70" spans="1:22" x14ac:dyDescent="0.2">
      <c r="B70" s="92"/>
      <c r="C70" s="83"/>
      <c r="D70" s="84"/>
      <c r="E70" s="84"/>
      <c r="F70" s="84"/>
      <c r="G70" s="85"/>
      <c r="H70" s="84"/>
      <c r="I70" s="84"/>
      <c r="J70" s="84"/>
      <c r="M70" s="92"/>
      <c r="N70" s="83"/>
      <c r="O70" s="84"/>
      <c r="P70" s="84"/>
      <c r="Q70" s="84"/>
      <c r="R70" s="85"/>
      <c r="S70" s="84"/>
      <c r="T70" s="84"/>
      <c r="U70" s="84"/>
    </row>
    <row r="71" spans="1:22" x14ac:dyDescent="0.2">
      <c r="B71" s="92"/>
      <c r="C71" s="83"/>
      <c r="D71" s="84"/>
      <c r="E71" s="84"/>
      <c r="F71" s="84"/>
      <c r="G71" s="85"/>
      <c r="H71" s="84"/>
      <c r="I71" s="84"/>
      <c r="J71" s="84"/>
      <c r="M71" s="92"/>
      <c r="N71" s="83"/>
      <c r="O71" s="84"/>
      <c r="P71" s="84"/>
      <c r="Q71" s="84"/>
      <c r="R71" s="85"/>
      <c r="S71" s="84"/>
      <c r="T71" s="84"/>
      <c r="U71" s="84"/>
    </row>
    <row r="72" spans="1:22" x14ac:dyDescent="0.2">
      <c r="B72" s="92"/>
      <c r="C72" s="83"/>
      <c r="D72" s="85"/>
      <c r="E72" s="85"/>
      <c r="F72" s="85"/>
      <c r="G72" s="85"/>
      <c r="H72" s="85"/>
      <c r="I72" s="85"/>
      <c r="J72" s="85"/>
      <c r="M72" s="92"/>
      <c r="N72" s="83"/>
      <c r="O72" s="85"/>
      <c r="P72" s="85"/>
      <c r="Q72" s="85"/>
      <c r="R72" s="85"/>
      <c r="S72" s="85"/>
      <c r="T72" s="85"/>
      <c r="U72" s="85"/>
    </row>
    <row r="73" spans="1:22" x14ac:dyDescent="0.2">
      <c r="B73" s="92"/>
      <c r="C73" s="83"/>
      <c r="D73" s="84"/>
      <c r="E73" s="84"/>
      <c r="F73" s="84"/>
      <c r="G73" s="85"/>
      <c r="H73" s="84"/>
      <c r="I73" s="84"/>
      <c r="J73" s="84"/>
      <c r="M73" s="92"/>
      <c r="N73" s="83"/>
      <c r="O73" s="84"/>
      <c r="P73" s="84"/>
      <c r="Q73" s="84"/>
      <c r="R73" s="85"/>
      <c r="S73" s="84"/>
      <c r="T73" s="84"/>
      <c r="U73" s="84"/>
    </row>
    <row r="74" spans="1:22" x14ac:dyDescent="0.2">
      <c r="B74" s="92"/>
      <c r="C74" s="83"/>
      <c r="D74" s="84"/>
      <c r="E74" s="84"/>
      <c r="F74" s="84"/>
      <c r="G74" s="85"/>
      <c r="H74" s="84"/>
      <c r="I74" s="84"/>
      <c r="J74" s="84"/>
      <c r="M74" s="92"/>
      <c r="N74" s="83"/>
      <c r="O74" s="84"/>
      <c r="P74" s="84"/>
      <c r="Q74" s="84"/>
      <c r="R74" s="85"/>
      <c r="S74" s="84"/>
      <c r="T74" s="84"/>
      <c r="U74" s="84"/>
    </row>
    <row r="75" spans="1:22" x14ac:dyDescent="0.2">
      <c r="B75" s="92"/>
      <c r="C75" s="83"/>
      <c r="D75" s="84"/>
      <c r="E75" s="84"/>
      <c r="F75" s="84"/>
      <c r="G75" s="85"/>
      <c r="H75" s="84"/>
      <c r="I75" s="84"/>
      <c r="J75" s="84"/>
      <c r="M75" s="92"/>
      <c r="N75" s="83"/>
      <c r="O75" s="84"/>
      <c r="P75" s="84"/>
      <c r="Q75" s="84"/>
      <c r="R75" s="85"/>
      <c r="S75" s="84"/>
      <c r="T75" s="84"/>
      <c r="U75" s="84"/>
    </row>
    <row r="76" spans="1:22" x14ac:dyDescent="0.2">
      <c r="B76" s="93"/>
      <c r="C76" s="83"/>
      <c r="D76" s="84"/>
      <c r="E76" s="84"/>
      <c r="F76" s="84"/>
      <c r="G76" s="85"/>
      <c r="H76" s="84"/>
      <c r="I76" s="84"/>
      <c r="J76" s="84"/>
      <c r="M76" s="93"/>
      <c r="N76" s="83"/>
      <c r="O76" s="84"/>
      <c r="P76" s="84"/>
      <c r="Q76" s="84"/>
      <c r="R76" s="85"/>
      <c r="S76" s="84"/>
      <c r="T76" s="84"/>
      <c r="U76" s="84"/>
    </row>
  </sheetData>
  <mergeCells count="4">
    <mergeCell ref="C68:J68"/>
    <mergeCell ref="N68:U68"/>
    <mergeCell ref="B69:B76"/>
    <mergeCell ref="M69:M76"/>
  </mergeCells>
  <conditionalFormatting sqref="D70:J76">
    <cfRule type="cellIs" dxfId="3" priority="3" operator="lessThan">
      <formula>$J$3</formula>
    </cfRule>
    <cfRule type="cellIs" dxfId="2" priority="4" operator="greaterThan">
      <formula>$J$3</formula>
    </cfRule>
  </conditionalFormatting>
  <conditionalFormatting sqref="O70:U76">
    <cfRule type="cellIs" dxfId="1" priority="1" operator="lessThan">
      <formula>$J$3</formula>
    </cfRule>
    <cfRule type="cellIs" dxfId="0" priority="2" operator="greaterThan">
      <formula>$J$3</formula>
    </cfRule>
  </conditionalFormatting>
  <dataValidations count="1">
    <dataValidation type="list" allowBlank="1" showInputMessage="1" showErrorMessage="1" sqref="E11:E15" xr:uid="{573A2957-545D-4A68-A6C0-94A89ED55FE3}">
      <formula1>"1,2,3"</formula1>
    </dataValidation>
  </dataValidations>
  <hyperlinks>
    <hyperlink ref="A1" location="Main!A1" display="Main" xr:uid="{5C431B5D-4A01-4828-890C-6F6353AB2F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Model</vt:lpstr>
      <vt:lpstr>Quarters</vt:lpstr>
      <vt:lpstr>Ratios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2024-06-08T14:45:28Z</dcterms:created>
  <dcterms:modified xsi:type="dcterms:W3CDTF">2026-07-29T09:28:11Z</dcterms:modified>
</cp:coreProperties>
</file>