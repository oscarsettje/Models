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85674FBA-144D-4716-9359-FFE6EE7DE217}" xr6:coauthVersionLast="47" xr6:coauthVersionMax="47" xr10:uidLastSave="{00000000-0000-0000-0000-000000000000}"/>
  <bookViews>
    <workbookView xWindow="19095" yWindow="0" windowWidth="19410" windowHeight="20985" xr2:uid="{5386E427-DDBF-4556-BEE6-790EAB42F0A7}"/>
  </bookViews>
  <sheets>
    <sheet name="Main" sheetId="1" r:id="rId1"/>
    <sheet name="Model" sheetId="2" r:id="rId2"/>
    <sheet name="Ratios" sheetId="5" r:id="rId3"/>
    <sheet name="WACC" sheetId="6" r:id="rId4"/>
    <sheet name="DCF" sheetId="4" r:id="rId5"/>
  </sheets>
  <definedNames>
    <definedName name="WACC">DCF!$E$19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P30" i="2"/>
  <c r="P28" i="2"/>
  <c r="P26" i="2"/>
  <c r="P23" i="2"/>
  <c r="P19" i="2"/>
  <c r="P40" i="2" s="1"/>
  <c r="Q43" i="2"/>
  <c r="P43" i="2"/>
  <c r="O43" i="2"/>
  <c r="N43" i="2"/>
  <c r="M43" i="2"/>
  <c r="L43" i="2"/>
  <c r="Q42" i="2"/>
  <c r="P42" i="2"/>
  <c r="O42" i="2"/>
  <c r="N42" i="2"/>
  <c r="M42" i="2"/>
  <c r="L42" i="2"/>
  <c r="Q41" i="2"/>
  <c r="P41" i="2"/>
  <c r="O41" i="2"/>
  <c r="N41" i="2"/>
  <c r="M41" i="2"/>
  <c r="L41" i="2"/>
  <c r="Q40" i="2"/>
  <c r="O40" i="2"/>
  <c r="N40" i="2"/>
  <c r="M40" i="2"/>
  <c r="L40" i="2"/>
  <c r="Q39" i="2"/>
  <c r="P39" i="2"/>
  <c r="O39" i="2"/>
  <c r="N39" i="2"/>
  <c r="M39" i="2"/>
  <c r="L39" i="2"/>
  <c r="Q38" i="2"/>
  <c r="P38" i="2"/>
  <c r="O38" i="2"/>
  <c r="N38" i="2"/>
  <c r="M38" i="2"/>
  <c r="L38" i="2"/>
  <c r="Q37" i="2"/>
  <c r="P37" i="2"/>
  <c r="O37" i="2"/>
  <c r="N37" i="2"/>
  <c r="M37" i="2"/>
  <c r="L37" i="2"/>
  <c r="P32" i="2"/>
  <c r="O32" i="2"/>
  <c r="N32" i="2"/>
  <c r="O30" i="2"/>
  <c r="N30" i="2"/>
  <c r="O28" i="2"/>
  <c r="N28" i="2"/>
  <c r="O26" i="2"/>
  <c r="N26" i="2"/>
  <c r="O23" i="2"/>
  <c r="N23" i="2"/>
  <c r="O19" i="2"/>
  <c r="AA65" i="2"/>
  <c r="AA61" i="2"/>
  <c r="AA66" i="2" s="1"/>
  <c r="AA68" i="2" s="1"/>
  <c r="AA53" i="2"/>
  <c r="AA45" i="2"/>
  <c r="AA49" i="2" s="1"/>
  <c r="AA16" i="2"/>
  <c r="AA6" i="2" s="1"/>
  <c r="AA15" i="2"/>
  <c r="AA13" i="2"/>
  <c r="AA5" i="2" s="1"/>
  <c r="AA12" i="2"/>
  <c r="AA39" i="2"/>
  <c r="AA38" i="2"/>
  <c r="AA37" i="2"/>
  <c r="AA36" i="2"/>
  <c r="AA35" i="2"/>
  <c r="AA19" i="2"/>
  <c r="AA23" i="2" s="1"/>
  <c r="AA26" i="2" s="1"/>
  <c r="M19" i="2"/>
  <c r="M23" i="2" s="1"/>
  <c r="M26" i="2" s="1"/>
  <c r="M28" i="2" s="1"/>
  <c r="M30" i="2" s="1"/>
  <c r="M32" i="2" s="1"/>
  <c r="L19" i="2"/>
  <c r="L23" i="2" s="1"/>
  <c r="L26" i="2" s="1"/>
  <c r="L28" i="2" s="1"/>
  <c r="L30" i="2" s="1"/>
  <c r="L32" i="2" s="1"/>
  <c r="K38" i="2"/>
  <c r="K37" i="2"/>
  <c r="K19" i="2"/>
  <c r="K40" i="2" s="1"/>
  <c r="Z16" i="2"/>
  <c r="Z6" i="2" s="1"/>
  <c r="Z15" i="2"/>
  <c r="Z13" i="2"/>
  <c r="Z5" i="2" s="1"/>
  <c r="Z12" i="2"/>
  <c r="Z65" i="2"/>
  <c r="Z61" i="2"/>
  <c r="Z53" i="2"/>
  <c r="Z45" i="2"/>
  <c r="Z49" i="2" s="1"/>
  <c r="Z54" i="2" s="1"/>
  <c r="Y38" i="2"/>
  <c r="X38" i="2"/>
  <c r="W38" i="2"/>
  <c r="V38" i="2"/>
  <c r="U38" i="2"/>
  <c r="Y37" i="2"/>
  <c r="X37" i="2"/>
  <c r="W37" i="2"/>
  <c r="V37" i="2"/>
  <c r="U37" i="2"/>
  <c r="Z38" i="2"/>
  <c r="Z37" i="2"/>
  <c r="Z36" i="2"/>
  <c r="I38" i="2"/>
  <c r="H38" i="2"/>
  <c r="G38" i="2"/>
  <c r="I37" i="2"/>
  <c r="H37" i="2"/>
  <c r="G37" i="2"/>
  <c r="J38" i="2"/>
  <c r="J37" i="2"/>
  <c r="Z35" i="2"/>
  <c r="F37" i="6"/>
  <c r="F32" i="6"/>
  <c r="F20" i="6"/>
  <c r="F8" i="6"/>
  <c r="F22" i="6" s="1"/>
  <c r="AA40" i="2" l="1"/>
  <c r="AA54" i="2"/>
  <c r="K23" i="2"/>
  <c r="AA28" i="2"/>
  <c r="AA30" i="2" s="1"/>
  <c r="AA43" i="2"/>
  <c r="AA41" i="2"/>
  <c r="Z66" i="2"/>
  <c r="Z68" i="2" s="1"/>
  <c r="F41" i="6"/>
  <c r="E2" i="5"/>
  <c r="F2" i="5" s="1"/>
  <c r="G2" i="5" s="1"/>
  <c r="H2" i="5" s="1"/>
  <c r="I2" i="5" s="1"/>
  <c r="J2" i="5" s="1"/>
  <c r="K2" i="5" s="1"/>
  <c r="M54" i="4"/>
  <c r="N54" i="4" s="1"/>
  <c r="O54" i="4" s="1"/>
  <c r="P54" i="4" s="1"/>
  <c r="Q54" i="4" s="1"/>
  <c r="R54" i="4" s="1"/>
  <c r="S54" i="4" s="1"/>
  <c r="T54" i="4" s="1"/>
  <c r="U54" i="4" s="1"/>
  <c r="V54" i="4" s="1"/>
  <c r="L50" i="4"/>
  <c r="K50" i="4"/>
  <c r="J50" i="4"/>
  <c r="I50" i="4"/>
  <c r="H50" i="4"/>
  <c r="G50" i="4"/>
  <c r="L47" i="4"/>
  <c r="K47" i="4"/>
  <c r="J47" i="4"/>
  <c r="I47" i="4"/>
  <c r="H47" i="4"/>
  <c r="G47" i="4"/>
  <c r="L44" i="4"/>
  <c r="K44" i="4"/>
  <c r="J44" i="4"/>
  <c r="I44" i="4"/>
  <c r="H44" i="4"/>
  <c r="G44" i="4"/>
  <c r="L41" i="4"/>
  <c r="L52" i="4" s="1"/>
  <c r="K41" i="4"/>
  <c r="K52" i="4" s="1"/>
  <c r="J41" i="4"/>
  <c r="J52" i="4" s="1"/>
  <c r="I41" i="4"/>
  <c r="I52" i="4" s="1"/>
  <c r="H41" i="4"/>
  <c r="H52" i="4" s="1"/>
  <c r="G41" i="4"/>
  <c r="G52" i="4" s="1"/>
  <c r="L39" i="4"/>
  <c r="K39" i="4"/>
  <c r="J39" i="4"/>
  <c r="I39" i="4"/>
  <c r="H39" i="4"/>
  <c r="G39" i="4"/>
  <c r="V33" i="4" a="1"/>
  <c r="V33" i="4" s="1"/>
  <c r="U33" i="4" a="1"/>
  <c r="U33" i="4" s="1"/>
  <c r="T33" i="4" a="1"/>
  <c r="T33" i="4" s="1"/>
  <c r="S33" i="4" a="1"/>
  <c r="S33" i="4" s="1"/>
  <c r="R33" i="4" a="1"/>
  <c r="R33" i="4" s="1"/>
  <c r="Q33" i="4" a="1"/>
  <c r="Q33" i="4" s="1"/>
  <c r="P33" i="4" a="1"/>
  <c r="P33" i="4" s="1"/>
  <c r="O33" i="4" a="1"/>
  <c r="O33" i="4" s="1"/>
  <c r="N33" i="4" a="1"/>
  <c r="N33" i="4" s="1"/>
  <c r="M33" i="4" a="1"/>
  <c r="M33" i="4" s="1"/>
  <c r="L33" i="4"/>
  <c r="K33" i="4"/>
  <c r="J33" i="4"/>
  <c r="I33" i="4"/>
  <c r="H33" i="4"/>
  <c r="G33" i="4"/>
  <c r="V27" i="4" a="1"/>
  <c r="V27" i="4" s="1"/>
  <c r="U27" i="4" a="1"/>
  <c r="U27" i="4" s="1"/>
  <c r="T27" i="4" a="1"/>
  <c r="T27" i="4" s="1"/>
  <c r="S27" i="4" a="1"/>
  <c r="S27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M26" i="4" s="1"/>
  <c r="L27" i="4"/>
  <c r="K27" i="4"/>
  <c r="J27" i="4"/>
  <c r="I27" i="4"/>
  <c r="H27" i="4"/>
  <c r="H25" i="4"/>
  <c r="I25" i="4" s="1"/>
  <c r="J25" i="4" s="1"/>
  <c r="K25" i="4" s="1"/>
  <c r="L25" i="4" s="1"/>
  <c r="M25" i="4" s="1"/>
  <c r="N25" i="4" s="1"/>
  <c r="O25" i="4" s="1"/>
  <c r="P25" i="4" s="1"/>
  <c r="Q25" i="4" s="1"/>
  <c r="R25" i="4" s="1"/>
  <c r="S25" i="4" s="1"/>
  <c r="T25" i="4" s="1"/>
  <c r="U25" i="4" s="1"/>
  <c r="V25" i="4" s="1"/>
  <c r="E21" i="4"/>
  <c r="E20" i="4"/>
  <c r="E19" i="4"/>
  <c r="K26" i="2" l="1"/>
  <c r="K41" i="2"/>
  <c r="AA32" i="2"/>
  <c r="AA42" i="2"/>
  <c r="M49" i="4"/>
  <c r="M46" i="4"/>
  <c r="M43" i="4"/>
  <c r="N26" i="4"/>
  <c r="M32" i="4"/>
  <c r="K28" i="2" l="1"/>
  <c r="K30" i="2" s="1"/>
  <c r="K43" i="2"/>
  <c r="M38" i="4"/>
  <c r="M41" i="4" s="1"/>
  <c r="M52" i="4" s="1"/>
  <c r="M53" i="4" s="1"/>
  <c r="N49" i="4"/>
  <c r="N46" i="4"/>
  <c r="N43" i="4"/>
  <c r="O26" i="4"/>
  <c r="N32" i="4"/>
  <c r="K42" i="2" l="1"/>
  <c r="K32" i="2"/>
  <c r="N38" i="4"/>
  <c r="N41" i="4" s="1"/>
  <c r="N52" i="4" s="1"/>
  <c r="N53" i="4" s="1"/>
  <c r="P26" i="4"/>
  <c r="O49" i="4"/>
  <c r="O43" i="4"/>
  <c r="O46" i="4"/>
  <c r="O32" i="4"/>
  <c r="P43" i="4" l="1"/>
  <c r="Q26" i="4"/>
  <c r="P49" i="4"/>
  <c r="P46" i="4"/>
  <c r="P32" i="4"/>
  <c r="O38" i="4"/>
  <c r="O41" i="4" s="1"/>
  <c r="O52" i="4" s="1"/>
  <c r="O53" i="4" s="1"/>
  <c r="P38" i="4" l="1"/>
  <c r="P41" i="4" s="1"/>
  <c r="P52" i="4" s="1"/>
  <c r="P53" i="4" s="1"/>
  <c r="Q43" i="4"/>
  <c r="R26" i="4"/>
  <c r="Q49" i="4"/>
  <c r="Q46" i="4"/>
  <c r="Q32" i="4"/>
  <c r="Q38" i="4" l="1"/>
  <c r="Q41" i="4" s="1"/>
  <c r="Q52" i="4" s="1"/>
  <c r="Q53" i="4" s="1"/>
  <c r="R49" i="4"/>
  <c r="R43" i="4"/>
  <c r="S26" i="4"/>
  <c r="R46" i="4"/>
  <c r="R32" i="4"/>
  <c r="R38" i="4" l="1"/>
  <c r="R41" i="4" s="1"/>
  <c r="R52" i="4" s="1"/>
  <c r="R53" i="4" s="1"/>
  <c r="T26" i="4"/>
  <c r="S49" i="4"/>
  <c r="S46" i="4"/>
  <c r="S43" i="4"/>
  <c r="S32" i="4"/>
  <c r="S38" i="4" l="1"/>
  <c r="S41" i="4" s="1"/>
  <c r="S52" i="4" s="1"/>
  <c r="S53" i="4" s="1"/>
  <c r="U26" i="4"/>
  <c r="T49" i="4"/>
  <c r="T46" i="4"/>
  <c r="T43" i="4"/>
  <c r="T32" i="4"/>
  <c r="T38" i="4" l="1"/>
  <c r="T41" i="4" s="1"/>
  <c r="T52" i="4" s="1"/>
  <c r="T53" i="4" s="1"/>
  <c r="U49" i="4"/>
  <c r="U46" i="4"/>
  <c r="U43" i="4"/>
  <c r="V26" i="4"/>
  <c r="U32" i="4"/>
  <c r="U38" i="4" l="1"/>
  <c r="U41" i="4" s="1"/>
  <c r="U52" i="4" s="1"/>
  <c r="U53" i="4" s="1"/>
  <c r="V49" i="4"/>
  <c r="V46" i="4"/>
  <c r="V43" i="4"/>
  <c r="V32" i="4"/>
  <c r="V38" i="4" l="1"/>
  <c r="V41" i="4" s="1"/>
  <c r="V56" i="4" l="1"/>
  <c r="V57" i="4" s="1"/>
  <c r="V52" i="4"/>
  <c r="V53" i="4" s="1"/>
  <c r="V55" i="4" s="1"/>
  <c r="Y16" i="2"/>
  <c r="Y6" i="2" s="1"/>
  <c r="Y15" i="2"/>
  <c r="Y13" i="2"/>
  <c r="Y5" i="2" s="1"/>
  <c r="Y12" i="2"/>
  <c r="W6" i="2"/>
  <c r="W5" i="2"/>
  <c r="V94" i="2"/>
  <c r="V93" i="2"/>
  <c r="Y99" i="2"/>
  <c r="X99" i="2"/>
  <c r="W99" i="2"/>
  <c r="U99" i="2"/>
  <c r="T99" i="2"/>
  <c r="T64" i="2"/>
  <c r="X61" i="2"/>
  <c r="W61" i="2"/>
  <c r="V61" i="2"/>
  <c r="U61" i="2"/>
  <c r="T61" i="2"/>
  <c r="Y61" i="2"/>
  <c r="V58" i="4" l="1"/>
  <c r="V61" i="4" s="1"/>
  <c r="V63" i="4" s="1"/>
  <c r="J5" i="4" s="1"/>
  <c r="J6" i="4" s="1"/>
  <c r="V99" i="2"/>
  <c r="X92" i="2"/>
  <c r="W92" i="2"/>
  <c r="V92" i="2"/>
  <c r="U92" i="2"/>
  <c r="T92" i="2"/>
  <c r="Y92" i="2"/>
  <c r="X87" i="2"/>
  <c r="W87" i="2"/>
  <c r="V87" i="2"/>
  <c r="U87" i="2"/>
  <c r="T87" i="2"/>
  <c r="Y87" i="2"/>
  <c r="X65" i="2"/>
  <c r="W65" i="2"/>
  <c r="V65" i="2"/>
  <c r="U65" i="2"/>
  <c r="T65" i="2"/>
  <c r="Y65" i="2"/>
  <c r="Y66" i="2" s="1"/>
  <c r="X53" i="2"/>
  <c r="W53" i="2"/>
  <c r="V53" i="2"/>
  <c r="U53" i="2"/>
  <c r="T53" i="2"/>
  <c r="Y53" i="2"/>
  <c r="X49" i="2"/>
  <c r="W49" i="2"/>
  <c r="V49" i="2"/>
  <c r="U49" i="2"/>
  <c r="T49" i="2"/>
  <c r="Y49" i="2"/>
  <c r="T22" i="2"/>
  <c r="U22" i="2"/>
  <c r="V22" i="2"/>
  <c r="J19" i="2"/>
  <c r="I17" i="2"/>
  <c r="H17" i="2"/>
  <c r="C10" i="1" s="1"/>
  <c r="G17" i="2"/>
  <c r="K39" i="2" s="1"/>
  <c r="E17" i="2"/>
  <c r="D17" i="2"/>
  <c r="D19" i="2" s="1"/>
  <c r="D23" i="2" s="1"/>
  <c r="D26" i="2" s="1"/>
  <c r="D28" i="2" s="1"/>
  <c r="D30" i="2" s="1"/>
  <c r="D32" i="2" s="1"/>
  <c r="C17" i="2"/>
  <c r="C19" i="2" s="1"/>
  <c r="C23" i="2" s="1"/>
  <c r="C26" i="2" s="1"/>
  <c r="C28" i="2" s="1"/>
  <c r="C30" i="2" s="1"/>
  <c r="C32" i="2" s="1"/>
  <c r="T4" i="2"/>
  <c r="T6" i="2" s="1"/>
  <c r="T3" i="2"/>
  <c r="T5" i="2" s="1"/>
  <c r="U4" i="2"/>
  <c r="U3" i="2"/>
  <c r="V3" i="2"/>
  <c r="V4" i="2"/>
  <c r="X3" i="2"/>
  <c r="X4" i="2"/>
  <c r="Z19" i="2"/>
  <c r="X17" i="2"/>
  <c r="W17" i="2"/>
  <c r="V17" i="2"/>
  <c r="U17" i="2"/>
  <c r="T17" i="2"/>
  <c r="Y17" i="2"/>
  <c r="Z39" i="2" s="1"/>
  <c r="I4" i="1"/>
  <c r="I7" i="1" s="1"/>
  <c r="X39" i="2" l="1"/>
  <c r="V35" i="2"/>
  <c r="W35" i="2"/>
  <c r="U5" i="2"/>
  <c r="U35" i="2"/>
  <c r="U39" i="2"/>
  <c r="U6" i="2"/>
  <c r="U36" i="2"/>
  <c r="W39" i="2"/>
  <c r="X36" i="2"/>
  <c r="Y36" i="2"/>
  <c r="V36" i="2"/>
  <c r="W36" i="2"/>
  <c r="V39" i="2"/>
  <c r="X35" i="2"/>
  <c r="Y35" i="2"/>
  <c r="Z23" i="2"/>
  <c r="Z40" i="2"/>
  <c r="X6" i="2"/>
  <c r="X5" i="2"/>
  <c r="V6" i="2"/>
  <c r="V5" i="2"/>
  <c r="D42" i="2"/>
  <c r="X54" i="2"/>
  <c r="I19" i="2"/>
  <c r="I23" i="2" s="1"/>
  <c r="I26" i="2" s="1"/>
  <c r="I28" i="2" s="1"/>
  <c r="I30" i="2" s="1"/>
  <c r="I32" i="2" s="1"/>
  <c r="T66" i="2"/>
  <c r="T68" i="2" s="1"/>
  <c r="J23" i="2"/>
  <c r="J40" i="2"/>
  <c r="C41" i="2"/>
  <c r="C43" i="2"/>
  <c r="D41" i="2"/>
  <c r="D43" i="2"/>
  <c r="G39" i="2"/>
  <c r="H39" i="2"/>
  <c r="C40" i="2"/>
  <c r="C42" i="2"/>
  <c r="Y54" i="2"/>
  <c r="I39" i="2"/>
  <c r="D40" i="2"/>
  <c r="V19" i="2"/>
  <c r="G19" i="2"/>
  <c r="W19" i="2"/>
  <c r="Y68" i="2"/>
  <c r="H19" i="2"/>
  <c r="X19" i="2"/>
  <c r="V54" i="2"/>
  <c r="E19" i="2"/>
  <c r="X66" i="2"/>
  <c r="X68" i="2" s="1"/>
  <c r="U19" i="2"/>
  <c r="F19" i="2"/>
  <c r="J39" i="2"/>
  <c r="T19" i="2"/>
  <c r="Y19" i="2"/>
  <c r="Y39" i="2"/>
  <c r="U66" i="2"/>
  <c r="U68" i="2" s="1"/>
  <c r="T54" i="2"/>
  <c r="U54" i="2"/>
  <c r="V66" i="2"/>
  <c r="V68" i="2" s="1"/>
  <c r="W66" i="2"/>
  <c r="W68" i="2" s="1"/>
  <c r="W54" i="2"/>
  <c r="Z26" i="2" l="1"/>
  <c r="Z41" i="2"/>
  <c r="I40" i="2"/>
  <c r="I42" i="2"/>
  <c r="I41" i="2"/>
  <c r="I43" i="2"/>
  <c r="J26" i="2"/>
  <c r="J41" i="2"/>
  <c r="T23" i="2"/>
  <c r="T40" i="2"/>
  <c r="W23" i="2"/>
  <c r="W40" i="2"/>
  <c r="E23" i="2"/>
  <c r="E40" i="2"/>
  <c r="U23" i="2"/>
  <c r="U40" i="2"/>
  <c r="H23" i="2"/>
  <c r="H40" i="2"/>
  <c r="Y40" i="2"/>
  <c r="Y23" i="2"/>
  <c r="V23" i="2"/>
  <c r="V40" i="2"/>
  <c r="F23" i="2"/>
  <c r="F40" i="2"/>
  <c r="X23" i="2"/>
  <c r="X40" i="2"/>
  <c r="G23" i="2"/>
  <c r="G40" i="2"/>
  <c r="Z43" i="2" l="1"/>
  <c r="Z28" i="2"/>
  <c r="J28" i="2"/>
  <c r="J30" i="2" s="1"/>
  <c r="J43" i="2"/>
  <c r="Y26" i="2"/>
  <c r="Y41" i="2"/>
  <c r="X41" i="2"/>
  <c r="X26" i="2"/>
  <c r="E26" i="2"/>
  <c r="E41" i="2"/>
  <c r="F26" i="2"/>
  <c r="F41" i="2"/>
  <c r="H26" i="2"/>
  <c r="H41" i="2"/>
  <c r="W26" i="2"/>
  <c r="W41" i="2"/>
  <c r="V26" i="2"/>
  <c r="V41" i="2"/>
  <c r="U26" i="2"/>
  <c r="U41" i="2"/>
  <c r="T26" i="2"/>
  <c r="T41" i="2"/>
  <c r="G26" i="2"/>
  <c r="G41" i="2"/>
  <c r="J42" i="2" l="1"/>
  <c r="J32" i="2"/>
  <c r="H28" i="2"/>
  <c r="H30" i="2" s="1"/>
  <c r="H32" i="2" s="1"/>
  <c r="H43" i="2"/>
  <c r="X43" i="2"/>
  <c r="X28" i="2"/>
  <c r="Y43" i="2"/>
  <c r="Y28" i="2"/>
  <c r="F28" i="2"/>
  <c r="F30" i="2" s="1"/>
  <c r="F32" i="2" s="1"/>
  <c r="F43" i="2"/>
  <c r="E28" i="2"/>
  <c r="E30" i="2" s="1"/>
  <c r="E32" i="2" s="1"/>
  <c r="E43" i="2"/>
  <c r="G28" i="2"/>
  <c r="G30" i="2" s="1"/>
  <c r="G32" i="2" s="1"/>
  <c r="G43" i="2"/>
  <c r="T28" i="2"/>
  <c r="T43" i="2"/>
  <c r="U28" i="2"/>
  <c r="U43" i="2"/>
  <c r="V28" i="2"/>
  <c r="V43" i="2"/>
  <c r="W28" i="2"/>
  <c r="W43" i="2"/>
  <c r="F42" i="2" l="1"/>
  <c r="E42" i="2"/>
  <c r="H42" i="2"/>
  <c r="Y72" i="2"/>
  <c r="Y30" i="2"/>
  <c r="Y32" i="2" s="1"/>
  <c r="T30" i="2"/>
  <c r="T32" i="2" s="1"/>
  <c r="T72" i="2"/>
  <c r="X30" i="2"/>
  <c r="X32" i="2" s="1"/>
  <c r="X72" i="2"/>
  <c r="W30" i="2"/>
  <c r="W32" i="2" s="1"/>
  <c r="W72" i="2"/>
  <c r="G42" i="2"/>
  <c r="V30" i="2"/>
  <c r="V32" i="2" s="1"/>
  <c r="V72" i="2"/>
  <c r="U30" i="2"/>
  <c r="U32" i="2" s="1"/>
  <c r="U72" i="2"/>
  <c r="Y88" i="2" l="1"/>
  <c r="Y102" i="2" s="1"/>
  <c r="Y103" i="2" s="1"/>
  <c r="X104" i="2" s="1"/>
  <c r="V88" i="2"/>
  <c r="V102" i="2" s="1"/>
  <c r="X88" i="2"/>
  <c r="X102" i="2" s="1"/>
  <c r="U88" i="2"/>
  <c r="U102" i="2" s="1"/>
  <c r="T88" i="2"/>
  <c r="T102" i="2" s="1"/>
  <c r="W88" i="2"/>
  <c r="W102" i="2" s="1"/>
  <c r="Z30" i="2"/>
  <c r="U42" i="2"/>
  <c r="V42" i="2"/>
  <c r="X42" i="2"/>
  <c r="W42" i="2"/>
  <c r="T42" i="2"/>
  <c r="Y42" i="2"/>
  <c r="Z42" i="2" l="1"/>
  <c r="Z32" i="2"/>
  <c r="X103" i="2"/>
  <c r="W104" i="2" s="1"/>
  <c r="W103" i="2" s="1"/>
  <c r="V104" i="2" s="1"/>
  <c r="V103" i="2" s="1"/>
  <c r="U104" i="2" s="1"/>
  <c r="U103" i="2" s="1"/>
  <c r="T104" i="2" s="1"/>
  <c r="T10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X2" authorId="0" shapeId="0" xr:uid="{AF008465-DB72-4CDE-AD76-9D03284A8A1F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53 Weeks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<sst xmlns="http://schemas.openxmlformats.org/spreadsheetml/2006/main" count="445" uniqueCount="320">
  <si>
    <t>Abercrombie &amp; Fitch</t>
  </si>
  <si>
    <t>Capital Structure</t>
  </si>
  <si>
    <t>Price</t>
  </si>
  <si>
    <t>Shares</t>
  </si>
  <si>
    <t>MC</t>
  </si>
  <si>
    <t>Cash</t>
  </si>
  <si>
    <t>Debt</t>
  </si>
  <si>
    <t>EV</t>
  </si>
  <si>
    <t>Main</t>
  </si>
  <si>
    <t>x</t>
  </si>
  <si>
    <t>Q124</t>
  </si>
  <si>
    <t>Q224</t>
  </si>
  <si>
    <t>Q324</t>
  </si>
  <si>
    <t>Q424</t>
  </si>
  <si>
    <t>FY19</t>
  </si>
  <si>
    <t>FY20</t>
  </si>
  <si>
    <t>FY21</t>
  </si>
  <si>
    <t>FY22</t>
  </si>
  <si>
    <t>FY23</t>
  </si>
  <si>
    <t>FY24</t>
  </si>
  <si>
    <t>Revenue</t>
  </si>
  <si>
    <t>COGS</t>
  </si>
  <si>
    <t>Gross Profit</t>
  </si>
  <si>
    <t>Stores and Distribution Expense</t>
  </si>
  <si>
    <t>Marketing, General, Administrative Expenses</t>
  </si>
  <si>
    <t>Other Operating Income</t>
  </si>
  <si>
    <t>Operating Income</t>
  </si>
  <si>
    <t>Interest Income</t>
  </si>
  <si>
    <t>Interest Expense</t>
  </si>
  <si>
    <t>Pretax Income</t>
  </si>
  <si>
    <t>Income Tax Expense</t>
  </si>
  <si>
    <t>Net Income</t>
  </si>
  <si>
    <t>Minorities</t>
  </si>
  <si>
    <t>Net Income to Group</t>
  </si>
  <si>
    <t xml:space="preserve">Shares </t>
  </si>
  <si>
    <t>EPS</t>
  </si>
  <si>
    <t>Brands</t>
  </si>
  <si>
    <t>Products</t>
  </si>
  <si>
    <t>Competition</t>
  </si>
  <si>
    <t>Busines Model</t>
  </si>
  <si>
    <t>Abercrombie</t>
  </si>
  <si>
    <t>Hollister</t>
  </si>
  <si>
    <t>Abercrombie Revenue</t>
  </si>
  <si>
    <t>Hollister Revenue</t>
  </si>
  <si>
    <t>Store-Growth Abercrombie</t>
  </si>
  <si>
    <t>Store-Growth Hollister</t>
  </si>
  <si>
    <t>Operating Margin</t>
  </si>
  <si>
    <t>Gross Margin</t>
  </si>
  <si>
    <t>Net Margin</t>
  </si>
  <si>
    <t>Tax Rate</t>
  </si>
  <si>
    <t>Cash &amp; Cash Equivalents</t>
  </si>
  <si>
    <t>Account Receivables</t>
  </si>
  <si>
    <t>Inventory</t>
  </si>
  <si>
    <t>Other Current Assets</t>
  </si>
  <si>
    <t>Total Current Assets</t>
  </si>
  <si>
    <t>PP&amp;E</t>
  </si>
  <si>
    <t>Other Assets</t>
  </si>
  <si>
    <t>Total Non-Current Assets</t>
  </si>
  <si>
    <t>Total Assets</t>
  </si>
  <si>
    <t>Accounts Payables</t>
  </si>
  <si>
    <t>Accrued Expenses</t>
  </si>
  <si>
    <t>Short Term Lease Debt</t>
  </si>
  <si>
    <t>Income Tax Payables</t>
  </si>
  <si>
    <t>Total Current Liabilities</t>
  </si>
  <si>
    <t>Long-Term Lease Debt</t>
  </si>
  <si>
    <t>Long Term Debt</t>
  </si>
  <si>
    <t>Other Liabilties</t>
  </si>
  <si>
    <t>Total Long-Term Liabilties</t>
  </si>
  <si>
    <t>Total Liabilities</t>
  </si>
  <si>
    <t>Total Equity</t>
  </si>
  <si>
    <t>Equity &amp; Liabilities</t>
  </si>
  <si>
    <t>Cashflow Statement</t>
  </si>
  <si>
    <t xml:space="preserve">Net Income </t>
  </si>
  <si>
    <t>D&amp;A</t>
  </si>
  <si>
    <t>Impairment of Assets</t>
  </si>
  <si>
    <t>Loss on Disposal</t>
  </si>
  <si>
    <t>Provision for Deffered Income Tax</t>
  </si>
  <si>
    <t>CFFO</t>
  </si>
  <si>
    <t>Share Based Compenasation</t>
  </si>
  <si>
    <t>Loss/Gain on Extinguishment of Debt</t>
  </si>
  <si>
    <t>Change in WC:</t>
  </si>
  <si>
    <t>Total Change in WC</t>
  </si>
  <si>
    <t>Inventories</t>
  </si>
  <si>
    <t>Opearting Lease Assets</t>
  </si>
  <si>
    <t>Accounts Paybales &amp; Accrued Expenses</t>
  </si>
  <si>
    <t>Income Tax</t>
  </si>
  <si>
    <t>Operating Lease Assets</t>
  </si>
  <si>
    <t>CapEx</t>
  </si>
  <si>
    <t>Sale of PP&amp;E</t>
  </si>
  <si>
    <t>Withdrawl of funds Rubbi Trust Assets</t>
  </si>
  <si>
    <t>CFFI</t>
  </si>
  <si>
    <t>Purchase of Senior Secured Notes</t>
  </si>
  <si>
    <t>Purchase of Common Stock</t>
  </si>
  <si>
    <t>Ohter Financing Activities</t>
  </si>
  <si>
    <t>CFFF</t>
  </si>
  <si>
    <t>Change in Exchange Rates</t>
  </si>
  <si>
    <t>Change in Cash</t>
  </si>
  <si>
    <t>Cash &amp; Cash Equivalents BOP</t>
  </si>
  <si>
    <t>Cash &amp; Cash Equivalents EOP</t>
  </si>
  <si>
    <t>Abercrombie&amp;Fitch, abrombie kids</t>
  </si>
  <si>
    <t>Hollister, Gilly Hicks</t>
  </si>
  <si>
    <t>ROIC</t>
  </si>
  <si>
    <t>Retention Rate</t>
  </si>
  <si>
    <t>Reinvestment Rate</t>
  </si>
  <si>
    <t>Gearing</t>
  </si>
  <si>
    <t>Cash Conversion Cycle</t>
  </si>
  <si>
    <t>Net Debt</t>
  </si>
  <si>
    <t>EV/Sales</t>
  </si>
  <si>
    <t>EV/EBITDA</t>
  </si>
  <si>
    <t>EV/EBIT</t>
  </si>
  <si>
    <t>Other</t>
  </si>
  <si>
    <t>Issuance of Senior Notes</t>
  </si>
  <si>
    <t>Dividend Paid</t>
  </si>
  <si>
    <t>Payments of Debt Issuance Costs</t>
  </si>
  <si>
    <t xml:space="preserve">Revenue per Store Abercrombie </t>
  </si>
  <si>
    <t xml:space="preserve">Revenue per Store Hollister </t>
  </si>
  <si>
    <t>% of Rev</t>
  </si>
  <si>
    <t>ANF</t>
  </si>
  <si>
    <t>numbers in mio USD</t>
  </si>
  <si>
    <t>CEO: Fran Horowitz</t>
  </si>
  <si>
    <t>Strategy:</t>
  </si>
  <si>
    <t>4,1-4,3 b$ in Revenue, Operating Margins at around 8% at the end of FY25</t>
  </si>
  <si>
    <t>Longer-Term: 5b$ in Revenue, Operating Margins at 10%</t>
  </si>
  <si>
    <t>"Always foward plan"  - 2022</t>
  </si>
  <si>
    <t>Abercrombie Target: 6-8% CAGR on Sales</t>
  </si>
  <si>
    <t>Hollister Target: flat to 2% CAGR on Sales</t>
  </si>
  <si>
    <t xml:space="preserve">Gilly Hicks Brand: 15% CAGR on Sales </t>
  </si>
  <si>
    <t xml:space="preserve">invest in omni-chanel distribution -&gt; stores and online </t>
  </si>
  <si>
    <t>Employee Count: 25.000 (Q423)</t>
  </si>
  <si>
    <t xml:space="preserve">Founded in 1892 by David Abercrombie, 1904 Ezra Fitch -&gt; Abercrombie &amp; Fitch </t>
  </si>
  <si>
    <t>765 Stores (Q423)</t>
  </si>
  <si>
    <t>Abercrombie Digital Revenue</t>
  </si>
  <si>
    <t>Abercrombie Store Revenue</t>
  </si>
  <si>
    <t>Hollister Digital Revenue</t>
  </si>
  <si>
    <t>Hollister Store Revenue</t>
  </si>
  <si>
    <t xml:space="preserve">Target Cosutmers: 23-40 Abercrombie, 13-21 Hollister </t>
  </si>
  <si>
    <t>DCF</t>
  </si>
  <si>
    <t>Ticker</t>
  </si>
  <si>
    <t>Share Price</t>
  </si>
  <si>
    <t>Date</t>
  </si>
  <si>
    <t>Fair Share Price</t>
  </si>
  <si>
    <t>End of FY</t>
  </si>
  <si>
    <t>Implied Upside</t>
  </si>
  <si>
    <t>Assumptions</t>
  </si>
  <si>
    <t>Switches</t>
  </si>
  <si>
    <t>Conservative Case</t>
  </si>
  <si>
    <t>Base Case</t>
  </si>
  <si>
    <t>Optimistic Case</t>
  </si>
  <si>
    <t>Assuptions</t>
  </si>
  <si>
    <t>Year</t>
  </si>
  <si>
    <t>Metic</t>
  </si>
  <si>
    <t xml:space="preserve">Revenue </t>
  </si>
  <si>
    <t>EBIT</t>
  </si>
  <si>
    <t>WACC</t>
  </si>
  <si>
    <t>TGR</t>
  </si>
  <si>
    <t>Probability</t>
  </si>
  <si>
    <t>Implied Share Price * p</t>
  </si>
  <si>
    <t>Valuation</t>
  </si>
  <si>
    <t>Model</t>
  </si>
  <si>
    <t>Growth (%)</t>
  </si>
  <si>
    <t xml:space="preserve">Base Case </t>
  </si>
  <si>
    <t>Optimisitic Case</t>
  </si>
  <si>
    <t>% of Sales</t>
  </si>
  <si>
    <t>Taxes</t>
  </si>
  <si>
    <t>Tax Rate (%)</t>
  </si>
  <si>
    <t>Nopat</t>
  </si>
  <si>
    <t>D&amp;A and other non-cash Expenses</t>
  </si>
  <si>
    <t>Change in WC</t>
  </si>
  <si>
    <t>Unlevered Free Cashflow</t>
  </si>
  <si>
    <t>Present Value of unlevered FC</t>
  </si>
  <si>
    <t>Discount Period</t>
  </si>
  <si>
    <t>Sum of Present Value</t>
  </si>
  <si>
    <t>Terminal Value</t>
  </si>
  <si>
    <t>Present Value of TV</t>
  </si>
  <si>
    <t>Enterprise Value</t>
  </si>
  <si>
    <t>(+) Cash</t>
  </si>
  <si>
    <t>(-) Debt</t>
  </si>
  <si>
    <t>Equity Value</t>
  </si>
  <si>
    <t xml:space="preserve">Number of Shares </t>
  </si>
  <si>
    <t>Sensitivity Analysis</t>
  </si>
  <si>
    <t>Ratios</t>
  </si>
  <si>
    <t>Shares o/s</t>
  </si>
  <si>
    <t>Market Cap</t>
  </si>
  <si>
    <t>Capital Emloyed</t>
  </si>
  <si>
    <t>=Long Term Assets + Working Capital (Exclusive of cash)-Accounts Payables</t>
  </si>
  <si>
    <t>Invested Capital</t>
  </si>
  <si>
    <t>=Net Working Capital + PP&amp;E + Other Net Operating Assets (net of Liabilties) + (Intangibles)</t>
  </si>
  <si>
    <t>Total Funds Invested</t>
  </si>
  <si>
    <t>Invested Capital + Non-Operating Assets</t>
  </si>
  <si>
    <t>NOPAT</t>
  </si>
  <si>
    <t>EBITA * (1-Marginal Tax Rate)</t>
  </si>
  <si>
    <t>Net Investment</t>
  </si>
  <si>
    <t>=Invested Capital (t+1)-Invested Capital (t)</t>
  </si>
  <si>
    <t>FCF</t>
  </si>
  <si>
    <t>=NOPAT + non-cash Expenses - Investments in Invested Capital</t>
  </si>
  <si>
    <t>Investment Rate</t>
  </si>
  <si>
    <t>=Net Investment/NOPAT</t>
  </si>
  <si>
    <t>Economic Profit</t>
  </si>
  <si>
    <t>=Invested Capital *(ROIC-WACC)</t>
  </si>
  <si>
    <t>Efficency-Ratios</t>
  </si>
  <si>
    <t>Capital Turnover</t>
  </si>
  <si>
    <t>=Revenue/Total Assets</t>
  </si>
  <si>
    <t>Return on Equity (ROE)</t>
  </si>
  <si>
    <t>=Net Income/Book Value of Equity</t>
  </si>
  <si>
    <t>Return on Capital Employed (ROCE)</t>
  </si>
  <si>
    <t>=EBIT/Capital Employed</t>
  </si>
  <si>
    <t>Return on Capital Invested (ROIC)</t>
  </si>
  <si>
    <t>=NOPAT/Invested Capital</t>
  </si>
  <si>
    <t>ROIC without Intangibles</t>
  </si>
  <si>
    <t>=NOPAT/(Invested Capital exclusive of Intangibles)</t>
  </si>
  <si>
    <t>Decomposed ROIC</t>
  </si>
  <si>
    <t>= ROIC = (1-operating cash tax)* (EBITA/Revenues) * (Revenue/Invested Capital)</t>
  </si>
  <si>
    <t>=1 - Dividends/Net Income</t>
  </si>
  <si>
    <t>=Net CapEx + Change in WC / EBIT * (1-t)</t>
  </si>
  <si>
    <t>Epected Growth in Net Income</t>
  </si>
  <si>
    <t>=ROE * Retention Rate</t>
  </si>
  <si>
    <t>Expected Growth in NOPAT</t>
  </si>
  <si>
    <t>=ROIC * Reinvestment Rate</t>
  </si>
  <si>
    <t>Finacial Stability Ratios</t>
  </si>
  <si>
    <t>Equity/Debt Ratio</t>
  </si>
  <si>
    <t>=Book Value of Equtiy/Book Value of Debt</t>
  </si>
  <si>
    <t>=(Debt - Cash (Net Debt))/Book Value of Equity</t>
  </si>
  <si>
    <t>Interest Coverage Ratio</t>
  </si>
  <si>
    <t>=EBIT/Interest Expenses</t>
  </si>
  <si>
    <t>Net Debt / EBITDA</t>
  </si>
  <si>
    <t>=Net Debt/EBITDA</t>
  </si>
  <si>
    <t>Cash Burn Rate</t>
  </si>
  <si>
    <t>=Book Value of Equity/Absolute value of Loss</t>
  </si>
  <si>
    <t>WC-Managment Ratios</t>
  </si>
  <si>
    <t>Debitor-Duration</t>
  </si>
  <si>
    <t>=Accounts Receivables/Revenue*360</t>
  </si>
  <si>
    <t>Creditor-Duration</t>
  </si>
  <si>
    <t>=Accounts Payable/Revenue*360</t>
  </si>
  <si>
    <t>Inventory Intensity</t>
  </si>
  <si>
    <t>=Inventory/Balance Sheet Total</t>
  </si>
  <si>
    <t>Invetory Turnover</t>
  </si>
  <si>
    <t>=Cogs/Inventory</t>
  </si>
  <si>
    <t>Storage-Duration</t>
  </si>
  <si>
    <t>=360/Inventory Turnover</t>
  </si>
  <si>
    <t>=Debitor Duration + Storage Duration - Creditor Duration</t>
  </si>
  <si>
    <t>Multipliers</t>
  </si>
  <si>
    <t>Equitymultiples</t>
  </si>
  <si>
    <t>P/E Ratio</t>
  </si>
  <si>
    <t>=Share Price/EPS</t>
  </si>
  <si>
    <t>PEG Ratio</t>
  </si>
  <si>
    <t>=P/E Ratio / Growth</t>
  </si>
  <si>
    <t>P/B Ratio</t>
  </si>
  <si>
    <t>=Market Cap/Book Vakue of Equity</t>
  </si>
  <si>
    <t>P/TB Ratio</t>
  </si>
  <si>
    <t>=Market Cap / Tangible Book Value</t>
  </si>
  <si>
    <t>P/Cf Ratio</t>
  </si>
  <si>
    <t>=Share Price/Cashflow per share</t>
  </si>
  <si>
    <t>P/R Ratio</t>
  </si>
  <si>
    <t>=Share Price/Revenue per Share</t>
  </si>
  <si>
    <t>Entitymultiples</t>
  </si>
  <si>
    <t>=EV/EBITDA</t>
  </si>
  <si>
    <t>=EV/EBIT</t>
  </si>
  <si>
    <t>EV/FCF</t>
  </si>
  <si>
    <t>=EV/FCF</t>
  </si>
  <si>
    <t>=EV/Revenue</t>
  </si>
  <si>
    <t>Cost of Capital</t>
  </si>
  <si>
    <t>Cost of Equity (CAPM)</t>
  </si>
  <si>
    <t>Riskfree Rate</t>
  </si>
  <si>
    <t>Expected Inflation</t>
  </si>
  <si>
    <t>=(1+Nominal Rate)/(1+Real Rate)-1</t>
  </si>
  <si>
    <t>Average Real Interest Rate</t>
  </si>
  <si>
    <t>= Average Interest Rate of the Past</t>
  </si>
  <si>
    <t>=Goverment Bond or Expected Inflation + Average Real Interest Rate</t>
  </si>
  <si>
    <t>Adjustments for Industry/Company Risk</t>
  </si>
  <si>
    <t xml:space="preserve">Raw Beta </t>
  </si>
  <si>
    <t>=Raw beta slope of regression line aginst total market -&gt; Ri= alpha + beta*Rm + standard error</t>
  </si>
  <si>
    <t>Debt to Value Ratio</t>
  </si>
  <si>
    <t>Value of Debt/Enterpries Value</t>
  </si>
  <si>
    <t>Unlevered Beta</t>
  </si>
  <si>
    <t>= Raw Beta Debt-to-Equity Ratio (Book Value)</t>
  </si>
  <si>
    <t>Unlevered Industry Beta</t>
  </si>
  <si>
    <t>=Median of Peer Group</t>
  </si>
  <si>
    <t>Levered Industry Beta</t>
  </si>
  <si>
    <t>=Unlevered Industry Beta * Market Value of Debt to Market Value of Equity</t>
  </si>
  <si>
    <t>Expected Equity Risk Premium</t>
  </si>
  <si>
    <t>Estimated Future Market Return</t>
  </si>
  <si>
    <t>= 1/P/E * (1.g/ROE) + g , g = real growth in GDP, P/E =&gt; P/E ratio for S&amp;P500 or MSCI World Index, ROE = Average ROE in S&amp;P500 or MSCI World</t>
  </si>
  <si>
    <t>=&gt; ER(i)=rf+beta(i)*(Er(m)-rf)</t>
  </si>
  <si>
    <t>Cost of Debt</t>
  </si>
  <si>
    <t>Yield to Maturity on Trading Bonds</t>
  </si>
  <si>
    <t>=&gt; Price = Coupon/(1+YTM)+Coupon(1+YTM)^2 + … + (Face Value + Coupon)/(1+YTM)^n =&gt; solve for YTM</t>
  </si>
  <si>
    <t>or</t>
  </si>
  <si>
    <t>Credit Default Spread</t>
  </si>
  <si>
    <t>Country Rsik Premium</t>
  </si>
  <si>
    <t>Market Value of Debt</t>
  </si>
  <si>
    <t xml:space="preserve">Market Value of Equity </t>
  </si>
  <si>
    <t>Total  Enterprise Value</t>
  </si>
  <si>
    <t>Marginal Tax Rate</t>
  </si>
  <si>
    <t>=&gt; WACC = (D/D+E)*kd * (1-t) + (E/D+E) * ke</t>
  </si>
  <si>
    <t>America Revenue</t>
  </si>
  <si>
    <t>EMEA Revenue</t>
  </si>
  <si>
    <t xml:space="preserve">APAC Revenue </t>
  </si>
  <si>
    <t>IR</t>
  </si>
  <si>
    <t>Begining of FY</t>
  </si>
  <si>
    <t>Abercrombie Growth</t>
  </si>
  <si>
    <t>Hollister Growth</t>
  </si>
  <si>
    <t>Revenue Growth</t>
  </si>
  <si>
    <t>Other Current Liabilities</t>
  </si>
  <si>
    <t>Q125</t>
  </si>
  <si>
    <t>Q225</t>
  </si>
  <si>
    <t>Q325</t>
  </si>
  <si>
    <t>Q425</t>
  </si>
  <si>
    <t>FY25</t>
  </si>
  <si>
    <t>Outlook: FY25</t>
  </si>
  <si>
    <t>Rev Growth 3-6%, OM 12,5 -13,5%</t>
  </si>
  <si>
    <t>Q123</t>
  </si>
  <si>
    <t>Q423</t>
  </si>
  <si>
    <t>Q223</t>
  </si>
  <si>
    <t>Q323</t>
  </si>
  <si>
    <t>FY18</t>
  </si>
  <si>
    <t>Q126</t>
  </si>
  <si>
    <t>Q226</t>
  </si>
  <si>
    <t>Q326</t>
  </si>
  <si>
    <t>Q426</t>
  </si>
  <si>
    <t>n.a.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</si>
</sst>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;[Red]#,##0.0"/>
    <numFmt numFmtId="165" formatCode="#,##0.0;\(#,##0.0\)"/>
    <numFmt numFmtId="166" formatCode="0.0"/>
    <numFmt numFmtId="167" formatCode="0.0%"/>
    <numFmt numFmtId="168" formatCode="&quot;FY&quot;0&quot;A&quot;"/>
    <numFmt numFmtId="169" formatCode="\F\Y#,##0"/>
    <numFmt numFmtId="170" formatCode="#,##0;\(#,##0\)"/>
    <numFmt numFmtId="171" formatCode="#,##0.00;\(#,##0.00\)"/>
  </numFmts>
  <fonts count="1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E9D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84">
    <xf numFmtId="0" fontId="0" fillId="0" borderId="0" xfId="0"/>
    <xf numFmtId="0" fontId="9" fillId="0" borderId="0" xfId="0" applyFont="1"/>
    <xf numFmtId="0" fontId="3" fillId="0" borderId="0" xfId="0" applyFont="1"/>
    <xf numFmtId="165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/>
    <xf numFmtId="0" fontId="11" fillId="0" borderId="0" xfId="1" applyFont="1"/>
    <xf numFmtId="0" fontId="12" fillId="0" borderId="1" xfId="0" applyFont="1" applyBorder="1"/>
    <xf numFmtId="0" fontId="12" fillId="0" borderId="2" xfId="0" applyFont="1" applyBorder="1"/>
    <xf numFmtId="0" fontId="12" fillId="0" borderId="3" xfId="0" applyFont="1" applyBorder="1"/>
    <xf numFmtId="0" fontId="3" fillId="0" borderId="4" xfId="0" applyFont="1" applyBorder="1"/>
    <xf numFmtId="9" fontId="3" fillId="0" borderId="5" xfId="2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9" fontId="3" fillId="0" borderId="0" xfId="0" applyNumberFormat="1" applyFont="1"/>
    <xf numFmtId="0" fontId="3" fillId="0" borderId="8" xfId="0" applyFont="1" applyBorder="1"/>
    <xf numFmtId="0" fontId="3" fillId="0" borderId="9" xfId="0" applyFont="1" applyBorder="1"/>
    <xf numFmtId="167" fontId="3" fillId="0" borderId="10" xfId="0" applyNumberFormat="1" applyFont="1" applyBorder="1"/>
    <xf numFmtId="0" fontId="3" fillId="0" borderId="10" xfId="0" applyFont="1" applyBorder="1"/>
    <xf numFmtId="0" fontId="3" fillId="0" borderId="11" xfId="0" applyFont="1" applyBorder="1"/>
    <xf numFmtId="166" fontId="3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9" fillId="0" borderId="0" xfId="0" applyNumberFormat="1" applyFont="1"/>
    <xf numFmtId="171" fontId="3" fillId="0" borderId="0" xfId="0" applyNumberFormat="1" applyFont="1"/>
    <xf numFmtId="9" fontId="3" fillId="0" borderId="0" xfId="2" applyFont="1"/>
    <xf numFmtId="9" fontId="9" fillId="0" borderId="0" xfId="2" applyFont="1"/>
    <xf numFmtId="0" fontId="13" fillId="0" borderId="0" xfId="0" applyFont="1"/>
    <xf numFmtId="0" fontId="14" fillId="0" borderId="0" xfId="0" applyFont="1"/>
    <xf numFmtId="169" fontId="14" fillId="0" borderId="0" xfId="0" applyNumberFormat="1" applyFont="1" applyAlignment="1">
      <alignment horizontal="right"/>
    </xf>
    <xf numFmtId="0" fontId="15" fillId="0" borderId="0" xfId="0" applyFont="1"/>
    <xf numFmtId="170" fontId="3" fillId="0" borderId="0" xfId="0" applyNumberFormat="1" applyFont="1"/>
    <xf numFmtId="0" fontId="3" fillId="0" borderId="0" xfId="0" quotePrefix="1" applyFont="1"/>
    <xf numFmtId="2" fontId="3" fillId="0" borderId="0" xfId="0" applyNumberFormat="1" applyFont="1" applyAlignment="1">
      <alignment horizontal="right"/>
    </xf>
    <xf numFmtId="2" fontId="3" fillId="0" borderId="0" xfId="0" applyNumberFormat="1" applyFont="1"/>
    <xf numFmtId="0" fontId="8" fillId="3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9" fillId="0" borderId="10" xfId="0" applyFont="1" applyBorder="1"/>
    <xf numFmtId="0" fontId="3" fillId="0" borderId="12" xfId="0" applyFont="1" applyBorder="1"/>
    <xf numFmtId="0" fontId="3" fillId="2" borderId="13" xfId="0" applyFont="1" applyFill="1" applyBorder="1" applyAlignment="1">
      <alignment horizontal="center"/>
    </xf>
    <xf numFmtId="2" fontId="3" fillId="2" borderId="13" xfId="0" applyNumberFormat="1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9" fontId="3" fillId="2" borderId="14" xfId="2" applyFont="1" applyFill="1" applyBorder="1" applyAlignment="1">
      <alignment horizontal="center"/>
    </xf>
    <xf numFmtId="0" fontId="8" fillId="4" borderId="0" xfId="0" applyFont="1" applyFill="1"/>
    <xf numFmtId="0" fontId="10" fillId="4" borderId="0" xfId="0" applyFont="1" applyFill="1"/>
    <xf numFmtId="0" fontId="12" fillId="0" borderId="0" xfId="0" applyFont="1"/>
    <xf numFmtId="167" fontId="3" fillId="2" borderId="14" xfId="2" applyNumberFormat="1" applyFont="1" applyFill="1" applyBorder="1" applyAlignment="1">
      <alignment horizontal="center"/>
    </xf>
    <xf numFmtId="168" fontId="8" fillId="3" borderId="0" xfId="0" applyNumberFormat="1" applyFont="1" applyFill="1"/>
    <xf numFmtId="0" fontId="16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16" fillId="0" borderId="0" xfId="0" applyFont="1"/>
    <xf numFmtId="9" fontId="16" fillId="0" borderId="0" xfId="2" applyFont="1"/>
    <xf numFmtId="167" fontId="3" fillId="2" borderId="14" xfId="2" applyNumberFormat="1" applyFont="1" applyFill="1" applyBorder="1" applyAlignment="1">
      <alignment horizontal="right"/>
    </xf>
    <xf numFmtId="0" fontId="9" fillId="5" borderId="1" xfId="0" applyFont="1" applyFill="1" applyBorder="1"/>
    <xf numFmtId="0" fontId="9" fillId="5" borderId="2" xfId="0" applyFont="1" applyFill="1" applyBorder="1"/>
    <xf numFmtId="164" fontId="9" fillId="5" borderId="2" xfId="0" applyNumberFormat="1" applyFont="1" applyFill="1" applyBorder="1"/>
    <xf numFmtId="164" fontId="9" fillId="5" borderId="3" xfId="0" applyNumberFormat="1" applyFont="1" applyFill="1" applyBorder="1"/>
    <xf numFmtId="167" fontId="16" fillId="0" borderId="0" xfId="2" applyNumberFormat="1" applyFont="1"/>
    <xf numFmtId="167" fontId="16" fillId="0" borderId="0" xfId="0" applyNumberFormat="1" applyFont="1"/>
    <xf numFmtId="164" fontId="9" fillId="5" borderId="4" xfId="0" applyNumberFormat="1" applyFont="1" applyFill="1" applyBorder="1"/>
    <xf numFmtId="164" fontId="9" fillId="5" borderId="5" xfId="0" applyNumberFormat="1" applyFont="1" applyFill="1" applyBorder="1"/>
    <xf numFmtId="164" fontId="9" fillId="5" borderId="6" xfId="0" applyNumberFormat="1" applyFont="1" applyFill="1" applyBorder="1"/>
    <xf numFmtId="164" fontId="9" fillId="5" borderId="9" xfId="0" applyNumberFormat="1" applyFont="1" applyFill="1" applyBorder="1"/>
    <xf numFmtId="164" fontId="9" fillId="5" borderId="10" xfId="0" applyNumberFormat="1" applyFont="1" applyFill="1" applyBorder="1"/>
    <xf numFmtId="164" fontId="9" fillId="5" borderId="11" xfId="0" applyNumberFormat="1" applyFont="1" applyFill="1" applyBorder="1"/>
    <xf numFmtId="164" fontId="3" fillId="0" borderId="0" xfId="0" applyNumberFormat="1" applyFont="1" applyAlignment="1">
      <alignment horizontal="right"/>
    </xf>
    <xf numFmtId="164" fontId="3" fillId="0" borderId="10" xfId="0" applyNumberFormat="1" applyFont="1" applyBorder="1"/>
    <xf numFmtId="164" fontId="3" fillId="0" borderId="10" xfId="0" applyNumberFormat="1" applyFont="1" applyBorder="1" applyAlignment="1">
      <alignment horizontal="right"/>
    </xf>
    <xf numFmtId="164" fontId="3" fillId="0" borderId="2" xfId="0" applyNumberFormat="1" applyFont="1" applyBorder="1"/>
    <xf numFmtId="164" fontId="3" fillId="0" borderId="2" xfId="0" applyNumberFormat="1" applyFont="1" applyBorder="1" applyAlignment="1">
      <alignment horizontal="right"/>
    </xf>
    <xf numFmtId="0" fontId="3" fillId="6" borderId="4" xfId="0" applyFont="1" applyFill="1" applyBorder="1"/>
    <xf numFmtId="2" fontId="17" fillId="6" borderId="5" xfId="0" applyNumberFormat="1" applyFont="1" applyFill="1" applyBorder="1"/>
    <xf numFmtId="10" fontId="8" fillId="6" borderId="5" xfId="0" applyNumberFormat="1" applyFont="1" applyFill="1" applyBorder="1"/>
    <xf numFmtId="167" fontId="8" fillId="6" borderId="0" xfId="0" applyNumberFormat="1" applyFont="1" applyFill="1"/>
    <xf numFmtId="166" fontId="3" fillId="0" borderId="0" xfId="0" applyNumberFormat="1" applyFont="1"/>
    <xf numFmtId="0" fontId="2" fillId="0" borderId="0" xfId="0" applyFont="1" applyAlignment="1">
      <alignment horizontal="right"/>
    </xf>
    <xf numFmtId="0" fontId="9" fillId="6" borderId="5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  <xf numFmtId="0" fontId="9" fillId="6" borderId="15" xfId="0" applyFont="1" applyFill="1" applyBorder="1" applyAlignment="1">
      <alignment horizontal="center" vertical="center" textRotation="90"/>
    </xf>
    <xf numFmtId="0" fontId="9" fillId="6" borderId="16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right"/>
    </xf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rporate.abercrombie.com/investors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40C0-B144-4655-82AF-8123A26C51E9}">
  <dimension ref="A1:J24"/>
  <sheetViews>
    <sheetView tabSelected="1" topLeftCell="D1" zoomScale="200" zoomScaleNormal="200" workbookViewId="0">
      <selection activeCell="I7" sqref="I7"/>
    </sheetView>
  </sheetViews>
  <sheetFormatPr defaultRowHeight="12.75" x14ac:dyDescent="0.2"/>
  <cols>
    <col min="1" max="1" width="4.5703125" style="2" customWidth="1"/>
    <col min="2" max="2" width="15.85546875" style="2" customWidth="1"/>
    <col min="3" max="3" width="7.85546875" style="2" bestFit="1" customWidth="1"/>
    <col min="4" max="4" width="28.28515625" style="2" customWidth="1"/>
    <col min="5" max="5" width="14.42578125" style="2" customWidth="1"/>
    <col min="6" max="16384" width="9.140625" style="2"/>
  </cols>
  <sheetData>
    <row r="1" spans="1:10" x14ac:dyDescent="0.2">
      <c r="A1" s="1" t="s">
        <v>0</v>
      </c>
    </row>
    <row r="2" spans="1:10" x14ac:dyDescent="0.2">
      <c r="A2" s="2" t="s">
        <v>118</v>
      </c>
      <c r="H2" s="2" t="s">
        <v>2</v>
      </c>
      <c r="I2" s="2">
        <v>148.80000000000001</v>
      </c>
    </row>
    <row r="3" spans="1:10" x14ac:dyDescent="0.2">
      <c r="H3" s="2" t="s">
        <v>3</v>
      </c>
      <c r="I3" s="3">
        <v>43.767000000000003</v>
      </c>
      <c r="J3" s="83" t="s">
        <v>316</v>
      </c>
    </row>
    <row r="4" spans="1:10" x14ac:dyDescent="0.2">
      <c r="B4" s="2" t="s">
        <v>117</v>
      </c>
      <c r="D4" s="2" t="s">
        <v>298</v>
      </c>
      <c r="H4" s="2" t="s">
        <v>4</v>
      </c>
      <c r="I4" s="5">
        <f>I2*I3</f>
        <v>6512.5296000000008</v>
      </c>
    </row>
    <row r="5" spans="1:10" x14ac:dyDescent="0.2">
      <c r="B5" s="6" t="s">
        <v>297</v>
      </c>
      <c r="D5" s="2" t="s">
        <v>141</v>
      </c>
      <c r="H5" s="2" t="s">
        <v>5</v>
      </c>
      <c r="I5" s="5">
        <f>627.716+10.283</f>
        <v>637.99900000000002</v>
      </c>
      <c r="J5" s="83" t="s">
        <v>316</v>
      </c>
    </row>
    <row r="6" spans="1:10" x14ac:dyDescent="0.2">
      <c r="H6" s="2" t="s">
        <v>6</v>
      </c>
      <c r="I6" s="5">
        <v>0</v>
      </c>
      <c r="J6" s="83" t="s">
        <v>316</v>
      </c>
    </row>
    <row r="7" spans="1:10" x14ac:dyDescent="0.2">
      <c r="H7" s="2" t="s">
        <v>7</v>
      </c>
      <c r="I7" s="5">
        <f>I4+I6-I5</f>
        <v>5874.530600000001</v>
      </c>
    </row>
    <row r="8" spans="1:10" x14ac:dyDescent="0.2">
      <c r="B8" s="1" t="s">
        <v>39</v>
      </c>
      <c r="C8" s="1"/>
    </row>
    <row r="9" spans="1:10" x14ac:dyDescent="0.2">
      <c r="B9" s="7" t="s">
        <v>36</v>
      </c>
      <c r="C9" s="8" t="s">
        <v>116</v>
      </c>
      <c r="D9" s="8" t="s">
        <v>37</v>
      </c>
      <c r="E9" s="9" t="s">
        <v>38</v>
      </c>
      <c r="H9" s="2" t="s">
        <v>129</v>
      </c>
    </row>
    <row r="10" spans="1:10" x14ac:dyDescent="0.2">
      <c r="B10" s="10" t="s">
        <v>40</v>
      </c>
      <c r="C10" s="11">
        <f>+Model!H11/Model!H17</f>
        <v>0.51360613206299255</v>
      </c>
      <c r="D10" s="12" t="s">
        <v>99</v>
      </c>
      <c r="E10" s="13"/>
      <c r="H10" s="2" t="s">
        <v>119</v>
      </c>
    </row>
    <row r="11" spans="1:10" x14ac:dyDescent="0.2">
      <c r="B11" s="14" t="s">
        <v>41</v>
      </c>
      <c r="C11" s="15">
        <v>0.48599999999999999</v>
      </c>
      <c r="D11" s="2" t="s">
        <v>100</v>
      </c>
      <c r="E11" s="16"/>
      <c r="H11" s="2" t="s">
        <v>128</v>
      </c>
    </row>
    <row r="12" spans="1:10" x14ac:dyDescent="0.2">
      <c r="B12" s="17"/>
      <c r="C12" s="18"/>
      <c r="D12" s="19"/>
      <c r="E12" s="20"/>
      <c r="H12" s="2" t="s">
        <v>130</v>
      </c>
    </row>
    <row r="14" spans="1:10" x14ac:dyDescent="0.2">
      <c r="B14" s="2" t="s">
        <v>120</v>
      </c>
    </row>
    <row r="15" spans="1:10" x14ac:dyDescent="0.2">
      <c r="B15" s="2" t="s">
        <v>123</v>
      </c>
    </row>
    <row r="16" spans="1:10" x14ac:dyDescent="0.2">
      <c r="B16" s="2" t="s">
        <v>121</v>
      </c>
    </row>
    <row r="17" spans="2:2" x14ac:dyDescent="0.2">
      <c r="B17" s="2" t="s">
        <v>122</v>
      </c>
    </row>
    <row r="18" spans="2:2" x14ac:dyDescent="0.2">
      <c r="B18" s="2" t="s">
        <v>124</v>
      </c>
    </row>
    <row r="19" spans="2:2" x14ac:dyDescent="0.2">
      <c r="B19" s="2" t="s">
        <v>125</v>
      </c>
    </row>
    <row r="20" spans="2:2" x14ac:dyDescent="0.2">
      <c r="B20" s="2" t="s">
        <v>126</v>
      </c>
    </row>
    <row r="21" spans="2:2" x14ac:dyDescent="0.2">
      <c r="B21" s="2" t="s">
        <v>127</v>
      </c>
    </row>
    <row r="22" spans="2:2" x14ac:dyDescent="0.2">
      <c r="B22" s="2" t="s">
        <v>135</v>
      </c>
    </row>
    <row r="23" spans="2:2" x14ac:dyDescent="0.2">
      <c r="B23" s="2" t="s">
        <v>308</v>
      </c>
    </row>
    <row r="24" spans="2:2" x14ac:dyDescent="0.2">
      <c r="B24" s="2" t="s">
        <v>309</v>
      </c>
    </row>
  </sheetData>
  <hyperlinks>
    <hyperlink ref="B5" r:id="rId1" xr:uid="{31748C1B-20B5-40FB-8DA3-036A2C18738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5BFC-961F-4D88-9AA3-E79ECCFC9F4B}">
  <dimension ref="A1:BX248"/>
  <sheetViews>
    <sheetView zoomScale="200" zoomScaleNormal="200" workbookViewId="0">
      <pane xSplit="2" ySplit="2" topLeftCell="M6" activePane="bottomRight" state="frozen"/>
      <selection pane="topRight" activeCell="C1" sqref="C1"/>
      <selection pane="bottomLeft" activeCell="A3" sqref="A3"/>
      <selection pane="bottomRight" activeCell="P33" sqref="P33"/>
    </sheetView>
  </sheetViews>
  <sheetFormatPr defaultRowHeight="12.75" x14ac:dyDescent="0.2"/>
  <cols>
    <col min="1" max="1" width="4.7109375" style="2" bestFit="1" customWidth="1"/>
    <col min="2" max="2" width="37.140625" style="2" bestFit="1" customWidth="1"/>
    <col min="3" max="16384" width="9.140625" style="2"/>
  </cols>
  <sheetData>
    <row r="1" spans="1:76" x14ac:dyDescent="0.2">
      <c r="A1" s="6" t="s">
        <v>8</v>
      </c>
    </row>
    <row r="2" spans="1:76" x14ac:dyDescent="0.2">
      <c r="C2" s="4" t="s">
        <v>310</v>
      </c>
      <c r="D2" s="4" t="s">
        <v>312</v>
      </c>
      <c r="E2" s="4" t="s">
        <v>313</v>
      </c>
      <c r="F2" s="4" t="s">
        <v>311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303</v>
      </c>
      <c r="L2" s="4" t="s">
        <v>304</v>
      </c>
      <c r="M2" s="4" t="s">
        <v>305</v>
      </c>
      <c r="N2" s="4" t="s">
        <v>306</v>
      </c>
      <c r="O2" s="78" t="s">
        <v>315</v>
      </c>
      <c r="P2" s="78" t="s">
        <v>316</v>
      </c>
      <c r="Q2" s="78" t="s">
        <v>317</v>
      </c>
      <c r="R2" s="78" t="s">
        <v>318</v>
      </c>
      <c r="S2" s="4"/>
      <c r="T2" s="4" t="s">
        <v>314</v>
      </c>
      <c r="U2" s="4" t="s">
        <v>14</v>
      </c>
      <c r="V2" s="4" t="s">
        <v>15</v>
      </c>
      <c r="W2" s="4" t="s">
        <v>16</v>
      </c>
      <c r="X2" s="4" t="s">
        <v>17</v>
      </c>
      <c r="Y2" s="4" t="s">
        <v>18</v>
      </c>
      <c r="Z2" s="4" t="s">
        <v>19</v>
      </c>
      <c r="AA2" s="4" t="s">
        <v>307</v>
      </c>
    </row>
    <row r="3" spans="1:76" x14ac:dyDescent="0.2">
      <c r="B3" s="2" t="s">
        <v>40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>
        <f>270+49</f>
        <v>319</v>
      </c>
      <c r="U3" s="4">
        <f>256+52</f>
        <v>308</v>
      </c>
      <c r="V3" s="4">
        <f>190+48</f>
        <v>238</v>
      </c>
      <c r="W3" s="4">
        <v>224</v>
      </c>
      <c r="X3" s="4">
        <f>180+53</f>
        <v>233</v>
      </c>
      <c r="Y3" s="4">
        <v>247</v>
      </c>
      <c r="Z3" s="4">
        <v>278</v>
      </c>
      <c r="AA3" s="2">
        <v>306</v>
      </c>
    </row>
    <row r="4" spans="1:76" x14ac:dyDescent="0.2">
      <c r="B4" s="2" t="s">
        <v>41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>
        <f>393+149</f>
        <v>542</v>
      </c>
      <c r="U4" s="4">
        <f>391+155</f>
        <v>546</v>
      </c>
      <c r="V4" s="4">
        <f>347+150</f>
        <v>497</v>
      </c>
      <c r="W4" s="4">
        <v>505</v>
      </c>
      <c r="X4" s="4">
        <f>380+149</f>
        <v>529</v>
      </c>
      <c r="Y4" s="4">
        <v>518</v>
      </c>
      <c r="Z4" s="4">
        <v>511</v>
      </c>
      <c r="AA4" s="2">
        <v>523</v>
      </c>
    </row>
    <row r="5" spans="1:76" x14ac:dyDescent="0.2">
      <c r="B5" s="2" t="s">
        <v>114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21">
        <f>T11/T3</f>
        <v>4.5064921630094039</v>
      </c>
      <c r="U5" s="21">
        <f>U11/U3</f>
        <v>4.7550616883116881</v>
      </c>
      <c r="V5" s="21">
        <f>V11/V3</f>
        <v>5.4245168067226892</v>
      </c>
      <c r="W5" s="21">
        <f>W11/W3</f>
        <v>6.9856651785714288</v>
      </c>
      <c r="X5" s="21">
        <f>X11/X3</f>
        <v>7.4457768240343345</v>
      </c>
      <c r="Y5" s="21">
        <f>+Y13/Y3</f>
        <v>3.5654834008097169</v>
      </c>
      <c r="Z5" s="21">
        <f>+Z13/Z3</f>
        <v>3.678322302158274</v>
      </c>
      <c r="AA5" s="21">
        <f>+AA13/AA3</f>
        <v>3.2989045751633985</v>
      </c>
    </row>
    <row r="6" spans="1:76" x14ac:dyDescent="0.2">
      <c r="B6" s="2" t="s">
        <v>115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21">
        <f>T14/T4</f>
        <v>3.9714723247232473</v>
      </c>
      <c r="U6" s="21">
        <f>U14/U4</f>
        <v>3.9533223443223444</v>
      </c>
      <c r="V6" s="21">
        <f>V14/V4</f>
        <v>3.6908430583501004</v>
      </c>
      <c r="W6" s="21">
        <f>W14/W4</f>
        <v>4.2534237623762374</v>
      </c>
      <c r="X6" s="21">
        <f>X14/X4</f>
        <v>3.7105576559546312</v>
      </c>
      <c r="Y6" s="21">
        <f>+Y16/Y4</f>
        <v>2.809447297297297</v>
      </c>
      <c r="Z6" s="21">
        <f>+Z16/Z4</f>
        <v>3.276921917808219</v>
      </c>
      <c r="AA6" s="21">
        <f>+AA16/AA4</f>
        <v>3.6708240917782025</v>
      </c>
    </row>
    <row r="8" spans="1:76" x14ac:dyDescent="0.2">
      <c r="A8" s="22"/>
      <c r="B8" s="2" t="s">
        <v>294</v>
      </c>
      <c r="C8" s="3"/>
      <c r="D8" s="3">
        <v>731.42700000000002</v>
      </c>
      <c r="E8" s="3">
        <v>867.56600000000003</v>
      </c>
      <c r="F8" s="3">
        <v>1191.259</v>
      </c>
      <c r="G8" s="3"/>
      <c r="H8" s="3">
        <v>901.22400000000005</v>
      </c>
      <c r="I8" s="3">
        <v>986.44899999999996</v>
      </c>
      <c r="J8" s="3">
        <v>1319.72</v>
      </c>
      <c r="K8" s="3">
        <v>874.80399999999997</v>
      </c>
      <c r="L8" s="3">
        <v>974.2</v>
      </c>
      <c r="M8" s="3">
        <v>1057.4480000000001</v>
      </c>
      <c r="N8" s="3"/>
      <c r="O8" s="3">
        <v>899.94399999999996</v>
      </c>
      <c r="P8" s="3">
        <v>1020.537</v>
      </c>
      <c r="Q8" s="3"/>
      <c r="R8" s="3"/>
      <c r="S8" s="3"/>
      <c r="T8" s="3"/>
      <c r="U8" s="3"/>
      <c r="V8" s="3"/>
      <c r="W8" s="3"/>
      <c r="X8" s="3"/>
      <c r="Y8" s="3"/>
      <c r="Z8" s="3">
        <v>4027.5140000000001</v>
      </c>
      <c r="AA8" s="3">
        <v>4290.3950000000004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</row>
    <row r="9" spans="1:76" x14ac:dyDescent="0.2">
      <c r="A9" s="22"/>
      <c r="B9" s="2" t="s">
        <v>295</v>
      </c>
      <c r="C9" s="3"/>
      <c r="D9" s="3">
        <v>171.96199999999999</v>
      </c>
      <c r="E9" s="3">
        <v>157.976</v>
      </c>
      <c r="F9" s="3">
        <v>219.05</v>
      </c>
      <c r="G9" s="3"/>
      <c r="H9" s="3">
        <v>199.68199999999999</v>
      </c>
      <c r="I9" s="3">
        <v>181.59200000000001</v>
      </c>
      <c r="J9" s="3">
        <v>224.46700000000001</v>
      </c>
      <c r="K9" s="3">
        <v>185.036</v>
      </c>
      <c r="L9" s="3">
        <v>197.21</v>
      </c>
      <c r="M9" s="3">
        <v>194.51</v>
      </c>
      <c r="N9" s="3"/>
      <c r="O9" s="3">
        <v>167.37299999999999</v>
      </c>
      <c r="P9" s="3">
        <v>201.99</v>
      </c>
      <c r="Q9" s="3"/>
      <c r="R9" s="3"/>
      <c r="S9" s="3"/>
      <c r="T9" s="3"/>
      <c r="U9" s="3"/>
      <c r="V9" s="3"/>
      <c r="W9" s="3"/>
      <c r="X9" s="3"/>
      <c r="Y9" s="3"/>
      <c r="Z9" s="3">
        <v>770.51900000000001</v>
      </c>
      <c r="AA9" s="3">
        <v>818.14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</row>
    <row r="10" spans="1:76" x14ac:dyDescent="0.2">
      <c r="A10" s="22"/>
      <c r="B10" s="2" t="s">
        <v>296</v>
      </c>
      <c r="C10" s="3"/>
      <c r="D10" s="3">
        <v>31.965</v>
      </c>
      <c r="E10" s="3">
        <v>30.888999999999999</v>
      </c>
      <c r="F10" s="3">
        <v>42.597999999999999</v>
      </c>
      <c r="G10" s="3"/>
      <c r="H10" s="3">
        <v>33.067999999999998</v>
      </c>
      <c r="I10" s="3">
        <v>40.924999999999997</v>
      </c>
      <c r="J10" s="3">
        <v>40.729999999999997</v>
      </c>
      <c r="K10" s="3">
        <v>37.470999999999997</v>
      </c>
      <c r="L10" s="3">
        <v>37.15</v>
      </c>
      <c r="M10" s="3">
        <v>38.661000000000001</v>
      </c>
      <c r="N10" s="3"/>
      <c r="O10" s="3">
        <v>46.503999999999998</v>
      </c>
      <c r="P10" s="3">
        <v>44.161999999999999</v>
      </c>
      <c r="Q10" s="3"/>
      <c r="R10" s="3"/>
      <c r="S10" s="3"/>
      <c r="T10" s="3"/>
      <c r="U10" s="3"/>
      <c r="V10" s="3"/>
      <c r="W10" s="3"/>
      <c r="X10" s="3"/>
      <c r="Y10" s="3"/>
      <c r="Z10" s="3">
        <v>150.554</v>
      </c>
      <c r="AA10" s="3">
        <v>157.75700000000001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spans="1:76" x14ac:dyDescent="0.2">
      <c r="A11" s="23"/>
      <c r="B11" s="2" t="s">
        <v>42</v>
      </c>
      <c r="C11" s="3">
        <v>436.04399999999998</v>
      </c>
      <c r="D11" s="3">
        <v>462.71100000000001</v>
      </c>
      <c r="E11" s="3">
        <v>547.72799999999995</v>
      </c>
      <c r="F11" s="3">
        <v>755.20299999999997</v>
      </c>
      <c r="G11" s="3">
        <v>571.51300000000003</v>
      </c>
      <c r="H11" s="3">
        <v>582.41600000000005</v>
      </c>
      <c r="I11" s="3">
        <v>629.83500000000004</v>
      </c>
      <c r="J11" s="3">
        <v>772.67</v>
      </c>
      <c r="K11" s="3">
        <v>547.947</v>
      </c>
      <c r="L11" s="3">
        <v>551.86799999999994</v>
      </c>
      <c r="M11" s="3">
        <v>617.34500000000003</v>
      </c>
      <c r="N11" s="3"/>
      <c r="O11" s="3">
        <v>564.71900000000005</v>
      </c>
      <c r="P11" s="3">
        <v>596.80799999999999</v>
      </c>
      <c r="Q11" s="3"/>
      <c r="R11" s="3"/>
      <c r="S11" s="3"/>
      <c r="T11" s="3">
        <v>1437.5709999999999</v>
      </c>
      <c r="U11" s="3">
        <v>1464.559</v>
      </c>
      <c r="V11" s="3">
        <v>1291.0350000000001</v>
      </c>
      <c r="W11" s="3">
        <v>1564.789</v>
      </c>
      <c r="X11" s="3">
        <v>1734.866</v>
      </c>
      <c r="Y11" s="3">
        <v>2201.6860000000001</v>
      </c>
      <c r="Z11" s="3">
        <v>2556.4340000000002</v>
      </c>
      <c r="AA11" s="3">
        <v>2523.6619999999998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</row>
    <row r="12" spans="1:76" x14ac:dyDescent="0.2">
      <c r="A12" s="23"/>
      <c r="B12" s="2" t="s">
        <v>131</v>
      </c>
      <c r="C12" s="78" t="s">
        <v>319</v>
      </c>
      <c r="D12" s="78" t="s">
        <v>319</v>
      </c>
      <c r="E12" s="78" t="s">
        <v>319</v>
      </c>
      <c r="F12" s="78" t="s">
        <v>319</v>
      </c>
      <c r="G12" s="78" t="s">
        <v>319</v>
      </c>
      <c r="H12" s="78" t="s">
        <v>319</v>
      </c>
      <c r="I12" s="78" t="s">
        <v>319</v>
      </c>
      <c r="J12" s="78" t="s">
        <v>319</v>
      </c>
      <c r="K12" s="78" t="s">
        <v>319</v>
      </c>
      <c r="L12" s="78" t="s">
        <v>319</v>
      </c>
      <c r="M12" s="78" t="s">
        <v>319</v>
      </c>
      <c r="N12" s="78" t="s">
        <v>319</v>
      </c>
      <c r="O12" s="78" t="s">
        <v>319</v>
      </c>
      <c r="P12" s="78" t="s">
        <v>319</v>
      </c>
      <c r="Q12" s="78" t="s">
        <v>319</v>
      </c>
      <c r="R12" s="78" t="s">
        <v>319</v>
      </c>
      <c r="S12" s="3"/>
      <c r="T12" s="3"/>
      <c r="U12" s="3"/>
      <c r="V12" s="3"/>
      <c r="W12" s="3"/>
      <c r="X12" s="3"/>
      <c r="Y12" s="3">
        <f>60%*Y11</f>
        <v>1321.0116</v>
      </c>
      <c r="Z12" s="3">
        <f>+Z11*60%</f>
        <v>1533.8604</v>
      </c>
      <c r="AA12" s="3">
        <f>+AA11*60%</f>
        <v>1514.1971999999998</v>
      </c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spans="1:76" x14ac:dyDescent="0.2">
      <c r="A13" s="23"/>
      <c r="B13" s="2" t="s">
        <v>132</v>
      </c>
      <c r="C13" s="78" t="s">
        <v>319</v>
      </c>
      <c r="D13" s="78" t="s">
        <v>319</v>
      </c>
      <c r="E13" s="78" t="s">
        <v>319</v>
      </c>
      <c r="F13" s="78" t="s">
        <v>319</v>
      </c>
      <c r="G13" s="78" t="s">
        <v>319</v>
      </c>
      <c r="H13" s="78" t="s">
        <v>319</v>
      </c>
      <c r="I13" s="78" t="s">
        <v>319</v>
      </c>
      <c r="J13" s="78" t="s">
        <v>319</v>
      </c>
      <c r="K13" s="78" t="s">
        <v>319</v>
      </c>
      <c r="L13" s="78" t="s">
        <v>319</v>
      </c>
      <c r="M13" s="78" t="s">
        <v>319</v>
      </c>
      <c r="N13" s="78" t="s">
        <v>319</v>
      </c>
      <c r="O13" s="78" t="s">
        <v>319</v>
      </c>
      <c r="P13" s="78" t="s">
        <v>319</v>
      </c>
      <c r="Q13" s="78" t="s">
        <v>319</v>
      </c>
      <c r="R13" s="78" t="s">
        <v>319</v>
      </c>
      <c r="S13" s="3"/>
      <c r="T13" s="3"/>
      <c r="U13" s="3"/>
      <c r="V13" s="3"/>
      <c r="W13" s="3"/>
      <c r="X13" s="3"/>
      <c r="Y13" s="3">
        <f>40%*Y11</f>
        <v>880.67440000000011</v>
      </c>
      <c r="Z13" s="3">
        <f>+Z11*40%</f>
        <v>1022.5736000000002</v>
      </c>
      <c r="AA13" s="3">
        <f>+AA11*40%</f>
        <v>1009.4648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</row>
    <row r="14" spans="1:76" x14ac:dyDescent="0.2">
      <c r="A14" s="23"/>
      <c r="B14" s="2" t="s">
        <v>43</v>
      </c>
      <c r="C14" s="2">
        <v>399.95</v>
      </c>
      <c r="D14" s="3">
        <v>472.63400000000001</v>
      </c>
      <c r="E14" s="3">
        <v>508.70299999999997</v>
      </c>
      <c r="F14" s="3">
        <v>697.70399999999995</v>
      </c>
      <c r="G14" s="3">
        <v>449.21699999999998</v>
      </c>
      <c r="H14" s="3">
        <v>551.55799999999999</v>
      </c>
      <c r="I14" s="3">
        <v>579.13099999999997</v>
      </c>
      <c r="J14" s="3">
        <v>812.24699999999996</v>
      </c>
      <c r="K14" s="3">
        <v>549.36400000000003</v>
      </c>
      <c r="L14" s="3">
        <v>656.69200000000001</v>
      </c>
      <c r="M14" s="3">
        <v>673.274</v>
      </c>
      <c r="N14" s="3"/>
      <c r="O14" s="3">
        <v>549.10199999999998</v>
      </c>
      <c r="P14" s="3">
        <v>669.88099999999997</v>
      </c>
      <c r="Q14" s="3"/>
      <c r="R14" s="3"/>
      <c r="S14" s="3"/>
      <c r="T14" s="3">
        <v>2152.538</v>
      </c>
      <c r="U14" s="3">
        <v>2158.5140000000001</v>
      </c>
      <c r="V14" s="3">
        <v>1834.3489999999999</v>
      </c>
      <c r="W14" s="3">
        <v>2147.9789999999998</v>
      </c>
      <c r="X14" s="3">
        <v>1962.885</v>
      </c>
      <c r="Y14" s="3">
        <v>2078.991</v>
      </c>
      <c r="Z14" s="3">
        <v>2392.1529999999998</v>
      </c>
      <c r="AA14" s="3">
        <v>2742.63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spans="1:76" x14ac:dyDescent="0.2">
      <c r="A15" s="23"/>
      <c r="B15" s="2" t="s">
        <v>133</v>
      </c>
      <c r="C15" s="78" t="s">
        <v>319</v>
      </c>
      <c r="D15" s="78" t="s">
        <v>319</v>
      </c>
      <c r="E15" s="78" t="s">
        <v>319</v>
      </c>
      <c r="F15" s="78" t="s">
        <v>319</v>
      </c>
      <c r="G15" s="78" t="s">
        <v>319</v>
      </c>
      <c r="H15" s="78" t="s">
        <v>319</v>
      </c>
      <c r="I15" s="78" t="s">
        <v>319</v>
      </c>
      <c r="J15" s="78" t="s">
        <v>319</v>
      </c>
      <c r="K15" s="78" t="s">
        <v>319</v>
      </c>
      <c r="L15" s="78" t="s">
        <v>319</v>
      </c>
      <c r="M15" s="78" t="s">
        <v>319</v>
      </c>
      <c r="N15" s="78" t="s">
        <v>319</v>
      </c>
      <c r="O15" s="78" t="s">
        <v>319</v>
      </c>
      <c r="P15" s="78" t="s">
        <v>319</v>
      </c>
      <c r="Q15" s="78" t="s">
        <v>319</v>
      </c>
      <c r="R15" s="78" t="s">
        <v>319</v>
      </c>
      <c r="S15" s="3"/>
      <c r="T15" s="3"/>
      <c r="U15" s="3"/>
      <c r="V15" s="3"/>
      <c r="W15" s="3"/>
      <c r="X15" s="3"/>
      <c r="Y15" s="3">
        <f>+Y14*30%</f>
        <v>623.69729999999993</v>
      </c>
      <c r="Z15" s="3">
        <f>+Z14*30%</f>
        <v>717.64589999999987</v>
      </c>
      <c r="AA15" s="3">
        <f>+AA14*30%</f>
        <v>822.78899999999999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</row>
    <row r="16" spans="1:76" x14ac:dyDescent="0.2">
      <c r="A16" s="23"/>
      <c r="B16" s="2" t="s">
        <v>134</v>
      </c>
      <c r="C16" s="78" t="s">
        <v>319</v>
      </c>
      <c r="D16" s="78" t="s">
        <v>319</v>
      </c>
      <c r="E16" s="78" t="s">
        <v>319</v>
      </c>
      <c r="F16" s="78" t="s">
        <v>319</v>
      </c>
      <c r="G16" s="78" t="s">
        <v>319</v>
      </c>
      <c r="H16" s="78" t="s">
        <v>319</v>
      </c>
      <c r="I16" s="78" t="s">
        <v>319</v>
      </c>
      <c r="J16" s="78" t="s">
        <v>319</v>
      </c>
      <c r="K16" s="78" t="s">
        <v>319</v>
      </c>
      <c r="L16" s="78" t="s">
        <v>319</v>
      </c>
      <c r="M16" s="78" t="s">
        <v>319</v>
      </c>
      <c r="N16" s="78" t="s">
        <v>319</v>
      </c>
      <c r="O16" s="78" t="s">
        <v>319</v>
      </c>
      <c r="P16" s="78" t="s">
        <v>319</v>
      </c>
      <c r="Q16" s="78" t="s">
        <v>319</v>
      </c>
      <c r="R16" s="78" t="s">
        <v>319</v>
      </c>
      <c r="S16" s="3"/>
      <c r="T16" s="3"/>
      <c r="U16" s="3"/>
      <c r="V16" s="3"/>
      <c r="W16" s="3"/>
      <c r="X16" s="3"/>
      <c r="Y16" s="3">
        <f>+Y14*70%</f>
        <v>1455.2936999999999</v>
      </c>
      <c r="Z16" s="3">
        <f>+Z14*70%</f>
        <v>1674.5070999999998</v>
      </c>
      <c r="AA16" s="3">
        <f>+AA14*70%</f>
        <v>1919.8409999999999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spans="2:76" x14ac:dyDescent="0.2">
      <c r="B17" s="1" t="s">
        <v>20</v>
      </c>
      <c r="C17" s="24">
        <f t="shared" ref="C17:I17" si="0">C11+C14</f>
        <v>835.99399999999991</v>
      </c>
      <c r="D17" s="24">
        <f t="shared" si="0"/>
        <v>935.34500000000003</v>
      </c>
      <c r="E17" s="24">
        <f t="shared" si="0"/>
        <v>1056.431</v>
      </c>
      <c r="F17" s="24">
        <v>1452.9069999999999</v>
      </c>
      <c r="G17" s="24">
        <f t="shared" si="0"/>
        <v>1020.73</v>
      </c>
      <c r="H17" s="24">
        <f t="shared" si="0"/>
        <v>1133.9740000000002</v>
      </c>
      <c r="I17" s="24">
        <f t="shared" si="0"/>
        <v>1208.9659999999999</v>
      </c>
      <c r="J17" s="24">
        <v>1584.9169999999999</v>
      </c>
      <c r="K17" s="24">
        <v>1097.3109999999999</v>
      </c>
      <c r="L17" s="24">
        <v>1208.56</v>
      </c>
      <c r="M17" s="24">
        <v>1290.6189999999999</v>
      </c>
      <c r="N17" s="24"/>
      <c r="O17" s="24">
        <v>1113.8209999999999</v>
      </c>
      <c r="P17" s="24">
        <v>1266.6890000000001</v>
      </c>
      <c r="Q17" s="24"/>
      <c r="R17" s="24"/>
      <c r="S17" s="3"/>
      <c r="T17" s="24">
        <f t="shared" ref="T17:X17" si="1">T11+T14</f>
        <v>3590.1089999999999</v>
      </c>
      <c r="U17" s="24">
        <f t="shared" si="1"/>
        <v>3623.0730000000003</v>
      </c>
      <c r="V17" s="24">
        <f t="shared" si="1"/>
        <v>3125.384</v>
      </c>
      <c r="W17" s="24">
        <f t="shared" si="1"/>
        <v>3712.768</v>
      </c>
      <c r="X17" s="24">
        <f t="shared" si="1"/>
        <v>3697.7510000000002</v>
      </c>
      <c r="Y17" s="24">
        <f>Y11+Y14</f>
        <v>4280.6769999999997</v>
      </c>
      <c r="Z17" s="24">
        <v>4948.5870000000004</v>
      </c>
      <c r="AA17" s="24">
        <v>5266.2920000000004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</row>
    <row r="18" spans="2:76" x14ac:dyDescent="0.2">
      <c r="B18" s="2" t="s">
        <v>21</v>
      </c>
      <c r="C18" s="3">
        <v>326.2</v>
      </c>
      <c r="D18" s="3">
        <v>350.96499999999997</v>
      </c>
      <c r="E18" s="3">
        <v>370.762</v>
      </c>
      <c r="F18" s="3">
        <v>539.33799999999997</v>
      </c>
      <c r="G18" s="3">
        <v>343.27300000000002</v>
      </c>
      <c r="H18" s="3">
        <v>397.71199999999999</v>
      </c>
      <c r="I18" s="3">
        <v>422.03399999999999</v>
      </c>
      <c r="J18" s="3">
        <v>610.90700000000004</v>
      </c>
      <c r="K18" s="3">
        <v>417.13299999999998</v>
      </c>
      <c r="L18" s="3">
        <v>451.59</v>
      </c>
      <c r="M18" s="3">
        <v>483.67</v>
      </c>
      <c r="N18" s="3"/>
      <c r="O18" s="3">
        <v>413.83800000000002</v>
      </c>
      <c r="P18" s="3">
        <v>366.10899999999998</v>
      </c>
      <c r="Q18" s="3"/>
      <c r="R18" s="3"/>
      <c r="S18" s="3"/>
      <c r="T18" s="3">
        <v>1430.193</v>
      </c>
      <c r="U18" s="3">
        <v>1472.155</v>
      </c>
      <c r="V18" s="3">
        <v>1234.1790000000001</v>
      </c>
      <c r="W18" s="3">
        <v>1400.7729999999999</v>
      </c>
      <c r="X18" s="3">
        <v>1593.213</v>
      </c>
      <c r="Y18" s="3">
        <v>1587.2650000000001</v>
      </c>
      <c r="Z18" s="3">
        <v>1773.9259999999999</v>
      </c>
      <c r="AA18" s="3">
        <v>2028.884</v>
      </c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</row>
    <row r="19" spans="2:76" x14ac:dyDescent="0.2">
      <c r="B19" s="2" t="s">
        <v>22</v>
      </c>
      <c r="C19" s="3">
        <f t="shared" ref="C19:F19" si="2">C17-C18</f>
        <v>509.79399999999993</v>
      </c>
      <c r="D19" s="3">
        <f t="shared" si="2"/>
        <v>584.38000000000011</v>
      </c>
      <c r="E19" s="3">
        <f t="shared" si="2"/>
        <v>685.6690000000001</v>
      </c>
      <c r="F19" s="3">
        <f t="shared" si="2"/>
        <v>913.56899999999996</v>
      </c>
      <c r="G19" s="3">
        <f>G17-G18</f>
        <v>677.45699999999999</v>
      </c>
      <c r="H19" s="3">
        <f t="shared" ref="H19:P19" si="3">H17-H18</f>
        <v>736.26200000000017</v>
      </c>
      <c r="I19" s="3">
        <f t="shared" si="3"/>
        <v>786.9319999999999</v>
      </c>
      <c r="J19" s="3">
        <f t="shared" si="3"/>
        <v>974.00999999999988</v>
      </c>
      <c r="K19" s="3">
        <f t="shared" si="3"/>
        <v>680.17799999999988</v>
      </c>
      <c r="L19" s="3">
        <f t="shared" si="3"/>
        <v>756.97</v>
      </c>
      <c r="M19" s="3">
        <f t="shared" si="3"/>
        <v>806.94899999999984</v>
      </c>
      <c r="N19" s="3"/>
      <c r="O19" s="3">
        <f t="shared" si="3"/>
        <v>699.98299999999995</v>
      </c>
      <c r="P19" s="3">
        <f t="shared" si="3"/>
        <v>900.58000000000015</v>
      </c>
      <c r="Q19" s="3"/>
      <c r="R19" s="3"/>
      <c r="S19" s="3"/>
      <c r="T19" s="3">
        <f t="shared" ref="T19" si="4">T17-T18</f>
        <v>2159.9160000000002</v>
      </c>
      <c r="U19" s="3">
        <f t="shared" ref="U19" si="5">U17-U18</f>
        <v>2150.9180000000006</v>
      </c>
      <c r="V19" s="3">
        <f t="shared" ref="V19" si="6">V17-V18</f>
        <v>1891.2049999999999</v>
      </c>
      <c r="W19" s="3">
        <f t="shared" ref="W19" si="7">W17-W18</f>
        <v>2311.9949999999999</v>
      </c>
      <c r="X19" s="3">
        <f t="shared" ref="X19" si="8">X17-X18</f>
        <v>2104.5380000000005</v>
      </c>
      <c r="Y19" s="3">
        <f t="shared" ref="Y19" si="9">Y17-Y18</f>
        <v>2693.4119999999994</v>
      </c>
      <c r="Z19" s="3">
        <f t="shared" ref="Z19:AA19" si="10">Z17-Z18</f>
        <v>3174.6610000000005</v>
      </c>
      <c r="AA19" s="3">
        <f t="shared" si="10"/>
        <v>3237.4080000000004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</row>
    <row r="20" spans="2:76" x14ac:dyDescent="0.2">
      <c r="B20" s="2" t="s">
        <v>23</v>
      </c>
      <c r="C20" s="3">
        <v>336.04899999999998</v>
      </c>
      <c r="D20" s="3">
        <v>352.73</v>
      </c>
      <c r="E20" s="3">
        <v>383.88299999999998</v>
      </c>
      <c r="F20" s="3">
        <v>498.92200000000003</v>
      </c>
      <c r="G20" s="3">
        <v>371.68599999999998</v>
      </c>
      <c r="H20" s="3">
        <v>390.233</v>
      </c>
      <c r="I20" s="3">
        <v>419.23500000000001</v>
      </c>
      <c r="J20" s="3">
        <v>526.423</v>
      </c>
      <c r="K20" s="3">
        <v>399.93700000000001</v>
      </c>
      <c r="L20" s="3">
        <v>375.35599999999999</v>
      </c>
      <c r="M20" s="3">
        <v>459.548</v>
      </c>
      <c r="N20" s="3"/>
      <c r="O20" s="3">
        <v>431.19499999999999</v>
      </c>
      <c r="P20" s="3">
        <v>444.04199999999997</v>
      </c>
      <c r="Q20" s="3"/>
      <c r="R20" s="3"/>
      <c r="S20" s="3"/>
      <c r="T20" s="3">
        <v>1536.2159999999999</v>
      </c>
      <c r="U20" s="3">
        <v>1551.2429999999999</v>
      </c>
      <c r="V20" s="3">
        <v>1391.5840000000001</v>
      </c>
      <c r="W20" s="3">
        <v>1440.423</v>
      </c>
      <c r="X20" s="3">
        <v>1496.962</v>
      </c>
      <c r="Y20" s="3">
        <v>1571.7370000000001</v>
      </c>
      <c r="Z20" s="3">
        <v>1689.9880000000001</v>
      </c>
      <c r="AA20" s="3">
        <v>1809.633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</row>
    <row r="21" spans="2:76" x14ac:dyDescent="0.2">
      <c r="B21" s="2" t="s">
        <v>24</v>
      </c>
      <c r="C21" s="3">
        <v>142.631</v>
      </c>
      <c r="D21" s="3">
        <v>144.50200000000001</v>
      </c>
      <c r="E21" s="3">
        <v>162.51</v>
      </c>
      <c r="F21" s="3">
        <v>193.387</v>
      </c>
      <c r="G21" s="3">
        <v>177.88</v>
      </c>
      <c r="H21" s="3">
        <v>170.471</v>
      </c>
      <c r="I21" s="3">
        <v>190.001</v>
      </c>
      <c r="J21" s="3">
        <v>194.54400000000001</v>
      </c>
      <c r="K21" s="3">
        <v>174.92500000000001</v>
      </c>
      <c r="L21" s="3">
        <v>175.32499999999999</v>
      </c>
      <c r="M21" s="3">
        <v>193.40199999999999</v>
      </c>
      <c r="N21" s="3"/>
      <c r="O21" s="3">
        <v>182.75399999999999</v>
      </c>
      <c r="P21" s="3">
        <v>204.78399999999999</v>
      </c>
      <c r="Q21" s="3"/>
      <c r="R21" s="3"/>
      <c r="S21" s="3"/>
      <c r="T21" s="3">
        <v>484.863</v>
      </c>
      <c r="U21" s="3">
        <v>464.61500000000001</v>
      </c>
      <c r="V21" s="3">
        <v>463.84300000000002</v>
      </c>
      <c r="W21" s="3">
        <v>536.81500000000005</v>
      </c>
      <c r="X21" s="3">
        <v>517.60199999999998</v>
      </c>
      <c r="Y21" s="3">
        <v>642.87699999999995</v>
      </c>
      <c r="Z21" s="3">
        <v>750.48500000000001</v>
      </c>
      <c r="AA21" s="3">
        <v>725.471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</row>
    <row r="22" spans="2:76" x14ac:dyDescent="0.2">
      <c r="B22" s="2" t="s">
        <v>25</v>
      </c>
      <c r="C22" s="3">
        <v>2.8940000000000001</v>
      </c>
      <c r="D22" s="3">
        <v>2.694</v>
      </c>
      <c r="E22" s="3">
        <v>-1.256</v>
      </c>
      <c r="F22" s="3">
        <v>1.5409999999999999</v>
      </c>
      <c r="G22" s="3">
        <v>1.958</v>
      </c>
      <c r="H22" s="3">
        <v>6.7000000000000004E-2</v>
      </c>
      <c r="I22" s="3">
        <v>1.5860000000000001</v>
      </c>
      <c r="J22" s="3">
        <v>3.0209999999999999</v>
      </c>
      <c r="K22" s="3">
        <v>-3.7829999999999999</v>
      </c>
      <c r="L22" s="3">
        <v>0.36899999999999999</v>
      </c>
      <c r="M22" s="3">
        <v>1.022</v>
      </c>
      <c r="N22" s="3"/>
      <c r="O22" s="3">
        <v>2.7629999999999999</v>
      </c>
      <c r="P22" s="3">
        <v>0.94799999999999995</v>
      </c>
      <c r="Q22" s="3"/>
      <c r="R22" s="3"/>
      <c r="S22" s="3"/>
      <c r="T22" s="3">
        <f>-5.806-11.58+5.915</f>
        <v>-11.471</v>
      </c>
      <c r="U22" s="3">
        <f>-47.257-19.135+1.4</f>
        <v>-64.99199999999999</v>
      </c>
      <c r="V22" s="3">
        <f>11.636-72.937+5.054</f>
        <v>-56.247</v>
      </c>
      <c r="W22" s="3">
        <v>8.327</v>
      </c>
      <c r="X22" s="3">
        <v>2.6739999999999999</v>
      </c>
      <c r="Y22" s="3">
        <v>5.8730000000000002</v>
      </c>
      <c r="Z22" s="3">
        <v>6.6319999999999997</v>
      </c>
      <c r="AA22" s="3">
        <v>-3.161</v>
      </c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</row>
    <row r="23" spans="2:76" x14ac:dyDescent="0.2">
      <c r="B23" s="2" t="s">
        <v>26</v>
      </c>
      <c r="C23" s="3">
        <f>C19-C20-C21+C22</f>
        <v>34.007999999999946</v>
      </c>
      <c r="D23" s="3">
        <f t="shared" ref="D23:F23" si="11">D19-D20-D21+D22</f>
        <v>89.842000000000084</v>
      </c>
      <c r="E23" s="3">
        <f t="shared" si="11"/>
        <v>138.02000000000012</v>
      </c>
      <c r="F23" s="3">
        <f t="shared" si="11"/>
        <v>222.80099999999993</v>
      </c>
      <c r="G23" s="3">
        <f>G19-G20-G21+G22</f>
        <v>129.84900000000002</v>
      </c>
      <c r="H23" s="3">
        <f t="shared" ref="H23:P23" si="12">H19-H20-H21+H22</f>
        <v>175.62500000000017</v>
      </c>
      <c r="I23" s="3">
        <f t="shared" si="12"/>
        <v>179.2819999999999</v>
      </c>
      <c r="J23" s="3">
        <f t="shared" si="12"/>
        <v>256.06399999999985</v>
      </c>
      <c r="K23" s="3">
        <f t="shared" si="12"/>
        <v>101.53299999999986</v>
      </c>
      <c r="L23" s="3">
        <f t="shared" si="12"/>
        <v>206.65800000000004</v>
      </c>
      <c r="M23" s="3">
        <f t="shared" si="12"/>
        <v>155.02099999999984</v>
      </c>
      <c r="N23" s="3">
        <f t="shared" si="12"/>
        <v>0</v>
      </c>
      <c r="O23" s="3">
        <f t="shared" si="12"/>
        <v>88.796999999999969</v>
      </c>
      <c r="P23" s="3">
        <f t="shared" si="12"/>
        <v>252.7020000000002</v>
      </c>
      <c r="Q23" s="3"/>
      <c r="R23" s="3"/>
      <c r="S23" s="3"/>
      <c r="T23" s="3">
        <f t="shared" ref="T23:X23" si="13">T19-SUM(T20:T21)+T22</f>
        <v>127.36600000000021</v>
      </c>
      <c r="U23" s="3">
        <f t="shared" si="13"/>
        <v>70.068000000000637</v>
      </c>
      <c r="V23" s="3">
        <f t="shared" si="13"/>
        <v>-20.469000000000207</v>
      </c>
      <c r="W23" s="3">
        <f t="shared" si="13"/>
        <v>343.08399999999983</v>
      </c>
      <c r="X23" s="3">
        <f t="shared" si="13"/>
        <v>92.648000000000621</v>
      </c>
      <c r="Y23" s="3">
        <f>Y19-SUM(Y20:Y21)+Y22</f>
        <v>484.67099999999931</v>
      </c>
      <c r="Z23" s="3">
        <f t="shared" ref="Z23" si="14">Z19-SUM(Z20:Z21)+Z22</f>
        <v>740.8200000000005</v>
      </c>
      <c r="AA23" s="3">
        <f>AA19-SUM(AA20:AA21)+AA22</f>
        <v>699.14300000000014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</row>
    <row r="24" spans="2:76" x14ac:dyDescent="0.2">
      <c r="B24" s="2" t="s">
        <v>28</v>
      </c>
      <c r="C24" s="3">
        <v>7.4580000000000002</v>
      </c>
      <c r="D24" s="3">
        <v>7.6349999999999998</v>
      </c>
      <c r="E24" s="3">
        <v>8.5679999999999996</v>
      </c>
      <c r="F24" s="3">
        <v>6.6909999999999998</v>
      </c>
      <c r="G24" s="3">
        <v>5.8</v>
      </c>
      <c r="H24" s="3">
        <v>5.1890000000000001</v>
      </c>
      <c r="I24" s="3">
        <v>0.56899999999999995</v>
      </c>
      <c r="J24" s="3">
        <v>0.53900000000000003</v>
      </c>
      <c r="K24" s="3">
        <v>0.66100000000000003</v>
      </c>
      <c r="L24" s="3">
        <v>0.62</v>
      </c>
      <c r="M24" s="3">
        <v>0.55000000000000004</v>
      </c>
      <c r="N24" s="3"/>
      <c r="O24" s="3">
        <v>0.45</v>
      </c>
      <c r="P24" s="3">
        <v>0.56100000000000005</v>
      </c>
      <c r="Q24" s="3"/>
      <c r="R24" s="3"/>
      <c r="S24" s="3"/>
      <c r="T24" s="3">
        <v>10.999000000000001</v>
      </c>
      <c r="U24" s="3">
        <v>7.7370000000000001</v>
      </c>
      <c r="V24" s="3">
        <v>28.274000000000001</v>
      </c>
      <c r="W24" s="3">
        <v>37.957999999999998</v>
      </c>
      <c r="X24" s="3">
        <v>30.236000000000001</v>
      </c>
      <c r="Y24" s="3">
        <v>30.352</v>
      </c>
      <c r="Z24" s="3">
        <v>12.077</v>
      </c>
      <c r="AA24" s="3">
        <v>2.375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</row>
    <row r="25" spans="2:76" x14ac:dyDescent="0.2">
      <c r="B25" s="2" t="s">
        <v>27</v>
      </c>
      <c r="C25" s="3">
        <v>4.0149999999999997</v>
      </c>
      <c r="D25" s="3">
        <v>6.5380000000000003</v>
      </c>
      <c r="E25" s="3">
        <v>7.8970000000000002</v>
      </c>
      <c r="F25" s="3">
        <v>11.53</v>
      </c>
      <c r="G25" s="3">
        <v>10.803000000000001</v>
      </c>
      <c r="H25" s="3">
        <v>10.391999999999999</v>
      </c>
      <c r="I25" s="3">
        <v>9.3019999999999996</v>
      </c>
      <c r="J25" s="3">
        <v>9.4369999999999994</v>
      </c>
      <c r="K25" s="3">
        <v>7.444</v>
      </c>
      <c r="L25" s="3">
        <v>3.0939999999999999</v>
      </c>
      <c r="M25" s="3">
        <v>6.4909999999999997</v>
      </c>
      <c r="N25" s="3"/>
      <c r="O25" s="3">
        <v>5.7370000000000001</v>
      </c>
      <c r="P25" s="3">
        <v>8.1519999999999992</v>
      </c>
      <c r="Q25" s="3"/>
      <c r="R25" s="3"/>
      <c r="S25" s="3"/>
      <c r="T25" s="3">
        <v>0</v>
      </c>
      <c r="U25" s="3">
        <v>0</v>
      </c>
      <c r="V25" s="3">
        <v>0</v>
      </c>
      <c r="W25" s="3">
        <v>3.8479999999999999</v>
      </c>
      <c r="X25" s="3">
        <v>4.6040000000000001</v>
      </c>
      <c r="Y25" s="3">
        <v>29.98</v>
      </c>
      <c r="Z25" s="3">
        <v>39.933999999999997</v>
      </c>
      <c r="AA25" s="3">
        <v>24.004000000000001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</row>
    <row r="26" spans="2:76" x14ac:dyDescent="0.2">
      <c r="B26" s="2" t="s">
        <v>29</v>
      </c>
      <c r="C26" s="3">
        <f>C23-C24+C25</f>
        <v>30.564999999999948</v>
      </c>
      <c r="D26" s="3">
        <f t="shared" ref="D26:F26" si="15">D23-D24+D25</f>
        <v>88.745000000000076</v>
      </c>
      <c r="E26" s="3">
        <f t="shared" si="15"/>
        <v>137.3490000000001</v>
      </c>
      <c r="F26" s="3">
        <f t="shared" si="15"/>
        <v>227.63999999999993</v>
      </c>
      <c r="G26" s="3">
        <f>G23-G24+G25</f>
        <v>134.85200000000003</v>
      </c>
      <c r="H26" s="3">
        <f t="shared" ref="H26:P26" si="16">H23-H24+H25</f>
        <v>180.82800000000017</v>
      </c>
      <c r="I26" s="3">
        <f t="shared" si="16"/>
        <v>188.0149999999999</v>
      </c>
      <c r="J26" s="3">
        <f t="shared" si="16"/>
        <v>264.96199999999988</v>
      </c>
      <c r="K26" s="3">
        <f t="shared" si="16"/>
        <v>108.31599999999986</v>
      </c>
      <c r="L26" s="3">
        <f t="shared" si="16"/>
        <v>209.13200000000003</v>
      </c>
      <c r="M26" s="3">
        <f t="shared" si="16"/>
        <v>160.96199999999982</v>
      </c>
      <c r="N26" s="3">
        <f t="shared" si="16"/>
        <v>0</v>
      </c>
      <c r="O26" s="3">
        <f t="shared" si="16"/>
        <v>94.083999999999961</v>
      </c>
      <c r="P26" s="3">
        <f t="shared" si="16"/>
        <v>260.29300000000018</v>
      </c>
      <c r="Q26" s="3"/>
      <c r="R26" s="3"/>
      <c r="S26" s="3"/>
      <c r="T26" s="3">
        <f t="shared" ref="T26:W26" si="17">T23-T24+T25</f>
        <v>116.36700000000022</v>
      </c>
      <c r="U26" s="3">
        <f t="shared" si="17"/>
        <v>62.331000000000635</v>
      </c>
      <c r="V26" s="3">
        <f t="shared" si="17"/>
        <v>-48.743000000000208</v>
      </c>
      <c r="W26" s="3">
        <f t="shared" si="17"/>
        <v>308.97399999999988</v>
      </c>
      <c r="X26" s="3">
        <f>X23-X24+X25</f>
        <v>67.016000000000616</v>
      </c>
      <c r="Y26" s="3">
        <f>Y23-Y24+Y25</f>
        <v>484.29899999999935</v>
      </c>
      <c r="Z26" s="3">
        <f t="shared" ref="Z26:AA26" si="18">Z23-Z24+Z25</f>
        <v>768.67700000000048</v>
      </c>
      <c r="AA26" s="3">
        <f t="shared" si="18"/>
        <v>720.77200000000016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</row>
    <row r="27" spans="2:76" x14ac:dyDescent="0.2">
      <c r="B27" s="2" t="s">
        <v>30</v>
      </c>
      <c r="C27" s="3">
        <v>12.718</v>
      </c>
      <c r="D27" s="3">
        <v>30.013999999999999</v>
      </c>
      <c r="E27" s="3">
        <v>39.616999999999997</v>
      </c>
      <c r="F27" s="3">
        <v>66.537000000000006</v>
      </c>
      <c r="G27" s="3">
        <v>19.794</v>
      </c>
      <c r="H27" s="3">
        <v>45.448999999999998</v>
      </c>
      <c r="I27" s="3">
        <v>54.151000000000003</v>
      </c>
      <c r="J27" s="3">
        <v>75.266999999999996</v>
      </c>
      <c r="K27" s="3">
        <v>26.577000000000002</v>
      </c>
      <c r="L27" s="3">
        <v>65.744</v>
      </c>
      <c r="M27" s="3">
        <v>45.862000000000002</v>
      </c>
      <c r="N27" s="3"/>
      <c r="O27" s="3">
        <v>25.965</v>
      </c>
      <c r="P27" s="3">
        <v>74.751999999999995</v>
      </c>
      <c r="Q27" s="3"/>
      <c r="R27" s="3"/>
      <c r="S27" s="3"/>
      <c r="T27" s="3">
        <v>37.558999999999997</v>
      </c>
      <c r="U27" s="3">
        <v>17.370999999999999</v>
      </c>
      <c r="V27" s="3">
        <v>60.210999999999999</v>
      </c>
      <c r="W27" s="3">
        <v>38.908000000000001</v>
      </c>
      <c r="X27" s="3">
        <v>56.631</v>
      </c>
      <c r="Y27" s="3">
        <v>148.886</v>
      </c>
      <c r="Z27" s="3">
        <v>194.661</v>
      </c>
      <c r="AA27" s="3">
        <v>205.77699999999999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</row>
    <row r="28" spans="2:76" x14ac:dyDescent="0.2">
      <c r="B28" s="2" t="s">
        <v>31</v>
      </c>
      <c r="C28" s="3">
        <f>C26-C27</f>
        <v>17.846999999999948</v>
      </c>
      <c r="D28" s="3">
        <f t="shared" ref="D28:F28" si="19">D26-D27</f>
        <v>58.73100000000008</v>
      </c>
      <c r="E28" s="3">
        <f t="shared" si="19"/>
        <v>97.732000000000113</v>
      </c>
      <c r="F28" s="3">
        <f t="shared" si="19"/>
        <v>161.10299999999992</v>
      </c>
      <c r="G28" s="3">
        <f>G26-G27</f>
        <v>115.05800000000004</v>
      </c>
      <c r="H28" s="3">
        <f t="shared" ref="H28:P28" si="20">H26-H27</f>
        <v>135.37900000000019</v>
      </c>
      <c r="I28" s="3">
        <f t="shared" si="20"/>
        <v>133.86399999999989</v>
      </c>
      <c r="J28" s="3">
        <f t="shared" si="20"/>
        <v>189.69499999999988</v>
      </c>
      <c r="K28" s="3">
        <f t="shared" si="20"/>
        <v>81.738999999999862</v>
      </c>
      <c r="L28" s="3">
        <f t="shared" si="20"/>
        <v>143.38800000000003</v>
      </c>
      <c r="M28" s="3">
        <f t="shared" si="20"/>
        <v>115.09999999999982</v>
      </c>
      <c r="N28" s="3">
        <f t="shared" si="20"/>
        <v>0</v>
      </c>
      <c r="O28" s="3">
        <f t="shared" si="20"/>
        <v>68.118999999999957</v>
      </c>
      <c r="P28" s="3">
        <f t="shared" si="20"/>
        <v>185.54100000000017</v>
      </c>
      <c r="Q28" s="3"/>
      <c r="R28" s="3"/>
      <c r="S28" s="3"/>
      <c r="T28" s="3">
        <f t="shared" ref="T28:AA28" si="21">T26-T27</f>
        <v>78.80800000000022</v>
      </c>
      <c r="U28" s="3">
        <f t="shared" si="21"/>
        <v>44.960000000000633</v>
      </c>
      <c r="V28" s="3">
        <f t="shared" si="21"/>
        <v>-108.95400000000021</v>
      </c>
      <c r="W28" s="3">
        <f t="shared" si="21"/>
        <v>270.06599999999986</v>
      </c>
      <c r="X28" s="3">
        <f t="shared" si="21"/>
        <v>10.385000000000616</v>
      </c>
      <c r="Y28" s="3">
        <f t="shared" si="21"/>
        <v>335.41299999999933</v>
      </c>
      <c r="Z28" s="3">
        <f t="shared" si="21"/>
        <v>574.01600000000053</v>
      </c>
      <c r="AA28" s="3">
        <f t="shared" si="21"/>
        <v>514.99500000000012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</row>
    <row r="29" spans="2:76" x14ac:dyDescent="0.2">
      <c r="B29" s="2" t="s">
        <v>32</v>
      </c>
      <c r="C29" s="3">
        <v>1.276</v>
      </c>
      <c r="D29" s="3">
        <v>1.837</v>
      </c>
      <c r="E29" s="3">
        <v>1.5209999999999999</v>
      </c>
      <c r="F29" s="3">
        <v>2.6560000000000001</v>
      </c>
      <c r="G29" s="3">
        <v>1.228</v>
      </c>
      <c r="H29" s="3">
        <v>2.2109999999999999</v>
      </c>
      <c r="I29" s="3">
        <v>1.885</v>
      </c>
      <c r="J29" s="3">
        <v>2.4689999999999999</v>
      </c>
      <c r="K29" s="3">
        <v>1.3260000000000001</v>
      </c>
      <c r="L29" s="3">
        <v>2.0049999999999999</v>
      </c>
      <c r="M29" s="3">
        <v>2.105</v>
      </c>
      <c r="N29" s="3"/>
      <c r="O29" s="3">
        <v>0.98499999999999999</v>
      </c>
      <c r="P29" s="3">
        <v>1.819</v>
      </c>
      <c r="Q29" s="3"/>
      <c r="R29" s="3"/>
      <c r="S29" s="3"/>
      <c r="T29" s="3">
        <v>4.2670000000000003</v>
      </c>
      <c r="U29" s="3">
        <v>5.6020000000000003</v>
      </c>
      <c r="V29" s="3">
        <v>5.0670000000000002</v>
      </c>
      <c r="W29" s="3">
        <v>7.056</v>
      </c>
      <c r="X29" s="3">
        <v>7.569</v>
      </c>
      <c r="Y29" s="3">
        <v>7.29</v>
      </c>
      <c r="Z29" s="3">
        <v>7.7930000000000001</v>
      </c>
      <c r="AA29" s="3">
        <v>8.0739999999999998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</row>
    <row r="30" spans="2:76" x14ac:dyDescent="0.2">
      <c r="B30" s="2" t="s">
        <v>33</v>
      </c>
      <c r="C30" s="3">
        <f t="shared" ref="C30:F30" si="22">C28-C29</f>
        <v>16.570999999999948</v>
      </c>
      <c r="D30" s="3">
        <f t="shared" si="22"/>
        <v>56.894000000000077</v>
      </c>
      <c r="E30" s="3">
        <f t="shared" si="22"/>
        <v>96.211000000000112</v>
      </c>
      <c r="F30" s="3">
        <f t="shared" si="22"/>
        <v>158.44699999999992</v>
      </c>
      <c r="G30" s="3">
        <f>G28-G29</f>
        <v>113.83000000000004</v>
      </c>
      <c r="H30" s="3">
        <f t="shared" ref="H30:P30" si="23">H28-H29</f>
        <v>133.16800000000018</v>
      </c>
      <c r="I30" s="3">
        <f t="shared" si="23"/>
        <v>131.9789999999999</v>
      </c>
      <c r="J30" s="3">
        <f t="shared" si="23"/>
        <v>187.22599999999989</v>
      </c>
      <c r="K30" s="3">
        <f t="shared" si="23"/>
        <v>80.412999999999869</v>
      </c>
      <c r="L30" s="3">
        <f t="shared" si="23"/>
        <v>141.38300000000004</v>
      </c>
      <c r="M30" s="3">
        <f t="shared" si="23"/>
        <v>112.99499999999982</v>
      </c>
      <c r="N30" s="3">
        <f t="shared" si="23"/>
        <v>0</v>
      </c>
      <c r="O30" s="3">
        <f t="shared" si="23"/>
        <v>67.133999999999958</v>
      </c>
      <c r="P30" s="3">
        <f t="shared" si="23"/>
        <v>183.72200000000018</v>
      </c>
      <c r="Q30" s="3"/>
      <c r="R30" s="3"/>
      <c r="S30" s="3"/>
      <c r="T30" s="3">
        <f t="shared" ref="T30:W30" si="24">T28-T29</f>
        <v>74.541000000000224</v>
      </c>
      <c r="U30" s="3">
        <f t="shared" si="24"/>
        <v>39.358000000000629</v>
      </c>
      <c r="V30" s="3">
        <f t="shared" si="24"/>
        <v>-114.02100000000021</v>
      </c>
      <c r="W30" s="3">
        <f t="shared" si="24"/>
        <v>263.00999999999988</v>
      </c>
      <c r="X30" s="3">
        <f>X28-X29</f>
        <v>2.8160000000006162</v>
      </c>
      <c r="Y30" s="3">
        <f>Y28-Y29</f>
        <v>328.12299999999931</v>
      </c>
      <c r="Z30" s="3">
        <f>Z28-Z29</f>
        <v>566.22300000000052</v>
      </c>
      <c r="AA30" s="3">
        <f>AA28-AA29</f>
        <v>506.92100000000011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</row>
    <row r="31" spans="2:76" x14ac:dyDescent="0.2"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</row>
    <row r="32" spans="2:76" x14ac:dyDescent="0.2">
      <c r="B32" s="2" t="s">
        <v>35</v>
      </c>
      <c r="C32" s="25">
        <f t="shared" ref="C32:P32" si="25">C30/C33</f>
        <v>0.33426796304514361</v>
      </c>
      <c r="D32" s="25">
        <f t="shared" si="25"/>
        <v>1.1305989428083159</v>
      </c>
      <c r="E32" s="25">
        <f t="shared" si="25"/>
        <v>1.9050174243624289</v>
      </c>
      <c r="F32" s="25">
        <f t="shared" si="25"/>
        <v>3.1339029648529424</v>
      </c>
      <c r="G32" s="25">
        <f t="shared" si="25"/>
        <v>2.2366533707975562</v>
      </c>
      <c r="H32" s="25">
        <f t="shared" si="25"/>
        <v>2.5986028177809035</v>
      </c>
      <c r="I32" s="25">
        <f t="shared" si="25"/>
        <v>2.5903122607995899</v>
      </c>
      <c r="J32" s="25">
        <f t="shared" si="25"/>
        <v>3.7247786730329233</v>
      </c>
      <c r="K32" s="25">
        <f t="shared" si="25"/>
        <v>1.6339456252285909</v>
      </c>
      <c r="L32" s="25">
        <f t="shared" si="25"/>
        <v>2.9733543638275508</v>
      </c>
      <c r="M32" s="25">
        <f t="shared" si="25"/>
        <v>2.4122582297937711</v>
      </c>
      <c r="N32" s="25" t="e">
        <f t="shared" si="25"/>
        <v>#DIV/0!</v>
      </c>
      <c r="O32" s="25">
        <f t="shared" si="25"/>
        <v>1.4928951055171331</v>
      </c>
      <c r="P32" s="25">
        <f t="shared" si="25"/>
        <v>4.1977288824913783</v>
      </c>
      <c r="Q32" s="25"/>
      <c r="R32" s="25"/>
      <c r="S32" s="3"/>
      <c r="T32" s="25">
        <f t="shared" ref="T32:AA32" si="26">T30/T33</f>
        <v>1.1067706013363063</v>
      </c>
      <c r="U32" s="25">
        <f t="shared" si="26"/>
        <v>0.61088346681567995</v>
      </c>
      <c r="V32" s="25">
        <f t="shared" si="26"/>
        <v>-1.8228485555786511</v>
      </c>
      <c r="W32" s="25">
        <f t="shared" si="26"/>
        <v>4.4131416010873012</v>
      </c>
      <c r="X32" s="25">
        <f t="shared" si="26"/>
        <v>5.5976305484338483E-2</v>
      </c>
      <c r="Y32" s="25">
        <f t="shared" si="26"/>
        <v>6.5298109452736179</v>
      </c>
      <c r="Z32" s="25">
        <f t="shared" si="26"/>
        <v>11.137571549401061</v>
      </c>
      <c r="AA32" s="25">
        <f t="shared" si="26"/>
        <v>10.712842621357174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</row>
    <row r="33" spans="2:76" x14ac:dyDescent="0.2">
      <c r="B33" s="2" t="s">
        <v>34</v>
      </c>
      <c r="C33" s="3">
        <v>49.573999999999998</v>
      </c>
      <c r="D33" s="3">
        <v>50.322000000000003</v>
      </c>
      <c r="E33" s="3">
        <v>50.503999999999998</v>
      </c>
      <c r="F33" s="3">
        <v>50.558999999999997</v>
      </c>
      <c r="G33" s="3">
        <v>50.893000000000001</v>
      </c>
      <c r="H33" s="3">
        <v>51.246000000000002</v>
      </c>
      <c r="I33" s="3">
        <v>50.951000000000001</v>
      </c>
      <c r="J33" s="3">
        <v>50.265000000000001</v>
      </c>
      <c r="K33" s="3">
        <v>49.213999999999999</v>
      </c>
      <c r="L33" s="3">
        <v>47.55</v>
      </c>
      <c r="M33" s="3">
        <v>46.841999999999999</v>
      </c>
      <c r="N33" s="3"/>
      <c r="O33" s="3">
        <v>44.969000000000001</v>
      </c>
      <c r="P33" s="3">
        <v>43.767000000000003</v>
      </c>
      <c r="Q33" s="3"/>
      <c r="R33" s="3"/>
      <c r="S33" s="3"/>
      <c r="T33" s="3">
        <v>67.349999999999994</v>
      </c>
      <c r="U33" s="3">
        <v>64.427999999999997</v>
      </c>
      <c r="V33" s="3">
        <v>62.551000000000002</v>
      </c>
      <c r="W33" s="3">
        <v>59.597000000000001</v>
      </c>
      <c r="X33" s="3">
        <v>50.307000000000002</v>
      </c>
      <c r="Y33" s="3">
        <v>50.25</v>
      </c>
      <c r="Z33" s="3">
        <v>50.838999999999999</v>
      </c>
      <c r="AA33" s="3">
        <v>47.319000000000003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</row>
    <row r="34" spans="2:76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</row>
    <row r="35" spans="2:76" x14ac:dyDescent="0.2">
      <c r="B35" s="2" t="s">
        <v>44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6">
        <f t="shared" ref="U35:AA35" si="27">U3/T3-1</f>
        <v>-3.4482758620689613E-2</v>
      </c>
      <c r="V35" s="26">
        <f t="shared" si="27"/>
        <v>-0.22727272727272729</v>
      </c>
      <c r="W35" s="26">
        <f t="shared" si="27"/>
        <v>-5.8823529411764719E-2</v>
      </c>
      <c r="X35" s="26">
        <f t="shared" si="27"/>
        <v>4.0178571428571397E-2</v>
      </c>
      <c r="Y35" s="26">
        <f t="shared" si="27"/>
        <v>6.0085836909871349E-2</v>
      </c>
      <c r="Z35" s="26">
        <f t="shared" si="27"/>
        <v>0.12550607287449389</v>
      </c>
      <c r="AA35" s="26">
        <f t="shared" si="27"/>
        <v>0.10071942446043169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</row>
    <row r="36" spans="2:76" x14ac:dyDescent="0.2">
      <c r="B36" s="2" t="s">
        <v>45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26">
        <f>U4/T4-1</f>
        <v>7.3800738007379074E-3</v>
      </c>
      <c r="V36" s="26">
        <f>V4/U4-1</f>
        <v>-8.9743589743589758E-2</v>
      </c>
      <c r="W36" s="26">
        <f>W4/V4-1</f>
        <v>1.6096579476861272E-2</v>
      </c>
      <c r="X36" s="26">
        <f>X4/W4-1</f>
        <v>4.7524752475247567E-2</v>
      </c>
      <c r="Y36" s="26">
        <f>Y4/X4-1</f>
        <v>-2.0793950850661602E-2</v>
      </c>
      <c r="Z36" s="26">
        <f>+Z14/Y14-1</f>
        <v>0.15063172471646102</v>
      </c>
      <c r="AA36" s="26">
        <f>+AA14/Z14-1</f>
        <v>0.1465111136286017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</row>
    <row r="37" spans="2:76" x14ac:dyDescent="0.2">
      <c r="B37" s="2" t="s">
        <v>299</v>
      </c>
      <c r="C37" s="26"/>
      <c r="D37" s="26"/>
      <c r="E37" s="26"/>
      <c r="F37" s="26"/>
      <c r="G37" s="26">
        <f t="shared" ref="G37:I37" si="28">+G11/C11-1</f>
        <v>0.31067736283494329</v>
      </c>
      <c r="H37" s="26">
        <f t="shared" si="28"/>
        <v>0.25870359684554733</v>
      </c>
      <c r="I37" s="26">
        <f t="shared" si="28"/>
        <v>0.14990469722197886</v>
      </c>
      <c r="J37" s="26">
        <f>+J11/F11-1</f>
        <v>2.3128880579128985E-2</v>
      </c>
      <c r="K37" s="26">
        <f>+K11/G11-1</f>
        <v>-4.1234407616274726E-2</v>
      </c>
      <c r="L37" s="26">
        <f t="shared" ref="L37:Q37" si="29">+L11/H11-1</f>
        <v>-5.2450482129612008E-2</v>
      </c>
      <c r="M37" s="26">
        <f t="shared" si="29"/>
        <v>-1.983059055149361E-2</v>
      </c>
      <c r="N37" s="26">
        <f t="shared" si="29"/>
        <v>-1</v>
      </c>
      <c r="O37" s="26">
        <f t="shared" si="29"/>
        <v>3.0608799756180805E-2</v>
      </c>
      <c r="P37" s="26">
        <f t="shared" si="29"/>
        <v>8.1432516471330318E-2</v>
      </c>
      <c r="Q37" s="26">
        <f t="shared" si="29"/>
        <v>-1</v>
      </c>
      <c r="R37" s="26"/>
      <c r="S37" s="3"/>
      <c r="T37" s="26"/>
      <c r="U37" s="26">
        <f t="shared" ref="U37:Y37" si="30">+U11/T11-1</f>
        <v>1.877333363013034E-2</v>
      </c>
      <c r="V37" s="26">
        <f t="shared" si="30"/>
        <v>-0.11848208231966062</v>
      </c>
      <c r="W37" s="26">
        <f t="shared" si="30"/>
        <v>0.21204227615827609</v>
      </c>
      <c r="X37" s="26">
        <f t="shared" si="30"/>
        <v>0.1086900534193429</v>
      </c>
      <c r="Y37" s="26">
        <f t="shared" si="30"/>
        <v>0.26908130080363568</v>
      </c>
      <c r="Z37" s="26">
        <f>+Z11/Y11-1</f>
        <v>0.16112561010062287</v>
      </c>
      <c r="AA37" s="26">
        <f>+AA11/Z11-1</f>
        <v>-1.2819419550827549E-2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</row>
    <row r="38" spans="2:76" x14ac:dyDescent="0.2">
      <c r="B38" s="2" t="s">
        <v>300</v>
      </c>
      <c r="C38" s="26"/>
      <c r="D38" s="26"/>
      <c r="E38" s="26"/>
      <c r="F38" s="26"/>
      <c r="G38" s="26">
        <f t="shared" ref="G38:I38" si="31">+G14/C14-1</f>
        <v>0.12318289786223269</v>
      </c>
      <c r="H38" s="26">
        <f t="shared" si="31"/>
        <v>0.16698756331537723</v>
      </c>
      <c r="I38" s="26">
        <f t="shared" si="31"/>
        <v>0.13844620534968333</v>
      </c>
      <c r="J38" s="26">
        <f>+J14/F14-1</f>
        <v>0.16417133913522064</v>
      </c>
      <c r="K38" s="26">
        <f>+K14/G14-1</f>
        <v>0.22293679891900808</v>
      </c>
      <c r="L38" s="26">
        <f t="shared" ref="L38:Q38" si="32">+L14/H14-1</f>
        <v>0.1906127732713514</v>
      </c>
      <c r="M38" s="26">
        <f t="shared" si="32"/>
        <v>0.16255907558048177</v>
      </c>
      <c r="N38" s="26">
        <f t="shared" si="32"/>
        <v>-1</v>
      </c>
      <c r="O38" s="26">
        <f t="shared" si="32"/>
        <v>-4.7691512367042943E-4</v>
      </c>
      <c r="P38" s="26">
        <f t="shared" si="32"/>
        <v>2.0083996759515887E-2</v>
      </c>
      <c r="Q38" s="26">
        <f t="shared" si="32"/>
        <v>-1</v>
      </c>
      <c r="R38" s="26"/>
      <c r="S38" s="3"/>
      <c r="T38" s="26"/>
      <c r="U38" s="26">
        <f t="shared" ref="U38:Y38" si="33">+U14/T14-1</f>
        <v>2.7762576084604529E-3</v>
      </c>
      <c r="V38" s="26">
        <f t="shared" si="33"/>
        <v>-0.15017970696506955</v>
      </c>
      <c r="W38" s="26">
        <f t="shared" si="33"/>
        <v>0.17097618828260042</v>
      </c>
      <c r="X38" s="26">
        <f t="shared" si="33"/>
        <v>-8.6171233517645995E-2</v>
      </c>
      <c r="Y38" s="26">
        <f t="shared" si="33"/>
        <v>5.9150688909436866E-2</v>
      </c>
      <c r="Z38" s="26">
        <f>+Z14/Y14-1</f>
        <v>0.15063172471646102</v>
      </c>
      <c r="AA38" s="26">
        <f>+AA14/Z14-1</f>
        <v>0.1465111136286017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</row>
    <row r="39" spans="2:76" x14ac:dyDescent="0.2">
      <c r="B39" s="1" t="s">
        <v>301</v>
      </c>
      <c r="C39" s="24"/>
      <c r="D39" s="24"/>
      <c r="E39" s="24"/>
      <c r="F39" s="24"/>
      <c r="G39" s="27">
        <f>G17/C17-1</f>
        <v>0.22097766251910911</v>
      </c>
      <c r="H39" s="27">
        <f>H17/D17-1</f>
        <v>0.21235907606284332</v>
      </c>
      <c r="I39" s="27">
        <f>I17/E17-1</f>
        <v>0.14438709201074174</v>
      </c>
      <c r="J39" s="27">
        <f>J17/F17-1</f>
        <v>9.0859222235146531E-2</v>
      </c>
      <c r="K39" s="27">
        <f>K17/G17-1</f>
        <v>7.5025716888893257E-2</v>
      </c>
      <c r="L39" s="27">
        <f t="shared" ref="L39:Q39" si="34">L17/H17-1</f>
        <v>6.5773994818223214E-2</v>
      </c>
      <c r="M39" s="27">
        <f t="shared" si="34"/>
        <v>6.753953378341504E-2</v>
      </c>
      <c r="N39" s="27">
        <f t="shared" si="34"/>
        <v>-1</v>
      </c>
      <c r="O39" s="27">
        <f t="shared" si="34"/>
        <v>1.5045871225204177E-2</v>
      </c>
      <c r="P39" s="27">
        <f t="shared" si="34"/>
        <v>4.8097736148805303E-2</v>
      </c>
      <c r="Q39" s="27">
        <f t="shared" si="34"/>
        <v>-1</v>
      </c>
      <c r="R39" s="27"/>
      <c r="S39" s="24"/>
      <c r="T39" s="27"/>
      <c r="U39" s="27">
        <f t="shared" ref="U39:X39" si="35">U17/T17-1</f>
        <v>9.1818939202126248E-3</v>
      </c>
      <c r="V39" s="27">
        <f t="shared" si="35"/>
        <v>-0.137366539399013</v>
      </c>
      <c r="W39" s="27">
        <f t="shared" si="35"/>
        <v>0.18793978595910144</v>
      </c>
      <c r="X39" s="27">
        <f t="shared" si="35"/>
        <v>-4.0446911845825051E-3</v>
      </c>
      <c r="Y39" s="27">
        <f>Y17/X17-1</f>
        <v>0.15764338918439869</v>
      </c>
      <c r="Z39" s="27">
        <f>Z17/Y17-1</f>
        <v>0.15602905802049549</v>
      </c>
      <c r="AA39" s="27">
        <f>AA17/Z17-1</f>
        <v>6.4201154794287785E-2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</row>
    <row r="40" spans="2:76" x14ac:dyDescent="0.2">
      <c r="B40" s="2" t="s">
        <v>47</v>
      </c>
      <c r="C40" s="26">
        <f t="shared" ref="C40:J40" si="36">C19/C17</f>
        <v>0.60980581200343542</v>
      </c>
      <c r="D40" s="26">
        <f t="shared" si="36"/>
        <v>0.6247748157097115</v>
      </c>
      <c r="E40" s="26">
        <f t="shared" si="36"/>
        <v>0.6490428622408847</v>
      </c>
      <c r="F40" s="26">
        <f t="shared" si="36"/>
        <v>0.62878697673010042</v>
      </c>
      <c r="G40" s="26">
        <f t="shared" si="36"/>
        <v>0.66369852948380081</v>
      </c>
      <c r="H40" s="26">
        <f t="shared" si="36"/>
        <v>0.64927590932419976</v>
      </c>
      <c r="I40" s="26">
        <f t="shared" si="36"/>
        <v>0.65091325976082037</v>
      </c>
      <c r="J40" s="26">
        <f t="shared" si="36"/>
        <v>0.61454953161585113</v>
      </c>
      <c r="K40" s="26">
        <f t="shared" ref="K40:Q40" si="37">K19/K17</f>
        <v>0.61985890964366519</v>
      </c>
      <c r="L40" s="26">
        <f t="shared" si="37"/>
        <v>0.62634043820745355</v>
      </c>
      <c r="M40" s="26">
        <f t="shared" si="37"/>
        <v>0.62524184131800309</v>
      </c>
      <c r="N40" s="26" t="e">
        <f t="shared" si="37"/>
        <v>#DIV/0!</v>
      </c>
      <c r="O40" s="26">
        <f t="shared" si="37"/>
        <v>0.62845196849403984</v>
      </c>
      <c r="P40" s="26">
        <f t="shared" si="37"/>
        <v>0.71097167497309921</v>
      </c>
      <c r="Q40" s="26" t="e">
        <f t="shared" si="37"/>
        <v>#DIV/0!</v>
      </c>
      <c r="R40" s="26"/>
      <c r="S40" s="3"/>
      <c r="T40" s="26">
        <f t="shared" ref="T40:Z40" si="38">T19/T17</f>
        <v>0.60162964411386954</v>
      </c>
      <c r="U40" s="26">
        <f t="shared" si="38"/>
        <v>0.59367227764938779</v>
      </c>
      <c r="V40" s="26">
        <f t="shared" si="38"/>
        <v>0.60511124393034577</v>
      </c>
      <c r="W40" s="26">
        <f t="shared" si="38"/>
        <v>0.6227146430910846</v>
      </c>
      <c r="X40" s="26">
        <f t="shared" si="38"/>
        <v>0.56913999888040068</v>
      </c>
      <c r="Y40" s="26">
        <f t="shared" si="38"/>
        <v>0.62920234346109261</v>
      </c>
      <c r="Z40" s="26">
        <f t="shared" si="38"/>
        <v>0.64152878387305312</v>
      </c>
      <c r="AA40" s="26">
        <f t="shared" ref="AA40" si="39">AA19/AA17</f>
        <v>0.6147414537591156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</row>
    <row r="41" spans="2:76" x14ac:dyDescent="0.2">
      <c r="B41" s="2" t="s">
        <v>46</v>
      </c>
      <c r="C41" s="26">
        <f t="shared" ref="C41:J41" si="40">C23/C17</f>
        <v>4.0679717797017623E-2</v>
      </c>
      <c r="D41" s="26">
        <f t="shared" si="40"/>
        <v>9.6052258792210451E-2</v>
      </c>
      <c r="E41" s="26">
        <f t="shared" si="40"/>
        <v>0.13064743461712133</v>
      </c>
      <c r="F41" s="26">
        <f t="shared" si="40"/>
        <v>0.15334842491639172</v>
      </c>
      <c r="G41" s="26">
        <f t="shared" si="40"/>
        <v>0.12721189736757027</v>
      </c>
      <c r="H41" s="26">
        <f t="shared" si="40"/>
        <v>0.15487568498043178</v>
      </c>
      <c r="I41" s="26">
        <f t="shared" si="40"/>
        <v>0.14829366582683046</v>
      </c>
      <c r="J41" s="26">
        <f t="shared" si="40"/>
        <v>0.16156303453114571</v>
      </c>
      <c r="K41" s="26">
        <f t="shared" ref="K41:Q41" si="41">K23/K17</f>
        <v>9.2528918419663944E-2</v>
      </c>
      <c r="L41" s="26">
        <f t="shared" si="41"/>
        <v>0.17099523399748465</v>
      </c>
      <c r="M41" s="26">
        <f t="shared" si="41"/>
        <v>0.12011368188442899</v>
      </c>
      <c r="N41" s="26" t="e">
        <f t="shared" si="41"/>
        <v>#DIV/0!</v>
      </c>
      <c r="O41" s="26">
        <f t="shared" si="41"/>
        <v>7.9722863907216668E-2</v>
      </c>
      <c r="P41" s="26">
        <f t="shared" si="41"/>
        <v>0.19949806148154769</v>
      </c>
      <c r="Q41" s="26" t="e">
        <f t="shared" si="41"/>
        <v>#DIV/0!</v>
      </c>
      <c r="R41" s="26"/>
      <c r="S41" s="3"/>
      <c r="T41" s="26">
        <f t="shared" ref="T41:Z41" si="42">T23/T17</f>
        <v>3.5476917274656621E-2</v>
      </c>
      <c r="U41" s="26">
        <f t="shared" si="42"/>
        <v>1.9339383998059279E-2</v>
      </c>
      <c r="V41" s="26">
        <f t="shared" si="42"/>
        <v>-6.5492752250604106E-3</v>
      </c>
      <c r="W41" s="26">
        <f t="shared" si="42"/>
        <v>9.2406527959732421E-2</v>
      </c>
      <c r="X41" s="26">
        <f t="shared" si="42"/>
        <v>2.5055229516536028E-2</v>
      </c>
      <c r="Y41" s="26">
        <f t="shared" si="42"/>
        <v>0.11322297851484692</v>
      </c>
      <c r="Z41" s="26">
        <f t="shared" si="42"/>
        <v>0.14970333955935308</v>
      </c>
      <c r="AA41" s="26">
        <f t="shared" ref="AA41" si="43">AA23/AA17</f>
        <v>0.13275811519756217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</row>
    <row r="42" spans="2:76" x14ac:dyDescent="0.2">
      <c r="B42" s="2" t="s">
        <v>48</v>
      </c>
      <c r="C42" s="26">
        <f t="shared" ref="C42:J42" si="44">C30/C17</f>
        <v>1.9821912597458774E-2</v>
      </c>
      <c r="D42" s="26">
        <f t="shared" si="44"/>
        <v>6.0826753764653761E-2</v>
      </c>
      <c r="E42" s="26">
        <f t="shared" si="44"/>
        <v>9.1071731140036694E-2</v>
      </c>
      <c r="F42" s="26">
        <f t="shared" si="44"/>
        <v>0.10905515631764451</v>
      </c>
      <c r="G42" s="26">
        <f t="shared" si="44"/>
        <v>0.11151822715115656</v>
      </c>
      <c r="H42" s="26">
        <f t="shared" si="44"/>
        <v>0.11743479127387414</v>
      </c>
      <c r="I42" s="26">
        <f t="shared" si="44"/>
        <v>0.10916684174741052</v>
      </c>
      <c r="J42" s="26">
        <f t="shared" si="44"/>
        <v>0.11812984528527355</v>
      </c>
      <c r="K42" s="26">
        <f t="shared" ref="K42:Q42" si="45">K30/K17</f>
        <v>7.3281868130365843E-2</v>
      </c>
      <c r="L42" s="26">
        <f t="shared" si="45"/>
        <v>0.11698467597802346</v>
      </c>
      <c r="M42" s="26">
        <f t="shared" si="45"/>
        <v>8.7551012343689213E-2</v>
      </c>
      <c r="N42" s="26" t="e">
        <f t="shared" si="45"/>
        <v>#DIV/0!</v>
      </c>
      <c r="O42" s="26">
        <f t="shared" si="45"/>
        <v>6.0273598720081561E-2</v>
      </c>
      <c r="P42" s="26">
        <f t="shared" si="45"/>
        <v>0.14504112690644677</v>
      </c>
      <c r="Q42" s="26" t="e">
        <f t="shared" si="45"/>
        <v>#DIV/0!</v>
      </c>
      <c r="R42" s="26"/>
      <c r="S42" s="3"/>
      <c r="T42" s="26">
        <f t="shared" ref="T42:Z42" si="46">T30/T17</f>
        <v>2.0762879344331946E-2</v>
      </c>
      <c r="U42" s="26">
        <f t="shared" si="46"/>
        <v>1.0863154013181801E-2</v>
      </c>
      <c r="V42" s="26">
        <f t="shared" si="46"/>
        <v>-3.6482237062709803E-2</v>
      </c>
      <c r="W42" s="26">
        <f t="shared" si="46"/>
        <v>7.0839330655726368E-2</v>
      </c>
      <c r="X42" s="26">
        <f t="shared" si="46"/>
        <v>7.6154397632523555E-4</v>
      </c>
      <c r="Y42" s="26">
        <f t="shared" si="46"/>
        <v>7.6652127689148086E-2</v>
      </c>
      <c r="Z42" s="26">
        <f t="shared" si="46"/>
        <v>0.11442114688495938</v>
      </c>
      <c r="AA42" s="26">
        <f t="shared" ref="AA42" si="47">AA30/AA17</f>
        <v>9.6257670482381166E-2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</row>
    <row r="43" spans="2:76" x14ac:dyDescent="0.2">
      <c r="B43" s="2" t="s">
        <v>49</v>
      </c>
      <c r="C43" s="26">
        <f t="shared" ref="C43:J43" si="48">C27/C26</f>
        <v>0.41609684279404618</v>
      </c>
      <c r="D43" s="26">
        <f t="shared" si="48"/>
        <v>0.33820496929404442</v>
      </c>
      <c r="E43" s="26">
        <f t="shared" si="48"/>
        <v>0.28844039636255064</v>
      </c>
      <c r="F43" s="26">
        <f t="shared" si="48"/>
        <v>0.29229045861887204</v>
      </c>
      <c r="G43" s="26">
        <f t="shared" si="48"/>
        <v>0.14678314003500131</v>
      </c>
      <c r="H43" s="26">
        <f t="shared" si="48"/>
        <v>0.25133828831818056</v>
      </c>
      <c r="I43" s="26">
        <f t="shared" si="48"/>
        <v>0.28801425418184734</v>
      </c>
      <c r="J43" s="26">
        <f t="shared" si="48"/>
        <v>0.28406714925159093</v>
      </c>
      <c r="K43" s="26">
        <f t="shared" ref="K43:Q43" si="49">K27/K26</f>
        <v>0.24536541231212411</v>
      </c>
      <c r="L43" s="26">
        <f t="shared" si="49"/>
        <v>0.31436604632480913</v>
      </c>
      <c r="M43" s="26">
        <f t="shared" si="49"/>
        <v>0.28492439209254389</v>
      </c>
      <c r="N43" s="26" t="e">
        <f t="shared" si="49"/>
        <v>#DIV/0!</v>
      </c>
      <c r="O43" s="26">
        <f t="shared" si="49"/>
        <v>0.27597678670124581</v>
      </c>
      <c r="P43" s="26">
        <f t="shared" si="49"/>
        <v>0.28718405796544644</v>
      </c>
      <c r="Q43" s="26" t="e">
        <f t="shared" si="49"/>
        <v>#DIV/0!</v>
      </c>
      <c r="R43" s="26"/>
      <c r="S43" s="3"/>
      <c r="T43" s="26">
        <f t="shared" ref="T43:Z43" si="50">T27/T26</f>
        <v>0.32276332637259642</v>
      </c>
      <c r="U43" s="26">
        <f t="shared" si="50"/>
        <v>0.27868957661516452</v>
      </c>
      <c r="V43" s="26">
        <f t="shared" si="50"/>
        <v>-1.2352748086904732</v>
      </c>
      <c r="W43" s="26">
        <f t="shared" si="50"/>
        <v>0.12592645335853508</v>
      </c>
      <c r="X43" s="26">
        <f t="shared" si="50"/>
        <v>0.84503700608809063</v>
      </c>
      <c r="Y43" s="26">
        <f t="shared" si="50"/>
        <v>0.30742578448437885</v>
      </c>
      <c r="Z43" s="26">
        <f t="shared" si="50"/>
        <v>0.25324160863405548</v>
      </c>
      <c r="AA43" s="26">
        <f t="shared" ref="AA43" si="51">AA27/AA26</f>
        <v>0.28549527451121842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</row>
    <row r="44" spans="2:76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</row>
    <row r="45" spans="2:76" x14ac:dyDescent="0.2">
      <c r="B45" s="2" t="s">
        <v>50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>
        <v>723.13499999999999</v>
      </c>
      <c r="U45" s="3">
        <v>671.26700000000005</v>
      </c>
      <c r="V45" s="3">
        <v>1104.8620000000001</v>
      </c>
      <c r="W45" s="3">
        <v>823.13900000000001</v>
      </c>
      <c r="X45" s="3">
        <v>517.60199999999998</v>
      </c>
      <c r="Y45" s="3">
        <v>900.88400000000001</v>
      </c>
      <c r="Z45" s="3">
        <f>772.727+116.221</f>
        <v>888.94799999999998</v>
      </c>
      <c r="AA45" s="3">
        <f>510.563+97.006</f>
        <v>607.56899999999996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  <row r="46" spans="2:76" x14ac:dyDescent="0.2">
      <c r="B46" s="2" t="s">
        <v>51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>
        <v>73.111999999999995</v>
      </c>
      <c r="U46" s="3">
        <v>80.251000000000005</v>
      </c>
      <c r="V46" s="3">
        <v>83.856999999999999</v>
      </c>
      <c r="W46" s="3">
        <v>69.102000000000004</v>
      </c>
      <c r="X46" s="3">
        <v>104.506</v>
      </c>
      <c r="Y46" s="3">
        <v>78.346000000000004</v>
      </c>
      <c r="Z46" s="3">
        <v>105.324</v>
      </c>
      <c r="AA46" s="3">
        <v>113.31100000000001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</row>
    <row r="47" spans="2:76" x14ac:dyDescent="0.2">
      <c r="B47" s="2" t="s">
        <v>52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>
        <v>437.87900000000002</v>
      </c>
      <c r="U47" s="3">
        <v>434.32600000000002</v>
      </c>
      <c r="V47" s="3">
        <v>404.053</v>
      </c>
      <c r="W47" s="3">
        <v>525.86400000000003</v>
      </c>
      <c r="X47" s="3">
        <v>505.62099999999998</v>
      </c>
      <c r="Y47" s="3">
        <v>469.46600000000001</v>
      </c>
      <c r="Z47" s="3">
        <v>575.005</v>
      </c>
      <c r="AA47" s="3">
        <v>542.05899999999997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</row>
    <row r="48" spans="2:76" x14ac:dyDescent="0.2">
      <c r="B48" s="2" t="s">
        <v>53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>
        <v>101.824</v>
      </c>
      <c r="U48" s="3">
        <v>78.905000000000001</v>
      </c>
      <c r="V48" s="3">
        <v>68.856999999999999</v>
      </c>
      <c r="W48" s="3">
        <v>89.653999999999996</v>
      </c>
      <c r="X48" s="3">
        <v>100.289</v>
      </c>
      <c r="Y48" s="3">
        <v>88.569000000000003</v>
      </c>
      <c r="Z48" s="3">
        <v>104.154</v>
      </c>
      <c r="AA48" s="3">
        <v>111.23099999999999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</row>
    <row r="49" spans="2:76" x14ac:dyDescent="0.2">
      <c r="B49" s="2" t="s">
        <v>54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>
        <f t="shared" ref="T49:X49" si="52">SUM(T45:T48)</f>
        <v>1335.95</v>
      </c>
      <c r="U49" s="3">
        <f t="shared" si="52"/>
        <v>1264.749</v>
      </c>
      <c r="V49" s="3">
        <f t="shared" si="52"/>
        <v>1661.6289999999999</v>
      </c>
      <c r="W49" s="3">
        <f t="shared" si="52"/>
        <v>1507.759</v>
      </c>
      <c r="X49" s="3">
        <f t="shared" si="52"/>
        <v>1228.0179999999998</v>
      </c>
      <c r="Y49" s="3">
        <f>SUM(Y45:Y48)</f>
        <v>1537.2649999999999</v>
      </c>
      <c r="Z49" s="3">
        <f>SUM(Z45:Z48)</f>
        <v>1673.431</v>
      </c>
      <c r="AA49" s="3">
        <f>SUM(AA45:AA48)</f>
        <v>1374.1699999999998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</row>
    <row r="50" spans="2:76" x14ac:dyDescent="0.2">
      <c r="B50" s="2" t="s">
        <v>55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>
        <v>694.85500000000002</v>
      </c>
      <c r="U50" s="3">
        <v>665.29</v>
      </c>
      <c r="V50" s="3">
        <v>550.58699999999999</v>
      </c>
      <c r="W50" s="3">
        <v>508.33600000000001</v>
      </c>
      <c r="X50" s="3">
        <v>551.58500000000004</v>
      </c>
      <c r="Y50" s="3">
        <v>538.03300000000002</v>
      </c>
      <c r="Z50" s="3">
        <v>575.77300000000002</v>
      </c>
      <c r="AA50" s="3">
        <v>606.05999999999995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</row>
    <row r="51" spans="2:76" x14ac:dyDescent="0.2">
      <c r="B51" s="2" t="s">
        <v>86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>
        <v>0</v>
      </c>
      <c r="U51" s="3">
        <v>1230.954</v>
      </c>
      <c r="V51" s="3">
        <v>893.98900000000003</v>
      </c>
      <c r="W51" s="3">
        <v>698.23099999999999</v>
      </c>
      <c r="X51" s="3">
        <v>723.55</v>
      </c>
      <c r="Y51" s="3">
        <v>678.25599999999997</v>
      </c>
      <c r="Z51" s="3">
        <v>803.12099999999998</v>
      </c>
      <c r="AA51" s="3">
        <v>868.13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</row>
    <row r="52" spans="2:76" x14ac:dyDescent="0.2">
      <c r="B52" s="2" t="s">
        <v>56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>
        <v>354.78800000000001</v>
      </c>
      <c r="U52" s="3">
        <v>388.67200000000003</v>
      </c>
      <c r="V52" s="3">
        <v>208.697</v>
      </c>
      <c r="W52" s="3">
        <v>225.16499999999999</v>
      </c>
      <c r="X52" s="3">
        <v>209.947</v>
      </c>
      <c r="Y52" s="3">
        <v>220.679</v>
      </c>
      <c r="Z52" s="3">
        <v>247.56200000000001</v>
      </c>
      <c r="AA52" s="3">
        <v>247.816</v>
      </c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</row>
    <row r="53" spans="2:76" x14ac:dyDescent="0.2">
      <c r="B53" s="2" t="s">
        <v>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>
        <f t="shared" ref="T53:X53" si="53">SUM(T50:T52)</f>
        <v>1049.643</v>
      </c>
      <c r="U53" s="3">
        <f t="shared" si="53"/>
        <v>2284.9160000000002</v>
      </c>
      <c r="V53" s="3">
        <f t="shared" si="53"/>
        <v>1653.2730000000001</v>
      </c>
      <c r="W53" s="3">
        <f t="shared" si="53"/>
        <v>1431.732</v>
      </c>
      <c r="X53" s="3">
        <f t="shared" si="53"/>
        <v>1485.0819999999999</v>
      </c>
      <c r="Y53" s="3">
        <f>SUM(Y50:Y52)</f>
        <v>1436.9680000000001</v>
      </c>
      <c r="Z53" s="3">
        <f>SUM(Z50:Z52)</f>
        <v>1626.4560000000001</v>
      </c>
      <c r="AA53" s="3">
        <f>SUM(AA50:AA52)</f>
        <v>1722.0060000000001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</row>
    <row r="54" spans="2:76" x14ac:dyDescent="0.2">
      <c r="B54" s="1" t="s">
        <v>58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24">
        <f t="shared" ref="T54:AA54" si="54">T49+T53</f>
        <v>2385.5929999999998</v>
      </c>
      <c r="U54" s="24">
        <f t="shared" si="54"/>
        <v>3549.665</v>
      </c>
      <c r="V54" s="24">
        <f t="shared" si="54"/>
        <v>3314.902</v>
      </c>
      <c r="W54" s="24">
        <f t="shared" si="54"/>
        <v>2939.491</v>
      </c>
      <c r="X54" s="24">
        <f t="shared" si="54"/>
        <v>2713.0999999999995</v>
      </c>
      <c r="Y54" s="24">
        <f t="shared" si="54"/>
        <v>2974.2330000000002</v>
      </c>
      <c r="Z54" s="24">
        <f t="shared" si="54"/>
        <v>3299.8870000000002</v>
      </c>
      <c r="AA54" s="24">
        <f t="shared" si="54"/>
        <v>3096.1759999999999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</row>
    <row r="55" spans="2:76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</row>
    <row r="56" spans="2:76" x14ac:dyDescent="0.2">
      <c r="B56" s="2" t="s">
        <v>59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226.87799999999999</v>
      </c>
      <c r="U56" s="3">
        <v>219.91900000000001</v>
      </c>
      <c r="V56" s="3">
        <v>289.39600000000002</v>
      </c>
      <c r="W56" s="3">
        <v>374.82900000000001</v>
      </c>
      <c r="X56" s="3">
        <v>258.89499999999998</v>
      </c>
      <c r="Y56" s="3">
        <v>296.976</v>
      </c>
      <c r="Z56" s="3">
        <v>364.53199999999998</v>
      </c>
      <c r="AA56" s="3">
        <v>296.738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</row>
    <row r="57" spans="2:76" x14ac:dyDescent="0.2">
      <c r="B57" s="2" t="s">
        <v>60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293.57900000000001</v>
      </c>
      <c r="U57" s="3">
        <v>302.214</v>
      </c>
      <c r="V57" s="3">
        <v>396.36500000000001</v>
      </c>
      <c r="W57" s="3">
        <v>395.815</v>
      </c>
      <c r="X57" s="3">
        <v>413.303</v>
      </c>
      <c r="Y57" s="3">
        <v>436.65499999999997</v>
      </c>
      <c r="Z57" s="3">
        <v>504.92200000000003</v>
      </c>
      <c r="AA57" s="3">
        <v>433.68200000000002</v>
      </c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</row>
    <row r="58" spans="2:76" x14ac:dyDescent="0.2">
      <c r="B58" s="2" t="s">
        <v>61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</v>
      </c>
      <c r="U58" s="3">
        <v>282.82900000000001</v>
      </c>
      <c r="V58" s="3">
        <v>248.846</v>
      </c>
      <c r="W58" s="3">
        <v>222.82300000000001</v>
      </c>
      <c r="X58" s="3">
        <v>213.97900000000001</v>
      </c>
      <c r="Y58" s="3">
        <v>179.625</v>
      </c>
      <c r="Z58" s="3">
        <v>211.6</v>
      </c>
      <c r="AA58" s="3">
        <v>215.511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</row>
    <row r="59" spans="2:76" x14ac:dyDescent="0.2">
      <c r="B59" s="2" t="s">
        <v>62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18.902000000000001</v>
      </c>
      <c r="U59" s="3">
        <v>10.391999999999999</v>
      </c>
      <c r="V59" s="3">
        <v>24.792000000000002</v>
      </c>
      <c r="W59" s="3">
        <v>21.773</v>
      </c>
      <c r="X59" s="3">
        <v>16.023</v>
      </c>
      <c r="Y59" s="3">
        <v>53.564</v>
      </c>
      <c r="Z59" s="3">
        <v>45.89</v>
      </c>
      <c r="AA59" s="3">
        <v>52.939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</row>
    <row r="60" spans="2:76" x14ac:dyDescent="0.2">
      <c r="B60" s="2" t="s">
        <v>302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19.558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</row>
    <row r="61" spans="2:76" x14ac:dyDescent="0.2">
      <c r="B61" s="2" t="s">
        <v>63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f t="shared" ref="T61:X61" si="55">SUM(T56:T60)</f>
        <v>558.91700000000003</v>
      </c>
      <c r="U61" s="3">
        <f t="shared" si="55"/>
        <v>815.35400000000004</v>
      </c>
      <c r="V61" s="3">
        <f t="shared" si="55"/>
        <v>959.399</v>
      </c>
      <c r="W61" s="3">
        <f t="shared" si="55"/>
        <v>1015.24</v>
      </c>
      <c r="X61" s="3">
        <f t="shared" si="55"/>
        <v>902.2</v>
      </c>
      <c r="Y61" s="3">
        <f>SUM(Y56:Y60)</f>
        <v>966.81999999999994</v>
      </c>
      <c r="Z61" s="3">
        <f>SUM(Z56:Z60)</f>
        <v>1126.944</v>
      </c>
      <c r="AA61" s="3">
        <f>SUM(AA56:AA60)</f>
        <v>998.87</v>
      </c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</row>
    <row r="62" spans="2:76" x14ac:dyDescent="0.2">
      <c r="B62" s="2" t="s">
        <v>64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</v>
      </c>
      <c r="U62" s="3">
        <v>1252.634</v>
      </c>
      <c r="V62" s="3">
        <v>957.58799999999997</v>
      </c>
      <c r="W62" s="3">
        <v>697.26400000000001</v>
      </c>
      <c r="X62" s="3">
        <v>713.36099999999999</v>
      </c>
      <c r="Y62" s="3">
        <v>646.62400000000002</v>
      </c>
      <c r="Z62" s="3">
        <v>740.01300000000003</v>
      </c>
      <c r="AA62" s="3">
        <v>810.39099999999996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</row>
    <row r="63" spans="2:76" x14ac:dyDescent="0.2">
      <c r="B63" s="2" t="s">
        <v>65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250.43899999999999</v>
      </c>
      <c r="U63" s="3">
        <v>231.96299999999999</v>
      </c>
      <c r="V63" s="3">
        <v>343.91</v>
      </c>
      <c r="W63" s="3">
        <v>303.57400000000001</v>
      </c>
      <c r="X63" s="3">
        <v>296.85199999999998</v>
      </c>
      <c r="Y63" s="3">
        <v>222.119</v>
      </c>
      <c r="Z63" s="3">
        <v>0</v>
      </c>
      <c r="AA63" s="3">
        <v>0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</row>
    <row r="64" spans="2:76" x14ac:dyDescent="0.2">
      <c r="B64" s="2" t="s">
        <v>66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f>76.134+46.337+235.145</f>
        <v>357.61599999999999</v>
      </c>
      <c r="U64" s="3">
        <v>178.536</v>
      </c>
      <c r="V64" s="3">
        <v>104.693</v>
      </c>
      <c r="W64" s="3">
        <v>86.088999999999999</v>
      </c>
      <c r="X64" s="3">
        <v>94.117999999999995</v>
      </c>
      <c r="Y64" s="3">
        <v>88.864000000000004</v>
      </c>
      <c r="Z64" s="3">
        <v>81.606999999999999</v>
      </c>
      <c r="AA64" s="3">
        <v>84.320999999999998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</row>
    <row r="65" spans="1:76" x14ac:dyDescent="0.2">
      <c r="B65" s="2" t="s">
        <v>67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f t="shared" ref="T65:X65" si="56">SUM(T62:T64)</f>
        <v>608.05499999999995</v>
      </c>
      <c r="U65" s="3">
        <f t="shared" si="56"/>
        <v>1663.133</v>
      </c>
      <c r="V65" s="3">
        <f t="shared" si="56"/>
        <v>1406.191</v>
      </c>
      <c r="W65" s="3">
        <f t="shared" si="56"/>
        <v>1086.9269999999999</v>
      </c>
      <c r="X65" s="3">
        <f t="shared" si="56"/>
        <v>1104.3309999999999</v>
      </c>
      <c r="Y65" s="3">
        <f>SUM(Y62:Y64)</f>
        <v>957.60700000000008</v>
      </c>
      <c r="Z65" s="3">
        <f>SUM(Z62:Z64)</f>
        <v>821.62</v>
      </c>
      <c r="AA65" s="3">
        <f>SUM(AA62:AA64)</f>
        <v>894.71199999999999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</row>
    <row r="66" spans="1:76" x14ac:dyDescent="0.2">
      <c r="B66" s="2" t="s">
        <v>68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f t="shared" ref="T66:AA66" si="57">T61+T65</f>
        <v>1166.972</v>
      </c>
      <c r="U66" s="3">
        <f t="shared" si="57"/>
        <v>2478.4870000000001</v>
      </c>
      <c r="V66" s="3">
        <f t="shared" si="57"/>
        <v>2365.59</v>
      </c>
      <c r="W66" s="3">
        <f t="shared" si="57"/>
        <v>2102.1669999999999</v>
      </c>
      <c r="X66" s="3">
        <f t="shared" si="57"/>
        <v>2006.5309999999999</v>
      </c>
      <c r="Y66" s="3">
        <f t="shared" si="57"/>
        <v>1924.4270000000001</v>
      </c>
      <c r="Z66" s="3">
        <f t="shared" si="57"/>
        <v>1948.5639999999999</v>
      </c>
      <c r="AA66" s="3">
        <f t="shared" si="57"/>
        <v>1893.5819999999999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</row>
    <row r="67" spans="1:76" x14ac:dyDescent="0.2">
      <c r="B67" s="2" t="s">
        <v>69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1218.6209999999999</v>
      </c>
      <c r="U67" s="3">
        <v>1071.1779999999999</v>
      </c>
      <c r="V67" s="3">
        <v>949.31200000000013</v>
      </c>
      <c r="W67" s="3">
        <v>837.32399999999973</v>
      </c>
      <c r="X67" s="3">
        <v>706.56900000000007</v>
      </c>
      <c r="Y67" s="3">
        <v>1049.9869999999999</v>
      </c>
      <c r="Z67" s="3">
        <v>1351.3230000000001</v>
      </c>
      <c r="AA67" s="3">
        <v>1202.5940000000001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</row>
    <row r="68" spans="1:76" x14ac:dyDescent="0.2">
      <c r="B68" s="1" t="s">
        <v>70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4">
        <f t="shared" ref="T68:AA68" si="58">T67+T66</f>
        <v>2385.5929999999998</v>
      </c>
      <c r="U68" s="24">
        <f t="shared" si="58"/>
        <v>3549.665</v>
      </c>
      <c r="V68" s="24">
        <f t="shared" si="58"/>
        <v>3314.902</v>
      </c>
      <c r="W68" s="24">
        <f t="shared" si="58"/>
        <v>2939.4909999999995</v>
      </c>
      <c r="X68" s="24">
        <f t="shared" si="58"/>
        <v>2713.1</v>
      </c>
      <c r="Y68" s="24">
        <f t="shared" si="58"/>
        <v>2974.4139999999998</v>
      </c>
      <c r="Z68" s="24">
        <f t="shared" si="58"/>
        <v>3299.8869999999997</v>
      </c>
      <c r="AA68" s="24">
        <f t="shared" si="58"/>
        <v>3096.1759999999999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</row>
    <row r="69" spans="1:76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</row>
    <row r="70" spans="1:76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</row>
    <row r="71" spans="1:76" x14ac:dyDescent="0.2">
      <c r="A71" s="23" t="s">
        <v>9</v>
      </c>
      <c r="B71" s="1" t="s">
        <v>71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</row>
    <row r="72" spans="1:76" x14ac:dyDescent="0.2">
      <c r="B72" s="2" t="s">
        <v>72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f t="shared" ref="T72:Y72" si="59">T28</f>
        <v>78.80800000000022</v>
      </c>
      <c r="U72" s="3">
        <f t="shared" si="59"/>
        <v>44.960000000000633</v>
      </c>
      <c r="V72" s="3">
        <f t="shared" si="59"/>
        <v>-108.95400000000021</v>
      </c>
      <c r="W72" s="3">
        <f t="shared" si="59"/>
        <v>270.06599999999986</v>
      </c>
      <c r="X72" s="3">
        <f t="shared" si="59"/>
        <v>10.385000000000616</v>
      </c>
      <c r="Y72" s="3">
        <f t="shared" si="59"/>
        <v>335.41299999999933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</row>
    <row r="73" spans="1:76" x14ac:dyDescent="0.2">
      <c r="B73" s="2" t="s">
        <v>73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178.03</v>
      </c>
      <c r="U73" s="3">
        <v>173.625</v>
      </c>
      <c r="V73" s="3">
        <v>166.28100000000001</v>
      </c>
      <c r="W73" s="3">
        <v>144.035</v>
      </c>
      <c r="X73" s="3">
        <v>132.24299999999999</v>
      </c>
      <c r="Y73" s="3">
        <v>141.10400000000001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</row>
    <row r="74" spans="1:76" x14ac:dyDescent="0.2">
      <c r="B74" s="2" t="s">
        <v>74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11.58</v>
      </c>
      <c r="U74" s="3">
        <v>22.364000000000001</v>
      </c>
      <c r="V74" s="3">
        <v>72.936999999999998</v>
      </c>
      <c r="W74" s="3">
        <v>12.1</v>
      </c>
      <c r="X74" s="3">
        <v>14.031000000000001</v>
      </c>
      <c r="Y74" s="3">
        <v>8.2889999999999997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</row>
    <row r="75" spans="1:76" x14ac:dyDescent="0.2">
      <c r="B75" s="2" t="s">
        <v>75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6.02</v>
      </c>
      <c r="U75" s="3">
        <v>6.298</v>
      </c>
      <c r="V75" s="3">
        <v>16.353000000000002</v>
      </c>
      <c r="W75" s="3">
        <v>5.0199999999999996</v>
      </c>
      <c r="X75" s="3">
        <v>0.55200000000000005</v>
      </c>
      <c r="Y75" s="3">
        <v>6.4080000000000004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</row>
    <row r="76" spans="1:76" x14ac:dyDescent="0.2">
      <c r="B76" s="2" t="s">
        <v>76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5.9640000000000004</v>
      </c>
      <c r="U76" s="3">
        <v>9.15</v>
      </c>
      <c r="V76" s="3">
        <v>23.986000000000001</v>
      </c>
      <c r="W76" s="3">
        <v>-31.922000000000001</v>
      </c>
      <c r="X76" s="3">
        <v>11.5</v>
      </c>
      <c r="Y76" s="3">
        <v>-4.7430000000000003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</row>
    <row r="77" spans="1:76" x14ac:dyDescent="0.2">
      <c r="B77" s="2" t="s">
        <v>78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21.754999999999999</v>
      </c>
      <c r="U77" s="3">
        <v>14.007</v>
      </c>
      <c r="V77" s="3">
        <v>18.681999999999999</v>
      </c>
      <c r="W77" s="3">
        <v>29.303999999999998</v>
      </c>
      <c r="X77" s="3">
        <v>28.995000000000001</v>
      </c>
      <c r="Y77" s="3">
        <v>40.122</v>
      </c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</row>
    <row r="78" spans="1:76" x14ac:dyDescent="0.2">
      <c r="B78" s="2" t="s">
        <v>79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>
        <v>0</v>
      </c>
      <c r="U78" s="3">
        <v>0</v>
      </c>
      <c r="V78" s="3">
        <v>0</v>
      </c>
      <c r="W78" s="3">
        <v>5.3470000000000004</v>
      </c>
      <c r="X78" s="3">
        <v>-5.1999999999999998E-2</v>
      </c>
      <c r="Y78" s="3">
        <v>1.9750000000000001</v>
      </c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</row>
    <row r="79" spans="1:76" x14ac:dyDescent="0.2">
      <c r="B79" s="2" t="s">
        <v>110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>
        <v>-21.32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</row>
    <row r="80" spans="1:76" x14ac:dyDescent="0.2">
      <c r="B80" s="28" t="s">
        <v>80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</row>
    <row r="81" spans="2:76" x14ac:dyDescent="0.2">
      <c r="B81" s="2" t="s">
        <v>82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-23.82</v>
      </c>
      <c r="U81" s="3">
        <v>2.27</v>
      </c>
      <c r="V81" s="3">
        <v>33.311999999999998</v>
      </c>
      <c r="W81" s="3">
        <v>-123.221</v>
      </c>
      <c r="X81" s="3">
        <v>18.504999999999999</v>
      </c>
      <c r="Y81" s="3">
        <v>35.042999999999999</v>
      </c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</row>
    <row r="82" spans="2:76" x14ac:dyDescent="0.2">
      <c r="B82" s="2" t="s">
        <v>84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>
        <v>63.155000000000001</v>
      </c>
      <c r="U82" s="3">
        <v>10.821</v>
      </c>
      <c r="V82" s="3">
        <v>186.74700000000001</v>
      </c>
      <c r="W82" s="3">
        <v>77.91</v>
      </c>
      <c r="X82" s="3">
        <v>-115.152</v>
      </c>
      <c r="Y82" s="3">
        <v>82.924999999999997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</row>
    <row r="83" spans="2:76" x14ac:dyDescent="0.2">
      <c r="B83" s="2" t="s">
        <v>83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0</v>
      </c>
      <c r="U83" s="3">
        <v>46.442</v>
      </c>
      <c r="V83" s="3">
        <v>-55.7</v>
      </c>
      <c r="W83" s="3">
        <v>-93.826999999999998</v>
      </c>
      <c r="X83" s="3">
        <v>-18.495000000000001</v>
      </c>
      <c r="Y83" s="3">
        <v>-55.646000000000001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</row>
    <row r="84" spans="2:76" x14ac:dyDescent="0.2">
      <c r="B84" s="2" t="s">
        <v>85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>
        <v>5.4089999999999998</v>
      </c>
      <c r="U84" s="3">
        <v>-5.4729999999999999</v>
      </c>
      <c r="V84" s="3">
        <v>10.753</v>
      </c>
      <c r="W84" s="3">
        <v>-3.0859999999999999</v>
      </c>
      <c r="X84" s="3">
        <v>-7.39</v>
      </c>
      <c r="Y84" s="3">
        <v>35.805999999999997</v>
      </c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</row>
    <row r="85" spans="2:76" x14ac:dyDescent="0.2">
      <c r="B85" s="2" t="s">
        <v>56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>
        <v>33.302</v>
      </c>
      <c r="U85" s="3">
        <v>-20.172999999999998</v>
      </c>
      <c r="V85" s="3">
        <v>38.631999999999998</v>
      </c>
      <c r="W85" s="3">
        <v>0.39600000000000002</v>
      </c>
      <c r="X85" s="3">
        <v>-86.923000000000002</v>
      </c>
      <c r="Y85" s="3">
        <v>33.622999999999998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</row>
    <row r="86" spans="2:76" x14ac:dyDescent="0.2">
      <c r="B86" s="2" t="s">
        <v>66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>
        <v>-5.9320000000000004</v>
      </c>
      <c r="U86" s="3">
        <v>-3.6419999999999999</v>
      </c>
      <c r="V86" s="3">
        <v>1.889</v>
      </c>
      <c r="W86" s="3">
        <v>-14.34</v>
      </c>
      <c r="X86" s="3">
        <v>9.4580000000000002</v>
      </c>
      <c r="Y86" s="3">
        <v>-6.8970000000000002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</row>
    <row r="87" spans="2:76" x14ac:dyDescent="0.2">
      <c r="B87" s="2" t="s">
        <v>81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>
        <f t="shared" ref="T87:X87" si="60">SUM(T81:T86)</f>
        <v>72.11399999999999</v>
      </c>
      <c r="U87" s="3">
        <f t="shared" si="60"/>
        <v>30.245000000000001</v>
      </c>
      <c r="V87" s="3">
        <f t="shared" si="60"/>
        <v>215.63300000000004</v>
      </c>
      <c r="W87" s="3">
        <f t="shared" si="60"/>
        <v>-156.16800000000003</v>
      </c>
      <c r="X87" s="3">
        <f t="shared" si="60"/>
        <v>-199.99700000000001</v>
      </c>
      <c r="Y87" s="3">
        <f>SUM(Y81:Y86)</f>
        <v>124.85399999999997</v>
      </c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</row>
    <row r="88" spans="2:76" x14ac:dyDescent="0.2">
      <c r="B88" s="1" t="s">
        <v>77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4">
        <f>T72+SUM(T73:T79)+T87</f>
        <v>352.95100000000019</v>
      </c>
      <c r="U88" s="24">
        <f t="shared" ref="U88:Y88" si="61">U72+SUM(U73:U79)+U87</f>
        <v>300.64900000000068</v>
      </c>
      <c r="V88" s="24">
        <f t="shared" si="61"/>
        <v>404.91799999999989</v>
      </c>
      <c r="W88" s="24">
        <f t="shared" si="61"/>
        <v>277.78199999999981</v>
      </c>
      <c r="X88" s="24">
        <f t="shared" si="61"/>
        <v>-2.3429999999993925</v>
      </c>
      <c r="Y88" s="24">
        <f t="shared" si="61"/>
        <v>653.42199999999923</v>
      </c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</row>
    <row r="89" spans="2:76" x14ac:dyDescent="0.2">
      <c r="B89" s="2" t="s">
        <v>87</v>
      </c>
      <c r="T89" s="3">
        <v>-152.393</v>
      </c>
      <c r="U89" s="3">
        <v>-202.78399999999999</v>
      </c>
      <c r="V89" s="3">
        <v>-101.91</v>
      </c>
      <c r="W89" s="3">
        <v>-96.975999999999999</v>
      </c>
      <c r="X89" s="3">
        <v>-164.566</v>
      </c>
      <c r="Y89" s="3">
        <v>-157.797</v>
      </c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</row>
    <row r="90" spans="2:76" x14ac:dyDescent="0.2">
      <c r="B90" s="2" t="s">
        <v>88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>
        <v>0</v>
      </c>
      <c r="U90" s="3">
        <v>0</v>
      </c>
      <c r="V90" s="3">
        <v>0</v>
      </c>
      <c r="W90" s="3">
        <v>0</v>
      </c>
      <c r="X90" s="3">
        <v>11.891</v>
      </c>
      <c r="Y90" s="3">
        <v>0.61499999999999999</v>
      </c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</row>
    <row r="91" spans="2:76" x14ac:dyDescent="0.2">
      <c r="B91" s="2" t="s">
        <v>89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>
        <v>0</v>
      </c>
      <c r="U91" s="3">
        <v>0</v>
      </c>
      <c r="V91" s="3">
        <v>50</v>
      </c>
      <c r="W91" s="3">
        <v>0</v>
      </c>
      <c r="X91" s="3">
        <v>12</v>
      </c>
      <c r="Y91" s="3">
        <v>0</v>
      </c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</row>
    <row r="92" spans="2:76" x14ac:dyDescent="0.2">
      <c r="B92" s="1" t="s">
        <v>90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4">
        <f t="shared" ref="T92:X92" si="62">SUM(T89:T91)</f>
        <v>-152.393</v>
      </c>
      <c r="U92" s="24">
        <f t="shared" si="62"/>
        <v>-202.78399999999999</v>
      </c>
      <c r="V92" s="24">
        <f t="shared" si="62"/>
        <v>-51.91</v>
      </c>
      <c r="W92" s="24">
        <f t="shared" si="62"/>
        <v>-96.975999999999999</v>
      </c>
      <c r="X92" s="24">
        <f t="shared" si="62"/>
        <v>-140.67500000000001</v>
      </c>
      <c r="Y92" s="24">
        <f>SUM(Y89:Y91)</f>
        <v>-157.18199999999999</v>
      </c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</row>
    <row r="93" spans="2:76" x14ac:dyDescent="0.2">
      <c r="B93" s="2" t="s">
        <v>111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0</v>
      </c>
      <c r="U93" s="3">
        <v>0</v>
      </c>
      <c r="V93" s="3">
        <f>350+210</f>
        <v>560</v>
      </c>
      <c r="W93" s="3">
        <v>0</v>
      </c>
      <c r="X93" s="3">
        <v>0</v>
      </c>
      <c r="Y93" s="3">
        <v>0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</row>
    <row r="94" spans="2:76" x14ac:dyDescent="0.2">
      <c r="B94" s="2" t="s">
        <v>91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0</v>
      </c>
      <c r="U94" s="3">
        <v>-20</v>
      </c>
      <c r="V94" s="3">
        <f>-233.25-210</f>
        <v>-443.25</v>
      </c>
      <c r="W94" s="3">
        <v>-46.969000000000001</v>
      </c>
      <c r="X94" s="3">
        <v>-7.8620000000000001</v>
      </c>
      <c r="Y94" s="3">
        <v>-77.971999999999994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</row>
    <row r="95" spans="2:76" x14ac:dyDescent="0.2">
      <c r="B95" s="2" t="s">
        <v>113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0</v>
      </c>
      <c r="U95" s="3">
        <v>0</v>
      </c>
      <c r="V95" s="3">
        <v>-7.3179999999999996</v>
      </c>
      <c r="W95" s="3">
        <v>-2.016</v>
      </c>
      <c r="X95" s="3">
        <v>-0.18099999999999999</v>
      </c>
      <c r="Y95" s="3">
        <v>-0.18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</row>
    <row r="96" spans="2:76" x14ac:dyDescent="0.2">
      <c r="B96" s="2" t="s">
        <v>112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>
        <v>-53.713999999999999</v>
      </c>
      <c r="U96" s="3">
        <v>-51.51</v>
      </c>
      <c r="V96" s="3">
        <v>-12.555999999999999</v>
      </c>
      <c r="W96" s="3">
        <v>0</v>
      </c>
      <c r="X96" s="3">
        <v>0</v>
      </c>
      <c r="Y96" s="3">
        <v>0</v>
      </c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</row>
    <row r="97" spans="2:76" x14ac:dyDescent="0.2">
      <c r="B97" s="2" t="s">
        <v>92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>
        <v>-68.67</v>
      </c>
      <c r="U97" s="3">
        <v>-63.542000000000002</v>
      </c>
      <c r="V97" s="3">
        <v>-15.172000000000001</v>
      </c>
      <c r="W97" s="3">
        <v>-377.29</v>
      </c>
      <c r="X97" s="3">
        <v>-125.77500000000001</v>
      </c>
      <c r="Y97" s="3">
        <v>0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</row>
    <row r="98" spans="2:76" x14ac:dyDescent="0.2">
      <c r="B98" s="2" t="s">
        <v>93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-9.3070000000000004</v>
      </c>
      <c r="U98" s="3">
        <v>-12.821</v>
      </c>
      <c r="V98" s="3">
        <v>-11.987</v>
      </c>
      <c r="W98" s="3">
        <v>-20.623000000000001</v>
      </c>
      <c r="X98" s="3">
        <v>-21.510999999999999</v>
      </c>
      <c r="Y98" s="3">
        <v>-33.048999999999999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</row>
    <row r="99" spans="2:76" x14ac:dyDescent="0.2">
      <c r="B99" s="1" t="s">
        <v>94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4">
        <f t="shared" ref="T99:U99" si="63">SUM(T93:T98)</f>
        <v>-131.691</v>
      </c>
      <c r="U99" s="24">
        <f t="shared" si="63"/>
        <v>-147.87299999999999</v>
      </c>
      <c r="V99" s="24">
        <f>SUM(V93:V98)</f>
        <v>69.717000000000013</v>
      </c>
      <c r="W99" s="24">
        <f t="shared" ref="W99:Y99" si="64">SUM(W93:W98)</f>
        <v>-446.89800000000002</v>
      </c>
      <c r="X99" s="24">
        <f t="shared" si="64"/>
        <v>-155.32900000000001</v>
      </c>
      <c r="Y99" s="24">
        <f t="shared" si="64"/>
        <v>-111.20099999999999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</row>
    <row r="100" spans="2:76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</row>
    <row r="101" spans="2:76" x14ac:dyDescent="0.2">
      <c r="B101" s="2" t="s">
        <v>95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v>-20.975000000000001</v>
      </c>
      <c r="U101" s="3">
        <v>-3.593</v>
      </c>
      <c r="V101" s="3">
        <v>9.1679999999999993</v>
      </c>
      <c r="W101" s="3">
        <v>-23.693999999999999</v>
      </c>
      <c r="X101" s="3">
        <v>-8.452</v>
      </c>
      <c r="Y101" s="3">
        <v>-2.923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</row>
    <row r="102" spans="2:76" x14ac:dyDescent="0.2">
      <c r="B102" s="1" t="s">
        <v>96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4">
        <f t="shared" ref="T102:X102" si="65">T88+T92+T99+T101</f>
        <v>47.892000000000188</v>
      </c>
      <c r="U102" s="24">
        <f t="shared" si="65"/>
        <v>-53.600999999999303</v>
      </c>
      <c r="V102" s="24">
        <f t="shared" si="65"/>
        <v>431.89299999999992</v>
      </c>
      <c r="W102" s="24">
        <f t="shared" si="65"/>
        <v>-289.78600000000023</v>
      </c>
      <c r="X102" s="24">
        <f t="shared" si="65"/>
        <v>-306.79899999999941</v>
      </c>
      <c r="Y102" s="24">
        <f>Y88+Y92+Y99+Y101</f>
        <v>382.11599999999919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</row>
    <row r="103" spans="2:76" x14ac:dyDescent="0.2">
      <c r="B103" s="2" t="s">
        <v>97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>
        <f t="shared" ref="T103:Y103" si="66">T104-T102</f>
        <v>697.96999999999969</v>
      </c>
      <c r="U103" s="3">
        <f t="shared" si="66"/>
        <v>745.86199999999985</v>
      </c>
      <c r="V103" s="3">
        <f t="shared" si="66"/>
        <v>692.26100000000054</v>
      </c>
      <c r="W103" s="3">
        <f t="shared" si="66"/>
        <v>1124.1540000000005</v>
      </c>
      <c r="X103" s="3">
        <f t="shared" si="66"/>
        <v>834.36800000000017</v>
      </c>
      <c r="Y103" s="3">
        <f t="shared" si="66"/>
        <v>527.56900000000076</v>
      </c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</row>
    <row r="104" spans="2:76" x14ac:dyDescent="0.2">
      <c r="B104" s="2" t="s">
        <v>98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>
        <f>U103</f>
        <v>745.86199999999985</v>
      </c>
      <c r="U104" s="3">
        <f>V103</f>
        <v>692.26100000000054</v>
      </c>
      <c r="V104" s="3">
        <f>W103</f>
        <v>1124.1540000000005</v>
      </c>
      <c r="W104" s="3">
        <f>X103</f>
        <v>834.36800000000017</v>
      </c>
      <c r="X104" s="3">
        <f>Y103</f>
        <v>527.56900000000076</v>
      </c>
      <c r="Y104" s="3">
        <v>909.68499999999995</v>
      </c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</row>
    <row r="105" spans="2:76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</row>
    <row r="106" spans="2:76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</row>
    <row r="107" spans="2:76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</row>
    <row r="108" spans="2:76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</row>
    <row r="109" spans="2:76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</row>
    <row r="110" spans="2:76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</row>
    <row r="111" spans="2:76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</row>
    <row r="112" spans="2:76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</row>
    <row r="113" spans="3:76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</row>
    <row r="114" spans="3:76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</row>
    <row r="115" spans="3:76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</row>
    <row r="116" spans="3:76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</row>
    <row r="117" spans="3:76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</row>
    <row r="118" spans="3:76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</row>
    <row r="119" spans="3:76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</row>
    <row r="120" spans="3:76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</row>
    <row r="121" spans="3:76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</row>
    <row r="122" spans="3:76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</row>
    <row r="123" spans="3:76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</row>
    <row r="124" spans="3:76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</row>
    <row r="125" spans="3:76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</row>
    <row r="126" spans="3:76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</row>
    <row r="127" spans="3:76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</row>
    <row r="128" spans="3:76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</row>
    <row r="129" spans="3:76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</row>
    <row r="130" spans="3:76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</row>
    <row r="131" spans="3:76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</row>
    <row r="132" spans="3:76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</row>
    <row r="133" spans="3:76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</row>
    <row r="134" spans="3:76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</row>
    <row r="135" spans="3:76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</row>
    <row r="136" spans="3:76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</row>
    <row r="137" spans="3:76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</row>
    <row r="138" spans="3:76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</row>
    <row r="139" spans="3:76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</row>
    <row r="140" spans="3:76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</row>
    <row r="141" spans="3:76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</row>
    <row r="142" spans="3:76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</row>
    <row r="143" spans="3:76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</row>
    <row r="144" spans="3:76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</row>
    <row r="145" spans="3:76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</row>
    <row r="146" spans="3:76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</row>
    <row r="147" spans="3:76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</row>
    <row r="148" spans="3:76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</row>
    <row r="149" spans="3:76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</row>
    <row r="150" spans="3:76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</row>
    <row r="151" spans="3:76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</row>
    <row r="152" spans="3:76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</row>
    <row r="153" spans="3:76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</row>
    <row r="154" spans="3:76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</row>
    <row r="155" spans="3:76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</row>
    <row r="156" spans="3:76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</row>
    <row r="157" spans="3:76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</row>
    <row r="158" spans="3:76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</row>
    <row r="159" spans="3:76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</row>
    <row r="160" spans="3:76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</row>
    <row r="161" spans="3:76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</row>
    <row r="162" spans="3:76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</row>
    <row r="163" spans="3:76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</row>
    <row r="164" spans="3:76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</row>
    <row r="165" spans="3:76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</row>
    <row r="166" spans="3:76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</row>
    <row r="167" spans="3:76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</row>
    <row r="168" spans="3:76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</row>
    <row r="169" spans="3:76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</row>
    <row r="170" spans="3:76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</row>
    <row r="171" spans="3:76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</row>
    <row r="172" spans="3:76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</row>
    <row r="173" spans="3:76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</row>
    <row r="174" spans="3:76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</row>
    <row r="175" spans="3:76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</row>
    <row r="176" spans="3:76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</row>
    <row r="177" spans="3:76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</row>
    <row r="178" spans="3:76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</row>
    <row r="179" spans="3:76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</row>
    <row r="180" spans="3:76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</row>
    <row r="181" spans="3:76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</row>
    <row r="182" spans="3:76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</row>
    <row r="183" spans="3:76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</row>
    <row r="184" spans="3:76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</row>
    <row r="185" spans="3:76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</row>
    <row r="186" spans="3:76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</row>
    <row r="187" spans="3:76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</row>
    <row r="188" spans="3:76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</row>
    <row r="189" spans="3:76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</row>
    <row r="190" spans="3:76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</row>
    <row r="191" spans="3:76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</row>
    <row r="192" spans="3:76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</row>
    <row r="193" spans="3:76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</row>
    <row r="194" spans="3:76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</row>
    <row r="195" spans="3:76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</row>
    <row r="196" spans="3:76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</row>
    <row r="197" spans="3:76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</row>
    <row r="198" spans="3:76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</row>
    <row r="199" spans="3:76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</row>
    <row r="200" spans="3:76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</row>
    <row r="201" spans="3:76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</row>
    <row r="202" spans="3:76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</row>
    <row r="203" spans="3:76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</row>
    <row r="204" spans="3:76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</row>
    <row r="205" spans="3:76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</row>
    <row r="206" spans="3:76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</row>
    <row r="207" spans="3:76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</row>
    <row r="208" spans="3:76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</row>
    <row r="209" spans="3:76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</row>
    <row r="210" spans="3:76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</row>
    <row r="211" spans="3:76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</row>
    <row r="212" spans="3:76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</row>
    <row r="213" spans="3:76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</row>
    <row r="214" spans="3:76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</row>
    <row r="215" spans="3:76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</row>
    <row r="216" spans="3:76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</row>
    <row r="217" spans="3:76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</row>
    <row r="218" spans="3:76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</row>
    <row r="219" spans="3:76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</row>
    <row r="220" spans="3:76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</row>
    <row r="221" spans="3:76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</row>
    <row r="222" spans="3:76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</row>
    <row r="223" spans="3:76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</row>
    <row r="224" spans="3:76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</row>
    <row r="225" spans="3:76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</row>
    <row r="226" spans="3:76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</row>
    <row r="227" spans="3:76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</row>
    <row r="228" spans="3:76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</row>
    <row r="229" spans="3:76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</row>
    <row r="230" spans="3:76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</row>
    <row r="231" spans="3:76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</row>
    <row r="232" spans="3:76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</row>
    <row r="233" spans="3:76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</row>
    <row r="234" spans="3:76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</row>
    <row r="235" spans="3:76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</row>
    <row r="236" spans="3:76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3:76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3:76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3:76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3:76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3:26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3:26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3:26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3:26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3:26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3:26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3:26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3:26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</sheetData>
  <hyperlinks>
    <hyperlink ref="A1" location="Main!A1" display="Main" xr:uid="{EE8A99BA-43CC-400F-A000-523208B38875}"/>
  </hyperlink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02CC-3DC0-41E7-8650-22FFB9C20B34}">
  <dimension ref="A1:M58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4" sqref="B4"/>
    </sheetView>
  </sheetViews>
  <sheetFormatPr defaultRowHeight="12.75" x14ac:dyDescent="0.2"/>
  <cols>
    <col min="1" max="1" width="4.7109375" style="2" bestFit="1" customWidth="1"/>
    <col min="2" max="2" width="33.140625" style="2" bestFit="1" customWidth="1"/>
    <col min="3" max="16384" width="9.140625" style="2"/>
  </cols>
  <sheetData>
    <row r="1" spans="1:13" x14ac:dyDescent="0.2">
      <c r="A1" s="6" t="s">
        <v>8</v>
      </c>
    </row>
    <row r="2" spans="1:13" x14ac:dyDescent="0.2">
      <c r="B2" s="29" t="s">
        <v>180</v>
      </c>
      <c r="C2" s="29"/>
      <c r="D2" s="30">
        <v>18</v>
      </c>
      <c r="E2" s="30">
        <f>+D2+1</f>
        <v>19</v>
      </c>
      <c r="F2" s="30">
        <f t="shared" ref="F2:K2" si="0">+E2+1</f>
        <v>20</v>
      </c>
      <c r="G2" s="30">
        <f t="shared" si="0"/>
        <v>21</v>
      </c>
      <c r="H2" s="30">
        <f t="shared" si="0"/>
        <v>22</v>
      </c>
      <c r="I2" s="30">
        <f t="shared" si="0"/>
        <v>23</v>
      </c>
      <c r="J2" s="30">
        <f t="shared" si="0"/>
        <v>24</v>
      </c>
      <c r="K2" s="30">
        <f t="shared" si="0"/>
        <v>25</v>
      </c>
      <c r="L2" s="31"/>
    </row>
    <row r="3" spans="1:13" x14ac:dyDescent="0.2">
      <c r="B3" s="2" t="s">
        <v>2</v>
      </c>
      <c r="D3" s="32"/>
      <c r="E3" s="32"/>
      <c r="F3" s="32"/>
      <c r="G3" s="32"/>
      <c r="H3" s="32"/>
      <c r="I3" s="32"/>
      <c r="J3" s="32"/>
      <c r="K3" s="32"/>
      <c r="L3" s="32"/>
    </row>
    <row r="4" spans="1:13" x14ac:dyDescent="0.2">
      <c r="B4" s="2" t="s">
        <v>181</v>
      </c>
      <c r="D4" s="32"/>
      <c r="E4" s="32"/>
      <c r="F4" s="32"/>
      <c r="G4" s="32"/>
      <c r="H4" s="32"/>
      <c r="I4" s="32"/>
      <c r="J4" s="32"/>
      <c r="K4" s="32"/>
      <c r="L4" s="32"/>
    </row>
    <row r="5" spans="1:13" x14ac:dyDescent="0.2">
      <c r="B5" s="2" t="s">
        <v>182</v>
      </c>
      <c r="D5" s="32"/>
      <c r="E5" s="32"/>
      <c r="F5" s="32"/>
      <c r="G5" s="32"/>
      <c r="H5" s="32"/>
      <c r="I5" s="32"/>
      <c r="J5" s="32"/>
      <c r="K5" s="32"/>
      <c r="L5" s="32"/>
    </row>
    <row r="6" spans="1:13" x14ac:dyDescent="0.2">
      <c r="B6" s="2" t="s">
        <v>106</v>
      </c>
      <c r="D6" s="32"/>
      <c r="E6" s="32"/>
      <c r="F6" s="32"/>
      <c r="G6" s="32"/>
      <c r="H6" s="32"/>
      <c r="I6" s="32"/>
      <c r="J6" s="32"/>
      <c r="K6" s="32"/>
      <c r="L6" s="32"/>
    </row>
    <row r="7" spans="1:13" x14ac:dyDescent="0.2">
      <c r="B7" s="2" t="s">
        <v>7</v>
      </c>
      <c r="D7" s="32"/>
      <c r="E7" s="32"/>
      <c r="F7" s="32"/>
      <c r="G7" s="32"/>
      <c r="H7" s="32"/>
      <c r="I7" s="32"/>
      <c r="J7" s="32"/>
      <c r="K7" s="32"/>
      <c r="L7" s="32"/>
    </row>
    <row r="8" spans="1:13" x14ac:dyDescent="0.2">
      <c r="D8" s="32"/>
      <c r="E8" s="32"/>
      <c r="F8" s="32"/>
      <c r="G8" s="32"/>
      <c r="H8" s="32"/>
      <c r="I8" s="32"/>
      <c r="J8" s="32"/>
      <c r="K8" s="32"/>
      <c r="L8" s="32"/>
    </row>
    <row r="9" spans="1:13" x14ac:dyDescent="0.2">
      <c r="B9" s="2" t="s">
        <v>183</v>
      </c>
      <c r="M9" s="33" t="s">
        <v>184</v>
      </c>
    </row>
    <row r="10" spans="1:13" x14ac:dyDescent="0.2">
      <c r="B10" s="2" t="s">
        <v>185</v>
      </c>
      <c r="M10" s="33" t="s">
        <v>186</v>
      </c>
    </row>
    <row r="11" spans="1:13" x14ac:dyDescent="0.2">
      <c r="B11" s="2" t="s">
        <v>187</v>
      </c>
      <c r="M11" s="33" t="s">
        <v>188</v>
      </c>
    </row>
    <row r="12" spans="1:13" x14ac:dyDescent="0.2">
      <c r="B12" s="2" t="s">
        <v>189</v>
      </c>
      <c r="M12" s="2" t="s">
        <v>190</v>
      </c>
    </row>
    <row r="13" spans="1:13" x14ac:dyDescent="0.2">
      <c r="B13" s="2" t="s">
        <v>191</v>
      </c>
      <c r="M13" s="33" t="s">
        <v>192</v>
      </c>
    </row>
    <row r="14" spans="1:13" x14ac:dyDescent="0.2">
      <c r="B14" s="2" t="s">
        <v>193</v>
      </c>
      <c r="M14" s="33" t="s">
        <v>194</v>
      </c>
    </row>
    <row r="15" spans="1:13" x14ac:dyDescent="0.2">
      <c r="B15" s="2" t="s">
        <v>195</v>
      </c>
      <c r="M15" s="33" t="s">
        <v>196</v>
      </c>
    </row>
    <row r="16" spans="1:13" x14ac:dyDescent="0.2">
      <c r="B16" s="2" t="s">
        <v>197</v>
      </c>
      <c r="M16" s="33" t="s">
        <v>198</v>
      </c>
    </row>
    <row r="18" spans="2:13" x14ac:dyDescent="0.2">
      <c r="B18" s="28" t="s">
        <v>199</v>
      </c>
    </row>
    <row r="19" spans="2:13" x14ac:dyDescent="0.2">
      <c r="B19" s="2" t="s">
        <v>200</v>
      </c>
      <c r="M19" s="33" t="s">
        <v>201</v>
      </c>
    </row>
    <row r="20" spans="2:13" x14ac:dyDescent="0.2">
      <c r="B20" s="2" t="s">
        <v>202</v>
      </c>
      <c r="M20" s="33" t="s">
        <v>203</v>
      </c>
    </row>
    <row r="21" spans="2:13" x14ac:dyDescent="0.2">
      <c r="B21" s="2" t="s">
        <v>204</v>
      </c>
      <c r="M21" s="33" t="s">
        <v>205</v>
      </c>
    </row>
    <row r="22" spans="2:13" x14ac:dyDescent="0.2">
      <c r="B22" s="2" t="s">
        <v>206</v>
      </c>
      <c r="M22" s="33" t="s">
        <v>207</v>
      </c>
    </row>
    <row r="23" spans="2:13" x14ac:dyDescent="0.2">
      <c r="B23" s="2" t="s">
        <v>208</v>
      </c>
      <c r="M23" s="33" t="s">
        <v>209</v>
      </c>
    </row>
    <row r="24" spans="2:13" x14ac:dyDescent="0.2">
      <c r="B24" s="2" t="s">
        <v>210</v>
      </c>
      <c r="M24" s="33" t="s">
        <v>211</v>
      </c>
    </row>
    <row r="26" spans="2:13" x14ac:dyDescent="0.2">
      <c r="B26" s="2" t="s">
        <v>102</v>
      </c>
      <c r="M26" s="33" t="s">
        <v>212</v>
      </c>
    </row>
    <row r="27" spans="2:13" x14ac:dyDescent="0.2">
      <c r="B27" s="2" t="s">
        <v>103</v>
      </c>
      <c r="M27" s="33" t="s">
        <v>213</v>
      </c>
    </row>
    <row r="28" spans="2:13" x14ac:dyDescent="0.2">
      <c r="B28" s="2" t="s">
        <v>214</v>
      </c>
      <c r="M28" s="33" t="s">
        <v>215</v>
      </c>
    </row>
    <row r="29" spans="2:13" x14ac:dyDescent="0.2">
      <c r="B29" s="2" t="s">
        <v>216</v>
      </c>
      <c r="M29" s="33" t="s">
        <v>217</v>
      </c>
    </row>
    <row r="31" spans="2:13" x14ac:dyDescent="0.2">
      <c r="B31" s="28" t="s">
        <v>218</v>
      </c>
    </row>
    <row r="32" spans="2:13" x14ac:dyDescent="0.2">
      <c r="B32" s="2" t="s">
        <v>219</v>
      </c>
      <c r="M32" s="33" t="s">
        <v>220</v>
      </c>
    </row>
    <row r="33" spans="2:13" x14ac:dyDescent="0.2">
      <c r="B33" s="2" t="s">
        <v>104</v>
      </c>
      <c r="M33" s="33" t="s">
        <v>221</v>
      </c>
    </row>
    <row r="34" spans="2:13" x14ac:dyDescent="0.2">
      <c r="B34" s="2" t="s">
        <v>222</v>
      </c>
      <c r="M34" s="33" t="s">
        <v>223</v>
      </c>
    </row>
    <row r="35" spans="2:13" x14ac:dyDescent="0.2">
      <c r="B35" s="2" t="s">
        <v>224</v>
      </c>
      <c r="C35" s="26"/>
      <c r="D35" s="26"/>
      <c r="E35" s="26"/>
      <c r="F35" s="26"/>
      <c r="G35" s="26"/>
      <c r="H35" s="26"/>
      <c r="J35" s="15"/>
      <c r="K35" s="15"/>
      <c r="M35" s="33" t="s">
        <v>225</v>
      </c>
    </row>
    <row r="36" spans="2:13" x14ac:dyDescent="0.2">
      <c r="B36" s="2" t="s">
        <v>226</v>
      </c>
      <c r="C36" s="4"/>
      <c r="D36" s="4"/>
      <c r="E36" s="34"/>
      <c r="F36" s="4"/>
      <c r="G36" s="4"/>
      <c r="H36" s="4"/>
      <c r="J36" s="15"/>
      <c r="K36" s="15"/>
      <c r="M36" s="33" t="s">
        <v>227</v>
      </c>
    </row>
    <row r="38" spans="2:13" x14ac:dyDescent="0.2">
      <c r="B38" s="28" t="s">
        <v>228</v>
      </c>
    </row>
    <row r="39" spans="2:13" x14ac:dyDescent="0.2">
      <c r="B39" s="2" t="s">
        <v>229</v>
      </c>
      <c r="C39" s="35"/>
      <c r="D39" s="35"/>
      <c r="E39" s="35"/>
      <c r="F39" s="35"/>
      <c r="G39" s="35"/>
      <c r="H39" s="35"/>
      <c r="J39" s="35"/>
      <c r="K39" s="35"/>
      <c r="M39" s="33" t="s">
        <v>230</v>
      </c>
    </row>
    <row r="40" spans="2:13" x14ac:dyDescent="0.2">
      <c r="B40" s="2" t="s">
        <v>231</v>
      </c>
      <c r="C40" s="35"/>
      <c r="D40" s="35"/>
      <c r="E40" s="35"/>
      <c r="F40" s="35"/>
      <c r="G40" s="35"/>
      <c r="H40" s="35"/>
      <c r="J40" s="35"/>
      <c r="K40" s="35"/>
      <c r="M40" s="33" t="s">
        <v>232</v>
      </c>
    </row>
    <row r="41" spans="2:13" x14ac:dyDescent="0.2">
      <c r="B41" s="2" t="s">
        <v>233</v>
      </c>
      <c r="M41" s="33" t="s">
        <v>234</v>
      </c>
    </row>
    <row r="42" spans="2:13" x14ac:dyDescent="0.2">
      <c r="B42" s="2" t="s">
        <v>235</v>
      </c>
      <c r="M42" s="33" t="s">
        <v>236</v>
      </c>
    </row>
    <row r="43" spans="2:13" x14ac:dyDescent="0.2">
      <c r="B43" s="2" t="s">
        <v>237</v>
      </c>
      <c r="M43" s="33" t="s">
        <v>238</v>
      </c>
    </row>
    <row r="44" spans="2:13" x14ac:dyDescent="0.2">
      <c r="B44" s="2" t="s">
        <v>105</v>
      </c>
      <c r="M44" s="33" t="s">
        <v>239</v>
      </c>
    </row>
    <row r="46" spans="2:13" x14ac:dyDescent="0.2">
      <c r="B46" s="1" t="s">
        <v>240</v>
      </c>
    </row>
    <row r="47" spans="2:13" x14ac:dyDescent="0.2">
      <c r="B47" s="28" t="s">
        <v>241</v>
      </c>
      <c r="C47" s="5"/>
      <c r="D47" s="5"/>
      <c r="E47" s="5"/>
      <c r="F47" s="5"/>
      <c r="G47" s="5"/>
      <c r="H47" s="5"/>
    </row>
    <row r="48" spans="2:13" x14ac:dyDescent="0.2">
      <c r="B48" s="2" t="s">
        <v>242</v>
      </c>
      <c r="C48" s="35"/>
      <c r="D48" s="35"/>
      <c r="E48" s="35"/>
      <c r="F48" s="35"/>
      <c r="G48" s="35"/>
      <c r="H48" s="35"/>
      <c r="J48" s="35"/>
      <c r="K48" s="35"/>
      <c r="M48" s="33" t="s">
        <v>243</v>
      </c>
    </row>
    <row r="49" spans="2:13" x14ac:dyDescent="0.2">
      <c r="B49" s="2" t="s">
        <v>244</v>
      </c>
      <c r="C49" s="34"/>
      <c r="D49" s="35"/>
      <c r="E49" s="35"/>
      <c r="F49" s="35"/>
      <c r="G49" s="35"/>
      <c r="H49" s="35"/>
      <c r="J49" s="35"/>
      <c r="K49" s="35"/>
      <c r="M49" s="33" t="s">
        <v>245</v>
      </c>
    </row>
    <row r="50" spans="2:13" x14ac:dyDescent="0.2">
      <c r="B50" s="2" t="s">
        <v>246</v>
      </c>
      <c r="C50" s="35"/>
      <c r="D50" s="35"/>
      <c r="E50" s="35"/>
      <c r="F50" s="35"/>
      <c r="G50" s="35"/>
      <c r="H50" s="35"/>
      <c r="J50" s="35"/>
      <c r="K50" s="35"/>
      <c r="M50" s="33" t="s">
        <v>247</v>
      </c>
    </row>
    <row r="51" spans="2:13" x14ac:dyDescent="0.2">
      <c r="B51" s="2" t="s">
        <v>248</v>
      </c>
      <c r="C51" s="35"/>
      <c r="D51" s="35"/>
      <c r="E51" s="35"/>
      <c r="F51" s="35"/>
      <c r="G51" s="35"/>
      <c r="H51" s="35"/>
      <c r="J51" s="35"/>
      <c r="K51" s="35"/>
      <c r="M51" s="33" t="s">
        <v>249</v>
      </c>
    </row>
    <row r="52" spans="2:13" x14ac:dyDescent="0.2">
      <c r="B52" s="2" t="s">
        <v>250</v>
      </c>
      <c r="C52" s="35"/>
      <c r="D52" s="35"/>
      <c r="E52" s="35"/>
      <c r="F52" s="35"/>
      <c r="G52" s="35"/>
      <c r="H52" s="35"/>
      <c r="J52" s="35"/>
      <c r="K52" s="35"/>
      <c r="M52" s="33" t="s">
        <v>251</v>
      </c>
    </row>
    <row r="53" spans="2:13" x14ac:dyDescent="0.2">
      <c r="B53" s="2" t="s">
        <v>252</v>
      </c>
      <c r="C53" s="35"/>
      <c r="D53" s="35"/>
      <c r="E53" s="35"/>
      <c r="F53" s="35"/>
      <c r="G53" s="35"/>
      <c r="H53" s="35"/>
      <c r="J53" s="35"/>
      <c r="K53" s="35"/>
      <c r="M53" s="33" t="s">
        <v>253</v>
      </c>
    </row>
    <row r="54" spans="2:13" x14ac:dyDescent="0.2">
      <c r="B54" s="28" t="s">
        <v>254</v>
      </c>
      <c r="J54" s="35"/>
      <c r="K54" s="35"/>
    </row>
    <row r="55" spans="2:13" x14ac:dyDescent="0.2">
      <c r="B55" s="2" t="s">
        <v>108</v>
      </c>
      <c r="C55" s="35"/>
      <c r="D55" s="35"/>
      <c r="E55" s="35"/>
      <c r="F55" s="35"/>
      <c r="G55" s="35"/>
      <c r="H55" s="35"/>
      <c r="J55" s="35"/>
      <c r="K55" s="35"/>
      <c r="M55" s="33" t="s">
        <v>255</v>
      </c>
    </row>
    <row r="56" spans="2:13" x14ac:dyDescent="0.2">
      <c r="B56" s="2" t="s">
        <v>109</v>
      </c>
      <c r="C56" s="35"/>
      <c r="D56" s="35"/>
      <c r="E56" s="35"/>
      <c r="F56" s="35"/>
      <c r="G56" s="35"/>
      <c r="H56" s="35"/>
      <c r="J56" s="35"/>
      <c r="K56" s="35"/>
      <c r="M56" s="33" t="s">
        <v>256</v>
      </c>
    </row>
    <row r="57" spans="2:13" x14ac:dyDescent="0.2">
      <c r="B57" s="2" t="s">
        <v>257</v>
      </c>
      <c r="C57" s="35"/>
      <c r="D57" s="35"/>
      <c r="E57" s="35"/>
      <c r="F57" s="35"/>
      <c r="G57" s="35"/>
      <c r="H57" s="35"/>
      <c r="J57" s="35"/>
      <c r="K57" s="35"/>
      <c r="M57" s="33" t="s">
        <v>258</v>
      </c>
    </row>
    <row r="58" spans="2:13" x14ac:dyDescent="0.2">
      <c r="B58" s="2" t="s">
        <v>107</v>
      </c>
      <c r="C58" s="35"/>
      <c r="D58" s="35"/>
      <c r="E58" s="35"/>
      <c r="F58" s="35"/>
      <c r="G58" s="35"/>
      <c r="H58" s="35"/>
      <c r="J58" s="35"/>
      <c r="K58" s="35"/>
      <c r="M58" s="33" t="s">
        <v>259</v>
      </c>
    </row>
  </sheetData>
  <hyperlinks>
    <hyperlink ref="A1" location="Main!A1" display="Main" xr:uid="{9F406BE9-EA32-45B2-986D-90D367E9151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D5E3-B62D-41B6-9166-CF451D1C243B}">
  <dimension ref="A1:H41"/>
  <sheetViews>
    <sheetView showGridLines="0" workbookViewId="0">
      <selection activeCell="G32" sqref="G32"/>
    </sheetView>
  </sheetViews>
  <sheetFormatPr defaultRowHeight="12.75" x14ac:dyDescent="0.2"/>
  <cols>
    <col min="1" max="1" width="4.7109375" style="2" bestFit="1" customWidth="1"/>
    <col min="2" max="16384" width="9.140625" style="2"/>
  </cols>
  <sheetData>
    <row r="1" spans="1:8" x14ac:dyDescent="0.2">
      <c r="A1" s="6" t="s">
        <v>8</v>
      </c>
    </row>
    <row r="2" spans="1:8" x14ac:dyDescent="0.2">
      <c r="B2" s="36" t="s">
        <v>260</v>
      </c>
      <c r="C2" s="36"/>
      <c r="D2" s="36"/>
      <c r="E2" s="36"/>
      <c r="F2" s="36"/>
    </row>
    <row r="4" spans="1:8" x14ac:dyDescent="0.2">
      <c r="B4" s="28" t="s">
        <v>261</v>
      </c>
    </row>
    <row r="5" spans="1:8" x14ac:dyDescent="0.2">
      <c r="B5" s="28" t="s">
        <v>262</v>
      </c>
    </row>
    <row r="6" spans="1:8" x14ac:dyDescent="0.2">
      <c r="B6" s="2" t="s">
        <v>263</v>
      </c>
      <c r="H6" s="33" t="s">
        <v>264</v>
      </c>
    </row>
    <row r="7" spans="1:8" x14ac:dyDescent="0.2">
      <c r="B7" s="2" t="s">
        <v>265</v>
      </c>
      <c r="H7" s="33" t="s">
        <v>266</v>
      </c>
    </row>
    <row r="8" spans="1:8" x14ac:dyDescent="0.2">
      <c r="B8" s="2" t="s">
        <v>262</v>
      </c>
      <c r="F8" s="2">
        <f>F6+F7</f>
        <v>0</v>
      </c>
      <c r="H8" s="33" t="s">
        <v>267</v>
      </c>
    </row>
    <row r="10" spans="1:8" x14ac:dyDescent="0.2">
      <c r="B10" s="28" t="s">
        <v>268</v>
      </c>
    </row>
    <row r="11" spans="1:8" x14ac:dyDescent="0.2">
      <c r="B11" s="2" t="s">
        <v>269</v>
      </c>
      <c r="H11" s="33" t="s">
        <v>270</v>
      </c>
    </row>
    <row r="12" spans="1:8" x14ac:dyDescent="0.2">
      <c r="B12" s="2" t="s">
        <v>271</v>
      </c>
      <c r="H12" s="33" t="s">
        <v>272</v>
      </c>
    </row>
    <row r="13" spans="1:8" x14ac:dyDescent="0.2">
      <c r="B13" s="2" t="s">
        <v>273</v>
      </c>
      <c r="H13" s="33" t="s">
        <v>274</v>
      </c>
    </row>
    <row r="14" spans="1:8" x14ac:dyDescent="0.2">
      <c r="B14" s="2" t="s">
        <v>275</v>
      </c>
      <c r="H14" s="33" t="s">
        <v>276</v>
      </c>
    </row>
    <row r="15" spans="1:8" x14ac:dyDescent="0.2">
      <c r="B15" s="2" t="s">
        <v>277</v>
      </c>
      <c r="H15" s="33" t="s">
        <v>278</v>
      </c>
    </row>
    <row r="17" spans="2:8" x14ac:dyDescent="0.2">
      <c r="B17" s="28" t="s">
        <v>279</v>
      </c>
    </row>
    <row r="18" spans="2:8" x14ac:dyDescent="0.2">
      <c r="B18" s="2" t="s">
        <v>280</v>
      </c>
      <c r="H18" s="33" t="s">
        <v>281</v>
      </c>
    </row>
    <row r="19" spans="2:8" x14ac:dyDescent="0.2">
      <c r="B19" s="2" t="s">
        <v>262</v>
      </c>
    </row>
    <row r="20" spans="2:8" x14ac:dyDescent="0.2">
      <c r="B20" s="2" t="s">
        <v>279</v>
      </c>
      <c r="F20" s="2">
        <f>F18-F19</f>
        <v>0</v>
      </c>
    </row>
    <row r="22" spans="2:8" x14ac:dyDescent="0.2">
      <c r="B22" s="37" t="s">
        <v>261</v>
      </c>
      <c r="C22" s="38"/>
      <c r="D22" s="38"/>
      <c r="E22" s="38"/>
      <c r="F22" s="39">
        <f>F8+F15*F20</f>
        <v>0</v>
      </c>
      <c r="H22" s="33" t="s">
        <v>282</v>
      </c>
    </row>
    <row r="25" spans="2:8" x14ac:dyDescent="0.2">
      <c r="B25" s="28" t="s">
        <v>283</v>
      </c>
    </row>
    <row r="26" spans="2:8" x14ac:dyDescent="0.2">
      <c r="B26" s="2" t="s">
        <v>284</v>
      </c>
      <c r="H26" s="33" t="s">
        <v>285</v>
      </c>
    </row>
    <row r="27" spans="2:8" x14ac:dyDescent="0.2">
      <c r="B27" s="2" t="s">
        <v>286</v>
      </c>
    </row>
    <row r="28" spans="2:8" x14ac:dyDescent="0.2">
      <c r="B28" s="2" t="s">
        <v>262</v>
      </c>
    </row>
    <row r="29" spans="2:8" x14ac:dyDescent="0.2">
      <c r="B29" s="2" t="s">
        <v>287</v>
      </c>
    </row>
    <row r="30" spans="2:8" x14ac:dyDescent="0.2">
      <c r="B30" s="2" t="s">
        <v>288</v>
      </c>
    </row>
    <row r="32" spans="2:8" x14ac:dyDescent="0.2">
      <c r="B32" s="37" t="s">
        <v>283</v>
      </c>
      <c r="C32" s="38"/>
      <c r="D32" s="38"/>
      <c r="E32" s="38"/>
      <c r="F32" s="39">
        <f>F28+F29+F30</f>
        <v>0</v>
      </c>
    </row>
    <row r="34" spans="2:8" x14ac:dyDescent="0.2">
      <c r="B34" s="28" t="s">
        <v>1</v>
      </c>
    </row>
    <row r="35" spans="2:8" x14ac:dyDescent="0.2">
      <c r="B35" s="2" t="s">
        <v>289</v>
      </c>
    </row>
    <row r="36" spans="2:8" x14ac:dyDescent="0.2">
      <c r="B36" s="2" t="s">
        <v>290</v>
      </c>
    </row>
    <row r="37" spans="2:8" x14ac:dyDescent="0.2">
      <c r="B37" s="2" t="s">
        <v>291</v>
      </c>
      <c r="F37" s="2">
        <f>F35+F36</f>
        <v>0</v>
      </c>
    </row>
    <row r="39" spans="2:8" x14ac:dyDescent="0.2">
      <c r="B39" s="2" t="s">
        <v>292</v>
      </c>
    </row>
    <row r="41" spans="2:8" x14ac:dyDescent="0.2">
      <c r="B41" s="37" t="s">
        <v>153</v>
      </c>
      <c r="C41" s="38"/>
      <c r="D41" s="38"/>
      <c r="E41" s="38"/>
      <c r="F41" s="39" t="e">
        <f>(F32*(F35/F37)*(1-F39))+((F36/F38)*F22)</f>
        <v>#DIV/0!</v>
      </c>
      <c r="H41" s="33" t="s">
        <v>293</v>
      </c>
    </row>
  </sheetData>
  <hyperlinks>
    <hyperlink ref="A1" location="Main!A1" display="Main" xr:uid="{709933D5-C74F-4720-9765-765F8BEA71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6DC1-D6E5-4B30-A37B-6963F647B2AC}">
  <dimension ref="A1:AO77"/>
  <sheetViews>
    <sheetView showGridLines="0" zoomScale="200" zoomScaleNormal="200" workbookViewId="0">
      <selection activeCell="B3" sqref="B3"/>
    </sheetView>
  </sheetViews>
  <sheetFormatPr defaultRowHeight="12.75" x14ac:dyDescent="0.2"/>
  <cols>
    <col min="1" max="1" width="4.7109375" style="2" bestFit="1" customWidth="1"/>
    <col min="2" max="16384" width="9.140625" style="2"/>
  </cols>
  <sheetData>
    <row r="1" spans="1:41" x14ac:dyDescent="0.2">
      <c r="A1" s="6" t="s">
        <v>8</v>
      </c>
    </row>
    <row r="2" spans="1:41" x14ac:dyDescent="0.2">
      <c r="A2" s="19"/>
      <c r="B2" s="40" t="s">
        <v>136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</row>
    <row r="3" spans="1:41" x14ac:dyDescent="0.2">
      <c r="E3" s="41"/>
    </row>
    <row r="4" spans="1:41" x14ac:dyDescent="0.2">
      <c r="B4" s="2" t="s">
        <v>137</v>
      </c>
      <c r="E4" s="42"/>
      <c r="G4" s="2" t="s">
        <v>138</v>
      </c>
      <c r="J4" s="42"/>
    </row>
    <row r="5" spans="1:41" x14ac:dyDescent="0.2">
      <c r="B5" s="2" t="s">
        <v>139</v>
      </c>
      <c r="E5" s="42"/>
      <c r="G5" s="2" t="s">
        <v>140</v>
      </c>
      <c r="J5" s="43" t="e">
        <f ca="1">V63</f>
        <v>#DIV/0!</v>
      </c>
    </row>
    <row r="6" spans="1:41" x14ac:dyDescent="0.2">
      <c r="B6" s="2" t="s">
        <v>141</v>
      </c>
      <c r="E6" s="44"/>
      <c r="G6" s="2" t="s">
        <v>142</v>
      </c>
      <c r="J6" s="45" t="e">
        <f ca="1">J5/J4-1</f>
        <v>#DIV/0!</v>
      </c>
    </row>
    <row r="8" spans="1:41" x14ac:dyDescent="0.2">
      <c r="A8" s="22" t="s">
        <v>9</v>
      </c>
      <c r="B8" s="36" t="s">
        <v>143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</row>
    <row r="9" spans="1:41" ht="5.0999999999999996" customHeight="1" x14ac:dyDescent="0.2">
      <c r="A9" s="22"/>
    </row>
    <row r="10" spans="1:41" x14ac:dyDescent="0.2">
      <c r="A10" s="22"/>
      <c r="B10" s="46" t="s">
        <v>144</v>
      </c>
      <c r="C10" s="47"/>
      <c r="D10" s="47"/>
      <c r="E10" s="47"/>
      <c r="G10" s="46" t="s">
        <v>145</v>
      </c>
      <c r="H10" s="46"/>
      <c r="I10" s="47"/>
      <c r="J10" s="47"/>
      <c r="L10" s="46" t="s">
        <v>146</v>
      </c>
      <c r="M10" s="47"/>
      <c r="N10" s="47"/>
      <c r="O10" s="47"/>
      <c r="Q10" s="46" t="s">
        <v>147</v>
      </c>
      <c r="R10" s="47"/>
      <c r="S10" s="47"/>
      <c r="T10" s="47"/>
    </row>
    <row r="11" spans="1:41" x14ac:dyDescent="0.2">
      <c r="A11" s="22"/>
      <c r="B11" s="48" t="s">
        <v>148</v>
      </c>
      <c r="G11" s="48" t="s">
        <v>148</v>
      </c>
      <c r="H11" s="48"/>
      <c r="I11" s="48" t="s">
        <v>149</v>
      </c>
      <c r="J11" s="48" t="s">
        <v>150</v>
      </c>
      <c r="L11" s="48" t="s">
        <v>148</v>
      </c>
      <c r="N11" s="48" t="s">
        <v>149</v>
      </c>
      <c r="O11" s="48" t="s">
        <v>150</v>
      </c>
      <c r="Q11" s="48" t="s">
        <v>148</v>
      </c>
      <c r="S11" s="48" t="s">
        <v>149</v>
      </c>
      <c r="T11" s="48" t="s">
        <v>150</v>
      </c>
    </row>
    <row r="12" spans="1:41" x14ac:dyDescent="0.2">
      <c r="B12" s="2" t="s">
        <v>20</v>
      </c>
      <c r="E12" s="44">
        <v>2</v>
      </c>
      <c r="G12" s="2" t="s">
        <v>151</v>
      </c>
      <c r="K12" s="1"/>
      <c r="L12" s="2" t="s">
        <v>151</v>
      </c>
      <c r="Q12" s="2" t="s">
        <v>151</v>
      </c>
    </row>
    <row r="13" spans="1:41" x14ac:dyDescent="0.2">
      <c r="B13" s="2" t="s">
        <v>152</v>
      </c>
      <c r="E13" s="44">
        <v>2</v>
      </c>
      <c r="G13" s="2" t="s">
        <v>152</v>
      </c>
      <c r="L13" s="2" t="s">
        <v>152</v>
      </c>
      <c r="Q13" s="2" t="s">
        <v>152</v>
      </c>
    </row>
    <row r="14" spans="1:41" x14ac:dyDescent="0.2">
      <c r="B14" s="2" t="s">
        <v>153</v>
      </c>
      <c r="E14" s="44">
        <v>2</v>
      </c>
    </row>
    <row r="15" spans="1:41" x14ac:dyDescent="0.2">
      <c r="B15" s="2" t="s">
        <v>154</v>
      </c>
      <c r="E15" s="44">
        <v>2</v>
      </c>
      <c r="G15" s="2" t="s">
        <v>155</v>
      </c>
      <c r="J15" s="49"/>
      <c r="L15" s="2" t="s">
        <v>155</v>
      </c>
      <c r="O15" s="49"/>
      <c r="Q15" s="2" t="s">
        <v>155</v>
      </c>
      <c r="T15" s="49"/>
    </row>
    <row r="16" spans="1:41" x14ac:dyDescent="0.2">
      <c r="B16" s="2" t="s">
        <v>101</v>
      </c>
      <c r="E16" s="44">
        <v>2</v>
      </c>
      <c r="G16" s="2" t="s">
        <v>156</v>
      </c>
      <c r="J16" s="49"/>
      <c r="L16" s="2" t="s">
        <v>156</v>
      </c>
      <c r="O16" s="49"/>
      <c r="Q16" s="2" t="s">
        <v>156</v>
      </c>
      <c r="T16" s="49"/>
    </row>
    <row r="18" spans="1:22" x14ac:dyDescent="0.2">
      <c r="B18" s="48" t="s">
        <v>157</v>
      </c>
    </row>
    <row r="19" spans="1:22" x14ac:dyDescent="0.2">
      <c r="B19" s="2" t="s">
        <v>153</v>
      </c>
      <c r="E19" s="49">
        <f>CHOOSE(E14,J19,O19,T19)</f>
        <v>0</v>
      </c>
      <c r="G19" s="2" t="s">
        <v>153</v>
      </c>
      <c r="J19" s="49"/>
      <c r="L19" s="2" t="s">
        <v>153</v>
      </c>
      <c r="O19" s="49"/>
      <c r="Q19" s="2" t="s">
        <v>153</v>
      </c>
      <c r="T19" s="49"/>
    </row>
    <row r="20" spans="1:22" x14ac:dyDescent="0.2">
      <c r="B20" s="2" t="s">
        <v>154</v>
      </c>
      <c r="E20" s="49">
        <f>CHOOSE(E15,J20,O20,T20)</f>
        <v>0</v>
      </c>
      <c r="G20" s="2" t="s">
        <v>154</v>
      </c>
      <c r="J20" s="49"/>
      <c r="L20" s="2" t="s">
        <v>154</v>
      </c>
      <c r="O20" s="49"/>
      <c r="Q20" s="2" t="s">
        <v>154</v>
      </c>
      <c r="T20" s="49"/>
    </row>
    <row r="21" spans="1:22" x14ac:dyDescent="0.2">
      <c r="B21" s="2" t="s">
        <v>101</v>
      </c>
      <c r="E21" s="49">
        <f>CHOOSE(E16,J21,O21,T21)</f>
        <v>0</v>
      </c>
      <c r="J21" s="49"/>
      <c r="O21" s="49"/>
      <c r="T21" s="49"/>
    </row>
    <row r="25" spans="1:22" x14ac:dyDescent="0.2">
      <c r="A25" s="22" t="s">
        <v>9</v>
      </c>
      <c r="B25" s="36" t="s">
        <v>158</v>
      </c>
      <c r="C25" s="36"/>
      <c r="D25" s="36"/>
      <c r="E25" s="36"/>
      <c r="F25" s="36"/>
      <c r="G25" s="50">
        <v>19</v>
      </c>
      <c r="H25" s="50">
        <f>G25+1</f>
        <v>20</v>
      </c>
      <c r="I25" s="50">
        <f t="shared" ref="I25:V25" si="0">H25+1</f>
        <v>21</v>
      </c>
      <c r="J25" s="50">
        <f t="shared" si="0"/>
        <v>22</v>
      </c>
      <c r="K25" s="50">
        <f t="shared" si="0"/>
        <v>23</v>
      </c>
      <c r="L25" s="50">
        <f t="shared" si="0"/>
        <v>24</v>
      </c>
      <c r="M25" s="50">
        <f t="shared" si="0"/>
        <v>25</v>
      </c>
      <c r="N25" s="50">
        <f t="shared" si="0"/>
        <v>26</v>
      </c>
      <c r="O25" s="50">
        <f t="shared" si="0"/>
        <v>27</v>
      </c>
      <c r="P25" s="50">
        <f t="shared" si="0"/>
        <v>28</v>
      </c>
      <c r="Q25" s="50">
        <f t="shared" si="0"/>
        <v>29</v>
      </c>
      <c r="R25" s="50">
        <f t="shared" si="0"/>
        <v>30</v>
      </c>
      <c r="S25" s="50">
        <f t="shared" si="0"/>
        <v>31</v>
      </c>
      <c r="T25" s="50">
        <f t="shared" si="0"/>
        <v>32</v>
      </c>
      <c r="U25" s="50">
        <f t="shared" si="0"/>
        <v>33</v>
      </c>
      <c r="V25" s="50">
        <f t="shared" si="0"/>
        <v>34</v>
      </c>
    </row>
    <row r="26" spans="1:22" x14ac:dyDescent="0.2">
      <c r="B26" s="2" t="s">
        <v>151</v>
      </c>
      <c r="G26" s="5"/>
      <c r="H26" s="5"/>
      <c r="I26" s="5"/>
      <c r="J26" s="5"/>
      <c r="K26" s="5"/>
      <c r="L26" s="5"/>
      <c r="M26" s="5">
        <f ca="1">L26*(1+M27)</f>
        <v>0</v>
      </c>
      <c r="N26" s="5">
        <f t="shared" ref="N26:V26" ca="1" si="1">M26*(1+N27)</f>
        <v>0</v>
      </c>
      <c r="O26" s="5">
        <f t="shared" ca="1" si="1"/>
        <v>0</v>
      </c>
      <c r="P26" s="5">
        <f t="shared" ca="1" si="1"/>
        <v>0</v>
      </c>
      <c r="Q26" s="5">
        <f t="shared" ca="1" si="1"/>
        <v>0</v>
      </c>
      <c r="R26" s="5">
        <f t="shared" ca="1" si="1"/>
        <v>0</v>
      </c>
      <c r="S26" s="5">
        <f t="shared" ca="1" si="1"/>
        <v>0</v>
      </c>
      <c r="T26" s="5">
        <f t="shared" ca="1" si="1"/>
        <v>0</v>
      </c>
      <c r="U26" s="5">
        <f t="shared" ca="1" si="1"/>
        <v>0</v>
      </c>
      <c r="V26" s="5">
        <f t="shared" ca="1" si="1"/>
        <v>0</v>
      </c>
    </row>
    <row r="27" spans="1:22" x14ac:dyDescent="0.2">
      <c r="B27" s="51" t="s">
        <v>159</v>
      </c>
      <c r="C27" s="52"/>
      <c r="G27" s="53"/>
      <c r="H27" s="54" t="e">
        <f t="shared" ref="H27:L27" si="2">H26/G26-1</f>
        <v>#DIV/0!</v>
      </c>
      <c r="I27" s="54" t="e">
        <f t="shared" si="2"/>
        <v>#DIV/0!</v>
      </c>
      <c r="J27" s="54" t="e">
        <f t="shared" si="2"/>
        <v>#DIV/0!</v>
      </c>
      <c r="K27" s="54" t="e">
        <f t="shared" si="2"/>
        <v>#DIV/0!</v>
      </c>
      <c r="L27" s="54" t="e">
        <f t="shared" si="2"/>
        <v>#DIV/0!</v>
      </c>
      <c r="M27" s="54" cm="1">
        <f t="array" aca="1" ref="M27" ca="1">OFFSET(M27,$E$12,,)</f>
        <v>0</v>
      </c>
      <c r="N27" s="54" cm="1">
        <f t="array" aca="1" ref="N27" ca="1">OFFSET(N27,$E$12,,)</f>
        <v>0</v>
      </c>
      <c r="O27" s="54" cm="1">
        <f t="array" aca="1" ref="O27" ca="1">OFFSET(O27,$E$12,,)</f>
        <v>0</v>
      </c>
      <c r="P27" s="54" cm="1">
        <f t="array" aca="1" ref="P27" ca="1">OFFSET(P27,$E$12,,)</f>
        <v>0</v>
      </c>
      <c r="Q27" s="54" cm="1">
        <f t="array" aca="1" ref="Q27" ca="1">OFFSET(Q27,$E$12,,)</f>
        <v>0</v>
      </c>
      <c r="R27" s="54" cm="1">
        <f t="array" aca="1" ref="R27" ca="1">OFFSET(R27,$E$12,,)</f>
        <v>0</v>
      </c>
      <c r="S27" s="54" cm="1">
        <f t="array" aca="1" ref="S27" ca="1">OFFSET(S27,$E$12,,)</f>
        <v>0</v>
      </c>
      <c r="T27" s="54" cm="1">
        <f t="array" aca="1" ref="T27" ca="1">OFFSET(T27,$E$12,,)</f>
        <v>0</v>
      </c>
      <c r="U27" s="54" cm="1">
        <f t="array" aca="1" ref="U27" ca="1">OFFSET(U27,$E$12,,)</f>
        <v>0</v>
      </c>
      <c r="V27" s="54" cm="1">
        <f t="array" aca="1" ref="V27" ca="1">OFFSET(V27,$E$12,,)</f>
        <v>0</v>
      </c>
    </row>
    <row r="28" spans="1:22" x14ac:dyDescent="0.2">
      <c r="B28" s="51" t="s">
        <v>145</v>
      </c>
      <c r="C28" s="52"/>
      <c r="I28" s="26"/>
      <c r="J28" s="26"/>
      <c r="K28" s="26"/>
      <c r="L28" s="26"/>
      <c r="M28" s="55"/>
      <c r="N28" s="55"/>
      <c r="O28" s="55"/>
      <c r="P28" s="55"/>
      <c r="Q28" s="55"/>
      <c r="R28" s="55"/>
      <c r="S28" s="55"/>
      <c r="T28" s="55"/>
      <c r="U28" s="55"/>
      <c r="V28" s="55"/>
    </row>
    <row r="29" spans="1:22" x14ac:dyDescent="0.2">
      <c r="B29" s="51" t="s">
        <v>160</v>
      </c>
      <c r="C29" s="52"/>
      <c r="I29" s="26"/>
      <c r="J29" s="26"/>
      <c r="K29" s="26"/>
      <c r="L29" s="26"/>
      <c r="M29" s="55"/>
      <c r="N29" s="55"/>
      <c r="O29" s="55"/>
      <c r="P29" s="55"/>
      <c r="Q29" s="55"/>
      <c r="R29" s="55"/>
      <c r="S29" s="55"/>
      <c r="T29" s="55"/>
      <c r="U29" s="55"/>
      <c r="V29" s="55"/>
    </row>
    <row r="30" spans="1:22" x14ac:dyDescent="0.2">
      <c r="B30" s="51" t="s">
        <v>161</v>
      </c>
      <c r="C30" s="52"/>
      <c r="I30" s="26"/>
      <c r="J30" s="26"/>
      <c r="K30" s="26"/>
      <c r="L30" s="26"/>
      <c r="M30" s="55"/>
      <c r="N30" s="55"/>
      <c r="O30" s="55"/>
      <c r="P30" s="55"/>
      <c r="Q30" s="55"/>
      <c r="R30" s="55"/>
      <c r="S30" s="55"/>
      <c r="T30" s="55"/>
      <c r="U30" s="55"/>
      <c r="V30" s="55"/>
    </row>
    <row r="32" spans="1:22" x14ac:dyDescent="0.2">
      <c r="B32" s="2" t="s">
        <v>152</v>
      </c>
      <c r="G32" s="5"/>
      <c r="H32" s="5"/>
      <c r="I32" s="5"/>
      <c r="J32" s="5"/>
      <c r="K32" s="5"/>
      <c r="L32" s="5"/>
      <c r="M32" s="5">
        <f ca="1">M33*M26</f>
        <v>0</v>
      </c>
      <c r="N32" s="5">
        <f t="shared" ref="N32:V32" ca="1" si="3">N33*N26</f>
        <v>0</v>
      </c>
      <c r="O32" s="5">
        <f t="shared" ca="1" si="3"/>
        <v>0</v>
      </c>
      <c r="P32" s="5">
        <f t="shared" ca="1" si="3"/>
        <v>0</v>
      </c>
      <c r="Q32" s="5">
        <f t="shared" ca="1" si="3"/>
        <v>0</v>
      </c>
      <c r="R32" s="5">
        <f t="shared" ca="1" si="3"/>
        <v>0</v>
      </c>
      <c r="S32" s="5">
        <f t="shared" ca="1" si="3"/>
        <v>0</v>
      </c>
      <c r="T32" s="5">
        <f t="shared" ca="1" si="3"/>
        <v>0</v>
      </c>
      <c r="U32" s="5">
        <f t="shared" ca="1" si="3"/>
        <v>0</v>
      </c>
      <c r="V32" s="5">
        <f t="shared" ca="1" si="3"/>
        <v>0</v>
      </c>
    </row>
    <row r="33" spans="2:22" x14ac:dyDescent="0.2">
      <c r="B33" s="51" t="s">
        <v>162</v>
      </c>
      <c r="G33" s="54" t="e">
        <f>G32/G26</f>
        <v>#DIV/0!</v>
      </c>
      <c r="H33" s="54" t="e">
        <f t="shared" ref="H33:L33" si="4">H32/H26</f>
        <v>#DIV/0!</v>
      </c>
      <c r="I33" s="54" t="e">
        <f t="shared" si="4"/>
        <v>#DIV/0!</v>
      </c>
      <c r="J33" s="54" t="e">
        <f t="shared" si="4"/>
        <v>#DIV/0!</v>
      </c>
      <c r="K33" s="54" t="e">
        <f t="shared" si="4"/>
        <v>#DIV/0!</v>
      </c>
      <c r="L33" s="54" t="e">
        <f t="shared" si="4"/>
        <v>#DIV/0!</v>
      </c>
      <c r="M33" s="54" cm="1">
        <f t="array" aca="1" ref="M33" ca="1">OFFSET(M33,$E$13,,)</f>
        <v>0</v>
      </c>
      <c r="N33" s="54" cm="1">
        <f t="array" aca="1" ref="N33" ca="1">OFFSET(N33,$E$13,,)</f>
        <v>0</v>
      </c>
      <c r="O33" s="54" cm="1">
        <f t="array" aca="1" ref="O33" ca="1">OFFSET(O33,$E$13,,)</f>
        <v>0</v>
      </c>
      <c r="P33" s="54" cm="1">
        <f t="array" aca="1" ref="P33" ca="1">OFFSET(P33,$E$13,,)</f>
        <v>0</v>
      </c>
      <c r="Q33" s="54" cm="1">
        <f t="array" aca="1" ref="Q33" ca="1">OFFSET(Q33,$E$13,,)</f>
        <v>0</v>
      </c>
      <c r="R33" s="54" cm="1">
        <f t="array" aca="1" ref="R33" ca="1">OFFSET(R33,$E$13,,)</f>
        <v>0</v>
      </c>
      <c r="S33" s="54" cm="1">
        <f t="array" aca="1" ref="S33" ca="1">OFFSET(S33,$E$13,,)</f>
        <v>0</v>
      </c>
      <c r="T33" s="54" cm="1">
        <f t="array" aca="1" ref="T33" ca="1">OFFSET(T33,$E$13,,)</f>
        <v>0</v>
      </c>
      <c r="U33" s="54" cm="1">
        <f t="array" aca="1" ref="U33" ca="1">OFFSET(U33,$E$13,,)</f>
        <v>0</v>
      </c>
      <c r="V33" s="54" cm="1">
        <f t="array" aca="1" ref="V33" ca="1">OFFSET(V33,$E$13,,)</f>
        <v>0</v>
      </c>
    </row>
    <row r="34" spans="2:22" x14ac:dyDescent="0.2">
      <c r="B34" s="51" t="s">
        <v>145</v>
      </c>
      <c r="M34" s="55"/>
      <c r="N34" s="55"/>
      <c r="O34" s="55"/>
      <c r="P34" s="55"/>
      <c r="Q34" s="55"/>
      <c r="R34" s="55"/>
      <c r="S34" s="55"/>
      <c r="T34" s="55"/>
      <c r="U34" s="55"/>
      <c r="V34" s="55"/>
    </row>
    <row r="35" spans="2:22" x14ac:dyDescent="0.2">
      <c r="B35" s="51" t="s">
        <v>160</v>
      </c>
      <c r="M35" s="55"/>
      <c r="N35" s="55"/>
      <c r="O35" s="55"/>
      <c r="P35" s="55"/>
      <c r="Q35" s="55"/>
      <c r="R35" s="55"/>
      <c r="S35" s="55"/>
      <c r="T35" s="55"/>
      <c r="U35" s="55"/>
      <c r="V35" s="55"/>
    </row>
    <row r="36" spans="2:22" x14ac:dyDescent="0.2">
      <c r="B36" s="51" t="s">
        <v>161</v>
      </c>
      <c r="M36" s="55"/>
      <c r="N36" s="55"/>
      <c r="O36" s="55"/>
      <c r="P36" s="55"/>
      <c r="Q36" s="55"/>
      <c r="R36" s="55"/>
      <c r="S36" s="55"/>
      <c r="T36" s="55"/>
      <c r="U36" s="55"/>
      <c r="V36" s="55"/>
    </row>
    <row r="38" spans="2:22" x14ac:dyDescent="0.2">
      <c r="B38" s="2" t="s">
        <v>163</v>
      </c>
      <c r="G38" s="5"/>
      <c r="H38" s="5"/>
      <c r="I38" s="5"/>
      <c r="J38" s="5"/>
      <c r="K38" s="5"/>
      <c r="L38" s="5"/>
      <c r="M38" s="5">
        <f ca="1">M39*M32</f>
        <v>0</v>
      </c>
      <c r="N38" s="5">
        <f t="shared" ref="N38:V38" ca="1" si="5">N39*N32</f>
        <v>0</v>
      </c>
      <c r="O38" s="5">
        <f t="shared" ca="1" si="5"/>
        <v>0</v>
      </c>
      <c r="P38" s="5">
        <f t="shared" ca="1" si="5"/>
        <v>0</v>
      </c>
      <c r="Q38" s="5">
        <f t="shared" ca="1" si="5"/>
        <v>0</v>
      </c>
      <c r="R38" s="5">
        <f t="shared" ca="1" si="5"/>
        <v>0</v>
      </c>
      <c r="S38" s="5">
        <f t="shared" ca="1" si="5"/>
        <v>0</v>
      </c>
      <c r="T38" s="5">
        <f t="shared" ca="1" si="5"/>
        <v>0</v>
      </c>
      <c r="U38" s="5">
        <f t="shared" ca="1" si="5"/>
        <v>0</v>
      </c>
      <c r="V38" s="5">
        <f t="shared" ca="1" si="5"/>
        <v>0</v>
      </c>
    </row>
    <row r="39" spans="2:22" x14ac:dyDescent="0.2">
      <c r="B39" s="52" t="s">
        <v>164</v>
      </c>
      <c r="G39" s="54" t="e">
        <f t="shared" ref="G39:L39" si="6">G38/G32</f>
        <v>#DIV/0!</v>
      </c>
      <c r="H39" s="54" t="e">
        <f t="shared" si="6"/>
        <v>#DIV/0!</v>
      </c>
      <c r="I39" s="54" t="e">
        <f t="shared" si="6"/>
        <v>#DIV/0!</v>
      </c>
      <c r="J39" s="54" t="e">
        <f t="shared" si="6"/>
        <v>#DIV/0!</v>
      </c>
      <c r="K39" s="54" t="e">
        <f t="shared" si="6"/>
        <v>#DIV/0!</v>
      </c>
      <c r="L39" s="54" t="e">
        <f t="shared" si="6"/>
        <v>#DIV/0!</v>
      </c>
      <c r="M39" s="54"/>
      <c r="N39" s="54"/>
      <c r="O39" s="54"/>
      <c r="P39" s="54"/>
      <c r="Q39" s="54"/>
      <c r="R39" s="54"/>
      <c r="S39" s="54"/>
      <c r="T39" s="54"/>
      <c r="U39" s="54"/>
      <c r="V39" s="54"/>
    </row>
    <row r="40" spans="2:22" x14ac:dyDescent="0.2">
      <c r="B40" s="52"/>
    </row>
    <row r="41" spans="2:22" x14ac:dyDescent="0.2">
      <c r="B41" s="56" t="s">
        <v>165</v>
      </c>
      <c r="C41" s="57"/>
      <c r="D41" s="57"/>
      <c r="E41" s="57"/>
      <c r="F41" s="57"/>
      <c r="G41" s="58">
        <f t="shared" ref="G41:V41" si="7">G32-G38</f>
        <v>0</v>
      </c>
      <c r="H41" s="58">
        <f t="shared" si="7"/>
        <v>0</v>
      </c>
      <c r="I41" s="58">
        <f t="shared" si="7"/>
        <v>0</v>
      </c>
      <c r="J41" s="58">
        <f t="shared" si="7"/>
        <v>0</v>
      </c>
      <c r="K41" s="58">
        <f t="shared" si="7"/>
        <v>0</v>
      </c>
      <c r="L41" s="58">
        <f t="shared" si="7"/>
        <v>0</v>
      </c>
      <c r="M41" s="58">
        <f t="shared" ca="1" si="7"/>
        <v>0</v>
      </c>
      <c r="N41" s="58">
        <f t="shared" ca="1" si="7"/>
        <v>0</v>
      </c>
      <c r="O41" s="58">
        <f t="shared" ca="1" si="7"/>
        <v>0</v>
      </c>
      <c r="P41" s="58">
        <f t="shared" ca="1" si="7"/>
        <v>0</v>
      </c>
      <c r="Q41" s="58">
        <f t="shared" ca="1" si="7"/>
        <v>0</v>
      </c>
      <c r="R41" s="58">
        <f t="shared" ca="1" si="7"/>
        <v>0</v>
      </c>
      <c r="S41" s="58">
        <f t="shared" ca="1" si="7"/>
        <v>0</v>
      </c>
      <c r="T41" s="58">
        <f t="shared" ca="1" si="7"/>
        <v>0</v>
      </c>
      <c r="U41" s="58">
        <f t="shared" ca="1" si="7"/>
        <v>0</v>
      </c>
      <c r="V41" s="59">
        <f t="shared" ca="1" si="7"/>
        <v>0</v>
      </c>
    </row>
    <row r="43" spans="2:22" x14ac:dyDescent="0.2">
      <c r="B43" s="2" t="s">
        <v>166</v>
      </c>
      <c r="G43" s="5"/>
      <c r="H43" s="5"/>
      <c r="I43" s="5"/>
      <c r="J43" s="5"/>
      <c r="K43" s="5"/>
      <c r="L43" s="5"/>
      <c r="M43" s="5">
        <f ca="1">M44*M26</f>
        <v>0</v>
      </c>
      <c r="N43" s="5">
        <f t="shared" ref="N43:V43" ca="1" si="8">N44*N26</f>
        <v>0</v>
      </c>
      <c r="O43" s="5">
        <f t="shared" ca="1" si="8"/>
        <v>0</v>
      </c>
      <c r="P43" s="5">
        <f t="shared" ca="1" si="8"/>
        <v>0</v>
      </c>
      <c r="Q43" s="5">
        <f t="shared" ca="1" si="8"/>
        <v>0</v>
      </c>
      <c r="R43" s="5">
        <f t="shared" ca="1" si="8"/>
        <v>0</v>
      </c>
      <c r="S43" s="5">
        <f t="shared" ca="1" si="8"/>
        <v>0</v>
      </c>
      <c r="T43" s="5">
        <f t="shared" ca="1" si="8"/>
        <v>0</v>
      </c>
      <c r="U43" s="5">
        <f t="shared" ca="1" si="8"/>
        <v>0</v>
      </c>
      <c r="V43" s="5">
        <f t="shared" ca="1" si="8"/>
        <v>0</v>
      </c>
    </row>
    <row r="44" spans="2:22" x14ac:dyDescent="0.2">
      <c r="B44" s="51" t="s">
        <v>162</v>
      </c>
      <c r="C44" s="53"/>
      <c r="D44" s="53"/>
      <c r="E44" s="53"/>
      <c r="F44" s="53"/>
      <c r="G44" s="60" t="e">
        <f t="shared" ref="G44:L44" si="9">G43/G26</f>
        <v>#DIV/0!</v>
      </c>
      <c r="H44" s="60" t="e">
        <f t="shared" si="9"/>
        <v>#DIV/0!</v>
      </c>
      <c r="I44" s="60" t="e">
        <f t="shared" si="9"/>
        <v>#DIV/0!</v>
      </c>
      <c r="J44" s="60" t="e">
        <f t="shared" si="9"/>
        <v>#DIV/0!</v>
      </c>
      <c r="K44" s="60" t="e">
        <f t="shared" si="9"/>
        <v>#DIV/0!</v>
      </c>
      <c r="L44" s="60" t="e">
        <f t="shared" si="9"/>
        <v>#DIV/0!</v>
      </c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6" spans="2:22" x14ac:dyDescent="0.2">
      <c r="B46" s="2" t="s">
        <v>87</v>
      </c>
      <c r="G46" s="5"/>
      <c r="H46" s="5"/>
      <c r="I46" s="5"/>
      <c r="J46" s="5"/>
      <c r="K46" s="5"/>
      <c r="L46" s="5"/>
      <c r="M46" s="5">
        <f ca="1">M47*M26</f>
        <v>0</v>
      </c>
      <c r="N46" s="5">
        <f t="shared" ref="N46:V46" ca="1" si="10">N47*N26</f>
        <v>0</v>
      </c>
      <c r="O46" s="5">
        <f t="shared" ca="1" si="10"/>
        <v>0</v>
      </c>
      <c r="P46" s="5">
        <f t="shared" ca="1" si="10"/>
        <v>0</v>
      </c>
      <c r="Q46" s="5">
        <f t="shared" ca="1" si="10"/>
        <v>0</v>
      </c>
      <c r="R46" s="5">
        <f t="shared" ca="1" si="10"/>
        <v>0</v>
      </c>
      <c r="S46" s="5">
        <f t="shared" ca="1" si="10"/>
        <v>0</v>
      </c>
      <c r="T46" s="5">
        <f t="shared" ca="1" si="10"/>
        <v>0</v>
      </c>
      <c r="U46" s="5">
        <f t="shared" ca="1" si="10"/>
        <v>0</v>
      </c>
      <c r="V46" s="5">
        <f t="shared" ca="1" si="10"/>
        <v>0</v>
      </c>
    </row>
    <row r="47" spans="2:22" x14ac:dyDescent="0.2">
      <c r="B47" s="51" t="s">
        <v>162</v>
      </c>
      <c r="G47" s="60" t="e">
        <f t="shared" ref="G47:L47" si="11">G46/G26</f>
        <v>#DIV/0!</v>
      </c>
      <c r="H47" s="60" t="e">
        <f t="shared" si="11"/>
        <v>#DIV/0!</v>
      </c>
      <c r="I47" s="60" t="e">
        <f t="shared" si="11"/>
        <v>#DIV/0!</v>
      </c>
      <c r="J47" s="60" t="e">
        <f t="shared" si="11"/>
        <v>#DIV/0!</v>
      </c>
      <c r="K47" s="60" t="e">
        <f t="shared" si="11"/>
        <v>#DIV/0!</v>
      </c>
      <c r="L47" s="60" t="e">
        <f t="shared" si="11"/>
        <v>#DIV/0!</v>
      </c>
      <c r="M47" s="61"/>
      <c r="N47" s="61"/>
      <c r="O47" s="61"/>
      <c r="P47" s="61"/>
      <c r="Q47" s="61"/>
      <c r="R47" s="61"/>
      <c r="S47" s="61"/>
      <c r="T47" s="61"/>
      <c r="U47" s="61"/>
      <c r="V47" s="61"/>
    </row>
    <row r="49" spans="2:22" x14ac:dyDescent="0.2">
      <c r="B49" s="2" t="s">
        <v>167</v>
      </c>
      <c r="G49" s="5"/>
      <c r="H49" s="5"/>
      <c r="I49" s="5"/>
      <c r="J49" s="5"/>
      <c r="K49" s="5"/>
      <c r="L49" s="5"/>
      <c r="M49" s="5">
        <f ca="1">M50*M26</f>
        <v>0</v>
      </c>
      <c r="N49" s="5">
        <f t="shared" ref="N49:V49" ca="1" si="12">N50*N26</f>
        <v>0</v>
      </c>
      <c r="O49" s="5">
        <f t="shared" ca="1" si="12"/>
        <v>0</v>
      </c>
      <c r="P49" s="5">
        <f t="shared" ca="1" si="12"/>
        <v>0</v>
      </c>
      <c r="Q49" s="5">
        <f t="shared" ca="1" si="12"/>
        <v>0</v>
      </c>
      <c r="R49" s="5">
        <f t="shared" ca="1" si="12"/>
        <v>0</v>
      </c>
      <c r="S49" s="5">
        <f t="shared" ca="1" si="12"/>
        <v>0</v>
      </c>
      <c r="T49" s="5">
        <f t="shared" ca="1" si="12"/>
        <v>0</v>
      </c>
      <c r="U49" s="5">
        <f t="shared" ca="1" si="12"/>
        <v>0</v>
      </c>
      <c r="V49" s="5">
        <f t="shared" ca="1" si="12"/>
        <v>0</v>
      </c>
    </row>
    <row r="50" spans="2:22" x14ac:dyDescent="0.2">
      <c r="B50" s="51" t="s">
        <v>162</v>
      </c>
      <c r="G50" s="60" t="e">
        <f t="shared" ref="G50:L50" si="13">G49/G26</f>
        <v>#DIV/0!</v>
      </c>
      <c r="H50" s="60" t="e">
        <f t="shared" si="13"/>
        <v>#DIV/0!</v>
      </c>
      <c r="I50" s="60" t="e">
        <f t="shared" si="13"/>
        <v>#DIV/0!</v>
      </c>
      <c r="J50" s="60" t="e">
        <f t="shared" si="13"/>
        <v>#DIV/0!</v>
      </c>
      <c r="K50" s="60" t="e">
        <f t="shared" si="13"/>
        <v>#DIV/0!</v>
      </c>
      <c r="L50" s="60" t="e">
        <f t="shared" si="13"/>
        <v>#DIV/0!</v>
      </c>
      <c r="M50" s="61"/>
      <c r="N50" s="61"/>
      <c r="O50" s="61"/>
      <c r="P50" s="61"/>
      <c r="Q50" s="61"/>
      <c r="R50" s="61"/>
      <c r="S50" s="61"/>
      <c r="T50" s="61"/>
      <c r="U50" s="61"/>
      <c r="V50" s="61"/>
    </row>
    <row r="52" spans="2:22" x14ac:dyDescent="0.2">
      <c r="B52" s="62" t="s">
        <v>168</v>
      </c>
      <c r="C52" s="63"/>
      <c r="D52" s="63"/>
      <c r="E52" s="63"/>
      <c r="F52" s="63"/>
      <c r="G52" s="63">
        <f>G41+G43+G46+G49</f>
        <v>0</v>
      </c>
      <c r="H52" s="63">
        <f t="shared" ref="H52:U52" si="14">H41+H43+H46+H49</f>
        <v>0</v>
      </c>
      <c r="I52" s="63">
        <f t="shared" si="14"/>
        <v>0</v>
      </c>
      <c r="J52" s="63">
        <f t="shared" si="14"/>
        <v>0</v>
      </c>
      <c r="K52" s="63">
        <f t="shared" si="14"/>
        <v>0</v>
      </c>
      <c r="L52" s="63">
        <f t="shared" si="14"/>
        <v>0</v>
      </c>
      <c r="M52" s="63">
        <f ca="1">M41+M43+M46+M49</f>
        <v>0</v>
      </c>
      <c r="N52" s="63">
        <f t="shared" ca="1" si="14"/>
        <v>0</v>
      </c>
      <c r="O52" s="63">
        <f t="shared" ca="1" si="14"/>
        <v>0</v>
      </c>
      <c r="P52" s="63">
        <f t="shared" ca="1" si="14"/>
        <v>0</v>
      </c>
      <c r="Q52" s="63">
        <f t="shared" ca="1" si="14"/>
        <v>0</v>
      </c>
      <c r="R52" s="63">
        <f t="shared" ca="1" si="14"/>
        <v>0</v>
      </c>
      <c r="S52" s="63">
        <f t="shared" ca="1" si="14"/>
        <v>0</v>
      </c>
      <c r="T52" s="63">
        <f t="shared" ca="1" si="14"/>
        <v>0</v>
      </c>
      <c r="U52" s="63">
        <f t="shared" ca="1" si="14"/>
        <v>0</v>
      </c>
      <c r="V52" s="64">
        <f ca="1">V41+V43+V46+V49</f>
        <v>0</v>
      </c>
    </row>
    <row r="53" spans="2:22" x14ac:dyDescent="0.2">
      <c r="B53" s="65" t="s">
        <v>169</v>
      </c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>
        <f ca="1">(M52/(1+$D$17)^M54)*M54</f>
        <v>0</v>
      </c>
      <c r="N53" s="66">
        <f t="shared" ref="N53:V53" ca="1" si="15">N52/(1+$D$17)^N54</f>
        <v>0</v>
      </c>
      <c r="O53" s="66">
        <f t="shared" ca="1" si="15"/>
        <v>0</v>
      </c>
      <c r="P53" s="66">
        <f t="shared" ca="1" si="15"/>
        <v>0</v>
      </c>
      <c r="Q53" s="66">
        <f t="shared" ca="1" si="15"/>
        <v>0</v>
      </c>
      <c r="R53" s="66">
        <f t="shared" ca="1" si="15"/>
        <v>0</v>
      </c>
      <c r="S53" s="66">
        <f t="shared" ca="1" si="15"/>
        <v>0</v>
      </c>
      <c r="T53" s="66">
        <f t="shared" ca="1" si="15"/>
        <v>0</v>
      </c>
      <c r="U53" s="66">
        <f t="shared" ca="1" si="15"/>
        <v>0</v>
      </c>
      <c r="V53" s="67">
        <f t="shared" ca="1" si="15"/>
        <v>0</v>
      </c>
    </row>
    <row r="54" spans="2:22" x14ac:dyDescent="0.2">
      <c r="B54" s="2" t="s">
        <v>170</v>
      </c>
      <c r="M54" s="2">
        <f>YEARFRAC(E5,E6)</f>
        <v>0</v>
      </c>
      <c r="N54" s="2">
        <f>M54+1</f>
        <v>1</v>
      </c>
      <c r="O54" s="2">
        <f>N54+1</f>
        <v>2</v>
      </c>
      <c r="P54" s="2">
        <f t="shared" ref="P54:V54" si="16">O54+1</f>
        <v>3</v>
      </c>
      <c r="Q54" s="2">
        <f t="shared" si="16"/>
        <v>4</v>
      </c>
      <c r="R54" s="2">
        <f t="shared" si="16"/>
        <v>5</v>
      </c>
      <c r="S54" s="2">
        <f t="shared" si="16"/>
        <v>6</v>
      </c>
      <c r="T54" s="2">
        <f t="shared" si="16"/>
        <v>7</v>
      </c>
      <c r="U54" s="2">
        <f t="shared" si="16"/>
        <v>8</v>
      </c>
      <c r="V54" s="2">
        <f t="shared" si="16"/>
        <v>9</v>
      </c>
    </row>
    <row r="55" spans="2:22" x14ac:dyDescent="0.2">
      <c r="B55" s="2" t="s">
        <v>171</v>
      </c>
      <c r="N55" s="5"/>
      <c r="O55" s="5"/>
      <c r="P55" s="5"/>
      <c r="Q55" s="5"/>
      <c r="V55" s="5">
        <f ca="1">SUM(M53:V53)</f>
        <v>0</v>
      </c>
    </row>
    <row r="56" spans="2:22" x14ac:dyDescent="0.2">
      <c r="B56" s="2" t="s">
        <v>172</v>
      </c>
      <c r="N56" s="5"/>
      <c r="O56" s="5"/>
      <c r="P56" s="5"/>
      <c r="Q56" s="5"/>
      <c r="V56" s="68" t="e">
        <f ca="1">+(V41*(1+E20))*(1-(E20/E21))/(WACC-E20)</f>
        <v>#DIV/0!</v>
      </c>
    </row>
    <row r="57" spans="2:22" x14ac:dyDescent="0.2">
      <c r="B57" s="19" t="s">
        <v>173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69"/>
      <c r="O57" s="69"/>
      <c r="P57" s="69"/>
      <c r="Q57" s="69"/>
      <c r="R57" s="69"/>
      <c r="S57" s="69"/>
      <c r="T57" s="69"/>
      <c r="U57" s="69"/>
      <c r="V57" s="70" t="e">
        <f ca="1">V56/(1+E19)^V54</f>
        <v>#DIV/0!</v>
      </c>
    </row>
    <row r="58" spans="2:22" x14ac:dyDescent="0.2">
      <c r="B58" s="38" t="s">
        <v>174</v>
      </c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71"/>
      <c r="O58" s="71"/>
      <c r="P58" s="71"/>
      <c r="Q58" s="71"/>
      <c r="R58" s="71"/>
      <c r="S58" s="71"/>
      <c r="T58" s="71"/>
      <c r="U58" s="71"/>
      <c r="V58" s="72" t="e">
        <f ca="1">V55+V57</f>
        <v>#DIV/0!</v>
      </c>
    </row>
    <row r="59" spans="2:22" x14ac:dyDescent="0.2">
      <c r="B59" s="2" t="s">
        <v>175</v>
      </c>
      <c r="N59" s="5"/>
      <c r="O59" s="5"/>
      <c r="P59" s="5"/>
      <c r="Q59" s="5"/>
      <c r="V59" s="68"/>
    </row>
    <row r="60" spans="2:22" x14ac:dyDescent="0.2">
      <c r="B60" s="19" t="s">
        <v>176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69"/>
      <c r="O60" s="69"/>
      <c r="P60" s="69"/>
      <c r="Q60" s="69"/>
      <c r="R60" s="69"/>
      <c r="S60" s="69"/>
      <c r="T60" s="69"/>
      <c r="U60" s="69"/>
      <c r="V60" s="70"/>
    </row>
    <row r="61" spans="2:22" x14ac:dyDescent="0.2">
      <c r="B61" s="2" t="s">
        <v>177</v>
      </c>
      <c r="N61" s="5"/>
      <c r="O61" s="5"/>
      <c r="P61" s="5"/>
      <c r="Q61" s="5"/>
      <c r="V61" s="68" t="e">
        <f ca="1">V58+V59-V60</f>
        <v>#DIV/0!</v>
      </c>
    </row>
    <row r="62" spans="2:22" x14ac:dyDescent="0.2">
      <c r="B62" s="19" t="s">
        <v>178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69"/>
      <c r="O62" s="69"/>
      <c r="P62" s="69"/>
      <c r="Q62" s="69"/>
      <c r="R62" s="69"/>
      <c r="S62" s="69"/>
      <c r="T62" s="69"/>
      <c r="U62" s="69"/>
      <c r="V62" s="70"/>
    </row>
    <row r="63" spans="2:22" x14ac:dyDescent="0.2">
      <c r="B63" s="2" t="s">
        <v>138</v>
      </c>
      <c r="V63" s="34" t="e">
        <f ca="1">V61/V62</f>
        <v>#DIV/0!</v>
      </c>
    </row>
    <row r="67" spans="1:22" x14ac:dyDescent="0.2">
      <c r="A67" s="22" t="s">
        <v>9</v>
      </c>
      <c r="B67" s="36" t="s">
        <v>179</v>
      </c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9" spans="1:22" x14ac:dyDescent="0.2">
      <c r="B69" s="73"/>
      <c r="C69" s="79" t="s">
        <v>154</v>
      </c>
      <c r="D69" s="79"/>
      <c r="E69" s="79"/>
      <c r="F69" s="79"/>
      <c r="G69" s="79"/>
      <c r="H69" s="79"/>
      <c r="I69" s="79"/>
      <c r="J69" s="80"/>
    </row>
    <row r="70" spans="1:22" ht="14.45" customHeight="1" x14ac:dyDescent="0.2">
      <c r="B70" s="81" t="s">
        <v>153</v>
      </c>
      <c r="C70" s="74"/>
      <c r="D70" s="75"/>
      <c r="E70" s="75"/>
      <c r="F70" s="75"/>
      <c r="G70" s="75"/>
      <c r="H70" s="75"/>
      <c r="I70" s="75"/>
      <c r="J70" s="75"/>
    </row>
    <row r="71" spans="1:22" x14ac:dyDescent="0.2">
      <c r="B71" s="81"/>
      <c r="C71" s="76"/>
      <c r="D71" s="77"/>
      <c r="E71" s="77"/>
      <c r="F71" s="77"/>
      <c r="G71" s="77"/>
      <c r="H71" s="77"/>
      <c r="I71" s="77"/>
      <c r="J71" s="77"/>
    </row>
    <row r="72" spans="1:22" x14ac:dyDescent="0.2">
      <c r="B72" s="81"/>
      <c r="C72" s="76"/>
      <c r="D72" s="77"/>
      <c r="E72" s="77"/>
      <c r="F72" s="77"/>
      <c r="G72" s="77"/>
      <c r="H72" s="77"/>
      <c r="I72" s="77"/>
      <c r="J72" s="77"/>
    </row>
    <row r="73" spans="1:22" x14ac:dyDescent="0.2">
      <c r="B73" s="81"/>
      <c r="C73" s="76"/>
      <c r="D73" s="77"/>
      <c r="E73" s="77"/>
      <c r="F73" s="77"/>
      <c r="G73" s="77"/>
      <c r="H73" s="77"/>
      <c r="I73" s="77"/>
      <c r="J73" s="77"/>
    </row>
    <row r="74" spans="1:22" x14ac:dyDescent="0.2">
      <c r="B74" s="81"/>
      <c r="C74" s="76"/>
      <c r="D74" s="77"/>
      <c r="E74" s="77"/>
      <c r="F74" s="77"/>
      <c r="G74" s="77"/>
      <c r="H74" s="77"/>
      <c r="I74" s="77"/>
      <c r="J74" s="77"/>
    </row>
    <row r="75" spans="1:22" x14ac:dyDescent="0.2">
      <c r="B75" s="81"/>
      <c r="C75" s="76"/>
      <c r="D75" s="77"/>
      <c r="E75" s="77"/>
      <c r="F75" s="77"/>
      <c r="G75" s="77"/>
      <c r="H75" s="77"/>
      <c r="I75" s="77"/>
      <c r="J75" s="77"/>
    </row>
    <row r="76" spans="1:22" x14ac:dyDescent="0.2">
      <c r="B76" s="81"/>
      <c r="C76" s="76"/>
      <c r="D76" s="77"/>
      <c r="E76" s="77"/>
      <c r="F76" s="77"/>
      <c r="G76" s="77"/>
      <c r="H76" s="77"/>
      <c r="I76" s="77"/>
      <c r="J76" s="77"/>
    </row>
    <row r="77" spans="1:22" x14ac:dyDescent="0.2">
      <c r="B77" s="82"/>
      <c r="C77" s="76"/>
      <c r="D77" s="77"/>
      <c r="E77" s="77"/>
      <c r="F77" s="77"/>
      <c r="G77" s="77"/>
      <c r="H77" s="77"/>
      <c r="I77" s="77"/>
      <c r="J77" s="77"/>
    </row>
  </sheetData>
  <mergeCells count="2">
    <mergeCell ref="C69:J69"/>
    <mergeCell ref="B70:B77"/>
  </mergeCells>
  <dataValidations count="1">
    <dataValidation type="list" allowBlank="1" showInputMessage="1" showErrorMessage="1" sqref="E12:E16" xr:uid="{606B2AE2-5E46-4CD5-B01A-2B1FD2A2BE61}">
      <formula1>"1,2,3"</formula1>
    </dataValidation>
  </dataValidations>
  <hyperlinks>
    <hyperlink ref="A1" location="Main!A1" display="Main" xr:uid="{9F12461F-FD8A-4E2E-B2D2-89221DD43A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Main</vt:lpstr>
      <vt:lpstr>Model</vt:lpstr>
      <vt:lpstr>Ratios</vt:lpstr>
      <vt:lpstr>WACC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2024-06-14T11:31:27Z</dcterms:created>
  <dcterms:modified xsi:type="dcterms:W3CDTF">2026-08-26T16:35:03Z</dcterms:modified>
</cp:coreProperties>
</file>