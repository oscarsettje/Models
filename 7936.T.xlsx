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F6198E44-F0DE-40A5-8398-47429DE97136}" xr6:coauthVersionLast="47" xr6:coauthVersionMax="47" xr10:uidLastSave="{00000000-0000-0000-0000-000000000000}"/>
  <bookViews>
    <workbookView xWindow="19095" yWindow="0" windowWidth="19410" windowHeight="20985" xr2:uid="{86C4971A-A7D1-48DA-A0F7-A80DD1620C15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0" i="2"/>
  <c r="P9" i="2"/>
  <c r="P8" i="2"/>
  <c r="P7" i="2"/>
  <c r="P6" i="2"/>
  <c r="P39" i="2"/>
  <c r="P38" i="2"/>
  <c r="P37" i="2"/>
  <c r="P36" i="2"/>
  <c r="P34" i="2"/>
  <c r="P32" i="2"/>
  <c r="P31" i="2"/>
  <c r="P28" i="2"/>
  <c r="O37" i="2"/>
  <c r="O36" i="2"/>
  <c r="O35" i="2"/>
  <c r="O34" i="2"/>
  <c r="O33" i="2"/>
  <c r="O32" i="2"/>
  <c r="O31" i="2"/>
  <c r="O14" i="2"/>
  <c r="O16" i="2" s="1"/>
  <c r="F25" i="2"/>
  <c r="F23" i="2"/>
  <c r="F21" i="2"/>
  <c r="F20" i="2"/>
  <c r="F18" i="2"/>
  <c r="F17" i="2"/>
  <c r="F15" i="2"/>
  <c r="F13" i="2"/>
  <c r="W39" i="2"/>
  <c r="V39" i="2"/>
  <c r="U39" i="2"/>
  <c r="T39" i="2"/>
  <c r="U38" i="2"/>
  <c r="T38" i="2"/>
  <c r="Z36" i="2"/>
  <c r="Z14" i="2"/>
  <c r="L25" i="2"/>
  <c r="L23" i="2"/>
  <c r="L21" i="2"/>
  <c r="L20" i="2"/>
  <c r="L18" i="2"/>
  <c r="L17" i="2"/>
  <c r="L15" i="2"/>
  <c r="L13" i="2"/>
  <c r="L12" i="2"/>
  <c r="L10" i="2"/>
  <c r="L9" i="2"/>
  <c r="L8" i="2"/>
  <c r="L7" i="2"/>
  <c r="L6" i="2"/>
  <c r="K36" i="2"/>
  <c r="K35" i="2"/>
  <c r="K34" i="2"/>
  <c r="K33" i="2"/>
  <c r="K32" i="2"/>
  <c r="K31" i="2"/>
  <c r="K14" i="2"/>
  <c r="H25" i="2"/>
  <c r="H23" i="2"/>
  <c r="H21" i="2"/>
  <c r="H20" i="2"/>
  <c r="H18" i="2"/>
  <c r="H17" i="2"/>
  <c r="H15" i="2"/>
  <c r="H13" i="2"/>
  <c r="H12" i="2"/>
  <c r="H10" i="2"/>
  <c r="H9" i="2"/>
  <c r="H8" i="2"/>
  <c r="H7" i="2"/>
  <c r="H6" i="2"/>
  <c r="I6" i="2" s="1"/>
  <c r="D12" i="2"/>
  <c r="D10" i="2"/>
  <c r="D9" i="2"/>
  <c r="D8" i="2"/>
  <c r="D7" i="2"/>
  <c r="D6" i="2"/>
  <c r="C29" i="2"/>
  <c r="G29" i="2"/>
  <c r="J29" i="2" s="1"/>
  <c r="G36" i="2"/>
  <c r="G35" i="2"/>
  <c r="G34" i="2"/>
  <c r="G33" i="2"/>
  <c r="G32" i="2"/>
  <c r="G31" i="2"/>
  <c r="V14" i="2"/>
  <c r="V37" i="2" s="1"/>
  <c r="W14" i="2"/>
  <c r="U37" i="2"/>
  <c r="T37" i="2"/>
  <c r="X36" i="2"/>
  <c r="W36" i="2"/>
  <c r="V36" i="2"/>
  <c r="Y36" i="2"/>
  <c r="X14" i="2"/>
  <c r="X37" i="2" s="1"/>
  <c r="Y14" i="2"/>
  <c r="Y37" i="2" s="1"/>
  <c r="I4" i="1"/>
  <c r="G14" i="2"/>
  <c r="C14" i="2"/>
  <c r="O19" i="2" l="1"/>
  <c r="O22" i="2" s="1"/>
  <c r="O38" i="2"/>
  <c r="P33" i="2"/>
  <c r="P35" i="2"/>
  <c r="L33" i="2"/>
  <c r="L32" i="2"/>
  <c r="Z16" i="2"/>
  <c r="Z37" i="2"/>
  <c r="M25" i="2"/>
  <c r="N25" i="2"/>
  <c r="M23" i="2"/>
  <c r="N23" i="2" s="1"/>
  <c r="M21" i="2"/>
  <c r="N21" i="2"/>
  <c r="M20" i="2"/>
  <c r="N20" i="2" s="1"/>
  <c r="M18" i="2"/>
  <c r="N18" i="2" s="1"/>
  <c r="M17" i="2"/>
  <c r="N17" i="2"/>
  <c r="M15" i="2"/>
  <c r="N15" i="2" s="1"/>
  <c r="M13" i="2"/>
  <c r="N13" i="2" s="1"/>
  <c r="L14" i="2"/>
  <c r="L16" i="2" s="1"/>
  <c r="M12" i="2"/>
  <c r="N12" i="2" s="1"/>
  <c r="M10" i="2"/>
  <c r="N10" i="2"/>
  <c r="M9" i="2"/>
  <c r="N9" i="2" s="1"/>
  <c r="M8" i="2"/>
  <c r="N8" i="2" s="1"/>
  <c r="M7" i="2"/>
  <c r="N7" i="2" s="1"/>
  <c r="M6" i="2"/>
  <c r="K16" i="2"/>
  <c r="K37" i="2"/>
  <c r="I25" i="2"/>
  <c r="J25" i="2" s="1"/>
  <c r="I23" i="2"/>
  <c r="J23" i="2" s="1"/>
  <c r="I21" i="2"/>
  <c r="J21" i="2" s="1"/>
  <c r="I20" i="2"/>
  <c r="J20" i="2" s="1"/>
  <c r="I18" i="2"/>
  <c r="J18" i="2" s="1"/>
  <c r="I17" i="2"/>
  <c r="J17" i="2" s="1"/>
  <c r="I15" i="2"/>
  <c r="J15" i="2" s="1"/>
  <c r="I13" i="2"/>
  <c r="J13" i="2"/>
  <c r="H14" i="2"/>
  <c r="I10" i="2"/>
  <c r="J10" i="2"/>
  <c r="L35" i="2"/>
  <c r="L34" i="2"/>
  <c r="I9" i="2"/>
  <c r="J9" i="2" s="1"/>
  <c r="I8" i="2"/>
  <c r="J8" i="2" s="1"/>
  <c r="I7" i="2"/>
  <c r="J7" i="2" s="1"/>
  <c r="J6" i="2"/>
  <c r="L31" i="2"/>
  <c r="H34" i="2"/>
  <c r="H33" i="2"/>
  <c r="H32" i="2"/>
  <c r="E6" i="2"/>
  <c r="I31" i="2" s="1"/>
  <c r="F6" i="2"/>
  <c r="W16" i="2"/>
  <c r="W38" i="2" s="1"/>
  <c r="W37" i="2"/>
  <c r="G16" i="2"/>
  <c r="G37" i="2"/>
  <c r="C16" i="2"/>
  <c r="C37" i="2"/>
  <c r="L36" i="2"/>
  <c r="H35" i="2"/>
  <c r="D14" i="2"/>
  <c r="E12" i="2"/>
  <c r="E14" i="2" s="1"/>
  <c r="H31" i="2"/>
  <c r="E7" i="2"/>
  <c r="F7" i="2" s="1"/>
  <c r="E8" i="2"/>
  <c r="E9" i="2"/>
  <c r="E10" i="2"/>
  <c r="I12" i="2"/>
  <c r="J12" i="2" s="1"/>
  <c r="H36" i="2"/>
  <c r="Y16" i="2"/>
  <c r="X16" i="2"/>
  <c r="V16" i="2"/>
  <c r="V38" i="2" s="1"/>
  <c r="I7" i="1"/>
  <c r="L37" i="2" l="1"/>
  <c r="O24" i="2"/>
  <c r="O26" i="2" s="1"/>
  <c r="O28" i="2" s="1"/>
  <c r="O39" i="2"/>
  <c r="I34" i="2"/>
  <c r="F9" i="2"/>
  <c r="Z19" i="2"/>
  <c r="Z22" i="2" s="1"/>
  <c r="Z38" i="2"/>
  <c r="L19" i="2"/>
  <c r="L22" i="2" s="1"/>
  <c r="L38" i="2"/>
  <c r="N36" i="2"/>
  <c r="N14" i="2"/>
  <c r="M14" i="2"/>
  <c r="M36" i="2"/>
  <c r="K38" i="2"/>
  <c r="K19" i="2"/>
  <c r="K22" i="2" s="1"/>
  <c r="H37" i="2"/>
  <c r="H16" i="2"/>
  <c r="G38" i="2"/>
  <c r="G19" i="2"/>
  <c r="G22" i="2" s="1"/>
  <c r="C38" i="2"/>
  <c r="C19" i="2"/>
  <c r="C22" i="2" s="1"/>
  <c r="J31" i="2"/>
  <c r="I32" i="2"/>
  <c r="N35" i="2"/>
  <c r="M35" i="2"/>
  <c r="M34" i="2"/>
  <c r="N34" i="2"/>
  <c r="M33" i="2"/>
  <c r="M32" i="2"/>
  <c r="J34" i="2"/>
  <c r="M31" i="2"/>
  <c r="N6" i="2"/>
  <c r="N31" i="2" s="1"/>
  <c r="D16" i="2"/>
  <c r="D37" i="2"/>
  <c r="E16" i="2"/>
  <c r="E37" i="2"/>
  <c r="I33" i="2"/>
  <c r="F8" i="2"/>
  <c r="J33" i="2" s="1"/>
  <c r="I35" i="2"/>
  <c r="F10" i="2"/>
  <c r="J35" i="2" s="1"/>
  <c r="Y19" i="2"/>
  <c r="Y22" i="2" s="1"/>
  <c r="Y38" i="2"/>
  <c r="X19" i="2"/>
  <c r="X22" i="2" s="1"/>
  <c r="X38" i="2"/>
  <c r="N33" i="2"/>
  <c r="N32" i="2"/>
  <c r="J32" i="2"/>
  <c r="J14" i="2"/>
  <c r="I14" i="2"/>
  <c r="I36" i="2"/>
  <c r="F12" i="2"/>
  <c r="F14" i="2" s="1"/>
  <c r="H38" i="2" l="1"/>
  <c r="H19" i="2"/>
  <c r="H22" i="2" s="1"/>
  <c r="Z39" i="2"/>
  <c r="Z24" i="2"/>
  <c r="Z26" i="2" s="1"/>
  <c r="Z28" i="2" s="1"/>
  <c r="L24" i="2"/>
  <c r="L26" i="2" s="1"/>
  <c r="L28" i="2" s="1"/>
  <c r="L39" i="2"/>
  <c r="N16" i="2"/>
  <c r="N37" i="2"/>
  <c r="M16" i="2"/>
  <c r="M37" i="2"/>
  <c r="K24" i="2"/>
  <c r="K26" i="2" s="1"/>
  <c r="K28" i="2" s="1"/>
  <c r="K39" i="2"/>
  <c r="G39" i="2"/>
  <c r="G24" i="2"/>
  <c r="G26" i="2" s="1"/>
  <c r="G28" i="2" s="1"/>
  <c r="C39" i="2"/>
  <c r="C24" i="2"/>
  <c r="C26" i="2" s="1"/>
  <c r="C28" i="2" s="1"/>
  <c r="D38" i="2"/>
  <c r="D19" i="2"/>
  <c r="D22" i="2" s="1"/>
  <c r="E38" i="2"/>
  <c r="E19" i="2"/>
  <c r="E22" i="2" s="1"/>
  <c r="Y39" i="2"/>
  <c r="Y24" i="2"/>
  <c r="Y26" i="2" s="1"/>
  <c r="Y28" i="2" s="1"/>
  <c r="X39" i="2"/>
  <c r="X24" i="2"/>
  <c r="X26" i="2" s="1"/>
  <c r="I16" i="2"/>
  <c r="I37" i="2"/>
  <c r="F16" i="2"/>
  <c r="F37" i="2"/>
  <c r="J16" i="2"/>
  <c r="J37" i="2"/>
  <c r="J36" i="2"/>
  <c r="H39" i="2" l="1"/>
  <c r="H24" i="2"/>
  <c r="H26" i="2" s="1"/>
  <c r="H28" i="2" s="1"/>
  <c r="N19" i="2"/>
  <c r="N22" i="2" s="1"/>
  <c r="N38" i="2"/>
  <c r="M19" i="2"/>
  <c r="M22" i="2" s="1"/>
  <c r="M38" i="2"/>
  <c r="D39" i="2"/>
  <c r="D24" i="2"/>
  <c r="D26" i="2" s="1"/>
  <c r="D28" i="2" s="1"/>
  <c r="E39" i="2"/>
  <c r="E24" i="2"/>
  <c r="E26" i="2" s="1"/>
  <c r="E28" i="2" s="1"/>
  <c r="I38" i="2"/>
  <c r="I19" i="2"/>
  <c r="I22" i="2" s="1"/>
  <c r="F19" i="2"/>
  <c r="F22" i="2" s="1"/>
  <c r="F38" i="2"/>
  <c r="J19" i="2"/>
  <c r="J22" i="2" s="1"/>
  <c r="J38" i="2"/>
  <c r="N39" i="2" l="1"/>
  <c r="N24" i="2"/>
  <c r="N26" i="2" s="1"/>
  <c r="N28" i="2" s="1"/>
  <c r="M39" i="2"/>
  <c r="M24" i="2"/>
  <c r="M26" i="2" s="1"/>
  <c r="M28" i="2" s="1"/>
  <c r="I39" i="2"/>
  <c r="I24" i="2"/>
  <c r="I26" i="2" s="1"/>
  <c r="I28" i="2" s="1"/>
  <c r="F24" i="2"/>
  <c r="F26" i="2" s="1"/>
  <c r="F28" i="2" s="1"/>
  <c r="F39" i="2"/>
  <c r="J24" i="2"/>
  <c r="J26" i="2" s="1"/>
  <c r="J28" i="2" s="1"/>
  <c r="J3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Oscar Settje</author>
  </authors>
  <commentList>
    <comment ref="H29" authorId="0" shapeId="0" xr:uid="{2433AD1F-7026-4777-9395-9F162F3DAAE9}">
      <text>
        <r>
          <rPr>
            <b/>
            <sz val="9"/>
            <color indexed="81"/>
            <rFont val="Tahoma"/>
            <family val="2"/>
          </rPr>
          <t>Oscar Settje:</t>
        </r>
        <r>
          <rPr>
            <sz val="9"/>
            <color indexed="81"/>
            <rFont val="Tahoma"/>
            <family val="2"/>
          </rPr>
          <t xml:space="preserve">
Stock Split 4 for 1 June 27th 2024</t>
        </r>
      </text>
    </comment>
  </commentList>
</comments>
</file>

<file path=xl/sharedStrings.xml><?xml version="1.0" encoding="utf-8"?>
<sst xmlns="http://schemas.openxmlformats.org/spreadsheetml/2006/main" count="76" uniqueCount="66">
  <si>
    <t>Asics Group</t>
  </si>
  <si>
    <t>Price</t>
  </si>
  <si>
    <t>Shares</t>
  </si>
  <si>
    <t>MC</t>
  </si>
  <si>
    <t>Cash</t>
  </si>
  <si>
    <t>Debt</t>
  </si>
  <si>
    <t>EV</t>
  </si>
  <si>
    <t>7936.T</t>
  </si>
  <si>
    <t>IR</t>
  </si>
  <si>
    <t>Main</t>
  </si>
  <si>
    <t>Q123</t>
  </si>
  <si>
    <t>Q223</t>
  </si>
  <si>
    <t>Q323</t>
  </si>
  <si>
    <t>Q423</t>
  </si>
  <si>
    <t>Q124</t>
  </si>
  <si>
    <t>Q224</t>
  </si>
  <si>
    <t>Q324</t>
  </si>
  <si>
    <t>Q424</t>
  </si>
  <si>
    <t>Revenue</t>
  </si>
  <si>
    <t>COGS</t>
  </si>
  <si>
    <t>Gross Profit</t>
  </si>
  <si>
    <t>OneASICS membership</t>
  </si>
  <si>
    <t>E-commerce sales</t>
  </si>
  <si>
    <t>numbers in mio YEN</t>
  </si>
  <si>
    <t>SGA</t>
  </si>
  <si>
    <t>Operating Income</t>
  </si>
  <si>
    <t>Non-operating Income</t>
  </si>
  <si>
    <t>Non-operating expense</t>
  </si>
  <si>
    <t>Extraordinary Income</t>
  </si>
  <si>
    <t>Extraordinary Losses</t>
  </si>
  <si>
    <t>Ordinary Profit</t>
  </si>
  <si>
    <t>Pretax Income</t>
  </si>
  <si>
    <t>Tax Expense</t>
  </si>
  <si>
    <t>Net Income</t>
  </si>
  <si>
    <t>Minority Interest Share</t>
  </si>
  <si>
    <t>Net Income to Company</t>
  </si>
  <si>
    <t>EPS</t>
  </si>
  <si>
    <t>Performance Running</t>
  </si>
  <si>
    <t>Core Performance Sport</t>
  </si>
  <si>
    <t>Appereal &amp; Equipment</t>
  </si>
  <si>
    <t>Sportstyle</t>
  </si>
  <si>
    <t>Onitsuka Tiger</t>
  </si>
  <si>
    <t>FY19</t>
  </si>
  <si>
    <t>FY20</t>
  </si>
  <si>
    <t>FY21</t>
  </si>
  <si>
    <t>FY22</t>
  </si>
  <si>
    <t>FY23</t>
  </si>
  <si>
    <t>FY24</t>
  </si>
  <si>
    <t>Brands:</t>
  </si>
  <si>
    <t>Asics</t>
  </si>
  <si>
    <t xml:space="preserve">Asics Tiger </t>
  </si>
  <si>
    <t>Haglöfs</t>
  </si>
  <si>
    <t>Q125</t>
  </si>
  <si>
    <t>Q225</t>
  </si>
  <si>
    <t>Q325</t>
  </si>
  <si>
    <t>Q425</t>
  </si>
  <si>
    <t>Revenue Growth</t>
  </si>
  <si>
    <t>Operating Margin</t>
  </si>
  <si>
    <t>Gros Margin</t>
  </si>
  <si>
    <t>Tax Rate</t>
  </si>
  <si>
    <t>FY25</t>
  </si>
  <si>
    <t>Q126</t>
  </si>
  <si>
    <t>Q226</t>
  </si>
  <si>
    <t>Q326</t>
  </si>
  <si>
    <t>Q426</t>
  </si>
  <si>
    <t>Walking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</si>
</sst>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;\(#,##0\)"/>
    <numFmt numFmtId="166" formatCode="#,##0.00;\(#,##0.00\)"/>
  </numFmts>
  <fonts count="1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18">
    <xf numFmtId="0" fontId="0" fillId="0" borderId="0" xfId="0"/>
    <xf numFmtId="0" fontId="9" fillId="0" borderId="0" xfId="0" applyFont="1"/>
    <xf numFmtId="0" fontId="4" fillId="0" borderId="0" xfId="0" applyFont="1"/>
    <xf numFmtId="3" fontId="4" fillId="0" borderId="0" xfId="0" applyNumberFormat="1" applyFont="1"/>
    <xf numFmtId="0" fontId="4" fillId="0" borderId="0" xfId="0" applyFont="1" applyAlignment="1">
      <alignment horizontal="right"/>
    </xf>
    <xf numFmtId="0" fontId="10" fillId="0" borderId="0" xfId="1" applyFont="1"/>
    <xf numFmtId="164" fontId="4" fillId="0" borderId="0" xfId="0" applyNumberFormat="1" applyFont="1"/>
    <xf numFmtId="3" fontId="9" fillId="0" borderId="0" xfId="0" applyNumberFormat="1" applyFont="1"/>
    <xf numFmtId="165" fontId="4" fillId="0" borderId="0" xfId="0" applyNumberFormat="1" applyFont="1"/>
    <xf numFmtId="9" fontId="4" fillId="0" borderId="0" xfId="2" applyFont="1"/>
    <xf numFmtId="9" fontId="9" fillId="0" borderId="0" xfId="2" applyFont="1"/>
    <xf numFmtId="165" fontId="9" fillId="0" borderId="0" xfId="0" applyNumberFormat="1" applyFont="1"/>
    <xf numFmtId="166" fontId="4" fillId="0" borderId="0" xfId="0" applyNumberFormat="1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/>
    <xf numFmtId="0" fontId="11" fillId="0" borderId="0" xfId="0" applyFont="1"/>
  </cellXfs>
  <cellStyles count="3">
    <cellStyle name="Hyperlink" xfId="1" builtinId="8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rp.asics.com/en/investor_relation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CA5A-AD74-4A89-82B4-2A5ED42596B0}">
  <dimension ref="A1:J11"/>
  <sheetViews>
    <sheetView tabSelected="1" zoomScale="200" zoomScaleNormal="200" workbookViewId="0">
      <selection activeCell="C1" sqref="C1"/>
    </sheetView>
  </sheetViews>
  <sheetFormatPr defaultRowHeight="12.75" x14ac:dyDescent="0.2"/>
  <cols>
    <col min="1" max="1" width="4.5703125" style="2" customWidth="1"/>
    <col min="2" max="8" width="9.140625" style="2"/>
    <col min="9" max="9" width="10.140625" style="2" bestFit="1" customWidth="1"/>
    <col min="10" max="16384" width="9.140625" style="2"/>
  </cols>
  <sheetData>
    <row r="1" spans="1:10" x14ac:dyDescent="0.2">
      <c r="A1" s="1" t="s">
        <v>0</v>
      </c>
    </row>
    <row r="2" spans="1:10" x14ac:dyDescent="0.2">
      <c r="A2" s="2" t="s">
        <v>23</v>
      </c>
      <c r="H2" s="2" t="s">
        <v>1</v>
      </c>
      <c r="I2" s="3">
        <v>5281</v>
      </c>
    </row>
    <row r="3" spans="1:10" x14ac:dyDescent="0.2">
      <c r="H3" s="2" t="s">
        <v>2</v>
      </c>
      <c r="I3" s="3">
        <v>708.79401900000005</v>
      </c>
      <c r="J3" s="15" t="s">
        <v>62</v>
      </c>
    </row>
    <row r="4" spans="1:10" x14ac:dyDescent="0.2">
      <c r="B4" s="2" t="s">
        <v>7</v>
      </c>
      <c r="H4" s="2" t="s">
        <v>3</v>
      </c>
      <c r="I4" s="3">
        <f>+I2*I3</f>
        <v>3743141.2143390002</v>
      </c>
    </row>
    <row r="5" spans="1:10" x14ac:dyDescent="0.2">
      <c r="B5" s="5" t="s">
        <v>8</v>
      </c>
      <c r="H5" s="2" t="s">
        <v>4</v>
      </c>
      <c r="I5" s="3">
        <v>112267</v>
      </c>
      <c r="J5" s="15" t="s">
        <v>62</v>
      </c>
    </row>
    <row r="6" spans="1:10" x14ac:dyDescent="0.2">
      <c r="H6" s="2" t="s">
        <v>5</v>
      </c>
      <c r="I6" s="3">
        <f>2500+10000+25000</f>
        <v>37500</v>
      </c>
      <c r="J6" s="15" t="s">
        <v>62</v>
      </c>
    </row>
    <row r="7" spans="1:10" x14ac:dyDescent="0.2">
      <c r="B7" s="17" t="s">
        <v>48</v>
      </c>
      <c r="H7" s="2" t="s">
        <v>6</v>
      </c>
      <c r="I7" s="3">
        <f>+I4-I5+I6</f>
        <v>3668374.2143390002</v>
      </c>
    </row>
    <row r="8" spans="1:10" x14ac:dyDescent="0.2">
      <c r="B8" s="2" t="s">
        <v>49</v>
      </c>
    </row>
    <row r="9" spans="1:10" x14ac:dyDescent="0.2">
      <c r="B9" s="2" t="s">
        <v>41</v>
      </c>
    </row>
    <row r="10" spans="1:10" x14ac:dyDescent="0.2">
      <c r="B10" s="2" t="s">
        <v>50</v>
      </c>
    </row>
    <row r="11" spans="1:10" x14ac:dyDescent="0.2">
      <c r="B11" s="2" t="s">
        <v>51</v>
      </c>
    </row>
  </sheetData>
  <hyperlinks>
    <hyperlink ref="B5" r:id="rId1" xr:uid="{0CDF24B8-6EA2-4916-9557-164E0E91101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1B03-897F-4FBF-8E19-27D8F6677ACE}">
  <dimension ref="A1:BR319"/>
  <sheetViews>
    <sheetView zoomScale="200" zoomScaleNormal="200" workbookViewId="0">
      <pane xSplit="2" ySplit="2" topLeftCell="L3" activePane="bottomRight" state="frozen"/>
      <selection pane="topRight" activeCell="C1" sqref="C1"/>
      <selection pane="bottomLeft" activeCell="A3" sqref="A3"/>
      <selection pane="bottomRight" activeCell="Q1" sqref="Q1"/>
    </sheetView>
  </sheetViews>
  <sheetFormatPr defaultRowHeight="12.75" x14ac:dyDescent="0.2"/>
  <cols>
    <col min="1" max="1" width="5.42578125" style="2" bestFit="1" customWidth="1"/>
    <col min="2" max="2" width="24.85546875" style="2" customWidth="1"/>
    <col min="3" max="16384" width="9.140625" style="2"/>
  </cols>
  <sheetData>
    <row r="1" spans="1:26" x14ac:dyDescent="0.2">
      <c r="A1" s="5" t="s">
        <v>9</v>
      </c>
    </row>
    <row r="2" spans="1:26" x14ac:dyDescent="0.2"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17</v>
      </c>
      <c r="K2" s="4" t="s">
        <v>52</v>
      </c>
      <c r="L2" s="4" t="s">
        <v>53</v>
      </c>
      <c r="M2" s="4" t="s">
        <v>54</v>
      </c>
      <c r="N2" s="4" t="s">
        <v>55</v>
      </c>
      <c r="O2" s="14" t="s">
        <v>61</v>
      </c>
      <c r="P2" s="14" t="s">
        <v>62</v>
      </c>
      <c r="Q2" s="14" t="s">
        <v>63</v>
      </c>
      <c r="R2" s="14" t="s">
        <v>64</v>
      </c>
      <c r="T2" s="4" t="s">
        <v>42</v>
      </c>
      <c r="U2" s="4" t="s">
        <v>43</v>
      </c>
      <c r="V2" s="4" t="s">
        <v>44</v>
      </c>
      <c r="W2" s="4" t="s">
        <v>45</v>
      </c>
      <c r="X2" s="4" t="s">
        <v>46</v>
      </c>
      <c r="Y2" s="4" t="s">
        <v>47</v>
      </c>
      <c r="Z2" s="13" t="s">
        <v>60</v>
      </c>
    </row>
    <row r="3" spans="1:26" s="8" customFormat="1" x14ac:dyDescent="0.2">
      <c r="A3" s="2"/>
      <c r="B3" s="2" t="s">
        <v>21</v>
      </c>
      <c r="I3" s="8">
        <v>16.600000000000001</v>
      </c>
    </row>
    <row r="4" spans="1:26" s="8" customFormat="1" x14ac:dyDescent="0.2">
      <c r="A4" s="2"/>
      <c r="B4" s="2" t="s">
        <v>22</v>
      </c>
      <c r="I4" s="8">
        <v>101000</v>
      </c>
    </row>
    <row r="5" spans="1:26" s="8" customFormat="1" x14ac:dyDescent="0.2">
      <c r="A5" s="2"/>
      <c r="B5" s="2"/>
    </row>
    <row r="6" spans="1:26" s="8" customFormat="1" x14ac:dyDescent="0.2">
      <c r="A6" s="2"/>
      <c r="B6" s="2" t="s">
        <v>37</v>
      </c>
      <c r="C6" s="8">
        <v>77913</v>
      </c>
      <c r="D6" s="8">
        <f>147839-C6</f>
        <v>69926</v>
      </c>
      <c r="E6" s="8">
        <f>227070-SUM(C6:D6)</f>
        <v>79231</v>
      </c>
      <c r="F6" s="8">
        <f>+X6-SUM(C6:E6)</f>
        <v>58859</v>
      </c>
      <c r="G6" s="8">
        <v>87894</v>
      </c>
      <c r="H6" s="8">
        <f>170903-G6</f>
        <v>83009</v>
      </c>
      <c r="I6" s="8">
        <f>258277-SUM(G6:H6)</f>
        <v>87374</v>
      </c>
      <c r="J6" s="8">
        <f>+Y6-SUM(G6:I6)</f>
        <v>68659</v>
      </c>
      <c r="K6" s="8">
        <v>98003</v>
      </c>
      <c r="L6" s="8">
        <f>184964-K6</f>
        <v>86961</v>
      </c>
      <c r="M6" s="8">
        <f>284305-SUM(K6:L6)</f>
        <v>99341</v>
      </c>
      <c r="N6" s="8">
        <f>+Z6-SUM(K6:M6)</f>
        <v>79237</v>
      </c>
      <c r="O6" s="8">
        <v>116743</v>
      </c>
      <c r="P6" s="8">
        <f>220652-O6</f>
        <v>103909</v>
      </c>
      <c r="X6" s="8">
        <v>285929</v>
      </c>
      <c r="Y6" s="8">
        <v>326936</v>
      </c>
      <c r="Z6" s="8">
        <v>363542</v>
      </c>
    </row>
    <row r="7" spans="1:26" s="8" customFormat="1" x14ac:dyDescent="0.2">
      <c r="A7" s="2"/>
      <c r="B7" s="2" t="s">
        <v>38</v>
      </c>
      <c r="C7" s="8">
        <v>22741</v>
      </c>
      <c r="D7" s="8">
        <f>40430-C7</f>
        <v>17689</v>
      </c>
      <c r="E7" s="8">
        <f>61048-SUM(C7:D7)</f>
        <v>20618</v>
      </c>
      <c r="F7" s="8">
        <f t="shared" ref="F7:F25" si="0">+X7-SUM(C7:E7)</f>
        <v>11106</v>
      </c>
      <c r="G7" s="8">
        <v>24884</v>
      </c>
      <c r="H7" s="8">
        <f>42086-G7</f>
        <v>17202</v>
      </c>
      <c r="I7" s="8">
        <f>64884-SUM(G7:H7)</f>
        <v>22798</v>
      </c>
      <c r="J7" s="8">
        <f t="shared" ref="J7:J25" si="1">+Y7-SUM(G7:I7)</f>
        <v>13736</v>
      </c>
      <c r="K7" s="8">
        <v>25497</v>
      </c>
      <c r="L7" s="8">
        <f>44118-K7</f>
        <v>18621</v>
      </c>
      <c r="M7" s="8">
        <f>69606-SUM(K7:L7)</f>
        <v>25488</v>
      </c>
      <c r="N7" s="8">
        <f t="shared" ref="N7:N10" si="2">+Z7-SUM(K7:M7)</f>
        <v>16429</v>
      </c>
      <c r="O7" s="8">
        <v>30551</v>
      </c>
      <c r="P7" s="8">
        <f>55111-O7</f>
        <v>24560</v>
      </c>
      <c r="X7" s="8">
        <v>72154</v>
      </c>
      <c r="Y7" s="8">
        <v>78620</v>
      </c>
      <c r="Z7" s="8">
        <v>86035</v>
      </c>
    </row>
    <row r="8" spans="1:26" s="8" customFormat="1" x14ac:dyDescent="0.2">
      <c r="A8" s="2"/>
      <c r="B8" s="2" t="s">
        <v>39</v>
      </c>
      <c r="C8" s="8">
        <v>9605</v>
      </c>
      <c r="D8" s="8">
        <f>18075-C8</f>
        <v>8470</v>
      </c>
      <c r="E8" s="8">
        <f>28018-SUM(C8:D8)</f>
        <v>9943</v>
      </c>
      <c r="F8" s="8">
        <f t="shared" si="0"/>
        <v>8167</v>
      </c>
      <c r="G8" s="8">
        <v>9325</v>
      </c>
      <c r="H8" s="8">
        <f>18713-G8</f>
        <v>9388</v>
      </c>
      <c r="I8" s="8">
        <f>29130-SUM(G8:H8)</f>
        <v>10417</v>
      </c>
      <c r="J8" s="8">
        <f t="shared" si="1"/>
        <v>8935</v>
      </c>
      <c r="K8" s="8">
        <v>10339</v>
      </c>
      <c r="L8" s="8">
        <f>20003-K8</f>
        <v>9664</v>
      </c>
      <c r="M8" s="8">
        <f>32243-SUM(K8:L8)</f>
        <v>12240</v>
      </c>
      <c r="N8" s="8">
        <f t="shared" si="2"/>
        <v>9828</v>
      </c>
      <c r="O8" s="8">
        <v>14426</v>
      </c>
      <c r="P8" s="8">
        <f>25629-O8</f>
        <v>11203</v>
      </c>
      <c r="X8" s="8">
        <v>36185</v>
      </c>
      <c r="Y8" s="8">
        <v>38065</v>
      </c>
      <c r="Z8" s="8">
        <v>42071</v>
      </c>
    </row>
    <row r="9" spans="1:26" s="8" customFormat="1" x14ac:dyDescent="0.2">
      <c r="A9" s="2"/>
      <c r="B9" s="2" t="s">
        <v>40</v>
      </c>
      <c r="C9" s="8">
        <v>15487</v>
      </c>
      <c r="D9" s="8">
        <f>28077-C9</f>
        <v>12590</v>
      </c>
      <c r="E9" s="8">
        <f>45958-SUM(C9:D9)</f>
        <v>17881</v>
      </c>
      <c r="F9" s="8">
        <f t="shared" si="0"/>
        <v>13299</v>
      </c>
      <c r="G9" s="8">
        <v>23493</v>
      </c>
      <c r="H9" s="8">
        <f>45986-G9</f>
        <v>22493</v>
      </c>
      <c r="I9" s="8">
        <f>75085-SUM(G9:H9)</f>
        <v>29099</v>
      </c>
      <c r="J9" s="8">
        <f t="shared" si="1"/>
        <v>23340</v>
      </c>
      <c r="K9" s="8">
        <v>35144</v>
      </c>
      <c r="L9" s="8">
        <f>67314-K9</f>
        <v>32170</v>
      </c>
      <c r="M9" s="8">
        <f>109044-SUM(K9:L9)</f>
        <v>41730</v>
      </c>
      <c r="N9" s="8">
        <f t="shared" si="2"/>
        <v>32280</v>
      </c>
      <c r="O9" s="8">
        <v>59621</v>
      </c>
      <c r="P9" s="8">
        <f>123186-O9</f>
        <v>63565</v>
      </c>
      <c r="X9" s="8">
        <v>59257</v>
      </c>
      <c r="Y9" s="8">
        <v>98425</v>
      </c>
      <c r="Z9" s="8">
        <v>141324</v>
      </c>
    </row>
    <row r="10" spans="1:26" s="8" customFormat="1" x14ac:dyDescent="0.2">
      <c r="A10" s="2"/>
      <c r="B10" s="2" t="s">
        <v>41</v>
      </c>
      <c r="C10" s="8">
        <v>12124</v>
      </c>
      <c r="D10" s="8">
        <f>28297-C10</f>
        <v>16173</v>
      </c>
      <c r="E10" s="8">
        <f>44874-SUM(C10:D10)</f>
        <v>16577</v>
      </c>
      <c r="F10" s="8">
        <f t="shared" si="0"/>
        <v>15430</v>
      </c>
      <c r="G10" s="8">
        <v>18024</v>
      </c>
      <c r="H10" s="8">
        <f>43884-G10</f>
        <v>25860</v>
      </c>
      <c r="I10" s="8">
        <f>68535-SUM(G10:H10)</f>
        <v>24651</v>
      </c>
      <c r="J10" s="8">
        <f t="shared" si="1"/>
        <v>26904</v>
      </c>
      <c r="K10" s="8">
        <v>28325</v>
      </c>
      <c r="L10" s="8">
        <f>65876-K10</f>
        <v>37551</v>
      </c>
      <c r="M10" s="8">
        <f>99876-SUM(K10:L10)</f>
        <v>34000</v>
      </c>
      <c r="N10" s="8">
        <f t="shared" si="2"/>
        <v>36643</v>
      </c>
      <c r="O10" s="8">
        <v>37891</v>
      </c>
      <c r="P10" s="8">
        <f>89533-O10</f>
        <v>51642</v>
      </c>
      <c r="X10" s="8">
        <v>60304</v>
      </c>
      <c r="Y10" s="8">
        <v>95439</v>
      </c>
      <c r="Z10" s="8">
        <v>136519</v>
      </c>
    </row>
    <row r="11" spans="1:26" s="8" customFormat="1" x14ac:dyDescent="0.2">
      <c r="A11" s="2"/>
      <c r="B11" s="16" t="s">
        <v>65</v>
      </c>
      <c r="L11" s="8">
        <v>7882</v>
      </c>
      <c r="P11" s="8">
        <v>8657</v>
      </c>
    </row>
    <row r="12" spans="1:26" s="8" customFormat="1" x14ac:dyDescent="0.2">
      <c r="A12" s="2"/>
      <c r="B12" s="1" t="s">
        <v>18</v>
      </c>
      <c r="C12" s="11">
        <v>152297</v>
      </c>
      <c r="D12" s="11">
        <f>290079-C12</f>
        <v>137782</v>
      </c>
      <c r="E12" s="11">
        <f>448105-SUM(C12:D12)</f>
        <v>158026</v>
      </c>
      <c r="F12" s="11">
        <f>+X12-SUM(C12:E12)</f>
        <v>122358</v>
      </c>
      <c r="G12" s="11">
        <v>174102</v>
      </c>
      <c r="H12" s="11">
        <f>342199-G12</f>
        <v>168097</v>
      </c>
      <c r="I12" s="11">
        <f>525454-SUM(G12:H12)</f>
        <v>183255</v>
      </c>
      <c r="J12" s="11">
        <f t="shared" si="1"/>
        <v>153072</v>
      </c>
      <c r="K12" s="11">
        <v>208313</v>
      </c>
      <c r="L12" s="11">
        <f>402798-K12</f>
        <v>194485</v>
      </c>
      <c r="M12" s="11">
        <f>625055-SUM(K12:L12)</f>
        <v>222257</v>
      </c>
      <c r="N12" s="11">
        <f>+Z12-SUM(K12:M12)</f>
        <v>185861</v>
      </c>
      <c r="O12" s="11">
        <v>270265</v>
      </c>
      <c r="P12" s="11">
        <f>534483-O12</f>
        <v>264218</v>
      </c>
      <c r="Q12" s="11"/>
      <c r="R12" s="11"/>
      <c r="V12" s="11">
        <v>404083</v>
      </c>
      <c r="W12" s="11">
        <v>484601</v>
      </c>
      <c r="X12" s="11">
        <v>570463</v>
      </c>
      <c r="Y12" s="11">
        <v>678526</v>
      </c>
      <c r="Z12" s="11">
        <v>810916</v>
      </c>
    </row>
    <row r="13" spans="1:26" s="8" customFormat="1" x14ac:dyDescent="0.2">
      <c r="A13" s="2"/>
      <c r="B13" s="2" t="s">
        <v>19</v>
      </c>
      <c r="C13" s="8">
        <v>75873</v>
      </c>
      <c r="D13" s="8">
        <v>142083</v>
      </c>
      <c r="E13" s="8">
        <v>218477</v>
      </c>
      <c r="F13" s="8">
        <f t="shared" si="0"/>
        <v>-162867</v>
      </c>
      <c r="G13" s="8">
        <v>79254</v>
      </c>
      <c r="H13" s="8">
        <f>152108-G13</f>
        <v>72854</v>
      </c>
      <c r="I13" s="8">
        <f>234533-SUM(G13:H13)</f>
        <v>82425</v>
      </c>
      <c r="J13" s="8">
        <f t="shared" si="1"/>
        <v>65115</v>
      </c>
      <c r="K13" s="8">
        <v>91990</v>
      </c>
      <c r="L13" s="8">
        <f>174356-K13</f>
        <v>82366</v>
      </c>
      <c r="M13" s="8">
        <f>271882-SUM(K13:L13)</f>
        <v>97526</v>
      </c>
      <c r="N13" s="8">
        <f>+Z13-SUM(K13:M13)</f>
        <v>78401</v>
      </c>
      <c r="O13" s="8">
        <v>122746</v>
      </c>
      <c r="P13" s="8">
        <f>228202-O13</f>
        <v>105456</v>
      </c>
      <c r="V13" s="8">
        <v>204205</v>
      </c>
      <c r="W13" s="8">
        <v>243894</v>
      </c>
      <c r="X13" s="8">
        <v>273566</v>
      </c>
      <c r="Y13" s="8">
        <v>299648</v>
      </c>
      <c r="Z13" s="8">
        <v>350283</v>
      </c>
    </row>
    <row r="14" spans="1:26" s="8" customFormat="1" x14ac:dyDescent="0.2">
      <c r="A14" s="2"/>
      <c r="B14" s="2" t="s">
        <v>20</v>
      </c>
      <c r="C14" s="8">
        <f t="shared" ref="C14:H14" si="3">+C12-C13</f>
        <v>76424</v>
      </c>
      <c r="D14" s="8">
        <f t="shared" si="3"/>
        <v>-4301</v>
      </c>
      <c r="E14" s="8">
        <f t="shared" si="3"/>
        <v>-60451</v>
      </c>
      <c r="F14" s="8">
        <f t="shared" si="3"/>
        <v>285225</v>
      </c>
      <c r="G14" s="8">
        <f t="shared" si="3"/>
        <v>94848</v>
      </c>
      <c r="H14" s="8">
        <f t="shared" si="3"/>
        <v>95243</v>
      </c>
      <c r="I14" s="8">
        <f>+I12-I13</f>
        <v>100830</v>
      </c>
      <c r="J14" s="8">
        <f t="shared" ref="J14:P14" si="4">+J12-J13</f>
        <v>87957</v>
      </c>
      <c r="K14" s="8">
        <f t="shared" si="4"/>
        <v>116323</v>
      </c>
      <c r="L14" s="8">
        <f t="shared" si="4"/>
        <v>112119</v>
      </c>
      <c r="M14" s="8">
        <f t="shared" si="4"/>
        <v>124731</v>
      </c>
      <c r="N14" s="8">
        <f t="shared" si="4"/>
        <v>107460</v>
      </c>
      <c r="O14" s="8">
        <f t="shared" si="4"/>
        <v>147519</v>
      </c>
      <c r="P14" s="8">
        <f t="shared" si="4"/>
        <v>158762</v>
      </c>
      <c r="V14" s="8">
        <f>+V12-V13</f>
        <v>199878</v>
      </c>
      <c r="W14" s="8">
        <f>+W12-W13</f>
        <v>240707</v>
      </c>
      <c r="X14" s="8">
        <f>+X12-X13</f>
        <v>296897</v>
      </c>
      <c r="Y14" s="8">
        <f>+Y12-Y13</f>
        <v>378878</v>
      </c>
      <c r="Z14" s="8">
        <f>+Z12-Z13</f>
        <v>460633</v>
      </c>
    </row>
    <row r="15" spans="1:26" s="8" customFormat="1" x14ac:dyDescent="0.2">
      <c r="A15" s="2"/>
      <c r="B15" s="2" t="s">
        <v>24</v>
      </c>
      <c r="C15" s="8">
        <v>54303</v>
      </c>
      <c r="D15" s="8">
        <v>114385</v>
      </c>
      <c r="E15" s="8">
        <v>173822</v>
      </c>
      <c r="F15" s="8">
        <f t="shared" si="0"/>
        <v>-99830</v>
      </c>
      <c r="G15" s="8">
        <v>61034</v>
      </c>
      <c r="H15" s="8">
        <f>131094-G15</f>
        <v>70060</v>
      </c>
      <c r="I15" s="8">
        <f>199397-SUM(G15:H15)</f>
        <v>68303</v>
      </c>
      <c r="J15" s="8">
        <f t="shared" si="1"/>
        <v>79369</v>
      </c>
      <c r="K15" s="8">
        <v>71810</v>
      </c>
      <c r="L15" s="8">
        <f>147310-K15</f>
        <v>75500</v>
      </c>
      <c r="M15" s="8">
        <f>225566-SUM(K15:L15)</f>
        <v>78256</v>
      </c>
      <c r="N15" s="8">
        <f>+Z15-SUM(K15:M15)</f>
        <v>92546</v>
      </c>
      <c r="O15" s="8">
        <v>86755</v>
      </c>
      <c r="P15" s="8">
        <f>185794-O15</f>
        <v>99039</v>
      </c>
      <c r="V15" s="8">
        <v>177932</v>
      </c>
      <c r="W15" s="8">
        <v>206704</v>
      </c>
      <c r="X15" s="8">
        <v>242680</v>
      </c>
      <c r="Y15" s="8">
        <v>278766</v>
      </c>
      <c r="Z15" s="8">
        <v>318112</v>
      </c>
    </row>
    <row r="16" spans="1:26" s="8" customFormat="1" x14ac:dyDescent="0.2">
      <c r="A16" s="2"/>
      <c r="B16" s="2" t="s">
        <v>25</v>
      </c>
      <c r="C16" s="8">
        <f t="shared" ref="C16:H16" si="5">+C14-C15</f>
        <v>22121</v>
      </c>
      <c r="D16" s="8">
        <f t="shared" si="5"/>
        <v>-118686</v>
      </c>
      <c r="E16" s="8">
        <f t="shared" si="5"/>
        <v>-234273</v>
      </c>
      <c r="F16" s="8">
        <f t="shared" si="5"/>
        <v>385055</v>
      </c>
      <c r="G16" s="8">
        <f t="shared" si="5"/>
        <v>33814</v>
      </c>
      <c r="H16" s="8">
        <f t="shared" si="5"/>
        <v>25183</v>
      </c>
      <c r="I16" s="8">
        <f>+I14-I15</f>
        <v>32527</v>
      </c>
      <c r="J16" s="8">
        <f t="shared" ref="J16:P16" si="6">+J14-J15</f>
        <v>8588</v>
      </c>
      <c r="K16" s="8">
        <f t="shared" si="6"/>
        <v>44513</v>
      </c>
      <c r="L16" s="8">
        <f t="shared" si="6"/>
        <v>36619</v>
      </c>
      <c r="M16" s="8">
        <f t="shared" si="6"/>
        <v>46475</v>
      </c>
      <c r="N16" s="8">
        <f t="shared" si="6"/>
        <v>14914</v>
      </c>
      <c r="O16" s="8">
        <f t="shared" si="6"/>
        <v>60764</v>
      </c>
      <c r="P16" s="8">
        <f t="shared" si="6"/>
        <v>59723</v>
      </c>
      <c r="V16" s="8">
        <f t="shared" ref="V16:W16" si="7">+V14-V15</f>
        <v>21946</v>
      </c>
      <c r="W16" s="8">
        <f t="shared" si="7"/>
        <v>34003</v>
      </c>
      <c r="X16" s="8">
        <f>+X14-X15</f>
        <v>54217</v>
      </c>
      <c r="Y16" s="8">
        <f>+Y14-Y15</f>
        <v>100112</v>
      </c>
      <c r="Z16" s="8">
        <f>+Z14-Z15</f>
        <v>142521</v>
      </c>
    </row>
    <row r="17" spans="1:70" s="8" customFormat="1" x14ac:dyDescent="0.2">
      <c r="A17" s="2"/>
      <c r="B17" s="2" t="s">
        <v>26</v>
      </c>
      <c r="C17" s="8">
        <v>1511</v>
      </c>
      <c r="D17" s="8">
        <v>3482</v>
      </c>
      <c r="E17" s="8">
        <v>4398</v>
      </c>
      <c r="F17" s="8">
        <f t="shared" si="0"/>
        <v>-4090</v>
      </c>
      <c r="G17" s="8">
        <v>1636</v>
      </c>
      <c r="H17" s="8">
        <f>3802-G17</f>
        <v>2166</v>
      </c>
      <c r="I17" s="8">
        <f>5815-SUM(G17:H17)</f>
        <v>2013</v>
      </c>
      <c r="J17" s="8">
        <f t="shared" si="1"/>
        <v>-70</v>
      </c>
      <c r="K17" s="8">
        <v>1640</v>
      </c>
      <c r="L17" s="8">
        <f>2551-K17</f>
        <v>911</v>
      </c>
      <c r="M17" s="8">
        <f>3309-SUM(K17:L17)</f>
        <v>758</v>
      </c>
      <c r="N17" s="8">
        <f>+Z17-SUM(K17:M17)</f>
        <v>1271</v>
      </c>
      <c r="O17" s="8">
        <v>1023</v>
      </c>
      <c r="P17" s="8">
        <f>2357-O17</f>
        <v>1334</v>
      </c>
      <c r="X17" s="8">
        <v>5301</v>
      </c>
      <c r="Y17" s="8">
        <v>5745</v>
      </c>
      <c r="Z17" s="8">
        <v>4580</v>
      </c>
    </row>
    <row r="18" spans="1:70" s="8" customFormat="1" x14ac:dyDescent="0.2">
      <c r="A18" s="2"/>
      <c r="B18" s="2" t="s">
        <v>27</v>
      </c>
      <c r="C18" s="8">
        <v>1711</v>
      </c>
      <c r="D18" s="8">
        <v>3273</v>
      </c>
      <c r="E18" s="8">
        <v>5455</v>
      </c>
      <c r="F18" s="8">
        <f t="shared" si="0"/>
        <v>-1594</v>
      </c>
      <c r="G18" s="8">
        <v>2372</v>
      </c>
      <c r="H18" s="8">
        <f>4976-G18</f>
        <v>2604</v>
      </c>
      <c r="I18" s="8">
        <f>9059-SUM(G18:H18)</f>
        <v>4083</v>
      </c>
      <c r="J18" s="8">
        <f t="shared" si="1"/>
        <v>4196</v>
      </c>
      <c r="K18" s="8">
        <v>2775</v>
      </c>
      <c r="L18" s="8">
        <f>5056-K18</f>
        <v>2281</v>
      </c>
      <c r="M18" s="8">
        <f>6415-SUM(K18:L18)</f>
        <v>1359</v>
      </c>
      <c r="N18" s="8">
        <f>+Z18-SUM(K18:M18)</f>
        <v>1389</v>
      </c>
      <c r="O18" s="8">
        <v>3011</v>
      </c>
      <c r="P18" s="8">
        <f>6246-O18</f>
        <v>3235</v>
      </c>
      <c r="X18" s="8">
        <v>8845</v>
      </c>
      <c r="Y18" s="8">
        <v>13255</v>
      </c>
      <c r="Z18" s="8">
        <v>7804</v>
      </c>
    </row>
    <row r="19" spans="1:70" s="8" customFormat="1" x14ac:dyDescent="0.2">
      <c r="A19" s="2"/>
      <c r="B19" s="2" t="s">
        <v>30</v>
      </c>
      <c r="C19" s="8">
        <f t="shared" ref="C19:H19" si="8">+C16-C18+C17</f>
        <v>21921</v>
      </c>
      <c r="D19" s="8">
        <f t="shared" si="8"/>
        <v>-118477</v>
      </c>
      <c r="E19" s="8">
        <f t="shared" si="8"/>
        <v>-235330</v>
      </c>
      <c r="F19" s="8">
        <f t="shared" si="8"/>
        <v>382559</v>
      </c>
      <c r="G19" s="8">
        <f t="shared" si="8"/>
        <v>33078</v>
      </c>
      <c r="H19" s="8">
        <f t="shared" si="8"/>
        <v>24745</v>
      </c>
      <c r="I19" s="8">
        <f>+I16-I18+I17</f>
        <v>30457</v>
      </c>
      <c r="J19" s="8">
        <f t="shared" ref="J19:P19" si="9">+J16-J18+J17</f>
        <v>4322</v>
      </c>
      <c r="K19" s="8">
        <f t="shared" si="9"/>
        <v>43378</v>
      </c>
      <c r="L19" s="8">
        <f t="shared" si="9"/>
        <v>35249</v>
      </c>
      <c r="M19" s="8">
        <f t="shared" si="9"/>
        <v>45874</v>
      </c>
      <c r="N19" s="8">
        <f t="shared" si="9"/>
        <v>14796</v>
      </c>
      <c r="O19" s="8">
        <f t="shared" si="9"/>
        <v>58776</v>
      </c>
      <c r="P19" s="8">
        <f t="shared" si="9"/>
        <v>57822</v>
      </c>
      <c r="X19" s="8">
        <f>+X16+X17-X18</f>
        <v>50673</v>
      </c>
      <c r="Y19" s="8">
        <f>+Y16+Y17-Y18</f>
        <v>92602</v>
      </c>
      <c r="Z19" s="8">
        <f>+Z16+Z17-Z18</f>
        <v>139297</v>
      </c>
    </row>
    <row r="20" spans="1:70" s="8" customFormat="1" x14ac:dyDescent="0.2">
      <c r="A20" s="2"/>
      <c r="B20" s="2" t="s">
        <v>28</v>
      </c>
      <c r="C20" s="8">
        <v>1</v>
      </c>
      <c r="D20" s="8">
        <v>8</v>
      </c>
      <c r="E20" s="8">
        <v>1499</v>
      </c>
      <c r="F20" s="8">
        <f t="shared" si="0"/>
        <v>6910</v>
      </c>
      <c r="G20" s="8">
        <v>1</v>
      </c>
      <c r="H20" s="8">
        <f>267-G20</f>
        <v>266</v>
      </c>
      <c r="I20" s="8">
        <f>5924-SUM(G20:H20)</f>
        <v>5657</v>
      </c>
      <c r="J20" s="8">
        <f t="shared" si="1"/>
        <v>1250</v>
      </c>
      <c r="K20" s="8">
        <v>12</v>
      </c>
      <c r="L20" s="8">
        <f>2305-K20</f>
        <v>2293</v>
      </c>
      <c r="M20" s="8">
        <f>2306-SUM(K20:L20)</f>
        <v>1</v>
      </c>
      <c r="N20" s="8">
        <f>+Z20-SUM(K20:M20)</f>
        <v>7</v>
      </c>
      <c r="O20" s="8">
        <v>3108</v>
      </c>
      <c r="P20" s="8">
        <f>3148-O20</f>
        <v>40</v>
      </c>
      <c r="X20" s="8">
        <v>8418</v>
      </c>
      <c r="Y20" s="8">
        <v>7174</v>
      </c>
      <c r="Z20" s="8">
        <v>2313</v>
      </c>
    </row>
    <row r="21" spans="1:70" s="8" customFormat="1" x14ac:dyDescent="0.2">
      <c r="A21" s="2"/>
      <c r="B21" s="2" t="s">
        <v>29</v>
      </c>
      <c r="C21" s="8">
        <v>317</v>
      </c>
      <c r="D21" s="8">
        <v>429</v>
      </c>
      <c r="E21" s="8">
        <v>1019</v>
      </c>
      <c r="F21" s="8">
        <f t="shared" si="0"/>
        <v>6751</v>
      </c>
      <c r="G21" s="8">
        <v>15</v>
      </c>
      <c r="H21" s="8">
        <f>31-G21</f>
        <v>16</v>
      </c>
      <c r="I21" s="8">
        <f>2129-SUM(G21:H21)</f>
        <v>2098</v>
      </c>
      <c r="J21" s="8">
        <f t="shared" si="1"/>
        <v>4402</v>
      </c>
      <c r="K21" s="8">
        <v>6</v>
      </c>
      <c r="L21" s="8">
        <f>200-K21</f>
        <v>194</v>
      </c>
      <c r="M21" s="8">
        <f>268-SUM(K21:L21)</f>
        <v>68</v>
      </c>
      <c r="N21" s="8">
        <f>+Z21-SUM(K21:M21)</f>
        <v>2591</v>
      </c>
      <c r="O21" s="8">
        <v>14</v>
      </c>
      <c r="P21" s="8">
        <f>8079-O21</f>
        <v>8065</v>
      </c>
      <c r="X21" s="8">
        <v>8516</v>
      </c>
      <c r="Y21" s="8">
        <v>6531</v>
      </c>
      <c r="Z21" s="8">
        <v>2859</v>
      </c>
    </row>
    <row r="22" spans="1:70" s="8" customFormat="1" x14ac:dyDescent="0.2">
      <c r="A22" s="2"/>
      <c r="B22" s="2" t="s">
        <v>31</v>
      </c>
      <c r="C22" s="8">
        <f t="shared" ref="C22:H22" si="10">+C19+C20-C21</f>
        <v>21605</v>
      </c>
      <c r="D22" s="8">
        <f t="shared" si="10"/>
        <v>-118898</v>
      </c>
      <c r="E22" s="8">
        <f t="shared" si="10"/>
        <v>-234850</v>
      </c>
      <c r="F22" s="8">
        <f t="shared" si="10"/>
        <v>382718</v>
      </c>
      <c r="G22" s="8">
        <f t="shared" si="10"/>
        <v>33064</v>
      </c>
      <c r="H22" s="8">
        <f t="shared" si="10"/>
        <v>24995</v>
      </c>
      <c r="I22" s="8">
        <f>+I19+I20-I21</f>
        <v>34016</v>
      </c>
      <c r="J22" s="8">
        <f t="shared" ref="J22:P22" si="11">+J19+J20-J21</f>
        <v>1170</v>
      </c>
      <c r="K22" s="8">
        <f t="shared" si="11"/>
        <v>43384</v>
      </c>
      <c r="L22" s="8">
        <f t="shared" si="11"/>
        <v>37348</v>
      </c>
      <c r="M22" s="8">
        <f t="shared" si="11"/>
        <v>45807</v>
      </c>
      <c r="N22" s="8">
        <f t="shared" si="11"/>
        <v>12212</v>
      </c>
      <c r="O22" s="8">
        <f t="shared" si="11"/>
        <v>61870</v>
      </c>
      <c r="P22" s="8">
        <f t="shared" si="11"/>
        <v>49797</v>
      </c>
      <c r="X22" s="8">
        <f>+X19+X20-X21</f>
        <v>50575</v>
      </c>
      <c r="Y22" s="8">
        <f>+Y19+Y20-Y21</f>
        <v>93245</v>
      </c>
      <c r="Z22" s="8">
        <f>+Z19+Z20-Z21</f>
        <v>138751</v>
      </c>
    </row>
    <row r="23" spans="1:70" s="8" customFormat="1" x14ac:dyDescent="0.2">
      <c r="A23" s="2"/>
      <c r="B23" s="2" t="s">
        <v>32</v>
      </c>
      <c r="C23" s="8">
        <v>5189</v>
      </c>
      <c r="D23" s="8">
        <v>8473</v>
      </c>
      <c r="E23" s="8">
        <v>14865</v>
      </c>
      <c r="F23" s="8">
        <f t="shared" si="0"/>
        <v>-13408</v>
      </c>
      <c r="G23" s="8">
        <v>6239</v>
      </c>
      <c r="H23" s="8">
        <f>15761-G23</f>
        <v>9522</v>
      </c>
      <c r="I23" s="8">
        <f>27112-SUM(G23:H23)</f>
        <v>11351</v>
      </c>
      <c r="J23" s="8">
        <f t="shared" si="1"/>
        <v>2187</v>
      </c>
      <c r="K23" s="8">
        <v>11654</v>
      </c>
      <c r="L23" s="8">
        <f>27048-K23</f>
        <v>15394</v>
      </c>
      <c r="M23" s="8">
        <f>40166-SUM(K23:L23)</f>
        <v>13118</v>
      </c>
      <c r="N23" s="8">
        <f>+Z23-SUM(K23:M23)</f>
        <v>-246</v>
      </c>
      <c r="O23" s="8">
        <v>15198</v>
      </c>
      <c r="P23" s="8">
        <f>29397-O23</f>
        <v>14199</v>
      </c>
      <c r="X23" s="8">
        <v>15119</v>
      </c>
      <c r="Y23" s="8">
        <v>29299</v>
      </c>
      <c r="Z23" s="8">
        <v>39920</v>
      </c>
    </row>
    <row r="24" spans="1:70" s="8" customFormat="1" x14ac:dyDescent="0.2">
      <c r="A24" s="2"/>
      <c r="B24" s="2" t="s">
        <v>33</v>
      </c>
      <c r="C24" s="8">
        <f t="shared" ref="C24:H24" si="12">+C22-C23</f>
        <v>16416</v>
      </c>
      <c r="D24" s="8">
        <f t="shared" si="12"/>
        <v>-127371</v>
      </c>
      <c r="E24" s="8">
        <f t="shared" si="12"/>
        <v>-249715</v>
      </c>
      <c r="F24" s="8">
        <f t="shared" si="12"/>
        <v>396126</v>
      </c>
      <c r="G24" s="8">
        <f t="shared" si="12"/>
        <v>26825</v>
      </c>
      <c r="H24" s="8">
        <f t="shared" si="12"/>
        <v>15473</v>
      </c>
      <c r="I24" s="8">
        <f>+I22-I23</f>
        <v>22665</v>
      </c>
      <c r="J24" s="8">
        <f t="shared" ref="J24:P24" si="13">+J22-J23</f>
        <v>-1017</v>
      </c>
      <c r="K24" s="8">
        <f t="shared" si="13"/>
        <v>31730</v>
      </c>
      <c r="L24" s="8">
        <f t="shared" si="13"/>
        <v>21954</v>
      </c>
      <c r="M24" s="8">
        <f t="shared" si="13"/>
        <v>32689</v>
      </c>
      <c r="N24" s="8">
        <f t="shared" si="13"/>
        <v>12458</v>
      </c>
      <c r="O24" s="8">
        <f t="shared" si="13"/>
        <v>46672</v>
      </c>
      <c r="P24" s="8">
        <f t="shared" si="13"/>
        <v>35598</v>
      </c>
      <c r="X24" s="8">
        <f>+X22-X23</f>
        <v>35456</v>
      </c>
      <c r="Y24" s="8">
        <f>+Y22-Y23</f>
        <v>63946</v>
      </c>
      <c r="Z24" s="8">
        <f>+Z22-Z23</f>
        <v>98831</v>
      </c>
    </row>
    <row r="25" spans="1:70" s="8" customFormat="1" x14ac:dyDescent="0.2">
      <c r="A25" s="2"/>
      <c r="B25" s="2" t="s">
        <v>34</v>
      </c>
      <c r="C25" s="8">
        <v>105</v>
      </c>
      <c r="D25" s="8">
        <v>129</v>
      </c>
      <c r="E25" s="8">
        <v>81</v>
      </c>
      <c r="F25" s="8">
        <f t="shared" si="0"/>
        <v>-135</v>
      </c>
      <c r="G25" s="8">
        <v>85</v>
      </c>
      <c r="H25" s="8">
        <f>77-G25</f>
        <v>-8</v>
      </c>
      <c r="I25" s="8">
        <f>20-SUM(G25:H25)</f>
        <v>-57</v>
      </c>
      <c r="J25" s="8">
        <f t="shared" si="1"/>
        <v>118</v>
      </c>
      <c r="K25" s="8">
        <v>80</v>
      </c>
      <c r="L25" s="8">
        <f>76-K25</f>
        <v>-4</v>
      </c>
      <c r="M25" s="8">
        <f>56-SUM(K25:L25)</f>
        <v>-20</v>
      </c>
      <c r="N25" s="8">
        <f>+Z25-SUM(K25:M25)</f>
        <v>52</v>
      </c>
      <c r="O25" s="8">
        <v>101</v>
      </c>
      <c r="P25" s="8">
        <f>97-O25</f>
        <v>-4</v>
      </c>
      <c r="X25" s="8">
        <v>180</v>
      </c>
      <c r="Y25" s="8">
        <v>138</v>
      </c>
      <c r="Z25" s="8">
        <v>108</v>
      </c>
    </row>
    <row r="26" spans="1:70" s="8" customFormat="1" x14ac:dyDescent="0.2">
      <c r="A26" s="2"/>
      <c r="B26" s="2" t="s">
        <v>35</v>
      </c>
      <c r="C26" s="8">
        <f t="shared" ref="C26:H26" si="14">+C24-C25</f>
        <v>16311</v>
      </c>
      <c r="D26" s="8">
        <f t="shared" si="14"/>
        <v>-127500</v>
      </c>
      <c r="E26" s="8">
        <f t="shared" si="14"/>
        <v>-249796</v>
      </c>
      <c r="F26" s="8">
        <f t="shared" si="14"/>
        <v>396261</v>
      </c>
      <c r="G26" s="8">
        <f>+G24-G25</f>
        <v>26740</v>
      </c>
      <c r="H26" s="8">
        <f t="shared" si="14"/>
        <v>15481</v>
      </c>
      <c r="I26" s="8">
        <f>+I24-I25</f>
        <v>22722</v>
      </c>
      <c r="J26" s="8">
        <f t="shared" ref="J26:P26" si="15">+J24-J25</f>
        <v>-1135</v>
      </c>
      <c r="K26" s="8">
        <f t="shared" si="15"/>
        <v>31650</v>
      </c>
      <c r="L26" s="8">
        <f t="shared" si="15"/>
        <v>21958</v>
      </c>
      <c r="M26" s="8">
        <f t="shared" si="15"/>
        <v>32709</v>
      </c>
      <c r="N26" s="8">
        <f t="shared" si="15"/>
        <v>12406</v>
      </c>
      <c r="O26" s="8">
        <f t="shared" si="15"/>
        <v>46571</v>
      </c>
      <c r="P26" s="8">
        <f t="shared" si="15"/>
        <v>35602</v>
      </c>
      <c r="X26" s="8">
        <f>+X24-X25</f>
        <v>35276</v>
      </c>
      <c r="Y26" s="8">
        <f>+Y24-Y25</f>
        <v>63808</v>
      </c>
      <c r="Z26" s="8">
        <f>+Z24-Z25</f>
        <v>98723</v>
      </c>
    </row>
    <row r="27" spans="1:70" s="8" customFormat="1" x14ac:dyDescent="0.2">
      <c r="A27" s="2"/>
      <c r="B27" s="2"/>
    </row>
    <row r="28" spans="1:70" s="8" customFormat="1" x14ac:dyDescent="0.2">
      <c r="A28" s="2"/>
      <c r="B28" s="2" t="s">
        <v>36</v>
      </c>
      <c r="C28" s="12">
        <f t="shared" ref="C28:H28" si="16">+C26/C29</f>
        <v>22.262139298476221</v>
      </c>
      <c r="D28" s="12">
        <f t="shared" si="16"/>
        <v>-174.00271459792663</v>
      </c>
      <c r="E28" s="12">
        <f t="shared" si="16"/>
        <v>-340.87626624938014</v>
      </c>
      <c r="F28" s="12">
        <f t="shared" si="16"/>
        <v>548.36841234373048</v>
      </c>
      <c r="G28" s="12">
        <f t="shared" si="16"/>
        <v>36.654522788407427</v>
      </c>
      <c r="H28" s="12">
        <f t="shared" si="16"/>
        <v>21.298860831508435</v>
      </c>
      <c r="I28" s="12">
        <f>+I26/I29</f>
        <v>31.354480047458221</v>
      </c>
      <c r="J28" s="12">
        <f t="shared" ref="J28:P28" si="17">+J26/J29</f>
        <v>-1.5611804944298882</v>
      </c>
      <c r="K28" s="12">
        <f t="shared" si="17"/>
        <v>44.26723755635679</v>
      </c>
      <c r="L28" s="12">
        <f t="shared" si="17"/>
        <v>30.720007084264751</v>
      </c>
      <c r="M28" s="12">
        <f t="shared" si="17"/>
        <v>45.724263250456808</v>
      </c>
      <c r="N28" s="12">
        <f t="shared" si="17"/>
        <v>17.35840682767957</v>
      </c>
      <c r="O28" s="12">
        <f t="shared" si="17"/>
        <v>65.712791315061338</v>
      </c>
      <c r="P28" s="12">
        <f t="shared" si="17"/>
        <v>50.228979147184361</v>
      </c>
      <c r="Q28" s="12"/>
      <c r="R28" s="12"/>
      <c r="Y28" s="8">
        <f>+Y26/Y29</f>
        <v>88.301123892658509</v>
      </c>
      <c r="Z28" s="8">
        <f>+Z26/Z29</f>
        <v>138.13267751483235</v>
      </c>
    </row>
    <row r="29" spans="1:70" x14ac:dyDescent="0.2">
      <c r="B29" s="2" t="s">
        <v>2</v>
      </c>
      <c r="C29" s="6">
        <f>183.169728*4</f>
        <v>732.67891199999997</v>
      </c>
      <c r="D29" s="6">
        <v>732.74718900000005</v>
      </c>
      <c r="E29" s="6">
        <v>732.80549199999996</v>
      </c>
      <c r="F29" s="3">
        <v>722.61820899999998</v>
      </c>
      <c r="G29" s="6">
        <f>182.378585*4</f>
        <v>729.51433999999995</v>
      </c>
      <c r="H29" s="6">
        <v>726.84638500000005</v>
      </c>
      <c r="I29" s="6">
        <v>724.68112900000006</v>
      </c>
      <c r="J29" s="6">
        <f>+AVERAGE(G29:I29)</f>
        <v>727.01395133333335</v>
      </c>
      <c r="K29" s="6">
        <v>714.97571900000003</v>
      </c>
      <c r="L29" s="6">
        <v>714.77848100000006</v>
      </c>
      <c r="M29" s="3">
        <v>715.35324300000002</v>
      </c>
      <c r="N29" s="3">
        <v>714.69692599999996</v>
      </c>
      <c r="O29" s="3">
        <v>708.70524699999999</v>
      </c>
      <c r="P29" s="3">
        <v>708.79401900000005</v>
      </c>
      <c r="Q29" s="3"/>
      <c r="R29" s="3"/>
      <c r="S29" s="3"/>
      <c r="T29" s="3"/>
      <c r="U29" s="3"/>
      <c r="V29" s="3"/>
      <c r="W29" s="3"/>
      <c r="X29" s="3"/>
      <c r="Y29" s="3">
        <v>722.61820899999998</v>
      </c>
      <c r="Z29" s="3">
        <v>714.69692599999996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6"/>
      <c r="BD29" s="6"/>
      <c r="BE29" s="6"/>
      <c r="BF29" s="6"/>
      <c r="BG29" s="6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</row>
    <row r="30" spans="1:70" x14ac:dyDescent="0.2"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6"/>
      <c r="BD30" s="6"/>
      <c r="BE30" s="6"/>
      <c r="BF30" s="6"/>
      <c r="BG30" s="6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</row>
    <row r="31" spans="1:70" x14ac:dyDescent="0.2">
      <c r="B31" s="2" t="s">
        <v>37</v>
      </c>
      <c r="C31" s="3"/>
      <c r="D31" s="3"/>
      <c r="E31" s="3"/>
      <c r="F31" s="3"/>
      <c r="G31" s="9">
        <f>+G6/C6-1</f>
        <v>0.12810442416541523</v>
      </c>
      <c r="H31" s="9">
        <f>+H6/D6-1</f>
        <v>0.18709778909132502</v>
      </c>
      <c r="I31" s="9">
        <f>+I6/E6-1</f>
        <v>0.10277542880943069</v>
      </c>
      <c r="J31" s="9">
        <f>+J6/F6-1</f>
        <v>0.16649960074075332</v>
      </c>
      <c r="K31" s="9">
        <f>+K6/G6-1</f>
        <v>0.11501353903565659</v>
      </c>
      <c r="L31" s="9">
        <f>+L6/H6-1</f>
        <v>4.7609295377609717E-2</v>
      </c>
      <c r="M31" s="9">
        <f>+M6/I6-1</f>
        <v>0.1369629409206401</v>
      </c>
      <c r="N31" s="9">
        <f>+N6/J6-1</f>
        <v>0.15406574520456173</v>
      </c>
      <c r="O31" s="9">
        <f>+O6/K6-1</f>
        <v>0.19121863616419899</v>
      </c>
      <c r="P31" s="9">
        <f>+P6/L6-1</f>
        <v>0.19489196306390211</v>
      </c>
      <c r="Q31" s="9"/>
      <c r="R31" s="9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6"/>
      <c r="BD31" s="6"/>
      <c r="BE31" s="6"/>
      <c r="BF31" s="6"/>
      <c r="BG31" s="6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</row>
    <row r="32" spans="1:70" x14ac:dyDescent="0.2">
      <c r="B32" s="2" t="s">
        <v>38</v>
      </c>
      <c r="C32" s="3"/>
      <c r="D32" s="3"/>
      <c r="E32" s="3"/>
      <c r="F32" s="3"/>
      <c r="G32" s="9">
        <f>+G7/C7-1</f>
        <v>9.4235082010465598E-2</v>
      </c>
      <c r="H32" s="9">
        <f>+H7/D7-1</f>
        <v>-2.7531234100288349E-2</v>
      </c>
      <c r="I32" s="9">
        <f>+I7/E7-1</f>
        <v>0.10573285478707928</v>
      </c>
      <c r="J32" s="9">
        <f>+J7/F7-1</f>
        <v>0.23680893210877008</v>
      </c>
      <c r="K32" s="9">
        <f>+K7/G7-1</f>
        <v>2.463430316669335E-2</v>
      </c>
      <c r="L32" s="9">
        <f>+L7/H7-1</f>
        <v>8.2490408092082301E-2</v>
      </c>
      <c r="M32" s="9">
        <f>+M7/I7-1</f>
        <v>0.11799280638652521</v>
      </c>
      <c r="N32" s="9">
        <f>+N7/J7-1</f>
        <v>0.19605416423995337</v>
      </c>
      <c r="O32" s="9">
        <f>+O7/K7-1</f>
        <v>0.19821939836059155</v>
      </c>
      <c r="P32" s="9">
        <f>+P7/L7-1</f>
        <v>0.31894098061328613</v>
      </c>
      <c r="Q32" s="9"/>
      <c r="R32" s="9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6"/>
      <c r="BD32" s="6"/>
      <c r="BE32" s="6"/>
      <c r="BF32" s="6"/>
      <c r="BG32" s="6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</row>
    <row r="33" spans="2:70" x14ac:dyDescent="0.2">
      <c r="B33" s="2" t="s">
        <v>39</v>
      </c>
      <c r="C33" s="3"/>
      <c r="D33" s="3"/>
      <c r="E33" s="3"/>
      <c r="F33" s="3"/>
      <c r="G33" s="9">
        <f>+G8/C8-1</f>
        <v>-2.9151483602290473E-2</v>
      </c>
      <c r="H33" s="9">
        <f>+H8/D8-1</f>
        <v>0.10838252656434477</v>
      </c>
      <c r="I33" s="9">
        <f>+I8/E8-1</f>
        <v>4.7671728854470574E-2</v>
      </c>
      <c r="J33" s="9">
        <f>+J8/F8-1</f>
        <v>9.4036978082527201E-2</v>
      </c>
      <c r="K33" s="9">
        <f>+K8/G8-1</f>
        <v>0.10873994638069706</v>
      </c>
      <c r="L33" s="9">
        <f>+L8/H8-1</f>
        <v>2.9399233063485353E-2</v>
      </c>
      <c r="M33" s="9">
        <f>+M8/I8-1</f>
        <v>0.17500239992320243</v>
      </c>
      <c r="N33" s="9">
        <f>+N8/J8-1</f>
        <v>9.9944040290990577E-2</v>
      </c>
      <c r="O33" s="9">
        <f>+O8/K8-1</f>
        <v>0.39529935196827548</v>
      </c>
      <c r="P33" s="9">
        <f>+P8/L8-1</f>
        <v>0.15925082781456945</v>
      </c>
      <c r="Q33" s="9"/>
      <c r="R33" s="9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6"/>
      <c r="BD33" s="6"/>
      <c r="BE33" s="6"/>
      <c r="BF33" s="6"/>
      <c r="BG33" s="6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</row>
    <row r="34" spans="2:70" x14ac:dyDescent="0.2">
      <c r="B34" s="2" t="s">
        <v>40</v>
      </c>
      <c r="C34" s="3"/>
      <c r="D34" s="3"/>
      <c r="E34" s="3"/>
      <c r="F34" s="3"/>
      <c r="G34" s="9">
        <f>+G9/C9-1</f>
        <v>0.51694969974817595</v>
      </c>
      <c r="H34" s="9">
        <f>+H9/D9-1</f>
        <v>0.7865766481334393</v>
      </c>
      <c r="I34" s="9">
        <f>+I9/E9-1</f>
        <v>0.62736983390190715</v>
      </c>
      <c r="J34" s="9">
        <f>+J9/F9-1</f>
        <v>0.75501917437401311</v>
      </c>
      <c r="K34" s="9">
        <f>+K9/G9-1</f>
        <v>0.49593495934959342</v>
      </c>
      <c r="L34" s="9">
        <f>+L9/H9-1</f>
        <v>0.43022273596229943</v>
      </c>
      <c r="M34" s="9">
        <f>+M9/I9-1</f>
        <v>0.43406989930925466</v>
      </c>
      <c r="N34" s="9">
        <f>+N9/J9-1</f>
        <v>0.38303341902313615</v>
      </c>
      <c r="O34" s="9">
        <f>+O9/K9-1</f>
        <v>0.69647735033007052</v>
      </c>
      <c r="P34" s="9">
        <f>+P9/L9-1</f>
        <v>0.97590923220391668</v>
      </c>
      <c r="Q34" s="9"/>
      <c r="R34" s="9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6"/>
      <c r="BD34" s="6"/>
      <c r="BE34" s="6"/>
      <c r="BF34" s="6"/>
      <c r="BG34" s="6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</row>
    <row r="35" spans="2:70" x14ac:dyDescent="0.2">
      <c r="B35" s="2" t="s">
        <v>41</v>
      </c>
      <c r="C35" s="3"/>
      <c r="D35" s="3"/>
      <c r="E35" s="3"/>
      <c r="F35" s="3"/>
      <c r="G35" s="9">
        <f>+G10/C10-1</f>
        <v>0.48663807324315411</v>
      </c>
      <c r="H35" s="9">
        <f>+H10/D10-1</f>
        <v>0.59896123168243376</v>
      </c>
      <c r="I35" s="9">
        <f>+I10/E10-1</f>
        <v>0.48706038487060388</v>
      </c>
      <c r="J35" s="9">
        <f>+J10/F10-1</f>
        <v>0.74361633182112774</v>
      </c>
      <c r="K35" s="9">
        <f>+K10/G10-1</f>
        <v>0.57151575676875277</v>
      </c>
      <c r="L35" s="9">
        <f>+L10/H10-1</f>
        <v>0.4520881670533643</v>
      </c>
      <c r="M35" s="9">
        <f>+M10/I10-1</f>
        <v>0.37925439130258409</v>
      </c>
      <c r="N35" s="9">
        <f>+N10/J10-1</f>
        <v>0.36199078203984536</v>
      </c>
      <c r="O35" s="9">
        <f>+O10/K10-1</f>
        <v>0.33772285966460713</v>
      </c>
      <c r="P35" s="9">
        <f>+P10/L10-1</f>
        <v>0.37524966046177188</v>
      </c>
      <c r="Q35" s="9"/>
      <c r="R35" s="9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6"/>
      <c r="BD35" s="6"/>
      <c r="BE35" s="6"/>
      <c r="BF35" s="6"/>
      <c r="BG35" s="6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</row>
    <row r="36" spans="2:70" x14ac:dyDescent="0.2">
      <c r="B36" s="1" t="s">
        <v>56</v>
      </c>
      <c r="C36" s="7"/>
      <c r="D36" s="7"/>
      <c r="E36" s="7"/>
      <c r="F36" s="7"/>
      <c r="G36" s="10">
        <f t="shared" ref="G36" si="18">+G12/C12-1</f>
        <v>0.14317419253169783</v>
      </c>
      <c r="H36" s="10">
        <f t="shared" ref="H36" si="19">+H12/D12-1</f>
        <v>0.22002148321261128</v>
      </c>
      <c r="I36" s="10">
        <f>+I12/E12-1</f>
        <v>0.15965094351562392</v>
      </c>
      <c r="J36" s="10">
        <f>+J12/F12-1</f>
        <v>0.25101750600696326</v>
      </c>
      <c r="K36" s="10">
        <f t="shared" ref="K36" si="20">+K12/G12-1</f>
        <v>0.19649975301834566</v>
      </c>
      <c r="L36" s="10">
        <f t="shared" ref="L36:P36" si="21">+L12/H12-1</f>
        <v>0.1569807908529004</v>
      </c>
      <c r="M36" s="10">
        <f t="shared" si="21"/>
        <v>0.21282911789582815</v>
      </c>
      <c r="N36" s="10">
        <f t="shared" si="21"/>
        <v>0.21420638653705448</v>
      </c>
      <c r="O36" s="10">
        <f t="shared" si="21"/>
        <v>0.29739862610590784</v>
      </c>
      <c r="P36" s="10">
        <f t="shared" si="21"/>
        <v>0.35855207342468565</v>
      </c>
      <c r="Q36" s="10"/>
      <c r="R36" s="10"/>
      <c r="S36" s="3"/>
      <c r="T36" s="3"/>
      <c r="U36" s="3"/>
      <c r="V36" s="10" t="e">
        <f t="shared" ref="V36:X36" si="22">+V12/U12-1</f>
        <v>#DIV/0!</v>
      </c>
      <c r="W36" s="10">
        <f t="shared" si="22"/>
        <v>0.19926104290455182</v>
      </c>
      <c r="X36" s="10">
        <f t="shared" si="22"/>
        <v>0.17718081473211988</v>
      </c>
      <c r="Y36" s="10">
        <f>+Y12/X12-1</f>
        <v>0.18943033991687463</v>
      </c>
      <c r="Z36" s="10">
        <f t="shared" ref="Z36" si="23">+Z12/Y12-1</f>
        <v>0.19511411500812059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6"/>
      <c r="BD36" s="6"/>
      <c r="BE36" s="6"/>
      <c r="BF36" s="6"/>
      <c r="BG36" s="6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</row>
    <row r="37" spans="2:70" x14ac:dyDescent="0.2">
      <c r="B37" s="2" t="s">
        <v>58</v>
      </c>
      <c r="C37" s="9">
        <f t="shared" ref="C37:H37" si="24">+C14/C12</f>
        <v>0.50180896537686237</v>
      </c>
      <c r="D37" s="9">
        <f t="shared" si="24"/>
        <v>-3.1215978865163811E-2</v>
      </c>
      <c r="E37" s="9">
        <f t="shared" si="24"/>
        <v>-0.38253831647956665</v>
      </c>
      <c r="F37" s="9">
        <f t="shared" si="24"/>
        <v>2.3310694846270779</v>
      </c>
      <c r="G37" s="9">
        <f t="shared" si="24"/>
        <v>0.54478409208395073</v>
      </c>
      <c r="H37" s="9">
        <f t="shared" si="24"/>
        <v>0.56659547761114115</v>
      </c>
      <c r="I37" s="9">
        <f>+I14/I12</f>
        <v>0.55021691086191371</v>
      </c>
      <c r="J37" s="9">
        <f>+J14/J12</f>
        <v>0.57461194731890874</v>
      </c>
      <c r="K37" s="9">
        <f t="shared" ref="K37:L37" si="25">+K14/K12</f>
        <v>0.55840490031827106</v>
      </c>
      <c r="L37" s="9">
        <f t="shared" si="25"/>
        <v>0.57649176028999671</v>
      </c>
      <c r="M37" s="9">
        <f t="shared" ref="M37:N37" si="26">+M14/M12</f>
        <v>0.5612016719383417</v>
      </c>
      <c r="N37" s="9">
        <f t="shared" si="26"/>
        <v>0.57817401176147765</v>
      </c>
      <c r="O37" s="9">
        <f t="shared" ref="O37:P37" si="27">+O14/O12</f>
        <v>0.54583094370340224</v>
      </c>
      <c r="P37" s="9">
        <f t="shared" si="27"/>
        <v>0.60087503500896988</v>
      </c>
      <c r="Q37" s="9"/>
      <c r="R37" s="9"/>
      <c r="S37" s="3"/>
      <c r="T37" s="9" t="e">
        <f t="shared" ref="T37:X37" si="28">+T14/T12</f>
        <v>#DIV/0!</v>
      </c>
      <c r="U37" s="9" t="e">
        <f t="shared" si="28"/>
        <v>#DIV/0!</v>
      </c>
      <c r="V37" s="9">
        <f t="shared" si="28"/>
        <v>0.49464590195578634</v>
      </c>
      <c r="W37" s="9">
        <f t="shared" si="28"/>
        <v>0.49671172779255512</v>
      </c>
      <c r="X37" s="9">
        <f t="shared" si="28"/>
        <v>0.52044917900021559</v>
      </c>
      <c r="Y37" s="9">
        <f>+Y14/Y12</f>
        <v>0.55838390864904219</v>
      </c>
      <c r="Z37" s="9">
        <f t="shared" ref="Z37" si="29">+Z14/Z12</f>
        <v>0.56804033956661359</v>
      </c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6"/>
      <c r="BD37" s="6"/>
      <c r="BE37" s="6"/>
      <c r="BF37" s="6"/>
      <c r="BG37" s="6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</row>
    <row r="38" spans="2:70" x14ac:dyDescent="0.2">
      <c r="B38" s="2" t="s">
        <v>57</v>
      </c>
      <c r="C38" s="9">
        <f t="shared" ref="C38:H38" si="30">+C16/C12</f>
        <v>0.1452490856681353</v>
      </c>
      <c r="D38" s="9">
        <f t="shared" si="30"/>
        <v>-0.86140424728919596</v>
      </c>
      <c r="E38" s="9">
        <f t="shared" si="30"/>
        <v>-1.4824965512004353</v>
      </c>
      <c r="F38" s="9">
        <f t="shared" si="30"/>
        <v>3.1469540201703197</v>
      </c>
      <c r="G38" s="9">
        <f t="shared" si="30"/>
        <v>0.19421948053439939</v>
      </c>
      <c r="H38" s="9">
        <f t="shared" si="30"/>
        <v>0.1498123107491508</v>
      </c>
      <c r="I38" s="9">
        <f>+I16/I12</f>
        <v>0.17749583913126518</v>
      </c>
      <c r="J38" s="9">
        <f>+J16/J12</f>
        <v>5.6104316922755304E-2</v>
      </c>
      <c r="K38" s="9">
        <f t="shared" ref="K38:L38" si="31">+K16/K12</f>
        <v>0.21368325548573541</v>
      </c>
      <c r="L38" s="9">
        <f t="shared" si="31"/>
        <v>0.18828701442270612</v>
      </c>
      <c r="M38" s="9">
        <f t="shared" ref="M38:N38" si="32">+M16/M12</f>
        <v>0.20910477510269643</v>
      </c>
      <c r="N38" s="9">
        <f t="shared" si="32"/>
        <v>8.0242762064123188E-2</v>
      </c>
      <c r="O38" s="9">
        <f t="shared" ref="O38:P38" si="33">+O16/O12</f>
        <v>0.22483118420809206</v>
      </c>
      <c r="P38" s="9">
        <f t="shared" si="33"/>
        <v>0.22603683322105231</v>
      </c>
      <c r="Q38" s="9"/>
      <c r="R38" s="9"/>
      <c r="S38" s="3"/>
      <c r="T38" s="9" t="e">
        <f t="shared" ref="T38:Z38" si="34">+T16/T12</f>
        <v>#DIV/0!</v>
      </c>
      <c r="U38" s="9" t="e">
        <f t="shared" si="34"/>
        <v>#DIV/0!</v>
      </c>
      <c r="V38" s="9">
        <f t="shared" si="34"/>
        <v>5.4310624302432914E-2</v>
      </c>
      <c r="W38" s="9">
        <f t="shared" si="34"/>
        <v>7.0167003369782557E-2</v>
      </c>
      <c r="X38" s="9">
        <f t="shared" si="34"/>
        <v>9.5040344421987055E-2</v>
      </c>
      <c r="Y38" s="9">
        <f t="shared" si="34"/>
        <v>0.14754335132330965</v>
      </c>
      <c r="Z38" s="9">
        <f t="shared" si="34"/>
        <v>0.17575309896462765</v>
      </c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6"/>
      <c r="BD38" s="6"/>
      <c r="BE38" s="6"/>
      <c r="BF38" s="6"/>
      <c r="BG38" s="6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</row>
    <row r="39" spans="2:70" x14ac:dyDescent="0.2">
      <c r="B39" s="2" t="s">
        <v>59</v>
      </c>
      <c r="C39" s="9">
        <f t="shared" ref="C39:H39" si="35">+C23/C22</f>
        <v>0.24017588521175653</v>
      </c>
      <c r="D39" s="9">
        <f t="shared" si="35"/>
        <v>-7.1262763040589414E-2</v>
      </c>
      <c r="E39" s="9">
        <f t="shared" si="35"/>
        <v>-6.3295720672769853E-2</v>
      </c>
      <c r="F39" s="9">
        <f t="shared" si="35"/>
        <v>-3.5033627893122352E-2</v>
      </c>
      <c r="G39" s="9">
        <f t="shared" si="35"/>
        <v>0.1886946527945802</v>
      </c>
      <c r="H39" s="9">
        <f t="shared" si="35"/>
        <v>0.38095619123824764</v>
      </c>
      <c r="I39" s="9">
        <f>+I23/I22</f>
        <v>0.33369590780809033</v>
      </c>
      <c r="J39" s="9">
        <f>+J23/J22</f>
        <v>1.8692307692307693</v>
      </c>
      <c r="K39" s="9">
        <f t="shared" ref="K39:L39" si="36">+K23/K22</f>
        <v>0.26862437765074682</v>
      </c>
      <c r="L39" s="9">
        <f t="shared" si="36"/>
        <v>0.41217735889471996</v>
      </c>
      <c r="M39" s="9">
        <f t="shared" ref="M39:N39" si="37">+M23/M22</f>
        <v>0.28637544480101296</v>
      </c>
      <c r="N39" s="9">
        <f t="shared" si="37"/>
        <v>-2.0144120537176548E-2</v>
      </c>
      <c r="O39" s="9">
        <f t="shared" ref="O39:P39" si="38">+O23/O22</f>
        <v>0.24564409245191532</v>
      </c>
      <c r="P39" s="9">
        <f t="shared" si="38"/>
        <v>0.28513765889511417</v>
      </c>
      <c r="Q39" s="9"/>
      <c r="R39" s="9"/>
      <c r="S39" s="3"/>
      <c r="T39" s="9" t="e">
        <f t="shared" ref="T39:Z39" si="39">+T23/T22</f>
        <v>#DIV/0!</v>
      </c>
      <c r="U39" s="9" t="e">
        <f t="shared" si="39"/>
        <v>#DIV/0!</v>
      </c>
      <c r="V39" s="9" t="e">
        <f t="shared" si="39"/>
        <v>#DIV/0!</v>
      </c>
      <c r="W39" s="9" t="e">
        <f t="shared" si="39"/>
        <v>#DIV/0!</v>
      </c>
      <c r="X39" s="9">
        <f t="shared" si="39"/>
        <v>0.29894216510133464</v>
      </c>
      <c r="Y39" s="9">
        <f t="shared" si="39"/>
        <v>0.31421523942302537</v>
      </c>
      <c r="Z39" s="9">
        <f t="shared" si="39"/>
        <v>0.28770963812873418</v>
      </c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6"/>
      <c r="BD39" s="6"/>
      <c r="BE39" s="6"/>
      <c r="BF39" s="6"/>
      <c r="BG39" s="6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</row>
    <row r="40" spans="2:70" x14ac:dyDescent="0.2"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6"/>
      <c r="BD40" s="6"/>
      <c r="BE40" s="6"/>
      <c r="BF40" s="6"/>
      <c r="BG40" s="6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</row>
    <row r="41" spans="2:70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6"/>
      <c r="BD41" s="6"/>
      <c r="BE41" s="6"/>
      <c r="BF41" s="6"/>
      <c r="BG41" s="6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</row>
    <row r="42" spans="2:70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6"/>
      <c r="BD42" s="6"/>
      <c r="BE42" s="6"/>
      <c r="BF42" s="6"/>
      <c r="BG42" s="6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</row>
    <row r="43" spans="2:70" x14ac:dyDescent="0.2"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6"/>
      <c r="BD43" s="6"/>
      <c r="BE43" s="6"/>
      <c r="BF43" s="6"/>
      <c r="BG43" s="6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</row>
    <row r="44" spans="2:70" x14ac:dyDescent="0.2"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6"/>
      <c r="BD44" s="6"/>
      <c r="BE44" s="6"/>
      <c r="BF44" s="6"/>
      <c r="BG44" s="6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</row>
    <row r="45" spans="2:70" x14ac:dyDescent="0.2"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6"/>
      <c r="BD45" s="6"/>
      <c r="BE45" s="6"/>
      <c r="BF45" s="6"/>
      <c r="BG45" s="6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</row>
    <row r="46" spans="2:70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6"/>
      <c r="BD46" s="6"/>
      <c r="BE46" s="6"/>
      <c r="BF46" s="6"/>
      <c r="BG46" s="6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</row>
    <row r="47" spans="2:70" x14ac:dyDescent="0.2"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6"/>
      <c r="BD47" s="6"/>
      <c r="BE47" s="6"/>
      <c r="BF47" s="6"/>
      <c r="BG47" s="6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</row>
    <row r="48" spans="2:70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6"/>
      <c r="BD48" s="6"/>
      <c r="BE48" s="6"/>
      <c r="BF48" s="6"/>
      <c r="BG48" s="6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</row>
    <row r="49" spans="3:70" x14ac:dyDescent="0.2"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6"/>
      <c r="BD49" s="6"/>
      <c r="BE49" s="6"/>
      <c r="BF49" s="6"/>
      <c r="BG49" s="6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</row>
    <row r="50" spans="3:70" x14ac:dyDescent="0.2"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6"/>
      <c r="BD50" s="6"/>
      <c r="BE50" s="6"/>
      <c r="BF50" s="6"/>
      <c r="BG50" s="6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</row>
    <row r="51" spans="3:70" x14ac:dyDescent="0.2"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6"/>
      <c r="BD51" s="6"/>
      <c r="BE51" s="6"/>
      <c r="BF51" s="6"/>
      <c r="BG51" s="6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</row>
    <row r="52" spans="3:70" x14ac:dyDescent="0.2"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6"/>
      <c r="BD52" s="6"/>
      <c r="BE52" s="6"/>
      <c r="BF52" s="6"/>
      <c r="BG52" s="6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</row>
    <row r="53" spans="3:70" x14ac:dyDescent="0.2"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6"/>
      <c r="BD53" s="6"/>
      <c r="BE53" s="6"/>
      <c r="BF53" s="6"/>
      <c r="BG53" s="6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</row>
    <row r="54" spans="3:70" x14ac:dyDescent="0.2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6"/>
      <c r="BD54" s="6"/>
      <c r="BE54" s="6"/>
      <c r="BF54" s="6"/>
      <c r="BG54" s="6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</row>
    <row r="55" spans="3:70" x14ac:dyDescent="0.2"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6"/>
      <c r="BD55" s="6"/>
      <c r="BE55" s="6"/>
      <c r="BF55" s="6"/>
      <c r="BG55" s="6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</row>
    <row r="56" spans="3:70" x14ac:dyDescent="0.2"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6"/>
      <c r="BD56" s="6"/>
      <c r="BE56" s="6"/>
      <c r="BF56" s="6"/>
      <c r="BG56" s="6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</row>
    <row r="57" spans="3:70" x14ac:dyDescent="0.2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6"/>
      <c r="BD57" s="6"/>
      <c r="BE57" s="6"/>
      <c r="BF57" s="6"/>
      <c r="BG57" s="6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</row>
    <row r="58" spans="3:70" x14ac:dyDescent="0.2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6"/>
      <c r="BD58" s="6"/>
      <c r="BE58" s="6"/>
      <c r="BF58" s="6"/>
      <c r="BG58" s="6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</row>
    <row r="59" spans="3:70" x14ac:dyDescent="0.2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6"/>
      <c r="BD59" s="6"/>
      <c r="BE59" s="6"/>
      <c r="BF59" s="6"/>
      <c r="BG59" s="6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</row>
    <row r="60" spans="3:70" x14ac:dyDescent="0.2"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6"/>
      <c r="BD60" s="6"/>
      <c r="BE60" s="6"/>
      <c r="BF60" s="6"/>
      <c r="BG60" s="6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</row>
    <row r="61" spans="3:70" x14ac:dyDescent="0.2"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6"/>
      <c r="BD61" s="6"/>
      <c r="BE61" s="6"/>
      <c r="BF61" s="6"/>
      <c r="BG61" s="6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</row>
    <row r="62" spans="3:70" x14ac:dyDescent="0.2"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6"/>
      <c r="BD62" s="6"/>
      <c r="BE62" s="6"/>
      <c r="BF62" s="6"/>
      <c r="BG62" s="6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</row>
    <row r="63" spans="3:70" x14ac:dyDescent="0.2"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6"/>
      <c r="BD63" s="6"/>
      <c r="BE63" s="6"/>
      <c r="BF63" s="6"/>
      <c r="BG63" s="6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</row>
    <row r="64" spans="3:70" x14ac:dyDescent="0.2"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6"/>
      <c r="BD64" s="6"/>
      <c r="BE64" s="6"/>
      <c r="BF64" s="6"/>
      <c r="BG64" s="6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</row>
    <row r="65" spans="3:70" x14ac:dyDescent="0.2"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6"/>
      <c r="BD65" s="6"/>
      <c r="BE65" s="6"/>
      <c r="BF65" s="6"/>
      <c r="BG65" s="6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</row>
    <row r="66" spans="3:70" x14ac:dyDescent="0.2"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6"/>
      <c r="BD66" s="6"/>
      <c r="BE66" s="6"/>
      <c r="BF66" s="6"/>
      <c r="BG66" s="6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</row>
    <row r="67" spans="3:70" x14ac:dyDescent="0.2"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6"/>
      <c r="BD67" s="6"/>
      <c r="BE67" s="6"/>
      <c r="BF67" s="6"/>
      <c r="BG67" s="6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</row>
    <row r="68" spans="3:70" x14ac:dyDescent="0.2"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6"/>
      <c r="BD68" s="6"/>
      <c r="BE68" s="6"/>
      <c r="BF68" s="6"/>
      <c r="BG68" s="6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</row>
    <row r="69" spans="3:70" x14ac:dyDescent="0.2"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6"/>
      <c r="BD69" s="6"/>
      <c r="BE69" s="6"/>
      <c r="BF69" s="6"/>
      <c r="BG69" s="6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</row>
    <row r="70" spans="3:70" x14ac:dyDescent="0.2"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6"/>
      <c r="BD70" s="6"/>
      <c r="BE70" s="6"/>
      <c r="BF70" s="6"/>
      <c r="BG70" s="6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</row>
    <row r="71" spans="3:70" x14ac:dyDescent="0.2"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6"/>
      <c r="BD71" s="6"/>
      <c r="BE71" s="6"/>
      <c r="BF71" s="6"/>
      <c r="BG71" s="6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</row>
    <row r="72" spans="3:70" x14ac:dyDescent="0.2"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6"/>
      <c r="BD72" s="6"/>
      <c r="BE72" s="6"/>
      <c r="BF72" s="6"/>
      <c r="BG72" s="6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</row>
    <row r="73" spans="3:70" x14ac:dyDescent="0.2"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6"/>
      <c r="BD73" s="6"/>
      <c r="BE73" s="6"/>
      <c r="BF73" s="6"/>
      <c r="BG73" s="6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</row>
    <row r="74" spans="3:70" x14ac:dyDescent="0.2"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6"/>
      <c r="BD74" s="6"/>
      <c r="BE74" s="6"/>
      <c r="BF74" s="6"/>
      <c r="BG74" s="6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</row>
    <row r="75" spans="3:70" x14ac:dyDescent="0.2"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6"/>
      <c r="BD75" s="6"/>
      <c r="BE75" s="6"/>
      <c r="BF75" s="6"/>
      <c r="BG75" s="6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</row>
    <row r="76" spans="3:70" x14ac:dyDescent="0.2"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6"/>
      <c r="BD76" s="6"/>
      <c r="BE76" s="6"/>
      <c r="BF76" s="6"/>
      <c r="BG76" s="6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</row>
    <row r="77" spans="3:70" x14ac:dyDescent="0.2"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6"/>
      <c r="BD77" s="6"/>
      <c r="BE77" s="6"/>
      <c r="BF77" s="6"/>
      <c r="BG77" s="6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</row>
    <row r="78" spans="3:70" x14ac:dyDescent="0.2"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6"/>
      <c r="BD78" s="6"/>
      <c r="BE78" s="6"/>
      <c r="BF78" s="6"/>
      <c r="BG78" s="6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</row>
    <row r="79" spans="3:70" x14ac:dyDescent="0.2"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6"/>
      <c r="BD79" s="6"/>
      <c r="BE79" s="6"/>
      <c r="BF79" s="6"/>
      <c r="BG79" s="6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</row>
    <row r="80" spans="3:70" x14ac:dyDescent="0.2"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6"/>
      <c r="BD80" s="6"/>
      <c r="BE80" s="6"/>
      <c r="BF80" s="6"/>
      <c r="BG80" s="6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</row>
    <row r="81" spans="3:70" x14ac:dyDescent="0.2"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6"/>
      <c r="BD81" s="6"/>
      <c r="BE81" s="6"/>
      <c r="BF81" s="6"/>
      <c r="BG81" s="6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</row>
    <row r="82" spans="3:70" x14ac:dyDescent="0.2"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6"/>
      <c r="BD82" s="6"/>
      <c r="BE82" s="6"/>
      <c r="BF82" s="6"/>
      <c r="BG82" s="6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</row>
    <row r="83" spans="3:70" x14ac:dyDescent="0.2"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6"/>
      <c r="BD83" s="6"/>
      <c r="BE83" s="6"/>
      <c r="BF83" s="6"/>
      <c r="BG83" s="6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</row>
    <row r="84" spans="3:70" x14ac:dyDescent="0.2"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6"/>
      <c r="BD84" s="6"/>
      <c r="BE84" s="6"/>
      <c r="BF84" s="6"/>
      <c r="BG84" s="6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</row>
    <row r="85" spans="3:70" x14ac:dyDescent="0.2"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6"/>
      <c r="BD85" s="6"/>
      <c r="BE85" s="6"/>
      <c r="BF85" s="6"/>
      <c r="BG85" s="6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</row>
    <row r="86" spans="3:70" x14ac:dyDescent="0.2"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6"/>
      <c r="BD86" s="6"/>
      <c r="BE86" s="6"/>
      <c r="BF86" s="6"/>
      <c r="BG86" s="6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</row>
    <row r="87" spans="3:70" x14ac:dyDescent="0.2"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6"/>
      <c r="BD87" s="6"/>
      <c r="BE87" s="6"/>
      <c r="BF87" s="6"/>
      <c r="BG87" s="6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</row>
    <row r="88" spans="3:70" x14ac:dyDescent="0.2"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6"/>
      <c r="BD88" s="6"/>
      <c r="BE88" s="6"/>
      <c r="BF88" s="6"/>
      <c r="BG88" s="6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</row>
    <row r="89" spans="3:70" x14ac:dyDescent="0.2"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6"/>
      <c r="BD89" s="6"/>
      <c r="BE89" s="6"/>
      <c r="BF89" s="6"/>
      <c r="BG89" s="6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</row>
    <row r="90" spans="3:70" x14ac:dyDescent="0.2"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6"/>
      <c r="BD90" s="6"/>
      <c r="BE90" s="6"/>
      <c r="BF90" s="6"/>
      <c r="BG90" s="6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</row>
    <row r="91" spans="3:70" x14ac:dyDescent="0.2"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6"/>
      <c r="BD91" s="6"/>
      <c r="BE91" s="6"/>
      <c r="BF91" s="6"/>
      <c r="BG91" s="6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</row>
    <row r="92" spans="3:70" x14ac:dyDescent="0.2"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6"/>
      <c r="BD92" s="6"/>
      <c r="BE92" s="6"/>
      <c r="BF92" s="6"/>
      <c r="BG92" s="6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</row>
    <row r="93" spans="3:70" x14ac:dyDescent="0.2"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6"/>
      <c r="BD93" s="6"/>
      <c r="BE93" s="6"/>
      <c r="BF93" s="6"/>
      <c r="BG93" s="6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</row>
    <row r="94" spans="3:70" x14ac:dyDescent="0.2"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6"/>
      <c r="BD94" s="6"/>
      <c r="BE94" s="6"/>
      <c r="BF94" s="6"/>
      <c r="BG94" s="6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</row>
    <row r="95" spans="3:70" x14ac:dyDescent="0.2"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6"/>
      <c r="BD95" s="6"/>
      <c r="BE95" s="6"/>
      <c r="BF95" s="6"/>
      <c r="BG95" s="6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</row>
    <row r="96" spans="3:70" x14ac:dyDescent="0.2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6"/>
      <c r="BD96" s="6"/>
      <c r="BE96" s="6"/>
      <c r="BF96" s="6"/>
      <c r="BG96" s="6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</row>
    <row r="97" spans="3:70" x14ac:dyDescent="0.2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6"/>
      <c r="BD97" s="6"/>
      <c r="BE97" s="6"/>
      <c r="BF97" s="6"/>
      <c r="BG97" s="6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</row>
    <row r="98" spans="3:70" x14ac:dyDescent="0.2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6"/>
      <c r="BD98" s="6"/>
      <c r="BE98" s="6"/>
      <c r="BF98" s="6"/>
      <c r="BG98" s="6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</row>
    <row r="99" spans="3:70" x14ac:dyDescent="0.2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6"/>
      <c r="BD99" s="6"/>
      <c r="BE99" s="6"/>
      <c r="BF99" s="6"/>
      <c r="BG99" s="6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</row>
    <row r="100" spans="3:70" x14ac:dyDescent="0.2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6"/>
      <c r="BD100" s="6"/>
      <c r="BE100" s="6"/>
      <c r="BF100" s="6"/>
      <c r="BG100" s="6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</row>
    <row r="101" spans="3:70" x14ac:dyDescent="0.2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6"/>
      <c r="BD101" s="6"/>
      <c r="BE101" s="6"/>
      <c r="BF101" s="6"/>
      <c r="BG101" s="6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</row>
    <row r="102" spans="3:70" x14ac:dyDescent="0.2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6"/>
      <c r="BD102" s="6"/>
      <c r="BE102" s="6"/>
      <c r="BF102" s="6"/>
      <c r="BG102" s="6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</row>
    <row r="103" spans="3:70" x14ac:dyDescent="0.2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6"/>
      <c r="BD103" s="6"/>
      <c r="BE103" s="6"/>
      <c r="BF103" s="6"/>
      <c r="BG103" s="6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</row>
    <row r="104" spans="3:70" x14ac:dyDescent="0.2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6"/>
      <c r="BD104" s="6"/>
      <c r="BE104" s="6"/>
      <c r="BF104" s="6"/>
      <c r="BG104" s="6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</row>
    <row r="105" spans="3:70" x14ac:dyDescent="0.2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6"/>
      <c r="BD105" s="6"/>
      <c r="BE105" s="6"/>
      <c r="BF105" s="6"/>
      <c r="BG105" s="6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</row>
    <row r="106" spans="3:70" x14ac:dyDescent="0.2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6"/>
      <c r="BD106" s="6"/>
      <c r="BE106" s="6"/>
      <c r="BF106" s="6"/>
      <c r="BG106" s="6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</row>
    <row r="107" spans="3:70" x14ac:dyDescent="0.2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6"/>
      <c r="BD107" s="6"/>
      <c r="BE107" s="6"/>
      <c r="BF107" s="6"/>
      <c r="BG107" s="6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</row>
    <row r="108" spans="3:70" x14ac:dyDescent="0.2"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6"/>
      <c r="BD108" s="6"/>
      <c r="BE108" s="6"/>
      <c r="BF108" s="6"/>
      <c r="BG108" s="6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</row>
    <row r="109" spans="3:70" x14ac:dyDescent="0.2"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6"/>
      <c r="BD109" s="6"/>
      <c r="BE109" s="6"/>
      <c r="BF109" s="6"/>
      <c r="BG109" s="6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</row>
    <row r="110" spans="3:70" x14ac:dyDescent="0.2"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6"/>
      <c r="BD110" s="6"/>
      <c r="BE110" s="6"/>
      <c r="BF110" s="6"/>
      <c r="BG110" s="6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</row>
    <row r="111" spans="3:70" x14ac:dyDescent="0.2"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6"/>
      <c r="BD111" s="6"/>
      <c r="BE111" s="6"/>
      <c r="BF111" s="6"/>
      <c r="BG111" s="6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</row>
    <row r="112" spans="3:70" x14ac:dyDescent="0.2"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6"/>
      <c r="BD112" s="6"/>
      <c r="BE112" s="6"/>
      <c r="BF112" s="6"/>
      <c r="BG112" s="6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</row>
    <row r="113" spans="3:70" x14ac:dyDescent="0.2"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6"/>
      <c r="BD113" s="6"/>
      <c r="BE113" s="6"/>
      <c r="BF113" s="6"/>
      <c r="BG113" s="6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</row>
    <row r="114" spans="3:70" x14ac:dyDescent="0.2"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6"/>
      <c r="BD114" s="6"/>
      <c r="BE114" s="6"/>
      <c r="BF114" s="6"/>
      <c r="BG114" s="6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</row>
    <row r="115" spans="3:70" x14ac:dyDescent="0.2"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6"/>
      <c r="BD115" s="6"/>
      <c r="BE115" s="6"/>
      <c r="BF115" s="6"/>
      <c r="BG115" s="6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</row>
    <row r="116" spans="3:70" x14ac:dyDescent="0.2"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6"/>
      <c r="BD116" s="6"/>
      <c r="BE116" s="6"/>
      <c r="BF116" s="6"/>
      <c r="BG116" s="6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</row>
    <row r="117" spans="3:70" x14ac:dyDescent="0.2"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6"/>
      <c r="BD117" s="6"/>
      <c r="BE117" s="6"/>
      <c r="BF117" s="6"/>
      <c r="BG117" s="6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</row>
    <row r="118" spans="3:70" x14ac:dyDescent="0.2"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6"/>
      <c r="BD118" s="6"/>
      <c r="BE118" s="6"/>
      <c r="BF118" s="6"/>
      <c r="BG118" s="6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</row>
    <row r="119" spans="3:70" x14ac:dyDescent="0.2"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6"/>
      <c r="BD119" s="6"/>
      <c r="BE119" s="6"/>
      <c r="BF119" s="6"/>
      <c r="BG119" s="6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</row>
    <row r="120" spans="3:70" x14ac:dyDescent="0.2"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6"/>
      <c r="BD120" s="6"/>
      <c r="BE120" s="6"/>
      <c r="BF120" s="6"/>
      <c r="BG120" s="6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</row>
    <row r="121" spans="3:70" x14ac:dyDescent="0.2"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6"/>
      <c r="BD121" s="6"/>
      <c r="BE121" s="6"/>
      <c r="BF121" s="6"/>
      <c r="BG121" s="6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</row>
    <row r="122" spans="3:70" x14ac:dyDescent="0.2"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6"/>
      <c r="BD122" s="6"/>
      <c r="BE122" s="6"/>
      <c r="BF122" s="6"/>
      <c r="BG122" s="6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</row>
    <row r="123" spans="3:70" x14ac:dyDescent="0.2"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6"/>
      <c r="BD123" s="6"/>
      <c r="BE123" s="6"/>
      <c r="BF123" s="6"/>
      <c r="BG123" s="6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</row>
    <row r="124" spans="3:70" x14ac:dyDescent="0.2"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6"/>
      <c r="BD124" s="6"/>
      <c r="BE124" s="6"/>
      <c r="BF124" s="6"/>
      <c r="BG124" s="6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</row>
    <row r="125" spans="3:70" x14ac:dyDescent="0.2"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6"/>
      <c r="BD125" s="6"/>
      <c r="BE125" s="6"/>
      <c r="BF125" s="6"/>
      <c r="BG125" s="6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</row>
    <row r="126" spans="3:70" x14ac:dyDescent="0.2"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6"/>
      <c r="BD126" s="6"/>
      <c r="BE126" s="6"/>
      <c r="BF126" s="6"/>
      <c r="BG126" s="6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</row>
    <row r="127" spans="3:70" x14ac:dyDescent="0.2"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6"/>
      <c r="BD127" s="6"/>
      <c r="BE127" s="6"/>
      <c r="BF127" s="6"/>
      <c r="BG127" s="6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</row>
    <row r="128" spans="3:70" x14ac:dyDescent="0.2"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6"/>
      <c r="BD128" s="6"/>
      <c r="BE128" s="6"/>
      <c r="BF128" s="6"/>
      <c r="BG128" s="6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</row>
    <row r="129" spans="3:70" x14ac:dyDescent="0.2"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6"/>
      <c r="BD129" s="6"/>
      <c r="BE129" s="6"/>
      <c r="BF129" s="6"/>
      <c r="BG129" s="6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</row>
    <row r="130" spans="3:70" x14ac:dyDescent="0.2"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6"/>
      <c r="BD130" s="6"/>
      <c r="BE130" s="6"/>
      <c r="BF130" s="6"/>
      <c r="BG130" s="6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</row>
    <row r="131" spans="3:70" x14ac:dyDescent="0.2"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6"/>
      <c r="BD131" s="6"/>
      <c r="BE131" s="6"/>
      <c r="BF131" s="6"/>
      <c r="BG131" s="6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</row>
    <row r="132" spans="3:70" x14ac:dyDescent="0.2"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6"/>
      <c r="BD132" s="6"/>
      <c r="BE132" s="6"/>
      <c r="BF132" s="6"/>
      <c r="BG132" s="6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</row>
    <row r="133" spans="3:70" x14ac:dyDescent="0.2"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6"/>
      <c r="BD133" s="6"/>
      <c r="BE133" s="6"/>
      <c r="BF133" s="6"/>
      <c r="BG133" s="6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</row>
    <row r="134" spans="3:70" x14ac:dyDescent="0.2"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6"/>
      <c r="BD134" s="6"/>
      <c r="BE134" s="6"/>
      <c r="BF134" s="6"/>
      <c r="BG134" s="6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</row>
    <row r="135" spans="3:70" x14ac:dyDescent="0.2"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6"/>
      <c r="BD135" s="6"/>
      <c r="BE135" s="6"/>
      <c r="BF135" s="6"/>
      <c r="BG135" s="6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</row>
    <row r="136" spans="3:70" x14ac:dyDescent="0.2"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6"/>
      <c r="BD136" s="6"/>
      <c r="BE136" s="6"/>
      <c r="BF136" s="6"/>
      <c r="BG136" s="6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</row>
    <row r="137" spans="3:70" x14ac:dyDescent="0.2"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6"/>
      <c r="BD137" s="6"/>
      <c r="BE137" s="6"/>
      <c r="BF137" s="6"/>
      <c r="BG137" s="6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</row>
    <row r="138" spans="3:70" x14ac:dyDescent="0.2"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6"/>
      <c r="BD138" s="6"/>
      <c r="BE138" s="6"/>
      <c r="BF138" s="6"/>
      <c r="BG138" s="6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</row>
    <row r="139" spans="3:70" x14ac:dyDescent="0.2"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6"/>
      <c r="BD139" s="6"/>
      <c r="BE139" s="6"/>
      <c r="BF139" s="6"/>
      <c r="BG139" s="6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</row>
    <row r="140" spans="3:70" x14ac:dyDescent="0.2"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6"/>
      <c r="BD140" s="6"/>
      <c r="BE140" s="6"/>
      <c r="BF140" s="6"/>
      <c r="BG140" s="6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</row>
    <row r="141" spans="3:70" x14ac:dyDescent="0.2"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6"/>
      <c r="BD141" s="6"/>
      <c r="BE141" s="6"/>
      <c r="BF141" s="6"/>
      <c r="BG141" s="6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</row>
    <row r="142" spans="3:70" x14ac:dyDescent="0.2"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6"/>
      <c r="BD142" s="6"/>
      <c r="BE142" s="6"/>
      <c r="BF142" s="6"/>
      <c r="BG142" s="6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</row>
    <row r="143" spans="3:70" x14ac:dyDescent="0.2"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</row>
    <row r="144" spans="3:70" x14ac:dyDescent="0.2"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</row>
    <row r="145" spans="3:70" x14ac:dyDescent="0.2"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</row>
    <row r="146" spans="3:70" x14ac:dyDescent="0.2"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</row>
    <row r="147" spans="3:70" x14ac:dyDescent="0.2"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</row>
    <row r="148" spans="3:70" x14ac:dyDescent="0.2"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</row>
    <row r="149" spans="3:70" x14ac:dyDescent="0.2"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</row>
    <row r="150" spans="3:70" x14ac:dyDescent="0.2"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</row>
    <row r="151" spans="3:70" x14ac:dyDescent="0.2"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</row>
    <row r="152" spans="3:70" x14ac:dyDescent="0.2"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</row>
    <row r="153" spans="3:70" x14ac:dyDescent="0.2"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</row>
    <row r="154" spans="3:70" x14ac:dyDescent="0.2"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</row>
    <row r="155" spans="3:70" x14ac:dyDescent="0.2"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</row>
    <row r="156" spans="3:70" x14ac:dyDescent="0.2"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</row>
    <row r="157" spans="3:70" x14ac:dyDescent="0.2"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</row>
    <row r="158" spans="3:70" x14ac:dyDescent="0.2"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</row>
    <row r="159" spans="3:70" x14ac:dyDescent="0.2"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</row>
    <row r="160" spans="3:70" x14ac:dyDescent="0.2"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</row>
    <row r="161" spans="3:70" x14ac:dyDescent="0.2"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</row>
    <row r="162" spans="3:70" x14ac:dyDescent="0.2"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</row>
    <row r="163" spans="3:70" x14ac:dyDescent="0.2"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</row>
    <row r="164" spans="3:70" x14ac:dyDescent="0.2"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</row>
    <row r="165" spans="3:70" x14ac:dyDescent="0.2"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</row>
    <row r="166" spans="3:70" x14ac:dyDescent="0.2"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</row>
    <row r="167" spans="3:70" x14ac:dyDescent="0.2"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</row>
    <row r="168" spans="3:70" x14ac:dyDescent="0.2"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</row>
    <row r="169" spans="3:70" x14ac:dyDescent="0.2"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</row>
    <row r="170" spans="3:70" x14ac:dyDescent="0.2"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</row>
    <row r="171" spans="3:70" x14ac:dyDescent="0.2"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</row>
    <row r="172" spans="3:70" x14ac:dyDescent="0.2"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</row>
    <row r="173" spans="3:70" x14ac:dyDescent="0.2"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</row>
    <row r="174" spans="3:70" x14ac:dyDescent="0.2"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</row>
    <row r="175" spans="3:70" x14ac:dyDescent="0.2"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</row>
    <row r="176" spans="3:70" x14ac:dyDescent="0.2"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</row>
    <row r="177" spans="3:70" x14ac:dyDescent="0.2"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</row>
    <row r="178" spans="3:70" x14ac:dyDescent="0.2"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</row>
    <row r="179" spans="3:70" x14ac:dyDescent="0.2"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</row>
    <row r="180" spans="3:70" x14ac:dyDescent="0.2"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</row>
    <row r="181" spans="3:70" x14ac:dyDescent="0.2"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</row>
    <row r="182" spans="3:70" x14ac:dyDescent="0.2"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</row>
    <row r="183" spans="3:70" x14ac:dyDescent="0.2"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</row>
    <row r="184" spans="3:70" x14ac:dyDescent="0.2"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</row>
    <row r="185" spans="3:70" x14ac:dyDescent="0.2"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</row>
    <row r="186" spans="3:70" x14ac:dyDescent="0.2"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</row>
    <row r="187" spans="3:70" x14ac:dyDescent="0.2"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</row>
    <row r="188" spans="3:70" x14ac:dyDescent="0.2"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</row>
    <row r="189" spans="3:70" x14ac:dyDescent="0.2"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</row>
    <row r="190" spans="3:70" x14ac:dyDescent="0.2"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</row>
    <row r="191" spans="3:70" x14ac:dyDescent="0.2"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</row>
    <row r="192" spans="3:70" x14ac:dyDescent="0.2"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</row>
    <row r="193" spans="3:70" x14ac:dyDescent="0.2"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</row>
    <row r="194" spans="3:70" x14ac:dyDescent="0.2"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</row>
    <row r="195" spans="3:70" x14ac:dyDescent="0.2"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</row>
    <row r="196" spans="3:70" x14ac:dyDescent="0.2"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</row>
    <row r="197" spans="3:70" x14ac:dyDescent="0.2"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</row>
    <row r="198" spans="3:70" x14ac:dyDescent="0.2"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</row>
    <row r="199" spans="3:70" x14ac:dyDescent="0.2"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</row>
    <row r="200" spans="3:70" x14ac:dyDescent="0.2"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</row>
    <row r="201" spans="3:70" x14ac:dyDescent="0.2"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</row>
    <row r="202" spans="3:70" x14ac:dyDescent="0.2"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</row>
    <row r="203" spans="3:70" x14ac:dyDescent="0.2"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</row>
    <row r="204" spans="3:70" x14ac:dyDescent="0.2"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</row>
    <row r="205" spans="3:70" x14ac:dyDescent="0.2"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</row>
    <row r="206" spans="3:70" x14ac:dyDescent="0.2"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</row>
    <row r="207" spans="3:70" x14ac:dyDescent="0.2"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</row>
    <row r="208" spans="3:70" x14ac:dyDescent="0.2"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</row>
    <row r="209" spans="3:70" x14ac:dyDescent="0.2"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</row>
    <row r="210" spans="3:70" x14ac:dyDescent="0.2"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</row>
    <row r="211" spans="3:70" x14ac:dyDescent="0.2"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</row>
    <row r="212" spans="3:70" x14ac:dyDescent="0.2"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</row>
    <row r="213" spans="3:70" x14ac:dyDescent="0.2"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</row>
    <row r="214" spans="3:70" x14ac:dyDescent="0.2"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</row>
    <row r="215" spans="3:70" x14ac:dyDescent="0.2"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</row>
    <row r="216" spans="3:70" x14ac:dyDescent="0.2"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</row>
    <row r="217" spans="3:70" x14ac:dyDescent="0.2"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</row>
    <row r="218" spans="3:70" x14ac:dyDescent="0.2"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</row>
    <row r="219" spans="3:70" x14ac:dyDescent="0.2"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</row>
    <row r="220" spans="3:70" x14ac:dyDescent="0.2"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</row>
    <row r="221" spans="3:70" x14ac:dyDescent="0.2"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</row>
    <row r="222" spans="3:70" x14ac:dyDescent="0.2"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</row>
    <row r="223" spans="3:70" x14ac:dyDescent="0.2"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</row>
    <row r="224" spans="3:70" x14ac:dyDescent="0.2"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</row>
    <row r="225" spans="3:70" x14ac:dyDescent="0.2"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</row>
    <row r="226" spans="3:70" x14ac:dyDescent="0.2"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</row>
    <row r="227" spans="3:70" x14ac:dyDescent="0.2"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</row>
    <row r="228" spans="3:70" x14ac:dyDescent="0.2"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</row>
    <row r="229" spans="3:70" x14ac:dyDescent="0.2"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</row>
    <row r="230" spans="3:70" x14ac:dyDescent="0.2"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</row>
    <row r="231" spans="3:70" x14ac:dyDescent="0.2"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</row>
    <row r="232" spans="3:70" x14ac:dyDescent="0.2"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</row>
    <row r="233" spans="3:70" x14ac:dyDescent="0.2"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</row>
    <row r="234" spans="3:70" x14ac:dyDescent="0.2"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</row>
    <row r="235" spans="3:70" x14ac:dyDescent="0.2"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</row>
    <row r="236" spans="3:70" x14ac:dyDescent="0.2"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</row>
    <row r="237" spans="3:70" x14ac:dyDescent="0.2"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</row>
    <row r="238" spans="3:70" x14ac:dyDescent="0.2"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</row>
    <row r="239" spans="3:70" x14ac:dyDescent="0.2"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</row>
    <row r="240" spans="3:70" x14ac:dyDescent="0.2"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</row>
    <row r="241" spans="3:70" x14ac:dyDescent="0.2"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</row>
    <row r="242" spans="3:70" x14ac:dyDescent="0.2"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</row>
    <row r="243" spans="3:70" x14ac:dyDescent="0.2"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</row>
    <row r="244" spans="3:70" x14ac:dyDescent="0.2"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</row>
    <row r="245" spans="3:70" x14ac:dyDescent="0.2"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</row>
    <row r="246" spans="3:70" x14ac:dyDescent="0.2"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</row>
    <row r="247" spans="3:70" x14ac:dyDescent="0.2"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</row>
    <row r="248" spans="3:70" x14ac:dyDescent="0.2"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</row>
    <row r="249" spans="3:70" x14ac:dyDescent="0.2"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</row>
    <row r="250" spans="3:70" x14ac:dyDescent="0.2"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</row>
    <row r="251" spans="3:70" x14ac:dyDescent="0.2"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</row>
    <row r="252" spans="3:70" x14ac:dyDescent="0.2"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</row>
    <row r="253" spans="3:70" x14ac:dyDescent="0.2"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</row>
    <row r="254" spans="3:70" x14ac:dyDescent="0.2"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</row>
    <row r="255" spans="3:70" x14ac:dyDescent="0.2"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</row>
    <row r="256" spans="3:70" x14ac:dyDescent="0.2"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</row>
    <row r="257" spans="3:70" x14ac:dyDescent="0.2"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</row>
    <row r="258" spans="3:70" x14ac:dyDescent="0.2"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</row>
    <row r="259" spans="3:70" x14ac:dyDescent="0.2"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</row>
    <row r="260" spans="3:70" x14ac:dyDescent="0.2"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</row>
    <row r="261" spans="3:70" x14ac:dyDescent="0.2"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</row>
    <row r="262" spans="3:70" x14ac:dyDescent="0.2"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</row>
    <row r="263" spans="3:70" x14ac:dyDescent="0.2"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</row>
    <row r="264" spans="3:70" x14ac:dyDescent="0.2"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</row>
    <row r="265" spans="3:70" x14ac:dyDescent="0.2"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</row>
    <row r="266" spans="3:70" x14ac:dyDescent="0.2"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</row>
    <row r="267" spans="3:70" x14ac:dyDescent="0.2"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</row>
    <row r="268" spans="3:70" x14ac:dyDescent="0.2"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</row>
    <row r="269" spans="3:70" x14ac:dyDescent="0.2"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</row>
    <row r="270" spans="3:70" x14ac:dyDescent="0.2"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</row>
    <row r="271" spans="3:70" x14ac:dyDescent="0.2"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</row>
    <row r="272" spans="3:70" x14ac:dyDescent="0.2"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</row>
    <row r="273" spans="3:70" x14ac:dyDescent="0.2"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</row>
    <row r="274" spans="3:70" x14ac:dyDescent="0.2"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</row>
    <row r="275" spans="3:70" x14ac:dyDescent="0.2"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</row>
    <row r="276" spans="3:70" x14ac:dyDescent="0.2"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</row>
    <row r="277" spans="3:70" x14ac:dyDescent="0.2"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</row>
    <row r="278" spans="3:70" x14ac:dyDescent="0.2"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</row>
    <row r="279" spans="3:70" x14ac:dyDescent="0.2"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</row>
    <row r="280" spans="3:70" x14ac:dyDescent="0.2"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</row>
    <row r="281" spans="3:70" x14ac:dyDescent="0.2"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</row>
    <row r="282" spans="3:70" x14ac:dyDescent="0.2"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</row>
    <row r="283" spans="3:70" x14ac:dyDescent="0.2"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</row>
    <row r="284" spans="3:70" x14ac:dyDescent="0.2"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</row>
    <row r="285" spans="3:70" x14ac:dyDescent="0.2"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</row>
    <row r="286" spans="3:70" x14ac:dyDescent="0.2"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</row>
    <row r="287" spans="3:70" x14ac:dyDescent="0.2"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</row>
    <row r="288" spans="3:70" x14ac:dyDescent="0.2"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</row>
    <row r="289" spans="3:70" x14ac:dyDescent="0.2"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</row>
    <row r="290" spans="3:70" x14ac:dyDescent="0.2"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</row>
    <row r="291" spans="3:70" x14ac:dyDescent="0.2"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</row>
    <row r="292" spans="3:70" x14ac:dyDescent="0.2"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</row>
    <row r="293" spans="3:70" x14ac:dyDescent="0.2"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</row>
    <row r="294" spans="3:70" x14ac:dyDescent="0.2"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</row>
    <row r="295" spans="3:70" x14ac:dyDescent="0.2"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</row>
    <row r="296" spans="3:70" x14ac:dyDescent="0.2"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</row>
    <row r="297" spans="3:70" x14ac:dyDescent="0.2"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</row>
    <row r="298" spans="3:70" x14ac:dyDescent="0.2"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</row>
    <row r="299" spans="3:70" x14ac:dyDescent="0.2"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</row>
    <row r="300" spans="3:70" x14ac:dyDescent="0.2"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</row>
    <row r="301" spans="3:70" x14ac:dyDescent="0.2"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</row>
    <row r="302" spans="3:70" x14ac:dyDescent="0.2"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</row>
    <row r="303" spans="3:70" x14ac:dyDescent="0.2"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</row>
    <row r="304" spans="3:70" x14ac:dyDescent="0.2"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</row>
    <row r="305" spans="3:70" x14ac:dyDescent="0.2"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</row>
    <row r="306" spans="3:70" x14ac:dyDescent="0.2"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</row>
    <row r="307" spans="3:70" x14ac:dyDescent="0.2"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</row>
    <row r="308" spans="3:70" x14ac:dyDescent="0.2"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</row>
    <row r="309" spans="3:70" x14ac:dyDescent="0.2"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</row>
    <row r="310" spans="3:70" x14ac:dyDescent="0.2"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</row>
    <row r="311" spans="3:70" x14ac:dyDescent="0.2"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</row>
    <row r="312" spans="3:70" x14ac:dyDescent="0.2"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</row>
    <row r="313" spans="3:70" x14ac:dyDescent="0.2"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</row>
    <row r="314" spans="3:70" x14ac:dyDescent="0.2"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</row>
    <row r="315" spans="3:70" x14ac:dyDescent="0.2"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</row>
    <row r="316" spans="3:70" x14ac:dyDescent="0.2"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</row>
    <row r="317" spans="3:70" x14ac:dyDescent="0.2"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</row>
    <row r="318" spans="3:70" x14ac:dyDescent="0.2"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</row>
    <row r="319" spans="3:70" x14ac:dyDescent="0.2"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</row>
  </sheetData>
  <hyperlinks>
    <hyperlink ref="A1" location="Main!A1" display="Main" xr:uid="{C74D512B-33C6-4D7F-AAEB-7048EF7D73C1}"/>
  </hyperlink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2025-01-30T15:48:35Z</dcterms:created>
  <dcterms:modified xsi:type="dcterms:W3CDTF">2026-08-14T09:58:55Z</dcterms:modified>
</cp:coreProperties>
</file>