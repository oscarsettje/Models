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778F08C9-E4DE-4004-B10F-B605F4FC0779}" xr6:coauthVersionLast="47" xr6:coauthVersionMax="47" xr10:uidLastSave="{00000000-0000-0000-0000-000000000000}"/>
  <bookViews>
    <workbookView xWindow="19095" yWindow="0" windowWidth="19410" windowHeight="20925" xr2:uid="{61D1022A-C31F-435A-9D37-34AD93DFA66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" i="2" l="1"/>
  <c r="N37" i="2"/>
  <c r="N36" i="2"/>
  <c r="L38" i="2"/>
  <c r="K38" i="2"/>
  <c r="J38" i="2"/>
  <c r="I38" i="2"/>
  <c r="H38" i="2"/>
  <c r="G38" i="2"/>
  <c r="F38" i="2"/>
  <c r="E38" i="2"/>
  <c r="D38" i="2"/>
  <c r="C38" i="2"/>
  <c r="L37" i="2"/>
  <c r="K37" i="2"/>
  <c r="J37" i="2"/>
  <c r="I37" i="2"/>
  <c r="H37" i="2"/>
  <c r="G37" i="2"/>
  <c r="F37" i="2"/>
  <c r="E37" i="2"/>
  <c r="D37" i="2"/>
  <c r="C37" i="2"/>
  <c r="L36" i="2"/>
  <c r="K36" i="2"/>
  <c r="J36" i="2"/>
  <c r="I36" i="2"/>
  <c r="H36" i="2"/>
  <c r="G36" i="2"/>
  <c r="F36" i="2"/>
  <c r="E36" i="2"/>
  <c r="D36" i="2"/>
  <c r="C36" i="2"/>
  <c r="M38" i="2"/>
  <c r="M37" i="2"/>
  <c r="M36" i="2"/>
  <c r="N35" i="2"/>
  <c r="M35" i="2"/>
  <c r="L35" i="2"/>
  <c r="K35" i="2"/>
  <c r="J35" i="2"/>
  <c r="N34" i="2"/>
  <c r="M34" i="2"/>
  <c r="L34" i="2"/>
  <c r="K34" i="2"/>
  <c r="J34" i="2"/>
  <c r="N33" i="2"/>
  <c r="M33" i="2"/>
  <c r="L33" i="2"/>
  <c r="K33" i="2"/>
  <c r="J33" i="2"/>
  <c r="N32" i="2"/>
  <c r="M32" i="2"/>
  <c r="L32" i="2"/>
  <c r="K32" i="2"/>
  <c r="J32" i="2"/>
  <c r="N31" i="2"/>
  <c r="M31" i="2"/>
  <c r="L31" i="2"/>
  <c r="K31" i="2"/>
  <c r="J31" i="2"/>
  <c r="I6" i="1"/>
  <c r="N10" i="2"/>
  <c r="M10" i="2"/>
  <c r="L10" i="2"/>
  <c r="K10" i="2"/>
  <c r="N28" i="2"/>
  <c r="L28" i="2"/>
  <c r="N26" i="2"/>
  <c r="L26" i="2"/>
  <c r="N24" i="2"/>
  <c r="L24" i="2"/>
  <c r="N22" i="2"/>
  <c r="L22" i="2"/>
  <c r="O19" i="2"/>
  <c r="N19" i="2"/>
  <c r="L19" i="2"/>
  <c r="N17" i="2"/>
  <c r="M17" i="2"/>
  <c r="M19" i="2" s="1"/>
  <c r="M22" i="2" s="1"/>
  <c r="M24" i="2" s="1"/>
  <c r="M26" i="2" s="1"/>
  <c r="M28" i="2" s="1"/>
  <c r="L17" i="2"/>
  <c r="K17" i="2"/>
  <c r="K19" i="2" s="1"/>
  <c r="K22" i="2" s="1"/>
  <c r="K24" i="2" s="1"/>
  <c r="K26" i="2" s="1"/>
  <c r="K28" i="2" s="1"/>
  <c r="H35" i="2"/>
  <c r="G35" i="2"/>
  <c r="H34" i="2"/>
  <c r="G34" i="2"/>
  <c r="H33" i="2"/>
  <c r="G33" i="2"/>
  <c r="H32" i="2"/>
  <c r="G32" i="2"/>
  <c r="I35" i="2"/>
  <c r="I34" i="2"/>
  <c r="I33" i="2"/>
  <c r="I32" i="2"/>
  <c r="J10" i="2"/>
  <c r="H10" i="2"/>
  <c r="H31" i="2" s="1"/>
  <c r="G10" i="2"/>
  <c r="G31" i="2" s="1"/>
  <c r="F10" i="2"/>
  <c r="E10" i="2"/>
  <c r="D10" i="2"/>
  <c r="C10" i="2"/>
  <c r="I10" i="2"/>
  <c r="I31" i="2" s="1"/>
  <c r="J17" i="2"/>
  <c r="J19" i="2" s="1"/>
  <c r="J22" i="2" s="1"/>
  <c r="J24" i="2" s="1"/>
  <c r="J26" i="2" s="1"/>
  <c r="J28" i="2" s="1"/>
  <c r="H17" i="2"/>
  <c r="H19" i="2" s="1"/>
  <c r="H22" i="2" s="1"/>
  <c r="H24" i="2" s="1"/>
  <c r="H26" i="2" s="1"/>
  <c r="H28" i="2" s="1"/>
  <c r="G17" i="2"/>
  <c r="G19" i="2" s="1"/>
  <c r="G22" i="2" s="1"/>
  <c r="G24" i="2" s="1"/>
  <c r="G26" i="2" s="1"/>
  <c r="G28" i="2" s="1"/>
  <c r="F17" i="2"/>
  <c r="F19" i="2" s="1"/>
  <c r="F22" i="2" s="1"/>
  <c r="F24" i="2" s="1"/>
  <c r="F26" i="2" s="1"/>
  <c r="F28" i="2" s="1"/>
  <c r="E17" i="2"/>
  <c r="E19" i="2" s="1"/>
  <c r="E22" i="2" s="1"/>
  <c r="E24" i="2" s="1"/>
  <c r="E26" i="2" s="1"/>
  <c r="E28" i="2" s="1"/>
  <c r="D17" i="2"/>
  <c r="D19" i="2" s="1"/>
  <c r="D22" i="2" s="1"/>
  <c r="D24" i="2" s="1"/>
  <c r="D26" i="2" s="1"/>
  <c r="D28" i="2" s="1"/>
  <c r="C17" i="2"/>
  <c r="C19" i="2" s="1"/>
  <c r="C22" i="2" s="1"/>
  <c r="C24" i="2" s="1"/>
  <c r="C26" i="2" s="1"/>
  <c r="C28" i="2" s="1"/>
  <c r="I17" i="2"/>
  <c r="I19" i="2" s="1"/>
  <c r="I22" i="2" s="1"/>
  <c r="I24" i="2" s="1"/>
  <c r="I26" i="2" s="1"/>
  <c r="I28" i="2" s="1"/>
  <c r="I4" i="1"/>
  <c r="I7" i="1" l="1"/>
</calcChain>
</file>

<file path=xl/sharedStrings.xml><?xml version="1.0" encoding="utf-8"?>
<sst xmlns="http://schemas.openxmlformats.org/spreadsheetml/2006/main" count="59" uniqueCount="55">
  <si>
    <t>VSCO</t>
  </si>
  <si>
    <t>Victoria Secret</t>
  </si>
  <si>
    <t>numbers in mio USD</t>
  </si>
  <si>
    <t>IR</t>
  </si>
  <si>
    <t>Price</t>
  </si>
  <si>
    <t>Shares</t>
  </si>
  <si>
    <t>MC</t>
  </si>
  <si>
    <t>Cash</t>
  </si>
  <si>
    <t>Debt</t>
  </si>
  <si>
    <t>EV</t>
  </si>
  <si>
    <t>Q324</t>
  </si>
  <si>
    <t>Main</t>
  </si>
  <si>
    <t>Q123</t>
  </si>
  <si>
    <t>Q223</t>
  </si>
  <si>
    <t>Q323</t>
  </si>
  <si>
    <t>Q423</t>
  </si>
  <si>
    <t>Q124</t>
  </si>
  <si>
    <t>Q224</t>
  </si>
  <si>
    <t>Q424</t>
  </si>
  <si>
    <t>Revenue</t>
  </si>
  <si>
    <t>COGS</t>
  </si>
  <si>
    <t>Gross Profit</t>
  </si>
  <si>
    <t>SG&amp;A</t>
  </si>
  <si>
    <t>Operating Income</t>
  </si>
  <si>
    <t>Interest Income</t>
  </si>
  <si>
    <t>Other Income</t>
  </si>
  <si>
    <t>Pretax Income</t>
  </si>
  <si>
    <t>Tax Expense</t>
  </si>
  <si>
    <t>Net Income</t>
  </si>
  <si>
    <t>Minority Interest Share</t>
  </si>
  <si>
    <t>Net Income to Company</t>
  </si>
  <si>
    <t>EPS</t>
  </si>
  <si>
    <t>Stores North America</t>
  </si>
  <si>
    <t xml:space="preserve">Direct </t>
  </si>
  <si>
    <t>International</t>
  </si>
  <si>
    <t>Average Store Size in SF</t>
  </si>
  <si>
    <t>Total Selling Square Feet in TSF</t>
  </si>
  <si>
    <t>US Stores</t>
  </si>
  <si>
    <t>Canada Store</t>
  </si>
  <si>
    <t>China Joint Ventures</t>
  </si>
  <si>
    <t>Partner Operated</t>
  </si>
  <si>
    <t>Adore Me</t>
  </si>
  <si>
    <t>Total Stores</t>
  </si>
  <si>
    <t>Stores Growth</t>
  </si>
  <si>
    <t>Stores Revenue Growth</t>
  </si>
  <si>
    <t>Direct Revenue Growth</t>
  </si>
  <si>
    <t>International Revenue Growth</t>
  </si>
  <si>
    <t xml:space="preserve">Revenue Growth </t>
  </si>
  <si>
    <t xml:space="preserve">Gross Margin </t>
  </si>
  <si>
    <t xml:space="preserve">Operating Margin </t>
  </si>
  <si>
    <t>Tax Rate</t>
  </si>
  <si>
    <t>Q225</t>
  </si>
  <si>
    <t>Q125</t>
  </si>
  <si>
    <t>Q325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</si>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</sst>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0" fontId="6" fillId="0" borderId="0" xfId="0" applyFont="1"/>
    <xf numFmtId="0" fontId="3" fillId="0" borderId="0" xfId="0" applyFont="1"/>
    <xf numFmtId="3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2" applyFont="1"/>
    <xf numFmtId="4" fontId="3" fillId="0" borderId="0" xfId="0" applyNumberFormat="1" applyFont="1"/>
    <xf numFmtId="9" fontId="3" fillId="0" borderId="0" xfId="1" applyFont="1"/>
    <xf numFmtId="0" fontId="2" fillId="0" borderId="0" xfId="0" applyFont="1" applyAlignment="1">
      <alignment horizontal="right"/>
    </xf>
    <xf numFmtId="164" fontId="3" fillId="0" borderId="0" xfId="0" applyNumberFormat="1" applyFont="1"/>
    <xf numFmtId="164" fontId="6" fillId="0" borderId="0" xfId="0" applyNumberFormat="1" applyFont="1"/>
    <xf numFmtId="0" fontId="1" fillId="0" borderId="0" xfId="0" applyFont="1" applyAlignment="1">
      <alignment horizontal="right"/>
    </xf>
    <xf numFmtId="3" fontId="6" fillId="0" borderId="0" xfId="0" applyNumberFormat="1" applyFont="1"/>
    <xf numFmtId="9" fontId="6" fillId="0" borderId="0" xfId="1" applyFont="1"/>
    <xf numFmtId="9" fontId="1" fillId="0" borderId="0" xfId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FA482-CA7A-4B54-B6C7-E27157E10658}">
  <dimension ref="A1:J7"/>
  <sheetViews>
    <sheetView tabSelected="1" topLeftCell="B1" zoomScale="200" zoomScaleNormal="200" workbookViewId="0">
      <selection activeCell="I6" sqref="I6"/>
    </sheetView>
  </sheetViews>
  <sheetFormatPr defaultRowHeight="12.75" x14ac:dyDescent="0.2"/>
  <cols>
    <col min="1" max="1" width="4.28515625" style="2" customWidth="1"/>
    <col min="2" max="16384" width="9.140625" style="2"/>
  </cols>
  <sheetData>
    <row r="1" spans="1:10" x14ac:dyDescent="0.2">
      <c r="A1" s="1" t="s">
        <v>1</v>
      </c>
    </row>
    <row r="2" spans="1:10" x14ac:dyDescent="0.2">
      <c r="A2" s="2" t="s">
        <v>2</v>
      </c>
      <c r="H2" s="2" t="s">
        <v>4</v>
      </c>
      <c r="I2" s="2">
        <v>54.91</v>
      </c>
    </row>
    <row r="3" spans="1:10" x14ac:dyDescent="0.2">
      <c r="H3" s="2" t="s">
        <v>5</v>
      </c>
      <c r="I3" s="3">
        <v>80.268923999999998</v>
      </c>
      <c r="J3" s="11" t="s">
        <v>53</v>
      </c>
    </row>
    <row r="4" spans="1:10" x14ac:dyDescent="0.2">
      <c r="B4" s="2" t="s">
        <v>0</v>
      </c>
      <c r="H4" s="2" t="s">
        <v>6</v>
      </c>
      <c r="I4" s="3">
        <f>+I2*I3</f>
        <v>4407.5666168399994</v>
      </c>
    </row>
    <row r="5" spans="1:10" x14ac:dyDescent="0.2">
      <c r="B5" s="2" t="s">
        <v>3</v>
      </c>
      <c r="H5" s="2" t="s">
        <v>7</v>
      </c>
      <c r="I5" s="3">
        <v>249</v>
      </c>
      <c r="J5" s="11" t="s">
        <v>53</v>
      </c>
    </row>
    <row r="6" spans="1:10" x14ac:dyDescent="0.2">
      <c r="H6" s="2" t="s">
        <v>8</v>
      </c>
      <c r="I6" s="3">
        <f>4+1347</f>
        <v>1351</v>
      </c>
      <c r="J6" s="11" t="s">
        <v>53</v>
      </c>
    </row>
    <row r="7" spans="1:10" x14ac:dyDescent="0.2">
      <c r="H7" s="2" t="s">
        <v>9</v>
      </c>
      <c r="I7" s="3">
        <f>+I4-I5+I6</f>
        <v>5509.5666168399994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876DA-AE76-4507-A1D0-03051E2114DC}">
  <dimension ref="A1:CK419"/>
  <sheetViews>
    <sheetView zoomScale="200" zoomScaleNormal="200" workbookViewId="0">
      <pane xSplit="2" ySplit="2" topLeftCell="J3" activePane="bottomRight" state="frozen"/>
      <selection pane="topRight" activeCell="C1" sqref="C1"/>
      <selection pane="bottomLeft" activeCell="A3" sqref="A3"/>
      <selection pane="bottomRight" activeCell="N36" sqref="N36:N38"/>
    </sheetView>
  </sheetViews>
  <sheetFormatPr defaultRowHeight="12.75" x14ac:dyDescent="0.2"/>
  <cols>
    <col min="1" max="1" width="4.5703125" style="2" customWidth="1"/>
    <col min="2" max="2" width="29.42578125" style="2" customWidth="1"/>
    <col min="3" max="16384" width="9.140625" style="2"/>
  </cols>
  <sheetData>
    <row r="1" spans="1:89" x14ac:dyDescent="0.2">
      <c r="A1" s="5" t="s">
        <v>11</v>
      </c>
    </row>
    <row r="2" spans="1:89" x14ac:dyDescent="0.2">
      <c r="C2" s="4" t="s">
        <v>12</v>
      </c>
      <c r="D2" s="4" t="s">
        <v>13</v>
      </c>
      <c r="E2" s="4" t="s">
        <v>14</v>
      </c>
      <c r="F2" s="4" t="s">
        <v>15</v>
      </c>
      <c r="G2" s="4" t="s">
        <v>16</v>
      </c>
      <c r="H2" s="4" t="s">
        <v>17</v>
      </c>
      <c r="I2" s="4" t="s">
        <v>10</v>
      </c>
      <c r="J2" s="4" t="s">
        <v>18</v>
      </c>
      <c r="K2" s="8" t="s">
        <v>52</v>
      </c>
      <c r="L2" s="8" t="s">
        <v>51</v>
      </c>
      <c r="M2" s="8" t="s">
        <v>53</v>
      </c>
      <c r="N2" s="8" t="s">
        <v>54</v>
      </c>
    </row>
    <row r="3" spans="1:89" x14ac:dyDescent="0.2">
      <c r="B3" s="2" t="s">
        <v>35</v>
      </c>
      <c r="C3" s="9"/>
      <c r="D3" s="9"/>
      <c r="E3" s="9">
        <v>6833</v>
      </c>
      <c r="F3" s="9"/>
      <c r="G3" s="9">
        <v>6849</v>
      </c>
      <c r="H3" s="9">
        <v>6892</v>
      </c>
      <c r="I3" s="9">
        <v>6878</v>
      </c>
      <c r="J3" s="9"/>
      <c r="K3" s="9">
        <v>6905</v>
      </c>
      <c r="L3" s="9">
        <v>6907</v>
      </c>
      <c r="M3" s="9">
        <v>6914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  <c r="CE3" s="9"/>
      <c r="CF3" s="9"/>
      <c r="CG3" s="9"/>
      <c r="CH3" s="9"/>
      <c r="CI3" s="9"/>
      <c r="CJ3" s="9"/>
      <c r="CK3" s="9"/>
    </row>
    <row r="4" spans="1:89" x14ac:dyDescent="0.2">
      <c r="B4" s="2" t="s">
        <v>36</v>
      </c>
      <c r="C4" s="9"/>
      <c r="D4" s="9"/>
      <c r="E4" s="9">
        <v>5610</v>
      </c>
      <c r="F4" s="9"/>
      <c r="G4" s="9">
        <v>5555</v>
      </c>
      <c r="H4" s="9">
        <v>5507</v>
      </c>
      <c r="I4" s="9">
        <v>5468</v>
      </c>
      <c r="J4" s="9"/>
      <c r="K4" s="9">
        <v>5365</v>
      </c>
      <c r="L4" s="9">
        <v>5305</v>
      </c>
      <c r="M4" s="9">
        <v>5337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  <c r="BS4" s="9"/>
      <c r="BT4" s="9"/>
      <c r="BU4" s="9"/>
      <c r="BV4" s="9"/>
      <c r="BW4" s="9"/>
      <c r="BX4" s="9"/>
      <c r="BY4" s="9"/>
      <c r="BZ4" s="9"/>
      <c r="CA4" s="9"/>
      <c r="CB4" s="9"/>
      <c r="CC4" s="9"/>
      <c r="CD4" s="9"/>
      <c r="CE4" s="9"/>
      <c r="CF4" s="9"/>
      <c r="CG4" s="9"/>
      <c r="CH4" s="9"/>
      <c r="CI4" s="9"/>
      <c r="CJ4" s="9"/>
      <c r="CK4" s="9"/>
    </row>
    <row r="5" spans="1:89" x14ac:dyDescent="0.2">
      <c r="B5" s="2" t="s">
        <v>37</v>
      </c>
      <c r="C5" s="9"/>
      <c r="D5" s="9"/>
      <c r="E5" s="9">
        <v>812</v>
      </c>
      <c r="F5" s="9"/>
      <c r="G5" s="9">
        <v>805</v>
      </c>
      <c r="H5" s="9">
        <v>793</v>
      </c>
      <c r="I5" s="9">
        <v>808</v>
      </c>
      <c r="J5" s="9"/>
      <c r="K5" s="9">
        <v>772</v>
      </c>
      <c r="L5" s="9">
        <v>763</v>
      </c>
      <c r="M5" s="9">
        <v>782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  <c r="BY5" s="9"/>
      <c r="BZ5" s="9"/>
      <c r="CA5" s="9"/>
      <c r="CB5" s="9"/>
      <c r="CC5" s="9"/>
      <c r="CD5" s="9"/>
      <c r="CE5" s="9"/>
      <c r="CF5" s="9"/>
      <c r="CG5" s="9"/>
      <c r="CH5" s="9"/>
      <c r="CI5" s="9"/>
      <c r="CJ5" s="9"/>
      <c r="CK5" s="9"/>
    </row>
    <row r="6" spans="1:89" x14ac:dyDescent="0.2">
      <c r="B6" s="2" t="s">
        <v>38</v>
      </c>
      <c r="C6" s="9"/>
      <c r="D6" s="9"/>
      <c r="E6" s="9">
        <v>25</v>
      </c>
      <c r="F6" s="9"/>
      <c r="G6" s="9">
        <v>23</v>
      </c>
      <c r="H6" s="9">
        <v>23</v>
      </c>
      <c r="I6" s="9">
        <v>23</v>
      </c>
      <c r="J6" s="9"/>
      <c r="K6" s="9">
        <v>23</v>
      </c>
      <c r="L6" s="9">
        <v>24</v>
      </c>
      <c r="M6" s="9">
        <v>24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  <c r="BS6" s="9"/>
      <c r="BT6" s="9"/>
      <c r="BU6" s="9"/>
      <c r="BV6" s="9"/>
      <c r="BW6" s="9"/>
      <c r="BX6" s="9"/>
      <c r="BY6" s="9"/>
      <c r="BZ6" s="9"/>
      <c r="CA6" s="9"/>
      <c r="CB6" s="9"/>
      <c r="CC6" s="9"/>
      <c r="CD6" s="9"/>
      <c r="CE6" s="9"/>
      <c r="CF6" s="9"/>
      <c r="CG6" s="9"/>
      <c r="CH6" s="9"/>
      <c r="CI6" s="9"/>
      <c r="CJ6" s="9"/>
      <c r="CK6" s="9"/>
    </row>
    <row r="7" spans="1:89" x14ac:dyDescent="0.2">
      <c r="B7" s="2" t="s">
        <v>39</v>
      </c>
      <c r="C7" s="9"/>
      <c r="D7" s="9"/>
      <c r="E7" s="9">
        <v>72</v>
      </c>
      <c r="F7" s="9"/>
      <c r="G7" s="9">
        <v>71</v>
      </c>
      <c r="H7" s="9">
        <v>70</v>
      </c>
      <c r="I7" s="9">
        <v>70</v>
      </c>
      <c r="J7" s="9"/>
      <c r="K7" s="9">
        <v>68</v>
      </c>
      <c r="L7" s="9">
        <v>63</v>
      </c>
      <c r="M7" s="9">
        <v>70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</row>
    <row r="8" spans="1:89" x14ac:dyDescent="0.2">
      <c r="B8" s="2" t="s">
        <v>40</v>
      </c>
      <c r="C8" s="9"/>
      <c r="D8" s="9"/>
      <c r="E8" s="9">
        <v>443</v>
      </c>
      <c r="F8" s="9"/>
      <c r="G8" s="9">
        <v>473</v>
      </c>
      <c r="H8" s="9">
        <v>481</v>
      </c>
      <c r="I8" s="9">
        <v>463</v>
      </c>
      <c r="J8" s="9"/>
      <c r="K8" s="9">
        <v>510</v>
      </c>
      <c r="L8" s="9">
        <v>521</v>
      </c>
      <c r="M8" s="9">
        <v>505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</row>
    <row r="9" spans="1:89" x14ac:dyDescent="0.2">
      <c r="B9" s="2" t="s">
        <v>41</v>
      </c>
      <c r="C9" s="9"/>
      <c r="D9" s="9"/>
      <c r="E9" s="9">
        <v>6</v>
      </c>
      <c r="F9" s="9"/>
      <c r="G9" s="9">
        <v>6</v>
      </c>
      <c r="H9" s="9">
        <v>6</v>
      </c>
      <c r="I9" s="9">
        <v>6</v>
      </c>
      <c r="J9" s="9"/>
      <c r="K9" s="9">
        <v>5</v>
      </c>
      <c r="L9" s="9">
        <v>5</v>
      </c>
      <c r="M9" s="9">
        <v>6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9"/>
      <c r="BQ9" s="9"/>
      <c r="BR9" s="9"/>
      <c r="BS9" s="9"/>
      <c r="BT9" s="9"/>
      <c r="BU9" s="9"/>
      <c r="BV9" s="9"/>
      <c r="BW9" s="9"/>
      <c r="BX9" s="9"/>
      <c r="BY9" s="9"/>
      <c r="BZ9" s="9"/>
      <c r="CA9" s="9"/>
      <c r="CB9" s="9"/>
      <c r="CC9" s="9"/>
      <c r="CD9" s="9"/>
      <c r="CE9" s="9"/>
      <c r="CF9" s="9"/>
      <c r="CG9" s="9"/>
      <c r="CH9" s="9"/>
      <c r="CI9" s="9"/>
      <c r="CJ9" s="9"/>
      <c r="CK9" s="9"/>
    </row>
    <row r="10" spans="1:89" x14ac:dyDescent="0.2">
      <c r="B10" s="1" t="s">
        <v>42</v>
      </c>
      <c r="C10" s="10">
        <f t="shared" ref="C10:H10" si="0">+SUM(C5:C9)</f>
        <v>0</v>
      </c>
      <c r="D10" s="10">
        <f t="shared" si="0"/>
        <v>0</v>
      </c>
      <c r="E10" s="10">
        <f t="shared" si="0"/>
        <v>1358</v>
      </c>
      <c r="F10" s="10">
        <f t="shared" si="0"/>
        <v>0</v>
      </c>
      <c r="G10" s="10">
        <f t="shared" si="0"/>
        <v>1378</v>
      </c>
      <c r="H10" s="10">
        <f t="shared" si="0"/>
        <v>1373</v>
      </c>
      <c r="I10" s="10">
        <f>+SUM(I5:I9)</f>
        <v>1370</v>
      </c>
      <c r="J10" s="10">
        <f t="shared" ref="J10:N10" si="1">+SUM(J5:J9)</f>
        <v>0</v>
      </c>
      <c r="K10" s="10">
        <f t="shared" si="1"/>
        <v>1378</v>
      </c>
      <c r="L10" s="10">
        <f t="shared" si="1"/>
        <v>1376</v>
      </c>
      <c r="M10" s="10">
        <f t="shared" si="1"/>
        <v>1387</v>
      </c>
      <c r="N10" s="10">
        <f t="shared" si="1"/>
        <v>0</v>
      </c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9"/>
      <c r="BQ10" s="9"/>
      <c r="BR10" s="9"/>
      <c r="BS10" s="9"/>
      <c r="BT10" s="9"/>
      <c r="BU10" s="9"/>
      <c r="BV10" s="9"/>
      <c r="BW10" s="9"/>
      <c r="BX10" s="9"/>
      <c r="BY10" s="9"/>
      <c r="BZ10" s="9"/>
      <c r="CA10" s="9"/>
      <c r="CB10" s="9"/>
      <c r="CC10" s="9"/>
      <c r="CD10" s="9"/>
      <c r="CE10" s="9"/>
      <c r="CF10" s="9"/>
      <c r="CG10" s="9"/>
      <c r="CH10" s="9"/>
      <c r="CI10" s="9"/>
      <c r="CJ10" s="9"/>
      <c r="CK10" s="9"/>
    </row>
    <row r="11" spans="1:89" x14ac:dyDescent="0.2"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9"/>
      <c r="BV11" s="9"/>
      <c r="BW11" s="9"/>
      <c r="BX11" s="9"/>
      <c r="BY11" s="9"/>
      <c r="BZ11" s="9"/>
      <c r="CA11" s="9"/>
      <c r="CB11" s="9"/>
      <c r="CC11" s="9"/>
      <c r="CD11" s="9"/>
      <c r="CE11" s="9"/>
      <c r="CF11" s="9"/>
      <c r="CG11" s="9"/>
      <c r="CH11" s="9"/>
      <c r="CI11" s="9"/>
      <c r="CJ11" s="9"/>
      <c r="CK11" s="9"/>
    </row>
    <row r="12" spans="1:89" x14ac:dyDescent="0.2">
      <c r="B12" s="2" t="s">
        <v>32</v>
      </c>
      <c r="C12" s="9"/>
      <c r="D12" s="9"/>
      <c r="E12" s="9">
        <v>723</v>
      </c>
      <c r="F12" s="9"/>
      <c r="G12" s="9">
        <v>729</v>
      </c>
      <c r="H12" s="9">
        <v>800</v>
      </c>
      <c r="I12" s="9">
        <v>738</v>
      </c>
      <c r="J12" s="9"/>
      <c r="K12" s="9">
        <v>721</v>
      </c>
      <c r="L12" s="9">
        <v>825</v>
      </c>
      <c r="M12" s="9">
        <v>778</v>
      </c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</row>
    <row r="13" spans="1:89" x14ac:dyDescent="0.2">
      <c r="B13" s="2" t="s">
        <v>33</v>
      </c>
      <c r="C13" s="9"/>
      <c r="D13" s="9"/>
      <c r="E13" s="9">
        <v>382</v>
      </c>
      <c r="F13" s="9"/>
      <c r="G13" s="9">
        <v>449</v>
      </c>
      <c r="H13" s="9">
        <v>430</v>
      </c>
      <c r="I13" s="9">
        <v>411</v>
      </c>
      <c r="J13" s="9"/>
      <c r="K13" s="9">
        <v>433</v>
      </c>
      <c r="L13" s="9">
        <v>406</v>
      </c>
      <c r="M13" s="9">
        <v>429</v>
      </c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9"/>
      <c r="BV13" s="9"/>
      <c r="BW13" s="9"/>
      <c r="BX13" s="9"/>
      <c r="BY13" s="9"/>
      <c r="BZ13" s="9"/>
      <c r="CA13" s="9"/>
      <c r="CB13" s="9"/>
      <c r="CC13" s="9"/>
      <c r="CD13" s="9"/>
      <c r="CE13" s="9"/>
      <c r="CF13" s="9"/>
      <c r="CG13" s="9"/>
      <c r="CH13" s="9"/>
      <c r="CI13" s="9"/>
      <c r="CJ13" s="9"/>
      <c r="CK13" s="9"/>
    </row>
    <row r="14" spans="1:89" x14ac:dyDescent="0.2">
      <c r="B14" s="2" t="s">
        <v>34</v>
      </c>
      <c r="C14" s="9"/>
      <c r="D14" s="9"/>
      <c r="E14" s="9">
        <v>160</v>
      </c>
      <c r="F14" s="9"/>
      <c r="G14" s="9">
        <v>181</v>
      </c>
      <c r="H14" s="9">
        <v>187</v>
      </c>
      <c r="I14" s="9">
        <v>198</v>
      </c>
      <c r="J14" s="9"/>
      <c r="K14" s="9">
        <v>199</v>
      </c>
      <c r="L14" s="9">
        <v>228</v>
      </c>
      <c r="M14" s="9">
        <v>265</v>
      </c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</row>
    <row r="15" spans="1:89" x14ac:dyDescent="0.2">
      <c r="B15" s="1" t="s">
        <v>19</v>
      </c>
      <c r="C15" s="10"/>
      <c r="D15" s="10"/>
      <c r="E15" s="10">
        <v>1265</v>
      </c>
      <c r="F15" s="10"/>
      <c r="G15" s="10">
        <v>1359</v>
      </c>
      <c r="H15" s="10">
        <v>1417</v>
      </c>
      <c r="I15" s="10">
        <v>1347</v>
      </c>
      <c r="J15" s="10"/>
      <c r="K15" s="10">
        <v>1353</v>
      </c>
      <c r="L15" s="10">
        <v>1459</v>
      </c>
      <c r="M15" s="10">
        <v>1472</v>
      </c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</row>
    <row r="16" spans="1:89" x14ac:dyDescent="0.2">
      <c r="B16" s="2" t="s">
        <v>20</v>
      </c>
      <c r="C16" s="9"/>
      <c r="D16" s="9"/>
      <c r="E16" s="9">
        <v>838</v>
      </c>
      <c r="F16" s="9"/>
      <c r="G16" s="9">
        <v>858</v>
      </c>
      <c r="H16" s="9">
        <v>916</v>
      </c>
      <c r="I16" s="9">
        <v>879</v>
      </c>
      <c r="J16" s="9"/>
      <c r="K16" s="9">
        <v>879</v>
      </c>
      <c r="L16" s="9">
        <v>940</v>
      </c>
      <c r="M16" s="9">
        <v>936</v>
      </c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9"/>
      <c r="CE16" s="9"/>
      <c r="CF16" s="9"/>
      <c r="CG16" s="9"/>
      <c r="CH16" s="9"/>
      <c r="CI16" s="9"/>
      <c r="CJ16" s="9"/>
      <c r="CK16" s="9"/>
    </row>
    <row r="17" spans="2:89" x14ac:dyDescent="0.2">
      <c r="B17" s="2" t="s">
        <v>21</v>
      </c>
      <c r="C17" s="9">
        <f t="shared" ref="C17:H17" si="2">+C15-C16</f>
        <v>0</v>
      </c>
      <c r="D17" s="9">
        <f t="shared" si="2"/>
        <v>0</v>
      </c>
      <c r="E17" s="9">
        <f t="shared" si="2"/>
        <v>427</v>
      </c>
      <c r="F17" s="9">
        <f t="shared" si="2"/>
        <v>0</v>
      </c>
      <c r="G17" s="9">
        <f t="shared" si="2"/>
        <v>501</v>
      </c>
      <c r="H17" s="9">
        <f t="shared" si="2"/>
        <v>501</v>
      </c>
      <c r="I17" s="9">
        <f>+I15-I16</f>
        <v>468</v>
      </c>
      <c r="J17" s="9">
        <f t="shared" ref="J17:N17" si="3">+J15-J16</f>
        <v>0</v>
      </c>
      <c r="K17" s="9">
        <f t="shared" si="3"/>
        <v>474</v>
      </c>
      <c r="L17" s="9">
        <f t="shared" si="3"/>
        <v>519</v>
      </c>
      <c r="M17" s="9">
        <f t="shared" si="3"/>
        <v>536</v>
      </c>
      <c r="N17" s="9">
        <f t="shared" si="3"/>
        <v>0</v>
      </c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</row>
    <row r="18" spans="2:89" x14ac:dyDescent="0.2">
      <c r="B18" s="2" t="s">
        <v>22</v>
      </c>
      <c r="C18" s="9"/>
      <c r="D18" s="9"/>
      <c r="E18" s="9">
        <v>494</v>
      </c>
      <c r="F18" s="9"/>
      <c r="G18" s="9">
        <v>475</v>
      </c>
      <c r="H18" s="9">
        <v>439</v>
      </c>
      <c r="I18" s="9">
        <v>515</v>
      </c>
      <c r="J18" s="9"/>
      <c r="K18" s="9">
        <v>454</v>
      </c>
      <c r="L18" s="9">
        <v>478</v>
      </c>
      <c r="M18" s="9">
        <v>555</v>
      </c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  <c r="BS18" s="9"/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9"/>
      <c r="CE18" s="9"/>
      <c r="CF18" s="9"/>
      <c r="CG18" s="9"/>
      <c r="CH18" s="9"/>
      <c r="CI18" s="9"/>
      <c r="CJ18" s="9"/>
      <c r="CK18" s="9"/>
    </row>
    <row r="19" spans="2:89" x14ac:dyDescent="0.2">
      <c r="B19" s="2" t="s">
        <v>23</v>
      </c>
      <c r="C19" s="9">
        <f t="shared" ref="C19:H19" si="4">+C17-C18</f>
        <v>0</v>
      </c>
      <c r="D19" s="9">
        <f t="shared" si="4"/>
        <v>0</v>
      </c>
      <c r="E19" s="9">
        <f t="shared" si="4"/>
        <v>-67</v>
      </c>
      <c r="F19" s="9">
        <f t="shared" si="4"/>
        <v>0</v>
      </c>
      <c r="G19" s="9">
        <f t="shared" si="4"/>
        <v>26</v>
      </c>
      <c r="H19" s="9">
        <f t="shared" si="4"/>
        <v>62</v>
      </c>
      <c r="I19" s="9">
        <f>+I17-I18</f>
        <v>-47</v>
      </c>
      <c r="J19" s="9">
        <f t="shared" ref="J19:O19" si="5">+J17-J18</f>
        <v>0</v>
      </c>
      <c r="K19" s="9">
        <f t="shared" si="5"/>
        <v>20</v>
      </c>
      <c r="L19" s="9">
        <f t="shared" si="5"/>
        <v>41</v>
      </c>
      <c r="M19" s="9">
        <f t="shared" si="5"/>
        <v>-19</v>
      </c>
      <c r="N19" s="9">
        <f t="shared" si="5"/>
        <v>0</v>
      </c>
      <c r="O19" s="9">
        <f t="shared" si="5"/>
        <v>0</v>
      </c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</row>
    <row r="20" spans="2:89" x14ac:dyDescent="0.2">
      <c r="B20" s="2" t="s">
        <v>24</v>
      </c>
      <c r="C20" s="9"/>
      <c r="D20" s="9"/>
      <c r="E20" s="9">
        <v>26</v>
      </c>
      <c r="F20" s="9"/>
      <c r="G20" s="9">
        <v>22</v>
      </c>
      <c r="H20" s="9">
        <v>21</v>
      </c>
      <c r="I20" s="9">
        <v>22</v>
      </c>
      <c r="J20" s="9"/>
      <c r="K20" s="9">
        <v>17</v>
      </c>
      <c r="L20" s="9">
        <v>18</v>
      </c>
      <c r="M20" s="9">
        <v>18</v>
      </c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  <c r="CE20" s="9"/>
      <c r="CF20" s="9"/>
      <c r="CG20" s="9"/>
      <c r="CH20" s="9"/>
      <c r="CI20" s="9"/>
      <c r="CJ20" s="9"/>
      <c r="CK20" s="9"/>
    </row>
    <row r="21" spans="2:89" x14ac:dyDescent="0.2">
      <c r="B21" s="2" t="s">
        <v>25</v>
      </c>
      <c r="C21" s="9"/>
      <c r="D21" s="9"/>
      <c r="E21" s="9">
        <v>0</v>
      </c>
      <c r="F21" s="9"/>
      <c r="G21" s="9">
        <v>1</v>
      </c>
      <c r="H21" s="9">
        <v>0</v>
      </c>
      <c r="I21" s="9">
        <v>-1</v>
      </c>
      <c r="J21" s="9"/>
      <c r="K21" s="9">
        <v>3</v>
      </c>
      <c r="L21" s="9">
        <v>1</v>
      </c>
      <c r="M21" s="9">
        <v>0</v>
      </c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9"/>
      <c r="BW21" s="9"/>
      <c r="BX21" s="9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</row>
    <row r="22" spans="2:89" x14ac:dyDescent="0.2">
      <c r="B22" s="2" t="s">
        <v>26</v>
      </c>
      <c r="C22" s="9">
        <f t="shared" ref="C22:H22" si="6">+C19-C20+C21</f>
        <v>0</v>
      </c>
      <c r="D22" s="9">
        <f t="shared" si="6"/>
        <v>0</v>
      </c>
      <c r="E22" s="9">
        <f t="shared" si="6"/>
        <v>-93</v>
      </c>
      <c r="F22" s="9">
        <f t="shared" si="6"/>
        <v>0</v>
      </c>
      <c r="G22" s="9">
        <f t="shared" si="6"/>
        <v>5</v>
      </c>
      <c r="H22" s="9">
        <f t="shared" si="6"/>
        <v>41</v>
      </c>
      <c r="I22" s="9">
        <f>+I19-I20+I21</f>
        <v>-70</v>
      </c>
      <c r="J22" s="9">
        <f t="shared" ref="J22:N22" si="7">+J19-J20+J21</f>
        <v>0</v>
      </c>
      <c r="K22" s="9">
        <f t="shared" si="7"/>
        <v>6</v>
      </c>
      <c r="L22" s="9">
        <f t="shared" si="7"/>
        <v>24</v>
      </c>
      <c r="M22" s="9">
        <f t="shared" si="7"/>
        <v>-37</v>
      </c>
      <c r="N22" s="9">
        <f t="shared" si="7"/>
        <v>0</v>
      </c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  <c r="BS22" s="9"/>
      <c r="BT22" s="9"/>
      <c r="BU22" s="9"/>
      <c r="BV22" s="9"/>
      <c r="BW22" s="9"/>
      <c r="BX22" s="9"/>
      <c r="BY22" s="9"/>
      <c r="BZ22" s="9"/>
      <c r="CA22" s="9"/>
      <c r="CB22" s="9"/>
      <c r="CC22" s="9"/>
      <c r="CD22" s="9"/>
      <c r="CE22" s="9"/>
      <c r="CF22" s="9"/>
      <c r="CG22" s="9"/>
      <c r="CH22" s="9"/>
      <c r="CI22" s="9"/>
      <c r="CJ22" s="9"/>
      <c r="CK22" s="9"/>
    </row>
    <row r="23" spans="2:89" x14ac:dyDescent="0.2">
      <c r="B23" s="2" t="s">
        <v>27</v>
      </c>
      <c r="C23" s="9"/>
      <c r="D23" s="9"/>
      <c r="E23" s="9">
        <v>-22</v>
      </c>
      <c r="F23" s="9"/>
      <c r="G23" s="9">
        <v>8</v>
      </c>
      <c r="H23" s="9">
        <v>9</v>
      </c>
      <c r="I23" s="9">
        <v>-15</v>
      </c>
      <c r="J23" s="9"/>
      <c r="K23" s="9">
        <v>3</v>
      </c>
      <c r="L23" s="9">
        <v>6</v>
      </c>
      <c r="M23" s="9">
        <v>-6</v>
      </c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9"/>
      <c r="BV23" s="9"/>
      <c r="BW23" s="9"/>
      <c r="BX23" s="9"/>
      <c r="BY23" s="9"/>
      <c r="BZ23" s="9"/>
      <c r="CA23" s="9"/>
      <c r="CB23" s="9"/>
      <c r="CC23" s="9"/>
      <c r="CD23" s="9"/>
      <c r="CE23" s="9"/>
      <c r="CF23" s="9"/>
      <c r="CG23" s="9"/>
      <c r="CH23" s="9"/>
      <c r="CI23" s="9"/>
      <c r="CJ23" s="9"/>
      <c r="CK23" s="9"/>
    </row>
    <row r="24" spans="2:89" x14ac:dyDescent="0.2">
      <c r="B24" s="2" t="s">
        <v>28</v>
      </c>
      <c r="C24" s="9">
        <f t="shared" ref="C24:H24" si="8">+C22-C23</f>
        <v>0</v>
      </c>
      <c r="D24" s="9">
        <f t="shared" si="8"/>
        <v>0</v>
      </c>
      <c r="E24" s="9">
        <f t="shared" si="8"/>
        <v>-71</v>
      </c>
      <c r="F24" s="9">
        <f t="shared" si="8"/>
        <v>0</v>
      </c>
      <c r="G24" s="9">
        <f t="shared" si="8"/>
        <v>-3</v>
      </c>
      <c r="H24" s="9">
        <f t="shared" si="8"/>
        <v>32</v>
      </c>
      <c r="I24" s="9">
        <f>+I22-I23</f>
        <v>-55</v>
      </c>
      <c r="J24" s="9">
        <f t="shared" ref="J24:N24" si="9">+J22-J23</f>
        <v>0</v>
      </c>
      <c r="K24" s="9">
        <f t="shared" si="9"/>
        <v>3</v>
      </c>
      <c r="L24" s="9">
        <f t="shared" si="9"/>
        <v>18</v>
      </c>
      <c r="M24" s="9">
        <f t="shared" si="9"/>
        <v>-31</v>
      </c>
      <c r="N24" s="9">
        <f t="shared" si="9"/>
        <v>0</v>
      </c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  <c r="BS24" s="9"/>
      <c r="BT24" s="9"/>
      <c r="BU24" s="9"/>
      <c r="BV24" s="9"/>
      <c r="BW24" s="9"/>
      <c r="BX24" s="9"/>
      <c r="BY24" s="9"/>
      <c r="BZ24" s="9"/>
      <c r="CA24" s="9"/>
      <c r="CB24" s="9"/>
      <c r="CC24" s="9"/>
      <c r="CD24" s="9"/>
      <c r="CE24" s="9"/>
      <c r="CF24" s="9"/>
      <c r="CG24" s="9"/>
      <c r="CH24" s="9"/>
      <c r="CI24" s="9"/>
      <c r="CJ24" s="9"/>
      <c r="CK24" s="9"/>
    </row>
    <row r="25" spans="2:89" x14ac:dyDescent="0.2">
      <c r="B25" s="2" t="s">
        <v>29</v>
      </c>
      <c r="C25" s="9"/>
      <c r="D25" s="9"/>
      <c r="E25" s="9">
        <v>0</v>
      </c>
      <c r="F25" s="9"/>
      <c r="G25" s="9">
        <v>1</v>
      </c>
      <c r="H25" s="9">
        <v>0</v>
      </c>
      <c r="I25" s="9">
        <v>1</v>
      </c>
      <c r="J25" s="9"/>
      <c r="K25" s="9">
        <v>5</v>
      </c>
      <c r="L25" s="9">
        <v>2</v>
      </c>
      <c r="M25" s="9">
        <v>6</v>
      </c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  <c r="BP25" s="9"/>
      <c r="BQ25" s="9"/>
      <c r="BR25" s="9"/>
      <c r="BS25" s="9"/>
      <c r="BT25" s="9"/>
      <c r="BU25" s="9"/>
      <c r="BV25" s="9"/>
      <c r="BW25" s="9"/>
      <c r="BX25" s="9"/>
      <c r="BY25" s="9"/>
      <c r="BZ25" s="9"/>
      <c r="CA25" s="9"/>
      <c r="CB25" s="9"/>
      <c r="CC25" s="9"/>
      <c r="CD25" s="9"/>
      <c r="CE25" s="9"/>
      <c r="CF25" s="9"/>
      <c r="CG25" s="9"/>
      <c r="CH25" s="9"/>
      <c r="CI25" s="9"/>
      <c r="CJ25" s="9"/>
      <c r="CK25" s="9"/>
    </row>
    <row r="26" spans="2:89" x14ac:dyDescent="0.2">
      <c r="B26" s="2" t="s">
        <v>30</v>
      </c>
      <c r="C26" s="9">
        <f t="shared" ref="C26:H26" si="10">+C24-C25</f>
        <v>0</v>
      </c>
      <c r="D26" s="9">
        <f t="shared" si="10"/>
        <v>0</v>
      </c>
      <c r="E26" s="9">
        <f t="shared" si="10"/>
        <v>-71</v>
      </c>
      <c r="F26" s="9">
        <f t="shared" si="10"/>
        <v>0</v>
      </c>
      <c r="G26" s="9">
        <f t="shared" si="10"/>
        <v>-4</v>
      </c>
      <c r="H26" s="9">
        <f t="shared" si="10"/>
        <v>32</v>
      </c>
      <c r="I26" s="9">
        <f>+I24-I25</f>
        <v>-56</v>
      </c>
      <c r="J26" s="9">
        <f t="shared" ref="J26:N26" si="11">+J24-J25</f>
        <v>0</v>
      </c>
      <c r="K26" s="9">
        <f t="shared" si="11"/>
        <v>-2</v>
      </c>
      <c r="L26" s="9">
        <f t="shared" si="11"/>
        <v>16</v>
      </c>
      <c r="M26" s="9">
        <f t="shared" si="11"/>
        <v>-37</v>
      </c>
      <c r="N26" s="9">
        <f t="shared" si="11"/>
        <v>0</v>
      </c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  <c r="BP26" s="9"/>
      <c r="BQ26" s="9"/>
      <c r="BR26" s="9"/>
      <c r="BS26" s="9"/>
      <c r="BT26" s="9"/>
      <c r="BU26" s="9"/>
      <c r="BV26" s="9"/>
      <c r="BW26" s="9"/>
      <c r="BX26" s="9"/>
      <c r="BY26" s="9"/>
      <c r="BZ26" s="9"/>
      <c r="CA26" s="9"/>
      <c r="CB26" s="9"/>
      <c r="CC26" s="9"/>
      <c r="CD26" s="9"/>
      <c r="CE26" s="9"/>
      <c r="CF26" s="9"/>
      <c r="CG26" s="9"/>
      <c r="CH26" s="9"/>
      <c r="CI26" s="9"/>
      <c r="CJ26" s="9"/>
      <c r="CK26" s="9"/>
    </row>
    <row r="27" spans="2:89" x14ac:dyDescent="0.2"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</row>
    <row r="28" spans="2:89" x14ac:dyDescent="0.2">
      <c r="B28" s="2" t="s">
        <v>31</v>
      </c>
      <c r="C28" s="6" t="e">
        <f t="shared" ref="C28:D28" si="12">+C26/C29</f>
        <v>#DIV/0!</v>
      </c>
      <c r="D28" s="6" t="e">
        <f t="shared" si="12"/>
        <v>#DIV/0!</v>
      </c>
      <c r="E28" s="6">
        <f>+E26/E29</f>
        <v>-0.92207792207792205</v>
      </c>
      <c r="F28" s="6" t="e">
        <f t="shared" ref="F28:N28" si="13">+F26/F29</f>
        <v>#DIV/0!</v>
      </c>
      <c r="G28" s="6">
        <f t="shared" si="13"/>
        <v>-5.128205128205128E-2</v>
      </c>
      <c r="H28" s="6">
        <f t="shared" si="13"/>
        <v>0.41025641025641024</v>
      </c>
      <c r="I28" s="6">
        <f t="shared" si="13"/>
        <v>-0.70886075949367089</v>
      </c>
      <c r="J28" s="6" t="e">
        <f t="shared" si="13"/>
        <v>#DIV/0!</v>
      </c>
      <c r="K28" s="6">
        <f t="shared" si="13"/>
        <v>-2.5316455696202531E-2</v>
      </c>
      <c r="L28" s="6">
        <f t="shared" si="13"/>
        <v>0.2</v>
      </c>
      <c r="M28" s="6">
        <f t="shared" si="13"/>
        <v>-0.46250000000000002</v>
      </c>
      <c r="N28" s="6" t="e">
        <f t="shared" si="13"/>
        <v>#DIV/0!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</row>
    <row r="29" spans="2:89" x14ac:dyDescent="0.2">
      <c r="B29" s="2" t="s">
        <v>5</v>
      </c>
      <c r="C29" s="3"/>
      <c r="D29" s="3"/>
      <c r="E29" s="3">
        <v>77</v>
      </c>
      <c r="F29" s="3"/>
      <c r="G29" s="3">
        <v>78</v>
      </c>
      <c r="H29" s="3">
        <v>78</v>
      </c>
      <c r="I29" s="3">
        <v>79</v>
      </c>
      <c r="J29" s="3"/>
      <c r="K29" s="3">
        <v>79</v>
      </c>
      <c r="L29" s="3">
        <v>80</v>
      </c>
      <c r="M29" s="3">
        <v>80</v>
      </c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</row>
    <row r="30" spans="2:89" x14ac:dyDescent="0.2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spans="2:89" x14ac:dyDescent="0.2">
      <c r="B31" s="2" t="s">
        <v>43</v>
      </c>
      <c r="C31" s="3"/>
      <c r="D31" s="3"/>
      <c r="E31" s="3"/>
      <c r="F31" s="3"/>
      <c r="G31" s="7" t="e">
        <f t="shared" ref="G31:H31" si="14">+G10/C10-1</f>
        <v>#DIV/0!</v>
      </c>
      <c r="H31" s="7" t="e">
        <f t="shared" si="14"/>
        <v>#DIV/0!</v>
      </c>
      <c r="I31" s="7">
        <f>+I10/E10-1</f>
        <v>8.8365243004417948E-3</v>
      </c>
      <c r="J31" s="7" t="e">
        <f t="shared" ref="J31:N31" si="15">+J10/F10-1</f>
        <v>#DIV/0!</v>
      </c>
      <c r="K31" s="7">
        <f t="shared" si="15"/>
        <v>0</v>
      </c>
      <c r="L31" s="7">
        <f t="shared" si="15"/>
        <v>2.1849963583393528E-3</v>
      </c>
      <c r="M31" s="7">
        <f t="shared" si="15"/>
        <v>1.2408759124087565E-2</v>
      </c>
      <c r="N31" s="7" t="e">
        <f t="shared" si="15"/>
        <v>#DIV/0!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</row>
    <row r="32" spans="2:89" x14ac:dyDescent="0.2">
      <c r="B32" s="2" t="s">
        <v>44</v>
      </c>
      <c r="C32" s="3"/>
      <c r="D32" s="3"/>
      <c r="E32" s="3"/>
      <c r="F32" s="3"/>
      <c r="G32" s="7" t="e">
        <f t="shared" ref="G32:H35" si="16">+G12/C12-1</f>
        <v>#DIV/0!</v>
      </c>
      <c r="H32" s="7" t="e">
        <f t="shared" si="16"/>
        <v>#DIV/0!</v>
      </c>
      <c r="I32" s="7">
        <f>+I12/E12-1</f>
        <v>2.0746887966804906E-2</v>
      </c>
      <c r="J32" s="7" t="e">
        <f t="shared" ref="J32:N35" si="17">+J12/F12-1</f>
        <v>#DIV/0!</v>
      </c>
      <c r="K32" s="7">
        <f t="shared" si="17"/>
        <v>-1.0973936899862813E-2</v>
      </c>
      <c r="L32" s="7">
        <f t="shared" si="17"/>
        <v>3.125E-2</v>
      </c>
      <c r="M32" s="7">
        <f t="shared" si="17"/>
        <v>5.4200542005420127E-2</v>
      </c>
      <c r="N32" s="7" t="e">
        <f t="shared" si="17"/>
        <v>#DIV/0!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</row>
    <row r="33" spans="2:86" x14ac:dyDescent="0.2">
      <c r="B33" s="2" t="s">
        <v>45</v>
      </c>
      <c r="C33" s="3"/>
      <c r="D33" s="3"/>
      <c r="E33" s="3"/>
      <c r="F33" s="3"/>
      <c r="G33" s="7" t="e">
        <f t="shared" si="16"/>
        <v>#DIV/0!</v>
      </c>
      <c r="H33" s="7" t="e">
        <f t="shared" si="16"/>
        <v>#DIV/0!</v>
      </c>
      <c r="I33" s="7">
        <f t="shared" ref="I33:J35" si="18">+I13/E13-1</f>
        <v>7.5916230366492199E-2</v>
      </c>
      <c r="J33" s="7" t="e">
        <f t="shared" si="17"/>
        <v>#DIV/0!</v>
      </c>
      <c r="K33" s="7">
        <f t="shared" si="17"/>
        <v>-3.563474387527843E-2</v>
      </c>
      <c r="L33" s="7">
        <f t="shared" si="17"/>
        <v>-5.5813953488372148E-2</v>
      </c>
      <c r="M33" s="7">
        <f t="shared" si="17"/>
        <v>4.3795620437956151E-2</v>
      </c>
      <c r="N33" s="7" t="e">
        <f t="shared" si="17"/>
        <v>#DIV/0!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</row>
    <row r="34" spans="2:86" x14ac:dyDescent="0.2">
      <c r="B34" s="2" t="s">
        <v>46</v>
      </c>
      <c r="C34" s="3"/>
      <c r="D34" s="3"/>
      <c r="E34" s="3"/>
      <c r="F34" s="3"/>
      <c r="G34" s="7" t="e">
        <f t="shared" si="16"/>
        <v>#DIV/0!</v>
      </c>
      <c r="H34" s="7" t="e">
        <f t="shared" si="16"/>
        <v>#DIV/0!</v>
      </c>
      <c r="I34" s="7">
        <f t="shared" si="18"/>
        <v>0.23750000000000004</v>
      </c>
      <c r="J34" s="7" t="e">
        <f t="shared" si="17"/>
        <v>#DIV/0!</v>
      </c>
      <c r="K34" s="7">
        <f t="shared" si="17"/>
        <v>9.9447513812154664E-2</v>
      </c>
      <c r="L34" s="7">
        <f t="shared" si="17"/>
        <v>0.21925133689839571</v>
      </c>
      <c r="M34" s="7">
        <f t="shared" si="17"/>
        <v>0.33838383838383845</v>
      </c>
      <c r="N34" s="7" t="e">
        <f t="shared" si="17"/>
        <v>#DIV/0!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</row>
    <row r="35" spans="2:86" x14ac:dyDescent="0.2">
      <c r="B35" s="1" t="s">
        <v>47</v>
      </c>
      <c r="C35" s="12"/>
      <c r="D35" s="12"/>
      <c r="E35" s="12"/>
      <c r="F35" s="12"/>
      <c r="G35" s="13" t="e">
        <f t="shared" si="16"/>
        <v>#DIV/0!</v>
      </c>
      <c r="H35" s="13" t="e">
        <f t="shared" si="16"/>
        <v>#DIV/0!</v>
      </c>
      <c r="I35" s="13">
        <f t="shared" si="18"/>
        <v>6.4822134387351849E-2</v>
      </c>
      <c r="J35" s="13" t="e">
        <f t="shared" si="17"/>
        <v>#DIV/0!</v>
      </c>
      <c r="K35" s="13">
        <f t="shared" si="17"/>
        <v>-4.4150110375276164E-3</v>
      </c>
      <c r="L35" s="13">
        <f t="shared" si="17"/>
        <v>2.9640084685956136E-2</v>
      </c>
      <c r="M35" s="13">
        <f t="shared" si="17"/>
        <v>9.2798812175204137E-2</v>
      </c>
      <c r="N35" s="13" t="e">
        <f t="shared" si="17"/>
        <v>#DIV/0!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</row>
    <row r="36" spans="2:86" x14ac:dyDescent="0.2">
      <c r="B36" s="2" t="s">
        <v>48</v>
      </c>
      <c r="C36" s="7" t="e">
        <f t="shared" ref="C36:M36" si="19">+C17/C15</f>
        <v>#DIV/0!</v>
      </c>
      <c r="D36" s="7" t="e">
        <f t="shared" si="19"/>
        <v>#DIV/0!</v>
      </c>
      <c r="E36" s="7">
        <f t="shared" si="19"/>
        <v>0.3375494071146245</v>
      </c>
      <c r="F36" s="7" t="e">
        <f t="shared" si="19"/>
        <v>#DIV/0!</v>
      </c>
      <c r="G36" s="7">
        <f t="shared" si="19"/>
        <v>0.36865342163355408</v>
      </c>
      <c r="H36" s="7">
        <f t="shared" si="19"/>
        <v>0.35356386732533523</v>
      </c>
      <c r="I36" s="7">
        <f t="shared" si="19"/>
        <v>0.34743875278396436</v>
      </c>
      <c r="J36" s="7" t="e">
        <f t="shared" si="19"/>
        <v>#DIV/0!</v>
      </c>
      <c r="K36" s="7">
        <f t="shared" si="19"/>
        <v>0.35033259423503327</v>
      </c>
      <c r="L36" s="7">
        <f t="shared" si="19"/>
        <v>0.3557230980123372</v>
      </c>
      <c r="M36" s="7">
        <f>+M17/M15</f>
        <v>0.3641304347826087</v>
      </c>
      <c r="N36" s="7" t="e">
        <f>+N17/N15</f>
        <v>#DIV/0!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</row>
    <row r="37" spans="2:86" x14ac:dyDescent="0.2">
      <c r="B37" s="2" t="s">
        <v>49</v>
      </c>
      <c r="C37" s="14" t="e">
        <f t="shared" ref="C37:M37" si="20">+C19/C15</f>
        <v>#DIV/0!</v>
      </c>
      <c r="D37" s="14" t="e">
        <f t="shared" si="20"/>
        <v>#DIV/0!</v>
      </c>
      <c r="E37" s="14">
        <f t="shared" si="20"/>
        <v>-5.2964426877470355E-2</v>
      </c>
      <c r="F37" s="14" t="e">
        <f t="shared" si="20"/>
        <v>#DIV/0!</v>
      </c>
      <c r="G37" s="14">
        <f t="shared" si="20"/>
        <v>1.9131714495952908E-2</v>
      </c>
      <c r="H37" s="14">
        <f t="shared" si="20"/>
        <v>4.3754410726887794E-2</v>
      </c>
      <c r="I37" s="14">
        <f t="shared" si="20"/>
        <v>-3.4892353377876766E-2</v>
      </c>
      <c r="J37" s="14" t="e">
        <f t="shared" si="20"/>
        <v>#DIV/0!</v>
      </c>
      <c r="K37" s="14">
        <f t="shared" si="20"/>
        <v>1.4781966001478197E-2</v>
      </c>
      <c r="L37" s="14">
        <f t="shared" si="20"/>
        <v>2.8101439342015078E-2</v>
      </c>
      <c r="M37" s="14">
        <f>+M19/M15</f>
        <v>-1.2907608695652174E-2</v>
      </c>
      <c r="N37" s="14" t="e">
        <f>+N19/N15</f>
        <v>#DIV/0!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spans="2:86" x14ac:dyDescent="0.2">
      <c r="B38" s="2" t="s">
        <v>50</v>
      </c>
      <c r="C38" s="7" t="e">
        <f t="shared" ref="C38:M38" si="21">+C25/C24</f>
        <v>#DIV/0!</v>
      </c>
      <c r="D38" s="7" t="e">
        <f t="shared" si="21"/>
        <v>#DIV/0!</v>
      </c>
      <c r="E38" s="7">
        <f t="shared" si="21"/>
        <v>0</v>
      </c>
      <c r="F38" s="7" t="e">
        <f t="shared" si="21"/>
        <v>#DIV/0!</v>
      </c>
      <c r="G38" s="7">
        <f t="shared" si="21"/>
        <v>-0.33333333333333331</v>
      </c>
      <c r="H38" s="7">
        <f t="shared" si="21"/>
        <v>0</v>
      </c>
      <c r="I38" s="7">
        <f t="shared" si="21"/>
        <v>-1.8181818181818181E-2</v>
      </c>
      <c r="J38" s="7" t="e">
        <f t="shared" si="21"/>
        <v>#DIV/0!</v>
      </c>
      <c r="K38" s="7">
        <f t="shared" si="21"/>
        <v>1.6666666666666667</v>
      </c>
      <c r="L38" s="7">
        <f t="shared" si="21"/>
        <v>0.1111111111111111</v>
      </c>
      <c r="M38" s="7">
        <f>+M25/M24</f>
        <v>-0.19354838709677419</v>
      </c>
      <c r="N38" s="7" t="e">
        <f>+N25/N24</f>
        <v>#DIV/0!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</row>
    <row r="39" spans="2:86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</row>
    <row r="40" spans="2:86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</row>
    <row r="41" spans="2:86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</row>
    <row r="42" spans="2:86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</row>
    <row r="43" spans="2:86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spans="2:86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</row>
    <row r="45" spans="2:86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</row>
    <row r="46" spans="2:86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</row>
    <row r="47" spans="2:86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spans="2:86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spans="3:86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spans="3:86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spans="3:86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spans="3:86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spans="3:86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spans="3:86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spans="3:86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spans="3:86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spans="3:86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  <row r="58" spans="3:86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</row>
    <row r="59" spans="3:86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</row>
    <row r="60" spans="3:86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</row>
    <row r="61" spans="3:86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</row>
    <row r="62" spans="3:86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</row>
    <row r="63" spans="3:86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</row>
    <row r="64" spans="3:86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</row>
    <row r="65" spans="3:86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</row>
    <row r="66" spans="3:86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</row>
    <row r="67" spans="3:86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</row>
    <row r="68" spans="3:86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</row>
    <row r="69" spans="3:86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</row>
    <row r="70" spans="3:86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</row>
    <row r="71" spans="3:86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</row>
    <row r="72" spans="3:86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</row>
    <row r="73" spans="3:86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</row>
    <row r="74" spans="3:86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</row>
    <row r="75" spans="3:86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</row>
    <row r="76" spans="3:86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</row>
    <row r="77" spans="3:86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</row>
    <row r="78" spans="3:86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</row>
    <row r="79" spans="3:86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</row>
    <row r="80" spans="3:86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</row>
    <row r="81" spans="3:86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</row>
    <row r="82" spans="3:86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</row>
    <row r="83" spans="3:86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</row>
    <row r="84" spans="3:86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</row>
    <row r="85" spans="3:86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</row>
    <row r="86" spans="3:86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</row>
    <row r="87" spans="3:86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</row>
    <row r="88" spans="3:86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</row>
    <row r="89" spans="3:86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</row>
    <row r="90" spans="3:86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</row>
    <row r="91" spans="3:86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</row>
    <row r="92" spans="3:86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</row>
    <row r="93" spans="3:86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</row>
    <row r="94" spans="3:86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</row>
    <row r="95" spans="3:86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</row>
    <row r="96" spans="3:86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</row>
    <row r="97" spans="3:86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</row>
    <row r="98" spans="3:86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</row>
    <row r="99" spans="3:86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</row>
    <row r="100" spans="3:86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</row>
    <row r="101" spans="3:86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</row>
    <row r="102" spans="3:86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</row>
    <row r="103" spans="3:86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</row>
    <row r="104" spans="3:86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</row>
    <row r="105" spans="3:86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</row>
    <row r="106" spans="3:86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</row>
    <row r="107" spans="3:86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</row>
    <row r="108" spans="3:86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</row>
    <row r="109" spans="3:86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</row>
    <row r="110" spans="3:86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</row>
    <row r="111" spans="3:86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</row>
    <row r="112" spans="3:86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</row>
    <row r="113" spans="3:86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</row>
    <row r="114" spans="3:86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</row>
    <row r="115" spans="3:86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</row>
    <row r="116" spans="3:86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</row>
    <row r="117" spans="3:86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</row>
    <row r="118" spans="3:86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</row>
    <row r="119" spans="3:86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</row>
    <row r="120" spans="3:86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</row>
    <row r="121" spans="3:86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</row>
    <row r="122" spans="3:86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</row>
    <row r="123" spans="3:86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</row>
    <row r="124" spans="3:86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</row>
    <row r="125" spans="3:86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</row>
    <row r="126" spans="3:86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</row>
    <row r="127" spans="3:86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</row>
    <row r="128" spans="3:86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</row>
    <row r="129" spans="3:86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</row>
    <row r="130" spans="3:86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</row>
    <row r="131" spans="3:86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</row>
    <row r="132" spans="3:86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</row>
    <row r="133" spans="3:86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</row>
    <row r="134" spans="3:86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</row>
    <row r="135" spans="3:86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</row>
    <row r="136" spans="3:86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</row>
    <row r="137" spans="3:86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</row>
    <row r="138" spans="3:86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</row>
    <row r="139" spans="3:86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</row>
    <row r="140" spans="3:86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</row>
    <row r="141" spans="3:86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</row>
    <row r="142" spans="3:86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</row>
    <row r="143" spans="3:86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</row>
    <row r="144" spans="3:86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</row>
    <row r="145" spans="3:86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</row>
    <row r="146" spans="3:86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</row>
    <row r="147" spans="3:86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</row>
    <row r="148" spans="3:86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</row>
    <row r="149" spans="3:86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</row>
    <row r="150" spans="3:86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</row>
    <row r="151" spans="3:86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</row>
    <row r="152" spans="3:86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</row>
    <row r="153" spans="3:86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</row>
    <row r="154" spans="3:86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</row>
    <row r="155" spans="3:86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</row>
    <row r="156" spans="3:86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</row>
    <row r="157" spans="3:86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</row>
    <row r="158" spans="3:86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</row>
    <row r="159" spans="3:86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</row>
    <row r="160" spans="3:86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</row>
    <row r="161" spans="3:86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</row>
    <row r="162" spans="3:86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</row>
    <row r="163" spans="3:86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</row>
    <row r="164" spans="3:86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</row>
    <row r="165" spans="3:86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</row>
    <row r="166" spans="3:86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</row>
    <row r="167" spans="3:86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</row>
    <row r="168" spans="3:86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</row>
    <row r="169" spans="3:86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</row>
    <row r="170" spans="3:86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</row>
    <row r="171" spans="3:86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</row>
    <row r="172" spans="3:86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</row>
    <row r="173" spans="3:86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</row>
    <row r="174" spans="3:86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</row>
    <row r="175" spans="3:86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</row>
    <row r="176" spans="3:86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</row>
    <row r="177" spans="3:86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</row>
    <row r="178" spans="3:86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</row>
    <row r="179" spans="3:86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</row>
    <row r="180" spans="3:86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</row>
    <row r="181" spans="3:86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</row>
    <row r="182" spans="3:86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</row>
    <row r="183" spans="3:86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</row>
    <row r="184" spans="3:86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</row>
    <row r="185" spans="3:86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</row>
    <row r="186" spans="3:86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</row>
    <row r="187" spans="3:86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</row>
    <row r="188" spans="3:86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</row>
    <row r="189" spans="3:86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</row>
    <row r="190" spans="3:86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</row>
    <row r="191" spans="3:86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</row>
    <row r="192" spans="3:86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</row>
    <row r="193" spans="3:86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</row>
    <row r="194" spans="3:86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</row>
    <row r="195" spans="3:86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</row>
    <row r="196" spans="3:86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</row>
    <row r="197" spans="3:86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</row>
    <row r="198" spans="3:86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</row>
    <row r="199" spans="3:86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</row>
    <row r="200" spans="3:86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</row>
    <row r="201" spans="3:86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</row>
    <row r="202" spans="3:86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</row>
    <row r="203" spans="3:86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</row>
    <row r="204" spans="3:86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</row>
    <row r="205" spans="3:86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</row>
    <row r="206" spans="3:86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</row>
    <row r="207" spans="3:86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</row>
    <row r="208" spans="3:86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</row>
    <row r="209" spans="3:86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</row>
    <row r="210" spans="3:86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</row>
    <row r="211" spans="3:86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</row>
    <row r="212" spans="3:86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</row>
    <row r="213" spans="3:86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</row>
    <row r="214" spans="3:86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</row>
    <row r="215" spans="3:86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</row>
    <row r="216" spans="3:86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</row>
    <row r="217" spans="3:86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</row>
    <row r="218" spans="3:86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</row>
    <row r="219" spans="3:86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</row>
    <row r="220" spans="3:86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</row>
    <row r="221" spans="3:86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</row>
    <row r="222" spans="3:86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</row>
    <row r="223" spans="3:86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</row>
    <row r="224" spans="3:86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</row>
    <row r="225" spans="3:86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</row>
    <row r="226" spans="3:86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</row>
    <row r="227" spans="3:86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</row>
    <row r="228" spans="3:86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</row>
    <row r="229" spans="3:86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</row>
    <row r="230" spans="3:86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</row>
    <row r="231" spans="3:86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</row>
    <row r="232" spans="3:86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</row>
    <row r="233" spans="3:86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</row>
    <row r="234" spans="3:86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</row>
    <row r="235" spans="3:86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</row>
    <row r="236" spans="3:86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</row>
    <row r="237" spans="3:86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</row>
    <row r="238" spans="3:86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</row>
    <row r="239" spans="3:86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</row>
    <row r="240" spans="3:86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</row>
    <row r="241" spans="3:86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</row>
    <row r="242" spans="3:86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</row>
    <row r="243" spans="3:86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</row>
    <row r="244" spans="3:86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</row>
    <row r="245" spans="3:86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</row>
    <row r="246" spans="3:86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</row>
    <row r="247" spans="3:86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</row>
    <row r="248" spans="3:86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</row>
    <row r="249" spans="3:86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</row>
    <row r="250" spans="3:86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</row>
    <row r="251" spans="3:86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</row>
    <row r="252" spans="3:86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</row>
    <row r="253" spans="3:86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</row>
    <row r="254" spans="3:86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</row>
    <row r="255" spans="3:86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</row>
    <row r="256" spans="3:86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</row>
    <row r="257" spans="3:86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</row>
    <row r="258" spans="3:86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</row>
    <row r="259" spans="3:86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</row>
    <row r="260" spans="3:86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</row>
    <row r="261" spans="3:86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</row>
    <row r="262" spans="3:86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</row>
    <row r="263" spans="3:86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</row>
    <row r="264" spans="3:86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</row>
    <row r="265" spans="3:86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</row>
    <row r="266" spans="3:86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</row>
    <row r="267" spans="3:86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</row>
    <row r="268" spans="3:86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</row>
    <row r="269" spans="3:86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</row>
    <row r="270" spans="3:86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</row>
    <row r="271" spans="3:86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</row>
    <row r="272" spans="3:86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</row>
    <row r="273" spans="3:86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</row>
    <row r="274" spans="3:86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</row>
    <row r="275" spans="3:86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</row>
    <row r="276" spans="3:86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</row>
    <row r="277" spans="3:86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</row>
    <row r="278" spans="3:86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</row>
    <row r="279" spans="3:86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</row>
    <row r="280" spans="3:86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</row>
    <row r="281" spans="3:86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</row>
    <row r="282" spans="3:86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</row>
    <row r="283" spans="3:86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</row>
    <row r="284" spans="3:86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</row>
    <row r="285" spans="3:86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</row>
    <row r="286" spans="3:86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</row>
    <row r="287" spans="3:86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</row>
    <row r="288" spans="3:86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</row>
    <row r="289" spans="3:86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</row>
    <row r="290" spans="3:86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</row>
    <row r="291" spans="3:86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</row>
    <row r="292" spans="3:86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</row>
    <row r="293" spans="3:86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</row>
    <row r="294" spans="3:86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</row>
    <row r="295" spans="3:86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</row>
    <row r="296" spans="3:86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</row>
    <row r="297" spans="3:86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</row>
    <row r="298" spans="3:86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</row>
    <row r="299" spans="3:86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</row>
    <row r="300" spans="3:86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</row>
    <row r="301" spans="3:86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</row>
    <row r="302" spans="3:86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</row>
    <row r="303" spans="3:86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</row>
    <row r="304" spans="3:86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</row>
    <row r="305" spans="3:86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</row>
    <row r="306" spans="3:86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</row>
    <row r="307" spans="3:86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</row>
    <row r="308" spans="3:86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</row>
    <row r="309" spans="3:86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</row>
    <row r="310" spans="3:86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</row>
    <row r="311" spans="3:86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</row>
    <row r="312" spans="3:86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</row>
    <row r="313" spans="3:86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</row>
    <row r="314" spans="3:86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</row>
    <row r="315" spans="3:86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</row>
    <row r="316" spans="3:86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</row>
    <row r="317" spans="3:86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</row>
    <row r="318" spans="3:86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</row>
    <row r="319" spans="3:86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</row>
    <row r="320" spans="3:86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</row>
    <row r="321" spans="3:86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</row>
    <row r="322" spans="3:86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</row>
    <row r="323" spans="3:86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</row>
    <row r="324" spans="3:86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</row>
    <row r="325" spans="3:86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</row>
    <row r="326" spans="3:86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</row>
    <row r="327" spans="3:86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</row>
    <row r="328" spans="3:86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</row>
    <row r="329" spans="3:86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</row>
    <row r="330" spans="3:86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</row>
    <row r="331" spans="3:86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</row>
    <row r="332" spans="3:86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</row>
    <row r="333" spans="3:86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</row>
    <row r="334" spans="3:86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</row>
    <row r="335" spans="3:86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</row>
    <row r="336" spans="3:86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</row>
    <row r="337" spans="3:86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</row>
    <row r="338" spans="3:86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</row>
    <row r="339" spans="3:86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</row>
    <row r="340" spans="3:86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</row>
    <row r="341" spans="3:86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</row>
    <row r="342" spans="3:86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</row>
    <row r="343" spans="3:86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</row>
    <row r="344" spans="3:86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</row>
    <row r="345" spans="3:86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</row>
    <row r="346" spans="3:86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</row>
    <row r="347" spans="3:86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</row>
    <row r="348" spans="3:86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</row>
    <row r="349" spans="3:86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</row>
    <row r="350" spans="3:86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</row>
    <row r="351" spans="3:86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</row>
    <row r="352" spans="3:86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</row>
    <row r="353" spans="3:86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</row>
    <row r="354" spans="3:86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</row>
    <row r="355" spans="3:86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</row>
    <row r="356" spans="3:86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</row>
    <row r="357" spans="3:86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</row>
    <row r="358" spans="3:86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</row>
    <row r="359" spans="3:86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</row>
    <row r="360" spans="3:86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</row>
    <row r="361" spans="3:86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</row>
    <row r="362" spans="3:86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</row>
    <row r="363" spans="3:86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</row>
    <row r="364" spans="3:86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</row>
    <row r="365" spans="3:86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</row>
    <row r="366" spans="3:86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</row>
    <row r="367" spans="3:86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</row>
    <row r="368" spans="3:86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</row>
    <row r="369" spans="3:86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</row>
    <row r="370" spans="3:86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</row>
    <row r="371" spans="3:86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</row>
    <row r="372" spans="3:86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</row>
    <row r="373" spans="3:86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</row>
    <row r="374" spans="3:86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</row>
    <row r="375" spans="3:86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</row>
    <row r="376" spans="3:86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</row>
    <row r="377" spans="3:86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</row>
    <row r="378" spans="3:86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</row>
    <row r="379" spans="3:86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</row>
    <row r="380" spans="3:86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</row>
    <row r="381" spans="3:86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</row>
    <row r="382" spans="3:86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</row>
    <row r="383" spans="3:86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</row>
    <row r="384" spans="3:86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</row>
    <row r="385" spans="3:86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</row>
    <row r="386" spans="3:86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</row>
    <row r="387" spans="3:86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</row>
    <row r="388" spans="3:86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</row>
    <row r="389" spans="3:86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</row>
    <row r="390" spans="3:86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</row>
    <row r="391" spans="3:86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</row>
    <row r="392" spans="3:86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</row>
    <row r="393" spans="3:86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</row>
    <row r="394" spans="3:86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</row>
    <row r="395" spans="3:86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</row>
    <row r="396" spans="3:86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</row>
    <row r="397" spans="3:86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</row>
    <row r="398" spans="3:86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</row>
    <row r="399" spans="3:86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</row>
    <row r="400" spans="3:86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</row>
    <row r="401" spans="3:86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</row>
    <row r="402" spans="3:86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</row>
    <row r="403" spans="3:86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</row>
    <row r="404" spans="3:86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</row>
    <row r="405" spans="3:86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</row>
    <row r="406" spans="3:86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</row>
    <row r="407" spans="3:86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</row>
    <row r="408" spans="3:86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</row>
    <row r="409" spans="3:86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</row>
    <row r="410" spans="3:86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</row>
    <row r="411" spans="3:86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</row>
    <row r="412" spans="3:86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</row>
    <row r="413" spans="3:86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</row>
    <row r="414" spans="3:86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</row>
    <row r="415" spans="3:86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</row>
    <row r="416" spans="3:86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</row>
    <row r="417" spans="3:86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</row>
    <row r="418" spans="3:86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</row>
    <row r="419" spans="3:86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</row>
  </sheetData>
  <hyperlinks>
    <hyperlink ref="A1" location="Main!A1" display="Main" xr:uid="{8F02A12F-F5DD-4F1E-A486-2A56BC54854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2025-02-04T12:36:30Z</dcterms:created>
  <dcterms:modified xsi:type="dcterms:W3CDTF">2025-12-13T17:26:10Z</dcterms:modified>
</cp:coreProperties>
</file>