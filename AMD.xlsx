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6682DB51-53BA-4266-9DF3-262A9F8F354D}" xr6:coauthVersionLast="47" xr6:coauthVersionMax="47" xr10:uidLastSave="{00000000-0000-0000-0000-000000000000}"/>
  <bookViews>
    <workbookView xWindow="19095" yWindow="0" windowWidth="19410" windowHeight="20985" activeTab="1" xr2:uid="{88DDBE30-5603-410A-A895-5ECD92172F1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2" l="1"/>
  <c r="P20" i="2"/>
  <c r="P21" i="2" s="1"/>
  <c r="P18" i="2"/>
  <c r="P15" i="2"/>
  <c r="P28" i="2" s="1"/>
  <c r="P10" i="2"/>
  <c r="P29" i="2"/>
  <c r="P27" i="2"/>
  <c r="P26" i="2"/>
  <c r="K6" i="1"/>
  <c r="K5" i="1"/>
  <c r="O29" i="2"/>
  <c r="O28" i="2"/>
  <c r="O27" i="2"/>
  <c r="O26" i="2"/>
  <c r="O23" i="2"/>
  <c r="O20" i="2"/>
  <c r="O21" i="2"/>
  <c r="O18" i="2"/>
  <c r="O15" i="2"/>
  <c r="O10" i="2"/>
  <c r="J20" i="2"/>
  <c r="J19" i="2"/>
  <c r="J17" i="2"/>
  <c r="J16" i="2"/>
  <c r="J14" i="2"/>
  <c r="J13" i="2"/>
  <c r="J12" i="2"/>
  <c r="J11" i="2"/>
  <c r="J9" i="2"/>
  <c r="J8" i="2"/>
  <c r="J7" i="2"/>
  <c r="J6" i="2"/>
  <c r="J5" i="2"/>
  <c r="J4" i="2"/>
  <c r="J3" i="2"/>
  <c r="N20" i="2"/>
  <c r="N19" i="2"/>
  <c r="N17" i="2"/>
  <c r="N16" i="2"/>
  <c r="N14" i="2"/>
  <c r="N13" i="2"/>
  <c r="N12" i="2"/>
  <c r="N11" i="2"/>
  <c r="N9" i="2"/>
  <c r="N8" i="2"/>
  <c r="N7" i="2"/>
  <c r="N26" i="2" s="1"/>
  <c r="N6" i="2"/>
  <c r="N5" i="2"/>
  <c r="N4" i="2"/>
  <c r="N3" i="2"/>
  <c r="U26" i="2"/>
  <c r="U20" i="2"/>
  <c r="U10" i="2"/>
  <c r="U27" i="2" s="1"/>
  <c r="T10" i="2"/>
  <c r="T27" i="2" s="1"/>
  <c r="M20" i="2"/>
  <c r="M26" i="2"/>
  <c r="L26" i="2"/>
  <c r="K26" i="2"/>
  <c r="J26" i="2"/>
  <c r="L20" i="2"/>
  <c r="M10" i="2"/>
  <c r="M15" i="2" s="1"/>
  <c r="M18" i="2" s="1"/>
  <c r="L10" i="2"/>
  <c r="L15" i="2" s="1"/>
  <c r="L18" i="2" s="1"/>
  <c r="L21" i="2" s="1"/>
  <c r="L23" i="2" s="1"/>
  <c r="K10" i="2"/>
  <c r="K15" i="2" s="1"/>
  <c r="K18" i="2" s="1"/>
  <c r="K21" i="2" s="1"/>
  <c r="K23" i="2" s="1"/>
  <c r="H26" i="2"/>
  <c r="G26" i="2"/>
  <c r="I26" i="2"/>
  <c r="J10" i="2"/>
  <c r="J15" i="2" s="1"/>
  <c r="J18" i="2" s="1"/>
  <c r="J29" i="2" s="1"/>
  <c r="H10" i="2"/>
  <c r="H27" i="2" s="1"/>
  <c r="G10" i="2"/>
  <c r="G27" i="2" s="1"/>
  <c r="F10" i="2"/>
  <c r="F15" i="2" s="1"/>
  <c r="E10" i="2"/>
  <c r="E15" i="2" s="1"/>
  <c r="D10" i="2"/>
  <c r="D15" i="2" s="1"/>
  <c r="D28" i="2" s="1"/>
  <c r="C10" i="2"/>
  <c r="C15" i="2" s="1"/>
  <c r="C28" i="2" s="1"/>
  <c r="I10" i="2"/>
  <c r="I15" i="2" s="1"/>
  <c r="K4" i="1"/>
  <c r="N10" i="2" l="1"/>
  <c r="N15" i="2" s="1"/>
  <c r="N18" i="2" s="1"/>
  <c r="N21" i="2" s="1"/>
  <c r="N23" i="2" s="1"/>
  <c r="L29" i="2"/>
  <c r="J28" i="2"/>
  <c r="L28" i="2"/>
  <c r="T15" i="2"/>
  <c r="U15" i="2"/>
  <c r="M21" i="2"/>
  <c r="M23" i="2" s="1"/>
  <c r="J27" i="2"/>
  <c r="L27" i="2"/>
  <c r="M27" i="2"/>
  <c r="M28" i="2"/>
  <c r="M29" i="2"/>
  <c r="K7" i="1"/>
  <c r="K27" i="2"/>
  <c r="K28" i="2"/>
  <c r="K29" i="2"/>
  <c r="C27" i="2"/>
  <c r="D27" i="2"/>
  <c r="I27" i="2"/>
  <c r="I18" i="2"/>
  <c r="I28" i="2"/>
  <c r="E28" i="2"/>
  <c r="E18" i="2"/>
  <c r="F28" i="2"/>
  <c r="F18" i="2"/>
  <c r="G15" i="2"/>
  <c r="D18" i="2"/>
  <c r="E27" i="2"/>
  <c r="F27" i="2"/>
  <c r="C18" i="2"/>
  <c r="H15" i="2"/>
  <c r="J21" i="2"/>
  <c r="J23" i="2" s="1"/>
  <c r="N29" i="2" l="1"/>
  <c r="N28" i="2"/>
  <c r="N27" i="2"/>
  <c r="U28" i="2"/>
  <c r="U18" i="2"/>
  <c r="T18" i="2"/>
  <c r="T28" i="2"/>
  <c r="D29" i="2"/>
  <c r="D21" i="2"/>
  <c r="D23" i="2" s="1"/>
  <c r="G28" i="2"/>
  <c r="G18" i="2"/>
  <c r="F21" i="2"/>
  <c r="F23" i="2" s="1"/>
  <c r="F29" i="2"/>
  <c r="E21" i="2"/>
  <c r="E23" i="2" s="1"/>
  <c r="E29" i="2"/>
  <c r="I21" i="2"/>
  <c r="I23" i="2" s="1"/>
  <c r="I29" i="2"/>
  <c r="C21" i="2"/>
  <c r="C23" i="2" s="1"/>
  <c r="C29" i="2"/>
  <c r="H18" i="2"/>
  <c r="H28" i="2"/>
  <c r="T21" i="2" l="1"/>
  <c r="T23" i="2" s="1"/>
  <c r="T29" i="2"/>
  <c r="U29" i="2"/>
  <c r="U21" i="2"/>
  <c r="U23" i="2" s="1"/>
  <c r="G21" i="2"/>
  <c r="G23" i="2" s="1"/>
  <c r="G29" i="2"/>
  <c r="H29" i="2"/>
  <c r="H21" i="2"/>
  <c r="H23" i="2" s="1"/>
</calcChain>
</file>

<file path=xl/sharedStrings.xml><?xml version="1.0" encoding="utf-8"?>
<sst xmlns="http://schemas.openxmlformats.org/spreadsheetml/2006/main" count="62" uniqueCount="57">
  <si>
    <t>numbers in mio USD</t>
  </si>
  <si>
    <t>Price</t>
  </si>
  <si>
    <t>Shares</t>
  </si>
  <si>
    <t>MC</t>
  </si>
  <si>
    <t>Cash</t>
  </si>
  <si>
    <t>Debt</t>
  </si>
  <si>
    <t>EV</t>
  </si>
  <si>
    <t>Advanced Micro Devices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</si>
  <si>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</si>
  <si>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</si>
  <si>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</si>
  <si>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</si>
  <si>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</si>
  <si>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</si>
  <si>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</si>
  <si>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</si>
  <si>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</si>
  <si>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Revenue</t>
  </si>
  <si>
    <t>Cost of Sales</t>
  </si>
  <si>
    <t xml:space="preserve">Amortization </t>
  </si>
  <si>
    <t>Gross Profit</t>
  </si>
  <si>
    <t>R&amp;D</t>
  </si>
  <si>
    <t>MAG</t>
  </si>
  <si>
    <t>Licensing Gain</t>
  </si>
  <si>
    <t>Operating Income</t>
  </si>
  <si>
    <t>Interest Expense</t>
  </si>
  <si>
    <t>Other Income</t>
  </si>
  <si>
    <t>Pretax Income</t>
  </si>
  <si>
    <t>Tax Expense</t>
  </si>
  <si>
    <t>Net Income</t>
  </si>
  <si>
    <t>EPS</t>
  </si>
  <si>
    <t>Revenue Growth</t>
  </si>
  <si>
    <t xml:space="preserve">Gross Margin </t>
  </si>
  <si>
    <t xml:space="preserve">Operating Margin </t>
  </si>
  <si>
    <t>Tax Rate</t>
  </si>
  <si>
    <t>Q125</t>
  </si>
  <si>
    <t>Q225</t>
  </si>
  <si>
    <t>Q325</t>
  </si>
  <si>
    <t>Q425</t>
  </si>
  <si>
    <t>Investees &amp; other</t>
  </si>
  <si>
    <t>Data Center</t>
  </si>
  <si>
    <t>Client</t>
  </si>
  <si>
    <t>Gaming</t>
  </si>
  <si>
    <t>Embedded</t>
  </si>
  <si>
    <t>IR</t>
  </si>
  <si>
    <t>Notes</t>
  </si>
  <si>
    <t xml:space="preserve">Partnership with OpenAi: </t>
  </si>
  <si>
    <t>OpenAI to deploy 6 gigawatts of AMD based GPUs starting H2 26</t>
  </si>
  <si>
    <t>Warrant for OpenAi for 160 million shares</t>
  </si>
  <si>
    <t>CEO:</t>
  </si>
  <si>
    <t>Lisa Su</t>
  </si>
  <si>
    <t>FY24</t>
  </si>
  <si>
    <t>FY25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</si>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</sst>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9" fillId="0" borderId="0" xfId="0" applyFont="1"/>
    <xf numFmtId="0" fontId="6" fillId="0" borderId="0" xfId="0" applyFont="1"/>
    <xf numFmtId="3" fontId="6" fillId="0" borderId="0" xfId="0" applyNumberFormat="1" applyFont="1"/>
    <xf numFmtId="0" fontId="6" fillId="0" borderId="0" xfId="0" applyFont="1" applyAlignment="1">
      <alignment horizontal="right"/>
    </xf>
    <xf numFmtId="0" fontId="10" fillId="0" borderId="0" xfId="2" applyFont="1"/>
    <xf numFmtId="3" fontId="9" fillId="0" borderId="0" xfId="0" applyNumberFormat="1" applyFont="1"/>
    <xf numFmtId="4" fontId="6" fillId="0" borderId="0" xfId="0" applyNumberFormat="1" applyFont="1"/>
    <xf numFmtId="9" fontId="6" fillId="0" borderId="0" xfId="1" applyFont="1"/>
    <xf numFmtId="0" fontId="5" fillId="0" borderId="0" xfId="0" applyFont="1"/>
    <xf numFmtId="0" fontId="5" fillId="0" borderId="0" xfId="0" applyFont="1" applyAlignment="1">
      <alignment horizontal="right"/>
    </xf>
    <xf numFmtId="164" fontId="6" fillId="0" borderId="0" xfId="0" applyNumberFormat="1" applyFont="1"/>
    <xf numFmtId="164" fontId="9" fillId="0" borderId="0" xfId="0" applyNumberFormat="1" applyFont="1"/>
    <xf numFmtId="9" fontId="9" fillId="0" borderId="0" xfId="1" applyFont="1"/>
    <xf numFmtId="0" fontId="4" fillId="0" borderId="0" xfId="0" applyFont="1"/>
    <xf numFmtId="0" fontId="1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r.am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EE6E-8823-4068-817D-B17F9B33324F}">
  <dimension ref="A1:L13"/>
  <sheetViews>
    <sheetView topLeftCell="D1" zoomScale="200" zoomScaleNormal="200" workbookViewId="0">
      <selection activeCell="K7" sqref="K7"/>
    </sheetView>
  </sheetViews>
  <sheetFormatPr defaultRowHeight="12.75" x14ac:dyDescent="0.2"/>
  <cols>
    <col min="1" max="1" width="3.85546875" style="2" customWidth="1"/>
    <col min="2" max="16384" width="9.140625" style="2"/>
  </cols>
  <sheetData>
    <row r="1" spans="1:12" x14ac:dyDescent="0.2">
      <c r="A1" s="1" t="s">
        <v>7</v>
      </c>
    </row>
    <row r="2" spans="1:12" x14ac:dyDescent="0.2">
      <c r="A2" s="2" t="s">
        <v>0</v>
      </c>
      <c r="J2" s="2" t="s">
        <v>1</v>
      </c>
      <c r="K2" s="2">
        <v>487.7</v>
      </c>
    </row>
    <row r="3" spans="1:12" x14ac:dyDescent="0.2">
      <c r="J3" s="2" t="s">
        <v>2</v>
      </c>
      <c r="K3" s="3">
        <v>1632.475042</v>
      </c>
      <c r="L3" s="19" t="s">
        <v>54</v>
      </c>
    </row>
    <row r="4" spans="1:12" x14ac:dyDescent="0.2">
      <c r="B4" s="5" t="s">
        <v>44</v>
      </c>
      <c r="J4" s="2" t="s">
        <v>3</v>
      </c>
      <c r="K4" s="3">
        <f>+K2*K3</f>
        <v>796158.07798339997</v>
      </c>
    </row>
    <row r="5" spans="1:12" x14ac:dyDescent="0.2">
      <c r="J5" s="2" t="s">
        <v>4</v>
      </c>
      <c r="K5" s="3">
        <f>5086+8025</f>
        <v>13111</v>
      </c>
      <c r="L5" s="19" t="s">
        <v>54</v>
      </c>
    </row>
    <row r="6" spans="1:12" x14ac:dyDescent="0.2">
      <c r="J6" s="2" t="s">
        <v>5</v>
      </c>
      <c r="K6" s="3">
        <f>875+2351</f>
        <v>3226</v>
      </c>
      <c r="L6" s="19" t="s">
        <v>54</v>
      </c>
    </row>
    <row r="7" spans="1:12" x14ac:dyDescent="0.2">
      <c r="J7" s="2" t="s">
        <v>6</v>
      </c>
      <c r="K7" s="3">
        <f>+K4-K5+K6</f>
        <v>786273.07798339997</v>
      </c>
    </row>
    <row r="9" spans="1:12" x14ac:dyDescent="0.2">
      <c r="J9" s="16" t="s">
        <v>49</v>
      </c>
      <c r="K9" s="16" t="s">
        <v>50</v>
      </c>
    </row>
    <row r="10" spans="1:12" x14ac:dyDescent="0.2">
      <c r="B10" s="15" t="s">
        <v>45</v>
      </c>
    </row>
    <row r="11" spans="1:12" x14ac:dyDescent="0.2">
      <c r="B11" s="14" t="s">
        <v>46</v>
      </c>
    </row>
    <row r="12" spans="1:12" x14ac:dyDescent="0.2">
      <c r="B12" s="14" t="s">
        <v>47</v>
      </c>
    </row>
    <row r="13" spans="1:12" x14ac:dyDescent="0.2">
      <c r="B13" s="14" t="s">
        <v>48</v>
      </c>
    </row>
  </sheetData>
  <hyperlinks>
    <hyperlink ref="B4" r:id="rId1" xr:uid="{4921A678-BD64-4B53-9062-2B7D4F0694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2265-4306-401D-803C-CB5EEC240F05}">
  <dimension ref="A1:BP170"/>
  <sheetViews>
    <sheetView tabSelected="1" zoomScale="200" zoomScaleNormal="2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7" sqref="P7"/>
    </sheetView>
  </sheetViews>
  <sheetFormatPr defaultRowHeight="12.75" x14ac:dyDescent="0.2"/>
  <cols>
    <col min="1" max="1" width="4.5703125" style="2" customWidth="1"/>
    <col min="2" max="2" width="20.85546875" style="2" customWidth="1"/>
    <col min="3" max="16384" width="9.140625" style="2"/>
  </cols>
  <sheetData>
    <row r="1" spans="1:68" x14ac:dyDescent="0.2">
      <c r="A1" s="5" t="s">
        <v>9</v>
      </c>
    </row>
    <row r="2" spans="1:68" x14ac:dyDescent="0.2"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  <c r="J2" s="4" t="s">
        <v>16</v>
      </c>
      <c r="K2" s="10" t="s">
        <v>35</v>
      </c>
      <c r="L2" s="10" t="s">
        <v>36</v>
      </c>
      <c r="M2" s="10" t="s">
        <v>37</v>
      </c>
      <c r="N2" s="10" t="s">
        <v>38</v>
      </c>
      <c r="O2" s="18" t="s">
        <v>53</v>
      </c>
      <c r="P2" s="18" t="s">
        <v>54</v>
      </c>
      <c r="Q2" s="18" t="s">
        <v>55</v>
      </c>
      <c r="R2" s="18" t="s">
        <v>56</v>
      </c>
      <c r="T2" s="17" t="s">
        <v>51</v>
      </c>
      <c r="U2" s="17" t="s">
        <v>52</v>
      </c>
    </row>
    <row r="3" spans="1:68" x14ac:dyDescent="0.2">
      <c r="B3" s="9" t="s">
        <v>40</v>
      </c>
      <c r="C3" s="11">
        <v>1295</v>
      </c>
      <c r="D3" s="11">
        <v>1321</v>
      </c>
      <c r="E3" s="11">
        <v>1598</v>
      </c>
      <c r="F3" s="11"/>
      <c r="G3" s="11">
        <v>2337</v>
      </c>
      <c r="H3" s="11">
        <v>2834</v>
      </c>
      <c r="I3" s="11">
        <v>3549</v>
      </c>
      <c r="J3" s="11">
        <f>+T3-SUM(G3:I3)</f>
        <v>3859</v>
      </c>
      <c r="K3" s="11">
        <v>3674</v>
      </c>
      <c r="L3" s="11">
        <v>3240</v>
      </c>
      <c r="M3" s="11">
        <v>4341</v>
      </c>
      <c r="N3" s="11">
        <f>+U3-SUM(K3:M3)</f>
        <v>5380</v>
      </c>
      <c r="O3" s="11">
        <v>5775</v>
      </c>
      <c r="P3" s="11">
        <v>6718</v>
      </c>
      <c r="Q3" s="11"/>
      <c r="R3" s="11"/>
      <c r="S3" s="11"/>
      <c r="T3" s="11">
        <v>12579</v>
      </c>
      <c r="U3" s="11">
        <v>16635</v>
      </c>
      <c r="V3" s="11"/>
      <c r="W3" s="11"/>
      <c r="X3" s="11"/>
      <c r="Y3" s="11"/>
      <c r="Z3" s="11"/>
      <c r="AA3" s="11"/>
      <c r="AB3" s="11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</row>
    <row r="4" spans="1:68" x14ac:dyDescent="0.2">
      <c r="B4" s="9" t="s">
        <v>41</v>
      </c>
      <c r="C4" s="11">
        <v>739</v>
      </c>
      <c r="D4" s="11">
        <v>998</v>
      </c>
      <c r="E4" s="11">
        <v>1453</v>
      </c>
      <c r="F4" s="11"/>
      <c r="G4" s="11">
        <v>1368</v>
      </c>
      <c r="H4" s="11">
        <v>1492</v>
      </c>
      <c r="I4" s="11">
        <v>1881</v>
      </c>
      <c r="J4" s="11">
        <f t="shared" ref="J4:J20" si="0">+T4-SUM(G4:I4)</f>
        <v>2313</v>
      </c>
      <c r="K4" s="11">
        <v>2294</v>
      </c>
      <c r="L4" s="11">
        <v>2499</v>
      </c>
      <c r="M4" s="11">
        <v>2750</v>
      </c>
      <c r="N4" s="11">
        <f t="shared" ref="N4:N20" si="1">+U4-SUM(K4:M4)</f>
        <v>3097</v>
      </c>
      <c r="O4" s="11">
        <v>2885</v>
      </c>
      <c r="P4" s="11">
        <v>3062</v>
      </c>
      <c r="Q4" s="11"/>
      <c r="R4" s="11"/>
      <c r="S4" s="11"/>
      <c r="T4" s="11">
        <v>7054</v>
      </c>
      <c r="U4" s="11">
        <v>10640</v>
      </c>
      <c r="V4" s="11"/>
      <c r="W4" s="11"/>
      <c r="X4" s="11"/>
      <c r="Y4" s="11"/>
      <c r="Z4" s="11"/>
      <c r="AA4" s="11"/>
      <c r="AB4" s="11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</row>
    <row r="5" spans="1:68" x14ac:dyDescent="0.2">
      <c r="B5" s="9" t="s">
        <v>42</v>
      </c>
      <c r="C5" s="11">
        <v>1757</v>
      </c>
      <c r="D5" s="11">
        <v>1581</v>
      </c>
      <c r="E5" s="11">
        <v>1506</v>
      </c>
      <c r="F5" s="11"/>
      <c r="G5" s="11">
        <v>922</v>
      </c>
      <c r="H5" s="11">
        <v>648</v>
      </c>
      <c r="I5" s="11">
        <v>462</v>
      </c>
      <c r="J5" s="11">
        <f t="shared" si="0"/>
        <v>563</v>
      </c>
      <c r="K5" s="11">
        <v>647</v>
      </c>
      <c r="L5" s="11">
        <v>1122</v>
      </c>
      <c r="M5" s="11">
        <v>1298</v>
      </c>
      <c r="N5" s="11">
        <f t="shared" si="1"/>
        <v>843</v>
      </c>
      <c r="O5" s="11">
        <v>720</v>
      </c>
      <c r="P5" s="11">
        <v>779</v>
      </c>
      <c r="Q5" s="11"/>
      <c r="R5" s="11"/>
      <c r="S5" s="11"/>
      <c r="T5" s="11">
        <v>2595</v>
      </c>
      <c r="U5" s="11">
        <v>3910</v>
      </c>
      <c r="V5" s="11"/>
      <c r="W5" s="11"/>
      <c r="X5" s="11"/>
      <c r="Y5" s="11"/>
      <c r="Z5" s="11"/>
      <c r="AA5" s="11"/>
      <c r="AB5" s="11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</row>
    <row r="6" spans="1:68" x14ac:dyDescent="0.2">
      <c r="B6" s="9" t="s">
        <v>43</v>
      </c>
      <c r="C6" s="11">
        <v>1562</v>
      </c>
      <c r="D6" s="11">
        <v>1459</v>
      </c>
      <c r="E6" s="11">
        <v>1243</v>
      </c>
      <c r="F6" s="11"/>
      <c r="G6" s="11">
        <v>846</v>
      </c>
      <c r="H6" s="11">
        <v>861</v>
      </c>
      <c r="I6" s="11">
        <v>927</v>
      </c>
      <c r="J6" s="11">
        <f t="shared" si="0"/>
        <v>923</v>
      </c>
      <c r="K6" s="11">
        <v>823</v>
      </c>
      <c r="L6" s="11">
        <v>824</v>
      </c>
      <c r="M6" s="11">
        <v>857</v>
      </c>
      <c r="N6" s="11">
        <f t="shared" si="1"/>
        <v>950</v>
      </c>
      <c r="O6" s="11">
        <v>873</v>
      </c>
      <c r="P6" s="11">
        <v>977</v>
      </c>
      <c r="Q6" s="11"/>
      <c r="R6" s="11"/>
      <c r="S6" s="11"/>
      <c r="T6" s="11">
        <v>3557</v>
      </c>
      <c r="U6" s="11">
        <v>3454</v>
      </c>
      <c r="V6" s="11"/>
      <c r="W6" s="11"/>
      <c r="X6" s="11"/>
      <c r="Y6" s="11"/>
      <c r="Z6" s="11"/>
      <c r="AA6" s="11"/>
      <c r="AB6" s="11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</row>
    <row r="7" spans="1:68" x14ac:dyDescent="0.2">
      <c r="A7" s="1"/>
      <c r="B7" s="1" t="s">
        <v>17</v>
      </c>
      <c r="C7" s="12">
        <v>5353</v>
      </c>
      <c r="D7" s="12">
        <v>5359</v>
      </c>
      <c r="E7" s="12">
        <v>5800</v>
      </c>
      <c r="F7" s="12"/>
      <c r="G7" s="12">
        <v>5473</v>
      </c>
      <c r="H7" s="12">
        <v>5835</v>
      </c>
      <c r="I7" s="12">
        <v>6819</v>
      </c>
      <c r="J7" s="12">
        <f t="shared" si="0"/>
        <v>7658</v>
      </c>
      <c r="K7" s="12">
        <v>7438</v>
      </c>
      <c r="L7" s="12">
        <v>7685</v>
      </c>
      <c r="M7" s="12">
        <v>9246</v>
      </c>
      <c r="N7" s="12">
        <f t="shared" si="1"/>
        <v>10270</v>
      </c>
      <c r="O7" s="12">
        <v>10253</v>
      </c>
      <c r="P7" s="12">
        <v>11536</v>
      </c>
      <c r="Q7" s="11"/>
      <c r="R7" s="11"/>
      <c r="S7" s="11"/>
      <c r="T7" s="12">
        <v>25785</v>
      </c>
      <c r="U7" s="12">
        <v>34639</v>
      </c>
      <c r="V7" s="11"/>
      <c r="W7" s="11"/>
      <c r="X7" s="11"/>
      <c r="Y7" s="11"/>
      <c r="Z7" s="11"/>
      <c r="AA7" s="11"/>
      <c r="AB7" s="11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</row>
    <row r="8" spans="1:68" x14ac:dyDescent="0.2">
      <c r="B8" s="2" t="s">
        <v>18</v>
      </c>
      <c r="C8" s="11">
        <v>2689</v>
      </c>
      <c r="D8" s="11">
        <v>2704</v>
      </c>
      <c r="E8" s="11">
        <v>2843</v>
      </c>
      <c r="F8" s="11"/>
      <c r="G8" s="11">
        <v>2683</v>
      </c>
      <c r="H8" s="11">
        <v>2740</v>
      </c>
      <c r="I8" s="11">
        <v>3167</v>
      </c>
      <c r="J8" s="11">
        <f t="shared" si="0"/>
        <v>3524</v>
      </c>
      <c r="K8" s="11">
        <v>3451</v>
      </c>
      <c r="L8" s="11">
        <v>4366</v>
      </c>
      <c r="M8" s="11">
        <v>4206</v>
      </c>
      <c r="N8" s="11">
        <f t="shared" si="1"/>
        <v>4433</v>
      </c>
      <c r="O8" s="11">
        <v>4576</v>
      </c>
      <c r="P8" s="11">
        <v>5073</v>
      </c>
      <c r="Q8" s="11"/>
      <c r="R8" s="11"/>
      <c r="S8" s="11"/>
      <c r="T8" s="11">
        <v>12114</v>
      </c>
      <c r="U8" s="11">
        <v>16456</v>
      </c>
      <c r="V8" s="11"/>
      <c r="W8" s="11"/>
      <c r="X8" s="11"/>
      <c r="Y8" s="11"/>
      <c r="Z8" s="11"/>
      <c r="AA8" s="11"/>
      <c r="AB8" s="11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</row>
    <row r="9" spans="1:68" x14ac:dyDescent="0.2">
      <c r="B9" s="2" t="s">
        <v>19</v>
      </c>
      <c r="C9" s="11">
        <v>305</v>
      </c>
      <c r="D9" s="11">
        <v>212</v>
      </c>
      <c r="E9" s="11">
        <v>210</v>
      </c>
      <c r="F9" s="11"/>
      <c r="G9" s="11">
        <v>230</v>
      </c>
      <c r="H9" s="11">
        <v>231</v>
      </c>
      <c r="I9" s="11">
        <v>233</v>
      </c>
      <c r="J9" s="11">
        <f t="shared" si="0"/>
        <v>252</v>
      </c>
      <c r="K9" s="11">
        <v>251</v>
      </c>
      <c r="L9" s="11">
        <v>260</v>
      </c>
      <c r="M9" s="11">
        <v>260</v>
      </c>
      <c r="N9" s="11">
        <f t="shared" si="1"/>
        <v>260</v>
      </c>
      <c r="O9" s="11">
        <v>261</v>
      </c>
      <c r="P9" s="11">
        <v>260</v>
      </c>
      <c r="Q9" s="11"/>
      <c r="R9" s="11"/>
      <c r="S9" s="11"/>
      <c r="T9" s="11">
        <v>946</v>
      </c>
      <c r="U9" s="11">
        <v>1031</v>
      </c>
      <c r="V9" s="11"/>
      <c r="W9" s="11"/>
      <c r="X9" s="11"/>
      <c r="Y9" s="11"/>
      <c r="Z9" s="11"/>
      <c r="AA9" s="11"/>
      <c r="AB9" s="11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</row>
    <row r="10" spans="1:68" x14ac:dyDescent="0.2">
      <c r="B10" s="2" t="s">
        <v>20</v>
      </c>
      <c r="C10" s="11">
        <f t="shared" ref="C10:H10" si="2">+C7-SUM(C8:C9)</f>
        <v>2359</v>
      </c>
      <c r="D10" s="11">
        <f t="shared" si="2"/>
        <v>2443</v>
      </c>
      <c r="E10" s="11">
        <f t="shared" si="2"/>
        <v>2747</v>
      </c>
      <c r="F10" s="11">
        <f t="shared" si="2"/>
        <v>0</v>
      </c>
      <c r="G10" s="11">
        <f t="shared" si="2"/>
        <v>2560</v>
      </c>
      <c r="H10" s="11">
        <f t="shared" si="2"/>
        <v>2864</v>
      </c>
      <c r="I10" s="11">
        <f>+I7-SUM(I8:I9)</f>
        <v>3419</v>
      </c>
      <c r="J10" s="11">
        <f t="shared" ref="J10:U10" si="3">+J7-SUM(J8:J9)</f>
        <v>3882</v>
      </c>
      <c r="K10" s="11">
        <f t="shared" si="3"/>
        <v>3736</v>
      </c>
      <c r="L10" s="11">
        <f t="shared" si="3"/>
        <v>3059</v>
      </c>
      <c r="M10" s="11">
        <f t="shared" si="3"/>
        <v>4780</v>
      </c>
      <c r="N10" s="11">
        <f t="shared" si="3"/>
        <v>5577</v>
      </c>
      <c r="O10" s="11">
        <f t="shared" si="3"/>
        <v>5416</v>
      </c>
      <c r="P10" s="11">
        <f t="shared" si="3"/>
        <v>6203</v>
      </c>
      <c r="Q10" s="11"/>
      <c r="R10" s="11"/>
      <c r="S10" s="11"/>
      <c r="T10" s="11">
        <f t="shared" si="3"/>
        <v>12725</v>
      </c>
      <c r="U10" s="11">
        <f t="shared" si="3"/>
        <v>17152</v>
      </c>
      <c r="V10" s="11"/>
      <c r="W10" s="11"/>
      <c r="X10" s="11"/>
      <c r="Y10" s="11"/>
      <c r="Z10" s="11"/>
      <c r="AA10" s="11"/>
      <c r="AB10" s="11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</row>
    <row r="11" spans="1:68" x14ac:dyDescent="0.2">
      <c r="B11" s="2" t="s">
        <v>21</v>
      </c>
      <c r="C11" s="11">
        <v>1411</v>
      </c>
      <c r="D11" s="11">
        <v>1443</v>
      </c>
      <c r="E11" s="11">
        <v>1507</v>
      </c>
      <c r="F11" s="11"/>
      <c r="G11" s="11">
        <v>1525</v>
      </c>
      <c r="H11" s="11">
        <v>1583</v>
      </c>
      <c r="I11" s="11">
        <v>1636</v>
      </c>
      <c r="J11" s="11">
        <f t="shared" si="0"/>
        <v>1712</v>
      </c>
      <c r="K11" s="11">
        <v>1728</v>
      </c>
      <c r="L11" s="11">
        <v>1894</v>
      </c>
      <c r="M11" s="11">
        <v>2139</v>
      </c>
      <c r="N11" s="11">
        <f t="shared" si="1"/>
        <v>2330</v>
      </c>
      <c r="O11" s="11">
        <v>2397</v>
      </c>
      <c r="P11" s="11">
        <v>2528</v>
      </c>
      <c r="Q11" s="11"/>
      <c r="R11" s="11"/>
      <c r="S11" s="11"/>
      <c r="T11" s="11">
        <v>6456</v>
      </c>
      <c r="U11" s="11">
        <v>8091</v>
      </c>
      <c r="V11" s="11"/>
      <c r="W11" s="11"/>
      <c r="X11" s="11"/>
      <c r="Y11" s="11"/>
      <c r="Z11" s="11"/>
      <c r="AA11" s="11"/>
      <c r="AB11" s="11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</row>
    <row r="12" spans="1:68" x14ac:dyDescent="0.2">
      <c r="B12" s="2" t="s">
        <v>22</v>
      </c>
      <c r="C12" s="11">
        <v>585</v>
      </c>
      <c r="D12" s="11">
        <v>547</v>
      </c>
      <c r="E12" s="11">
        <v>576</v>
      </c>
      <c r="F12" s="11"/>
      <c r="G12" s="11">
        <v>607</v>
      </c>
      <c r="H12" s="11">
        <v>640</v>
      </c>
      <c r="I12" s="11">
        <v>721</v>
      </c>
      <c r="J12" s="11">
        <f t="shared" si="0"/>
        <v>767</v>
      </c>
      <c r="K12" s="11">
        <v>886</v>
      </c>
      <c r="L12" s="11">
        <v>991</v>
      </c>
      <c r="M12" s="11">
        <v>1069</v>
      </c>
      <c r="N12" s="11">
        <f t="shared" si="1"/>
        <v>1198</v>
      </c>
      <c r="O12" s="11">
        <v>1253</v>
      </c>
      <c r="P12" s="11">
        <v>1401</v>
      </c>
      <c r="Q12" s="11"/>
      <c r="R12" s="11"/>
      <c r="S12" s="11"/>
      <c r="T12" s="11">
        <v>2735</v>
      </c>
      <c r="U12" s="11">
        <v>4144</v>
      </c>
      <c r="V12" s="11"/>
      <c r="W12" s="11"/>
      <c r="X12" s="11"/>
      <c r="Y12" s="11"/>
      <c r="Z12" s="11"/>
      <c r="AA12" s="11"/>
      <c r="AB12" s="11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</row>
    <row r="13" spans="1:68" x14ac:dyDescent="0.2">
      <c r="B13" s="2" t="s">
        <v>19</v>
      </c>
      <c r="C13" s="11">
        <v>518</v>
      </c>
      <c r="D13" s="11">
        <v>481</v>
      </c>
      <c r="E13" s="11">
        <v>450</v>
      </c>
      <c r="F13" s="11"/>
      <c r="G13" s="11">
        <v>392</v>
      </c>
      <c r="H13" s="11">
        <v>372</v>
      </c>
      <c r="I13" s="11">
        <v>352</v>
      </c>
      <c r="J13" s="11">
        <f t="shared" si="0"/>
        <v>332</v>
      </c>
      <c r="K13" s="11">
        <v>316</v>
      </c>
      <c r="L13" s="11">
        <v>308</v>
      </c>
      <c r="M13" s="11">
        <v>302</v>
      </c>
      <c r="N13" s="11">
        <f t="shared" si="1"/>
        <v>297</v>
      </c>
      <c r="O13" s="11">
        <v>290</v>
      </c>
      <c r="P13" s="11">
        <v>284</v>
      </c>
      <c r="Q13" s="11"/>
      <c r="R13" s="11"/>
      <c r="S13" s="11"/>
      <c r="T13" s="11">
        <v>1448</v>
      </c>
      <c r="U13" s="11">
        <v>1223</v>
      </c>
      <c r="V13" s="11"/>
      <c r="W13" s="11"/>
      <c r="X13" s="11"/>
      <c r="Y13" s="11"/>
      <c r="Z13" s="11"/>
      <c r="AA13" s="11"/>
      <c r="AB13" s="11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</row>
    <row r="14" spans="1:68" x14ac:dyDescent="0.2">
      <c r="B14" s="2" t="s">
        <v>23</v>
      </c>
      <c r="C14" s="11">
        <v>10</v>
      </c>
      <c r="D14" s="11">
        <v>8</v>
      </c>
      <c r="E14" s="11">
        <v>10</v>
      </c>
      <c r="F14" s="11"/>
      <c r="G14" s="11">
        <v>0</v>
      </c>
      <c r="H14" s="11">
        <v>0</v>
      </c>
      <c r="I14" s="11">
        <v>14</v>
      </c>
      <c r="J14" s="11">
        <f t="shared" si="0"/>
        <v>-200</v>
      </c>
      <c r="K14" s="11">
        <v>0</v>
      </c>
      <c r="L14" s="11">
        <v>0</v>
      </c>
      <c r="M14" s="11">
        <v>0</v>
      </c>
      <c r="N14" s="11">
        <f t="shared" si="1"/>
        <v>0</v>
      </c>
      <c r="O14" s="11">
        <v>0</v>
      </c>
      <c r="P14" s="11">
        <v>0</v>
      </c>
      <c r="Q14" s="11"/>
      <c r="R14" s="11"/>
      <c r="S14" s="11"/>
      <c r="T14" s="11">
        <v>-186</v>
      </c>
      <c r="U14" s="11">
        <v>0</v>
      </c>
      <c r="V14" s="11"/>
      <c r="W14" s="11"/>
      <c r="X14" s="11"/>
      <c r="Y14" s="11"/>
      <c r="Z14" s="11"/>
      <c r="AA14" s="11"/>
      <c r="AB14" s="11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</row>
    <row r="15" spans="1:68" x14ac:dyDescent="0.2">
      <c r="B15" s="2" t="s">
        <v>24</v>
      </c>
      <c r="C15" s="11">
        <f t="shared" ref="C15:H15" si="4">+C10-SUM(C11:C13)+C14</f>
        <v>-145</v>
      </c>
      <c r="D15" s="11">
        <f t="shared" si="4"/>
        <v>-20</v>
      </c>
      <c r="E15" s="11">
        <f t="shared" si="4"/>
        <v>224</v>
      </c>
      <c r="F15" s="11">
        <f t="shared" si="4"/>
        <v>0</v>
      </c>
      <c r="G15" s="11">
        <f t="shared" si="4"/>
        <v>36</v>
      </c>
      <c r="H15" s="11">
        <f t="shared" si="4"/>
        <v>269</v>
      </c>
      <c r="I15" s="11">
        <f>+I10-SUM(I11:I13)+I14</f>
        <v>724</v>
      </c>
      <c r="J15" s="11">
        <f t="shared" ref="J15:U15" si="5">+J10-SUM(J11:J13)+J14</f>
        <v>871</v>
      </c>
      <c r="K15" s="11">
        <f t="shared" si="5"/>
        <v>806</v>
      </c>
      <c r="L15" s="11">
        <f t="shared" si="5"/>
        <v>-134</v>
      </c>
      <c r="M15" s="11">
        <f t="shared" si="5"/>
        <v>1270</v>
      </c>
      <c r="N15" s="11">
        <f t="shared" si="5"/>
        <v>1752</v>
      </c>
      <c r="O15" s="11">
        <f t="shared" si="5"/>
        <v>1476</v>
      </c>
      <c r="P15" s="11">
        <f t="shared" si="5"/>
        <v>1990</v>
      </c>
      <c r="Q15" s="11"/>
      <c r="R15" s="11"/>
      <c r="S15" s="11"/>
      <c r="T15" s="11">
        <f t="shared" si="5"/>
        <v>1900</v>
      </c>
      <c r="U15" s="11">
        <f t="shared" si="5"/>
        <v>3694</v>
      </c>
      <c r="V15" s="11"/>
      <c r="W15" s="11"/>
      <c r="X15" s="11"/>
      <c r="Y15" s="11"/>
      <c r="Z15" s="11"/>
      <c r="AA15" s="11"/>
      <c r="AB15" s="11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</row>
    <row r="16" spans="1:68" x14ac:dyDescent="0.2">
      <c r="B16" s="2" t="s">
        <v>25</v>
      </c>
      <c r="C16" s="11">
        <v>25</v>
      </c>
      <c r="D16" s="11">
        <v>28</v>
      </c>
      <c r="E16" s="11">
        <v>26</v>
      </c>
      <c r="F16" s="11"/>
      <c r="G16" s="11">
        <v>25</v>
      </c>
      <c r="H16" s="11">
        <v>25</v>
      </c>
      <c r="I16" s="11">
        <v>23</v>
      </c>
      <c r="J16" s="11">
        <f t="shared" si="0"/>
        <v>19</v>
      </c>
      <c r="K16" s="11">
        <v>20</v>
      </c>
      <c r="L16" s="11">
        <v>38</v>
      </c>
      <c r="M16" s="11">
        <v>37</v>
      </c>
      <c r="N16" s="11">
        <f t="shared" si="1"/>
        <v>36</v>
      </c>
      <c r="O16" s="11">
        <v>37</v>
      </c>
      <c r="P16" s="11">
        <v>37</v>
      </c>
      <c r="Q16" s="11"/>
      <c r="R16" s="11"/>
      <c r="S16" s="11"/>
      <c r="T16" s="11">
        <v>92</v>
      </c>
      <c r="U16" s="11">
        <v>131</v>
      </c>
      <c r="V16" s="11"/>
      <c r="W16" s="11"/>
      <c r="X16" s="11"/>
      <c r="Y16" s="11"/>
      <c r="Z16" s="11"/>
      <c r="AA16" s="11"/>
      <c r="AB16" s="11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</row>
    <row r="17" spans="2:68" x14ac:dyDescent="0.2">
      <c r="B17" s="2" t="s">
        <v>26</v>
      </c>
      <c r="C17" s="11">
        <v>43</v>
      </c>
      <c r="D17" s="11">
        <v>46</v>
      </c>
      <c r="E17" s="11">
        <v>59</v>
      </c>
      <c r="F17" s="11"/>
      <c r="G17" s="11">
        <v>53</v>
      </c>
      <c r="H17" s="11">
        <v>55</v>
      </c>
      <c r="I17" s="11">
        <v>36</v>
      </c>
      <c r="J17" s="11">
        <f t="shared" si="0"/>
        <v>37</v>
      </c>
      <c r="K17" s="11">
        <v>39</v>
      </c>
      <c r="L17" s="11">
        <v>98</v>
      </c>
      <c r="M17" s="11">
        <v>82</v>
      </c>
      <c r="N17" s="11">
        <f t="shared" si="1"/>
        <v>358</v>
      </c>
      <c r="O17" s="11">
        <v>165</v>
      </c>
      <c r="P17" s="11">
        <v>598</v>
      </c>
      <c r="Q17" s="11"/>
      <c r="R17" s="11"/>
      <c r="S17" s="11"/>
      <c r="T17" s="11">
        <v>181</v>
      </c>
      <c r="U17" s="11">
        <v>577</v>
      </c>
      <c r="V17" s="11"/>
      <c r="W17" s="11"/>
      <c r="X17" s="11"/>
      <c r="Y17" s="11"/>
      <c r="Z17" s="11"/>
      <c r="AA17" s="11"/>
      <c r="AB17" s="11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</row>
    <row r="18" spans="2:68" x14ac:dyDescent="0.2">
      <c r="B18" s="2" t="s">
        <v>27</v>
      </c>
      <c r="C18" s="11">
        <f t="shared" ref="C18:H18" si="6">+C15-C16+C17</f>
        <v>-127</v>
      </c>
      <c r="D18" s="11">
        <f t="shared" si="6"/>
        <v>-2</v>
      </c>
      <c r="E18" s="11">
        <f t="shared" si="6"/>
        <v>257</v>
      </c>
      <c r="F18" s="11">
        <f t="shared" si="6"/>
        <v>0</v>
      </c>
      <c r="G18" s="11">
        <f t="shared" si="6"/>
        <v>64</v>
      </c>
      <c r="H18" s="11">
        <f t="shared" si="6"/>
        <v>299</v>
      </c>
      <c r="I18" s="11">
        <f>+I15-I16+I17</f>
        <v>737</v>
      </c>
      <c r="J18" s="11">
        <f t="shared" ref="J18:U18" si="7">+J15-J16+J17</f>
        <v>889</v>
      </c>
      <c r="K18" s="11">
        <f t="shared" si="7"/>
        <v>825</v>
      </c>
      <c r="L18" s="11">
        <f t="shared" si="7"/>
        <v>-74</v>
      </c>
      <c r="M18" s="11">
        <f t="shared" si="7"/>
        <v>1315</v>
      </c>
      <c r="N18" s="11">
        <f t="shared" si="7"/>
        <v>2074</v>
      </c>
      <c r="O18" s="11">
        <f t="shared" si="7"/>
        <v>1604</v>
      </c>
      <c r="P18" s="11">
        <f t="shared" si="7"/>
        <v>2551</v>
      </c>
      <c r="Q18" s="11"/>
      <c r="R18" s="11"/>
      <c r="S18" s="11"/>
      <c r="T18" s="11">
        <f t="shared" si="7"/>
        <v>1989</v>
      </c>
      <c r="U18" s="11">
        <f t="shared" si="7"/>
        <v>4140</v>
      </c>
      <c r="V18" s="11"/>
      <c r="W18" s="11"/>
      <c r="X18" s="11"/>
      <c r="Y18" s="11"/>
      <c r="Z18" s="11"/>
      <c r="AA18" s="11"/>
      <c r="AB18" s="11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</row>
    <row r="19" spans="2:68" x14ac:dyDescent="0.2">
      <c r="B19" s="2" t="s">
        <v>28</v>
      </c>
      <c r="C19" s="11">
        <v>13</v>
      </c>
      <c r="D19" s="11">
        <v>-23</v>
      </c>
      <c r="E19" s="11">
        <v>-39</v>
      </c>
      <c r="F19" s="11"/>
      <c r="G19" s="11">
        <v>-52</v>
      </c>
      <c r="H19" s="11">
        <v>41</v>
      </c>
      <c r="I19" s="11">
        <v>-27</v>
      </c>
      <c r="J19" s="11">
        <f t="shared" si="0"/>
        <v>419</v>
      </c>
      <c r="K19" s="11">
        <v>123</v>
      </c>
      <c r="L19" s="11">
        <v>-834</v>
      </c>
      <c r="M19" s="11">
        <v>153</v>
      </c>
      <c r="N19" s="11">
        <f t="shared" si="1"/>
        <v>455</v>
      </c>
      <c r="O19" s="11">
        <v>238</v>
      </c>
      <c r="P19" s="11">
        <v>252</v>
      </c>
      <c r="Q19" s="11"/>
      <c r="R19" s="11"/>
      <c r="S19" s="11"/>
      <c r="T19" s="11">
        <v>381</v>
      </c>
      <c r="U19" s="11">
        <v>-103</v>
      </c>
      <c r="V19" s="11"/>
      <c r="W19" s="11"/>
      <c r="X19" s="11"/>
      <c r="Y19" s="11"/>
      <c r="Z19" s="11"/>
      <c r="AA19" s="11"/>
      <c r="AB19" s="11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</row>
    <row r="20" spans="2:68" x14ac:dyDescent="0.2">
      <c r="B20" s="9" t="s">
        <v>39</v>
      </c>
      <c r="C20" s="11">
        <v>1</v>
      </c>
      <c r="D20" s="11">
        <v>6</v>
      </c>
      <c r="E20" s="11">
        <v>3</v>
      </c>
      <c r="F20" s="11"/>
      <c r="G20" s="11">
        <v>7</v>
      </c>
      <c r="H20" s="11">
        <v>7</v>
      </c>
      <c r="I20" s="11">
        <v>7</v>
      </c>
      <c r="J20" s="11">
        <f t="shared" si="0"/>
        <v>12</v>
      </c>
      <c r="K20" s="11">
        <v>7</v>
      </c>
      <c r="L20" s="11">
        <f>8+104</f>
        <v>112</v>
      </c>
      <c r="M20" s="11">
        <f>10+71</f>
        <v>81</v>
      </c>
      <c r="N20" s="11">
        <f t="shared" si="1"/>
        <v>-108</v>
      </c>
      <c r="O20" s="11">
        <f>6+11</f>
        <v>17</v>
      </c>
      <c r="P20" s="11">
        <f>6-8</f>
        <v>-2</v>
      </c>
      <c r="Q20" s="11"/>
      <c r="R20" s="11"/>
      <c r="S20" s="11"/>
      <c r="T20" s="11">
        <v>33</v>
      </c>
      <c r="U20" s="11">
        <f>26+66</f>
        <v>92</v>
      </c>
      <c r="V20" s="11"/>
      <c r="W20" s="11"/>
      <c r="X20" s="11"/>
      <c r="Y20" s="11"/>
      <c r="Z20" s="11"/>
      <c r="AA20" s="11"/>
      <c r="AB20" s="11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</row>
    <row r="21" spans="2:68" x14ac:dyDescent="0.2">
      <c r="B21" s="2" t="s">
        <v>29</v>
      </c>
      <c r="C21" s="11">
        <f t="shared" ref="C21:H21" si="8">+C18-C19+C20</f>
        <v>-139</v>
      </c>
      <c r="D21" s="11">
        <f t="shared" si="8"/>
        <v>27</v>
      </c>
      <c r="E21" s="11">
        <f t="shared" si="8"/>
        <v>299</v>
      </c>
      <c r="F21" s="11">
        <f t="shared" si="8"/>
        <v>0</v>
      </c>
      <c r="G21" s="11">
        <f t="shared" si="8"/>
        <v>123</v>
      </c>
      <c r="H21" s="11">
        <f t="shared" si="8"/>
        <v>265</v>
      </c>
      <c r="I21" s="11">
        <f>+I18-I19+I20</f>
        <v>771</v>
      </c>
      <c r="J21" s="11">
        <f t="shared" ref="J21:U21" si="9">+J18-J19+J20</f>
        <v>482</v>
      </c>
      <c r="K21" s="11">
        <f t="shared" si="9"/>
        <v>709</v>
      </c>
      <c r="L21" s="11">
        <f t="shared" si="9"/>
        <v>872</v>
      </c>
      <c r="M21" s="11">
        <f t="shared" si="9"/>
        <v>1243</v>
      </c>
      <c r="N21" s="11">
        <f t="shared" si="9"/>
        <v>1511</v>
      </c>
      <c r="O21" s="11">
        <f t="shared" si="9"/>
        <v>1383</v>
      </c>
      <c r="P21" s="11">
        <f t="shared" si="9"/>
        <v>2297</v>
      </c>
      <c r="Q21" s="11"/>
      <c r="R21" s="11"/>
      <c r="S21" s="11"/>
      <c r="T21" s="11">
        <f t="shared" si="9"/>
        <v>1641</v>
      </c>
      <c r="U21" s="11">
        <f t="shared" si="9"/>
        <v>4335</v>
      </c>
      <c r="V21" s="11"/>
      <c r="W21" s="11"/>
      <c r="X21" s="11"/>
      <c r="Y21" s="11"/>
      <c r="Z21" s="11"/>
      <c r="AA21" s="11"/>
      <c r="AB21" s="11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</row>
    <row r="22" spans="2:68" x14ac:dyDescent="0.2"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</row>
    <row r="23" spans="2:68" x14ac:dyDescent="0.2">
      <c r="B23" s="2" t="s">
        <v>30</v>
      </c>
      <c r="C23" s="7">
        <f t="shared" ref="C23:H23" si="10">+C21/C24</f>
        <v>-8.6281812538795785E-2</v>
      </c>
      <c r="D23" s="7">
        <f t="shared" si="10"/>
        <v>1.6749379652605458E-2</v>
      </c>
      <c r="E23" s="7">
        <f t="shared" si="10"/>
        <v>0.18502475247524752</v>
      </c>
      <c r="F23" s="7" t="e">
        <f t="shared" si="10"/>
        <v>#DIV/0!</v>
      </c>
      <c r="G23" s="7">
        <f t="shared" si="10"/>
        <v>7.6066790352504632E-2</v>
      </c>
      <c r="H23" s="7">
        <f t="shared" si="10"/>
        <v>0.16378244746600742</v>
      </c>
      <c r="I23" s="7">
        <f>+I21/I24</f>
        <v>0.47592592592592592</v>
      </c>
      <c r="J23" s="7">
        <f t="shared" ref="J23:U23" si="11">+J21/J24</f>
        <v>0.29753086419753089</v>
      </c>
      <c r="K23" s="7">
        <f t="shared" si="11"/>
        <v>0.43765432098765433</v>
      </c>
      <c r="L23" s="7">
        <f t="shared" si="11"/>
        <v>0.5372766481823783</v>
      </c>
      <c r="M23" s="7">
        <f t="shared" si="11"/>
        <v>0.76445264452644524</v>
      </c>
      <c r="N23" s="7">
        <f t="shared" si="11"/>
        <v>0.93041871921182262</v>
      </c>
      <c r="O23" s="7">
        <f t="shared" si="11"/>
        <v>0.8479460453709381</v>
      </c>
      <c r="P23" s="7">
        <f t="shared" si="11"/>
        <v>1.4074754901960784</v>
      </c>
      <c r="Q23" s="7"/>
      <c r="R23" s="7"/>
      <c r="S23" s="3"/>
      <c r="T23" s="7">
        <f t="shared" si="11"/>
        <v>1.0129629629629631</v>
      </c>
      <c r="U23" s="7">
        <f t="shared" si="11"/>
        <v>2.6693349753694582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</row>
    <row r="24" spans="2:68" x14ac:dyDescent="0.2">
      <c r="B24" s="2" t="s">
        <v>2</v>
      </c>
      <c r="C24" s="3">
        <v>1611</v>
      </c>
      <c r="D24" s="3">
        <v>1612</v>
      </c>
      <c r="E24" s="3">
        <v>1616</v>
      </c>
      <c r="F24" s="3"/>
      <c r="G24" s="3">
        <v>1617</v>
      </c>
      <c r="H24" s="3">
        <v>1618</v>
      </c>
      <c r="I24" s="3">
        <v>1620</v>
      </c>
      <c r="J24" s="3">
        <v>1620</v>
      </c>
      <c r="K24" s="3">
        <v>1620</v>
      </c>
      <c r="L24" s="3">
        <v>1623</v>
      </c>
      <c r="M24" s="3">
        <v>1626</v>
      </c>
      <c r="N24" s="3">
        <v>1624</v>
      </c>
      <c r="O24" s="3">
        <v>1631</v>
      </c>
      <c r="P24" s="3">
        <v>1632</v>
      </c>
      <c r="Q24" s="3"/>
      <c r="R24" s="3"/>
      <c r="S24" s="3"/>
      <c r="T24" s="3">
        <v>1620</v>
      </c>
      <c r="U24" s="3">
        <v>1624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</row>
    <row r="25" spans="2:68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</row>
    <row r="26" spans="2:68" x14ac:dyDescent="0.2">
      <c r="B26" s="1" t="s">
        <v>31</v>
      </c>
      <c r="C26" s="6"/>
      <c r="D26" s="6"/>
      <c r="E26" s="6"/>
      <c r="F26" s="6"/>
      <c r="G26" s="13">
        <f t="shared" ref="G26:H26" si="12">+G7/C7-1</f>
        <v>2.2417336073230043E-2</v>
      </c>
      <c r="H26" s="13">
        <f t="shared" si="12"/>
        <v>8.882254151894009E-2</v>
      </c>
      <c r="I26" s="13">
        <f>+I7/E7-1</f>
        <v>0.17568965517241386</v>
      </c>
      <c r="J26" s="13" t="e">
        <f t="shared" ref="J26:P26" si="13">+J7/F7-1</f>
        <v>#DIV/0!</v>
      </c>
      <c r="K26" s="13">
        <f t="shared" si="13"/>
        <v>0.35903526402338759</v>
      </c>
      <c r="L26" s="13">
        <f t="shared" si="13"/>
        <v>0.31705227077977716</v>
      </c>
      <c r="M26" s="13">
        <f t="shared" si="13"/>
        <v>0.35591728992520899</v>
      </c>
      <c r="N26" s="13">
        <f t="shared" si="13"/>
        <v>0.34108122225124049</v>
      </c>
      <c r="O26" s="13">
        <f t="shared" si="13"/>
        <v>0.37846195213767131</v>
      </c>
      <c r="P26" s="13">
        <f t="shared" si="13"/>
        <v>0.5011060507482108</v>
      </c>
      <c r="Q26" s="13"/>
      <c r="R26" s="13"/>
      <c r="S26" s="3"/>
      <c r="T26" s="3"/>
      <c r="U26" s="13">
        <f>+U7/T7-1</f>
        <v>0.3433779329067288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</row>
    <row r="27" spans="2:68" x14ac:dyDescent="0.2">
      <c r="B27" s="2" t="s">
        <v>32</v>
      </c>
      <c r="C27" s="8">
        <f t="shared" ref="C27:H27" si="14">+C10/C7</f>
        <v>0.44068746497291239</v>
      </c>
      <c r="D27" s="8">
        <f t="shared" si="14"/>
        <v>0.4558686322075014</v>
      </c>
      <c r="E27" s="8">
        <f t="shared" si="14"/>
        <v>0.4736206896551724</v>
      </c>
      <c r="F27" s="8" t="e">
        <f t="shared" si="14"/>
        <v>#DIV/0!</v>
      </c>
      <c r="G27" s="8">
        <f t="shared" si="14"/>
        <v>0.46775077653937513</v>
      </c>
      <c r="H27" s="8">
        <f t="shared" si="14"/>
        <v>0.49083119108826051</v>
      </c>
      <c r="I27" s="8">
        <f>+I10/I7</f>
        <v>0.50139316615339491</v>
      </c>
      <c r="J27" s="8">
        <f t="shared" ref="J27:N27" si="15">+J10/J7</f>
        <v>0.50692086706711936</v>
      </c>
      <c r="K27" s="8">
        <f t="shared" si="15"/>
        <v>0.50228556063457919</v>
      </c>
      <c r="L27" s="8">
        <f t="shared" si="15"/>
        <v>0.39804814573845154</v>
      </c>
      <c r="M27" s="8">
        <f t="shared" si="15"/>
        <v>0.51698031581224313</v>
      </c>
      <c r="N27" s="8">
        <f t="shared" si="15"/>
        <v>0.54303797468354431</v>
      </c>
      <c r="O27" s="8">
        <f t="shared" ref="O27:P27" si="16">+O10/O7</f>
        <v>0.52823563834975129</v>
      </c>
      <c r="P27" s="8">
        <f t="shared" si="16"/>
        <v>0.53770804438280162</v>
      </c>
      <c r="Q27" s="8"/>
      <c r="R27" s="8"/>
      <c r="S27" s="3"/>
      <c r="T27" s="8">
        <f t="shared" ref="T27:U27" si="17">+T10/T7</f>
        <v>0.49350397517936784</v>
      </c>
      <c r="U27" s="8">
        <f t="shared" si="17"/>
        <v>0.49516441005802708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</row>
    <row r="28" spans="2:68" x14ac:dyDescent="0.2">
      <c r="B28" s="2" t="s">
        <v>33</v>
      </c>
      <c r="C28" s="8">
        <f t="shared" ref="C28:H28" si="18">+C15/C7</f>
        <v>-2.7087614421819541E-2</v>
      </c>
      <c r="D28" s="8">
        <f t="shared" si="18"/>
        <v>-3.7320395596193321E-3</v>
      </c>
      <c r="E28" s="8">
        <f t="shared" si="18"/>
        <v>3.8620689655172416E-2</v>
      </c>
      <c r="F28" s="8" t="e">
        <f t="shared" si="18"/>
        <v>#DIV/0!</v>
      </c>
      <c r="G28" s="8">
        <f t="shared" si="18"/>
        <v>6.5777452950849628E-3</v>
      </c>
      <c r="H28" s="8">
        <f t="shared" si="18"/>
        <v>4.6101113967437872E-2</v>
      </c>
      <c r="I28" s="8">
        <f>+I15/I7</f>
        <v>0.10617392579557119</v>
      </c>
      <c r="J28" s="8">
        <f t="shared" ref="J28:N28" si="19">+J15/J7</f>
        <v>0.11373726821624446</v>
      </c>
      <c r="K28" s="8">
        <f t="shared" si="19"/>
        <v>0.10836246302769562</v>
      </c>
      <c r="L28" s="8">
        <f t="shared" si="19"/>
        <v>-1.7436564736499675E-2</v>
      </c>
      <c r="M28" s="8">
        <f t="shared" si="19"/>
        <v>0.13735669478693488</v>
      </c>
      <c r="N28" s="8">
        <f t="shared" si="19"/>
        <v>0.17059396299902629</v>
      </c>
      <c r="O28" s="8">
        <f t="shared" ref="O28:P28" si="20">+O15/O7</f>
        <v>0.14395786599044183</v>
      </c>
      <c r="P28" s="8">
        <f t="shared" si="20"/>
        <v>0.17250346740638003</v>
      </c>
      <c r="Q28" s="8"/>
      <c r="R28" s="8"/>
      <c r="S28" s="3"/>
      <c r="T28" s="8">
        <f t="shared" ref="T28:U28" si="21">+T15/T7</f>
        <v>7.3686251696722896E-2</v>
      </c>
      <c r="U28" s="8">
        <f t="shared" si="21"/>
        <v>0.10664280146655504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</row>
    <row r="29" spans="2:68" x14ac:dyDescent="0.2">
      <c r="B29" s="2" t="s">
        <v>34</v>
      </c>
      <c r="C29" s="8">
        <f t="shared" ref="C29:H29" si="22">+C19/C18</f>
        <v>-0.10236220472440945</v>
      </c>
      <c r="D29" s="8">
        <f t="shared" si="22"/>
        <v>11.5</v>
      </c>
      <c r="E29" s="8">
        <f t="shared" si="22"/>
        <v>-0.1517509727626459</v>
      </c>
      <c r="F29" s="8" t="e">
        <f t="shared" si="22"/>
        <v>#DIV/0!</v>
      </c>
      <c r="G29" s="8">
        <f t="shared" si="22"/>
        <v>-0.8125</v>
      </c>
      <c r="H29" s="8">
        <f t="shared" si="22"/>
        <v>0.13712374581939799</v>
      </c>
      <c r="I29" s="8">
        <f>+I19/I18</f>
        <v>-3.6635006784260515E-2</v>
      </c>
      <c r="J29" s="8">
        <f t="shared" ref="J29:N29" si="23">+J19/J18</f>
        <v>0.47131608548931386</v>
      </c>
      <c r="K29" s="8">
        <f t="shared" si="23"/>
        <v>0.14909090909090908</v>
      </c>
      <c r="L29" s="8">
        <f t="shared" si="23"/>
        <v>11.27027027027027</v>
      </c>
      <c r="M29" s="8">
        <f t="shared" si="23"/>
        <v>0.11634980988593156</v>
      </c>
      <c r="N29" s="8">
        <f t="shared" si="23"/>
        <v>0.21938283510125361</v>
      </c>
      <c r="O29" s="8">
        <f t="shared" ref="O29:P29" si="24">+O19/O18</f>
        <v>0.14837905236907731</v>
      </c>
      <c r="P29" s="8">
        <f t="shared" si="24"/>
        <v>9.8784790278322224E-2</v>
      </c>
      <c r="Q29" s="8"/>
      <c r="R29" s="8"/>
      <c r="S29" s="3"/>
      <c r="T29" s="8">
        <f t="shared" ref="T29:U29" si="25">+T19/T18</f>
        <v>0.19155354449472098</v>
      </c>
      <c r="U29" s="8">
        <f t="shared" si="25"/>
        <v>-2.4879227053140097E-2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</row>
    <row r="30" spans="2:68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</row>
    <row r="31" spans="2:68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</row>
    <row r="32" spans="2:68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</row>
    <row r="33" spans="3:68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</row>
    <row r="34" spans="3:68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</row>
    <row r="35" spans="3:68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</row>
    <row r="36" spans="3:68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</row>
    <row r="37" spans="3:68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</row>
    <row r="38" spans="3:68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</row>
    <row r="39" spans="3:68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</row>
    <row r="40" spans="3:68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</row>
    <row r="41" spans="3:68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</row>
    <row r="42" spans="3:68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</row>
    <row r="43" spans="3:68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</row>
    <row r="44" spans="3:68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</row>
    <row r="45" spans="3:68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</row>
    <row r="46" spans="3:68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</row>
    <row r="47" spans="3:68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</row>
    <row r="48" spans="3:68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</row>
    <row r="49" spans="3:68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</row>
    <row r="50" spans="3:68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</row>
    <row r="51" spans="3:68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</row>
    <row r="52" spans="3:68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</row>
    <row r="53" spans="3:68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</row>
    <row r="54" spans="3:68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</row>
    <row r="55" spans="3:68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</row>
    <row r="56" spans="3:68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</row>
    <row r="57" spans="3:68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</row>
    <row r="58" spans="3:68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</row>
    <row r="59" spans="3:68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</row>
    <row r="60" spans="3:68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</row>
    <row r="61" spans="3:68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</row>
    <row r="62" spans="3:68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</row>
    <row r="63" spans="3:68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</row>
    <row r="64" spans="3:68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</row>
    <row r="65" spans="3:68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</row>
    <row r="66" spans="3:68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</row>
    <row r="67" spans="3:68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</row>
    <row r="68" spans="3:68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</row>
    <row r="69" spans="3:68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</row>
    <row r="70" spans="3:68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</row>
    <row r="71" spans="3:68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</row>
    <row r="72" spans="3:68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</row>
    <row r="73" spans="3:68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</row>
    <row r="74" spans="3:68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</row>
    <row r="75" spans="3:68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</row>
    <row r="76" spans="3:68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</row>
    <row r="77" spans="3:68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</row>
    <row r="78" spans="3:68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</row>
    <row r="79" spans="3:68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</row>
    <row r="80" spans="3:68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</row>
    <row r="81" spans="3:68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</row>
    <row r="82" spans="3:68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</row>
    <row r="83" spans="3:68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</row>
    <row r="84" spans="3:68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</row>
    <row r="85" spans="3:68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</row>
    <row r="86" spans="3:68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</row>
    <row r="87" spans="3:68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</row>
    <row r="88" spans="3:68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</row>
    <row r="89" spans="3:68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</row>
    <row r="90" spans="3:68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</row>
    <row r="91" spans="3:68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</row>
    <row r="92" spans="3:68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</row>
    <row r="93" spans="3:68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</row>
    <row r="94" spans="3:68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</row>
    <row r="95" spans="3:68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</row>
    <row r="96" spans="3:68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</row>
    <row r="97" spans="3:68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</row>
    <row r="98" spans="3:68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</row>
    <row r="99" spans="3:68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</row>
    <row r="100" spans="3:68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</row>
    <row r="101" spans="3:68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</row>
    <row r="102" spans="3:68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</row>
    <row r="103" spans="3:68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</row>
    <row r="104" spans="3:68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</row>
    <row r="105" spans="3:68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</row>
    <row r="106" spans="3:68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</row>
    <row r="107" spans="3:68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</row>
    <row r="108" spans="3:68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</row>
    <row r="109" spans="3:68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</row>
    <row r="110" spans="3:68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</row>
    <row r="111" spans="3:68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</row>
    <row r="112" spans="3:68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</row>
    <row r="113" spans="3:68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</row>
    <row r="114" spans="3:68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</row>
    <row r="115" spans="3:68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</row>
    <row r="116" spans="3:68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</row>
    <row r="117" spans="3:68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</row>
    <row r="118" spans="3:68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</row>
    <row r="119" spans="3:68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</row>
    <row r="120" spans="3:68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</row>
    <row r="121" spans="3:68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</row>
    <row r="122" spans="3:68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</row>
    <row r="123" spans="3:68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</row>
    <row r="124" spans="3:68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</row>
    <row r="125" spans="3:68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</row>
    <row r="126" spans="3:68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</row>
    <row r="127" spans="3:68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</row>
    <row r="128" spans="3:68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</row>
    <row r="129" spans="3:68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</row>
    <row r="130" spans="3:68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</row>
    <row r="131" spans="3:68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</row>
    <row r="132" spans="3:68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</row>
    <row r="133" spans="3:68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</row>
    <row r="134" spans="3:68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</row>
    <row r="135" spans="3:68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</row>
    <row r="136" spans="3:68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</row>
    <row r="137" spans="3:68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</row>
    <row r="138" spans="3:68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</row>
    <row r="139" spans="3:68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</row>
    <row r="140" spans="3:68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</row>
    <row r="141" spans="3:68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</row>
    <row r="142" spans="3:68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</row>
    <row r="143" spans="3:68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</row>
    <row r="144" spans="3:68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</row>
    <row r="145" spans="3:68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</row>
    <row r="146" spans="3:68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</row>
    <row r="147" spans="3:68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</row>
    <row r="148" spans="3:68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</row>
    <row r="149" spans="3:68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</row>
    <row r="150" spans="3:68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</row>
    <row r="151" spans="3:68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</row>
    <row r="152" spans="3:68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</row>
    <row r="153" spans="3:68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</row>
    <row r="154" spans="3:68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</row>
    <row r="155" spans="3:68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</row>
    <row r="156" spans="3:68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</row>
    <row r="157" spans="3:68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</row>
    <row r="158" spans="3:68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</row>
    <row r="159" spans="3:68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</row>
    <row r="160" spans="3:68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</row>
    <row r="161" spans="3:68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</row>
    <row r="162" spans="3:68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</row>
    <row r="163" spans="3:68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</row>
    <row r="164" spans="3:68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</row>
    <row r="165" spans="3:68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</row>
    <row r="166" spans="3:68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</row>
    <row r="167" spans="3:68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</row>
    <row r="168" spans="3:68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</row>
    <row r="169" spans="3:68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</row>
    <row r="170" spans="3:68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</row>
  </sheetData>
  <hyperlinks>
    <hyperlink ref="A1" location="Main!A1" display="Main" xr:uid="{66608389-28A7-4662-ADFC-61E13E644A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2025-01-10T16:44:07Z</dcterms:created>
  <dcterms:modified xsi:type="dcterms:W3CDTF">2026-08-05T16:41:55Z</dcterms:modified>
</cp:coreProperties>
</file>