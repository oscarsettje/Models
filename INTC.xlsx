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119DA219-D2A4-4A35-B312-06949EEA0397}" xr6:coauthVersionLast="47" xr6:coauthVersionMax="47" xr10:uidLastSave="{00000000-0000-0000-0000-000000000000}"/>
  <bookViews>
    <workbookView xWindow="225" yWindow="5070" windowWidth="38175" windowHeight="15240" activeTab="1" xr2:uid="{1A0BB853-B12C-4508-B669-8BC564A77B73}"/>
  </bookViews>
  <sheets>
    <sheet name="Main" sheetId="1" r:id="rId1"/>
    <sheet name="Model" sheetId="2" r:id="rId2"/>
    <sheet name="Sheet1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6" i="2" l="1"/>
  <c r="AA33" i="2"/>
  <c r="W31" i="2"/>
  <c r="AA31" i="2"/>
  <c r="AA32" i="2"/>
  <c r="AA29" i="2"/>
  <c r="AA30" i="2"/>
  <c r="AA28" i="2"/>
  <c r="AA27" i="2"/>
  <c r="AA26" i="2"/>
  <c r="AA24" i="2"/>
  <c r="W29" i="2"/>
  <c r="W27" i="2"/>
  <c r="W26" i="2"/>
  <c r="W24" i="2"/>
  <c r="W28" i="2" s="1"/>
  <c r="W30" i="2" s="1"/>
  <c r="W32" i="2" s="1"/>
  <c r="W33" i="2" s="1"/>
  <c r="K6" i="1"/>
  <c r="K5" i="1"/>
</calcChain>
</file>

<file path=xl/sharedStrings.xml><?xml version="1.0" encoding="utf-8"?>
<sst xmlns="http://schemas.openxmlformats.org/spreadsheetml/2006/main" count="202" uniqueCount="187">
  <si>
    <t>Intel</t>
  </si>
  <si>
    <t>numbers in mio USD</t>
  </si>
  <si>
    <t>Price</t>
  </si>
  <si>
    <t>Shares</t>
  </si>
  <si>
    <t>MC</t>
  </si>
  <si>
    <t>Cash</t>
  </si>
  <si>
    <t>Debt</t>
  </si>
  <si>
    <t>EV</t>
  </si>
  <si>
    <t>Intel Core Ultra - 2024, with NPU</t>
  </si>
  <si>
    <t>Q224</t>
  </si>
  <si>
    <t>12th-gen Intel Core HX</t>
  </si>
  <si>
    <t>Raptor Lake - 13th-gen client, K processors, Z790 chipset</t>
  </si>
  <si>
    <t xml:space="preserve">  i9-13900K</t>
  </si>
  <si>
    <t>13th-gen mobile, first 24-core laptop</t>
  </si>
  <si>
    <t>vPro</t>
  </si>
  <si>
    <t>Lunar Lake - SOC/laptop (battle mage)</t>
  </si>
  <si>
    <t>Xeon</t>
  </si>
  <si>
    <t>Ice Lake - 10nm 3rd-gen Xeon</t>
  </si>
  <si>
    <t xml:space="preserve">  4th-gen Xeon (Sapphire Rapids)</t>
  </si>
  <si>
    <t xml:space="preserve">  vRAN Boost</t>
  </si>
  <si>
    <t>CFO: David Zinsner</t>
  </si>
  <si>
    <t>5th-Gen Xeon Scalable</t>
  </si>
  <si>
    <t>Ponte Vecchio - Intel Data Center GPU Max Series</t>
  </si>
  <si>
    <t>US Manufacturing</t>
  </si>
  <si>
    <t>Meteor Lake</t>
  </si>
  <si>
    <t>Arizona, New Mexico, Oregon, Ohio</t>
  </si>
  <si>
    <t>GPUs</t>
  </si>
  <si>
    <t>EU Manufacturing</t>
  </si>
  <si>
    <t>Intel Arc Pro A40</t>
  </si>
  <si>
    <t>Ireland, Israel, Germany, Poland</t>
  </si>
  <si>
    <t>Intel Arc Pro A60</t>
  </si>
  <si>
    <t>Intel Arc Pro A60M</t>
  </si>
  <si>
    <t>Intel 7 - 7nm? - in high-volume manufacturing for client/server (Q422)</t>
  </si>
  <si>
    <t>Intel 4 - 4nm? - manufacturing ready, Meteor Lake ramp in 2H23, with EUV?</t>
  </si>
  <si>
    <t>Intel 3 - 3nm continues to progress, 20A, 18A test chips</t>
  </si>
  <si>
    <t>C-C bond is 1.54A, 0.15nm</t>
  </si>
  <si>
    <t>MOSFET - metal-oxide smiconductor field-effect transistor</t>
  </si>
  <si>
    <t>Main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</si>
  <si>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</si>
  <si>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</si>
  <si>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</si>
  <si>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</si>
  <si>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</si>
  <si>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</si>
  <si>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</si>
  <si>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</si>
  <si>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</si>
  <si>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</si>
  <si>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</si>
  <si>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</si>
  <si>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</si>
  <si>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</si>
  <si>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</si>
  <si>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</si>
  <si>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</si>
  <si>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</si>
  <si>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</si>
  <si>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Q125</t>
  </si>
  <si>
    <t>Q225</t>
  </si>
  <si>
    <t>Q325</t>
  </si>
  <si>
    <t>Q425</t>
  </si>
  <si>
    <t>Big Three</t>
  </si>
  <si>
    <t xml:space="preserve">  Intel %</t>
  </si>
  <si>
    <t>Nvidia</t>
  </si>
  <si>
    <t>AMD</t>
  </si>
  <si>
    <t>Broadcom</t>
  </si>
  <si>
    <t>Avago</t>
  </si>
  <si>
    <t>PC revenue</t>
  </si>
  <si>
    <t>Intel Share</t>
  </si>
  <si>
    <t>PC Shipments</t>
  </si>
  <si>
    <t>Rev/Shipment</t>
  </si>
  <si>
    <t>Foundry</t>
  </si>
  <si>
    <t>AXG</t>
  </si>
  <si>
    <t>Mobileye</t>
  </si>
  <si>
    <t>NEX</t>
  </si>
  <si>
    <t>DCAI</t>
  </si>
  <si>
    <t>CCG - Other</t>
  </si>
  <si>
    <t>CCG - Desktop</t>
  </si>
  <si>
    <t>CCG - Notebook</t>
  </si>
  <si>
    <t>Revenue</t>
  </si>
  <si>
    <t>COGS</t>
  </si>
  <si>
    <t>Gross Margin</t>
  </si>
  <si>
    <t>R&amp;D</t>
  </si>
  <si>
    <t>MG&amp;A</t>
  </si>
  <si>
    <t>Operating Expenses</t>
  </si>
  <si>
    <t>Operating Income</t>
  </si>
  <si>
    <t>Interest</t>
  </si>
  <si>
    <t>Pretax</t>
  </si>
  <si>
    <t>Taxes</t>
  </si>
  <si>
    <t>Net Income</t>
  </si>
  <si>
    <t>EPS</t>
  </si>
  <si>
    <t>Discount</t>
  </si>
  <si>
    <t>Revenue y/y</t>
  </si>
  <si>
    <t>ROIC</t>
  </si>
  <si>
    <t>PC shipments y/y</t>
  </si>
  <si>
    <t>Terminal</t>
  </si>
  <si>
    <t>GDP y/y</t>
  </si>
  <si>
    <t>NPV</t>
  </si>
  <si>
    <t>Share</t>
  </si>
  <si>
    <t>NG GM%</t>
  </si>
  <si>
    <t>Net Cash</t>
  </si>
  <si>
    <t>AR</t>
  </si>
  <si>
    <t>Inventories</t>
  </si>
  <si>
    <t>OCA</t>
  </si>
  <si>
    <t>PP&amp;E</t>
  </si>
  <si>
    <t>Goodwill</t>
  </si>
  <si>
    <t>LOTA</t>
  </si>
  <si>
    <t>Assets</t>
  </si>
  <si>
    <t>AP</t>
  </si>
  <si>
    <t>Compensation</t>
  </si>
  <si>
    <t>OL</t>
  </si>
  <si>
    <t>OLTL</t>
  </si>
  <si>
    <t>SE</t>
  </si>
  <si>
    <t>L+SE</t>
  </si>
  <si>
    <t>Model NI</t>
  </si>
  <si>
    <t>Reported NI</t>
  </si>
  <si>
    <t>Depreciation</t>
  </si>
  <si>
    <t>SBC</t>
  </si>
  <si>
    <t>Restructuring</t>
  </si>
  <si>
    <t>Amortization</t>
  </si>
  <si>
    <t>Equity Investments</t>
  </si>
  <si>
    <t>DT</t>
  </si>
  <si>
    <t>Impairments</t>
  </si>
  <si>
    <t>Divestitures</t>
  </si>
  <si>
    <t>WC</t>
  </si>
  <si>
    <t>CFFO</t>
  </si>
  <si>
    <t>CapEx</t>
  </si>
  <si>
    <t>Investments</t>
  </si>
  <si>
    <t>CFFI</t>
  </si>
  <si>
    <t>Partner</t>
  </si>
  <si>
    <t>ESOP</t>
  </si>
  <si>
    <t>Dividends</t>
  </si>
  <si>
    <t>Other</t>
  </si>
  <si>
    <t>CFFF</t>
  </si>
  <si>
    <t>CIC</t>
  </si>
  <si>
    <t>FCF</t>
  </si>
  <si>
    <t>NI-FCF</t>
  </si>
  <si>
    <t>Employees</t>
  </si>
  <si>
    <t>Number</t>
  </si>
  <si>
    <t>Title</t>
  </si>
  <si>
    <t>Inventors</t>
  </si>
  <si>
    <t>Notes</t>
  </si>
  <si>
    <t>Issued</t>
  </si>
  <si>
    <t>Device-to-Device Link Training</t>
  </si>
  <si>
    <t>Kent Lusted</t>
  </si>
  <si>
    <t>networking</t>
  </si>
  <si>
    <t>Processor Related Communications</t>
  </si>
  <si>
    <t>Chih-Jen Chang</t>
  </si>
  <si>
    <t>Intelligent Resource Selection for Received Content</t>
  </si>
  <si>
    <t>Francesc Guim Bernat</t>
  </si>
  <si>
    <t>Embedded Bridge Die With Through-Silicon Vias</t>
  </si>
  <si>
    <t>Aditya Vaidya</t>
  </si>
  <si>
    <t>Optimizing Head Mounted Displays for Augmented Reality</t>
  </si>
  <si>
    <t>Anna Petrovskaya</t>
  </si>
  <si>
    <t>Gate-all-around integrated circuit structures having source or drain structures with epitaxial nubs</t>
  </si>
  <si>
    <t>Cory Bomberger</t>
  </si>
  <si>
    <t>Unifying Interface for Cloud Content Sharing Devices</t>
  </si>
  <si>
    <t>Steven J. Birkel</t>
  </si>
  <si>
    <t>14th-gen desktop - voltage coding error</t>
  </si>
  <si>
    <t>i9</t>
  </si>
  <si>
    <t>i7</t>
  </si>
  <si>
    <t>i5</t>
  </si>
  <si>
    <t>i3</t>
  </si>
  <si>
    <t>Max Turbo</t>
  </si>
  <si>
    <t>Intel Turbo Boost</t>
  </si>
  <si>
    <t>-</t>
  </si>
  <si>
    <t>Performance Core Max Turbo Frequency</t>
  </si>
  <si>
    <t>Efficient-core Max Turbo</t>
  </si>
  <si>
    <t>Cores</t>
  </si>
  <si>
    <t>P Cores</t>
  </si>
  <si>
    <t>Threads</t>
  </si>
  <si>
    <t>L3</t>
  </si>
  <si>
    <t>i9-14900K, i9-14900KF, i9-14900KS</t>
  </si>
  <si>
    <t>Raptor Lake Refresh</t>
  </si>
  <si>
    <t>Base</t>
  </si>
  <si>
    <t>i9-13900K</t>
  </si>
  <si>
    <t>Raptor Lake</t>
  </si>
  <si>
    <t>i9-12900K</t>
  </si>
  <si>
    <t>Alder Lake</t>
  </si>
  <si>
    <t>*k = unlocked</t>
  </si>
  <si>
    <t>*f = no GPU</t>
  </si>
  <si>
    <t>*s = lower power</t>
  </si>
  <si>
    <t>Q126</t>
  </si>
  <si>
    <t>CEO: Lip Bu Tan (prior Pat Gelsinger replaced Bob Swan)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</si>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</sst>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0" xfId="0" applyFont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0" fontId="5" fillId="0" borderId="0" xfId="1" applyFont="1"/>
    <xf numFmtId="9" fontId="2" fillId="0" borderId="0" xfId="0" applyNumberFormat="1" applyFont="1"/>
    <xf numFmtId="3" fontId="4" fillId="0" borderId="0" xfId="0" applyNumberFormat="1" applyFont="1"/>
    <xf numFmtId="10" fontId="2" fillId="0" borderId="0" xfId="0" applyNumberFormat="1" applyFont="1"/>
    <xf numFmtId="14" fontId="2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/>
    <xf numFmtId="164" fontId="4" fillId="0" borderId="0" xfId="0" applyNumberFormat="1" applyFont="1"/>
    <xf numFmtId="16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7F62-CF5E-4F37-847E-D10C43611234}">
  <dimension ref="A1:L35"/>
  <sheetViews>
    <sheetView zoomScale="200" zoomScaleNormal="200" workbookViewId="0"/>
  </sheetViews>
  <sheetFormatPr defaultRowHeight="12.75" x14ac:dyDescent="0.2"/>
  <cols>
    <col min="1" max="1" width="4" style="2" customWidth="1"/>
    <col min="2" max="16384" width="9.140625" style="2"/>
  </cols>
  <sheetData>
    <row r="1" spans="1:12" x14ac:dyDescent="0.2">
      <c r="A1" s="1" t="s">
        <v>0</v>
      </c>
    </row>
    <row r="2" spans="1:12" x14ac:dyDescent="0.2">
      <c r="A2" s="2" t="s">
        <v>1</v>
      </c>
      <c r="J2" s="2" t="s">
        <v>2</v>
      </c>
      <c r="K2" s="2">
        <v>82.72</v>
      </c>
    </row>
    <row r="3" spans="1:12" x14ac:dyDescent="0.2">
      <c r="I3" s="3"/>
      <c r="J3" s="2" t="s">
        <v>3</v>
      </c>
      <c r="K3" s="4">
        <v>5026</v>
      </c>
      <c r="L3" s="11" t="s">
        <v>182</v>
      </c>
    </row>
    <row r="4" spans="1:12" x14ac:dyDescent="0.2">
      <c r="I4" s="3"/>
      <c r="J4" s="2" t="s">
        <v>4</v>
      </c>
      <c r="K4" s="4">
        <v>85340</v>
      </c>
      <c r="L4" s="5"/>
    </row>
    <row r="5" spans="1:12" x14ac:dyDescent="0.2">
      <c r="B5" s="2" t="s">
        <v>8</v>
      </c>
      <c r="I5" s="3"/>
      <c r="J5" s="2" t="s">
        <v>5</v>
      </c>
      <c r="K5" s="4">
        <f>17247+15542</f>
        <v>32789</v>
      </c>
      <c r="L5" s="11" t="s">
        <v>182</v>
      </c>
    </row>
    <row r="6" spans="1:12" x14ac:dyDescent="0.2">
      <c r="B6" s="2" t="s">
        <v>10</v>
      </c>
      <c r="I6" s="3"/>
      <c r="J6" s="2" t="s">
        <v>6</v>
      </c>
      <c r="K6" s="4">
        <f>2004+43027</f>
        <v>45031</v>
      </c>
      <c r="L6" s="11" t="s">
        <v>182</v>
      </c>
    </row>
    <row r="7" spans="1:12" x14ac:dyDescent="0.2">
      <c r="B7" s="2" t="s">
        <v>11</v>
      </c>
      <c r="I7" s="3"/>
      <c r="J7" s="2" t="s">
        <v>7</v>
      </c>
      <c r="K7" s="4">
        <v>103272</v>
      </c>
    </row>
    <row r="8" spans="1:12" x14ac:dyDescent="0.2">
      <c r="B8" s="2" t="s">
        <v>12</v>
      </c>
    </row>
    <row r="9" spans="1:12" x14ac:dyDescent="0.2">
      <c r="B9" s="2" t="s">
        <v>13</v>
      </c>
      <c r="J9" s="12" t="s">
        <v>183</v>
      </c>
    </row>
    <row r="10" spans="1:12" x14ac:dyDescent="0.2">
      <c r="B10" s="2" t="s">
        <v>14</v>
      </c>
      <c r="J10" s="2" t="s">
        <v>20</v>
      </c>
    </row>
    <row r="11" spans="1:12" x14ac:dyDescent="0.2">
      <c r="B11" s="2" t="s">
        <v>15</v>
      </c>
    </row>
    <row r="13" spans="1:12" x14ac:dyDescent="0.2">
      <c r="B13" s="2" t="s">
        <v>16</v>
      </c>
      <c r="J13" s="2" t="s">
        <v>23</v>
      </c>
    </row>
    <row r="14" spans="1:12" x14ac:dyDescent="0.2">
      <c r="B14" s="2" t="s">
        <v>17</v>
      </c>
      <c r="J14" s="2" t="s">
        <v>25</v>
      </c>
    </row>
    <row r="15" spans="1:12" x14ac:dyDescent="0.2">
      <c r="B15" s="2" t="s">
        <v>18</v>
      </c>
    </row>
    <row r="16" spans="1:12" x14ac:dyDescent="0.2">
      <c r="B16" s="2" t="s">
        <v>19</v>
      </c>
      <c r="J16" s="2" t="s">
        <v>27</v>
      </c>
    </row>
    <row r="17" spans="2:10" x14ac:dyDescent="0.2">
      <c r="B17" s="2" t="s">
        <v>21</v>
      </c>
      <c r="J17" s="2" t="s">
        <v>29</v>
      </c>
    </row>
    <row r="20" spans="2:10" x14ac:dyDescent="0.2">
      <c r="B20" s="2" t="s">
        <v>22</v>
      </c>
    </row>
    <row r="21" spans="2:10" x14ac:dyDescent="0.2">
      <c r="B21" s="2" t="s">
        <v>24</v>
      </c>
    </row>
    <row r="23" spans="2:10" x14ac:dyDescent="0.2">
      <c r="B23" s="2" t="s">
        <v>26</v>
      </c>
    </row>
    <row r="24" spans="2:10" x14ac:dyDescent="0.2">
      <c r="B24" s="2" t="s">
        <v>28</v>
      </c>
    </row>
    <row r="25" spans="2:10" x14ac:dyDescent="0.2">
      <c r="B25" s="2" t="s">
        <v>30</v>
      </c>
    </row>
    <row r="26" spans="2:10" x14ac:dyDescent="0.2">
      <c r="B26" s="2" t="s">
        <v>31</v>
      </c>
    </row>
    <row r="29" spans="2:10" x14ac:dyDescent="0.2">
      <c r="B29" s="2" t="s">
        <v>32</v>
      </c>
    </row>
    <row r="30" spans="2:10" x14ac:dyDescent="0.2">
      <c r="B30" s="2" t="s">
        <v>33</v>
      </c>
    </row>
    <row r="31" spans="2:10" x14ac:dyDescent="0.2">
      <c r="B31" s="2" t="s">
        <v>34</v>
      </c>
    </row>
    <row r="34" spans="2:2" x14ac:dyDescent="0.2">
      <c r="B34" s="2" t="s">
        <v>35</v>
      </c>
    </row>
    <row r="35" spans="2:2" x14ac:dyDescent="0.2">
      <c r="B35" s="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392B-0C8B-4B32-9445-EE0B908DEE88}">
  <dimension ref="A1:BP91"/>
  <sheetViews>
    <sheetView tabSelected="1" zoomScale="200" zoomScaleNormal="200" workbookViewId="0">
      <pane xSplit="2" ySplit="2" topLeftCell="W3" activePane="bottomRight" state="frozen"/>
      <selection pane="topRight" activeCell="C1" sqref="C1"/>
      <selection pane="bottomLeft" activeCell="A3" sqref="A3"/>
      <selection pane="bottomRight" activeCell="AA4" sqref="AA4"/>
    </sheetView>
  </sheetViews>
  <sheetFormatPr defaultRowHeight="12.75" x14ac:dyDescent="0.2"/>
  <cols>
    <col min="1" max="1" width="5.42578125" style="2" customWidth="1"/>
    <col min="2" max="2" width="18.5703125" style="2" bestFit="1" customWidth="1"/>
    <col min="3" max="16384" width="9.140625" style="2"/>
  </cols>
  <sheetData>
    <row r="1" spans="1:67" x14ac:dyDescent="0.2">
      <c r="A1" s="6" t="s">
        <v>37</v>
      </c>
    </row>
    <row r="2" spans="1:67" x14ac:dyDescent="0.2"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9</v>
      </c>
      <c r="U2" s="5" t="s">
        <v>55</v>
      </c>
      <c r="V2" s="5" t="s">
        <v>56</v>
      </c>
      <c r="W2" s="5" t="s">
        <v>57</v>
      </c>
      <c r="X2" s="5" t="s">
        <v>58</v>
      </c>
      <c r="Y2" s="5" t="s">
        <v>59</v>
      </c>
      <c r="Z2" s="5" t="s">
        <v>60</v>
      </c>
      <c r="AA2" s="11" t="s">
        <v>182</v>
      </c>
      <c r="AB2" s="11" t="s">
        <v>184</v>
      </c>
      <c r="AC2" s="11" t="s">
        <v>185</v>
      </c>
      <c r="AD2" s="11" t="s">
        <v>186</v>
      </c>
      <c r="AF2" s="2">
        <v>2005</v>
      </c>
      <c r="AG2" s="2">
        <v>2006</v>
      </c>
      <c r="AH2" s="2">
        <v>2007</v>
      </c>
      <c r="AI2" s="2">
        <v>2008</v>
      </c>
      <c r="AJ2" s="2">
        <v>2009</v>
      </c>
      <c r="AK2" s="2">
        <v>2010</v>
      </c>
      <c r="AL2" s="2">
        <v>2011</v>
      </c>
      <c r="AM2" s="2">
        <v>2012</v>
      </c>
      <c r="AN2" s="2">
        <v>2013</v>
      </c>
      <c r="AO2" s="2">
        <v>2014</v>
      </c>
      <c r="AP2" s="2">
        <v>2015</v>
      </c>
      <c r="AQ2" s="2">
        <v>2016</v>
      </c>
      <c r="AR2" s="2">
        <v>2017</v>
      </c>
      <c r="AS2" s="2">
        <v>2018</v>
      </c>
      <c r="AT2" s="2">
        <v>2019</v>
      </c>
      <c r="AU2" s="2">
        <v>2020</v>
      </c>
      <c r="AV2" s="2">
        <v>2021</v>
      </c>
      <c r="AW2" s="2">
        <v>2022</v>
      </c>
      <c r="AX2" s="2">
        <v>2023</v>
      </c>
      <c r="AY2" s="2">
        <v>2024</v>
      </c>
      <c r="AZ2" s="2">
        <v>2025</v>
      </c>
      <c r="BA2" s="2">
        <v>2026</v>
      </c>
      <c r="BB2" s="2">
        <v>2027</v>
      </c>
      <c r="BC2" s="2">
        <v>2028</v>
      </c>
      <c r="BD2" s="2">
        <v>2029</v>
      </c>
      <c r="BE2" s="2">
        <v>2030</v>
      </c>
      <c r="BF2" s="2">
        <v>2031</v>
      </c>
      <c r="BG2" s="2">
        <v>2032</v>
      </c>
      <c r="BH2" s="2">
        <v>2033</v>
      </c>
      <c r="BI2" s="2">
        <v>2034</v>
      </c>
      <c r="BJ2" s="2">
        <v>2035</v>
      </c>
      <c r="BK2" s="2">
        <v>2036</v>
      </c>
      <c r="BL2" s="2">
        <v>2037</v>
      </c>
      <c r="BM2" s="2">
        <v>2038</v>
      </c>
      <c r="BN2" s="2">
        <v>2039</v>
      </c>
      <c r="BO2" s="2">
        <v>2040</v>
      </c>
    </row>
    <row r="3" spans="1:67" x14ac:dyDescent="0.2">
      <c r="B3" s="2" t="s">
        <v>61</v>
      </c>
      <c r="AT3" s="4">
        <v>89614</v>
      </c>
      <c r="AU3" s="4">
        <v>104305</v>
      </c>
      <c r="AV3" s="4">
        <v>122372</v>
      </c>
      <c r="AW3" s="4">
        <v>106411</v>
      </c>
      <c r="AX3" s="4">
        <v>102351</v>
      </c>
      <c r="AY3" s="4">
        <v>107469</v>
      </c>
      <c r="AZ3" s="4">
        <v>112842</v>
      </c>
      <c r="BA3" s="4">
        <v>118484</v>
      </c>
      <c r="BB3" s="4">
        <v>124408</v>
      </c>
      <c r="BC3" s="4">
        <v>130629</v>
      </c>
      <c r="BD3" s="4">
        <v>137160</v>
      </c>
      <c r="BE3" s="4">
        <v>144018</v>
      </c>
      <c r="BF3" s="4">
        <v>151219</v>
      </c>
      <c r="BG3" s="4">
        <v>158780</v>
      </c>
      <c r="BH3" s="4">
        <v>166719</v>
      </c>
      <c r="BI3" s="4">
        <v>175055</v>
      </c>
      <c r="BJ3" s="4">
        <v>183808</v>
      </c>
    </row>
    <row r="4" spans="1:67" x14ac:dyDescent="0.2">
      <c r="B4" s="2" t="s">
        <v>62</v>
      </c>
      <c r="AT4" s="7">
        <v>0.8</v>
      </c>
      <c r="AU4" s="7">
        <v>0.75</v>
      </c>
      <c r="AV4" s="7">
        <v>0.65</v>
      </c>
      <c r="AW4" s="7">
        <v>0.59</v>
      </c>
      <c r="AX4" s="7">
        <v>0.53</v>
      </c>
      <c r="AY4" s="7">
        <v>0.51</v>
      </c>
      <c r="AZ4" s="7">
        <v>0.52</v>
      </c>
      <c r="BA4" s="7">
        <v>0.53</v>
      </c>
      <c r="BB4" s="7">
        <v>0.53</v>
      </c>
      <c r="BC4" s="7">
        <v>0.54</v>
      </c>
      <c r="BD4" s="7">
        <v>0.54</v>
      </c>
      <c r="BE4" s="7">
        <v>0.54</v>
      </c>
      <c r="BF4" s="7">
        <v>0.55000000000000004</v>
      </c>
      <c r="BG4" s="7">
        <v>0.56000000000000005</v>
      </c>
      <c r="BH4" s="7">
        <v>0.56000000000000005</v>
      </c>
      <c r="BI4" s="7">
        <v>0.56000000000000005</v>
      </c>
      <c r="BJ4" s="7">
        <v>0.56000000000000005</v>
      </c>
    </row>
    <row r="5" spans="1:67" x14ac:dyDescent="0.2">
      <c r="B5" s="2" t="s">
        <v>63</v>
      </c>
      <c r="AT5" s="4">
        <v>10918</v>
      </c>
      <c r="AU5" s="4">
        <v>16675</v>
      </c>
      <c r="AV5" s="4">
        <v>26914</v>
      </c>
      <c r="AW5" s="4">
        <v>26923</v>
      </c>
      <c r="AX5" s="4">
        <v>26923</v>
      </c>
    </row>
    <row r="6" spans="1:67" x14ac:dyDescent="0.2">
      <c r="B6" s="2" t="s">
        <v>64</v>
      </c>
      <c r="AN6" s="4">
        <v>5299</v>
      </c>
      <c r="AO6" s="4">
        <v>5506</v>
      </c>
      <c r="AP6" s="4">
        <v>3991</v>
      </c>
      <c r="AQ6" s="4">
        <v>4272</v>
      </c>
      <c r="AR6" s="4">
        <v>5329</v>
      </c>
      <c r="AS6" s="4">
        <v>6475</v>
      </c>
      <c r="AT6" s="4">
        <v>6731</v>
      </c>
      <c r="AU6" s="4">
        <v>9763</v>
      </c>
      <c r="AV6" s="4">
        <v>16434</v>
      </c>
      <c r="AW6" s="4">
        <v>16434</v>
      </c>
      <c r="AX6" s="4">
        <v>21200</v>
      </c>
    </row>
    <row r="7" spans="1:67" x14ac:dyDescent="0.2">
      <c r="B7" s="2" t="s">
        <v>65</v>
      </c>
    </row>
    <row r="8" spans="1:67" x14ac:dyDescent="0.2">
      <c r="B8" s="2" t="s">
        <v>66</v>
      </c>
    </row>
    <row r="9" spans="1:67" x14ac:dyDescent="0.2">
      <c r="B9" s="2" t="s">
        <v>67</v>
      </c>
      <c r="AN9" s="4">
        <v>58007</v>
      </c>
      <c r="AO9" s="4">
        <v>61376</v>
      </c>
      <c r="AP9" s="4">
        <v>59346</v>
      </c>
      <c r="AQ9" s="4">
        <v>63659</v>
      </c>
      <c r="AR9" s="4">
        <v>68090</v>
      </c>
      <c r="AS9" s="4">
        <v>77323</v>
      </c>
      <c r="AT9" s="4">
        <v>78696</v>
      </c>
      <c r="AU9" s="4">
        <v>87630</v>
      </c>
      <c r="AV9" s="4">
        <v>95458</v>
      </c>
      <c r="AW9" s="4">
        <v>79488</v>
      </c>
      <c r="AX9" s="4">
        <v>75428</v>
      </c>
    </row>
    <row r="10" spans="1:67" x14ac:dyDescent="0.2">
      <c r="B10" s="2" t="s">
        <v>68</v>
      </c>
      <c r="AN10" s="7">
        <v>0.91</v>
      </c>
      <c r="AO10" s="7">
        <v>0.91</v>
      </c>
      <c r="AP10" s="7">
        <v>0.93</v>
      </c>
      <c r="AQ10" s="7">
        <v>0.93</v>
      </c>
      <c r="AR10" s="7">
        <v>0.92</v>
      </c>
      <c r="AS10" s="7">
        <v>0.92</v>
      </c>
      <c r="AT10" s="7">
        <v>0.91</v>
      </c>
      <c r="AU10" s="7">
        <v>0.89</v>
      </c>
      <c r="AV10" s="7">
        <v>0.83</v>
      </c>
      <c r="AW10" s="7">
        <v>0.79</v>
      </c>
      <c r="AX10" s="7">
        <v>0.72</v>
      </c>
    </row>
    <row r="11" spans="1:67" x14ac:dyDescent="0.2">
      <c r="B11" s="2" t="s">
        <v>69</v>
      </c>
      <c r="AG11" s="2">
        <v>239</v>
      </c>
      <c r="AH11" s="2">
        <v>272</v>
      </c>
      <c r="AI11" s="2">
        <v>291</v>
      </c>
      <c r="AJ11" s="2">
        <v>308</v>
      </c>
      <c r="AK11" s="2">
        <v>351</v>
      </c>
      <c r="AL11" s="2">
        <v>365</v>
      </c>
      <c r="AM11" s="2">
        <v>351</v>
      </c>
      <c r="AN11" s="2">
        <v>316</v>
      </c>
      <c r="AO11" s="2">
        <v>314</v>
      </c>
      <c r="AP11" s="2">
        <v>288</v>
      </c>
      <c r="AQ11" s="2">
        <v>270</v>
      </c>
      <c r="AR11" s="2">
        <v>263</v>
      </c>
      <c r="AS11" s="2">
        <v>260</v>
      </c>
      <c r="AT11" s="2">
        <v>263</v>
      </c>
      <c r="AU11" s="2">
        <v>309</v>
      </c>
      <c r="AV11" s="2">
        <v>342</v>
      </c>
      <c r="AW11" s="2">
        <v>284</v>
      </c>
      <c r="AX11" s="2">
        <v>242</v>
      </c>
    </row>
    <row r="12" spans="1:67" x14ac:dyDescent="0.2">
      <c r="B12" s="2" t="s">
        <v>70</v>
      </c>
      <c r="AG12" s="2">
        <v>147.91999999999999</v>
      </c>
      <c r="AH12" s="2">
        <v>140.69999999999999</v>
      </c>
      <c r="AI12" s="2">
        <v>129.25</v>
      </c>
      <c r="AJ12" s="2">
        <v>113.92</v>
      </c>
      <c r="AK12" s="2">
        <v>124.32</v>
      </c>
      <c r="AL12" s="2">
        <v>147.80000000000001</v>
      </c>
      <c r="AM12" s="2">
        <v>151.94</v>
      </c>
      <c r="AN12" s="2">
        <v>166.59</v>
      </c>
      <c r="AO12" s="2">
        <v>178.11</v>
      </c>
      <c r="AP12" s="2">
        <v>192.42</v>
      </c>
      <c r="AQ12" s="2">
        <v>220.2</v>
      </c>
      <c r="AR12" s="2">
        <v>239</v>
      </c>
      <c r="AS12" s="2">
        <v>272.81</v>
      </c>
      <c r="AT12" s="2">
        <v>274.10000000000002</v>
      </c>
      <c r="AU12" s="2">
        <v>251.93</v>
      </c>
      <c r="AV12" s="2">
        <v>231.25</v>
      </c>
      <c r="AW12" s="2">
        <v>221.98</v>
      </c>
      <c r="AX12" s="2">
        <v>224.18</v>
      </c>
    </row>
    <row r="14" spans="1:67" x14ac:dyDescent="0.2">
      <c r="B14" s="2" t="s">
        <v>71</v>
      </c>
      <c r="K14" s="2">
        <v>156</v>
      </c>
      <c r="L14" s="2">
        <v>57</v>
      </c>
      <c r="O14" s="2">
        <v>118</v>
      </c>
      <c r="P14" s="4">
        <v>4172</v>
      </c>
      <c r="Q14" s="4">
        <v>4732</v>
      </c>
      <c r="T14" s="4">
        <v>4320</v>
      </c>
      <c r="U14" s="4">
        <v>4352</v>
      </c>
      <c r="AU14" s="2">
        <v>700</v>
      </c>
      <c r="AV14" s="2">
        <v>800</v>
      </c>
      <c r="AW14" s="2">
        <v>900</v>
      </c>
    </row>
    <row r="15" spans="1:67" x14ac:dyDescent="0.2">
      <c r="B15" s="2" t="s">
        <v>72</v>
      </c>
      <c r="K15" s="2">
        <v>268</v>
      </c>
      <c r="L15" s="2">
        <v>220</v>
      </c>
      <c r="O15" s="2">
        <v>165</v>
      </c>
      <c r="P15" s="2">
        <v>848</v>
      </c>
      <c r="Q15" s="2">
        <v>735</v>
      </c>
      <c r="T15" s="2">
        <v>361</v>
      </c>
      <c r="U15" s="2">
        <v>412</v>
      </c>
      <c r="AU15" s="2">
        <v>700</v>
      </c>
      <c r="AV15" s="2">
        <v>800</v>
      </c>
      <c r="AW15" s="2">
        <v>800</v>
      </c>
    </row>
    <row r="16" spans="1:67" x14ac:dyDescent="0.2">
      <c r="B16" s="2" t="s">
        <v>73</v>
      </c>
      <c r="K16" s="2">
        <v>394</v>
      </c>
      <c r="L16" s="2">
        <v>460</v>
      </c>
      <c r="O16" s="2">
        <v>458</v>
      </c>
      <c r="P16" s="2">
        <v>454</v>
      </c>
      <c r="Q16" s="2">
        <v>530</v>
      </c>
      <c r="T16" s="2">
        <v>440</v>
      </c>
      <c r="U16" s="2">
        <v>485</v>
      </c>
      <c r="AU16" s="4">
        <v>1000</v>
      </c>
      <c r="AV16" s="4">
        <v>1400</v>
      </c>
      <c r="AW16" s="4">
        <v>1900</v>
      </c>
    </row>
    <row r="17" spans="2:68" x14ac:dyDescent="0.2">
      <c r="B17" s="2" t="s">
        <v>74</v>
      </c>
      <c r="K17" s="4">
        <v>2139</v>
      </c>
      <c r="L17" s="2">
        <v>2211</v>
      </c>
      <c r="O17" s="4">
        <v>1489</v>
      </c>
      <c r="P17" s="4">
        <v>1364</v>
      </c>
      <c r="Q17" s="4">
        <v>1450</v>
      </c>
      <c r="T17" s="4">
        <v>1344</v>
      </c>
      <c r="U17" s="4">
        <v>1511</v>
      </c>
      <c r="AU17" s="4">
        <v>7100</v>
      </c>
      <c r="AV17" s="4">
        <v>8000</v>
      </c>
      <c r="AW17" s="4">
        <v>8900</v>
      </c>
    </row>
    <row r="18" spans="2:68" x14ac:dyDescent="0.2">
      <c r="B18" s="2" t="s">
        <v>75</v>
      </c>
      <c r="K18" s="4">
        <v>6074</v>
      </c>
      <c r="L18" s="4">
        <v>4695</v>
      </c>
      <c r="O18" s="4">
        <v>3718</v>
      </c>
      <c r="P18" s="4">
        <v>3155</v>
      </c>
      <c r="Q18" s="4">
        <v>3076</v>
      </c>
      <c r="T18" s="4">
        <v>3045</v>
      </c>
      <c r="U18" s="4">
        <v>3349</v>
      </c>
      <c r="AU18" s="4">
        <v>23400</v>
      </c>
      <c r="AV18" s="4">
        <v>22700</v>
      </c>
      <c r="AW18" s="4">
        <v>19200</v>
      </c>
    </row>
    <row r="19" spans="2:68" x14ac:dyDescent="0.2">
      <c r="B19" s="2" t="s">
        <v>76</v>
      </c>
      <c r="K19" s="2">
        <v>722</v>
      </c>
      <c r="L19" s="2">
        <v>638</v>
      </c>
      <c r="O19" s="2">
        <v>481</v>
      </c>
      <c r="P19" s="2">
        <v>514</v>
      </c>
      <c r="Q19" s="2">
        <v>611</v>
      </c>
      <c r="T19" s="2">
        <v>403</v>
      </c>
      <c r="U19" s="2">
        <v>372</v>
      </c>
      <c r="AU19" s="4">
        <v>4500</v>
      </c>
      <c r="AV19" s="4">
        <v>3200</v>
      </c>
      <c r="AW19" s="4">
        <v>2300</v>
      </c>
    </row>
    <row r="20" spans="2:68" x14ac:dyDescent="0.2">
      <c r="B20" s="2" t="s">
        <v>77</v>
      </c>
      <c r="K20" s="4">
        <v>2641</v>
      </c>
      <c r="L20" s="4">
        <v>2289</v>
      </c>
      <c r="O20" s="4">
        <v>1879</v>
      </c>
      <c r="P20" s="4">
        <v>2370</v>
      </c>
      <c r="Q20" s="4">
        <v>2753</v>
      </c>
      <c r="T20" s="4">
        <v>2527</v>
      </c>
      <c r="U20" s="4">
        <v>2070</v>
      </c>
      <c r="AU20" s="4">
        <v>11200</v>
      </c>
      <c r="AV20" s="4">
        <v>12400</v>
      </c>
      <c r="AW20" s="4">
        <v>10700</v>
      </c>
    </row>
    <row r="21" spans="2:68" x14ac:dyDescent="0.2">
      <c r="B21" s="2" t="s">
        <v>78</v>
      </c>
      <c r="K21" s="4">
        <v>5959</v>
      </c>
      <c r="L21" s="4">
        <v>4751</v>
      </c>
      <c r="O21" s="4">
        <v>3407</v>
      </c>
      <c r="P21" s="4">
        <v>3896</v>
      </c>
      <c r="Q21" s="4">
        <v>4503</v>
      </c>
      <c r="T21" s="4">
        <v>4480</v>
      </c>
      <c r="U21" s="4">
        <v>4888</v>
      </c>
      <c r="AU21" s="4">
        <v>24900</v>
      </c>
      <c r="AV21" s="4">
        <v>25400</v>
      </c>
      <c r="AW21" s="4">
        <v>18800</v>
      </c>
    </row>
    <row r="22" spans="2:68" x14ac:dyDescent="0.2">
      <c r="B22" s="1" t="s">
        <v>79</v>
      </c>
      <c r="C22" s="13"/>
      <c r="D22" s="13"/>
      <c r="E22" s="13"/>
      <c r="F22" s="13"/>
      <c r="G22" s="13">
        <v>19673</v>
      </c>
      <c r="H22" s="13">
        <v>19631</v>
      </c>
      <c r="I22" s="13">
        <v>19192</v>
      </c>
      <c r="J22" s="13">
        <v>20528</v>
      </c>
      <c r="K22" s="13">
        <v>18353</v>
      </c>
      <c r="L22" s="13">
        <v>15321</v>
      </c>
      <c r="M22" s="13">
        <v>15338</v>
      </c>
      <c r="N22" s="13">
        <v>14042</v>
      </c>
      <c r="O22" s="13">
        <v>11715</v>
      </c>
      <c r="P22" s="13">
        <v>12949</v>
      </c>
      <c r="Q22" s="13">
        <v>14158</v>
      </c>
      <c r="R22" s="13">
        <v>15406</v>
      </c>
      <c r="S22" s="13">
        <v>12724</v>
      </c>
      <c r="T22" s="13">
        <v>12833</v>
      </c>
      <c r="U22" s="13">
        <v>13284</v>
      </c>
      <c r="V22" s="13">
        <v>13865</v>
      </c>
      <c r="W22" s="13">
        <v>12667</v>
      </c>
      <c r="X22" s="13">
        <v>11550</v>
      </c>
      <c r="Y22" s="13">
        <v>11956</v>
      </c>
      <c r="Z22" s="13">
        <v>12479</v>
      </c>
      <c r="AA22" s="13">
        <v>13577</v>
      </c>
      <c r="AB22" s="8"/>
      <c r="AC22" s="8"/>
      <c r="AD22" s="8"/>
      <c r="AE22" s="1"/>
      <c r="AF22" s="13">
        <v>38826</v>
      </c>
      <c r="AG22" s="13">
        <v>35382</v>
      </c>
      <c r="AH22" s="13">
        <v>38334</v>
      </c>
      <c r="AI22" s="13">
        <v>37586</v>
      </c>
      <c r="AJ22" s="13">
        <v>35127</v>
      </c>
      <c r="AK22" s="13">
        <v>43623</v>
      </c>
      <c r="AL22" s="13">
        <v>53999</v>
      </c>
      <c r="AM22" s="13">
        <v>53341</v>
      </c>
      <c r="AN22" s="13">
        <v>52708</v>
      </c>
      <c r="AO22" s="13">
        <v>55870</v>
      </c>
      <c r="AP22" s="13">
        <v>55355</v>
      </c>
      <c r="AQ22" s="13">
        <v>59387</v>
      </c>
      <c r="AR22" s="13">
        <v>62761</v>
      </c>
      <c r="AS22" s="13">
        <v>70848</v>
      </c>
      <c r="AT22" s="13">
        <v>71965</v>
      </c>
      <c r="AU22" s="13">
        <v>77867</v>
      </c>
      <c r="AV22" s="13">
        <v>79024</v>
      </c>
      <c r="AW22" s="13">
        <v>63054</v>
      </c>
      <c r="AX22" s="13">
        <v>54228</v>
      </c>
      <c r="AY22" s="13">
        <v>52706</v>
      </c>
      <c r="AZ22" s="13">
        <v>58678</v>
      </c>
      <c r="BA22" s="13">
        <v>62797</v>
      </c>
      <c r="BB22" s="13">
        <v>65936</v>
      </c>
      <c r="BC22" s="13">
        <v>70539</v>
      </c>
      <c r="BD22" s="13">
        <v>74066</v>
      </c>
      <c r="BE22" s="13">
        <v>77770</v>
      </c>
      <c r="BF22" s="13">
        <v>83170</v>
      </c>
      <c r="BG22" s="13">
        <v>88917</v>
      </c>
      <c r="BH22" s="13">
        <v>93363</v>
      </c>
      <c r="BI22" s="13">
        <v>98031</v>
      </c>
      <c r="BJ22" s="13">
        <v>102932</v>
      </c>
    </row>
    <row r="23" spans="2:68" x14ac:dyDescent="0.2">
      <c r="B23" s="2" t="s">
        <v>80</v>
      </c>
      <c r="C23" s="3"/>
      <c r="D23" s="3"/>
      <c r="E23" s="3"/>
      <c r="F23" s="3"/>
      <c r="G23" s="3">
        <v>8819</v>
      </c>
      <c r="H23" s="3">
        <v>8425</v>
      </c>
      <c r="I23" s="3">
        <v>8446</v>
      </c>
      <c r="J23" s="3">
        <v>9519</v>
      </c>
      <c r="K23" s="3">
        <v>9109</v>
      </c>
      <c r="L23" s="3">
        <v>9734</v>
      </c>
      <c r="M23" s="3">
        <v>8803</v>
      </c>
      <c r="N23" s="3">
        <v>8542</v>
      </c>
      <c r="O23" s="3">
        <v>7707</v>
      </c>
      <c r="P23" s="3">
        <v>8311</v>
      </c>
      <c r="Q23" s="3">
        <v>8140</v>
      </c>
      <c r="R23" s="3">
        <v>8359</v>
      </c>
      <c r="S23" s="3">
        <v>7507</v>
      </c>
      <c r="T23" s="3">
        <v>8286</v>
      </c>
      <c r="U23" s="3">
        <v>11287</v>
      </c>
      <c r="V23" s="3">
        <v>8319</v>
      </c>
      <c r="W23" s="3">
        <v>7995</v>
      </c>
      <c r="X23" s="3">
        <v>6930</v>
      </c>
      <c r="Y23" s="3">
        <v>7173</v>
      </c>
      <c r="Z23" s="3">
        <v>7487</v>
      </c>
      <c r="AA23" s="3">
        <v>8230</v>
      </c>
      <c r="AB23" s="4"/>
      <c r="AC23" s="4"/>
      <c r="AD23" s="4"/>
      <c r="AF23" s="3">
        <v>15777</v>
      </c>
      <c r="AG23" s="3">
        <v>17164</v>
      </c>
      <c r="AH23" s="3">
        <v>18430</v>
      </c>
      <c r="AI23" s="3">
        <v>16742</v>
      </c>
      <c r="AJ23" s="3">
        <v>15566</v>
      </c>
      <c r="AK23" s="3">
        <v>15132</v>
      </c>
      <c r="AL23" s="3">
        <v>20242</v>
      </c>
      <c r="AM23" s="3">
        <v>20190</v>
      </c>
      <c r="AN23" s="3">
        <v>21187</v>
      </c>
      <c r="AO23" s="3">
        <v>20261</v>
      </c>
      <c r="AP23" s="3">
        <v>20676</v>
      </c>
      <c r="AQ23" s="3">
        <v>23196</v>
      </c>
      <c r="AR23" s="3">
        <v>23692</v>
      </c>
      <c r="AS23" s="3">
        <v>27111</v>
      </c>
      <c r="AT23" s="3">
        <v>29825</v>
      </c>
      <c r="AU23" s="3">
        <v>34255</v>
      </c>
      <c r="AV23" s="3">
        <v>35209</v>
      </c>
      <c r="AW23" s="3">
        <v>36188</v>
      </c>
      <c r="AX23" s="3">
        <v>32517</v>
      </c>
      <c r="AY23" s="3">
        <v>35399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pans="2:68" x14ac:dyDescent="0.2">
      <c r="B24" s="2" t="s">
        <v>81</v>
      </c>
      <c r="C24" s="3"/>
      <c r="D24" s="3"/>
      <c r="E24" s="3"/>
      <c r="F24" s="3"/>
      <c r="G24" s="3">
        <v>10854</v>
      </c>
      <c r="H24" s="3">
        <v>11206</v>
      </c>
      <c r="I24" s="3">
        <v>10746</v>
      </c>
      <c r="J24" s="3">
        <v>11009</v>
      </c>
      <c r="K24" s="3">
        <v>9244</v>
      </c>
      <c r="L24" s="3">
        <v>5587</v>
      </c>
      <c r="M24" s="3">
        <v>6535</v>
      </c>
      <c r="N24" s="3">
        <v>5500</v>
      </c>
      <c r="O24" s="3">
        <v>4008</v>
      </c>
      <c r="P24" s="3">
        <v>4638</v>
      </c>
      <c r="Q24" s="3">
        <v>6018</v>
      </c>
      <c r="R24" s="3">
        <v>7047</v>
      </c>
      <c r="S24" s="3">
        <v>5217</v>
      </c>
      <c r="T24" s="3">
        <v>4547</v>
      </c>
      <c r="U24" s="3">
        <v>1997</v>
      </c>
      <c r="V24" s="3">
        <v>5546</v>
      </c>
      <c r="W24" s="3">
        <f>+W22-W23</f>
        <v>4672</v>
      </c>
      <c r="X24" s="3">
        <v>4620</v>
      </c>
      <c r="Y24" s="3">
        <v>4782</v>
      </c>
      <c r="Z24" s="3">
        <v>4992</v>
      </c>
      <c r="AA24" s="3">
        <f>+AA22-AA23</f>
        <v>5347</v>
      </c>
      <c r="AB24" s="4"/>
      <c r="AC24" s="4"/>
      <c r="AD24" s="4"/>
      <c r="AF24" s="3">
        <v>23049</v>
      </c>
      <c r="AG24" s="3">
        <v>18218</v>
      </c>
      <c r="AH24" s="3">
        <v>19904</v>
      </c>
      <c r="AI24" s="3">
        <v>20844</v>
      </c>
      <c r="AJ24" s="3">
        <v>19561</v>
      </c>
      <c r="AK24" s="3">
        <v>28491</v>
      </c>
      <c r="AL24" s="3">
        <v>33757</v>
      </c>
      <c r="AM24" s="3">
        <v>33151</v>
      </c>
      <c r="AN24" s="3">
        <v>31521</v>
      </c>
      <c r="AO24" s="3">
        <v>35609</v>
      </c>
      <c r="AP24" s="3">
        <v>34679</v>
      </c>
      <c r="AQ24" s="3">
        <v>36191</v>
      </c>
      <c r="AR24" s="3">
        <v>39069</v>
      </c>
      <c r="AS24" s="3">
        <v>43737</v>
      </c>
      <c r="AT24" s="3">
        <v>42140</v>
      </c>
      <c r="AU24" s="3">
        <v>43612</v>
      </c>
      <c r="AV24" s="3">
        <v>43815</v>
      </c>
      <c r="AW24" s="3">
        <v>26866</v>
      </c>
      <c r="AX24" s="3">
        <v>21711</v>
      </c>
      <c r="AY24" s="3">
        <v>17307</v>
      </c>
      <c r="AZ24" s="3">
        <v>28165</v>
      </c>
      <c r="BA24" s="3">
        <v>30142</v>
      </c>
      <c r="BB24" s="3">
        <v>32309</v>
      </c>
      <c r="BC24" s="3">
        <v>34564</v>
      </c>
      <c r="BD24" s="3">
        <v>37033</v>
      </c>
      <c r="BE24" s="3">
        <v>38885</v>
      </c>
      <c r="BF24" s="3">
        <v>42417</v>
      </c>
      <c r="BG24" s="3">
        <v>45348</v>
      </c>
      <c r="BH24" s="3">
        <v>48549</v>
      </c>
      <c r="BI24" s="3">
        <v>50976</v>
      </c>
      <c r="BJ24" s="3">
        <v>54554</v>
      </c>
    </row>
    <row r="25" spans="2:68" x14ac:dyDescent="0.2">
      <c r="B25" s="2" t="s">
        <v>82</v>
      </c>
      <c r="C25" s="3"/>
      <c r="D25" s="3"/>
      <c r="E25" s="3"/>
      <c r="F25" s="3"/>
      <c r="G25" s="3">
        <v>3623</v>
      </c>
      <c r="H25" s="3">
        <v>3715</v>
      </c>
      <c r="I25" s="3">
        <v>3803</v>
      </c>
      <c r="J25" s="3">
        <v>4049</v>
      </c>
      <c r="K25" s="3">
        <v>4362</v>
      </c>
      <c r="L25" s="3">
        <v>4400</v>
      </c>
      <c r="M25" s="3">
        <v>4302</v>
      </c>
      <c r="N25" s="3">
        <v>4464</v>
      </c>
      <c r="O25" s="3">
        <v>4109</v>
      </c>
      <c r="P25" s="3">
        <v>4080</v>
      </c>
      <c r="Q25" s="3">
        <v>3870</v>
      </c>
      <c r="R25" s="3">
        <v>3987</v>
      </c>
      <c r="S25" s="3">
        <v>4382</v>
      </c>
      <c r="T25" s="3">
        <v>4239</v>
      </c>
      <c r="U25" s="3">
        <v>4049</v>
      </c>
      <c r="V25" s="3">
        <v>3750</v>
      </c>
      <c r="W25" s="3">
        <v>3640</v>
      </c>
      <c r="X25" s="3"/>
      <c r="Y25" s="3"/>
      <c r="Z25" s="3"/>
      <c r="AA25" s="3">
        <v>3375</v>
      </c>
      <c r="AF25" s="3">
        <v>5145</v>
      </c>
      <c r="AG25" s="3">
        <v>5873</v>
      </c>
      <c r="AH25" s="3">
        <v>5755</v>
      </c>
      <c r="AI25" s="3">
        <v>5722</v>
      </c>
      <c r="AJ25" s="3">
        <v>5653</v>
      </c>
      <c r="AK25" s="3">
        <v>6576</v>
      </c>
      <c r="AL25" s="3">
        <v>8350</v>
      </c>
      <c r="AM25" s="3">
        <v>10148</v>
      </c>
      <c r="AN25" s="3">
        <v>10611</v>
      </c>
      <c r="AO25" s="3">
        <v>11537</v>
      </c>
      <c r="AP25" s="3">
        <v>12128</v>
      </c>
      <c r="AQ25" s="3">
        <v>12740</v>
      </c>
      <c r="AR25" s="3">
        <v>13098</v>
      </c>
      <c r="AS25" s="3">
        <v>13543</v>
      </c>
      <c r="AT25" s="3">
        <v>13362</v>
      </c>
      <c r="AU25" s="3">
        <v>13556</v>
      </c>
      <c r="AV25" s="3">
        <v>15190</v>
      </c>
      <c r="AW25" s="3">
        <v>17528</v>
      </c>
      <c r="AX25" s="3">
        <v>16046</v>
      </c>
      <c r="AY25" s="3">
        <v>16420</v>
      </c>
      <c r="AZ25" s="3">
        <v>16913</v>
      </c>
      <c r="BA25" s="3">
        <v>17420</v>
      </c>
      <c r="BB25" s="3">
        <v>17943</v>
      </c>
      <c r="BC25" s="3">
        <v>18481</v>
      </c>
      <c r="BD25" s="3">
        <v>19035</v>
      </c>
      <c r="BE25" s="3">
        <v>19606</v>
      </c>
      <c r="BF25" s="3">
        <v>20195</v>
      </c>
      <c r="BG25" s="3">
        <v>20800</v>
      </c>
      <c r="BH25" s="3">
        <v>21424</v>
      </c>
      <c r="BI25" s="3">
        <v>22067</v>
      </c>
      <c r="BJ25" s="3">
        <v>22729</v>
      </c>
    </row>
    <row r="26" spans="2:68" x14ac:dyDescent="0.2">
      <c r="B26" s="2" t="s">
        <v>83</v>
      </c>
      <c r="C26" s="3"/>
      <c r="D26" s="3"/>
      <c r="E26" s="3"/>
      <c r="F26" s="3"/>
      <c r="G26" s="3">
        <v>1328</v>
      </c>
      <c r="H26" s="3">
        <v>1599</v>
      </c>
      <c r="I26" s="3">
        <v>1674</v>
      </c>
      <c r="J26" s="3">
        <v>1942</v>
      </c>
      <c r="K26" s="3">
        <v>1752</v>
      </c>
      <c r="L26" s="3">
        <v>1800</v>
      </c>
      <c r="M26" s="3">
        <v>1744</v>
      </c>
      <c r="N26" s="3">
        <v>1706</v>
      </c>
      <c r="O26" s="3">
        <v>1303</v>
      </c>
      <c r="P26" s="3">
        <v>1374</v>
      </c>
      <c r="Q26" s="3">
        <v>1340</v>
      </c>
      <c r="R26" s="3">
        <v>1617</v>
      </c>
      <c r="S26" s="3">
        <v>1556</v>
      </c>
      <c r="T26" s="3">
        <v>1329</v>
      </c>
      <c r="U26" s="3">
        <v>1383</v>
      </c>
      <c r="V26" s="3">
        <v>1000</v>
      </c>
      <c r="W26" s="3">
        <f>1177+156</f>
        <v>1333</v>
      </c>
      <c r="X26" s="3"/>
      <c r="Y26" s="3"/>
      <c r="Z26" s="3"/>
      <c r="AA26" s="3">
        <f>1038+4070</f>
        <v>5108</v>
      </c>
      <c r="AF26" s="3">
        <v>5688</v>
      </c>
      <c r="AG26" s="3">
        <v>6096</v>
      </c>
      <c r="AH26" s="3">
        <v>5401</v>
      </c>
      <c r="AI26" s="3">
        <v>5458</v>
      </c>
      <c r="AJ26" s="3">
        <v>7931</v>
      </c>
      <c r="AK26" s="3">
        <v>6309</v>
      </c>
      <c r="AL26" s="3">
        <v>7670</v>
      </c>
      <c r="AM26" s="3">
        <v>8057</v>
      </c>
      <c r="AN26" s="3">
        <v>8088</v>
      </c>
      <c r="AO26" s="3">
        <v>8136</v>
      </c>
      <c r="AP26" s="3">
        <v>7930</v>
      </c>
      <c r="AQ26" s="3">
        <v>8397</v>
      </c>
      <c r="AR26" s="3">
        <v>7474</v>
      </c>
      <c r="AS26" s="3">
        <v>6950</v>
      </c>
      <c r="AT26" s="3">
        <v>6350</v>
      </c>
      <c r="AU26" s="3">
        <v>6180</v>
      </c>
      <c r="AV26" s="3">
        <v>6543</v>
      </c>
      <c r="AW26" s="3">
        <v>7002</v>
      </c>
      <c r="AX26" s="3">
        <v>5634</v>
      </c>
      <c r="AY26" s="3">
        <v>5268</v>
      </c>
      <c r="AZ26" s="3">
        <v>5426</v>
      </c>
      <c r="BA26" s="3">
        <v>5589</v>
      </c>
      <c r="BB26" s="3">
        <v>5756</v>
      </c>
      <c r="BC26" s="3">
        <v>5929</v>
      </c>
      <c r="BD26" s="3">
        <v>6107</v>
      </c>
      <c r="BE26" s="3">
        <v>6290</v>
      </c>
      <c r="BF26" s="3">
        <v>6479</v>
      </c>
      <c r="BG26" s="3">
        <v>6673</v>
      </c>
      <c r="BH26" s="3">
        <v>6874</v>
      </c>
      <c r="BI26" s="3">
        <v>7080</v>
      </c>
      <c r="BJ26" s="3">
        <v>7292</v>
      </c>
    </row>
    <row r="27" spans="2:68" x14ac:dyDescent="0.2">
      <c r="B27" s="2" t="s">
        <v>84</v>
      </c>
      <c r="C27" s="3"/>
      <c r="D27" s="3"/>
      <c r="E27" s="3"/>
      <c r="F27" s="3"/>
      <c r="G27" s="3">
        <v>4951</v>
      </c>
      <c r="H27" s="3">
        <v>5314</v>
      </c>
      <c r="I27" s="3">
        <v>5477</v>
      </c>
      <c r="J27" s="3">
        <v>5991</v>
      </c>
      <c r="K27" s="3">
        <v>6114</v>
      </c>
      <c r="L27" s="3">
        <v>6200</v>
      </c>
      <c r="M27" s="3">
        <v>6046</v>
      </c>
      <c r="N27" s="3">
        <v>6170</v>
      </c>
      <c r="O27" s="3">
        <v>5412</v>
      </c>
      <c r="P27" s="3">
        <v>5454</v>
      </c>
      <c r="Q27" s="3">
        <v>5210</v>
      </c>
      <c r="R27" s="3">
        <v>5604</v>
      </c>
      <c r="S27" s="3">
        <v>5938</v>
      </c>
      <c r="T27" s="3">
        <v>5568</v>
      </c>
      <c r="U27" s="3">
        <v>5432</v>
      </c>
      <c r="V27" s="3">
        <v>4750</v>
      </c>
      <c r="W27" s="3">
        <f>+W25+W26</f>
        <v>4973</v>
      </c>
      <c r="X27" s="3">
        <v>0</v>
      </c>
      <c r="Y27" s="3">
        <v>0</v>
      </c>
      <c r="Z27" s="3">
        <v>0</v>
      </c>
      <c r="AA27" s="3">
        <f>+AA25+AA26</f>
        <v>8483</v>
      </c>
      <c r="AF27" s="3">
        <v>10833</v>
      </c>
      <c r="AG27" s="3">
        <v>11969</v>
      </c>
      <c r="AH27" s="3">
        <v>11156</v>
      </c>
      <c r="AI27" s="3">
        <v>11180</v>
      </c>
      <c r="AJ27" s="3">
        <v>13584</v>
      </c>
      <c r="AK27" s="3">
        <v>12885</v>
      </c>
      <c r="AL27" s="3">
        <v>16020</v>
      </c>
      <c r="AM27" s="3">
        <v>18205</v>
      </c>
      <c r="AN27" s="3">
        <v>18699</v>
      </c>
      <c r="AO27" s="3">
        <v>19673</v>
      </c>
      <c r="AP27" s="3">
        <v>20058</v>
      </c>
      <c r="AQ27" s="3">
        <v>21137</v>
      </c>
      <c r="AR27" s="3">
        <v>20572</v>
      </c>
      <c r="AS27" s="3">
        <v>20493</v>
      </c>
      <c r="AT27" s="3">
        <v>19712</v>
      </c>
      <c r="AU27" s="3">
        <v>19736</v>
      </c>
      <c r="AV27" s="3">
        <v>21733</v>
      </c>
      <c r="AW27" s="3">
        <v>24530</v>
      </c>
      <c r="AX27" s="3">
        <v>21680</v>
      </c>
      <c r="AY27" s="3">
        <v>21688</v>
      </c>
      <c r="AZ27" s="3">
        <v>22339</v>
      </c>
      <c r="BA27" s="3">
        <v>23009</v>
      </c>
      <c r="BB27" s="3">
        <v>23699</v>
      </c>
      <c r="BC27" s="3">
        <v>24410</v>
      </c>
      <c r="BD27" s="3">
        <v>25142</v>
      </c>
      <c r="BE27" s="3">
        <v>25897</v>
      </c>
      <c r="BF27" s="3">
        <v>26674</v>
      </c>
      <c r="BG27" s="3">
        <v>27474</v>
      </c>
      <c r="BH27" s="3">
        <v>28298</v>
      </c>
      <c r="BI27" s="3">
        <v>29147</v>
      </c>
      <c r="BJ27" s="3">
        <v>30021</v>
      </c>
    </row>
    <row r="28" spans="2:68" x14ac:dyDescent="0.2">
      <c r="B28" s="2" t="s">
        <v>85</v>
      </c>
      <c r="C28" s="14"/>
      <c r="D28" s="14"/>
      <c r="E28" s="14"/>
      <c r="F28" s="14"/>
      <c r="G28" s="14">
        <v>5903</v>
      </c>
      <c r="H28" s="14">
        <v>5892</v>
      </c>
      <c r="I28" s="14">
        <v>5269</v>
      </c>
      <c r="J28" s="14">
        <v>5018</v>
      </c>
      <c r="K28" s="14">
        <v>3130</v>
      </c>
      <c r="L28" s="14">
        <v>-613</v>
      </c>
      <c r="M28" s="14">
        <v>489</v>
      </c>
      <c r="N28" s="14">
        <v>-670</v>
      </c>
      <c r="O28" s="14">
        <v>-1404</v>
      </c>
      <c r="P28" s="14">
        <v>-816</v>
      </c>
      <c r="Q28" s="14">
        <v>808</v>
      </c>
      <c r="R28" s="14">
        <v>1443</v>
      </c>
      <c r="S28" s="14">
        <v>-721</v>
      </c>
      <c r="T28" s="14">
        <v>-1021</v>
      </c>
      <c r="U28" s="14">
        <v>-3435</v>
      </c>
      <c r="V28" s="14">
        <v>796</v>
      </c>
      <c r="W28" s="14">
        <f>+W24-W27</f>
        <v>-301</v>
      </c>
      <c r="X28" s="14">
        <v>4620</v>
      </c>
      <c r="Y28" s="14">
        <v>4782</v>
      </c>
      <c r="Z28" s="14">
        <v>4992</v>
      </c>
      <c r="AA28" s="14">
        <f>+AA24-AA27</f>
        <v>-3136</v>
      </c>
      <c r="AB28" s="4"/>
      <c r="AC28" s="4"/>
      <c r="AD28" s="4"/>
      <c r="AF28" s="14">
        <v>12216</v>
      </c>
      <c r="AG28" s="14">
        <v>6249</v>
      </c>
      <c r="AH28" s="14">
        <v>8748</v>
      </c>
      <c r="AI28" s="14">
        <v>9664</v>
      </c>
      <c r="AJ28" s="14">
        <v>5977</v>
      </c>
      <c r="AK28" s="14">
        <v>15606</v>
      </c>
      <c r="AL28" s="14">
        <v>17737</v>
      </c>
      <c r="AM28" s="14">
        <v>14946</v>
      </c>
      <c r="AN28" s="14">
        <v>12822</v>
      </c>
      <c r="AO28" s="14">
        <v>15936</v>
      </c>
      <c r="AP28" s="14">
        <v>14621</v>
      </c>
      <c r="AQ28" s="14">
        <v>15054</v>
      </c>
      <c r="AR28" s="14">
        <v>18497</v>
      </c>
      <c r="AS28" s="14">
        <v>23244</v>
      </c>
      <c r="AT28" s="14">
        <v>22428</v>
      </c>
      <c r="AU28" s="14">
        <v>23876</v>
      </c>
      <c r="AV28" s="14">
        <v>22082</v>
      </c>
      <c r="AW28" s="14">
        <v>2336</v>
      </c>
      <c r="AX28" s="14">
        <v>31</v>
      </c>
      <c r="AY28" s="14">
        <v>-4381</v>
      </c>
      <c r="AZ28" s="14">
        <v>5827</v>
      </c>
      <c r="BA28" s="14">
        <v>7134</v>
      </c>
      <c r="BB28" s="14">
        <v>8610</v>
      </c>
      <c r="BC28" s="14">
        <v>10154</v>
      </c>
      <c r="BD28" s="14">
        <v>11891</v>
      </c>
      <c r="BE28" s="14">
        <v>12988</v>
      </c>
      <c r="BF28" s="14">
        <v>15743</v>
      </c>
      <c r="BG28" s="14">
        <v>17874</v>
      </c>
      <c r="BH28" s="14">
        <v>20251</v>
      </c>
      <c r="BI28" s="14">
        <v>21829</v>
      </c>
      <c r="BJ28" s="14">
        <v>24533</v>
      </c>
    </row>
    <row r="29" spans="2:68" x14ac:dyDescent="0.2">
      <c r="B29" s="2" t="s">
        <v>86</v>
      </c>
      <c r="C29" s="3"/>
      <c r="D29" s="3"/>
      <c r="E29" s="3"/>
      <c r="F29" s="3"/>
      <c r="G29" s="3">
        <v>-156</v>
      </c>
      <c r="H29" s="3">
        <v>-96</v>
      </c>
      <c r="I29" s="3">
        <v>-76</v>
      </c>
      <c r="J29" s="3">
        <v>-154</v>
      </c>
      <c r="K29" s="3">
        <v>997</v>
      </c>
      <c r="L29" s="3">
        <v>-119</v>
      </c>
      <c r="M29" s="3">
        <v>138</v>
      </c>
      <c r="N29" s="3">
        <v>150</v>
      </c>
      <c r="O29" s="3">
        <v>141</v>
      </c>
      <c r="P29" s="3">
        <v>224</v>
      </c>
      <c r="Q29" s="3">
        <v>147</v>
      </c>
      <c r="R29" s="3">
        <v>117</v>
      </c>
      <c r="S29" s="3">
        <v>145</v>
      </c>
      <c r="T29" s="3">
        <v>80</v>
      </c>
      <c r="U29" s="3">
        <v>130</v>
      </c>
      <c r="V29" s="3"/>
      <c r="W29" s="3">
        <f>-112-173</f>
        <v>-285</v>
      </c>
      <c r="X29" s="3"/>
      <c r="Y29" s="3"/>
      <c r="Z29" s="3"/>
      <c r="AA29" s="3">
        <f>-72-738</f>
        <v>-810</v>
      </c>
      <c r="AF29" s="3">
        <v>-565</v>
      </c>
      <c r="AG29" s="3">
        <v>-1202</v>
      </c>
      <c r="AH29" s="3">
        <v>-793</v>
      </c>
      <c r="AI29" s="3">
        <v>-488</v>
      </c>
      <c r="AJ29" s="3">
        <v>-163</v>
      </c>
      <c r="AK29" s="3">
        <v>-109</v>
      </c>
      <c r="AL29" s="3">
        <v>-192</v>
      </c>
      <c r="AM29" s="3">
        <v>-94</v>
      </c>
      <c r="AN29" s="3">
        <v>-151</v>
      </c>
      <c r="AO29" s="3">
        <v>43</v>
      </c>
      <c r="AP29" s="3">
        <v>-105</v>
      </c>
      <c r="AQ29" s="3">
        <v>-444</v>
      </c>
      <c r="AR29" s="3">
        <v>-235</v>
      </c>
      <c r="AS29" s="3">
        <v>126</v>
      </c>
      <c r="AT29" s="3">
        <v>484</v>
      </c>
      <c r="AU29" s="3">
        <v>-504</v>
      </c>
      <c r="AV29" s="3">
        <v>-482</v>
      </c>
      <c r="AW29" s="3">
        <v>1166</v>
      </c>
      <c r="AX29" s="3">
        <v>629</v>
      </c>
      <c r="AY29" s="3">
        <v>355</v>
      </c>
      <c r="AZ29" s="3"/>
      <c r="BA29" s="3"/>
      <c r="BB29" s="3"/>
      <c r="BC29" s="3">
        <v>177</v>
      </c>
      <c r="BD29" s="3">
        <v>262</v>
      </c>
      <c r="BE29" s="3">
        <v>361</v>
      </c>
      <c r="BF29" s="3">
        <v>471</v>
      </c>
      <c r="BG29" s="3">
        <v>604</v>
      </c>
      <c r="BH29" s="3">
        <v>755</v>
      </c>
      <c r="BI29" s="3">
        <v>927</v>
      </c>
      <c r="BJ29" s="3">
        <v>1114</v>
      </c>
    </row>
    <row r="30" spans="2:68" x14ac:dyDescent="0.2">
      <c r="B30" s="2" t="s">
        <v>87</v>
      </c>
      <c r="C30" s="3"/>
      <c r="D30" s="3"/>
      <c r="E30" s="3"/>
      <c r="F30" s="3"/>
      <c r="G30" s="3">
        <v>5747</v>
      </c>
      <c r="H30" s="3">
        <v>5796</v>
      </c>
      <c r="I30" s="3">
        <v>5193</v>
      </c>
      <c r="J30" s="3">
        <v>4864</v>
      </c>
      <c r="K30" s="3">
        <v>4127</v>
      </c>
      <c r="L30" s="3">
        <v>-732</v>
      </c>
      <c r="M30" s="3">
        <v>627</v>
      </c>
      <c r="N30" s="3">
        <v>-520</v>
      </c>
      <c r="O30" s="3">
        <v>-1263</v>
      </c>
      <c r="P30" s="3">
        <v>-592</v>
      </c>
      <c r="Q30" s="3">
        <v>955</v>
      </c>
      <c r="R30" s="3">
        <v>1560</v>
      </c>
      <c r="S30" s="3">
        <v>-576</v>
      </c>
      <c r="T30" s="3">
        <v>-941</v>
      </c>
      <c r="U30" s="3">
        <v>-3305</v>
      </c>
      <c r="V30" s="3">
        <v>796</v>
      </c>
      <c r="W30" s="3">
        <f>+W28+W29</f>
        <v>-586</v>
      </c>
      <c r="X30" s="3">
        <v>4620</v>
      </c>
      <c r="Y30" s="3">
        <v>4782</v>
      </c>
      <c r="Z30" s="3">
        <v>4992</v>
      </c>
      <c r="AA30" s="3">
        <f>+AA28+AA29</f>
        <v>-3946</v>
      </c>
      <c r="AB30" s="4"/>
      <c r="AC30" s="4"/>
      <c r="AD30" s="4"/>
      <c r="AF30" s="3">
        <v>11651</v>
      </c>
      <c r="AG30" s="3">
        <v>5047</v>
      </c>
      <c r="AH30" s="3">
        <v>7955</v>
      </c>
      <c r="AI30" s="3">
        <v>9176</v>
      </c>
      <c r="AJ30" s="3">
        <v>5814</v>
      </c>
      <c r="AK30" s="3">
        <v>15497</v>
      </c>
      <c r="AL30" s="3">
        <v>17545</v>
      </c>
      <c r="AM30" s="3">
        <v>14852</v>
      </c>
      <c r="AN30" s="3">
        <v>12671</v>
      </c>
      <c r="AO30" s="3">
        <v>15979</v>
      </c>
      <c r="AP30" s="3">
        <v>14516</v>
      </c>
      <c r="AQ30" s="3">
        <v>14610</v>
      </c>
      <c r="AR30" s="3">
        <v>18262</v>
      </c>
      <c r="AS30" s="3">
        <v>23370</v>
      </c>
      <c r="AT30" s="3">
        <v>22912</v>
      </c>
      <c r="AU30" s="3">
        <v>23372</v>
      </c>
      <c r="AV30" s="3">
        <v>21600</v>
      </c>
      <c r="AW30" s="3">
        <v>3502</v>
      </c>
      <c r="AX30" s="3">
        <v>660</v>
      </c>
      <c r="AY30" s="3">
        <v>-4026</v>
      </c>
      <c r="AZ30" s="3">
        <v>5827</v>
      </c>
      <c r="BA30" s="3">
        <v>7134</v>
      </c>
      <c r="BB30" s="3">
        <v>8610</v>
      </c>
      <c r="BC30" s="3">
        <v>10331</v>
      </c>
      <c r="BD30" s="3">
        <v>12152</v>
      </c>
      <c r="BE30" s="3">
        <v>13350</v>
      </c>
      <c r="BF30" s="3">
        <v>16214</v>
      </c>
      <c r="BG30" s="3">
        <v>18478</v>
      </c>
      <c r="BH30" s="3">
        <v>21006</v>
      </c>
      <c r="BI30" s="3">
        <v>22757</v>
      </c>
      <c r="BJ30" s="3">
        <v>25647</v>
      </c>
    </row>
    <row r="31" spans="2:68" x14ac:dyDescent="0.2">
      <c r="B31" s="2" t="s">
        <v>88</v>
      </c>
      <c r="C31" s="14"/>
      <c r="D31" s="14"/>
      <c r="E31" s="14"/>
      <c r="F31" s="14"/>
      <c r="G31" s="14">
        <v>545</v>
      </c>
      <c r="H31" s="14">
        <v>684</v>
      </c>
      <c r="I31" s="14">
        <v>35</v>
      </c>
      <c r="J31" s="14">
        <v>571</v>
      </c>
      <c r="K31" s="14">
        <v>1548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128</v>
      </c>
      <c r="S31" s="14">
        <v>0</v>
      </c>
      <c r="T31" s="14">
        <v>0</v>
      </c>
      <c r="U31" s="14">
        <v>0</v>
      </c>
      <c r="V31" s="14"/>
      <c r="W31" s="14">
        <f>301-66</f>
        <v>235</v>
      </c>
      <c r="X31" s="14"/>
      <c r="Y31" s="14"/>
      <c r="Z31" s="14"/>
      <c r="AA31" s="14">
        <f>335-553</f>
        <v>-218</v>
      </c>
      <c r="AF31" s="14">
        <v>3946</v>
      </c>
      <c r="AG31" s="14">
        <v>2024</v>
      </c>
      <c r="AH31" s="14">
        <v>2190</v>
      </c>
      <c r="AI31" s="14">
        <v>2394</v>
      </c>
      <c r="AJ31" s="14">
        <v>1335</v>
      </c>
      <c r="AK31" s="14">
        <v>4581</v>
      </c>
      <c r="AL31" s="14">
        <v>4839</v>
      </c>
      <c r="AM31" s="14">
        <v>3868</v>
      </c>
      <c r="AN31" s="14">
        <v>2991</v>
      </c>
      <c r="AO31" s="14">
        <v>4097</v>
      </c>
      <c r="AP31" s="14">
        <v>2792</v>
      </c>
      <c r="AQ31" s="14">
        <v>2620</v>
      </c>
      <c r="AR31" s="14">
        <v>0</v>
      </c>
      <c r="AS31" s="14">
        <v>2264</v>
      </c>
      <c r="AT31" s="14">
        <v>3010</v>
      </c>
      <c r="AU31" s="14">
        <v>4179</v>
      </c>
      <c r="AV31" s="14">
        <v>1835</v>
      </c>
      <c r="AW31" s="14">
        <v>-249</v>
      </c>
      <c r="AX31" s="14">
        <v>128</v>
      </c>
      <c r="AY31" s="14">
        <v>0</v>
      </c>
      <c r="AZ31" s="14">
        <v>1049</v>
      </c>
      <c r="BA31" s="14">
        <v>1284</v>
      </c>
      <c r="BB31" s="14">
        <v>1550</v>
      </c>
      <c r="BC31" s="14">
        <v>1860</v>
      </c>
      <c r="BD31" s="14">
        <v>2187</v>
      </c>
      <c r="BE31" s="14">
        <v>2403</v>
      </c>
      <c r="BF31" s="14">
        <v>2919</v>
      </c>
      <c r="BG31" s="14">
        <v>3326</v>
      </c>
      <c r="BH31" s="14">
        <v>3781</v>
      </c>
      <c r="BI31" s="14">
        <v>4096</v>
      </c>
      <c r="BJ31" s="14">
        <v>4616</v>
      </c>
    </row>
    <row r="32" spans="2:68" x14ac:dyDescent="0.2">
      <c r="B32" s="2" t="s">
        <v>89</v>
      </c>
      <c r="C32" s="14"/>
      <c r="D32" s="14"/>
      <c r="E32" s="14"/>
      <c r="F32" s="14"/>
      <c r="G32" s="14">
        <v>5202</v>
      </c>
      <c r="H32" s="14">
        <v>5112</v>
      </c>
      <c r="I32" s="14">
        <v>5158</v>
      </c>
      <c r="J32" s="14">
        <v>4293</v>
      </c>
      <c r="K32" s="14">
        <v>2579</v>
      </c>
      <c r="L32" s="14">
        <v>-732</v>
      </c>
      <c r="M32" s="14">
        <v>627</v>
      </c>
      <c r="N32" s="14">
        <v>-520</v>
      </c>
      <c r="O32" s="14">
        <v>-1263</v>
      </c>
      <c r="P32" s="14">
        <v>-592</v>
      </c>
      <c r="Q32" s="14">
        <v>955</v>
      </c>
      <c r="R32" s="14">
        <v>1432</v>
      </c>
      <c r="S32" s="14">
        <v>-576</v>
      </c>
      <c r="T32" s="14">
        <v>-941</v>
      </c>
      <c r="U32" s="14">
        <v>-3305</v>
      </c>
      <c r="V32" s="14">
        <v>796</v>
      </c>
      <c r="W32" s="14">
        <f>+W30-W31</f>
        <v>-821</v>
      </c>
      <c r="X32" s="14">
        <v>4620</v>
      </c>
      <c r="Y32" s="14">
        <v>4782</v>
      </c>
      <c r="Z32" s="14">
        <v>4992</v>
      </c>
      <c r="AA32" s="14">
        <f>+AA30-AA31</f>
        <v>-3728</v>
      </c>
      <c r="AB32" s="4"/>
      <c r="AC32" s="4"/>
      <c r="AD32" s="4"/>
      <c r="AF32" s="14">
        <v>7705</v>
      </c>
      <c r="AG32" s="14">
        <v>3023</v>
      </c>
      <c r="AH32" s="14">
        <v>5765</v>
      </c>
      <c r="AI32" s="14">
        <v>6782</v>
      </c>
      <c r="AJ32" s="14">
        <v>4479</v>
      </c>
      <c r="AK32" s="14">
        <v>10916</v>
      </c>
      <c r="AL32" s="14">
        <v>12706</v>
      </c>
      <c r="AM32" s="14">
        <v>10984</v>
      </c>
      <c r="AN32" s="14">
        <v>9680</v>
      </c>
      <c r="AO32" s="14">
        <v>11882</v>
      </c>
      <c r="AP32" s="14">
        <v>11724</v>
      </c>
      <c r="AQ32" s="14">
        <v>11990</v>
      </c>
      <c r="AR32" s="14">
        <v>18262</v>
      </c>
      <c r="AS32" s="14">
        <v>21106</v>
      </c>
      <c r="AT32" s="14">
        <v>19902</v>
      </c>
      <c r="AU32" s="14">
        <v>19193</v>
      </c>
      <c r="AV32" s="14">
        <v>19765</v>
      </c>
      <c r="AW32" s="14">
        <v>3751</v>
      </c>
      <c r="AX32" s="14">
        <v>532</v>
      </c>
      <c r="AY32" s="14">
        <v>-4026</v>
      </c>
      <c r="AZ32" s="14">
        <v>4778</v>
      </c>
      <c r="BA32" s="14">
        <v>5850</v>
      </c>
      <c r="BB32" s="14">
        <v>7060</v>
      </c>
      <c r="BC32" s="14">
        <v>8472</v>
      </c>
      <c r="BD32" s="14">
        <v>9965</v>
      </c>
      <c r="BE32" s="14">
        <v>10947</v>
      </c>
      <c r="BF32" s="14">
        <v>13296</v>
      </c>
      <c r="BG32" s="14">
        <v>15152</v>
      </c>
      <c r="BH32" s="14">
        <v>17225</v>
      </c>
      <c r="BI32" s="14">
        <v>18660</v>
      </c>
      <c r="BJ32" s="14">
        <v>21030</v>
      </c>
      <c r="BK32" s="4">
        <v>21241</v>
      </c>
      <c r="BL32" s="4">
        <v>21453</v>
      </c>
      <c r="BM32" s="4">
        <v>21668</v>
      </c>
      <c r="BN32" s="4">
        <v>21884</v>
      </c>
      <c r="BO32" s="4">
        <v>22103</v>
      </c>
      <c r="BP32" s="4">
        <v>22324</v>
      </c>
    </row>
    <row r="33" spans="2:66" x14ac:dyDescent="0.2">
      <c r="B33" s="2" t="s">
        <v>90</v>
      </c>
      <c r="C33" s="3"/>
      <c r="D33" s="3"/>
      <c r="E33" s="3"/>
      <c r="F33" s="3"/>
      <c r="G33" s="3">
        <v>1.27</v>
      </c>
      <c r="H33" s="3">
        <v>1.25</v>
      </c>
      <c r="I33" s="3">
        <v>1.26</v>
      </c>
      <c r="J33" s="3">
        <v>1.05</v>
      </c>
      <c r="K33" s="3">
        <v>0.63</v>
      </c>
      <c r="L33" s="3">
        <v>-0.18</v>
      </c>
      <c r="M33" s="3">
        <v>0.15</v>
      </c>
      <c r="N33" s="3">
        <v>-0.13</v>
      </c>
      <c r="O33" s="3">
        <v>-0.3</v>
      </c>
      <c r="P33" s="3">
        <v>-0.14000000000000001</v>
      </c>
      <c r="Q33" s="3">
        <v>0.23</v>
      </c>
      <c r="R33" s="3">
        <v>0.34</v>
      </c>
      <c r="S33" s="3">
        <v>-0.14000000000000001</v>
      </c>
      <c r="T33" s="3">
        <v>-0.22</v>
      </c>
      <c r="U33" s="3">
        <v>-0.77</v>
      </c>
      <c r="V33" s="3">
        <v>0.19</v>
      </c>
      <c r="W33" s="3">
        <f>+W32/W34</f>
        <v>-0.18903983421597972</v>
      </c>
      <c r="X33" s="3">
        <v>1.08</v>
      </c>
      <c r="Y33" s="3">
        <v>1.1100000000000001</v>
      </c>
      <c r="Z33" s="3">
        <v>1.1599999999999999</v>
      </c>
      <c r="AA33" s="3">
        <f>+AA32/AA34</f>
        <v>-0.73342514263230374</v>
      </c>
      <c r="AF33" s="3">
        <v>1.25</v>
      </c>
      <c r="AG33" s="3">
        <v>0.51</v>
      </c>
      <c r="AH33" s="3">
        <v>0.97</v>
      </c>
      <c r="AI33" s="3">
        <v>1.18</v>
      </c>
      <c r="AJ33" s="3">
        <v>0.79</v>
      </c>
      <c r="AK33" s="3">
        <v>1.92</v>
      </c>
      <c r="AL33" s="3">
        <v>2.35</v>
      </c>
      <c r="AM33" s="3">
        <v>2.13</v>
      </c>
      <c r="AN33" s="3">
        <v>1.9</v>
      </c>
      <c r="AO33" s="3">
        <v>2.35</v>
      </c>
      <c r="AP33" s="3">
        <v>2.4</v>
      </c>
      <c r="AQ33" s="3">
        <v>2.46</v>
      </c>
      <c r="AR33" s="3">
        <v>3.78</v>
      </c>
      <c r="AS33" s="3">
        <v>4.49</v>
      </c>
      <c r="AT33" s="3">
        <v>4.45</v>
      </c>
      <c r="AU33" s="3">
        <v>4.54</v>
      </c>
      <c r="AV33" s="3">
        <v>4.83</v>
      </c>
      <c r="AW33" s="3">
        <v>0.91</v>
      </c>
      <c r="AX33" s="3">
        <v>0.13</v>
      </c>
      <c r="AY33" s="3">
        <v>-0.94</v>
      </c>
      <c r="AZ33" s="3">
        <v>1.1200000000000001</v>
      </c>
      <c r="BA33" s="3">
        <v>1.37</v>
      </c>
      <c r="BB33" s="3">
        <v>1.65</v>
      </c>
      <c r="BC33" s="3">
        <v>1.98</v>
      </c>
      <c r="BD33" s="3">
        <v>2.33</v>
      </c>
      <c r="BE33" s="3">
        <v>2.56</v>
      </c>
      <c r="BF33" s="3">
        <v>3.11</v>
      </c>
      <c r="BG33" s="3">
        <v>3.55</v>
      </c>
      <c r="BH33" s="3">
        <v>4.03</v>
      </c>
      <c r="BI33" s="3">
        <v>4.37</v>
      </c>
      <c r="BJ33" s="3">
        <v>4.92</v>
      </c>
    </row>
    <row r="34" spans="2:66" x14ac:dyDescent="0.2">
      <c r="B34" s="2" t="s">
        <v>3</v>
      </c>
      <c r="C34" s="3"/>
      <c r="D34" s="3"/>
      <c r="E34" s="3"/>
      <c r="F34" s="3"/>
      <c r="G34" s="3">
        <v>4096</v>
      </c>
      <c r="H34" s="3">
        <v>4084</v>
      </c>
      <c r="I34" s="3">
        <v>4086</v>
      </c>
      <c r="J34" s="3">
        <v>4095</v>
      </c>
      <c r="K34" s="3">
        <v>4107</v>
      </c>
      <c r="L34" s="3">
        <v>4100</v>
      </c>
      <c r="M34" s="3">
        <v>4125</v>
      </c>
      <c r="N34" s="3">
        <v>4133</v>
      </c>
      <c r="O34" s="3">
        <v>4154</v>
      </c>
      <c r="P34" s="3">
        <v>4196</v>
      </c>
      <c r="Q34" s="3">
        <v>4229</v>
      </c>
      <c r="R34" s="3">
        <v>4260</v>
      </c>
      <c r="S34" s="3">
        <v>4242</v>
      </c>
      <c r="T34" s="3">
        <v>4267</v>
      </c>
      <c r="U34" s="3">
        <v>4292</v>
      </c>
      <c r="V34" s="3">
        <v>4292</v>
      </c>
      <c r="W34" s="3">
        <v>4343</v>
      </c>
      <c r="X34" s="3">
        <v>4292</v>
      </c>
      <c r="Y34" s="3">
        <v>4292</v>
      </c>
      <c r="Z34" s="3">
        <v>4292</v>
      </c>
      <c r="AA34" s="3">
        <v>5083</v>
      </c>
      <c r="AB34" s="4"/>
      <c r="AC34" s="4"/>
      <c r="AD34" s="4"/>
      <c r="AF34" s="3">
        <v>6178</v>
      </c>
      <c r="AG34" s="3">
        <v>5880</v>
      </c>
      <c r="AH34" s="3">
        <v>5936</v>
      </c>
      <c r="AI34" s="3">
        <v>5748</v>
      </c>
      <c r="AJ34" s="3">
        <v>5645</v>
      </c>
      <c r="AK34" s="3">
        <v>5696</v>
      </c>
      <c r="AL34" s="3">
        <v>5411</v>
      </c>
      <c r="AM34" s="3">
        <v>5160</v>
      </c>
      <c r="AN34" s="3">
        <v>5097</v>
      </c>
      <c r="AO34" s="3">
        <v>5056</v>
      </c>
      <c r="AP34" s="3">
        <v>4894</v>
      </c>
      <c r="AQ34" s="3">
        <v>4875</v>
      </c>
      <c r="AR34" s="3">
        <v>4835</v>
      </c>
      <c r="AS34" s="3">
        <v>4701</v>
      </c>
      <c r="AT34" s="3">
        <v>4473</v>
      </c>
      <c r="AU34" s="3">
        <v>4232</v>
      </c>
      <c r="AV34" s="3">
        <v>4090</v>
      </c>
      <c r="AW34" s="3">
        <v>4123</v>
      </c>
      <c r="AX34" s="3">
        <v>4210</v>
      </c>
      <c r="AY34" s="3">
        <v>4273</v>
      </c>
      <c r="AZ34" s="3">
        <v>4273</v>
      </c>
      <c r="BA34" s="3">
        <v>4273</v>
      </c>
      <c r="BB34" s="3">
        <v>4273</v>
      </c>
      <c r="BC34" s="3">
        <v>4273</v>
      </c>
      <c r="BD34" s="3">
        <v>4273</v>
      </c>
      <c r="BE34" s="3">
        <v>4273</v>
      </c>
      <c r="BF34" s="3">
        <v>4273</v>
      </c>
      <c r="BG34" s="3">
        <v>4273</v>
      </c>
      <c r="BH34" s="3">
        <v>4273</v>
      </c>
      <c r="BI34" s="3">
        <v>4273</v>
      </c>
      <c r="BJ34" s="3">
        <v>4273</v>
      </c>
    </row>
    <row r="35" spans="2:66" x14ac:dyDescent="0.2">
      <c r="BM35" s="2" t="s">
        <v>91</v>
      </c>
      <c r="BN35" s="7">
        <v>0.08</v>
      </c>
    </row>
    <row r="36" spans="2:66" x14ac:dyDescent="0.2">
      <c r="B36" s="2" t="s">
        <v>92</v>
      </c>
      <c r="K36" s="7">
        <v>-7.0000000000000007E-2</v>
      </c>
      <c r="L36" s="7">
        <v>-0.22</v>
      </c>
      <c r="M36" s="7">
        <v>-0.2</v>
      </c>
      <c r="N36" s="7">
        <v>-0.32</v>
      </c>
      <c r="O36" s="7">
        <v>-0.36</v>
      </c>
      <c r="P36" s="7">
        <v>-0.15</v>
      </c>
      <c r="Q36" s="7">
        <v>-0.08</v>
      </c>
      <c r="R36" s="7">
        <v>0.1</v>
      </c>
      <c r="S36" s="7">
        <v>0.09</v>
      </c>
      <c r="T36" s="7">
        <v>-0.01</v>
      </c>
      <c r="U36" s="7">
        <v>-0.06</v>
      </c>
      <c r="V36" s="7">
        <v>-0.1</v>
      </c>
      <c r="W36" s="7">
        <v>-0.1</v>
      </c>
      <c r="X36" s="7">
        <v>-0.1</v>
      </c>
      <c r="Y36" s="7">
        <v>-0.1</v>
      </c>
      <c r="Z36" s="7">
        <v>-0.1</v>
      </c>
      <c r="AA36" s="7">
        <f>+AA22/W22-1</f>
        <v>7.1840214731191177E-2</v>
      </c>
      <c r="AB36" s="7"/>
      <c r="AC36" s="7"/>
      <c r="AD36" s="7"/>
      <c r="AH36" s="7">
        <v>0.08</v>
      </c>
      <c r="AI36" s="7">
        <v>-0.02</v>
      </c>
      <c r="AJ36" s="7">
        <v>-7.0000000000000007E-2</v>
      </c>
      <c r="AK36" s="7">
        <v>0.24</v>
      </c>
      <c r="AL36" s="7">
        <v>0.24</v>
      </c>
      <c r="AM36" s="7">
        <v>-0.01</v>
      </c>
      <c r="AN36" s="7">
        <v>-0.01</v>
      </c>
      <c r="AO36" s="7">
        <v>0.06</v>
      </c>
      <c r="AP36" s="7">
        <v>-0.01</v>
      </c>
      <c r="AQ36" s="7">
        <v>7.0000000000000007E-2</v>
      </c>
      <c r="AR36" s="7">
        <v>0.06</v>
      </c>
      <c r="AS36" s="7">
        <v>0.13</v>
      </c>
      <c r="AT36" s="7">
        <v>0.02</v>
      </c>
      <c r="AU36" s="7">
        <v>0.08</v>
      </c>
      <c r="AV36" s="7">
        <v>0.01</v>
      </c>
      <c r="AW36" s="7">
        <v>-0.2</v>
      </c>
      <c r="AX36" s="7">
        <v>-0.14000000000000001</v>
      </c>
      <c r="AY36" s="7">
        <v>-0.03</v>
      </c>
      <c r="AZ36" s="7">
        <v>0.11</v>
      </c>
      <c r="BA36" s="7">
        <v>7.0000000000000007E-2</v>
      </c>
      <c r="BB36" s="7">
        <v>0.05</v>
      </c>
      <c r="BC36" s="7">
        <v>7.0000000000000007E-2</v>
      </c>
      <c r="BD36" s="7">
        <v>0.05</v>
      </c>
      <c r="BE36" s="7">
        <v>0.05</v>
      </c>
      <c r="BF36" s="7">
        <v>7.0000000000000007E-2</v>
      </c>
      <c r="BG36" s="7">
        <v>7.0000000000000007E-2</v>
      </c>
      <c r="BH36" s="7">
        <v>0.05</v>
      </c>
      <c r="BI36" s="7">
        <v>0.05</v>
      </c>
      <c r="BJ36" s="7">
        <v>0.05</v>
      </c>
      <c r="BM36" s="2" t="s">
        <v>93</v>
      </c>
      <c r="BN36" s="7">
        <v>0.01</v>
      </c>
    </row>
    <row r="37" spans="2:66" x14ac:dyDescent="0.2">
      <c r="B37" s="2" t="s">
        <v>94</v>
      </c>
      <c r="AH37" s="7">
        <v>0.14000000000000001</v>
      </c>
      <c r="AI37" s="7">
        <v>7.0000000000000007E-2</v>
      </c>
      <c r="AJ37" s="7">
        <v>0.06</v>
      </c>
      <c r="AK37" s="7">
        <v>0.14000000000000001</v>
      </c>
      <c r="AL37" s="7">
        <v>0.04</v>
      </c>
      <c r="AM37" s="7">
        <v>-0.04</v>
      </c>
      <c r="AN37" s="7">
        <v>-0.1</v>
      </c>
      <c r="AO37" s="7">
        <v>-0.01</v>
      </c>
      <c r="AP37" s="7">
        <v>-0.08</v>
      </c>
      <c r="AQ37" s="7">
        <v>-0.06</v>
      </c>
      <c r="AR37" s="7">
        <v>-0.03</v>
      </c>
      <c r="AS37" s="7">
        <v>-0.01</v>
      </c>
      <c r="AT37" s="7">
        <v>0.01</v>
      </c>
      <c r="AU37" s="7">
        <v>0.18</v>
      </c>
      <c r="AV37" s="7">
        <v>0.11</v>
      </c>
      <c r="AW37" s="7">
        <v>-0.17</v>
      </c>
      <c r="AX37" s="7">
        <v>-0.15</v>
      </c>
      <c r="BM37" s="2" t="s">
        <v>95</v>
      </c>
      <c r="BN37" s="7">
        <v>0.01</v>
      </c>
    </row>
    <row r="38" spans="2:66" x14ac:dyDescent="0.2">
      <c r="B38" s="2" t="s">
        <v>96</v>
      </c>
      <c r="AQ38" s="7">
        <v>0.02</v>
      </c>
      <c r="AR38" s="7">
        <v>0.02</v>
      </c>
      <c r="AS38" s="7">
        <v>0.03</v>
      </c>
      <c r="AT38" s="7">
        <v>0.02</v>
      </c>
      <c r="AU38" s="7">
        <v>-0.03</v>
      </c>
      <c r="AV38" s="7">
        <v>0.06</v>
      </c>
      <c r="AW38" s="7">
        <v>0.01</v>
      </c>
      <c r="BM38" s="2" t="s">
        <v>97</v>
      </c>
      <c r="BN38" s="4">
        <v>156248</v>
      </c>
    </row>
    <row r="39" spans="2:66" x14ac:dyDescent="0.2">
      <c r="B39" s="2" t="s">
        <v>81</v>
      </c>
      <c r="G39" s="7">
        <v>0.55000000000000004</v>
      </c>
      <c r="H39" s="7">
        <v>0.56999999999999995</v>
      </c>
      <c r="I39" s="7">
        <v>0.56000000000000005</v>
      </c>
      <c r="J39" s="7">
        <v>0.54</v>
      </c>
      <c r="K39" s="7">
        <v>0.5</v>
      </c>
      <c r="L39" s="7">
        <v>0.36</v>
      </c>
      <c r="M39" s="7">
        <v>0.43</v>
      </c>
      <c r="N39" s="7">
        <v>0.39</v>
      </c>
      <c r="O39" s="7">
        <v>0.34</v>
      </c>
      <c r="P39" s="7">
        <v>0.36</v>
      </c>
      <c r="Q39" s="7">
        <v>0.43</v>
      </c>
      <c r="R39" s="7">
        <v>0.46</v>
      </c>
      <c r="S39" s="7">
        <v>0.41</v>
      </c>
      <c r="T39" s="7">
        <v>0.35</v>
      </c>
      <c r="U39" s="7">
        <v>0.15</v>
      </c>
      <c r="V39" s="7">
        <v>0.4</v>
      </c>
      <c r="W39" s="7">
        <v>0.4</v>
      </c>
      <c r="X39" s="7">
        <v>0.4</v>
      </c>
      <c r="Y39" s="7">
        <v>0.4</v>
      </c>
      <c r="Z39" s="7">
        <v>0.4</v>
      </c>
      <c r="AA39" s="7"/>
      <c r="AB39" s="7"/>
      <c r="AC39" s="7"/>
      <c r="AD39" s="7"/>
      <c r="AF39" s="7">
        <v>0.59</v>
      </c>
      <c r="AG39" s="7">
        <v>0.51</v>
      </c>
      <c r="AH39" s="7">
        <v>0.52</v>
      </c>
      <c r="AI39" s="7">
        <v>0.55000000000000004</v>
      </c>
      <c r="AJ39" s="7">
        <v>0.56000000000000005</v>
      </c>
      <c r="AK39" s="7">
        <v>0.65</v>
      </c>
      <c r="AL39" s="7">
        <v>0.63</v>
      </c>
      <c r="AM39" s="7">
        <v>0.62</v>
      </c>
      <c r="AN39" s="7">
        <v>0.6</v>
      </c>
      <c r="AO39" s="7">
        <v>0.64</v>
      </c>
      <c r="AP39" s="7">
        <v>0.63</v>
      </c>
      <c r="AQ39" s="7">
        <v>0.61</v>
      </c>
      <c r="AR39" s="7">
        <v>0.62</v>
      </c>
      <c r="AS39" s="7">
        <v>0.62</v>
      </c>
      <c r="AT39" s="7">
        <v>0.59</v>
      </c>
      <c r="AU39" s="7">
        <v>0.56000000000000005</v>
      </c>
      <c r="AV39" s="7">
        <v>0.55000000000000004</v>
      </c>
      <c r="AW39" s="7">
        <v>0.43</v>
      </c>
      <c r="AX39" s="9">
        <v>0.4</v>
      </c>
      <c r="AY39" s="7">
        <v>0.33</v>
      </c>
      <c r="AZ39" s="7">
        <v>0.48</v>
      </c>
      <c r="BA39" s="7">
        <v>0.48</v>
      </c>
      <c r="BB39" s="7">
        <v>0.49</v>
      </c>
      <c r="BC39" s="7">
        <v>0.49</v>
      </c>
      <c r="BD39" s="7">
        <v>0.5</v>
      </c>
      <c r="BE39" s="7">
        <v>0.5</v>
      </c>
      <c r="BF39" s="7">
        <v>0.51</v>
      </c>
      <c r="BG39" s="7">
        <v>0.51</v>
      </c>
      <c r="BH39" s="7">
        <v>0.52</v>
      </c>
      <c r="BI39" s="7">
        <v>0.52</v>
      </c>
      <c r="BJ39" s="7">
        <v>0.53</v>
      </c>
      <c r="BM39" s="2" t="s">
        <v>98</v>
      </c>
      <c r="BN39" s="2">
        <v>36.619999999999997</v>
      </c>
    </row>
    <row r="40" spans="2:66" x14ac:dyDescent="0.2">
      <c r="B40" s="2" t="s">
        <v>99</v>
      </c>
      <c r="AX40" s="9">
        <v>0.436</v>
      </c>
      <c r="BN40" s="7">
        <v>0.83</v>
      </c>
    </row>
    <row r="42" spans="2:66" x14ac:dyDescent="0.2">
      <c r="B42" s="2" t="s">
        <v>100</v>
      </c>
      <c r="O42" s="4">
        <v>-16710</v>
      </c>
      <c r="P42" s="4">
        <v>-18896</v>
      </c>
      <c r="Q42" s="4">
        <v>-18149</v>
      </c>
      <c r="S42" s="4">
        <v>-25000</v>
      </c>
      <c r="T42" s="4">
        <v>-17932</v>
      </c>
      <c r="U42" s="4">
        <v>-20654</v>
      </c>
      <c r="AZ42" s="4">
        <v>4778</v>
      </c>
      <c r="BA42" s="4">
        <v>10627</v>
      </c>
      <c r="BB42" s="4">
        <v>17687</v>
      </c>
      <c r="BC42" s="4">
        <v>26159</v>
      </c>
      <c r="BD42" s="4">
        <v>36124</v>
      </c>
      <c r="BE42" s="4">
        <v>47071</v>
      </c>
      <c r="BF42" s="4">
        <v>60366</v>
      </c>
      <c r="BG42" s="4">
        <v>75518</v>
      </c>
      <c r="BH42" s="4">
        <v>92743</v>
      </c>
      <c r="BI42" s="4">
        <v>111403</v>
      </c>
      <c r="BJ42" s="4">
        <v>132433</v>
      </c>
    </row>
    <row r="43" spans="2:66" x14ac:dyDescent="0.2">
      <c r="B43" s="2" t="s">
        <v>5</v>
      </c>
      <c r="O43" s="4">
        <v>33563</v>
      </c>
      <c r="P43" s="4">
        <v>30150</v>
      </c>
      <c r="Q43" s="4">
        <v>30730</v>
      </c>
      <c r="S43" s="4">
        <v>27450</v>
      </c>
      <c r="T43" s="4">
        <v>35097</v>
      </c>
      <c r="U43" s="4">
        <v>29582</v>
      </c>
    </row>
    <row r="44" spans="2:66" x14ac:dyDescent="0.2">
      <c r="B44" s="2" t="s">
        <v>101</v>
      </c>
      <c r="O44" s="4">
        <v>3847</v>
      </c>
      <c r="P44" s="4">
        <v>2996</v>
      </c>
      <c r="Q44" s="4">
        <v>2843</v>
      </c>
      <c r="S44" s="4">
        <v>3323</v>
      </c>
      <c r="T44" s="4">
        <v>3131</v>
      </c>
      <c r="U44" s="4">
        <v>3121</v>
      </c>
    </row>
    <row r="45" spans="2:66" x14ac:dyDescent="0.2">
      <c r="B45" s="2" t="s">
        <v>102</v>
      </c>
      <c r="O45" s="4">
        <v>12993</v>
      </c>
      <c r="P45" s="4">
        <v>11984</v>
      </c>
      <c r="Q45" s="4">
        <v>11466</v>
      </c>
      <c r="S45" s="4">
        <v>11494</v>
      </c>
      <c r="T45" s="4">
        <v>11244</v>
      </c>
      <c r="U45" s="4">
        <v>12062</v>
      </c>
    </row>
    <row r="46" spans="2:66" x14ac:dyDescent="0.2">
      <c r="B46" s="2" t="s">
        <v>103</v>
      </c>
      <c r="O46" s="4">
        <v>3940</v>
      </c>
      <c r="P46" s="4">
        <v>4119</v>
      </c>
      <c r="Q46" s="4">
        <v>4472</v>
      </c>
      <c r="S46" s="4">
        <v>6480</v>
      </c>
      <c r="T46" s="4">
        <v>7181</v>
      </c>
      <c r="U46" s="4">
        <v>6868</v>
      </c>
    </row>
    <row r="47" spans="2:66" x14ac:dyDescent="0.2">
      <c r="B47" s="2" t="s">
        <v>104</v>
      </c>
      <c r="O47" s="4">
        <v>85734</v>
      </c>
      <c r="P47" s="4">
        <v>90945</v>
      </c>
      <c r="Q47" s="4">
        <v>93352</v>
      </c>
      <c r="S47" s="4">
        <v>99924</v>
      </c>
      <c r="T47" s="4">
        <v>103398</v>
      </c>
      <c r="U47" s="4">
        <v>104248</v>
      </c>
    </row>
    <row r="48" spans="2:66" x14ac:dyDescent="0.2">
      <c r="B48" s="2" t="s">
        <v>105</v>
      </c>
      <c r="O48" s="4">
        <v>33158</v>
      </c>
      <c r="P48" s="4">
        <v>32764</v>
      </c>
      <c r="Q48" s="4">
        <v>32561</v>
      </c>
      <c r="S48" s="4">
        <v>32115</v>
      </c>
      <c r="T48" s="4">
        <v>31825</v>
      </c>
      <c r="U48" s="4">
        <v>28655</v>
      </c>
    </row>
    <row r="49" spans="2:49" x14ac:dyDescent="0.2">
      <c r="B49" s="2" t="s">
        <v>106</v>
      </c>
      <c r="O49" s="4">
        <v>12068</v>
      </c>
      <c r="P49" s="4">
        <v>12671</v>
      </c>
      <c r="Q49" s="4">
        <v>13413</v>
      </c>
      <c r="S49" s="4">
        <v>11947</v>
      </c>
      <c r="T49" s="4">
        <v>14329</v>
      </c>
      <c r="U49" s="4">
        <v>9006</v>
      </c>
    </row>
    <row r="50" spans="2:49" x14ac:dyDescent="0.2">
      <c r="B50" s="2" t="s">
        <v>107</v>
      </c>
      <c r="O50" s="4">
        <v>185303</v>
      </c>
      <c r="P50" s="4">
        <v>185629</v>
      </c>
      <c r="Q50" s="4">
        <v>188837</v>
      </c>
      <c r="S50" s="4">
        <v>192733</v>
      </c>
      <c r="T50" s="4">
        <v>206205</v>
      </c>
      <c r="U50" s="4">
        <v>193542</v>
      </c>
    </row>
    <row r="52" spans="2:49" x14ac:dyDescent="0.2">
      <c r="B52" s="2" t="s">
        <v>6</v>
      </c>
      <c r="O52" s="4">
        <v>50273</v>
      </c>
      <c r="P52" s="4">
        <v>49046</v>
      </c>
      <c r="Q52" s="4">
        <v>48879</v>
      </c>
      <c r="S52" s="4">
        <v>52450</v>
      </c>
      <c r="T52" s="4">
        <v>53029</v>
      </c>
      <c r="U52" s="4">
        <v>50236</v>
      </c>
    </row>
    <row r="53" spans="2:49" x14ac:dyDescent="0.2">
      <c r="B53" s="2" t="s">
        <v>108</v>
      </c>
      <c r="O53" s="4">
        <v>8083</v>
      </c>
      <c r="P53" s="4">
        <v>8757</v>
      </c>
      <c r="Q53" s="4">
        <v>8669</v>
      </c>
      <c r="S53" s="4">
        <v>8559</v>
      </c>
      <c r="T53" s="4">
        <v>9618</v>
      </c>
      <c r="U53" s="4">
        <v>11074</v>
      </c>
    </row>
    <row r="54" spans="2:49" x14ac:dyDescent="0.2">
      <c r="B54" s="2" t="s">
        <v>109</v>
      </c>
      <c r="O54" s="4">
        <v>2497</v>
      </c>
      <c r="P54" s="4">
        <v>2887</v>
      </c>
      <c r="Q54" s="4">
        <v>3115</v>
      </c>
      <c r="S54" s="4">
        <v>2506</v>
      </c>
      <c r="T54" s="4">
        <v>2651</v>
      </c>
      <c r="U54" s="4">
        <v>5015</v>
      </c>
    </row>
    <row r="55" spans="2:49" x14ac:dyDescent="0.2">
      <c r="B55" s="2" t="s">
        <v>88</v>
      </c>
      <c r="O55" s="4">
        <v>7877</v>
      </c>
      <c r="P55" s="4">
        <v>2169</v>
      </c>
      <c r="Q55" s="4">
        <v>2112</v>
      </c>
      <c r="S55" s="2">
        <v>346</v>
      </c>
      <c r="T55" s="4">
        <v>1856</v>
      </c>
      <c r="U55" s="4">
        <v>2440</v>
      </c>
    </row>
    <row r="56" spans="2:49" x14ac:dyDescent="0.2">
      <c r="B56" s="2" t="s">
        <v>110</v>
      </c>
      <c r="O56" s="4">
        <v>11330</v>
      </c>
      <c r="P56" s="4">
        <v>10656</v>
      </c>
      <c r="Q56" s="4">
        <v>12430</v>
      </c>
      <c r="S56" s="4">
        <v>11221</v>
      </c>
      <c r="T56" s="4">
        <v>13207</v>
      </c>
      <c r="U56" s="4">
        <v>12865</v>
      </c>
    </row>
    <row r="57" spans="2:49" x14ac:dyDescent="0.2">
      <c r="B57" s="2" t="s">
        <v>111</v>
      </c>
      <c r="O57" s="4">
        <v>4840</v>
      </c>
      <c r="P57" s="4">
        <v>7643</v>
      </c>
      <c r="Q57" s="4">
        <v>7946</v>
      </c>
      <c r="S57" s="4">
        <v>6895</v>
      </c>
      <c r="T57" s="4">
        <v>5410</v>
      </c>
      <c r="U57" s="4">
        <v>7048</v>
      </c>
    </row>
    <row r="58" spans="2:49" x14ac:dyDescent="0.2">
      <c r="B58" s="2" t="s">
        <v>112</v>
      </c>
      <c r="O58" s="4">
        <v>100403</v>
      </c>
      <c r="P58" s="4">
        <v>104471</v>
      </c>
      <c r="Q58" s="4">
        <v>105686</v>
      </c>
      <c r="S58" s="4">
        <v>110756</v>
      </c>
      <c r="T58" s="4">
        <v>120434</v>
      </c>
      <c r="U58" s="4">
        <v>104864</v>
      </c>
    </row>
    <row r="59" spans="2:49" x14ac:dyDescent="0.2">
      <c r="B59" s="2" t="s">
        <v>113</v>
      </c>
      <c r="O59" s="4">
        <v>185303</v>
      </c>
      <c r="P59" s="4">
        <v>185629</v>
      </c>
      <c r="Q59" s="4">
        <v>188837</v>
      </c>
      <c r="S59" s="4">
        <v>192733</v>
      </c>
      <c r="T59" s="4">
        <v>206205</v>
      </c>
      <c r="U59" s="4">
        <v>193542</v>
      </c>
    </row>
    <row r="61" spans="2:49" x14ac:dyDescent="0.2">
      <c r="B61" s="2" t="s">
        <v>114</v>
      </c>
      <c r="O61" s="4">
        <v>-1263</v>
      </c>
      <c r="P61" s="2">
        <v>-592</v>
      </c>
      <c r="Q61" s="2">
        <v>955</v>
      </c>
      <c r="R61" s="4">
        <v>1432</v>
      </c>
      <c r="S61" s="2">
        <v>-576</v>
      </c>
      <c r="T61" s="2">
        <v>-941</v>
      </c>
      <c r="U61" s="4">
        <v>-3305</v>
      </c>
      <c r="AF61" s="4">
        <v>7705</v>
      </c>
      <c r="AG61" s="4">
        <v>3023</v>
      </c>
      <c r="AH61" s="4">
        <v>5765</v>
      </c>
      <c r="AI61" s="4">
        <v>6782</v>
      </c>
      <c r="AJ61" s="4">
        <v>4479</v>
      </c>
      <c r="AK61" s="4">
        <v>10916</v>
      </c>
      <c r="AL61" s="4">
        <v>12706</v>
      </c>
      <c r="AM61" s="4">
        <v>10984</v>
      </c>
      <c r="AN61" s="4">
        <v>9680</v>
      </c>
      <c r="AO61" s="4">
        <v>11882</v>
      </c>
      <c r="AP61" s="4">
        <v>11724</v>
      </c>
      <c r="AQ61" s="4">
        <v>11990</v>
      </c>
      <c r="AR61" s="4">
        <v>18262</v>
      </c>
      <c r="AS61" s="4">
        <v>21106</v>
      </c>
      <c r="AT61" s="4">
        <v>19902</v>
      </c>
      <c r="AU61" s="4">
        <v>19193</v>
      </c>
      <c r="AV61" s="4">
        <v>19765</v>
      </c>
      <c r="AW61" s="4">
        <v>3751</v>
      </c>
    </row>
    <row r="62" spans="2:49" x14ac:dyDescent="0.2">
      <c r="B62" s="2" t="s">
        <v>115</v>
      </c>
      <c r="O62" s="4">
        <v>-2768</v>
      </c>
      <c r="P62" s="4">
        <v>1473</v>
      </c>
      <c r="Q62" s="2">
        <v>310</v>
      </c>
      <c r="S62" s="2">
        <v>-437</v>
      </c>
      <c r="T62" s="4">
        <v>-1654</v>
      </c>
      <c r="U62" s="4">
        <v>-16989</v>
      </c>
      <c r="AF62" s="4">
        <v>8664</v>
      </c>
      <c r="AG62" s="4">
        <v>5044</v>
      </c>
      <c r="AH62" s="4">
        <v>6976</v>
      </c>
      <c r="AI62" s="4">
        <v>5292</v>
      </c>
      <c r="AJ62" s="4">
        <v>4369</v>
      </c>
      <c r="AK62" s="4">
        <v>11464</v>
      </c>
      <c r="AL62" s="4">
        <v>12942</v>
      </c>
      <c r="AM62" s="4">
        <v>11005</v>
      </c>
      <c r="AN62" s="4">
        <v>9620</v>
      </c>
      <c r="AO62" s="4">
        <v>11704</v>
      </c>
      <c r="AP62" s="4">
        <v>11420</v>
      </c>
      <c r="AQ62" s="4">
        <v>10316</v>
      </c>
      <c r="AR62" s="4">
        <v>9601</v>
      </c>
      <c r="AS62" s="4">
        <v>21053</v>
      </c>
      <c r="AT62" s="4">
        <v>21048</v>
      </c>
      <c r="AU62" s="4">
        <v>20899</v>
      </c>
      <c r="AV62" s="4">
        <v>19868</v>
      </c>
      <c r="AW62" s="4">
        <v>8017</v>
      </c>
    </row>
    <row r="63" spans="2:49" x14ac:dyDescent="0.2">
      <c r="B63" s="2" t="s">
        <v>116</v>
      </c>
      <c r="O63" s="4">
        <v>1901</v>
      </c>
      <c r="P63" s="4">
        <v>1832</v>
      </c>
      <c r="Q63" s="4">
        <v>2020</v>
      </c>
      <c r="S63" s="4">
        <v>2200</v>
      </c>
      <c r="T63" s="4">
        <v>2203</v>
      </c>
      <c r="U63" s="4">
        <v>3248</v>
      </c>
      <c r="AU63" s="4">
        <v>10482</v>
      </c>
      <c r="AV63" s="4">
        <v>9953</v>
      </c>
      <c r="AW63" s="4">
        <v>11128</v>
      </c>
    </row>
    <row r="64" spans="2:49" x14ac:dyDescent="0.2">
      <c r="B64" s="2" t="s">
        <v>117</v>
      </c>
      <c r="O64" s="2">
        <v>739</v>
      </c>
      <c r="P64" s="2">
        <v>922</v>
      </c>
      <c r="Q64" s="2">
        <v>772</v>
      </c>
      <c r="S64" s="4">
        <v>1179</v>
      </c>
      <c r="T64" s="2">
        <v>780</v>
      </c>
      <c r="U64" s="2">
        <v>800</v>
      </c>
      <c r="AU64" s="4">
        <v>1854</v>
      </c>
      <c r="AV64" s="4">
        <v>2036</v>
      </c>
      <c r="AW64" s="4">
        <v>3128</v>
      </c>
    </row>
    <row r="65" spans="2:51" x14ac:dyDescent="0.2">
      <c r="B65" s="2" t="s">
        <v>118</v>
      </c>
      <c r="O65" s="2">
        <v>55</v>
      </c>
      <c r="P65" s="2">
        <v>200</v>
      </c>
      <c r="Q65" s="2">
        <v>463</v>
      </c>
      <c r="S65" s="2">
        <v>348</v>
      </c>
      <c r="T65" s="2">
        <v>943</v>
      </c>
      <c r="U65" s="4">
        <v>2335</v>
      </c>
      <c r="AU65" s="2">
        <v>198</v>
      </c>
      <c r="AV65" s="4">
        <v>2626</v>
      </c>
      <c r="AW65" s="4">
        <v>1074</v>
      </c>
    </row>
    <row r="66" spans="2:51" x14ac:dyDescent="0.2">
      <c r="B66" s="2" t="s">
        <v>119</v>
      </c>
      <c r="O66" s="2">
        <v>465</v>
      </c>
      <c r="P66" s="2">
        <v>444</v>
      </c>
      <c r="Q66" s="2">
        <v>427</v>
      </c>
      <c r="S66" s="2">
        <v>351</v>
      </c>
      <c r="T66" s="2">
        <v>366</v>
      </c>
      <c r="U66" s="2">
        <v>364</v>
      </c>
      <c r="AU66" s="4">
        <v>1757</v>
      </c>
      <c r="AV66" s="4">
        <v>1839</v>
      </c>
      <c r="AW66" s="4">
        <v>1907</v>
      </c>
    </row>
    <row r="67" spans="2:51" x14ac:dyDescent="0.2">
      <c r="B67" s="2" t="s">
        <v>120</v>
      </c>
      <c r="O67" s="2">
        <v>-167</v>
      </c>
      <c r="P67" s="2">
        <v>21</v>
      </c>
      <c r="Q67" s="2">
        <v>193</v>
      </c>
      <c r="S67" s="2">
        <v>-208</v>
      </c>
      <c r="T67" s="2">
        <v>124</v>
      </c>
      <c r="U67" s="2">
        <v>159</v>
      </c>
      <c r="AU67" s="4">
        <v>-1757</v>
      </c>
      <c r="AV67" s="4">
        <v>-1458</v>
      </c>
      <c r="AW67" s="4">
        <v>-4254</v>
      </c>
    </row>
    <row r="68" spans="2:51" x14ac:dyDescent="0.2">
      <c r="B68" s="2" t="s">
        <v>121</v>
      </c>
      <c r="O68" s="2">
        <v>0</v>
      </c>
      <c r="P68" s="2">
        <v>0</v>
      </c>
      <c r="Q68" s="2">
        <v>0</v>
      </c>
      <c r="S68" s="2">
        <v>0</v>
      </c>
      <c r="T68" s="2">
        <v>0</v>
      </c>
      <c r="U68" s="4">
        <v>6368</v>
      </c>
    </row>
    <row r="69" spans="2:51" x14ac:dyDescent="0.2">
      <c r="B69" s="2" t="s">
        <v>122</v>
      </c>
      <c r="O69" s="2">
        <v>0</v>
      </c>
      <c r="P69" s="2">
        <v>0</v>
      </c>
      <c r="Q69" s="2">
        <v>0</v>
      </c>
      <c r="S69" s="2">
        <v>0</v>
      </c>
      <c r="T69" s="2">
        <v>0</v>
      </c>
      <c r="U69" s="4">
        <v>2290</v>
      </c>
    </row>
    <row r="70" spans="2:51" x14ac:dyDescent="0.2">
      <c r="B70" s="2" t="s">
        <v>123</v>
      </c>
      <c r="O70" s="2">
        <v>0</v>
      </c>
      <c r="P70" s="2">
        <v>0</v>
      </c>
      <c r="Q70" s="2">
        <v>0</v>
      </c>
      <c r="S70" s="2">
        <v>0</v>
      </c>
      <c r="T70" s="2">
        <v>0</v>
      </c>
      <c r="U70" s="2">
        <v>0</v>
      </c>
      <c r="AU70" s="2">
        <v>-30</v>
      </c>
      <c r="AV70" s="2">
        <v>0</v>
      </c>
      <c r="AW70" s="4">
        <v>-1059</v>
      </c>
    </row>
    <row r="71" spans="2:51" x14ac:dyDescent="0.2">
      <c r="B71" s="2" t="s">
        <v>124</v>
      </c>
      <c r="O71" s="4">
        <v>-2010</v>
      </c>
      <c r="P71" s="4">
        <v>-2084</v>
      </c>
      <c r="Q71" s="4">
        <v>1639</v>
      </c>
      <c r="S71" s="4">
        <v>-4656</v>
      </c>
      <c r="T71" s="2">
        <v>-470</v>
      </c>
      <c r="U71" s="4">
        <v>5479</v>
      </c>
      <c r="AU71" s="4">
        <v>2461</v>
      </c>
      <c r="AV71" s="4">
        <v>-5408</v>
      </c>
      <c r="AW71" s="4">
        <v>-4508</v>
      </c>
    </row>
    <row r="72" spans="2:51" x14ac:dyDescent="0.2">
      <c r="B72" s="2" t="s">
        <v>125</v>
      </c>
      <c r="O72" s="4">
        <v>-1785</v>
      </c>
      <c r="P72" s="4">
        <v>2808</v>
      </c>
      <c r="Q72" s="4">
        <v>5824</v>
      </c>
      <c r="S72" s="4">
        <v>-1223</v>
      </c>
      <c r="T72" s="4">
        <v>2292</v>
      </c>
      <c r="U72" s="4">
        <v>4054</v>
      </c>
      <c r="V72" s="4">
        <v>4054</v>
      </c>
      <c r="AF72" s="4">
        <v>14851</v>
      </c>
      <c r="AG72" s="4">
        <v>10632</v>
      </c>
      <c r="AH72" s="4">
        <v>12625</v>
      </c>
      <c r="AI72" s="4">
        <v>10926</v>
      </c>
      <c r="AJ72" s="4">
        <v>11170</v>
      </c>
      <c r="AK72" s="4">
        <v>16692</v>
      </c>
      <c r="AL72" s="4">
        <v>20963</v>
      </c>
      <c r="AM72" s="4">
        <v>18884</v>
      </c>
      <c r="AN72" s="4">
        <v>20776</v>
      </c>
      <c r="AO72" s="4">
        <v>20418</v>
      </c>
      <c r="AP72" s="4">
        <v>19017</v>
      </c>
      <c r="AQ72" s="4">
        <v>21808</v>
      </c>
      <c r="AR72" s="4">
        <v>22110</v>
      </c>
      <c r="AS72" s="4">
        <v>29432</v>
      </c>
      <c r="AT72" s="4">
        <v>33145</v>
      </c>
      <c r="AU72" s="4">
        <v>35864</v>
      </c>
      <c r="AV72" s="4">
        <v>29456</v>
      </c>
      <c r="AW72" s="4">
        <v>15433</v>
      </c>
      <c r="AX72" s="4">
        <v>11471</v>
      </c>
      <c r="AY72" s="4">
        <v>9177</v>
      </c>
    </row>
    <row r="74" spans="2:51" x14ac:dyDescent="0.2">
      <c r="B74" s="2" t="s">
        <v>126</v>
      </c>
      <c r="O74" s="4">
        <v>-7413</v>
      </c>
      <c r="P74" s="4">
        <v>-5888</v>
      </c>
      <c r="Q74" s="4">
        <v>-5753</v>
      </c>
      <c r="S74" s="4">
        <v>-5970</v>
      </c>
      <c r="T74" s="4">
        <v>-5682</v>
      </c>
      <c r="U74" s="4">
        <v>-6458</v>
      </c>
      <c r="V74" s="4">
        <v>-6458</v>
      </c>
      <c r="AF74" s="4">
        <v>5871</v>
      </c>
      <c r="AG74" s="4">
        <v>5860</v>
      </c>
      <c r="AH74" s="4">
        <v>5000</v>
      </c>
      <c r="AI74" s="4">
        <v>5197</v>
      </c>
      <c r="AJ74" s="4">
        <v>4515</v>
      </c>
      <c r="AK74" s="4">
        <v>5207</v>
      </c>
      <c r="AL74" s="4">
        <v>5207</v>
      </c>
      <c r="AM74" s="4">
        <v>11027</v>
      </c>
      <c r="AN74" s="4">
        <v>10711</v>
      </c>
      <c r="AO74" s="4">
        <v>10105</v>
      </c>
      <c r="AP74" s="4">
        <v>7326</v>
      </c>
      <c r="AQ74" s="4">
        <v>9625</v>
      </c>
      <c r="AR74" s="4">
        <v>11778</v>
      </c>
      <c r="AS74" s="4">
        <v>-15181</v>
      </c>
      <c r="AT74" s="4">
        <v>-16213</v>
      </c>
      <c r="AU74" s="4">
        <v>-14259</v>
      </c>
      <c r="AV74" s="4">
        <v>-18733</v>
      </c>
      <c r="AW74" s="4">
        <v>-24844</v>
      </c>
      <c r="AX74" s="4">
        <v>-25750</v>
      </c>
      <c r="AY74" s="4">
        <v>-24568</v>
      </c>
    </row>
    <row r="75" spans="2:51" x14ac:dyDescent="0.2">
      <c r="B75" s="2" t="s">
        <v>127</v>
      </c>
      <c r="O75" s="4">
        <v>-1843</v>
      </c>
      <c r="P75" s="4">
        <v>3357</v>
      </c>
      <c r="Q75" s="4">
        <v>-1701</v>
      </c>
    </row>
    <row r="76" spans="2:51" x14ac:dyDescent="0.2">
      <c r="B76" s="2" t="s">
        <v>123</v>
      </c>
      <c r="O76" s="2">
        <v>735</v>
      </c>
      <c r="P76" s="2">
        <v>-277</v>
      </c>
      <c r="Q76" s="2">
        <v>60</v>
      </c>
    </row>
    <row r="77" spans="2:51" x14ac:dyDescent="0.2">
      <c r="B77" s="2" t="s">
        <v>128</v>
      </c>
      <c r="O77" s="4">
        <v>-8521</v>
      </c>
      <c r="P77" s="4">
        <v>-2808</v>
      </c>
      <c r="Q77" s="4">
        <v>-7394</v>
      </c>
    </row>
    <row r="79" spans="2:51" x14ac:dyDescent="0.2">
      <c r="B79" s="2" t="s">
        <v>6</v>
      </c>
      <c r="O79" s="4">
        <v>8023</v>
      </c>
      <c r="P79" s="4">
        <v>-1095</v>
      </c>
      <c r="Q79" s="2">
        <v>0</v>
      </c>
    </row>
    <row r="80" spans="2:51" x14ac:dyDescent="0.2">
      <c r="B80" s="2" t="s">
        <v>129</v>
      </c>
      <c r="O80" s="2">
        <v>449</v>
      </c>
      <c r="P80" s="2">
        <v>385</v>
      </c>
      <c r="Q80" s="2">
        <v>272</v>
      </c>
    </row>
    <row r="81" spans="2:51" x14ac:dyDescent="0.2">
      <c r="B81" s="2" t="s">
        <v>73</v>
      </c>
      <c r="O81" s="2">
        <v>0</v>
      </c>
      <c r="P81" s="4">
        <v>1573</v>
      </c>
      <c r="Q81" s="2">
        <v>850</v>
      </c>
    </row>
    <row r="82" spans="2:51" x14ac:dyDescent="0.2">
      <c r="B82" s="2" t="s">
        <v>130</v>
      </c>
      <c r="O82" s="2">
        <v>659</v>
      </c>
      <c r="P82" s="2">
        <v>-659</v>
      </c>
      <c r="Q82" s="2">
        <v>0</v>
      </c>
    </row>
    <row r="83" spans="2:51" x14ac:dyDescent="0.2">
      <c r="B83" s="2" t="s">
        <v>131</v>
      </c>
      <c r="O83" s="4">
        <v>-1512</v>
      </c>
      <c r="P83" s="2">
        <v>-524</v>
      </c>
      <c r="Q83" s="2">
        <v>-525</v>
      </c>
    </row>
    <row r="84" spans="2:51" x14ac:dyDescent="0.2">
      <c r="B84" s="2" t="s">
        <v>132</v>
      </c>
      <c r="O84" s="2">
        <v>-225</v>
      </c>
      <c r="P84" s="2">
        <v>437</v>
      </c>
      <c r="Q84" s="2">
        <v>245</v>
      </c>
    </row>
    <row r="85" spans="2:51" x14ac:dyDescent="0.2">
      <c r="B85" s="2" t="s">
        <v>133</v>
      </c>
      <c r="O85" s="4">
        <v>7394</v>
      </c>
      <c r="P85" s="2">
        <v>117</v>
      </c>
      <c r="Q85" s="2">
        <v>842</v>
      </c>
    </row>
    <row r="86" spans="2:51" x14ac:dyDescent="0.2">
      <c r="B86" s="2" t="s">
        <v>134</v>
      </c>
      <c r="O86" s="4">
        <v>-2912</v>
      </c>
      <c r="P86" s="2">
        <v>117</v>
      </c>
      <c r="Q86" s="2">
        <v>-728</v>
      </c>
    </row>
    <row r="88" spans="2:51" x14ac:dyDescent="0.2">
      <c r="B88" s="2" t="s">
        <v>135</v>
      </c>
      <c r="O88" s="4">
        <v>-9198</v>
      </c>
      <c r="P88" s="4">
        <v>-3080</v>
      </c>
      <c r="Q88" s="2">
        <v>71</v>
      </c>
      <c r="S88" s="4">
        <v>-7193</v>
      </c>
      <c r="T88" s="4">
        <v>-3390</v>
      </c>
      <c r="U88" s="4">
        <v>-2404</v>
      </c>
      <c r="V88" s="4">
        <v>-2404</v>
      </c>
      <c r="AF88" s="4">
        <v>8980</v>
      </c>
      <c r="AG88" s="4">
        <v>4772</v>
      </c>
      <c r="AH88" s="4">
        <v>7625</v>
      </c>
      <c r="AI88" s="4">
        <v>5729</v>
      </c>
      <c r="AJ88" s="4">
        <v>6655</v>
      </c>
      <c r="AK88" s="4">
        <v>11485</v>
      </c>
      <c r="AL88" s="4">
        <v>15756</v>
      </c>
      <c r="AM88" s="4">
        <v>7857</v>
      </c>
      <c r="AN88" s="4">
        <v>10065</v>
      </c>
      <c r="AO88" s="4">
        <v>10313</v>
      </c>
      <c r="AP88" s="4">
        <v>11691</v>
      </c>
      <c r="AQ88" s="4">
        <v>12183</v>
      </c>
      <c r="AR88" s="4">
        <v>10332</v>
      </c>
      <c r="AS88" s="4">
        <v>14251</v>
      </c>
      <c r="AT88" s="4">
        <v>16932</v>
      </c>
      <c r="AU88" s="4">
        <v>21605</v>
      </c>
      <c r="AV88" s="4">
        <v>10723</v>
      </c>
      <c r="AW88" s="4">
        <v>-9411</v>
      </c>
      <c r="AX88" s="4">
        <v>-14279</v>
      </c>
      <c r="AY88" s="4">
        <v>-15391</v>
      </c>
    </row>
    <row r="89" spans="2:51" x14ac:dyDescent="0.2">
      <c r="B89" s="2" t="s">
        <v>136</v>
      </c>
      <c r="AL89" s="4">
        <v>-3050</v>
      </c>
      <c r="AM89" s="4">
        <v>3127</v>
      </c>
      <c r="AN89" s="2">
        <v>-385</v>
      </c>
      <c r="AO89" s="4">
        <v>1569</v>
      </c>
      <c r="AP89" s="2">
        <v>33</v>
      </c>
      <c r="AQ89" s="2">
        <v>-193</v>
      </c>
      <c r="AR89" s="4">
        <v>7930</v>
      </c>
      <c r="AS89" s="4">
        <v>6855</v>
      </c>
      <c r="AT89" s="4">
        <v>2970</v>
      </c>
      <c r="AU89" s="4">
        <v>-2412</v>
      </c>
      <c r="AV89" s="4">
        <v>9042</v>
      </c>
      <c r="AW89" s="4">
        <v>13162</v>
      </c>
      <c r="AX89" s="4">
        <v>14811</v>
      </c>
      <c r="AY89" s="4">
        <v>11365</v>
      </c>
    </row>
    <row r="91" spans="2:51" x14ac:dyDescent="0.2">
      <c r="B91" s="2" t="s">
        <v>137</v>
      </c>
      <c r="P91" s="4">
        <v>126800</v>
      </c>
      <c r="S91" s="4">
        <v>125200</v>
      </c>
      <c r="T91" s="4">
        <v>125300</v>
      </c>
    </row>
  </sheetData>
  <hyperlinks>
    <hyperlink ref="A1" location="Main!A1" display="Main" xr:uid="{84E49BAF-C032-4809-ADA8-26B17A09D6E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0E26-78CC-4DD0-891C-BE87E07FDFBB}">
  <dimension ref="A1:F9"/>
  <sheetViews>
    <sheetView workbookViewId="0">
      <selection activeCell="B2" sqref="B2"/>
    </sheetView>
  </sheetViews>
  <sheetFormatPr defaultRowHeight="12.75" x14ac:dyDescent="0.2"/>
  <cols>
    <col min="1" max="1" width="9.140625" style="2"/>
    <col min="2" max="2" width="10.140625" style="2" bestFit="1" customWidth="1"/>
    <col min="3" max="5" width="9.140625" style="2"/>
    <col min="6" max="6" width="11.28515625" style="2" bestFit="1" customWidth="1"/>
    <col min="7" max="16384" width="9.140625" style="2"/>
  </cols>
  <sheetData>
    <row r="1" spans="1:6" x14ac:dyDescent="0.2">
      <c r="A1" s="2" t="s">
        <v>37</v>
      </c>
    </row>
    <row r="2" spans="1:6" x14ac:dyDescent="0.2">
      <c r="B2" s="2" t="s">
        <v>138</v>
      </c>
      <c r="C2" s="2" t="s">
        <v>139</v>
      </c>
      <c r="D2" s="2" t="s">
        <v>140</v>
      </c>
      <c r="E2" s="2" t="s">
        <v>141</v>
      </c>
      <c r="F2" s="2" t="s">
        <v>142</v>
      </c>
    </row>
    <row r="3" spans="1:6" x14ac:dyDescent="0.2">
      <c r="B3" s="2">
        <v>12160492</v>
      </c>
      <c r="C3" s="2" t="s">
        <v>143</v>
      </c>
      <c r="D3" s="2" t="s">
        <v>144</v>
      </c>
      <c r="E3" s="2" t="s">
        <v>145</v>
      </c>
    </row>
    <row r="4" spans="1:6" x14ac:dyDescent="0.2">
      <c r="B4" s="2">
        <v>12160369</v>
      </c>
      <c r="C4" s="2" t="s">
        <v>146</v>
      </c>
      <c r="D4" s="2" t="s">
        <v>147</v>
      </c>
    </row>
    <row r="5" spans="1:6" x14ac:dyDescent="0.2">
      <c r="B5" s="2">
        <v>12160368</v>
      </c>
      <c r="C5" s="2" t="s">
        <v>148</v>
      </c>
      <c r="D5" s="2" t="s">
        <v>149</v>
      </c>
      <c r="E5" s="2" t="s">
        <v>145</v>
      </c>
    </row>
    <row r="6" spans="1:6" x14ac:dyDescent="0.2">
      <c r="B6" s="2">
        <v>12159813</v>
      </c>
      <c r="C6" s="2" t="s">
        <v>150</v>
      </c>
      <c r="D6" s="2" t="s">
        <v>151</v>
      </c>
    </row>
    <row r="7" spans="1:6" x14ac:dyDescent="0.2">
      <c r="B7" s="2">
        <v>12159353</v>
      </c>
      <c r="C7" s="2" t="s">
        <v>152</v>
      </c>
      <c r="D7" s="2" t="s">
        <v>153</v>
      </c>
    </row>
    <row r="8" spans="1:6" x14ac:dyDescent="0.2">
      <c r="B8" s="2">
        <v>12159901</v>
      </c>
      <c r="C8" s="2" t="s">
        <v>154</v>
      </c>
      <c r="D8" s="2" t="s">
        <v>155</v>
      </c>
      <c r="F8" s="10">
        <v>45629</v>
      </c>
    </row>
    <row r="9" spans="1:6" x14ac:dyDescent="0.2">
      <c r="B9" s="2">
        <v>12158966</v>
      </c>
      <c r="C9" s="2" t="s">
        <v>156</v>
      </c>
      <c r="D9" s="2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E2E7-FC5B-4608-9CC3-3B0D311E8F7E}">
  <dimension ref="B1:F21"/>
  <sheetViews>
    <sheetView workbookViewId="0"/>
  </sheetViews>
  <sheetFormatPr defaultRowHeight="12.75" x14ac:dyDescent="0.2"/>
  <cols>
    <col min="1" max="16384" width="9.140625" style="2"/>
  </cols>
  <sheetData>
    <row r="1" spans="2:6" x14ac:dyDescent="0.2">
      <c r="B1" s="2" t="s">
        <v>158</v>
      </c>
    </row>
    <row r="4" spans="2:6" x14ac:dyDescent="0.2">
      <c r="C4" s="2" t="s">
        <v>159</v>
      </c>
      <c r="D4" s="2" t="s">
        <v>160</v>
      </c>
      <c r="E4" s="2" t="s">
        <v>161</v>
      </c>
      <c r="F4" s="2" t="s">
        <v>162</v>
      </c>
    </row>
    <row r="5" spans="2:6" x14ac:dyDescent="0.2">
      <c r="B5" s="2" t="s">
        <v>163</v>
      </c>
      <c r="C5" s="2">
        <v>6</v>
      </c>
      <c r="D5" s="2">
        <v>5.6</v>
      </c>
      <c r="E5" s="2">
        <v>5.3</v>
      </c>
      <c r="F5" s="2">
        <v>4.7</v>
      </c>
    </row>
    <row r="6" spans="2:6" x14ac:dyDescent="0.2">
      <c r="B6" s="2" t="s">
        <v>164</v>
      </c>
      <c r="C6" s="2">
        <v>5.8</v>
      </c>
      <c r="D6" s="2">
        <v>5.6</v>
      </c>
      <c r="E6" s="2" t="s">
        <v>165</v>
      </c>
      <c r="F6" s="2" t="s">
        <v>165</v>
      </c>
    </row>
    <row r="7" spans="2:6" x14ac:dyDescent="0.2">
      <c r="B7" s="2" t="s">
        <v>166</v>
      </c>
      <c r="C7" s="2">
        <v>5.6</v>
      </c>
      <c r="D7" s="2">
        <v>5.5</v>
      </c>
      <c r="E7" s="2">
        <v>5.0999999999999996</v>
      </c>
      <c r="F7" s="2">
        <v>4.7</v>
      </c>
    </row>
    <row r="8" spans="2:6" x14ac:dyDescent="0.2">
      <c r="B8" s="2" t="s">
        <v>167</v>
      </c>
      <c r="C8" s="2">
        <v>4.4000000000000004</v>
      </c>
      <c r="D8" s="2">
        <v>4.3</v>
      </c>
      <c r="E8" s="2">
        <v>3.9</v>
      </c>
      <c r="F8" s="2" t="s">
        <v>165</v>
      </c>
    </row>
    <row r="9" spans="2:6" x14ac:dyDescent="0.2">
      <c r="B9" s="2" t="s">
        <v>168</v>
      </c>
      <c r="C9" s="2">
        <v>24</v>
      </c>
      <c r="D9" s="2">
        <v>20</v>
      </c>
      <c r="E9" s="2">
        <v>14</v>
      </c>
      <c r="F9" s="2">
        <v>4</v>
      </c>
    </row>
    <row r="10" spans="2:6" x14ac:dyDescent="0.2">
      <c r="B10" s="2" t="s">
        <v>169</v>
      </c>
      <c r="C10" s="2">
        <v>8</v>
      </c>
      <c r="D10" s="2">
        <v>8</v>
      </c>
      <c r="E10" s="2">
        <v>6</v>
      </c>
      <c r="F10" s="2">
        <v>4</v>
      </c>
    </row>
    <row r="11" spans="2:6" x14ac:dyDescent="0.2">
      <c r="B11" s="2" t="s">
        <v>170</v>
      </c>
      <c r="C11" s="2">
        <v>32</v>
      </c>
      <c r="D11" s="2">
        <v>28</v>
      </c>
      <c r="E11" s="2">
        <v>20</v>
      </c>
      <c r="F11" s="2">
        <v>8</v>
      </c>
    </row>
    <row r="12" spans="2:6" x14ac:dyDescent="0.2">
      <c r="B12" s="2" t="s">
        <v>171</v>
      </c>
      <c r="C12" s="2">
        <v>36</v>
      </c>
      <c r="D12" s="2">
        <v>33</v>
      </c>
      <c r="E12" s="2">
        <v>24</v>
      </c>
      <c r="F12" s="2">
        <v>12</v>
      </c>
    </row>
    <row r="15" spans="2:6" x14ac:dyDescent="0.2">
      <c r="B15" s="2" t="s">
        <v>172</v>
      </c>
      <c r="C15" s="2" t="s">
        <v>173</v>
      </c>
      <c r="E15" s="2" t="s">
        <v>174</v>
      </c>
      <c r="F15" s="2">
        <v>3.2</v>
      </c>
    </row>
    <row r="16" spans="2:6" x14ac:dyDescent="0.2">
      <c r="B16" s="2" t="s">
        <v>175</v>
      </c>
      <c r="C16" s="2" t="s">
        <v>176</v>
      </c>
      <c r="F16" s="2">
        <v>3.2</v>
      </c>
    </row>
    <row r="17" spans="2:6" x14ac:dyDescent="0.2">
      <c r="B17" s="2" t="s">
        <v>177</v>
      </c>
      <c r="C17" s="2" t="s">
        <v>178</v>
      </c>
      <c r="F17" s="2">
        <v>3.4</v>
      </c>
    </row>
    <row r="19" spans="2:6" x14ac:dyDescent="0.2">
      <c r="B19" s="2" t="s">
        <v>179</v>
      </c>
    </row>
    <row r="20" spans="2:6" x14ac:dyDescent="0.2">
      <c r="B20" s="2" t="s">
        <v>180</v>
      </c>
    </row>
    <row r="21" spans="2:6" x14ac:dyDescent="0.2">
      <c r="B21" s="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2025-06-18T11:53:41Z</dcterms:created>
  <dcterms:modified xsi:type="dcterms:W3CDTF">2026-05-17T11:16:00Z</dcterms:modified>
</cp:coreProperties>
</file>