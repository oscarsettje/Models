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81C089CC-B821-40F3-9D0A-FCB9D90BFEB2}" xr6:coauthVersionLast="47" xr6:coauthVersionMax="47" xr10:uidLastSave="{00000000-0000-0000-0000-000000000000}"/>
  <bookViews>
    <workbookView xWindow="19095" yWindow="0" windowWidth="19410" windowHeight="20985" xr2:uid="{3D17FBD5-4686-4900-BBF2-80842DD395C0}"/>
  </bookViews>
  <sheets>
    <sheet name="Main" sheetId="1" r:id="rId1"/>
    <sheet name="Model" sheetId="2" r:id="rId2"/>
    <sheet name="KPIs" sheetId="4" r:id="rId3"/>
    <sheet name="CoC" sheetId="3" r:id="rId4"/>
    <sheet name="DC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2" l="1"/>
  <c r="P21" i="2"/>
  <c r="P19" i="2"/>
  <c r="P15" i="2"/>
  <c r="P36" i="2" s="1"/>
  <c r="P13" i="2"/>
  <c r="P37" i="2"/>
  <c r="P35" i="2"/>
  <c r="P34" i="2"/>
  <c r="P33" i="2"/>
  <c r="P32" i="2"/>
  <c r="P31" i="2"/>
  <c r="P30" i="2"/>
  <c r="P29" i="2"/>
  <c r="P28" i="2"/>
  <c r="P27" i="2"/>
  <c r="P26" i="2"/>
  <c r="H7" i="1"/>
  <c r="O37" i="2"/>
  <c r="O36" i="2"/>
  <c r="O35" i="2"/>
  <c r="O34" i="2"/>
  <c r="O33" i="2"/>
  <c r="O32" i="2"/>
  <c r="O31" i="2"/>
  <c r="O30" i="2"/>
  <c r="O29" i="2"/>
  <c r="O28" i="2"/>
  <c r="O27" i="2"/>
  <c r="O26" i="2"/>
  <c r="O19" i="2"/>
  <c r="O21" i="2" s="1"/>
  <c r="O23" i="2" s="1"/>
  <c r="O15" i="2"/>
  <c r="O13" i="2"/>
  <c r="H45" i="4"/>
  <c r="H46" i="4" s="1"/>
  <c r="H43" i="4"/>
  <c r="H42" i="4"/>
  <c r="H22" i="4"/>
  <c r="H12" i="4"/>
  <c r="H14" i="4" s="1"/>
  <c r="H7" i="4"/>
  <c r="H5" i="4"/>
  <c r="H4" i="4"/>
  <c r="N20" i="2"/>
  <c r="N18" i="2"/>
  <c r="N17" i="2"/>
  <c r="N16" i="2"/>
  <c r="N14" i="2"/>
  <c r="N12" i="2"/>
  <c r="N11" i="2"/>
  <c r="N10" i="2"/>
  <c r="N9" i="2"/>
  <c r="N8" i="2"/>
  <c r="N7" i="2"/>
  <c r="N6" i="2"/>
  <c r="N5" i="2"/>
  <c r="N4" i="2"/>
  <c r="N3" i="2"/>
  <c r="Z93" i="2"/>
  <c r="Z88" i="2"/>
  <c r="Z79" i="2"/>
  <c r="Z63" i="2"/>
  <c r="Z57" i="2"/>
  <c r="Z49" i="2"/>
  <c r="Z44" i="2"/>
  <c r="Z13" i="2"/>
  <c r="Z34" i="2"/>
  <c r="Z33" i="2"/>
  <c r="Z32" i="2"/>
  <c r="Z31" i="2"/>
  <c r="Z30" i="2"/>
  <c r="Z29" i="2"/>
  <c r="Z28" i="2"/>
  <c r="Z27" i="2"/>
  <c r="Z26" i="2"/>
  <c r="M34" i="2"/>
  <c r="M33" i="2"/>
  <c r="M32" i="2"/>
  <c r="M31" i="2"/>
  <c r="M30" i="2"/>
  <c r="M29" i="2"/>
  <c r="M28" i="2"/>
  <c r="M27" i="2"/>
  <c r="M26" i="2"/>
  <c r="V59" i="5"/>
  <c r="M13" i="2"/>
  <c r="V58" i="5"/>
  <c r="L26" i="2"/>
  <c r="L34" i="2"/>
  <c r="L33" i="2"/>
  <c r="L32" i="2"/>
  <c r="L31" i="2"/>
  <c r="L30" i="2"/>
  <c r="L29" i="2"/>
  <c r="L28" i="2"/>
  <c r="L27" i="2"/>
  <c r="K26" i="2"/>
  <c r="L13" i="2"/>
  <c r="K34" i="2"/>
  <c r="K33" i="2"/>
  <c r="K32" i="2"/>
  <c r="K31" i="2"/>
  <c r="K30" i="2"/>
  <c r="K29" i="2"/>
  <c r="K28" i="2"/>
  <c r="K27" i="2"/>
  <c r="K13" i="2"/>
  <c r="V61" i="5"/>
  <c r="P28" i="5"/>
  <c r="Q28" i="5" s="1"/>
  <c r="R28" i="5" s="1"/>
  <c r="O28" i="5"/>
  <c r="L45" i="5"/>
  <c r="K45" i="5"/>
  <c r="J45" i="5"/>
  <c r="I45" i="5"/>
  <c r="H45" i="5"/>
  <c r="L42" i="5"/>
  <c r="K42" i="5"/>
  <c r="J42" i="5"/>
  <c r="I42" i="5"/>
  <c r="H42" i="5"/>
  <c r="L37" i="5"/>
  <c r="K37" i="5"/>
  <c r="J37" i="5"/>
  <c r="I37" i="5"/>
  <c r="H37" i="5"/>
  <c r="L25" i="5"/>
  <c r="K25" i="5"/>
  <c r="J25" i="5"/>
  <c r="I25" i="5"/>
  <c r="H25" i="5"/>
  <c r="F45" i="4"/>
  <c r="F46" i="4" s="1"/>
  <c r="E45" i="4"/>
  <c r="E46" i="4" s="1"/>
  <c r="D45" i="4"/>
  <c r="D46" i="4" s="1"/>
  <c r="G45" i="4"/>
  <c r="G46" i="4" s="1"/>
  <c r="F43" i="4"/>
  <c r="E43" i="4"/>
  <c r="D43" i="4"/>
  <c r="G43" i="4"/>
  <c r="F42" i="4"/>
  <c r="E42" i="4"/>
  <c r="D42" i="4"/>
  <c r="G42" i="4"/>
  <c r="F22" i="4"/>
  <c r="E22" i="4"/>
  <c r="D22" i="4"/>
  <c r="G22" i="4"/>
  <c r="F12" i="4"/>
  <c r="E12" i="4"/>
  <c r="D12" i="4"/>
  <c r="G12" i="4"/>
  <c r="G14" i="4" s="1"/>
  <c r="F7" i="4"/>
  <c r="E7" i="4"/>
  <c r="D7" i="4"/>
  <c r="C7" i="4"/>
  <c r="G7" i="4"/>
  <c r="F5" i="4"/>
  <c r="E5" i="4"/>
  <c r="D5" i="4"/>
  <c r="G5" i="4"/>
  <c r="F4" i="4"/>
  <c r="E4" i="4"/>
  <c r="D4" i="4"/>
  <c r="G4" i="4"/>
  <c r="H6" i="4" l="1"/>
  <c r="H8" i="4" s="1"/>
  <c r="H47" i="4"/>
  <c r="H16" i="4"/>
  <c r="Z64" i="2"/>
  <c r="Z66" i="2" s="1"/>
  <c r="K35" i="2"/>
  <c r="K15" i="2"/>
  <c r="F14" i="4"/>
  <c r="F13" i="4"/>
  <c r="E14" i="4"/>
  <c r="E13" i="4"/>
  <c r="D14" i="4"/>
  <c r="D13" i="4"/>
  <c r="H55" i="4"/>
  <c r="N13" i="2"/>
  <c r="Z84" i="2"/>
  <c r="Z50" i="2"/>
  <c r="H11" i="4"/>
  <c r="Z15" i="2"/>
  <c r="Z35" i="2"/>
  <c r="M35" i="2"/>
  <c r="M15" i="2"/>
  <c r="L35" i="2"/>
  <c r="L15" i="2"/>
  <c r="K19" i="2"/>
  <c r="K36" i="2"/>
  <c r="H13" i="4"/>
  <c r="G16" i="4"/>
  <c r="G47" i="4"/>
  <c r="E47" i="4"/>
  <c r="D47" i="4"/>
  <c r="F47" i="4"/>
  <c r="F6" i="4"/>
  <c r="E16" i="4"/>
  <c r="F16" i="4"/>
  <c r="G13" i="4"/>
  <c r="D6" i="4"/>
  <c r="G6" i="4"/>
  <c r="E6" i="4"/>
  <c r="I47" i="3"/>
  <c r="F37" i="3"/>
  <c r="F32" i="3"/>
  <c r="F20" i="3"/>
  <c r="F8" i="3"/>
  <c r="F22" i="3" s="1"/>
  <c r="L46" i="5"/>
  <c r="K46" i="5"/>
  <c r="J46" i="5"/>
  <c r="I46" i="5"/>
  <c r="H46" i="5"/>
  <c r="L43" i="5"/>
  <c r="K43" i="5"/>
  <c r="J43" i="5"/>
  <c r="I43" i="5"/>
  <c r="H43" i="5"/>
  <c r="M32" i="5" a="1"/>
  <c r="M32" i="5" s="1"/>
  <c r="N32" i="5" s="1" a="1"/>
  <c r="N32" i="5" s="1"/>
  <c r="O32" i="5" s="1" a="1"/>
  <c r="O32" i="5" s="1"/>
  <c r="P32" i="5" s="1" a="1"/>
  <c r="P32" i="5" s="1"/>
  <c r="Q32" i="5" s="1" a="1"/>
  <c r="Q32" i="5" s="1"/>
  <c r="R32" i="5" s="1" a="1"/>
  <c r="R32" i="5" s="1"/>
  <c r="S32" i="5" s="1" a="1"/>
  <c r="S32" i="5" s="1"/>
  <c r="T32" i="5" s="1" a="1"/>
  <c r="T32" i="5" s="1"/>
  <c r="U32" i="5" s="1" a="1"/>
  <c r="U32" i="5" s="1"/>
  <c r="V32" i="5" s="1" a="1"/>
  <c r="V32" i="5" s="1"/>
  <c r="V26" i="5" a="1"/>
  <c r="V26" i="5" s="1"/>
  <c r="U26" i="5" a="1"/>
  <c r="U26" i="5" s="1"/>
  <c r="T26" i="5" a="1"/>
  <c r="T26" i="5" s="1"/>
  <c r="S26" i="5" a="1"/>
  <c r="S26" i="5" s="1"/>
  <c r="R26" i="5" a="1"/>
  <c r="R26" i="5" s="1"/>
  <c r="Q26" i="5" a="1"/>
  <c r="Q26" i="5" s="1"/>
  <c r="P26" i="5" a="1"/>
  <c r="P26" i="5" s="1"/>
  <c r="O26" i="5" a="1"/>
  <c r="O26" i="5" s="1"/>
  <c r="N26" i="5" a="1"/>
  <c r="N26" i="5" s="1"/>
  <c r="M26" i="5" a="1"/>
  <c r="M26" i="5" s="1"/>
  <c r="M25" i="5" s="1"/>
  <c r="L26" i="5"/>
  <c r="K26" i="5"/>
  <c r="J26" i="5"/>
  <c r="I26" i="5"/>
  <c r="H24" i="5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E20" i="5"/>
  <c r="E19" i="5"/>
  <c r="E18" i="5"/>
  <c r="O4" i="5"/>
  <c r="E4" i="5"/>
  <c r="H60" i="4" l="1"/>
  <c r="H57" i="4"/>
  <c r="H58" i="4"/>
  <c r="N35" i="2"/>
  <c r="N15" i="2"/>
  <c r="Z19" i="2"/>
  <c r="H24" i="4"/>
  <c r="Z36" i="2"/>
  <c r="M19" i="2"/>
  <c r="M36" i="2"/>
  <c r="L36" i="2"/>
  <c r="L19" i="2"/>
  <c r="K37" i="2"/>
  <c r="K21" i="2"/>
  <c r="K23" i="2" s="1"/>
  <c r="Z95" i="2"/>
  <c r="H54" i="4"/>
  <c r="H44" i="4"/>
  <c r="H53" i="4"/>
  <c r="E55" i="4"/>
  <c r="G55" i="4"/>
  <c r="D55" i="4"/>
  <c r="F8" i="4"/>
  <c r="F55" i="4"/>
  <c r="M53" i="5"/>
  <c r="N53" i="5" s="1"/>
  <c r="O53" i="5" s="1"/>
  <c r="P53" i="5" s="1"/>
  <c r="Q53" i="5" s="1"/>
  <c r="R53" i="5" s="1"/>
  <c r="S53" i="5" s="1"/>
  <c r="T53" i="5" s="1"/>
  <c r="U53" i="5" s="1"/>
  <c r="V53" i="5" s="1"/>
  <c r="G8" i="4"/>
  <c r="E8" i="4"/>
  <c r="D8" i="4"/>
  <c r="F41" i="3"/>
  <c r="M42" i="5"/>
  <c r="M48" i="5"/>
  <c r="M45" i="5"/>
  <c r="N25" i="5"/>
  <c r="N31" i="5" s="1"/>
  <c r="M31" i="5"/>
  <c r="N36" i="2" l="1"/>
  <c r="N19" i="2"/>
  <c r="Z21" i="2"/>
  <c r="Z37" i="2"/>
  <c r="H15" i="4" s="1"/>
  <c r="M21" i="2"/>
  <c r="M23" i="2" s="1"/>
  <c r="M37" i="2"/>
  <c r="L37" i="2"/>
  <c r="L21" i="2"/>
  <c r="L23" i="2" s="1"/>
  <c r="D60" i="4"/>
  <c r="E60" i="4"/>
  <c r="G60" i="4"/>
  <c r="F60" i="4"/>
  <c r="N37" i="5"/>
  <c r="N40" i="5" s="1"/>
  <c r="M37" i="5"/>
  <c r="M40" i="5" s="1"/>
  <c r="M51" i="5" s="1"/>
  <c r="M52" i="5" s="1"/>
  <c r="N42" i="5"/>
  <c r="O25" i="5"/>
  <c r="N48" i="5"/>
  <c r="N45" i="5"/>
  <c r="N37" i="2" l="1"/>
  <c r="N21" i="2"/>
  <c r="N23" i="2" s="1"/>
  <c r="H51" i="4"/>
  <c r="H23" i="4"/>
  <c r="H29" i="4"/>
  <c r="H31" i="4" s="1"/>
  <c r="Z23" i="2"/>
  <c r="H17" i="4"/>
  <c r="H59" i="4" s="1"/>
  <c r="H30" i="4"/>
  <c r="H18" i="4"/>
  <c r="H25" i="4"/>
  <c r="H26" i="4"/>
  <c r="N51" i="5"/>
  <c r="N52" i="5" s="1"/>
  <c r="O42" i="5"/>
  <c r="P25" i="5"/>
  <c r="O45" i="5"/>
  <c r="O48" i="5"/>
  <c r="O31" i="5"/>
  <c r="H32" i="4" l="1"/>
  <c r="O37" i="5"/>
  <c r="O40" i="5" s="1"/>
  <c r="O51" i="5" s="1"/>
  <c r="O52" i="5" s="1"/>
  <c r="P42" i="5"/>
  <c r="Q25" i="5"/>
  <c r="P45" i="5"/>
  <c r="P48" i="5"/>
  <c r="P31" i="5"/>
  <c r="Q42" i="5" l="1"/>
  <c r="R25" i="5"/>
  <c r="Q45" i="5"/>
  <c r="Q48" i="5"/>
  <c r="Q31" i="5"/>
  <c r="P37" i="5"/>
  <c r="P40" i="5" s="1"/>
  <c r="P51" i="5" s="1"/>
  <c r="P52" i="5" s="1"/>
  <c r="Q37" i="5" l="1"/>
  <c r="Q40" i="5" s="1"/>
  <c r="Q51" i="5" s="1"/>
  <c r="Q52" i="5" s="1"/>
  <c r="R42" i="5"/>
  <c r="S25" i="5"/>
  <c r="R45" i="5"/>
  <c r="R48" i="5"/>
  <c r="R31" i="5"/>
  <c r="R37" i="5" l="1"/>
  <c r="R40" i="5" s="1"/>
  <c r="R51" i="5" s="1"/>
  <c r="R52" i="5" s="1"/>
  <c r="S42" i="5"/>
  <c r="T25" i="5"/>
  <c r="S45" i="5"/>
  <c r="S48" i="5"/>
  <c r="S31" i="5"/>
  <c r="S37" i="5" l="1"/>
  <c r="S40" i="5" s="1"/>
  <c r="S51" i="5" s="1"/>
  <c r="S52" i="5" s="1"/>
  <c r="T42" i="5"/>
  <c r="U25" i="5"/>
  <c r="T45" i="5"/>
  <c r="T48" i="5"/>
  <c r="T31" i="5"/>
  <c r="T37" i="5" l="1"/>
  <c r="T40" i="5" s="1"/>
  <c r="T51" i="5" s="1"/>
  <c r="T52" i="5" s="1"/>
  <c r="V25" i="5"/>
  <c r="U45" i="5"/>
  <c r="U48" i="5"/>
  <c r="U42" i="5"/>
  <c r="U31" i="5"/>
  <c r="U37" i="5" l="1"/>
  <c r="U40" i="5" s="1"/>
  <c r="U51" i="5" s="1"/>
  <c r="U52" i="5" s="1"/>
  <c r="V45" i="5"/>
  <c r="V48" i="5"/>
  <c r="V42" i="5"/>
  <c r="V31" i="5"/>
  <c r="V37" i="5" l="1"/>
  <c r="V40" i="5" s="1"/>
  <c r="V55" i="5" l="1"/>
  <c r="V56" i="5" s="1"/>
  <c r="V51" i="5"/>
  <c r="V52" i="5" s="1"/>
  <c r="V54" i="5" s="1"/>
  <c r="V57" i="5" l="1"/>
  <c r="V60" i="5" s="1"/>
  <c r="V62" i="5" s="1"/>
  <c r="J4" i="5" s="1"/>
  <c r="N69" i="5" l="1"/>
  <c r="C69" i="5"/>
  <c r="T3" i="2"/>
  <c r="U3" i="2"/>
  <c r="U26" i="2" s="1"/>
  <c r="T89" i="2"/>
  <c r="T93" i="2" s="1"/>
  <c r="U90" i="2"/>
  <c r="U89" i="2"/>
  <c r="U93" i="2" s="1"/>
  <c r="V97" i="2"/>
  <c r="V91" i="2"/>
  <c r="V90" i="2"/>
  <c r="T87" i="2"/>
  <c r="T88" i="2" s="1"/>
  <c r="U87" i="2"/>
  <c r="V87" i="2"/>
  <c r="V88" i="2" s="1"/>
  <c r="U88" i="2"/>
  <c r="U79" i="2"/>
  <c r="T79" i="2"/>
  <c r="T84" i="2" s="1"/>
  <c r="U63" i="2"/>
  <c r="T63" i="2"/>
  <c r="U57" i="2"/>
  <c r="U64" i="2" s="1"/>
  <c r="U66" i="2" s="1"/>
  <c r="T57" i="2"/>
  <c r="U49" i="2"/>
  <c r="T49" i="2"/>
  <c r="U44" i="2"/>
  <c r="T44" i="2"/>
  <c r="V34" i="2"/>
  <c r="U34" i="2"/>
  <c r="V33" i="2"/>
  <c r="U33" i="2"/>
  <c r="V32" i="2"/>
  <c r="U32" i="2"/>
  <c r="V31" i="2"/>
  <c r="U31" i="2"/>
  <c r="V30" i="2"/>
  <c r="U30" i="2"/>
  <c r="V29" i="2"/>
  <c r="U29" i="2"/>
  <c r="U28" i="2"/>
  <c r="V27" i="2"/>
  <c r="U27" i="2"/>
  <c r="U13" i="2"/>
  <c r="U15" i="2" s="1"/>
  <c r="T13" i="2"/>
  <c r="T15" i="2" s="1"/>
  <c r="T19" i="2" s="1"/>
  <c r="T21" i="2" s="1"/>
  <c r="J11" i="2"/>
  <c r="N34" i="2" s="1"/>
  <c r="W97" i="2"/>
  <c r="X97" i="2"/>
  <c r="X93" i="2"/>
  <c r="W93" i="2"/>
  <c r="Y93" i="2"/>
  <c r="X88" i="2"/>
  <c r="W88" i="2"/>
  <c r="Y88" i="2"/>
  <c r="X79" i="2"/>
  <c r="W79" i="2"/>
  <c r="V79" i="2"/>
  <c r="Y79" i="2"/>
  <c r="X63" i="2"/>
  <c r="W63" i="2"/>
  <c r="V63" i="2"/>
  <c r="X57" i="2"/>
  <c r="W57" i="2"/>
  <c r="V57" i="2"/>
  <c r="Y63" i="2"/>
  <c r="Y57" i="2"/>
  <c r="X49" i="2"/>
  <c r="F11" i="4" s="1"/>
  <c r="W49" i="2"/>
  <c r="E11" i="4" s="1"/>
  <c r="V49" i="2"/>
  <c r="D11" i="4" s="1"/>
  <c r="Y49" i="2"/>
  <c r="G11" i="4" s="1"/>
  <c r="X44" i="2"/>
  <c r="W44" i="2"/>
  <c r="V44" i="2"/>
  <c r="Y44" i="2"/>
  <c r="J24" i="2"/>
  <c r="J20" i="2"/>
  <c r="J18" i="2"/>
  <c r="J17" i="2"/>
  <c r="J16" i="2"/>
  <c r="J14" i="2"/>
  <c r="J12" i="2"/>
  <c r="J10" i="2"/>
  <c r="N33" i="2" s="1"/>
  <c r="J9" i="2"/>
  <c r="N32" i="2" s="1"/>
  <c r="J8" i="2"/>
  <c r="N31" i="2" s="1"/>
  <c r="J7" i="2"/>
  <c r="N30" i="2" s="1"/>
  <c r="J6" i="2"/>
  <c r="N29" i="2" s="1"/>
  <c r="J5" i="2"/>
  <c r="N28" i="2" s="1"/>
  <c r="J4" i="2"/>
  <c r="N27" i="2" s="1"/>
  <c r="J3" i="2"/>
  <c r="F24" i="2"/>
  <c r="F20" i="2"/>
  <c r="F18" i="2"/>
  <c r="F17" i="2"/>
  <c r="F16" i="2"/>
  <c r="F14" i="2"/>
  <c r="F12" i="2"/>
  <c r="F11" i="2"/>
  <c r="F10" i="2"/>
  <c r="F9" i="2"/>
  <c r="F8" i="2"/>
  <c r="F7" i="2"/>
  <c r="F6" i="2"/>
  <c r="F5" i="2"/>
  <c r="F4" i="2"/>
  <c r="F3" i="2"/>
  <c r="V3" i="2"/>
  <c r="V5" i="2"/>
  <c r="W28" i="2" s="1"/>
  <c r="X34" i="2"/>
  <c r="W34" i="2"/>
  <c r="X33" i="2"/>
  <c r="W33" i="2"/>
  <c r="X32" i="2"/>
  <c r="W32" i="2"/>
  <c r="X31" i="2"/>
  <c r="W31" i="2"/>
  <c r="X30" i="2"/>
  <c r="W30" i="2"/>
  <c r="X29" i="2"/>
  <c r="W29" i="2"/>
  <c r="X28" i="2"/>
  <c r="X27" i="2"/>
  <c r="W27" i="2"/>
  <c r="X26" i="2"/>
  <c r="Y34" i="2"/>
  <c r="Y33" i="2"/>
  <c r="Y32" i="2"/>
  <c r="Y31" i="2"/>
  <c r="Y30" i="2"/>
  <c r="Y29" i="2"/>
  <c r="Y28" i="2"/>
  <c r="Y27" i="2"/>
  <c r="Y26" i="2"/>
  <c r="X13" i="2"/>
  <c r="X35" i="2" s="1"/>
  <c r="W13" i="2"/>
  <c r="W15" i="2" s="1"/>
  <c r="V13" i="2"/>
  <c r="V15" i="2" s="1"/>
  <c r="V36" i="2" s="1"/>
  <c r="Y13" i="2"/>
  <c r="Y15" i="2" s="1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I33" i="2"/>
  <c r="I32" i="2"/>
  <c r="I31" i="2"/>
  <c r="I30" i="2"/>
  <c r="I29" i="2"/>
  <c r="I28" i="2"/>
  <c r="I27" i="2"/>
  <c r="I26" i="2"/>
  <c r="I34" i="2"/>
  <c r="H13" i="2"/>
  <c r="H15" i="2" s="1"/>
  <c r="H19" i="2" s="1"/>
  <c r="H37" i="2" s="1"/>
  <c r="G13" i="2"/>
  <c r="G15" i="2" s="1"/>
  <c r="G19" i="2" s="1"/>
  <c r="G37" i="2" s="1"/>
  <c r="E13" i="2"/>
  <c r="E15" i="2" s="1"/>
  <c r="E19" i="2" s="1"/>
  <c r="E37" i="2" s="1"/>
  <c r="D13" i="2"/>
  <c r="D15" i="2" s="1"/>
  <c r="D19" i="2" s="1"/>
  <c r="D37" i="2" s="1"/>
  <c r="C13" i="2"/>
  <c r="C15" i="2" s="1"/>
  <c r="C19" i="2" s="1"/>
  <c r="C37" i="2" s="1"/>
  <c r="I13" i="2"/>
  <c r="I15" i="2" s="1"/>
  <c r="I19" i="2" s="1"/>
  <c r="I21" i="2" s="1"/>
  <c r="I23" i="2" s="1"/>
  <c r="H3" i="1"/>
  <c r="N26" i="2" l="1"/>
  <c r="J26" i="2"/>
  <c r="W26" i="2"/>
  <c r="V26" i="2"/>
  <c r="T50" i="2"/>
  <c r="H5" i="1"/>
  <c r="H8" i="1" s="1"/>
  <c r="J3" i="5"/>
  <c r="T64" i="2"/>
  <c r="T66" i="2" s="1"/>
  <c r="T35" i="2"/>
  <c r="U35" i="2"/>
  <c r="J33" i="2"/>
  <c r="V35" i="2"/>
  <c r="H31" i="5"/>
  <c r="U19" i="2"/>
  <c r="U36" i="2"/>
  <c r="T95" i="2"/>
  <c r="U84" i="2"/>
  <c r="U95" i="2" s="1"/>
  <c r="H48" i="5"/>
  <c r="H49" i="5" s="1"/>
  <c r="W50" i="2"/>
  <c r="L31" i="5"/>
  <c r="G24" i="4"/>
  <c r="G58" i="4"/>
  <c r="G57" i="4"/>
  <c r="T37" i="2"/>
  <c r="V84" i="2"/>
  <c r="D54" i="4" s="1"/>
  <c r="I48" i="5"/>
  <c r="I49" i="5" s="1"/>
  <c r="T36" i="2"/>
  <c r="I31" i="5"/>
  <c r="D24" i="4"/>
  <c r="D57" i="4"/>
  <c r="D58" i="4"/>
  <c r="X84" i="2"/>
  <c r="F54" i="4" s="1"/>
  <c r="K48" i="5"/>
  <c r="K49" i="5" s="1"/>
  <c r="V93" i="2"/>
  <c r="W19" i="2"/>
  <c r="W21" i="2" s="1"/>
  <c r="J31" i="5"/>
  <c r="E24" i="4"/>
  <c r="E57" i="4"/>
  <c r="E58" i="4"/>
  <c r="Y84" i="2"/>
  <c r="G54" i="4" s="1"/>
  <c r="L48" i="5"/>
  <c r="L49" i="5" s="1"/>
  <c r="V28" i="2"/>
  <c r="W84" i="2"/>
  <c r="E54" i="4" s="1"/>
  <c r="J48" i="5"/>
  <c r="J49" i="5" s="1"/>
  <c r="J32" i="2"/>
  <c r="U50" i="2"/>
  <c r="V64" i="2"/>
  <c r="V66" i="2" s="1"/>
  <c r="V50" i="2"/>
  <c r="J13" i="2"/>
  <c r="J15" i="2" s="1"/>
  <c r="J36" i="2" s="1"/>
  <c r="J29" i="2"/>
  <c r="W64" i="2"/>
  <c r="W66" i="2" s="1"/>
  <c r="Y64" i="2"/>
  <c r="Y66" i="2" s="1"/>
  <c r="D21" i="2"/>
  <c r="D23" i="2" s="1"/>
  <c r="E21" i="2"/>
  <c r="E23" i="2" s="1"/>
  <c r="J27" i="2"/>
  <c r="J28" i="2"/>
  <c r="Y50" i="2"/>
  <c r="X50" i="2"/>
  <c r="H21" i="2"/>
  <c r="H23" i="2" s="1"/>
  <c r="J30" i="2"/>
  <c r="X64" i="2"/>
  <c r="X66" i="2" s="1"/>
  <c r="J31" i="2"/>
  <c r="F13" i="2"/>
  <c r="F15" i="2" s="1"/>
  <c r="F19" i="2" s="1"/>
  <c r="F37" i="2" s="1"/>
  <c r="J34" i="2"/>
  <c r="C21" i="2"/>
  <c r="C23" i="2" s="1"/>
  <c r="G21" i="2"/>
  <c r="G23" i="2" s="1"/>
  <c r="X15" i="2"/>
  <c r="C36" i="2"/>
  <c r="D36" i="2"/>
  <c r="E36" i="2"/>
  <c r="G36" i="2"/>
  <c r="H36" i="2"/>
  <c r="Y35" i="2"/>
  <c r="W35" i="2"/>
  <c r="Y19" i="2"/>
  <c r="Y36" i="2"/>
  <c r="V19" i="2"/>
  <c r="V37" i="2" s="1"/>
  <c r="D15" i="4" s="1"/>
  <c r="W36" i="2"/>
  <c r="I35" i="2"/>
  <c r="I36" i="2"/>
  <c r="I37" i="2"/>
  <c r="C35" i="2"/>
  <c r="D35" i="2"/>
  <c r="E35" i="2"/>
  <c r="G35" i="2"/>
  <c r="H35" i="2"/>
  <c r="O3" i="5" l="1"/>
  <c r="O5" i="5" s="1"/>
  <c r="J5" i="5"/>
  <c r="Y95" i="2"/>
  <c r="Y97" i="2" s="1"/>
  <c r="W37" i="2"/>
  <c r="E15" i="4" s="1"/>
  <c r="E17" i="4" s="1"/>
  <c r="E59" i="4" s="1"/>
  <c r="V95" i="2"/>
  <c r="V96" i="2" s="1"/>
  <c r="U97" i="2" s="1"/>
  <c r="U96" i="2" s="1"/>
  <c r="T97" i="2" s="1"/>
  <c r="T96" i="2" s="1"/>
  <c r="F35" i="2"/>
  <c r="F21" i="2"/>
  <c r="F23" i="2" s="1"/>
  <c r="D25" i="4"/>
  <c r="D26" i="4"/>
  <c r="D30" i="4"/>
  <c r="W23" i="2"/>
  <c r="E29" i="4"/>
  <c r="E23" i="4"/>
  <c r="E51" i="4"/>
  <c r="E44" i="4"/>
  <c r="E53" i="4"/>
  <c r="X36" i="2"/>
  <c r="K31" i="5"/>
  <c r="F24" i="4"/>
  <c r="F57" i="4"/>
  <c r="F58" i="4"/>
  <c r="D44" i="4"/>
  <c r="D53" i="4"/>
  <c r="F44" i="4"/>
  <c r="F53" i="4"/>
  <c r="G44" i="4"/>
  <c r="G53" i="4"/>
  <c r="J32" i="5"/>
  <c r="J38" i="5"/>
  <c r="J40" i="5"/>
  <c r="J51" i="5" s="1"/>
  <c r="U37" i="2"/>
  <c r="U21" i="2"/>
  <c r="I38" i="5"/>
  <c r="I32" i="5"/>
  <c r="I40" i="5"/>
  <c r="I51" i="5" s="1"/>
  <c r="L32" i="5"/>
  <c r="L40" i="5"/>
  <c r="L51" i="5" s="1"/>
  <c r="L38" i="5"/>
  <c r="J35" i="2"/>
  <c r="X95" i="2"/>
  <c r="W95" i="2"/>
  <c r="H38" i="5"/>
  <c r="H40" i="5"/>
  <c r="H51" i="5" s="1"/>
  <c r="H32" i="5"/>
  <c r="J19" i="2"/>
  <c r="J37" i="2" s="1"/>
  <c r="F36" i="2"/>
  <c r="X19" i="2"/>
  <c r="X21" i="2" s="1"/>
  <c r="V21" i="2"/>
  <c r="Y21" i="2"/>
  <c r="H52" i="4" s="1"/>
  <c r="Y37" i="2"/>
  <c r="G15" i="4" s="1"/>
  <c r="E30" i="4" l="1"/>
  <c r="E32" i="4" s="1"/>
  <c r="E18" i="4"/>
  <c r="E26" i="4"/>
  <c r="E25" i="4"/>
  <c r="E31" i="4"/>
  <c r="G29" i="4"/>
  <c r="G23" i="4"/>
  <c r="G31" i="4" s="1"/>
  <c r="G51" i="4"/>
  <c r="G52" i="4" s="1"/>
  <c r="V23" i="2"/>
  <c r="D29" i="4"/>
  <c r="D23" i="4"/>
  <c r="D51" i="4"/>
  <c r="X23" i="2"/>
  <c r="F29" i="4"/>
  <c r="F23" i="4"/>
  <c r="F51" i="4"/>
  <c r="F52" i="4" s="1"/>
  <c r="K32" i="5"/>
  <c r="K38" i="5"/>
  <c r="K40" i="5"/>
  <c r="K51" i="5" s="1"/>
  <c r="E52" i="4"/>
  <c r="D32" i="4"/>
  <c r="G18" i="4"/>
  <c r="G17" i="4"/>
  <c r="G59" i="4" s="1"/>
  <c r="G25" i="4"/>
  <c r="G26" i="4"/>
  <c r="G30" i="4"/>
  <c r="X37" i="2"/>
  <c r="F15" i="4" s="1"/>
  <c r="Y23" i="2"/>
  <c r="J21" i="2"/>
  <c r="J23" i="2" s="1"/>
  <c r="G32" i="4" l="1"/>
  <c r="F17" i="4"/>
  <c r="F59" i="4" s="1"/>
  <c r="F25" i="4"/>
  <c r="F26" i="4"/>
  <c r="F18" i="4"/>
  <c r="F30" i="4"/>
  <c r="F31" i="4"/>
  <c r="D31" i="4"/>
  <c r="F3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tc={C9298910-17E7-4DEE-A9D3-1318C1C81CC5}</author>
  </authors>
  <commentList>
    <comment ref="C2" authorId="0" shapeId="0" xr:uid="{C9298910-17E7-4DEE-A9D3-1318C1C81CC5}">
      <text>
        <t>[Threaded comment]
Your version of Excel allows you to read this threaded comment; however, any edits to it will get removed if the file is opened in a newer version of Excel. Learn more: https://go.microsoft.com/fwlink/?linkid=870924
Comment:
    IPO 2021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tc={22A598DD-03DC-43EF-BB65-262C3039A17C}</author>
  </authors>
  <commentList>
    <comment ref="B38" authorId="0" shapeId="0" xr:uid="{22A598DD-03DC-43EF-BB65-262C3039A17C}">
      <text>
        <t>[Threaded comment]
Your version of Excel allows you to read this threaded comment; however, any edits to it will get removed if the file is opened in a newer version of Excel. Learn more: https://go.microsoft.com/fwlink/?linkid=870924
Comment:
    8,5% satutory tax rate switzerland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<sst xmlns="http://schemas.openxmlformats.org/spreadsheetml/2006/main" count="475" uniqueCount="317">
  <si>
    <t>On Holding</t>
  </si>
  <si>
    <t>IR</t>
  </si>
  <si>
    <t>Q124</t>
  </si>
  <si>
    <t>Shares</t>
  </si>
  <si>
    <t>MC</t>
  </si>
  <si>
    <t>Cash</t>
  </si>
  <si>
    <t>Debt</t>
  </si>
  <si>
    <t>EV</t>
  </si>
  <si>
    <t>ONON</t>
  </si>
  <si>
    <t>Main</t>
  </si>
  <si>
    <t>Q224</t>
  </si>
  <si>
    <t>Q324</t>
  </si>
  <si>
    <t>Q424</t>
  </si>
  <si>
    <t>Q123</t>
  </si>
  <si>
    <t>Q223</t>
  </si>
  <si>
    <t>Q323</t>
  </si>
  <si>
    <t>Q423</t>
  </si>
  <si>
    <t>numbers in mio CHF</t>
  </si>
  <si>
    <t>Price CHF</t>
  </si>
  <si>
    <t>Price USD</t>
  </si>
  <si>
    <t>USD/CHF</t>
  </si>
  <si>
    <t>Revenue</t>
  </si>
  <si>
    <t>COGS</t>
  </si>
  <si>
    <t>Gross Profit</t>
  </si>
  <si>
    <t>Wholesale Revenue</t>
  </si>
  <si>
    <t>DTC Revenue</t>
  </si>
  <si>
    <t>Asia Pacific Revenue</t>
  </si>
  <si>
    <t>Shoes Revenue</t>
  </si>
  <si>
    <t>Appereal Revenue</t>
  </si>
  <si>
    <t>Accessoires Revenue</t>
  </si>
  <si>
    <t>SGA</t>
  </si>
  <si>
    <t>Operating Income</t>
  </si>
  <si>
    <t>Interest Income</t>
  </si>
  <si>
    <t>Interest Expenses</t>
  </si>
  <si>
    <t>Loss on foreign exchanges</t>
  </si>
  <si>
    <t>Pretax Income</t>
  </si>
  <si>
    <t>Net Income</t>
  </si>
  <si>
    <t>EPS</t>
  </si>
  <si>
    <t>Segments</t>
  </si>
  <si>
    <t>Shoes</t>
  </si>
  <si>
    <t>Appereal</t>
  </si>
  <si>
    <t>Accessoires</t>
  </si>
  <si>
    <t>Europe Growth</t>
  </si>
  <si>
    <t>America Growth</t>
  </si>
  <si>
    <t>Asia Pacific Growth</t>
  </si>
  <si>
    <t>Shoes Growth</t>
  </si>
  <si>
    <t>Appereal Growth</t>
  </si>
  <si>
    <t>Accessoires Growth</t>
  </si>
  <si>
    <t>Wholesale Growth</t>
  </si>
  <si>
    <t>DTC Growth</t>
  </si>
  <si>
    <t>Revenue Growth</t>
  </si>
  <si>
    <t>Gross Margin</t>
  </si>
  <si>
    <t>Operating Margin</t>
  </si>
  <si>
    <t>Tax Rate</t>
  </si>
  <si>
    <t>FY21</t>
  </si>
  <si>
    <t>FY22</t>
  </si>
  <si>
    <t>FY23</t>
  </si>
  <si>
    <t>FY24</t>
  </si>
  <si>
    <t>Tax Expense</t>
  </si>
  <si>
    <t>Notes</t>
  </si>
  <si>
    <t>2024 multi-year brand partnership with Zendaya</t>
  </si>
  <si>
    <t>Employee Count: 3.254</t>
  </si>
  <si>
    <t>n.a.</t>
  </si>
  <si>
    <t>IPO 2021</t>
  </si>
  <si>
    <t>EMEA Revenue</t>
  </si>
  <si>
    <t>Americas Revenue</t>
  </si>
  <si>
    <t>Vietnam Tariffs: 46%</t>
  </si>
  <si>
    <t>Cash &amp; Cash Equivalents</t>
  </si>
  <si>
    <t>Account Receivables</t>
  </si>
  <si>
    <t>Inventories</t>
  </si>
  <si>
    <t>Other Financial Assets</t>
  </si>
  <si>
    <t>Other</t>
  </si>
  <si>
    <t>Current Assets</t>
  </si>
  <si>
    <t>PP&amp;E</t>
  </si>
  <si>
    <t>Leases</t>
  </si>
  <si>
    <t>Intangibles</t>
  </si>
  <si>
    <t>Deferred Tax Assets</t>
  </si>
  <si>
    <t>Non-Current Assets</t>
  </si>
  <si>
    <t>Total Assets</t>
  </si>
  <si>
    <t>Account Payables</t>
  </si>
  <si>
    <t>Current Lease Liabilties</t>
  </si>
  <si>
    <t>Other Financial Liabilties</t>
  </si>
  <si>
    <t>Other Operating Liabilties</t>
  </si>
  <si>
    <t>Current Provisions</t>
  </si>
  <si>
    <t>Income Tax Liabilities</t>
  </si>
  <si>
    <t>Current Liabilties</t>
  </si>
  <si>
    <t>Non-current Provisions</t>
  </si>
  <si>
    <t>Employee benefits</t>
  </si>
  <si>
    <t>Lease liabilities</t>
  </si>
  <si>
    <t>Deferred Tax Liabilties</t>
  </si>
  <si>
    <t>Non-current Liabilities</t>
  </si>
  <si>
    <t>Total Liabilties</t>
  </si>
  <si>
    <t>Equity</t>
  </si>
  <si>
    <t>Total Liabilties &amp; Equity</t>
  </si>
  <si>
    <t>SBCs</t>
  </si>
  <si>
    <t>Employee Benefits</t>
  </si>
  <si>
    <t>D&amp;A</t>
  </si>
  <si>
    <t>CFFO</t>
  </si>
  <si>
    <t>Loss on Disposal of Assets</t>
  </si>
  <si>
    <t>Interest Income and Expenses</t>
  </si>
  <si>
    <t>Net Exchange Differences</t>
  </si>
  <si>
    <t>Income taxes</t>
  </si>
  <si>
    <t>Change in Receivables</t>
  </si>
  <si>
    <t>Change in Inventories</t>
  </si>
  <si>
    <t>Change in Payables</t>
  </si>
  <si>
    <t>Change in WC</t>
  </si>
  <si>
    <t>Change in other current A/L</t>
  </si>
  <si>
    <t>Change in Provisions</t>
  </si>
  <si>
    <t>Interest Received</t>
  </si>
  <si>
    <t>Taxes Paid</t>
  </si>
  <si>
    <t>CapEx</t>
  </si>
  <si>
    <t>Disposal of Intangibles</t>
  </si>
  <si>
    <t>Purchase of Intangibles</t>
  </si>
  <si>
    <t>CFFI</t>
  </si>
  <si>
    <t>FX Effect</t>
  </si>
  <si>
    <t>Change in Cash</t>
  </si>
  <si>
    <t>Payment of Lease Liabilties</t>
  </si>
  <si>
    <t>Issuance of Stock</t>
  </si>
  <si>
    <t>Disposal of Treasury Shares</t>
  </si>
  <si>
    <t>Interest Paid</t>
  </si>
  <si>
    <t>CFFF</t>
  </si>
  <si>
    <t>Cash BoP</t>
  </si>
  <si>
    <t>Cash EoP</t>
  </si>
  <si>
    <t xml:space="preserve">Manufacturing: 25 Suppliers; </t>
  </si>
  <si>
    <t xml:space="preserve">Footwear 8 Vietnam, 1 Indonesia, Appereal 13 Suppliers -&gt; </t>
  </si>
  <si>
    <t>Vietnam, Portugal, Turkey, China</t>
  </si>
  <si>
    <t>Management</t>
  </si>
  <si>
    <t>CEO</t>
  </si>
  <si>
    <t>CFO</t>
  </si>
  <si>
    <t>FY19</t>
  </si>
  <si>
    <t>FY20</t>
  </si>
  <si>
    <t>Ticker</t>
  </si>
  <si>
    <t>Share Price</t>
  </si>
  <si>
    <t>Date</t>
  </si>
  <si>
    <t>Fair Share Price</t>
  </si>
  <si>
    <t>Scneario DCF Price</t>
  </si>
  <si>
    <t>End of FY</t>
  </si>
  <si>
    <t>Implied Upside</t>
  </si>
  <si>
    <t>x</t>
  </si>
  <si>
    <t>Assumptions</t>
  </si>
  <si>
    <t>Switches</t>
  </si>
  <si>
    <t>Conservative Case</t>
  </si>
  <si>
    <t>Base Case</t>
  </si>
  <si>
    <t>Optimistic Case</t>
  </si>
  <si>
    <t>Assuptions</t>
  </si>
  <si>
    <t>Year</t>
  </si>
  <si>
    <t>Metic</t>
  </si>
  <si>
    <t xml:space="preserve">Revenue </t>
  </si>
  <si>
    <t>EBIT</t>
  </si>
  <si>
    <t>WACC</t>
  </si>
  <si>
    <t>Implied Share Price</t>
  </si>
  <si>
    <t>TGR</t>
  </si>
  <si>
    <t>Probability</t>
  </si>
  <si>
    <t>ROIC</t>
  </si>
  <si>
    <t>Implied Share Price * p</t>
  </si>
  <si>
    <t>Valuation</t>
  </si>
  <si>
    <t>RONIC</t>
  </si>
  <si>
    <t>Model</t>
  </si>
  <si>
    <t>Growth (%)</t>
  </si>
  <si>
    <t xml:space="preserve">Base Case </t>
  </si>
  <si>
    <t>Optimisitic Case</t>
  </si>
  <si>
    <t>% of Sales</t>
  </si>
  <si>
    <t>Taxes</t>
  </si>
  <si>
    <t>Tax Rate (%)</t>
  </si>
  <si>
    <t>Nopat</t>
  </si>
  <si>
    <t>D&amp;A and other non-cash Expenses</t>
  </si>
  <si>
    <t>Unlevered Free Cashflow</t>
  </si>
  <si>
    <t>Present Value of unlevered FC</t>
  </si>
  <si>
    <t>Discount Period</t>
  </si>
  <si>
    <t>Sum of Present Value</t>
  </si>
  <si>
    <t>Terminal Value</t>
  </si>
  <si>
    <t>=&gt; CV(t) = NOPAT(t+1)*(1-g/RONIC)/(WACC - g) =&gt; equal pertuity formula: CV = FCF*(1+g) /(WACC-g)</t>
  </si>
  <si>
    <t>Present Value of TV</t>
  </si>
  <si>
    <t>Enterprise Value</t>
  </si>
  <si>
    <t>(+) Cash and other non-operating assets</t>
  </si>
  <si>
    <t>(-) Debt and other non-equity claims</t>
  </si>
  <si>
    <t>Equity Value</t>
  </si>
  <si>
    <t xml:space="preserve">Number of Shares </t>
  </si>
  <si>
    <t>Sensitivity Analysis</t>
  </si>
  <si>
    <t>ROINC</t>
  </si>
  <si>
    <t>ON DCF</t>
  </si>
  <si>
    <t>Cost of Capital</t>
  </si>
  <si>
    <t>Cost of Equity (CAPM)</t>
  </si>
  <si>
    <t>Riskfree Rate</t>
  </si>
  <si>
    <t>Expected Inflation</t>
  </si>
  <si>
    <t>=(1+Nominal Rate)/(1+Real Rate)-1</t>
  </si>
  <si>
    <t>Average Real Interest Rate</t>
  </si>
  <si>
    <t>= Average Interest Rate of the Past</t>
  </si>
  <si>
    <t>=Goverment Bond or Expected Inflation + Average Real Interest Rate</t>
  </si>
  <si>
    <t>Adjustments for Industry/Company Risk</t>
  </si>
  <si>
    <t xml:space="preserve">Raw Beta </t>
  </si>
  <si>
    <t>=Raw beta slope of regression line aginst total market -&gt; Ri= alpha + beta*Rm + standard error</t>
  </si>
  <si>
    <t>Debt to Value Ratio</t>
  </si>
  <si>
    <t>Value of Debt/Enterpries Value</t>
  </si>
  <si>
    <t>Unlevered Beta</t>
  </si>
  <si>
    <t>= Raw Beta* Debt-to-Equity Ratio (Book Value)</t>
  </si>
  <si>
    <t>Unlevered Industry Beta</t>
  </si>
  <si>
    <t>=Median of Peer Group</t>
  </si>
  <si>
    <t>Levered Industry Beta</t>
  </si>
  <si>
    <t>=Unlevered Industry Beta * Market Value of Debt to Market Value of Equity</t>
  </si>
  <si>
    <t>Expected Equity Risk Premium</t>
  </si>
  <si>
    <t>Estimated Future Market Return</t>
  </si>
  <si>
    <t>= 1/P/E * (1.g/ROE) + g , g = real growth in GDP, P/E =&gt; P/E ratio for S&amp;P500 or MSCI World Index, ROE = Average ROE in S&amp;P500 or MSCI World</t>
  </si>
  <si>
    <t>=&gt; ER(i)=rf+beta(i)*(Er(m)-rf)</t>
  </si>
  <si>
    <t>Cost of Debt</t>
  </si>
  <si>
    <t>Yield to Maturity on Trading Bonds</t>
  </si>
  <si>
    <t>=&gt; Price = Coupon/(1+YTM)+Coupon(1+YTM)^2 + … + (Face Value + Coupon)/(1+YTM)^n =&gt; solve for YTM</t>
  </si>
  <si>
    <t>or</t>
  </si>
  <si>
    <t>Credit Default Spread</t>
  </si>
  <si>
    <t>Country Rsik Premium</t>
  </si>
  <si>
    <t>Capital Structure</t>
  </si>
  <si>
    <t>Market Value of Debt</t>
  </si>
  <si>
    <t xml:space="preserve">Market Value of Equity </t>
  </si>
  <si>
    <t>Total  Enterprise Value</t>
  </si>
  <si>
    <t>Marginal Tax Rate</t>
  </si>
  <si>
    <t>=&gt; WACC = (D/D+E)*kd * (1-t) + (E/D+E) * ke</t>
  </si>
  <si>
    <t>Change</t>
  </si>
  <si>
    <t>Ratios</t>
  </si>
  <si>
    <t>Shares o/s</t>
  </si>
  <si>
    <t>Market Cap</t>
  </si>
  <si>
    <t>Net Debt</t>
  </si>
  <si>
    <t>Value Driver</t>
  </si>
  <si>
    <t>Capital Emloyed</t>
  </si>
  <si>
    <t>=Long Term Assets + Working Capital (Exclusive of cash)-Accounts Payables</t>
  </si>
  <si>
    <t>Invested Capital</t>
  </si>
  <si>
    <t>=Net Working Capital + PP&amp;E + Other Net Operating Assets (net of Liabilties) + (Intangibles)</t>
  </si>
  <si>
    <t>Invested Capital (exl. Intangibles)</t>
  </si>
  <si>
    <t>Total Funds Invested</t>
  </si>
  <si>
    <t>Invested Capital + Non-Operating Assets</t>
  </si>
  <si>
    <t>NOPAT</t>
  </si>
  <si>
    <t>EBITA * (1-Marginal Tax Rate)</t>
  </si>
  <si>
    <t>Net Investment</t>
  </si>
  <si>
    <t>=Invested Capital (t+1)-Invested Capital (t)</t>
  </si>
  <si>
    <t>FCF</t>
  </si>
  <si>
    <t>=NOPAT + non-cash Expenses - Investments in Invested Capital</t>
  </si>
  <si>
    <t>Investment Rate</t>
  </si>
  <si>
    <t>=Net Investment/NOPAT</t>
  </si>
  <si>
    <t>Economic Profit</t>
  </si>
  <si>
    <t>=Invested Capital *(ROIC-WACC)</t>
  </si>
  <si>
    <t>Efficency-Ratios</t>
  </si>
  <si>
    <t>Capital Turnover</t>
  </si>
  <si>
    <t>=Revenue/Equity</t>
  </si>
  <si>
    <t>Return on Equity (ROE)</t>
  </si>
  <si>
    <t>=Net Income/Book Value of Equity</t>
  </si>
  <si>
    <t>Return on Capital Employed (ROCE)</t>
  </si>
  <si>
    <t>=EBIT/Capital Employed</t>
  </si>
  <si>
    <t>Return on Capital Invested (ROIC)</t>
  </si>
  <si>
    <t>=NOPAT/Invested Capital</t>
  </si>
  <si>
    <t>ROIC without Intangibles</t>
  </si>
  <si>
    <t>=NOPAT/(Invested Capital exclusive of Intangibles)</t>
  </si>
  <si>
    <t>Decomposed ROIC</t>
  </si>
  <si>
    <t>= ROIC = (1-operating cash tax)* (EBITA/Revenues) * (Revenue/Invested Capital)</t>
  </si>
  <si>
    <t>Retention Rate</t>
  </si>
  <si>
    <t>=1 - Dividends/Net Income</t>
  </si>
  <si>
    <t>Reinvestment Rate</t>
  </si>
  <si>
    <t>=Net CapEx + Change in WC / EBIT * (1-t)</t>
  </si>
  <si>
    <t>Epected Growth in Net Income</t>
  </si>
  <si>
    <t>=ROE * Retention Rate</t>
  </si>
  <si>
    <t>Expected Growth in NOPAT</t>
  </si>
  <si>
    <t>=ROIC * Reinvestment Rate</t>
  </si>
  <si>
    <t>Finacial Stability Ratios</t>
  </si>
  <si>
    <t>Equity/Debt Ratio</t>
  </si>
  <si>
    <t>=Book Value of Equtiy/Book Value of Debt</t>
  </si>
  <si>
    <t>Gearing</t>
  </si>
  <si>
    <t>=(Debt - Cash (Net Debt))/Book Value of Equity</t>
  </si>
  <si>
    <t>Interest Coverage Ratio</t>
  </si>
  <si>
    <t>=EBIT/Interest Expenses</t>
  </si>
  <si>
    <t>Net Debt / EBITDA</t>
  </si>
  <si>
    <t>=Net Debt/EBITDA</t>
  </si>
  <si>
    <t>Cash Burn Rate</t>
  </si>
  <si>
    <t>=Book Value of Equity/Absolute value of Loss</t>
  </si>
  <si>
    <t>WC-Managment Ratios</t>
  </si>
  <si>
    <t>Debitor-Duration</t>
  </si>
  <si>
    <t>=Accounts Receivables/Revenue*360</t>
  </si>
  <si>
    <t>Creditor-Duration</t>
  </si>
  <si>
    <t>=Accounts Payable/Revenue*360</t>
  </si>
  <si>
    <t>Inventory Intensity</t>
  </si>
  <si>
    <t>=Inventory/Balance Sheet Total</t>
  </si>
  <si>
    <t>Invetory Turnover</t>
  </si>
  <si>
    <t>=Cogs/Inventory</t>
  </si>
  <si>
    <t>Storage-Duration</t>
  </si>
  <si>
    <t>=360/Inventory Turnover</t>
  </si>
  <si>
    <t>Cash Conversion Cycle</t>
  </si>
  <si>
    <t>=Debitor Duration + Storage Duration - Creditor Duration</t>
  </si>
  <si>
    <t>Multipliers</t>
  </si>
  <si>
    <t>Equitymultiples</t>
  </si>
  <si>
    <t>P/E Ratio</t>
  </si>
  <si>
    <t>=Share Price/EPS</t>
  </si>
  <si>
    <t>PEG Ratio</t>
  </si>
  <si>
    <t>=P/E Ratio / Growth</t>
  </si>
  <si>
    <t>P/B Ratio</t>
  </si>
  <si>
    <t>=Market Cap/Book Vakue of Equity</t>
  </si>
  <si>
    <t>P/Cf Ratio</t>
  </si>
  <si>
    <t>=Share Price/Cashflow per share</t>
  </si>
  <si>
    <t>P/R Ratio</t>
  </si>
  <si>
    <t>=Share Price/Revenue per Share</t>
  </si>
  <si>
    <t>Entitymultiples</t>
  </si>
  <si>
    <t>EV/EBITDA</t>
  </si>
  <si>
    <t>=EV/EBITDA</t>
  </si>
  <si>
    <t>EV/EBIT</t>
  </si>
  <si>
    <t>=EV/EBIT</t>
  </si>
  <si>
    <t>EV/FCF</t>
  </si>
  <si>
    <t>=EV/FCF</t>
  </si>
  <si>
    <t>EV/Sales</t>
  </si>
  <si>
    <t>=EV/Revenue</t>
  </si>
  <si>
    <t>Q125</t>
  </si>
  <si>
    <t>Q225</t>
  </si>
  <si>
    <t>Q325</t>
  </si>
  <si>
    <t>Q425</t>
  </si>
  <si>
    <t>Martin Hoffman (former CFO)</t>
  </si>
  <si>
    <t>Marc Maurer former CEO</t>
  </si>
  <si>
    <t xml:space="preserve">Martin Hoffman </t>
  </si>
  <si>
    <t>FY25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</si>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</sst>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;\(\-#,##0.0\)"/>
    <numFmt numFmtId="165" formatCode="#,##0.00;\(\-#,##0.00\)"/>
    <numFmt numFmtId="166" formatCode="#,##0.0_ ;\-#,##0.0\ "/>
    <numFmt numFmtId="167" formatCode="#,##0.0"/>
    <numFmt numFmtId="168" formatCode="0.0%"/>
    <numFmt numFmtId="169" formatCode="&quot;FY&quot;0&quot;A&quot;"/>
    <numFmt numFmtId="170" formatCode="#,##0;\(#,##0\)"/>
    <numFmt numFmtId="171" formatCode="#,##0.0;[Red]#,##0.0"/>
    <numFmt numFmtId="172" formatCode="0.0"/>
    <numFmt numFmtId="173" formatCode="\F\Y#,##0"/>
    <numFmt numFmtId="174" formatCode="#,##0.0;\(#,##0.0\)"/>
  </numFmts>
  <fonts count="2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b/>
      <u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1E9D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118">
    <xf numFmtId="0" fontId="0" fillId="0" borderId="0" xfId="0"/>
    <xf numFmtId="0" fontId="5" fillId="0" borderId="0" xfId="1"/>
    <xf numFmtId="0" fontId="6" fillId="0" borderId="0" xfId="0" applyFont="1"/>
    <xf numFmtId="0" fontId="7" fillId="0" borderId="0" xfId="0" applyFont="1"/>
    <xf numFmtId="2" fontId="0" fillId="0" borderId="0" xfId="0" applyNumberFormat="1"/>
    <xf numFmtId="9" fontId="0" fillId="0" borderId="0" xfId="2" applyFont="1"/>
    <xf numFmtId="0" fontId="0" fillId="0" borderId="1" xfId="0" applyBorder="1"/>
    <xf numFmtId="0" fontId="5" fillId="0" borderId="1" xfId="1" applyBorder="1"/>
    <xf numFmtId="0" fontId="12" fillId="0" borderId="1" xfId="0" applyFont="1" applyBorder="1"/>
    <xf numFmtId="0" fontId="0" fillId="0" borderId="12" xfId="0" applyBorder="1"/>
    <xf numFmtId="0" fontId="0" fillId="2" borderId="13" xfId="0" applyFill="1" applyBorder="1" applyAlignment="1">
      <alignment horizontal="center"/>
    </xf>
    <xf numFmtId="14" fontId="0" fillId="2" borderId="13" xfId="0" applyNumberFormat="1" applyFill="1" applyBorder="1" applyAlignment="1">
      <alignment horizontal="center"/>
    </xf>
    <xf numFmtId="2" fontId="0" fillId="2" borderId="13" xfId="0" applyNumberFormat="1" applyFill="1" applyBorder="1" applyAlignment="1">
      <alignment horizontal="center"/>
    </xf>
    <xf numFmtId="167" fontId="0" fillId="2" borderId="14" xfId="2" applyNumberFormat="1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9" fontId="0" fillId="2" borderId="14" xfId="2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0" fillId="3" borderId="0" xfId="0" applyFont="1" applyFill="1"/>
    <xf numFmtId="0" fontId="10" fillId="4" borderId="0" xfId="0" applyFont="1" applyFill="1"/>
    <xf numFmtId="0" fontId="11" fillId="4" borderId="0" xfId="0" applyFont="1" applyFill="1"/>
    <xf numFmtId="0" fontId="9" fillId="0" borderId="0" xfId="0" applyFont="1"/>
    <xf numFmtId="168" fontId="0" fillId="2" borderId="14" xfId="2" applyNumberFormat="1" applyFont="1" applyFill="1" applyBorder="1" applyAlignment="1">
      <alignment horizontal="center"/>
    </xf>
    <xf numFmtId="169" fontId="10" fillId="3" borderId="0" xfId="0" applyNumberFormat="1" applyFont="1" applyFill="1"/>
    <xf numFmtId="170" fontId="0" fillId="0" borderId="0" xfId="0" applyNumberFormat="1"/>
    <xf numFmtId="0" fontId="13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13" fillId="0" borderId="0" xfId="0" applyFont="1"/>
    <xf numFmtId="9" fontId="13" fillId="0" borderId="0" xfId="2" applyFont="1"/>
    <xf numFmtId="168" fontId="0" fillId="2" borderId="14" xfId="2" applyNumberFormat="1" applyFont="1" applyFill="1" applyBorder="1" applyAlignment="1">
      <alignment horizontal="right"/>
    </xf>
    <xf numFmtId="0" fontId="7" fillId="5" borderId="2" xfId="0" applyFont="1" applyFill="1" applyBorder="1"/>
    <xf numFmtId="0" fontId="7" fillId="5" borderId="3" xfId="0" applyFont="1" applyFill="1" applyBorder="1"/>
    <xf numFmtId="170" fontId="7" fillId="5" borderId="3" xfId="0" applyNumberFormat="1" applyFont="1" applyFill="1" applyBorder="1"/>
    <xf numFmtId="170" fontId="7" fillId="5" borderId="4" xfId="0" applyNumberFormat="1" applyFont="1" applyFill="1" applyBorder="1"/>
    <xf numFmtId="168" fontId="13" fillId="0" borderId="0" xfId="2" applyNumberFormat="1" applyFont="1"/>
    <xf numFmtId="168" fontId="13" fillId="0" borderId="0" xfId="0" applyNumberFormat="1" applyFont="1"/>
    <xf numFmtId="171" fontId="7" fillId="5" borderId="5" xfId="0" applyNumberFormat="1" applyFont="1" applyFill="1" applyBorder="1"/>
    <xf numFmtId="171" fontId="7" fillId="5" borderId="6" xfId="0" applyNumberFormat="1" applyFont="1" applyFill="1" applyBorder="1"/>
    <xf numFmtId="170" fontId="7" fillId="5" borderId="6" xfId="0" applyNumberFormat="1" applyFont="1" applyFill="1" applyBorder="1"/>
    <xf numFmtId="170" fontId="7" fillId="5" borderId="7" xfId="0" applyNumberFormat="1" applyFont="1" applyFill="1" applyBorder="1"/>
    <xf numFmtId="171" fontId="7" fillId="5" borderId="10" xfId="0" applyNumberFormat="1" applyFont="1" applyFill="1" applyBorder="1"/>
    <xf numFmtId="171" fontId="7" fillId="5" borderId="1" xfId="0" applyNumberFormat="1" applyFont="1" applyFill="1" applyBorder="1"/>
    <xf numFmtId="170" fontId="7" fillId="5" borderId="1" xfId="0" applyNumberFormat="1" applyFont="1" applyFill="1" applyBorder="1"/>
    <xf numFmtId="170" fontId="7" fillId="5" borderId="11" xfId="0" applyNumberFormat="1" applyFont="1" applyFill="1" applyBorder="1"/>
    <xf numFmtId="171" fontId="0" fillId="0" borderId="0" xfId="0" applyNumberFormat="1"/>
    <xf numFmtId="0" fontId="0" fillId="0" borderId="0" xfId="0" quotePrefix="1"/>
    <xf numFmtId="171" fontId="0" fillId="0" borderId="1" xfId="0" applyNumberFormat="1" applyBorder="1"/>
    <xf numFmtId="171" fontId="0" fillId="0" borderId="1" xfId="0" applyNumberFormat="1" applyBorder="1" applyAlignment="1">
      <alignment horizontal="right"/>
    </xf>
    <xf numFmtId="0" fontId="0" fillId="0" borderId="3" xfId="0" applyBorder="1"/>
    <xf numFmtId="171" fontId="0" fillId="0" borderId="3" xfId="0" applyNumberFormat="1" applyBorder="1"/>
    <xf numFmtId="171" fontId="0" fillId="0" borderId="3" xfId="0" applyNumberFormat="1" applyBorder="1" applyAlignment="1">
      <alignment horizontal="right"/>
    </xf>
    <xf numFmtId="171" fontId="0" fillId="0" borderId="0" xfId="0" applyNumberFormat="1" applyAlignment="1">
      <alignment horizontal="right"/>
    </xf>
    <xf numFmtId="0" fontId="0" fillId="6" borderId="5" xfId="0" applyFill="1" applyBorder="1"/>
    <xf numFmtId="2" fontId="14" fillId="6" borderId="6" xfId="0" applyNumberFormat="1" applyFont="1" applyFill="1" applyBorder="1"/>
    <xf numFmtId="168" fontId="10" fillId="6" borderId="6" xfId="0" applyNumberFormat="1" applyFont="1" applyFill="1" applyBorder="1"/>
    <xf numFmtId="168" fontId="10" fillId="6" borderId="0" xfId="0" applyNumberFormat="1" applyFont="1" applyFill="1"/>
    <xf numFmtId="172" fontId="0" fillId="0" borderId="0" xfId="0" applyNumberFormat="1"/>
    <xf numFmtId="172" fontId="7" fillId="0" borderId="0" xfId="0" applyNumberFormat="1" applyFont="1"/>
    <xf numFmtId="0" fontId="0" fillId="0" borderId="0" xfId="0" applyAlignment="1">
      <alignment horizontal="center"/>
    </xf>
    <xf numFmtId="0" fontId="0" fillId="0" borderId="2" xfId="0" applyBorder="1"/>
    <xf numFmtId="0" fontId="0" fillId="0" borderId="4" xfId="0" applyBorder="1"/>
    <xf numFmtId="9" fontId="0" fillId="0" borderId="0" xfId="0" applyNumberFormat="1"/>
    <xf numFmtId="9" fontId="13" fillId="0" borderId="0" xfId="2" applyFont="1" applyAlignment="1">
      <alignment horizontal="right"/>
    </xf>
    <xf numFmtId="170" fontId="7" fillId="5" borderId="3" xfId="0" applyNumberFormat="1" applyFont="1" applyFill="1" applyBorder="1" applyAlignment="1">
      <alignment horizontal="right"/>
    </xf>
    <xf numFmtId="170" fontId="7" fillId="5" borderId="6" xfId="0" applyNumberFormat="1" applyFont="1" applyFill="1" applyBorder="1" applyAlignment="1">
      <alignment horizontal="right"/>
    </xf>
    <xf numFmtId="0" fontId="15" fillId="0" borderId="0" xfId="0" applyFont="1"/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right"/>
    </xf>
    <xf numFmtId="0" fontId="16" fillId="0" borderId="0" xfId="0" applyFont="1"/>
    <xf numFmtId="0" fontId="17" fillId="0" borderId="0" xfId="1" applyFont="1"/>
    <xf numFmtId="0" fontId="18" fillId="0" borderId="2" xfId="0" applyFont="1" applyBorder="1"/>
    <xf numFmtId="0" fontId="18" fillId="0" borderId="3" xfId="0" applyFont="1" applyBorder="1"/>
    <xf numFmtId="0" fontId="18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" xfId="0" applyFont="1" applyBorder="1"/>
    <xf numFmtId="0" fontId="4" fillId="0" borderId="11" xfId="0" applyFont="1" applyBorder="1"/>
    <xf numFmtId="164" fontId="15" fillId="0" borderId="0" xfId="0" applyNumberFormat="1" applyFont="1"/>
    <xf numFmtId="2" fontId="4" fillId="0" borderId="0" xfId="0" applyNumberFormat="1" applyFont="1"/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9" fontId="4" fillId="0" borderId="0" xfId="2" applyFont="1"/>
    <xf numFmtId="9" fontId="15" fillId="0" borderId="0" xfId="2" applyFont="1"/>
    <xf numFmtId="165" fontId="15" fillId="0" borderId="0" xfId="0" applyNumberFormat="1" applyFont="1" applyAlignment="1">
      <alignment horizontal="right"/>
    </xf>
    <xf numFmtId="166" fontId="4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19" fillId="0" borderId="0" xfId="0" applyFont="1"/>
    <xf numFmtId="173" fontId="20" fillId="0" borderId="0" xfId="0" applyNumberFormat="1" applyFont="1" applyAlignment="1">
      <alignment horizontal="right"/>
    </xf>
    <xf numFmtId="0" fontId="20" fillId="0" borderId="0" xfId="0" applyFont="1"/>
    <xf numFmtId="170" fontId="3" fillId="0" borderId="0" xfId="0" applyNumberFormat="1" applyFont="1" applyAlignment="1">
      <alignment horizontal="right"/>
    </xf>
    <xf numFmtId="174" fontId="3" fillId="0" borderId="0" xfId="0" applyNumberFormat="1" applyFont="1"/>
    <xf numFmtId="170" fontId="3" fillId="0" borderId="0" xfId="0" applyNumberFormat="1" applyFont="1"/>
    <xf numFmtId="11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quotePrefix="1" applyFont="1"/>
    <xf numFmtId="9" fontId="3" fillId="0" borderId="0" xfId="2" applyFont="1"/>
    <xf numFmtId="4" fontId="3" fillId="0" borderId="0" xfId="0" applyNumberFormat="1" applyFont="1"/>
    <xf numFmtId="168" fontId="3" fillId="0" borderId="0" xfId="2" applyNumberFormat="1" applyFont="1"/>
    <xf numFmtId="9" fontId="3" fillId="0" borderId="0" xfId="0" applyNumberFormat="1" applyFont="1"/>
    <xf numFmtId="2" fontId="3" fillId="0" borderId="0" xfId="0" applyNumberFormat="1" applyFont="1"/>
    <xf numFmtId="171" fontId="3" fillId="0" borderId="0" xfId="0" applyNumberFormat="1" applyFont="1"/>
    <xf numFmtId="172" fontId="3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7" fillId="6" borderId="6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 vertical="center" textRotation="90"/>
    </xf>
    <xf numFmtId="0" fontId="7" fillId="6" borderId="16" xfId="0" applyFont="1" applyFill="1" applyBorder="1" applyAlignment="1">
      <alignment horizontal="center" vertical="center" textRotation="90"/>
    </xf>
    <xf numFmtId="164" fontId="1" fillId="0" borderId="0" xfId="0" applyNumberFormat="1" applyFont="1"/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4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604838</xdr:colOff>
      <xdr:row>0</xdr:row>
      <xdr:rowOff>63500</xdr:rowOff>
    </xdr:from>
    <xdr:to>
      <xdr:col>7</xdr:col>
      <xdr:colOff>604838</xdr:colOff>
      <xdr:row>60</xdr:row>
      <xdr:rowOff>107950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B8A3478-A861-4057-93EB-48E94FA269E6}"/>
            </a:ext>
          </a:extLst>
        </xdr:cNvPr>
        <xdr:cNvCxnSpPr/>
      </xdr:nvCxnSpPr>
      <xdr:spPr>
        <a:xfrm>
          <a:off x="6176963" y="63500"/>
          <a:ext cx="0" cy="9759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25B270B6-41D0-4935-9CF2-3412B32FB784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04-08T15:46:08.46" personId="{25B270B6-41D0-4935-9CF2-3412B32FB784}" id="{C9298910-17E7-4DEE-A9D3-1318C1C81CC5}">
    <text>IPO 2021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8" dT="2025-04-08T16:14:43.97" personId="{25B270B6-41D0-4935-9CF2-3412B32FB784}" id="{22A598DD-03DC-43EF-BB65-262C3039A17C}">
    <text>8,5% satutory tax rate switzerland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vestors.on-running.com/home/default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094A-E139-463C-B9BC-05F4A65CAFD9}">
  <dimension ref="A1:K18"/>
  <sheetViews>
    <sheetView tabSelected="1" topLeftCell="C1" zoomScale="200" zoomScaleNormal="200" workbookViewId="0">
      <selection activeCell="H6" sqref="H6"/>
    </sheetView>
  </sheetViews>
  <sheetFormatPr defaultRowHeight="12.75" x14ac:dyDescent="0.2"/>
  <cols>
    <col min="1" max="1" width="4" style="65" customWidth="1"/>
    <col min="2" max="2" width="11.5703125" style="65" bestFit="1" customWidth="1"/>
    <col min="3" max="3" width="17.28515625" style="65" customWidth="1"/>
    <col min="4" max="4" width="18" style="65" customWidth="1"/>
    <col min="5" max="10" width="9.140625" style="65"/>
    <col min="11" max="11" width="9.7109375" style="65" customWidth="1"/>
    <col min="12" max="12" width="9.85546875" style="65" bestFit="1" customWidth="1"/>
    <col min="13" max="16384" width="9.140625" style="65"/>
  </cols>
  <sheetData>
    <row r="1" spans="1:11" x14ac:dyDescent="0.2">
      <c r="A1" s="64" t="s">
        <v>0</v>
      </c>
    </row>
    <row r="2" spans="1:11" x14ac:dyDescent="0.2">
      <c r="A2" s="65" t="s">
        <v>17</v>
      </c>
      <c r="G2" s="65" t="s">
        <v>19</v>
      </c>
      <c r="H2" s="89">
        <v>30.85</v>
      </c>
    </row>
    <row r="3" spans="1:11" x14ac:dyDescent="0.2">
      <c r="G3" s="65" t="s">
        <v>18</v>
      </c>
      <c r="H3" s="66">
        <f>+H2*H10</f>
        <v>26.2225</v>
      </c>
      <c r="K3" s="68"/>
    </row>
    <row r="4" spans="1:11" x14ac:dyDescent="0.2">
      <c r="B4" s="69" t="s">
        <v>1</v>
      </c>
      <c r="G4" s="65" t="s">
        <v>3</v>
      </c>
      <c r="H4" s="66">
        <v>296.87335300000001</v>
      </c>
      <c r="I4" s="117" t="s">
        <v>314</v>
      </c>
    </row>
    <row r="5" spans="1:11" x14ac:dyDescent="0.2">
      <c r="B5" s="65" t="s">
        <v>8</v>
      </c>
      <c r="G5" s="65" t="s">
        <v>4</v>
      </c>
      <c r="H5" s="66">
        <f>+H3*H4</f>
        <v>7784.7614990425</v>
      </c>
    </row>
    <row r="6" spans="1:11" x14ac:dyDescent="0.2">
      <c r="G6" s="65" t="s">
        <v>5</v>
      </c>
      <c r="H6" s="66">
        <v>1020.4</v>
      </c>
      <c r="I6" s="117" t="s">
        <v>314</v>
      </c>
    </row>
    <row r="7" spans="1:11" x14ac:dyDescent="0.2">
      <c r="B7" s="70" t="s">
        <v>38</v>
      </c>
      <c r="C7" s="71"/>
      <c r="D7" s="71"/>
      <c r="E7" s="72"/>
      <c r="G7" s="65" t="s">
        <v>6</v>
      </c>
      <c r="H7" s="66">
        <f>52.2+5.8</f>
        <v>58</v>
      </c>
      <c r="I7" s="117" t="s">
        <v>314</v>
      </c>
    </row>
    <row r="8" spans="1:11" x14ac:dyDescent="0.2">
      <c r="B8" s="73" t="s">
        <v>39</v>
      </c>
      <c r="C8" s="74"/>
      <c r="D8" s="74"/>
      <c r="E8" s="75"/>
      <c r="G8" s="65" t="s">
        <v>7</v>
      </c>
      <c r="H8" s="66">
        <f>+H5-H6+H7</f>
        <v>6822.3614990425003</v>
      </c>
    </row>
    <row r="9" spans="1:11" x14ac:dyDescent="0.2">
      <c r="B9" s="76" t="s">
        <v>40</v>
      </c>
      <c r="E9" s="77"/>
    </row>
    <row r="10" spans="1:11" x14ac:dyDescent="0.2">
      <c r="B10" s="78" t="s">
        <v>41</v>
      </c>
      <c r="C10" s="79"/>
      <c r="D10" s="79"/>
      <c r="E10" s="80"/>
      <c r="G10" s="65" t="s">
        <v>20</v>
      </c>
      <c r="H10" s="65">
        <v>0.85</v>
      </c>
    </row>
    <row r="11" spans="1:11" x14ac:dyDescent="0.2">
      <c r="G11" s="65" t="s">
        <v>61</v>
      </c>
    </row>
    <row r="12" spans="1:11" x14ac:dyDescent="0.2">
      <c r="B12" s="68" t="s">
        <v>59</v>
      </c>
    </row>
    <row r="13" spans="1:11" x14ac:dyDescent="0.2">
      <c r="B13" s="65" t="s">
        <v>60</v>
      </c>
      <c r="G13" s="68" t="s">
        <v>126</v>
      </c>
    </row>
    <row r="14" spans="1:11" x14ac:dyDescent="0.2">
      <c r="B14" s="65" t="s">
        <v>63</v>
      </c>
      <c r="G14" s="65" t="s">
        <v>127</v>
      </c>
      <c r="H14" s="65" t="s">
        <v>309</v>
      </c>
      <c r="K14" s="65" t="s">
        <v>310</v>
      </c>
    </row>
    <row r="15" spans="1:11" x14ac:dyDescent="0.2">
      <c r="B15" s="65" t="s">
        <v>123</v>
      </c>
      <c r="G15" s="65" t="s">
        <v>128</v>
      </c>
      <c r="H15" s="65" t="s">
        <v>311</v>
      </c>
    </row>
    <row r="16" spans="1:11" x14ac:dyDescent="0.2">
      <c r="B16" s="65" t="s">
        <v>124</v>
      </c>
    </row>
    <row r="17" spans="2:2" x14ac:dyDescent="0.2">
      <c r="B17" s="65" t="s">
        <v>125</v>
      </c>
    </row>
    <row r="18" spans="2:2" x14ac:dyDescent="0.2">
      <c r="B18" s="65" t="s">
        <v>66</v>
      </c>
    </row>
  </sheetData>
  <hyperlinks>
    <hyperlink ref="B4" r:id="rId1" xr:uid="{784D2787-C7D6-47D9-9E89-66F69529AA08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9B0E-FCCA-49E4-9A23-D8042125AB6F}">
  <dimension ref="A1:AW97"/>
  <sheetViews>
    <sheetView zoomScale="200" zoomScaleNormal="200" workbookViewId="0">
      <pane xSplit="2" ySplit="2" topLeftCell="L10" activePane="bottomRight" state="frozen"/>
      <selection pane="topRight" activeCell="C1" sqref="C1"/>
      <selection pane="bottomLeft" activeCell="A3" sqref="A3"/>
      <selection pane="bottomRight" activeCell="P38" sqref="P38"/>
    </sheetView>
  </sheetViews>
  <sheetFormatPr defaultRowHeight="12.75" x14ac:dyDescent="0.2"/>
  <cols>
    <col min="1" max="1" width="5.42578125" style="65" bestFit="1" customWidth="1"/>
    <col min="2" max="2" width="31.28515625" style="65" customWidth="1"/>
    <col min="3" max="16384" width="9.140625" style="65"/>
  </cols>
  <sheetData>
    <row r="1" spans="1:49" x14ac:dyDescent="0.2">
      <c r="A1" s="69" t="s">
        <v>9</v>
      </c>
    </row>
    <row r="2" spans="1:49" x14ac:dyDescent="0.2">
      <c r="C2" s="67" t="s">
        <v>13</v>
      </c>
      <c r="D2" s="67" t="s">
        <v>14</v>
      </c>
      <c r="E2" s="67" t="s">
        <v>15</v>
      </c>
      <c r="F2" s="67" t="s">
        <v>16</v>
      </c>
      <c r="G2" s="67" t="s">
        <v>2</v>
      </c>
      <c r="H2" s="67" t="s">
        <v>10</v>
      </c>
      <c r="I2" s="67" t="s">
        <v>11</v>
      </c>
      <c r="J2" s="67" t="s">
        <v>12</v>
      </c>
      <c r="K2" s="67" t="s">
        <v>305</v>
      </c>
      <c r="L2" s="67" t="s">
        <v>306</v>
      </c>
      <c r="M2" s="67" t="s">
        <v>307</v>
      </c>
      <c r="N2" s="67" t="s">
        <v>308</v>
      </c>
      <c r="O2" s="108" t="s">
        <v>313</v>
      </c>
      <c r="P2" s="108" t="s">
        <v>314</v>
      </c>
      <c r="Q2" s="108" t="s">
        <v>315</v>
      </c>
      <c r="R2" s="108" t="s">
        <v>316</v>
      </c>
      <c r="T2" s="67" t="s">
        <v>129</v>
      </c>
      <c r="U2" s="67" t="s">
        <v>130</v>
      </c>
      <c r="V2" s="67" t="s">
        <v>54</v>
      </c>
      <c r="W2" s="67" t="s">
        <v>55</v>
      </c>
      <c r="X2" s="67" t="s">
        <v>56</v>
      </c>
      <c r="Y2" s="67" t="s">
        <v>57</v>
      </c>
      <c r="Z2" s="90" t="s">
        <v>312</v>
      </c>
    </row>
    <row r="3" spans="1:49" x14ac:dyDescent="0.2">
      <c r="B3" s="65" t="s">
        <v>64</v>
      </c>
      <c r="C3" s="66">
        <v>118.9</v>
      </c>
      <c r="D3" s="66">
        <v>113.6</v>
      </c>
      <c r="E3" s="66">
        <v>144</v>
      </c>
      <c r="F3" s="66">
        <f>+X3-SUM(C3:E3)</f>
        <v>112.19999999999999</v>
      </c>
      <c r="G3" s="66">
        <v>126.2</v>
      </c>
      <c r="H3" s="66">
        <v>138.4</v>
      </c>
      <c r="I3" s="66">
        <v>165.8</v>
      </c>
      <c r="J3" s="66">
        <f>+Y3-SUM(G3:I3)</f>
        <v>147.39999999999992</v>
      </c>
      <c r="K3" s="66">
        <v>168.6</v>
      </c>
      <c r="L3" s="66">
        <v>197.8</v>
      </c>
      <c r="M3" s="66">
        <v>213.3</v>
      </c>
      <c r="N3" s="66">
        <f>+Z3-SUM(K3:M3)</f>
        <v>183</v>
      </c>
      <c r="O3" s="66">
        <v>207.1</v>
      </c>
      <c r="P3" s="66">
        <v>228.2</v>
      </c>
      <c r="Q3" s="66"/>
      <c r="R3" s="66"/>
      <c r="S3" s="66"/>
      <c r="T3" s="66">
        <f>128.344+9.148</f>
        <v>137.49199999999999</v>
      </c>
      <c r="U3" s="66">
        <f>187.51+6.697</f>
        <v>194.20699999999999</v>
      </c>
      <c r="V3" s="66">
        <f>260.4+12</f>
        <v>272.39999999999998</v>
      </c>
      <c r="W3" s="66">
        <v>378.1</v>
      </c>
      <c r="X3" s="66">
        <v>488.7</v>
      </c>
      <c r="Y3" s="66">
        <v>577.79999999999995</v>
      </c>
      <c r="Z3" s="66">
        <v>762.7</v>
      </c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</row>
    <row r="4" spans="1:49" x14ac:dyDescent="0.2">
      <c r="B4" s="65" t="s">
        <v>65</v>
      </c>
      <c r="C4" s="66">
        <v>270.2</v>
      </c>
      <c r="D4" s="66">
        <v>296.60000000000002</v>
      </c>
      <c r="E4" s="66">
        <v>294.89999999999998</v>
      </c>
      <c r="F4" s="66">
        <f t="shared" ref="F4:F20" si="0">+X4-SUM(C4:E4)</f>
        <v>300.50000000000011</v>
      </c>
      <c r="G4" s="66">
        <v>329.6</v>
      </c>
      <c r="H4" s="66">
        <v>370</v>
      </c>
      <c r="I4" s="66">
        <v>395.5</v>
      </c>
      <c r="J4" s="66">
        <f t="shared" ref="J4:J21" si="1">+Y4-SUM(G4:I4)</f>
        <v>385.20000000000005</v>
      </c>
      <c r="K4" s="66">
        <v>437.4</v>
      </c>
      <c r="L4" s="66">
        <v>432.3</v>
      </c>
      <c r="M4" s="66">
        <v>436.2</v>
      </c>
      <c r="N4" s="66">
        <f t="shared" ref="N4:N11" si="2">+Z4-SUM(K4:M4)</f>
        <v>434.19999999999982</v>
      </c>
      <c r="O4" s="66">
        <v>450.7</v>
      </c>
      <c r="P4" s="66">
        <v>451.6</v>
      </c>
      <c r="Q4" s="66"/>
      <c r="R4" s="66"/>
      <c r="S4" s="66"/>
      <c r="T4" s="66">
        <v>111.761</v>
      </c>
      <c r="U4" s="66">
        <v>208.089</v>
      </c>
      <c r="V4" s="66">
        <v>409.5</v>
      </c>
      <c r="W4" s="66">
        <v>763.8</v>
      </c>
      <c r="X4" s="66">
        <v>1162.2</v>
      </c>
      <c r="Y4" s="66">
        <v>1480.3</v>
      </c>
      <c r="Z4" s="66">
        <v>1740.1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</row>
    <row r="5" spans="1:49" x14ac:dyDescent="0.2">
      <c r="B5" s="65" t="s">
        <v>26</v>
      </c>
      <c r="C5" s="66">
        <v>31.1</v>
      </c>
      <c r="D5" s="66">
        <v>34.1</v>
      </c>
      <c r="E5" s="66">
        <v>41.6</v>
      </c>
      <c r="F5" s="66">
        <f t="shared" si="0"/>
        <v>34.299999999999983</v>
      </c>
      <c r="G5" s="66">
        <v>52.4</v>
      </c>
      <c r="H5" s="66">
        <v>59.2</v>
      </c>
      <c r="I5" s="66">
        <v>74.599999999999994</v>
      </c>
      <c r="J5" s="66">
        <f t="shared" si="1"/>
        <v>74</v>
      </c>
      <c r="K5" s="66">
        <v>120.6</v>
      </c>
      <c r="L5" s="66">
        <v>119.2</v>
      </c>
      <c r="M5" s="66">
        <v>144.9</v>
      </c>
      <c r="N5" s="66">
        <f t="shared" si="2"/>
        <v>126.39999999999998</v>
      </c>
      <c r="O5" s="66">
        <v>174</v>
      </c>
      <c r="P5" s="66">
        <v>170.5</v>
      </c>
      <c r="Q5" s="66"/>
      <c r="R5" s="66"/>
      <c r="S5" s="66"/>
      <c r="T5" s="66">
        <v>17.867000000000001</v>
      </c>
      <c r="U5" s="66">
        <v>22.998999999999999</v>
      </c>
      <c r="V5" s="66">
        <f>42.7</f>
        <v>42.7</v>
      </c>
      <c r="W5" s="66">
        <v>80.2</v>
      </c>
      <c r="X5" s="66">
        <v>141.1</v>
      </c>
      <c r="Y5" s="66">
        <v>260.2</v>
      </c>
      <c r="Z5" s="66">
        <v>511.1</v>
      </c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</row>
    <row r="6" spans="1:49" x14ac:dyDescent="0.2">
      <c r="B6" s="65" t="s">
        <v>27</v>
      </c>
      <c r="C6" s="66">
        <v>400.5</v>
      </c>
      <c r="D6" s="66">
        <v>428.2</v>
      </c>
      <c r="E6" s="66">
        <v>456.9</v>
      </c>
      <c r="F6" s="66">
        <f t="shared" si="0"/>
        <v>425.80000000000018</v>
      </c>
      <c r="G6" s="66">
        <v>484.7</v>
      </c>
      <c r="H6" s="66">
        <v>542.5</v>
      </c>
      <c r="I6" s="66">
        <v>603.70000000000005</v>
      </c>
      <c r="J6" s="66">
        <f t="shared" si="1"/>
        <v>568.69999999999982</v>
      </c>
      <c r="K6" s="66">
        <v>680.9</v>
      </c>
      <c r="L6" s="66">
        <v>704.9</v>
      </c>
      <c r="M6" s="66">
        <v>731.3</v>
      </c>
      <c r="N6" s="66">
        <f t="shared" si="2"/>
        <v>687.30000000000018</v>
      </c>
      <c r="O6" s="66">
        <v>763.7</v>
      </c>
      <c r="P6" s="66">
        <v>781.6</v>
      </c>
      <c r="Q6" s="66"/>
      <c r="R6" s="66"/>
      <c r="S6" s="66"/>
      <c r="T6" s="66">
        <v>255.61199999999999</v>
      </c>
      <c r="U6" s="66">
        <v>406.39</v>
      </c>
      <c r="V6" s="66">
        <v>683.3</v>
      </c>
      <c r="W6" s="66">
        <v>1167.5</v>
      </c>
      <c r="X6" s="66">
        <v>1711.4</v>
      </c>
      <c r="Y6" s="66">
        <v>2199.6</v>
      </c>
      <c r="Z6" s="66">
        <v>2804.4</v>
      </c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</row>
    <row r="7" spans="1:49" x14ac:dyDescent="0.2">
      <c r="B7" s="65" t="s">
        <v>28</v>
      </c>
      <c r="C7" s="66">
        <v>16.899999999999999</v>
      </c>
      <c r="D7" s="66">
        <v>13.4</v>
      </c>
      <c r="E7" s="66">
        <v>20.100000000000001</v>
      </c>
      <c r="F7" s="66">
        <f t="shared" si="0"/>
        <v>18.500000000000007</v>
      </c>
      <c r="G7" s="66">
        <v>19.7</v>
      </c>
      <c r="H7" s="66">
        <v>21.9</v>
      </c>
      <c r="I7" s="66">
        <v>26.8</v>
      </c>
      <c r="J7" s="66">
        <f t="shared" si="1"/>
        <v>32.600000000000009</v>
      </c>
      <c r="K7" s="66">
        <v>38.1</v>
      </c>
      <c r="L7" s="66">
        <v>36.700000000000003</v>
      </c>
      <c r="M7" s="66">
        <v>50.1</v>
      </c>
      <c r="N7" s="66">
        <f t="shared" si="2"/>
        <v>45</v>
      </c>
      <c r="O7" s="66">
        <v>55.3</v>
      </c>
      <c r="P7" s="66">
        <v>54.2</v>
      </c>
      <c r="Q7" s="66"/>
      <c r="R7" s="66"/>
      <c r="S7" s="66"/>
      <c r="T7" s="66">
        <v>9.57</v>
      </c>
      <c r="U7" s="66">
        <v>15.75</v>
      </c>
      <c r="V7" s="66">
        <v>36.299999999999997</v>
      </c>
      <c r="W7" s="66">
        <v>47.3</v>
      </c>
      <c r="X7" s="66">
        <v>68.900000000000006</v>
      </c>
      <c r="Y7" s="66">
        <v>101</v>
      </c>
      <c r="Z7" s="66">
        <v>169.9</v>
      </c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</row>
    <row r="8" spans="1:49" x14ac:dyDescent="0.2">
      <c r="B8" s="65" t="s">
        <v>29</v>
      </c>
      <c r="C8" s="66">
        <v>2.8</v>
      </c>
      <c r="D8" s="66">
        <v>2.7</v>
      </c>
      <c r="E8" s="66">
        <v>3.5</v>
      </c>
      <c r="F8" s="66">
        <f t="shared" si="0"/>
        <v>2.8000000000000007</v>
      </c>
      <c r="G8" s="66">
        <v>3.8</v>
      </c>
      <c r="H8" s="66">
        <v>3.3</v>
      </c>
      <c r="I8" s="66">
        <v>5.3</v>
      </c>
      <c r="J8" s="66">
        <f t="shared" si="1"/>
        <v>5.3000000000000007</v>
      </c>
      <c r="K8" s="66">
        <v>7.6</v>
      </c>
      <c r="L8" s="66">
        <v>7.7</v>
      </c>
      <c r="M8" s="66">
        <v>13</v>
      </c>
      <c r="N8" s="66">
        <f t="shared" si="2"/>
        <v>11.3</v>
      </c>
      <c r="O8" s="66">
        <v>12.9</v>
      </c>
      <c r="P8" s="66">
        <v>14.5</v>
      </c>
      <c r="Q8" s="66"/>
      <c r="R8" s="66"/>
      <c r="S8" s="66"/>
      <c r="T8" s="66">
        <v>1.9379999999999999</v>
      </c>
      <c r="U8" s="66">
        <v>3.1549999999999998</v>
      </c>
      <c r="V8" s="66">
        <v>5</v>
      </c>
      <c r="W8" s="66">
        <v>7.4</v>
      </c>
      <c r="X8" s="66">
        <v>11.8</v>
      </c>
      <c r="Y8" s="66">
        <v>17.7</v>
      </c>
      <c r="Z8" s="66">
        <v>39.6</v>
      </c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</row>
    <row r="9" spans="1:49" x14ac:dyDescent="0.2">
      <c r="B9" s="65" t="s">
        <v>24</v>
      </c>
      <c r="C9" s="66">
        <v>283.2</v>
      </c>
      <c r="D9" s="66">
        <v>280.8</v>
      </c>
      <c r="E9" s="66">
        <v>315.7</v>
      </c>
      <c r="F9" s="66">
        <f t="shared" si="0"/>
        <v>240.59999999999991</v>
      </c>
      <c r="G9" s="66">
        <v>317.7</v>
      </c>
      <c r="H9" s="66">
        <v>358.2</v>
      </c>
      <c r="I9" s="66">
        <v>389.1</v>
      </c>
      <c r="J9" s="66">
        <f t="shared" si="1"/>
        <v>310.5</v>
      </c>
      <c r="K9" s="66">
        <v>449.7</v>
      </c>
      <c r="L9" s="66">
        <v>441</v>
      </c>
      <c r="M9" s="66">
        <v>479.6</v>
      </c>
      <c r="N9" s="66">
        <f t="shared" si="2"/>
        <v>383.09999999999991</v>
      </c>
      <c r="O9" s="66">
        <v>509.6</v>
      </c>
      <c r="P9" s="66">
        <v>461.9</v>
      </c>
      <c r="Q9" s="66"/>
      <c r="R9" s="66"/>
      <c r="S9" s="66"/>
      <c r="T9" s="66">
        <v>200.71600000000001</v>
      </c>
      <c r="U9" s="66">
        <v>264.81900000000002</v>
      </c>
      <c r="V9" s="66">
        <v>448.8</v>
      </c>
      <c r="W9" s="66">
        <v>777</v>
      </c>
      <c r="X9" s="66">
        <v>1120.3</v>
      </c>
      <c r="Y9" s="66">
        <v>1375.5</v>
      </c>
      <c r="Z9" s="66">
        <v>1753.4</v>
      </c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</row>
    <row r="10" spans="1:49" x14ac:dyDescent="0.2">
      <c r="B10" s="65" t="s">
        <v>25</v>
      </c>
      <c r="C10" s="66">
        <v>137</v>
      </c>
      <c r="D10" s="66">
        <v>163.5</v>
      </c>
      <c r="E10" s="66">
        <v>164.7</v>
      </c>
      <c r="F10" s="66">
        <f t="shared" si="0"/>
        <v>206.59999999999997</v>
      </c>
      <c r="G10" s="66">
        <v>190.5</v>
      </c>
      <c r="H10" s="66">
        <v>209.4</v>
      </c>
      <c r="I10" s="66">
        <v>246.7</v>
      </c>
      <c r="J10" s="66">
        <f t="shared" si="1"/>
        <v>296.20000000000005</v>
      </c>
      <c r="K10" s="66">
        <v>276.89999999999998</v>
      </c>
      <c r="L10" s="66">
        <v>308.3</v>
      </c>
      <c r="M10" s="66">
        <v>314.7</v>
      </c>
      <c r="N10" s="66">
        <f t="shared" si="2"/>
        <v>360.59999999999991</v>
      </c>
      <c r="O10" s="66">
        <v>322.3</v>
      </c>
      <c r="P10" s="66">
        <v>388.4</v>
      </c>
      <c r="Q10" s="66"/>
      <c r="R10" s="66"/>
      <c r="S10" s="66"/>
      <c r="T10" s="66">
        <v>66.403999999999996</v>
      </c>
      <c r="U10" s="66">
        <v>160.476</v>
      </c>
      <c r="V10" s="66">
        <v>275.8</v>
      </c>
      <c r="W10" s="66">
        <v>445.1</v>
      </c>
      <c r="X10" s="66">
        <v>671.8</v>
      </c>
      <c r="Y10" s="66">
        <v>942.8</v>
      </c>
      <c r="Z10" s="66">
        <v>1260.5</v>
      </c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</row>
    <row r="11" spans="1:49" x14ac:dyDescent="0.2">
      <c r="B11" s="64" t="s">
        <v>21</v>
      </c>
      <c r="C11" s="81">
        <v>420.2</v>
      </c>
      <c r="D11" s="81">
        <v>444.3</v>
      </c>
      <c r="E11" s="81">
        <v>480.5</v>
      </c>
      <c r="F11" s="81">
        <f t="shared" si="0"/>
        <v>447.09999999999991</v>
      </c>
      <c r="G11" s="81">
        <v>508.2</v>
      </c>
      <c r="H11" s="81">
        <v>567.70000000000005</v>
      </c>
      <c r="I11" s="81">
        <v>635.79999999999995</v>
      </c>
      <c r="J11" s="81">
        <f t="shared" si="1"/>
        <v>606.60000000000014</v>
      </c>
      <c r="K11" s="81">
        <v>726.6</v>
      </c>
      <c r="L11" s="81">
        <v>749.2</v>
      </c>
      <c r="M11" s="81">
        <v>794.4</v>
      </c>
      <c r="N11" s="81">
        <f t="shared" si="2"/>
        <v>743.79999999999973</v>
      </c>
      <c r="O11" s="81">
        <v>831.9</v>
      </c>
      <c r="P11" s="81">
        <v>850.3</v>
      </c>
      <c r="Q11" s="66"/>
      <c r="R11" s="66"/>
      <c r="S11" s="66"/>
      <c r="T11" s="81">
        <v>267.12</v>
      </c>
      <c r="U11" s="81">
        <v>425.29</v>
      </c>
      <c r="V11" s="81">
        <v>724.6</v>
      </c>
      <c r="W11" s="81">
        <v>1222.0999999999999</v>
      </c>
      <c r="X11" s="81">
        <v>1792.1</v>
      </c>
      <c r="Y11" s="81">
        <v>2318.3000000000002</v>
      </c>
      <c r="Z11" s="81">
        <v>3014</v>
      </c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</row>
    <row r="12" spans="1:49" x14ac:dyDescent="0.2">
      <c r="B12" s="65" t="s">
        <v>22</v>
      </c>
      <c r="C12" s="66">
        <v>175.3</v>
      </c>
      <c r="D12" s="66">
        <v>179.8</v>
      </c>
      <c r="E12" s="66">
        <v>192.8</v>
      </c>
      <c r="F12" s="66">
        <f t="shared" si="0"/>
        <v>176.89999999999986</v>
      </c>
      <c r="G12" s="66">
        <v>204.9</v>
      </c>
      <c r="H12" s="66">
        <v>227.4</v>
      </c>
      <c r="I12" s="66">
        <v>250.5</v>
      </c>
      <c r="J12" s="66">
        <f t="shared" si="1"/>
        <v>229.80000000000007</v>
      </c>
      <c r="K12" s="66">
        <v>291.3</v>
      </c>
      <c r="L12" s="66">
        <v>288.39999999999998</v>
      </c>
      <c r="M12" s="66">
        <v>272.10000000000002</v>
      </c>
      <c r="N12" s="66">
        <f>+Z12-SUM(K12:M12)</f>
        <v>268.49999999999989</v>
      </c>
      <c r="O12" s="66">
        <v>297.60000000000002</v>
      </c>
      <c r="P12" s="116">
        <v>294.60000000000002</v>
      </c>
      <c r="Q12" s="66"/>
      <c r="R12" s="66"/>
      <c r="S12" s="66"/>
      <c r="T12" s="66">
        <v>124.003</v>
      </c>
      <c r="U12" s="66">
        <v>194.19</v>
      </c>
      <c r="V12" s="66">
        <v>294.3</v>
      </c>
      <c r="W12" s="66">
        <v>537.20000000000005</v>
      </c>
      <c r="X12" s="66">
        <v>724.8</v>
      </c>
      <c r="Y12" s="66">
        <v>912.6</v>
      </c>
      <c r="Z12" s="66">
        <v>1120.3</v>
      </c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</row>
    <row r="13" spans="1:49" x14ac:dyDescent="0.2">
      <c r="B13" s="65" t="s">
        <v>23</v>
      </c>
      <c r="C13" s="66">
        <f t="shared" ref="C13:H13" si="3">+C11-C12</f>
        <v>244.89999999999998</v>
      </c>
      <c r="D13" s="66">
        <f t="shared" si="3"/>
        <v>264.5</v>
      </c>
      <c r="E13" s="66">
        <f t="shared" si="3"/>
        <v>287.7</v>
      </c>
      <c r="F13" s="66">
        <f t="shared" si="3"/>
        <v>270.20000000000005</v>
      </c>
      <c r="G13" s="66">
        <f t="shared" si="3"/>
        <v>303.29999999999995</v>
      </c>
      <c r="H13" s="66">
        <f t="shared" si="3"/>
        <v>340.30000000000007</v>
      </c>
      <c r="I13" s="66">
        <f>+I11-I12</f>
        <v>385.29999999999995</v>
      </c>
      <c r="J13" s="66">
        <f t="shared" ref="J13:P13" si="4">+J11-J12</f>
        <v>376.80000000000007</v>
      </c>
      <c r="K13" s="66">
        <f t="shared" si="4"/>
        <v>435.3</v>
      </c>
      <c r="L13" s="66">
        <f t="shared" si="4"/>
        <v>460.80000000000007</v>
      </c>
      <c r="M13" s="66">
        <f t="shared" si="4"/>
        <v>522.29999999999995</v>
      </c>
      <c r="N13" s="66">
        <f t="shared" si="4"/>
        <v>475.29999999999984</v>
      </c>
      <c r="O13" s="66">
        <f t="shared" si="4"/>
        <v>534.29999999999995</v>
      </c>
      <c r="P13" s="66">
        <f t="shared" si="4"/>
        <v>555.69999999999993</v>
      </c>
      <c r="Q13" s="66"/>
      <c r="R13" s="66"/>
      <c r="S13" s="66"/>
      <c r="T13" s="66">
        <f t="shared" ref="T13:X13" si="5">+T11-T12</f>
        <v>143.11700000000002</v>
      </c>
      <c r="U13" s="66">
        <f t="shared" si="5"/>
        <v>231.10000000000002</v>
      </c>
      <c r="V13" s="66">
        <f t="shared" si="5"/>
        <v>430.3</v>
      </c>
      <c r="W13" s="66">
        <f t="shared" si="5"/>
        <v>684.89999999999986</v>
      </c>
      <c r="X13" s="66">
        <f t="shared" si="5"/>
        <v>1067.3</v>
      </c>
      <c r="Y13" s="66">
        <f>+Y11-Y12</f>
        <v>1405.7000000000003</v>
      </c>
      <c r="Z13" s="66">
        <f>+Z11-Z12</f>
        <v>1893.7</v>
      </c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</row>
    <row r="14" spans="1:49" x14ac:dyDescent="0.2">
      <c r="B14" s="65" t="s">
        <v>30</v>
      </c>
      <c r="C14" s="66">
        <v>202.6</v>
      </c>
      <c r="D14" s="66">
        <v>225.1</v>
      </c>
      <c r="E14" s="66">
        <v>229.9</v>
      </c>
      <c r="F14" s="66">
        <f t="shared" si="0"/>
        <v>229.39999999999998</v>
      </c>
      <c r="G14" s="66">
        <v>264.8</v>
      </c>
      <c r="H14" s="66">
        <v>292.89999999999998</v>
      </c>
      <c r="I14" s="66">
        <v>312.7</v>
      </c>
      <c r="J14" s="66">
        <f t="shared" si="1"/>
        <v>323.79999999999995</v>
      </c>
      <c r="K14" s="66">
        <v>358.2</v>
      </c>
      <c r="L14" s="66">
        <v>368</v>
      </c>
      <c r="M14" s="66">
        <v>397.5</v>
      </c>
      <c r="N14" s="66">
        <f>+Z14-SUM(K14:M14)</f>
        <v>392.89999999999986</v>
      </c>
      <c r="O14" s="66">
        <v>416.9</v>
      </c>
      <c r="P14" s="66">
        <v>436.3</v>
      </c>
      <c r="Q14" s="66"/>
      <c r="R14" s="66"/>
      <c r="S14" s="66"/>
      <c r="T14" s="66">
        <v>137.428</v>
      </c>
      <c r="U14" s="66">
        <v>248.19900000000001</v>
      </c>
      <c r="V14" s="66">
        <v>571.4</v>
      </c>
      <c r="W14" s="66">
        <v>599.79999999999995</v>
      </c>
      <c r="X14" s="66">
        <v>887</v>
      </c>
      <c r="Y14" s="66">
        <v>1194.2</v>
      </c>
      <c r="Z14" s="66">
        <v>1516.6</v>
      </c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</row>
    <row r="15" spans="1:49" x14ac:dyDescent="0.2">
      <c r="B15" s="65" t="s">
        <v>31</v>
      </c>
      <c r="C15" s="66">
        <f t="shared" ref="C15:H15" si="6">+C13-C14</f>
        <v>42.299999999999983</v>
      </c>
      <c r="D15" s="66">
        <f t="shared" si="6"/>
        <v>39.400000000000006</v>
      </c>
      <c r="E15" s="66">
        <f t="shared" si="6"/>
        <v>57.799999999999983</v>
      </c>
      <c r="F15" s="66">
        <f t="shared" si="6"/>
        <v>40.800000000000068</v>
      </c>
      <c r="G15" s="66">
        <f t="shared" si="6"/>
        <v>38.499999999999943</v>
      </c>
      <c r="H15" s="66">
        <f t="shared" si="6"/>
        <v>47.400000000000091</v>
      </c>
      <c r="I15" s="66">
        <f>+I13-I14</f>
        <v>72.599999999999966</v>
      </c>
      <c r="J15" s="66">
        <f t="shared" ref="J15:P15" si="7">+J13-J14</f>
        <v>53.000000000000114</v>
      </c>
      <c r="K15" s="66">
        <f t="shared" si="7"/>
        <v>77.100000000000023</v>
      </c>
      <c r="L15" s="66">
        <f t="shared" si="7"/>
        <v>92.800000000000068</v>
      </c>
      <c r="M15" s="66">
        <f t="shared" si="7"/>
        <v>124.79999999999995</v>
      </c>
      <c r="N15" s="66">
        <f t="shared" si="7"/>
        <v>82.399999999999977</v>
      </c>
      <c r="O15" s="66">
        <f t="shared" si="7"/>
        <v>117.39999999999998</v>
      </c>
      <c r="P15" s="66">
        <f t="shared" si="7"/>
        <v>119.39999999999992</v>
      </c>
      <c r="Q15" s="66"/>
      <c r="R15" s="66"/>
      <c r="S15" s="66"/>
      <c r="T15" s="66">
        <f t="shared" ref="T15:V15" si="8">+T13-T14</f>
        <v>5.6890000000000214</v>
      </c>
      <c r="U15" s="66">
        <f t="shared" si="8"/>
        <v>-17.09899999999999</v>
      </c>
      <c r="V15" s="66">
        <f t="shared" si="8"/>
        <v>-141.09999999999997</v>
      </c>
      <c r="W15" s="66">
        <f>+W13-W14</f>
        <v>85.099999999999909</v>
      </c>
      <c r="X15" s="66">
        <f>+X13-X14</f>
        <v>180.29999999999995</v>
      </c>
      <c r="Y15" s="66">
        <f>+Y13-Y14</f>
        <v>211.50000000000023</v>
      </c>
      <c r="Z15" s="66">
        <f>+Z13-Z14</f>
        <v>377.10000000000014</v>
      </c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</row>
    <row r="16" spans="1:49" x14ac:dyDescent="0.2">
      <c r="B16" s="65" t="s">
        <v>32</v>
      </c>
      <c r="C16" s="66">
        <v>2.1</v>
      </c>
      <c r="D16" s="66">
        <v>4.3</v>
      </c>
      <c r="E16" s="66">
        <v>1</v>
      </c>
      <c r="F16" s="66">
        <f t="shared" si="0"/>
        <v>4.0999999999999996</v>
      </c>
      <c r="G16" s="66">
        <v>5.4</v>
      </c>
      <c r="H16" s="66">
        <v>5.8</v>
      </c>
      <c r="I16" s="66">
        <v>6</v>
      </c>
      <c r="J16" s="66">
        <f t="shared" si="1"/>
        <v>6.3000000000000007</v>
      </c>
      <c r="K16" s="66">
        <v>7.3</v>
      </c>
      <c r="L16" s="66">
        <v>7.5</v>
      </c>
      <c r="M16" s="66">
        <v>8.1</v>
      </c>
      <c r="N16" s="66">
        <f>+Z16-SUM(K16:M16)</f>
        <v>8</v>
      </c>
      <c r="O16" s="66">
        <v>7</v>
      </c>
      <c r="P16" s="66">
        <v>11.3</v>
      </c>
      <c r="Q16" s="66"/>
      <c r="R16" s="66"/>
      <c r="S16" s="66"/>
      <c r="T16" s="66">
        <v>4.7E-2</v>
      </c>
      <c r="U16" s="66">
        <v>2.7E-2</v>
      </c>
      <c r="V16" s="66">
        <v>0</v>
      </c>
      <c r="W16" s="66">
        <v>5.7</v>
      </c>
      <c r="X16" s="66">
        <v>11.5</v>
      </c>
      <c r="Y16" s="66">
        <v>23.5</v>
      </c>
      <c r="Z16" s="66">
        <v>30.9</v>
      </c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</row>
    <row r="17" spans="2:45" x14ac:dyDescent="0.2">
      <c r="B17" s="65" t="s">
        <v>33</v>
      </c>
      <c r="C17" s="66">
        <v>1.7</v>
      </c>
      <c r="D17" s="66">
        <v>1.9</v>
      </c>
      <c r="E17" s="66">
        <v>3.2</v>
      </c>
      <c r="F17" s="66">
        <f t="shared" si="0"/>
        <v>4.5000000000000009</v>
      </c>
      <c r="G17" s="66">
        <v>4.9000000000000004</v>
      </c>
      <c r="H17" s="66">
        <v>5.9</v>
      </c>
      <c r="I17" s="66">
        <v>6.5</v>
      </c>
      <c r="J17" s="66">
        <f t="shared" si="1"/>
        <v>5.8000000000000007</v>
      </c>
      <c r="K17" s="66">
        <v>5.9</v>
      </c>
      <c r="L17" s="66">
        <v>7.7</v>
      </c>
      <c r="M17" s="66">
        <v>8.1</v>
      </c>
      <c r="N17" s="66">
        <f>+Z17-SUM(K17:M17)</f>
        <v>7.8999999999999986</v>
      </c>
      <c r="O17" s="66">
        <v>8</v>
      </c>
      <c r="P17" s="66">
        <v>8.3000000000000007</v>
      </c>
      <c r="Q17" s="66"/>
      <c r="R17" s="66"/>
      <c r="S17" s="66"/>
      <c r="T17" s="66">
        <v>0.69699999999999995</v>
      </c>
      <c r="U17" s="66">
        <v>0.93</v>
      </c>
      <c r="V17" s="66">
        <v>3.6</v>
      </c>
      <c r="W17" s="66">
        <v>6.4</v>
      </c>
      <c r="X17" s="66">
        <v>11.3</v>
      </c>
      <c r="Y17" s="66">
        <v>23.1</v>
      </c>
      <c r="Z17" s="66">
        <v>29.6</v>
      </c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</row>
    <row r="18" spans="2:45" x14ac:dyDescent="0.2">
      <c r="B18" s="65" t="s">
        <v>34</v>
      </c>
      <c r="C18" s="66">
        <v>-8.8000000000000007</v>
      </c>
      <c r="D18" s="66">
        <v>48.5</v>
      </c>
      <c r="E18" s="66">
        <v>-13.8</v>
      </c>
      <c r="F18" s="66">
        <f t="shared" si="0"/>
        <v>-137.30000000000001</v>
      </c>
      <c r="G18" s="66">
        <v>-76.8</v>
      </c>
      <c r="H18" s="66">
        <v>4.5</v>
      </c>
      <c r="I18" s="66">
        <v>42.6</v>
      </c>
      <c r="J18" s="66">
        <f t="shared" si="1"/>
        <v>97.4</v>
      </c>
      <c r="K18" s="66">
        <v>14.5</v>
      </c>
      <c r="L18" s="66">
        <v>139.9</v>
      </c>
      <c r="M18" s="66">
        <v>6.1</v>
      </c>
      <c r="N18" s="66">
        <f>+Z18-SUM(K18:M18)</f>
        <v>-333.7</v>
      </c>
      <c r="O18" s="109">
        <v>0.3</v>
      </c>
      <c r="P18" s="66">
        <v>3.3</v>
      </c>
      <c r="Q18" s="66"/>
      <c r="R18" s="66"/>
      <c r="S18" s="66"/>
      <c r="T18" s="66">
        <v>-1.893</v>
      </c>
      <c r="U18" s="66">
        <v>-6.4340000000000002</v>
      </c>
      <c r="V18" s="66">
        <v>-14.9</v>
      </c>
      <c r="W18" s="66">
        <v>-6.5</v>
      </c>
      <c r="X18" s="66">
        <v>-111.4</v>
      </c>
      <c r="Y18" s="66">
        <v>67.7</v>
      </c>
      <c r="Z18" s="66">
        <v>-173.2</v>
      </c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</row>
    <row r="19" spans="2:45" x14ac:dyDescent="0.2">
      <c r="B19" s="65" t="s">
        <v>35</v>
      </c>
      <c r="C19" s="66">
        <f t="shared" ref="C19:H19" si="9">+C15+C16-C17-C18</f>
        <v>51.499999999999986</v>
      </c>
      <c r="D19" s="66">
        <f t="shared" si="9"/>
        <v>-6.6999999999999957</v>
      </c>
      <c r="E19" s="66">
        <f t="shared" si="9"/>
        <v>69.399999999999977</v>
      </c>
      <c r="F19" s="66">
        <f t="shared" si="9"/>
        <v>177.70000000000007</v>
      </c>
      <c r="G19" s="66">
        <f t="shared" si="9"/>
        <v>115.79999999999994</v>
      </c>
      <c r="H19" s="66">
        <f t="shared" si="9"/>
        <v>42.80000000000009</v>
      </c>
      <c r="I19" s="66">
        <f>+I15+I16-I17-I18</f>
        <v>29.499999999999964</v>
      </c>
      <c r="J19" s="66">
        <f t="shared" ref="J19:P19" si="10">+J15+J16-J17-J18</f>
        <v>-43.899999999999892</v>
      </c>
      <c r="K19" s="66">
        <f t="shared" si="10"/>
        <v>64.000000000000014</v>
      </c>
      <c r="L19" s="66">
        <f t="shared" si="10"/>
        <v>-47.29999999999994</v>
      </c>
      <c r="M19" s="66">
        <f t="shared" si="10"/>
        <v>118.69999999999996</v>
      </c>
      <c r="N19" s="66">
        <f t="shared" si="10"/>
        <v>416.19999999999993</v>
      </c>
      <c r="O19" s="66">
        <f t="shared" si="10"/>
        <v>116.09999999999998</v>
      </c>
      <c r="P19" s="66">
        <f t="shared" si="10"/>
        <v>119.09999999999994</v>
      </c>
      <c r="Q19" s="66"/>
      <c r="R19" s="66"/>
      <c r="S19" s="66"/>
      <c r="T19" s="66">
        <f t="shared" ref="T19:W19" si="11">+T15+T16-T17+T18</f>
        <v>3.1460000000000212</v>
      </c>
      <c r="U19" s="66">
        <f t="shared" si="11"/>
        <v>-24.435999999999989</v>
      </c>
      <c r="V19" s="66">
        <f t="shared" si="11"/>
        <v>-159.59999999999997</v>
      </c>
      <c r="W19" s="66">
        <f t="shared" si="11"/>
        <v>77.899999999999906</v>
      </c>
      <c r="X19" s="66">
        <f>+X15+X16-X17+X18</f>
        <v>69.099999999999937</v>
      </c>
      <c r="Y19" s="66">
        <f>+Y15+Y16-Y17+Y18</f>
        <v>279.60000000000025</v>
      </c>
      <c r="Z19" s="66">
        <f>+Z15+Z16-Z17+Z18</f>
        <v>205.2000000000001</v>
      </c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</row>
    <row r="20" spans="2:45" x14ac:dyDescent="0.2">
      <c r="B20" s="65" t="s">
        <v>58</v>
      </c>
      <c r="C20" s="66">
        <v>7.1</v>
      </c>
      <c r="D20" s="66">
        <v>-10</v>
      </c>
      <c r="E20" s="66">
        <v>10.6</v>
      </c>
      <c r="F20" s="66">
        <f t="shared" si="0"/>
        <v>-18.2</v>
      </c>
      <c r="G20" s="66">
        <v>24.4</v>
      </c>
      <c r="H20" s="66">
        <v>11.8</v>
      </c>
      <c r="I20" s="66">
        <v>-0.9</v>
      </c>
      <c r="J20" s="66">
        <f t="shared" si="1"/>
        <v>2.0999999999999943</v>
      </c>
      <c r="K20" s="66">
        <v>7.2</v>
      </c>
      <c r="L20" s="66">
        <v>-6.4</v>
      </c>
      <c r="M20" s="66">
        <v>-0.3</v>
      </c>
      <c r="N20" s="66">
        <f>+Z20-SUM(K20:M20)</f>
        <v>1.0000000000000002</v>
      </c>
      <c r="O20" s="66">
        <v>12.8</v>
      </c>
      <c r="P20" s="66">
        <v>20.7</v>
      </c>
      <c r="Q20" s="66"/>
      <c r="R20" s="66"/>
      <c r="S20" s="66"/>
      <c r="T20" s="66">
        <v>4.62</v>
      </c>
      <c r="U20" s="66">
        <v>3.0830000000000002</v>
      </c>
      <c r="V20" s="66">
        <v>10.6</v>
      </c>
      <c r="W20" s="66">
        <v>20.2</v>
      </c>
      <c r="X20" s="66">
        <v>-10.5</v>
      </c>
      <c r="Y20" s="66">
        <v>37.4</v>
      </c>
      <c r="Z20" s="66">
        <v>1.5</v>
      </c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</row>
    <row r="21" spans="2:45" x14ac:dyDescent="0.2">
      <c r="B21" s="65" t="s">
        <v>36</v>
      </c>
      <c r="C21" s="66">
        <f t="shared" ref="C21:G21" si="12">+C19-C20</f>
        <v>44.399999999999984</v>
      </c>
      <c r="D21" s="66">
        <f t="shared" si="12"/>
        <v>3.3000000000000043</v>
      </c>
      <c r="E21" s="66">
        <f t="shared" si="12"/>
        <v>58.799999999999976</v>
      </c>
      <c r="F21" s="66">
        <f t="shared" si="12"/>
        <v>195.90000000000006</v>
      </c>
      <c r="G21" s="66">
        <f t="shared" si="12"/>
        <v>91.399999999999949</v>
      </c>
      <c r="H21" s="66">
        <f>+H19-H20</f>
        <v>31.000000000000089</v>
      </c>
      <c r="I21" s="66">
        <f>+I19-I20</f>
        <v>30.399999999999963</v>
      </c>
      <c r="J21" s="66">
        <f t="shared" si="1"/>
        <v>89.400000000000233</v>
      </c>
      <c r="K21" s="66">
        <f>+K19-K20</f>
        <v>56.800000000000011</v>
      </c>
      <c r="L21" s="66">
        <f>+L19-L20</f>
        <v>-40.899999999999942</v>
      </c>
      <c r="M21" s="66">
        <f>+M19-M20</f>
        <v>118.99999999999996</v>
      </c>
      <c r="N21" s="66">
        <f>+N19-N20</f>
        <v>415.19999999999993</v>
      </c>
      <c r="O21" s="66">
        <f>+O19-O20</f>
        <v>103.29999999999998</v>
      </c>
      <c r="P21" s="66">
        <f>+P19-P20</f>
        <v>98.399999999999935</v>
      </c>
      <c r="Q21" s="66"/>
      <c r="R21" s="66"/>
      <c r="S21" s="66"/>
      <c r="T21" s="66">
        <f t="shared" ref="T21:W21" si="13">+T19-T20</f>
        <v>-1.4739999999999789</v>
      </c>
      <c r="U21" s="66">
        <f t="shared" si="13"/>
        <v>-27.518999999999991</v>
      </c>
      <c r="V21" s="66">
        <f t="shared" si="13"/>
        <v>-170.19999999999996</v>
      </c>
      <c r="W21" s="66">
        <f t="shared" si="13"/>
        <v>57.699999999999903</v>
      </c>
      <c r="X21" s="66">
        <f>+X19-X20</f>
        <v>79.599999999999937</v>
      </c>
      <c r="Y21" s="66">
        <f>+Y19-Y20</f>
        <v>242.20000000000024</v>
      </c>
      <c r="Z21" s="66">
        <f>+Z19-Z20</f>
        <v>203.7000000000001</v>
      </c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</row>
    <row r="22" spans="2:45" x14ac:dyDescent="0.2"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</row>
    <row r="23" spans="2:45" x14ac:dyDescent="0.2">
      <c r="B23" s="65" t="s">
        <v>37</v>
      </c>
      <c r="C23" s="82">
        <f t="shared" ref="C23:H23" si="14">+C21/C24</f>
        <v>0.15660108435458134</v>
      </c>
      <c r="D23" s="82">
        <f t="shared" si="14"/>
        <v>1.1625483116767097E-2</v>
      </c>
      <c r="E23" s="82">
        <f t="shared" si="14"/>
        <v>0.20694907033004711</v>
      </c>
      <c r="F23" s="82">
        <f t="shared" si="14"/>
        <v>0.68789349860793403</v>
      </c>
      <c r="G23" s="82">
        <f t="shared" si="14"/>
        <v>0.31774567826420064</v>
      </c>
      <c r="H23" s="82">
        <f t="shared" si="14"/>
        <v>0.1076078937054783</v>
      </c>
      <c r="I23" s="82">
        <f>+I21/I24</f>
        <v>0.10547035930930765</v>
      </c>
      <c r="J23" s="82">
        <f t="shared" ref="J23:P23" si="15">+J21/J24</f>
        <v>0.30865931272619346</v>
      </c>
      <c r="K23" s="82">
        <f t="shared" si="15"/>
        <v>0.19363330951098184</v>
      </c>
      <c r="L23" s="82">
        <f t="shared" si="15"/>
        <v>-0.13956771510741842</v>
      </c>
      <c r="M23" s="82">
        <f t="shared" si="15"/>
        <v>0.40138630329211838</v>
      </c>
      <c r="N23" s="82">
        <f t="shared" si="15"/>
        <v>1.4004671691335091</v>
      </c>
      <c r="O23" s="82">
        <f t="shared" si="15"/>
        <v>0.34795982514469725</v>
      </c>
      <c r="P23" s="82">
        <f t="shared" si="15"/>
        <v>0.33145447041856912</v>
      </c>
      <c r="Q23" s="82"/>
      <c r="R23" s="82"/>
      <c r="S23" s="66"/>
      <c r="T23" s="83" t="s">
        <v>62</v>
      </c>
      <c r="U23" s="83" t="s">
        <v>62</v>
      </c>
      <c r="V23" s="84">
        <f t="shared" ref="V23:X23" si="16">+V21/V24</f>
        <v>-0.6442791449096904</v>
      </c>
      <c r="W23" s="84">
        <f t="shared" si="16"/>
        <v>0.20446745803841362</v>
      </c>
      <c r="X23" s="84">
        <f t="shared" si="16"/>
        <v>0.27951160025110511</v>
      </c>
      <c r="Y23" s="84">
        <f>+Y21/Y24</f>
        <v>0.83621124767655408</v>
      </c>
      <c r="Z23" s="84">
        <f>+Z21/Z24</f>
        <v>0.68615117504331924</v>
      </c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</row>
    <row r="24" spans="2:45" x14ac:dyDescent="0.2">
      <c r="B24" s="65" t="s">
        <v>3</v>
      </c>
      <c r="C24" s="66">
        <v>283.522941</v>
      </c>
      <c r="D24" s="66">
        <v>283.859171</v>
      </c>
      <c r="E24" s="66">
        <v>284.12787700000001</v>
      </c>
      <c r="F24" s="66">
        <f>+X24</f>
        <v>284.78245600000002</v>
      </c>
      <c r="G24" s="66">
        <v>287.65143399999999</v>
      </c>
      <c r="H24" s="66">
        <v>288.08295500000003</v>
      </c>
      <c r="I24" s="66">
        <v>288.23263900000001</v>
      </c>
      <c r="J24" s="66">
        <f>+Y24</f>
        <v>289.63972999999999</v>
      </c>
      <c r="K24" s="66">
        <v>293.33796000000001</v>
      </c>
      <c r="L24" s="66">
        <v>293.04771499999998</v>
      </c>
      <c r="M24" s="66">
        <v>296.47249799999997</v>
      </c>
      <c r="N24" s="66">
        <v>296.47249799999997</v>
      </c>
      <c r="O24" s="66">
        <v>296.87335300000001</v>
      </c>
      <c r="P24" s="66">
        <v>296.87335300000001</v>
      </c>
      <c r="Q24" s="66"/>
      <c r="R24" s="66"/>
      <c r="S24" s="66"/>
      <c r="T24" s="83" t="s">
        <v>62</v>
      </c>
      <c r="U24" s="83" t="s">
        <v>62</v>
      </c>
      <c r="V24" s="66">
        <v>264.17120799999998</v>
      </c>
      <c r="W24" s="66">
        <v>282.19649500000003</v>
      </c>
      <c r="X24" s="66">
        <v>284.78245600000002</v>
      </c>
      <c r="Y24" s="66">
        <v>289.63972999999999</v>
      </c>
      <c r="Z24" s="66">
        <v>296.87335300000001</v>
      </c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</row>
    <row r="25" spans="2:45" x14ac:dyDescent="0.2">
      <c r="C25" s="66"/>
      <c r="D25" s="66"/>
      <c r="E25" s="66"/>
      <c r="F25" s="66"/>
      <c r="G25" s="66"/>
      <c r="H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</row>
    <row r="26" spans="2:45" x14ac:dyDescent="0.2">
      <c r="B26" s="65" t="s">
        <v>42</v>
      </c>
      <c r="C26" s="66"/>
      <c r="D26" s="66"/>
      <c r="E26" s="66"/>
      <c r="F26" s="66"/>
      <c r="G26" s="85">
        <f t="shared" ref="G26:H26" si="17">+G3/C3-1</f>
        <v>6.1396131202691384E-2</v>
      </c>
      <c r="H26" s="85">
        <f t="shared" si="17"/>
        <v>0.21830985915492973</v>
      </c>
      <c r="I26" s="85">
        <f t="shared" ref="I26:I34" si="18">+I3/E3-1</f>
        <v>0.15138888888888902</v>
      </c>
      <c r="J26" s="85">
        <f t="shared" ref="J26:P34" si="19">+J3/F3-1</f>
        <v>0.31372549019607776</v>
      </c>
      <c r="K26" s="85">
        <f t="shared" si="19"/>
        <v>0.33597464342313788</v>
      </c>
      <c r="L26" s="85">
        <f t="shared" si="19"/>
        <v>0.42919075144508678</v>
      </c>
      <c r="M26" s="85">
        <f t="shared" si="19"/>
        <v>0.28648974668275029</v>
      </c>
      <c r="N26" s="85">
        <f t="shared" si="19"/>
        <v>0.24151967435549593</v>
      </c>
      <c r="O26" s="85">
        <f t="shared" si="19"/>
        <v>0.22835112692763948</v>
      </c>
      <c r="P26" s="85">
        <f t="shared" si="19"/>
        <v>0.15369059656218398</v>
      </c>
      <c r="Q26" s="85"/>
      <c r="R26" s="85"/>
      <c r="S26" s="66"/>
      <c r="T26" s="83" t="s">
        <v>62</v>
      </c>
      <c r="U26" s="85">
        <f t="shared" ref="U26:U34" si="20">+U3/T3-1</f>
        <v>0.41249672708230301</v>
      </c>
      <c r="V26" s="85">
        <f t="shared" ref="V26:V34" si="21">+V3/U3-1</f>
        <v>0.40262709377107919</v>
      </c>
      <c r="W26" s="85">
        <f t="shared" ref="W26:X34" si="22">+W3/V3-1</f>
        <v>0.38803230543318668</v>
      </c>
      <c r="X26" s="85">
        <f t="shared" si="22"/>
        <v>0.29251520761703231</v>
      </c>
      <c r="Y26" s="85">
        <f>+Y3/X3-1</f>
        <v>0.18232044198895014</v>
      </c>
      <c r="Z26" s="85">
        <f>+Z3/Y3-1</f>
        <v>0.32000692281066123</v>
      </c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</row>
    <row r="27" spans="2:45" x14ac:dyDescent="0.2">
      <c r="B27" s="65" t="s">
        <v>43</v>
      </c>
      <c r="C27" s="66"/>
      <c r="D27" s="66"/>
      <c r="E27" s="66"/>
      <c r="F27" s="66"/>
      <c r="G27" s="85">
        <f t="shared" ref="G27:H27" si="23">+G4/C4-1</f>
        <v>0.2198371576609921</v>
      </c>
      <c r="H27" s="85">
        <f t="shared" si="23"/>
        <v>0.24747134187457842</v>
      </c>
      <c r="I27" s="85">
        <f t="shared" si="18"/>
        <v>0.34113258731773488</v>
      </c>
      <c r="J27" s="85">
        <f t="shared" si="19"/>
        <v>0.28186356073211272</v>
      </c>
      <c r="K27" s="85">
        <f t="shared" si="19"/>
        <v>0.32706310679611628</v>
      </c>
      <c r="L27" s="85">
        <f t="shared" si="19"/>
        <v>0.16837837837837832</v>
      </c>
      <c r="M27" s="85">
        <f t="shared" si="19"/>
        <v>0.1029077117572692</v>
      </c>
      <c r="N27" s="85">
        <f t="shared" si="19"/>
        <v>0.12720664589823416</v>
      </c>
      <c r="O27" s="85">
        <f t="shared" si="19"/>
        <v>3.0406950160036583E-2</v>
      </c>
      <c r="P27" s="85">
        <f t="shared" si="19"/>
        <v>4.4644922507518059E-2</v>
      </c>
      <c r="Q27" s="85"/>
      <c r="R27" s="85"/>
      <c r="S27" s="66"/>
      <c r="T27" s="83" t="s">
        <v>62</v>
      </c>
      <c r="U27" s="85">
        <f t="shared" si="20"/>
        <v>0.86191068440690399</v>
      </c>
      <c r="V27" s="85">
        <f t="shared" si="21"/>
        <v>0.9679079624583713</v>
      </c>
      <c r="W27" s="85">
        <f t="shared" si="22"/>
        <v>0.86520146520146501</v>
      </c>
      <c r="X27" s="85">
        <f t="shared" si="22"/>
        <v>0.52160251374705435</v>
      </c>
      <c r="Y27" s="85">
        <f t="shared" ref="Y27:Z34" si="24">+Y4/X4-1</f>
        <v>0.273705042161418</v>
      </c>
      <c r="Z27" s="85">
        <f t="shared" si="24"/>
        <v>0.17550496520975467</v>
      </c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</row>
    <row r="28" spans="2:45" x14ac:dyDescent="0.2">
      <c r="B28" s="65" t="s">
        <v>44</v>
      </c>
      <c r="C28" s="66"/>
      <c r="D28" s="66"/>
      <c r="E28" s="66"/>
      <c r="F28" s="66"/>
      <c r="G28" s="85">
        <f t="shared" ref="G28:H28" si="25">+G5/C5-1</f>
        <v>0.68488745980707377</v>
      </c>
      <c r="H28" s="85">
        <f t="shared" si="25"/>
        <v>0.73607038123167157</v>
      </c>
      <c r="I28" s="85">
        <f t="shared" si="18"/>
        <v>0.79326923076923062</v>
      </c>
      <c r="J28" s="85">
        <f t="shared" si="19"/>
        <v>1.1574344023323624</v>
      </c>
      <c r="K28" s="85">
        <f t="shared" si="19"/>
        <v>1.3015267175572518</v>
      </c>
      <c r="L28" s="85">
        <f t="shared" si="19"/>
        <v>1.0135135135135136</v>
      </c>
      <c r="M28" s="85">
        <f t="shared" si="19"/>
        <v>0.94235924932975901</v>
      </c>
      <c r="N28" s="85">
        <f t="shared" si="19"/>
        <v>0.70810810810810776</v>
      </c>
      <c r="O28" s="85">
        <f t="shared" si="19"/>
        <v>0.44278606965174139</v>
      </c>
      <c r="P28" s="85">
        <f t="shared" si="19"/>
        <v>0.43036912751677847</v>
      </c>
      <c r="Q28" s="85"/>
      <c r="R28" s="85"/>
      <c r="S28" s="66"/>
      <c r="T28" s="83" t="s">
        <v>62</v>
      </c>
      <c r="U28" s="85">
        <f t="shared" si="20"/>
        <v>0.28723344713718024</v>
      </c>
      <c r="V28" s="85">
        <f t="shared" si="21"/>
        <v>0.85660246097656434</v>
      </c>
      <c r="W28" s="85">
        <f t="shared" si="22"/>
        <v>0.87822014051522235</v>
      </c>
      <c r="X28" s="85">
        <f t="shared" si="22"/>
        <v>0.75935162094763076</v>
      </c>
      <c r="Y28" s="85">
        <f t="shared" si="24"/>
        <v>0.84408221119773219</v>
      </c>
      <c r="Z28" s="85">
        <f t="shared" si="24"/>
        <v>0.96425826287471184</v>
      </c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</row>
    <row r="29" spans="2:45" x14ac:dyDescent="0.2">
      <c r="B29" s="65" t="s">
        <v>45</v>
      </c>
      <c r="C29" s="66"/>
      <c r="D29" s="66"/>
      <c r="E29" s="66"/>
      <c r="F29" s="66"/>
      <c r="G29" s="85">
        <f t="shared" ref="G29:H29" si="26">+G6/C6-1</f>
        <v>0.21023720349563035</v>
      </c>
      <c r="H29" s="85">
        <f t="shared" si="26"/>
        <v>0.2669313404950957</v>
      </c>
      <c r="I29" s="85">
        <f t="shared" si="18"/>
        <v>0.32129568833442779</v>
      </c>
      <c r="J29" s="85">
        <f t="shared" si="19"/>
        <v>0.33560356975105576</v>
      </c>
      <c r="K29" s="85">
        <f t="shared" si="19"/>
        <v>0.40478646585516809</v>
      </c>
      <c r="L29" s="85">
        <f t="shared" si="19"/>
        <v>0.29935483870967738</v>
      </c>
      <c r="M29" s="85">
        <f t="shared" si="19"/>
        <v>0.21136325989729987</v>
      </c>
      <c r="N29" s="85">
        <f t="shared" si="19"/>
        <v>0.20854580622472385</v>
      </c>
      <c r="O29" s="85">
        <f t="shared" si="19"/>
        <v>0.12160375972976945</v>
      </c>
      <c r="P29" s="85">
        <f t="shared" si="19"/>
        <v>0.10880976024968092</v>
      </c>
      <c r="Q29" s="85"/>
      <c r="R29" s="85"/>
      <c r="S29" s="66"/>
      <c r="T29" s="83" t="s">
        <v>62</v>
      </c>
      <c r="U29" s="85">
        <f t="shared" si="20"/>
        <v>0.58987058510555057</v>
      </c>
      <c r="V29" s="85">
        <f t="shared" si="21"/>
        <v>0.68138979797731247</v>
      </c>
      <c r="W29" s="85">
        <f t="shared" si="22"/>
        <v>0.70861993267964296</v>
      </c>
      <c r="X29" s="85">
        <f t="shared" si="22"/>
        <v>0.46586723768736626</v>
      </c>
      <c r="Y29" s="85">
        <f t="shared" si="24"/>
        <v>0.28526352693701051</v>
      </c>
      <c r="Z29" s="85">
        <f t="shared" si="24"/>
        <v>0.27495908346972175</v>
      </c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</row>
    <row r="30" spans="2:45" x14ac:dyDescent="0.2">
      <c r="B30" s="65" t="s">
        <v>46</v>
      </c>
      <c r="C30" s="66"/>
      <c r="D30" s="66"/>
      <c r="E30" s="66"/>
      <c r="F30" s="66"/>
      <c r="G30" s="85">
        <f t="shared" ref="G30:H30" si="27">+G7/C7-1</f>
        <v>0.16568047337278102</v>
      </c>
      <c r="H30" s="85">
        <f t="shared" si="27"/>
        <v>0.63432835820895517</v>
      </c>
      <c r="I30" s="85">
        <f t="shared" si="18"/>
        <v>0.33333333333333326</v>
      </c>
      <c r="J30" s="85">
        <f t="shared" si="19"/>
        <v>0.76216216216216193</v>
      </c>
      <c r="K30" s="85">
        <f t="shared" si="19"/>
        <v>0.93401015228426409</v>
      </c>
      <c r="L30" s="85">
        <f t="shared" si="19"/>
        <v>0.67579908675799105</v>
      </c>
      <c r="M30" s="85">
        <f t="shared" si="19"/>
        <v>0.86940298507462677</v>
      </c>
      <c r="N30" s="85">
        <f t="shared" si="19"/>
        <v>0.38036809815950878</v>
      </c>
      <c r="O30" s="85">
        <f t="shared" si="19"/>
        <v>0.45144356955380571</v>
      </c>
      <c r="P30" s="85">
        <f t="shared" si="19"/>
        <v>0.47683923705722076</v>
      </c>
      <c r="Q30" s="85"/>
      <c r="R30" s="85"/>
      <c r="S30" s="66"/>
      <c r="T30" s="83" t="s">
        <v>62</v>
      </c>
      <c r="U30" s="85">
        <f t="shared" si="20"/>
        <v>0.64576802507836994</v>
      </c>
      <c r="V30" s="85">
        <f t="shared" si="21"/>
        <v>1.3047619047619046</v>
      </c>
      <c r="W30" s="85">
        <f t="shared" si="22"/>
        <v>0.30303030303030298</v>
      </c>
      <c r="X30" s="85">
        <f t="shared" si="22"/>
        <v>0.45665961945031741</v>
      </c>
      <c r="Y30" s="85">
        <f t="shared" si="24"/>
        <v>0.46589259796806948</v>
      </c>
      <c r="Z30" s="85">
        <f t="shared" si="24"/>
        <v>0.68217821782178234</v>
      </c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</row>
    <row r="31" spans="2:45" x14ac:dyDescent="0.2">
      <c r="B31" s="65" t="s">
        <v>47</v>
      </c>
      <c r="C31" s="66"/>
      <c r="D31" s="66"/>
      <c r="E31" s="66"/>
      <c r="F31" s="66"/>
      <c r="G31" s="85">
        <f t="shared" ref="G31:H31" si="28">+G8/C8-1</f>
        <v>0.35714285714285721</v>
      </c>
      <c r="H31" s="85">
        <f t="shared" si="28"/>
        <v>0.2222222222222221</v>
      </c>
      <c r="I31" s="85">
        <f t="shared" si="18"/>
        <v>0.51428571428571423</v>
      </c>
      <c r="J31" s="85">
        <f t="shared" si="19"/>
        <v>0.89285714285714257</v>
      </c>
      <c r="K31" s="85">
        <f t="shared" si="19"/>
        <v>1</v>
      </c>
      <c r="L31" s="85">
        <f t="shared" si="19"/>
        <v>1.3333333333333335</v>
      </c>
      <c r="M31" s="85">
        <f t="shared" si="19"/>
        <v>1.4528301886792452</v>
      </c>
      <c r="N31" s="85">
        <f t="shared" si="19"/>
        <v>1.132075471698113</v>
      </c>
      <c r="O31" s="85">
        <f t="shared" si="19"/>
        <v>0.69736842105263164</v>
      </c>
      <c r="P31" s="85">
        <f t="shared" si="19"/>
        <v>0.88311688311688297</v>
      </c>
      <c r="Q31" s="85"/>
      <c r="R31" s="85"/>
      <c r="S31" s="66"/>
      <c r="T31" s="83" t="s">
        <v>62</v>
      </c>
      <c r="U31" s="85">
        <f t="shared" si="20"/>
        <v>0.62796697626418974</v>
      </c>
      <c r="V31" s="85">
        <f t="shared" si="21"/>
        <v>0.58478605388272586</v>
      </c>
      <c r="W31" s="85">
        <f t="shared" si="22"/>
        <v>0.48</v>
      </c>
      <c r="X31" s="85">
        <f t="shared" si="22"/>
        <v>0.59459459459459452</v>
      </c>
      <c r="Y31" s="85">
        <f t="shared" si="24"/>
        <v>0.49999999999999978</v>
      </c>
      <c r="Z31" s="85">
        <f t="shared" si="24"/>
        <v>1.2372881355932206</v>
      </c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</row>
    <row r="32" spans="2:45" x14ac:dyDescent="0.2">
      <c r="B32" s="65" t="s">
        <v>48</v>
      </c>
      <c r="C32" s="66"/>
      <c r="D32" s="66"/>
      <c r="E32" s="66"/>
      <c r="F32" s="66"/>
      <c r="G32" s="85">
        <f t="shared" ref="G32:H32" si="29">+G9/C9-1</f>
        <v>0.12182203389830515</v>
      </c>
      <c r="H32" s="85">
        <f t="shared" si="29"/>
        <v>0.27564102564102555</v>
      </c>
      <c r="I32" s="85">
        <f t="shared" si="18"/>
        <v>0.23249920810896429</v>
      </c>
      <c r="J32" s="85">
        <f t="shared" si="19"/>
        <v>0.29052369077306772</v>
      </c>
      <c r="K32" s="85">
        <f t="shared" si="19"/>
        <v>0.41548630783758256</v>
      </c>
      <c r="L32" s="85">
        <f t="shared" si="19"/>
        <v>0.23115577889447247</v>
      </c>
      <c r="M32" s="85">
        <f t="shared" si="19"/>
        <v>0.23258802364430742</v>
      </c>
      <c r="N32" s="85">
        <f t="shared" si="19"/>
        <v>0.23381642512077261</v>
      </c>
      <c r="O32" s="85">
        <f t="shared" si="19"/>
        <v>0.1331999110518125</v>
      </c>
      <c r="P32" s="85">
        <f t="shared" si="19"/>
        <v>4.7392290249433033E-2</v>
      </c>
      <c r="Q32" s="85"/>
      <c r="R32" s="85"/>
      <c r="S32" s="66"/>
      <c r="T32" s="83" t="s">
        <v>62</v>
      </c>
      <c r="U32" s="85">
        <f t="shared" si="20"/>
        <v>0.31937164949480867</v>
      </c>
      <c r="V32" s="85">
        <f t="shared" si="21"/>
        <v>0.69474244672776497</v>
      </c>
      <c r="W32" s="85">
        <f t="shared" si="22"/>
        <v>0.73128342245989297</v>
      </c>
      <c r="X32" s="85">
        <f t="shared" si="22"/>
        <v>0.44182754182754169</v>
      </c>
      <c r="Y32" s="85">
        <f t="shared" si="24"/>
        <v>0.22779612603766863</v>
      </c>
      <c r="Z32" s="85">
        <f t="shared" si="24"/>
        <v>0.27473645946928404</v>
      </c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</row>
    <row r="33" spans="2:45" x14ac:dyDescent="0.2">
      <c r="B33" s="65" t="s">
        <v>49</v>
      </c>
      <c r="C33" s="66"/>
      <c r="D33" s="66"/>
      <c r="E33" s="66"/>
      <c r="F33" s="66"/>
      <c r="G33" s="85">
        <f t="shared" ref="G33:H33" si="30">+G10/C10-1</f>
        <v>0.39051094890510951</v>
      </c>
      <c r="H33" s="85">
        <f t="shared" si="30"/>
        <v>0.2807339449541284</v>
      </c>
      <c r="I33" s="85">
        <f t="shared" si="18"/>
        <v>0.49787492410443224</v>
      </c>
      <c r="J33" s="85">
        <f t="shared" si="19"/>
        <v>0.43368828654404701</v>
      </c>
      <c r="K33" s="85">
        <f t="shared" si="19"/>
        <v>0.45354330708661394</v>
      </c>
      <c r="L33" s="85">
        <f t="shared" si="19"/>
        <v>0.47230181470869148</v>
      </c>
      <c r="M33" s="85">
        <f t="shared" si="19"/>
        <v>0.27563842723956222</v>
      </c>
      <c r="N33" s="85">
        <f t="shared" si="19"/>
        <v>0.21742066171505692</v>
      </c>
      <c r="O33" s="85">
        <f t="shared" si="19"/>
        <v>0.16395810762007956</v>
      </c>
      <c r="P33" s="85">
        <f t="shared" si="19"/>
        <v>0.25981187155368146</v>
      </c>
      <c r="Q33" s="85"/>
      <c r="R33" s="85"/>
      <c r="S33" s="66"/>
      <c r="T33" s="83" t="s">
        <v>62</v>
      </c>
      <c r="U33" s="85">
        <f t="shared" si="20"/>
        <v>1.4166616468887416</v>
      </c>
      <c r="V33" s="85">
        <f t="shared" si="21"/>
        <v>0.71863705476208284</v>
      </c>
      <c r="W33" s="85">
        <f t="shared" si="22"/>
        <v>0.61385061638868743</v>
      </c>
      <c r="X33" s="85">
        <f t="shared" si="22"/>
        <v>0.50932374747247788</v>
      </c>
      <c r="Y33" s="85">
        <f t="shared" si="24"/>
        <v>0.40339386722238757</v>
      </c>
      <c r="Z33" s="85">
        <f t="shared" si="24"/>
        <v>0.3369749681798897</v>
      </c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</row>
    <row r="34" spans="2:45" x14ac:dyDescent="0.2">
      <c r="B34" s="64" t="s">
        <v>50</v>
      </c>
      <c r="C34" s="81"/>
      <c r="D34" s="81"/>
      <c r="E34" s="81"/>
      <c r="F34" s="81"/>
      <c r="G34" s="86">
        <f t="shared" ref="G34:H34" si="31">+G11/C11-1</f>
        <v>0.20942408376963351</v>
      </c>
      <c r="H34" s="86">
        <f t="shared" si="31"/>
        <v>0.2777402655863157</v>
      </c>
      <c r="I34" s="86">
        <f t="shared" si="18"/>
        <v>0.32320499479708631</v>
      </c>
      <c r="J34" s="86">
        <f t="shared" si="19"/>
        <v>0.35674345783941019</v>
      </c>
      <c r="K34" s="86">
        <f t="shared" si="19"/>
        <v>0.4297520661157026</v>
      </c>
      <c r="L34" s="86">
        <f t="shared" si="19"/>
        <v>0.31971111502554161</v>
      </c>
      <c r="M34" s="86">
        <f t="shared" si="19"/>
        <v>0.24944951242529112</v>
      </c>
      <c r="N34" s="86">
        <f t="shared" si="19"/>
        <v>0.22617870095614823</v>
      </c>
      <c r="O34" s="86">
        <f t="shared" si="19"/>
        <v>0.14492155243600324</v>
      </c>
      <c r="P34" s="86">
        <f t="shared" si="19"/>
        <v>0.13494394020288292</v>
      </c>
      <c r="Q34" s="86"/>
      <c r="R34" s="86"/>
      <c r="S34" s="81"/>
      <c r="T34" s="87" t="s">
        <v>62</v>
      </c>
      <c r="U34" s="86">
        <f t="shared" si="20"/>
        <v>0.59213087750823612</v>
      </c>
      <c r="V34" s="86">
        <f t="shared" si="21"/>
        <v>0.70377859813303867</v>
      </c>
      <c r="W34" s="86">
        <f t="shared" si="22"/>
        <v>0.68658570245652761</v>
      </c>
      <c r="X34" s="86">
        <f t="shared" si="22"/>
        <v>0.46641027739137564</v>
      </c>
      <c r="Y34" s="86">
        <f t="shared" si="24"/>
        <v>0.29362200770046321</v>
      </c>
      <c r="Z34" s="86">
        <f t="shared" si="24"/>
        <v>0.30009058361730578</v>
      </c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</row>
    <row r="35" spans="2:45" x14ac:dyDescent="0.2">
      <c r="B35" s="65" t="s">
        <v>51</v>
      </c>
      <c r="C35" s="85">
        <f t="shared" ref="C35:H35" si="32">+C13/C11</f>
        <v>0.58281770585435499</v>
      </c>
      <c r="D35" s="85">
        <f t="shared" si="32"/>
        <v>0.59531847850551423</v>
      </c>
      <c r="E35" s="85">
        <f t="shared" si="32"/>
        <v>0.59875130072840788</v>
      </c>
      <c r="F35" s="85">
        <f t="shared" si="32"/>
        <v>0.60433907403265508</v>
      </c>
      <c r="G35" s="85">
        <f t="shared" si="32"/>
        <v>0.59681227863046038</v>
      </c>
      <c r="H35" s="85">
        <f t="shared" si="32"/>
        <v>0.59943632200105701</v>
      </c>
      <c r="I35" s="85">
        <f t="shared" ref="I35:N35" si="33">+I13/I11</f>
        <v>0.60600817867253853</v>
      </c>
      <c r="J35" s="85">
        <f t="shared" si="33"/>
        <v>0.62116716122650839</v>
      </c>
      <c r="K35" s="85">
        <f t="shared" si="33"/>
        <v>0.59909165978530143</v>
      </c>
      <c r="L35" s="85">
        <f t="shared" si="33"/>
        <v>0.61505605979711697</v>
      </c>
      <c r="M35" s="85">
        <f t="shared" si="33"/>
        <v>0.65747734138972802</v>
      </c>
      <c r="N35" s="85">
        <f t="shared" si="33"/>
        <v>0.63901586447969883</v>
      </c>
      <c r="O35" s="85">
        <f t="shared" ref="O35:P35" si="34">+O13/O11</f>
        <v>0.64226469527587449</v>
      </c>
      <c r="P35" s="85">
        <f t="shared" si="34"/>
        <v>0.65353404680700922</v>
      </c>
      <c r="Q35" s="85"/>
      <c r="R35" s="85"/>
      <c r="S35" s="66"/>
      <c r="T35" s="85">
        <f t="shared" ref="T35:V35" si="35">+T13/T11</f>
        <v>0.53577792752321063</v>
      </c>
      <c r="U35" s="85">
        <f t="shared" si="35"/>
        <v>0.54339391944320348</v>
      </c>
      <c r="V35" s="85">
        <f t="shared" si="35"/>
        <v>0.59384487993375656</v>
      </c>
      <c r="W35" s="85">
        <f t="shared" ref="W35:X35" si="36">+W13/W11</f>
        <v>0.56042877014974213</v>
      </c>
      <c r="X35" s="85">
        <f t="shared" si="36"/>
        <v>0.5955582835779254</v>
      </c>
      <c r="Y35" s="85">
        <f>+Y13/Y11</f>
        <v>0.60634948022257695</v>
      </c>
      <c r="Z35" s="85">
        <f>+Z13/Z11</f>
        <v>0.62830126078301263</v>
      </c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</row>
    <row r="36" spans="2:45" x14ac:dyDescent="0.2">
      <c r="B36" s="65" t="s">
        <v>52</v>
      </c>
      <c r="C36" s="85">
        <f t="shared" ref="C36:H36" si="37">+C15/C11</f>
        <v>0.10066634935744879</v>
      </c>
      <c r="D36" s="85">
        <f t="shared" si="37"/>
        <v>8.8678820616700432E-2</v>
      </c>
      <c r="E36" s="85">
        <f t="shared" si="37"/>
        <v>0.12029136316337145</v>
      </c>
      <c r="F36" s="85">
        <f t="shared" si="37"/>
        <v>9.1254752851711196E-2</v>
      </c>
      <c r="G36" s="85">
        <f t="shared" si="37"/>
        <v>7.5757575757575649E-2</v>
      </c>
      <c r="H36" s="85">
        <f t="shared" si="37"/>
        <v>8.3494803593447395E-2</v>
      </c>
      <c r="I36" s="85">
        <f t="shared" ref="I36:N36" si="38">+I15/I11</f>
        <v>0.11418685121107262</v>
      </c>
      <c r="J36" s="85">
        <f t="shared" si="38"/>
        <v>8.7372238707550454E-2</v>
      </c>
      <c r="K36" s="85">
        <f t="shared" si="38"/>
        <v>0.10611065235342695</v>
      </c>
      <c r="L36" s="85">
        <f t="shared" si="38"/>
        <v>0.12386545648691946</v>
      </c>
      <c r="M36" s="85">
        <f t="shared" si="38"/>
        <v>0.15709969788519632</v>
      </c>
      <c r="N36" s="85">
        <f t="shared" si="38"/>
        <v>0.11078246840548535</v>
      </c>
      <c r="O36" s="85">
        <f t="shared" ref="O36:P36" si="39">+O15/O11</f>
        <v>0.14112273109748766</v>
      </c>
      <c r="P36" s="85">
        <f t="shared" si="39"/>
        <v>0.14042102787251551</v>
      </c>
      <c r="Q36" s="85"/>
      <c r="R36" s="85"/>
      <c r="S36" s="66"/>
      <c r="T36" s="85">
        <f t="shared" ref="T36:V36" si="40">+T15/T11</f>
        <v>2.1297544174902747E-2</v>
      </c>
      <c r="U36" s="85">
        <f t="shared" si="40"/>
        <v>-4.0205506830633189E-2</v>
      </c>
      <c r="V36" s="85">
        <f t="shared" si="40"/>
        <v>-0.19472812586254479</v>
      </c>
      <c r="W36" s="85">
        <f t="shared" ref="W36:X36" si="41">+W15/W11</f>
        <v>6.9634236150887749E-2</v>
      </c>
      <c r="X36" s="85">
        <f t="shared" si="41"/>
        <v>0.10060822498744487</v>
      </c>
      <c r="Y36" s="85">
        <f>+Y15/Y11</f>
        <v>9.1230643143682968E-2</v>
      </c>
      <c r="Z36" s="85">
        <f>+Z15/Z11</f>
        <v>0.1251161247511613</v>
      </c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</row>
    <row r="37" spans="2:45" x14ac:dyDescent="0.2">
      <c r="B37" s="65" t="s">
        <v>53</v>
      </c>
      <c r="C37" s="85">
        <f t="shared" ref="C37:H37" si="42">+C20/C19</f>
        <v>0.13786407766990294</v>
      </c>
      <c r="D37" s="85">
        <f t="shared" si="42"/>
        <v>1.4925373134328368</v>
      </c>
      <c r="E37" s="85">
        <f t="shared" si="42"/>
        <v>0.15273775216138333</v>
      </c>
      <c r="F37" s="85">
        <f t="shared" si="42"/>
        <v>-0.10241980866629145</v>
      </c>
      <c r="G37" s="85">
        <f t="shared" si="42"/>
        <v>0.21070811744386883</v>
      </c>
      <c r="H37" s="85">
        <f t="shared" si="42"/>
        <v>0.27570093457943867</v>
      </c>
      <c r="I37" s="85">
        <f t="shared" ref="I37:N37" si="43">+I20/I19</f>
        <v>-3.0508474576271222E-2</v>
      </c>
      <c r="J37" s="85">
        <f t="shared" si="43"/>
        <v>-4.7835990888382675E-2</v>
      </c>
      <c r="K37" s="85">
        <f t="shared" si="43"/>
        <v>0.11249999999999998</v>
      </c>
      <c r="L37" s="85">
        <f t="shared" si="43"/>
        <v>0.13530655391120525</v>
      </c>
      <c r="M37" s="85">
        <f t="shared" si="43"/>
        <v>-2.5273799494524019E-3</v>
      </c>
      <c r="N37" s="85">
        <f t="shared" si="43"/>
        <v>2.4026910139356089E-3</v>
      </c>
      <c r="O37" s="85">
        <f t="shared" ref="O37:P37" si="44">+O20/O19</f>
        <v>0.11024978466838935</v>
      </c>
      <c r="P37" s="85">
        <f t="shared" si="44"/>
        <v>0.17380352644836281</v>
      </c>
      <c r="Q37" s="85"/>
      <c r="R37" s="85"/>
      <c r="S37" s="66"/>
      <c r="T37" s="85">
        <f t="shared" ref="T37:V37" si="45">+T20/T19</f>
        <v>1.4685314685314586</v>
      </c>
      <c r="U37" s="85">
        <f t="shared" si="45"/>
        <v>-0.12616631199869052</v>
      </c>
      <c r="V37" s="85">
        <f t="shared" si="45"/>
        <v>-6.6416040100250637E-2</v>
      </c>
      <c r="W37" s="85">
        <f t="shared" ref="W37:X37" si="46">+W20/W19</f>
        <v>0.25930680359435204</v>
      </c>
      <c r="X37" s="85">
        <f t="shared" si="46"/>
        <v>-0.15195369030390751</v>
      </c>
      <c r="Y37" s="85">
        <f>+Y20/Y19</f>
        <v>0.13376251788268942</v>
      </c>
      <c r="Z37" s="85">
        <f>+Z20/Z19</f>
        <v>7.3099415204678324E-3</v>
      </c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</row>
    <row r="38" spans="2:45" x14ac:dyDescent="0.2"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</row>
    <row r="39" spans="2:45" x14ac:dyDescent="0.2">
      <c r="B39" s="65" t="s">
        <v>67</v>
      </c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>
        <v>90.641999999999996</v>
      </c>
      <c r="V39" s="66">
        <v>653.08100000000002</v>
      </c>
      <c r="W39" s="66">
        <v>371</v>
      </c>
      <c r="X39" s="66">
        <v>494.6</v>
      </c>
      <c r="Y39" s="66">
        <v>924.3</v>
      </c>
      <c r="Z39" s="66">
        <v>1019.9</v>
      </c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</row>
    <row r="40" spans="2:45" x14ac:dyDescent="0.2">
      <c r="B40" s="65" t="s">
        <v>68</v>
      </c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>
        <v>51.631</v>
      </c>
      <c r="V40" s="66">
        <v>99.263999999999996</v>
      </c>
      <c r="W40" s="66">
        <v>174.6</v>
      </c>
      <c r="X40" s="66">
        <v>204.8</v>
      </c>
      <c r="Y40" s="66">
        <v>246.1</v>
      </c>
      <c r="Z40" s="66">
        <v>305.39999999999998</v>
      </c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</row>
    <row r="41" spans="2:45" x14ac:dyDescent="0.2">
      <c r="B41" s="65" t="s">
        <v>69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>
        <v>102.878</v>
      </c>
      <c r="V41" s="66">
        <v>134.178</v>
      </c>
      <c r="W41" s="66">
        <v>395.6</v>
      </c>
      <c r="X41" s="66">
        <v>356.5</v>
      </c>
      <c r="Y41" s="66">
        <v>419.2</v>
      </c>
      <c r="Z41" s="66">
        <v>419.8</v>
      </c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</row>
    <row r="42" spans="2:45" x14ac:dyDescent="0.2">
      <c r="B42" s="65" t="s">
        <v>70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>
        <v>17.135000000000002</v>
      </c>
      <c r="V42" s="66">
        <v>30.053999999999998</v>
      </c>
      <c r="W42" s="66">
        <v>33.200000000000003</v>
      </c>
      <c r="X42" s="66">
        <v>34.200000000000003</v>
      </c>
      <c r="Y42" s="66">
        <v>56.4</v>
      </c>
      <c r="Z42" s="66">
        <v>59.2</v>
      </c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</row>
    <row r="43" spans="2:45" x14ac:dyDescent="0.2">
      <c r="B43" s="65" t="s">
        <v>71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>
        <v>19.978999999999999</v>
      </c>
      <c r="V43" s="66">
        <v>48.024000000000001</v>
      </c>
      <c r="W43" s="66">
        <v>77</v>
      </c>
      <c r="X43" s="66">
        <v>61.2</v>
      </c>
      <c r="Y43" s="66">
        <v>113.7</v>
      </c>
      <c r="Z43" s="66">
        <v>158.19999999999999</v>
      </c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</row>
    <row r="44" spans="2:45" x14ac:dyDescent="0.2">
      <c r="B44" s="65" t="s">
        <v>72</v>
      </c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>
        <f t="shared" ref="T44:X44" si="47">+SUM(T39:T43)</f>
        <v>0</v>
      </c>
      <c r="U44" s="66">
        <f t="shared" si="47"/>
        <v>282.26499999999999</v>
      </c>
      <c r="V44" s="66">
        <f t="shared" si="47"/>
        <v>964.601</v>
      </c>
      <c r="W44" s="66">
        <f t="shared" si="47"/>
        <v>1051.4000000000001</v>
      </c>
      <c r="X44" s="66">
        <f t="shared" si="47"/>
        <v>1151.3000000000002</v>
      </c>
      <c r="Y44" s="66">
        <f>+SUM(Y39:Y43)</f>
        <v>1759.7</v>
      </c>
      <c r="Z44" s="66">
        <f>+SUM(Z39:Z43)</f>
        <v>1962.5</v>
      </c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</row>
    <row r="45" spans="2:45" x14ac:dyDescent="0.2">
      <c r="B45" s="65" t="s">
        <v>73</v>
      </c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>
        <v>17.004000000000001</v>
      </c>
      <c r="V45" s="66">
        <v>34.399000000000001</v>
      </c>
      <c r="W45" s="66">
        <v>77.2</v>
      </c>
      <c r="X45" s="66">
        <v>93.6</v>
      </c>
      <c r="Y45" s="66">
        <v>127.2</v>
      </c>
      <c r="Z45" s="66">
        <v>148.80000000000001</v>
      </c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</row>
    <row r="46" spans="2:45" x14ac:dyDescent="0.2">
      <c r="B46" s="65" t="s">
        <v>74</v>
      </c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>
        <v>22.719000000000001</v>
      </c>
      <c r="V46" s="66">
        <v>177.89</v>
      </c>
      <c r="W46" s="66">
        <v>151.6</v>
      </c>
      <c r="X46" s="66">
        <v>214</v>
      </c>
      <c r="Y46" s="66">
        <v>323.60000000000002</v>
      </c>
      <c r="Z46" s="66">
        <v>494.1</v>
      </c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</row>
    <row r="47" spans="2:45" x14ac:dyDescent="0.2">
      <c r="B47" s="65" t="s">
        <v>75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>
        <v>54.667000000000002</v>
      </c>
      <c r="V47" s="66">
        <v>57.463999999999999</v>
      </c>
      <c r="W47" s="66">
        <v>70.3</v>
      </c>
      <c r="X47" s="66">
        <v>64.599999999999994</v>
      </c>
      <c r="Y47" s="66">
        <v>58.3</v>
      </c>
      <c r="Z47" s="66">
        <v>54.2</v>
      </c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</row>
    <row r="48" spans="2:45" x14ac:dyDescent="0.2">
      <c r="B48" s="65" t="s">
        <v>76</v>
      </c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>
        <v>5.915</v>
      </c>
      <c r="V48" s="66">
        <v>2.1709999999999998</v>
      </c>
      <c r="W48" s="66">
        <v>31.7</v>
      </c>
      <c r="X48" s="66">
        <v>69.5</v>
      </c>
      <c r="Y48" s="66">
        <v>107.8</v>
      </c>
      <c r="Z48" s="66">
        <v>175.9</v>
      </c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</row>
    <row r="49" spans="2:45" x14ac:dyDescent="0.2">
      <c r="B49" s="65" t="s">
        <v>77</v>
      </c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>
        <f t="shared" ref="T49:X49" si="48">+SUM(T45:T48)</f>
        <v>0</v>
      </c>
      <c r="U49" s="66">
        <f t="shared" si="48"/>
        <v>100.30500000000001</v>
      </c>
      <c r="V49" s="66">
        <f t="shared" si="48"/>
        <v>271.92399999999998</v>
      </c>
      <c r="W49" s="66">
        <f t="shared" si="48"/>
        <v>330.8</v>
      </c>
      <c r="X49" s="66">
        <f t="shared" si="48"/>
        <v>441.70000000000005</v>
      </c>
      <c r="Y49" s="66">
        <f>+SUM(Y45:Y48)</f>
        <v>616.9</v>
      </c>
      <c r="Z49" s="66">
        <f>+SUM(Z45:Z48)</f>
        <v>873.00000000000011</v>
      </c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</row>
    <row r="50" spans="2:45" x14ac:dyDescent="0.2">
      <c r="B50" s="64" t="s">
        <v>78</v>
      </c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81">
        <f t="shared" ref="T50:X50" si="49">+T49+T44</f>
        <v>0</v>
      </c>
      <c r="U50" s="81">
        <f t="shared" si="49"/>
        <v>382.57</v>
      </c>
      <c r="V50" s="81">
        <f t="shared" si="49"/>
        <v>1236.5250000000001</v>
      </c>
      <c r="W50" s="81">
        <f t="shared" si="49"/>
        <v>1382.2</v>
      </c>
      <c r="X50" s="81">
        <f t="shared" si="49"/>
        <v>1593.0000000000002</v>
      </c>
      <c r="Y50" s="81">
        <f>+Y49+Y44</f>
        <v>2376.6</v>
      </c>
      <c r="Z50" s="81">
        <f>+Z49+Z44</f>
        <v>2835.5</v>
      </c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</row>
    <row r="51" spans="2:45" x14ac:dyDescent="0.2">
      <c r="B51" s="65" t="s">
        <v>79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>
        <v>41.542999999999999</v>
      </c>
      <c r="V51" s="66">
        <v>45.939</v>
      </c>
      <c r="W51" s="66">
        <v>111</v>
      </c>
      <c r="X51" s="66">
        <v>65.099999999999994</v>
      </c>
      <c r="Y51" s="66">
        <v>166.5</v>
      </c>
      <c r="Z51" s="66">
        <v>154.80000000000001</v>
      </c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</row>
    <row r="52" spans="2:45" x14ac:dyDescent="0.2">
      <c r="B52" s="65" t="s">
        <v>80</v>
      </c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>
        <v>0</v>
      </c>
      <c r="V52" s="66">
        <v>0</v>
      </c>
      <c r="W52" s="66">
        <v>0</v>
      </c>
      <c r="X52" s="66">
        <v>38.700000000000003</v>
      </c>
      <c r="Y52" s="66">
        <v>59.1</v>
      </c>
      <c r="Z52" s="66">
        <v>81.2</v>
      </c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</row>
    <row r="53" spans="2:45" x14ac:dyDescent="0.2">
      <c r="B53" s="65" t="s">
        <v>81</v>
      </c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>
        <v>7.2759999999999998</v>
      </c>
      <c r="V53" s="66">
        <v>20.097000000000001</v>
      </c>
      <c r="W53" s="66">
        <v>31</v>
      </c>
      <c r="X53" s="66">
        <v>14.8</v>
      </c>
      <c r="Y53" s="66">
        <v>51.3</v>
      </c>
      <c r="Z53" s="66">
        <v>56.7</v>
      </c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</row>
    <row r="54" spans="2:45" x14ac:dyDescent="0.2">
      <c r="B54" s="65" t="s">
        <v>82</v>
      </c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>
        <v>36.113</v>
      </c>
      <c r="V54" s="66">
        <v>121.673</v>
      </c>
      <c r="W54" s="66">
        <v>81.7</v>
      </c>
      <c r="X54" s="66">
        <v>156.4</v>
      </c>
      <c r="Y54" s="66">
        <v>299.3</v>
      </c>
      <c r="Z54" s="66">
        <v>355.4</v>
      </c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</row>
    <row r="55" spans="2:45" x14ac:dyDescent="0.2">
      <c r="B55" s="65" t="s">
        <v>83</v>
      </c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>
        <v>0.376</v>
      </c>
      <c r="V55" s="66">
        <v>14.901999999999999</v>
      </c>
      <c r="W55" s="66">
        <v>5</v>
      </c>
      <c r="X55" s="66">
        <v>7.1</v>
      </c>
      <c r="Y55" s="66">
        <v>21.7</v>
      </c>
      <c r="Z55" s="66">
        <v>13</v>
      </c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</row>
    <row r="56" spans="2:45" x14ac:dyDescent="0.2">
      <c r="B56" s="65" t="s">
        <v>84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>
        <v>1.054</v>
      </c>
      <c r="V56" s="66">
        <v>2.4</v>
      </c>
      <c r="W56" s="66">
        <v>13.9</v>
      </c>
      <c r="X56" s="66">
        <v>23.5</v>
      </c>
      <c r="Y56" s="66">
        <v>62.5</v>
      </c>
      <c r="Z56" s="66">
        <v>63.2</v>
      </c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</row>
    <row r="57" spans="2:45" x14ac:dyDescent="0.2">
      <c r="B57" s="65" t="s">
        <v>85</v>
      </c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>
        <f t="shared" ref="T57:X57" si="50">+SUM(T51:T56)</f>
        <v>0</v>
      </c>
      <c r="U57" s="66">
        <f t="shared" si="50"/>
        <v>86.362000000000009</v>
      </c>
      <c r="V57" s="66">
        <f t="shared" si="50"/>
        <v>205.011</v>
      </c>
      <c r="W57" s="66">
        <f t="shared" si="50"/>
        <v>242.6</v>
      </c>
      <c r="X57" s="66">
        <f t="shared" si="50"/>
        <v>305.60000000000002</v>
      </c>
      <c r="Y57" s="66">
        <f>+SUM(Y51:Y56)</f>
        <v>660.40000000000009</v>
      </c>
      <c r="Z57" s="66">
        <f>+SUM(Z51:Z56)</f>
        <v>724.3</v>
      </c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</row>
    <row r="58" spans="2:45" x14ac:dyDescent="0.2">
      <c r="B58" s="65" t="s">
        <v>87</v>
      </c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>
        <v>5.63</v>
      </c>
      <c r="V58" s="66">
        <v>5.8529999999999998</v>
      </c>
      <c r="W58" s="66">
        <v>6.3</v>
      </c>
      <c r="X58" s="66">
        <v>2.2000000000000002</v>
      </c>
      <c r="Y58" s="66">
        <v>8.6</v>
      </c>
      <c r="Z58" s="66">
        <v>5.5</v>
      </c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</row>
    <row r="59" spans="2:45" x14ac:dyDescent="0.2">
      <c r="B59" s="65" t="s">
        <v>86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>
        <v>20.645</v>
      </c>
      <c r="V59" s="66">
        <v>4.4420000000000002</v>
      </c>
      <c r="W59" s="66">
        <v>7.2</v>
      </c>
      <c r="X59" s="66">
        <v>10</v>
      </c>
      <c r="Y59" s="66">
        <v>14.9</v>
      </c>
      <c r="Z59" s="66">
        <v>20.7</v>
      </c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</row>
    <row r="60" spans="2:45" x14ac:dyDescent="0.2">
      <c r="B60" s="65" t="s">
        <v>88</v>
      </c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>
        <v>0</v>
      </c>
      <c r="U60" s="66">
        <v>0</v>
      </c>
      <c r="V60" s="66">
        <v>0</v>
      </c>
      <c r="W60" s="66">
        <v>0</v>
      </c>
      <c r="X60" s="66">
        <v>190.3</v>
      </c>
      <c r="Y60" s="66">
        <v>288.5</v>
      </c>
      <c r="Z60" s="66">
        <v>440.3</v>
      </c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</row>
    <row r="61" spans="2:45" x14ac:dyDescent="0.2">
      <c r="B61" s="65" t="s">
        <v>81</v>
      </c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>
        <v>19.173999999999999</v>
      </c>
      <c r="V61" s="66">
        <v>167.22800000000001</v>
      </c>
      <c r="W61" s="66">
        <v>138.80000000000001</v>
      </c>
      <c r="X61" s="66">
        <v>0</v>
      </c>
      <c r="Y61" s="66">
        <v>1.7</v>
      </c>
      <c r="Z61" s="66">
        <v>2.8</v>
      </c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</row>
    <row r="62" spans="2:45" x14ac:dyDescent="0.2">
      <c r="B62" s="65" t="s">
        <v>89</v>
      </c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>
        <v>5.6639999999999997</v>
      </c>
      <c r="V62" s="66">
        <v>5.6109999999999998</v>
      </c>
      <c r="W62" s="66">
        <v>17.899999999999999</v>
      </c>
      <c r="X62" s="66">
        <v>10.4</v>
      </c>
      <c r="Y62" s="66">
        <v>10.8</v>
      </c>
      <c r="Z62" s="66">
        <v>9.3000000000000007</v>
      </c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</row>
    <row r="63" spans="2:45" x14ac:dyDescent="0.2">
      <c r="B63" s="65" t="s">
        <v>90</v>
      </c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>
        <f t="shared" ref="T63:X63" si="51">+SUM(T58:T62)</f>
        <v>0</v>
      </c>
      <c r="U63" s="66">
        <f t="shared" si="51"/>
        <v>51.113</v>
      </c>
      <c r="V63" s="66">
        <f t="shared" si="51"/>
        <v>183.13399999999999</v>
      </c>
      <c r="W63" s="66">
        <f t="shared" si="51"/>
        <v>170.20000000000002</v>
      </c>
      <c r="X63" s="66">
        <f t="shared" si="51"/>
        <v>212.9</v>
      </c>
      <c r="Y63" s="66">
        <f>+SUM(Y58:Y62)</f>
        <v>324.5</v>
      </c>
      <c r="Z63" s="66">
        <f>+SUM(Z58:Z62)</f>
        <v>478.6</v>
      </c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</row>
    <row r="64" spans="2:45" x14ac:dyDescent="0.2">
      <c r="B64" s="65" t="s">
        <v>91</v>
      </c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>
        <f t="shared" ref="T64:X64" si="52">+T63+T57</f>
        <v>0</v>
      </c>
      <c r="U64" s="66">
        <f t="shared" si="52"/>
        <v>137.47500000000002</v>
      </c>
      <c r="V64" s="66">
        <f t="shared" si="52"/>
        <v>388.14499999999998</v>
      </c>
      <c r="W64" s="66">
        <f t="shared" si="52"/>
        <v>412.8</v>
      </c>
      <c r="X64" s="66">
        <f t="shared" si="52"/>
        <v>518.5</v>
      </c>
      <c r="Y64" s="66">
        <f>+Y63+Y57</f>
        <v>984.90000000000009</v>
      </c>
      <c r="Z64" s="66">
        <f>+Z63+Z57</f>
        <v>1202.9000000000001</v>
      </c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</row>
    <row r="65" spans="2:45" x14ac:dyDescent="0.2">
      <c r="B65" s="65" t="s">
        <v>92</v>
      </c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>
        <v>245.09299999999999</v>
      </c>
      <c r="V65" s="66">
        <v>838.37900000000002</v>
      </c>
      <c r="W65" s="66">
        <v>969.5</v>
      </c>
      <c r="X65" s="66">
        <v>1074.5</v>
      </c>
      <c r="Y65" s="66">
        <v>1391.8</v>
      </c>
      <c r="Z65" s="66">
        <v>1632.4</v>
      </c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</row>
    <row r="66" spans="2:45" x14ac:dyDescent="0.2">
      <c r="B66" s="64" t="s">
        <v>93</v>
      </c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81">
        <f t="shared" ref="T66:X66" si="53">+T64+T65</f>
        <v>0</v>
      </c>
      <c r="U66" s="81">
        <f t="shared" si="53"/>
        <v>382.56799999999998</v>
      </c>
      <c r="V66" s="81">
        <f t="shared" si="53"/>
        <v>1226.5239999999999</v>
      </c>
      <c r="W66" s="81">
        <f t="shared" si="53"/>
        <v>1382.3</v>
      </c>
      <c r="X66" s="81">
        <f t="shared" si="53"/>
        <v>1593</v>
      </c>
      <c r="Y66" s="81">
        <f>+Y64+Y65</f>
        <v>2376.6999999999998</v>
      </c>
      <c r="Z66" s="81">
        <f>+Z64+Z65</f>
        <v>2835.3</v>
      </c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</row>
    <row r="67" spans="2:45" x14ac:dyDescent="0.2"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</row>
    <row r="68" spans="2:45" x14ac:dyDescent="0.2">
      <c r="B68" s="65" t="s">
        <v>36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>
        <v>-1.4730000000000001</v>
      </c>
      <c r="U68" s="66">
        <v>-27.524000000000001</v>
      </c>
      <c r="V68" s="66">
        <v>-170.22800000000001</v>
      </c>
      <c r="W68" s="66">
        <v>57.7</v>
      </c>
      <c r="X68" s="66">
        <v>79.599999999999994</v>
      </c>
      <c r="Y68" s="66">
        <v>242.3</v>
      </c>
      <c r="Z68" s="66">
        <v>203.7</v>
      </c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</row>
    <row r="69" spans="2:45" x14ac:dyDescent="0.2">
      <c r="B69" s="65" t="s">
        <v>94</v>
      </c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>
        <v>18.838000000000001</v>
      </c>
      <c r="U69" s="66">
        <v>48.631</v>
      </c>
      <c r="V69" s="66">
        <v>192.43600000000001</v>
      </c>
      <c r="W69" s="66">
        <v>38.299999999999997</v>
      </c>
      <c r="X69" s="66">
        <v>27.3</v>
      </c>
      <c r="Y69" s="66">
        <v>57.5</v>
      </c>
      <c r="Z69" s="66">
        <v>66.599999999999994</v>
      </c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</row>
    <row r="70" spans="2:45" x14ac:dyDescent="0.2">
      <c r="B70" s="65" t="s">
        <v>95</v>
      </c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>
        <v>-0.14299999999999999</v>
      </c>
      <c r="U70" s="66">
        <v>0.95699999999999996</v>
      </c>
      <c r="V70" s="66">
        <v>1.121</v>
      </c>
      <c r="W70" s="66">
        <v>4.8</v>
      </c>
      <c r="X70" s="66">
        <v>-7.5</v>
      </c>
      <c r="Y70" s="66">
        <v>5.2</v>
      </c>
      <c r="Z70" s="66">
        <v>4</v>
      </c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</row>
    <row r="71" spans="2:45" x14ac:dyDescent="0.2">
      <c r="B71" s="65" t="s">
        <v>96</v>
      </c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>
        <v>5.3419999999999996</v>
      </c>
      <c r="U71" s="66">
        <v>12.090999999999999</v>
      </c>
      <c r="V71" s="66">
        <v>31.413</v>
      </c>
      <c r="W71" s="66">
        <v>46.4</v>
      </c>
      <c r="X71" s="66">
        <v>64.900000000000006</v>
      </c>
      <c r="Y71" s="66">
        <v>104.6</v>
      </c>
      <c r="Z71" s="66">
        <v>127.4</v>
      </c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</row>
    <row r="72" spans="2:45" x14ac:dyDescent="0.2">
      <c r="B72" s="65" t="s">
        <v>98</v>
      </c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>
        <v>0</v>
      </c>
      <c r="U72" s="66">
        <v>0</v>
      </c>
      <c r="V72" s="66">
        <v>0</v>
      </c>
      <c r="W72" s="66">
        <v>0.9</v>
      </c>
      <c r="X72" s="66">
        <v>0.6</v>
      </c>
      <c r="Y72" s="66">
        <v>0.7</v>
      </c>
      <c r="Z72" s="66">
        <v>3.7</v>
      </c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</row>
    <row r="73" spans="2:45" x14ac:dyDescent="0.2">
      <c r="B73" s="65" t="s">
        <v>99</v>
      </c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>
        <v>0.502</v>
      </c>
      <c r="U73" s="66">
        <v>0.60199999999999998</v>
      </c>
      <c r="V73" s="66">
        <v>2.7770000000000001</v>
      </c>
      <c r="W73" s="66">
        <v>-0.8</v>
      </c>
      <c r="X73" s="66">
        <v>-4.5</v>
      </c>
      <c r="Y73" s="66">
        <v>-7.2</v>
      </c>
      <c r="Z73" s="66">
        <v>-8.5</v>
      </c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</row>
    <row r="74" spans="2:45" x14ac:dyDescent="0.2">
      <c r="B74" s="65" t="s">
        <v>100</v>
      </c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>
        <v>1.518</v>
      </c>
      <c r="U74" s="66">
        <v>6.6660000000000004</v>
      </c>
      <c r="V74" s="66">
        <v>15.183</v>
      </c>
      <c r="W74" s="66">
        <v>-8.3000000000000007</v>
      </c>
      <c r="X74" s="66">
        <v>102.9</v>
      </c>
      <c r="Y74" s="66">
        <v>-70.900000000000006</v>
      </c>
      <c r="Z74" s="66">
        <v>165.6</v>
      </c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</row>
    <row r="75" spans="2:45" x14ac:dyDescent="0.2">
      <c r="B75" s="65" t="s">
        <v>101</v>
      </c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>
        <v>4.62</v>
      </c>
      <c r="U75" s="66">
        <v>3.0830000000000002</v>
      </c>
      <c r="V75" s="66">
        <v>10.625</v>
      </c>
      <c r="W75" s="66">
        <v>20.2</v>
      </c>
      <c r="X75" s="66">
        <v>-10.5</v>
      </c>
      <c r="Y75" s="66">
        <v>37.4</v>
      </c>
      <c r="Z75" s="66">
        <v>1.5</v>
      </c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</row>
    <row r="76" spans="2:45" x14ac:dyDescent="0.2">
      <c r="B76" s="65" t="s">
        <v>102</v>
      </c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>
        <v>-21.481000000000002</v>
      </c>
      <c r="U76" s="66">
        <v>-13.481999999999999</v>
      </c>
      <c r="V76" s="66">
        <v>-46.993000000000002</v>
      </c>
      <c r="W76" s="66">
        <v>-78.599999999999994</v>
      </c>
      <c r="X76" s="66">
        <v>-46.9</v>
      </c>
      <c r="Y76" s="66">
        <v>-30.1</v>
      </c>
      <c r="Z76" s="66">
        <v>-96.1</v>
      </c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</row>
    <row r="77" spans="2:45" x14ac:dyDescent="0.2">
      <c r="B77" s="65" t="s">
        <v>103</v>
      </c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>
        <v>-12.353</v>
      </c>
      <c r="U77" s="66">
        <v>-61.305</v>
      </c>
      <c r="V77" s="66">
        <v>-31.771000000000001</v>
      </c>
      <c r="W77" s="66">
        <v>-273</v>
      </c>
      <c r="X77" s="66">
        <v>-10</v>
      </c>
      <c r="Y77" s="66">
        <v>-27.8</v>
      </c>
      <c r="Z77" s="91">
        <v>-82.4</v>
      </c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</row>
    <row r="78" spans="2:45" x14ac:dyDescent="0.2">
      <c r="B78" s="65" t="s">
        <v>104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>
        <v>3.1539999999999999</v>
      </c>
      <c r="U78" s="66">
        <v>25.564</v>
      </c>
      <c r="V78" s="66">
        <v>4.327</v>
      </c>
      <c r="W78" s="66">
        <v>65.8</v>
      </c>
      <c r="X78" s="66">
        <v>-44.3</v>
      </c>
      <c r="Y78" s="66">
        <v>104</v>
      </c>
      <c r="Z78" s="66">
        <v>-9.1999999999999993</v>
      </c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</row>
    <row r="79" spans="2:45" x14ac:dyDescent="0.2">
      <c r="B79" s="65" t="s">
        <v>105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>
        <f t="shared" ref="T79" si="54">+SUM(T76:T78)</f>
        <v>-30.680000000000003</v>
      </c>
      <c r="U79" s="66">
        <f t="shared" ref="U79" si="55">+SUM(U76:U78)</f>
        <v>-49.223000000000006</v>
      </c>
      <c r="V79" s="66">
        <f t="shared" ref="V79:X79" si="56">+SUM(V76:V78)</f>
        <v>-74.437000000000012</v>
      </c>
      <c r="W79" s="66">
        <f t="shared" si="56"/>
        <v>-285.8</v>
      </c>
      <c r="X79" s="66">
        <f t="shared" si="56"/>
        <v>-101.19999999999999</v>
      </c>
      <c r="Y79" s="66">
        <f>+SUM(Y76:Y78)</f>
        <v>46.099999999999994</v>
      </c>
      <c r="Z79" s="66">
        <f>+SUM(Z76:Z78)</f>
        <v>-187.7</v>
      </c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</row>
    <row r="80" spans="2:45" x14ac:dyDescent="0.2">
      <c r="B80" s="65" t="s">
        <v>106</v>
      </c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>
        <v>-2.677</v>
      </c>
      <c r="U80" s="66">
        <v>-6.5110000000000001</v>
      </c>
      <c r="V80" s="66">
        <v>8.0950000000000006</v>
      </c>
      <c r="W80" s="66">
        <v>-67.599999999999994</v>
      </c>
      <c r="X80" s="66">
        <v>93.4</v>
      </c>
      <c r="Y80" s="66">
        <v>95.7</v>
      </c>
      <c r="Z80" s="66">
        <v>25</v>
      </c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</row>
    <row r="81" spans="2:45" x14ac:dyDescent="0.2">
      <c r="B81" s="65" t="s">
        <v>107</v>
      </c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>
        <v>1.099</v>
      </c>
      <c r="U81" s="66">
        <v>1.6739999999999999</v>
      </c>
      <c r="V81" s="66">
        <v>4.3680000000000003</v>
      </c>
      <c r="W81" s="66">
        <v>-7.4</v>
      </c>
      <c r="X81" s="66">
        <v>4.8</v>
      </c>
      <c r="Y81" s="66">
        <v>18</v>
      </c>
      <c r="Z81" s="66">
        <v>-7.8</v>
      </c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</row>
    <row r="82" spans="2:45" x14ac:dyDescent="0.2">
      <c r="B82" s="65" t="s">
        <v>108</v>
      </c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>
        <v>0</v>
      </c>
      <c r="U82" s="66">
        <v>0</v>
      </c>
      <c r="V82" s="66">
        <v>0</v>
      </c>
      <c r="W82" s="66">
        <v>5.6</v>
      </c>
      <c r="X82" s="66">
        <v>11</v>
      </c>
      <c r="Y82" s="66">
        <v>22.5</v>
      </c>
      <c r="Z82" s="66">
        <v>30.1</v>
      </c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</row>
    <row r="83" spans="2:45" x14ac:dyDescent="0.2">
      <c r="B83" s="65" t="s">
        <v>109</v>
      </c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>
        <v>-2.1629999999999998</v>
      </c>
      <c r="U83" s="66">
        <v>-5.1740000000000004</v>
      </c>
      <c r="V83" s="66">
        <v>-4.407</v>
      </c>
      <c r="W83" s="66">
        <v>-31</v>
      </c>
      <c r="X83" s="66">
        <v>-28.6</v>
      </c>
      <c r="Y83" s="66">
        <v>-41.2</v>
      </c>
      <c r="Z83" s="66">
        <v>-64</v>
      </c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</row>
    <row r="84" spans="2:45" x14ac:dyDescent="0.2">
      <c r="B84" s="64" t="s">
        <v>97</v>
      </c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81">
        <f t="shared" ref="T84" si="57">+SUM(T68:T75)+T79+SUM(T80:T83)</f>
        <v>-5.2170000000000023</v>
      </c>
      <c r="U84" s="81">
        <f t="shared" ref="U84" si="58">+SUM(U68:U75)+U79+SUM(U80:U83)</f>
        <v>-14.728000000000005</v>
      </c>
      <c r="V84" s="81">
        <f t="shared" ref="V84:W84" si="59">+SUM(V68:V75)+V79+SUM(V80:V83)</f>
        <v>16.945999999999987</v>
      </c>
      <c r="W84" s="81">
        <f t="shared" si="59"/>
        <v>-227.00000000000006</v>
      </c>
      <c r="X84" s="81">
        <f>+SUM(X68:X75)+X79+SUM(X80:X83)</f>
        <v>232.20000000000002</v>
      </c>
      <c r="Y84" s="81">
        <f>+SUM(Y68:Y75)+Y79+SUM(Y80:Y83)</f>
        <v>510.70000000000005</v>
      </c>
      <c r="Z84" s="81">
        <f>+SUM(Z68:Z75)+Z79+SUM(Z80:Z83)</f>
        <v>359.59999999999991</v>
      </c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</row>
    <row r="85" spans="2:45" x14ac:dyDescent="0.2">
      <c r="B85" s="65" t="s">
        <v>110</v>
      </c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>
        <v>-7.4320000000000004</v>
      </c>
      <c r="U85" s="66">
        <v>-10.986000000000001</v>
      </c>
      <c r="V85" s="66">
        <v>-24.638999999999999</v>
      </c>
      <c r="W85" s="66">
        <v>-60.3</v>
      </c>
      <c r="X85" s="66">
        <v>-42.8</v>
      </c>
      <c r="Y85" s="66">
        <v>-60.5</v>
      </c>
      <c r="Z85" s="66">
        <v>-72.900000000000006</v>
      </c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</row>
    <row r="86" spans="2:45" x14ac:dyDescent="0.2">
      <c r="B86" s="65" t="s">
        <v>111</v>
      </c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>
        <v>0</v>
      </c>
      <c r="U86" s="66">
        <v>0</v>
      </c>
      <c r="V86" s="66">
        <v>0</v>
      </c>
      <c r="W86" s="66">
        <v>0</v>
      </c>
      <c r="X86" s="66">
        <v>0</v>
      </c>
      <c r="Y86" s="66">
        <v>0.1</v>
      </c>
      <c r="Z86" s="66">
        <v>0</v>
      </c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</row>
    <row r="87" spans="2:45" x14ac:dyDescent="0.2">
      <c r="B87" s="65" t="s">
        <v>112</v>
      </c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>
        <f>-1.785-0.321</f>
        <v>-2.1059999999999999</v>
      </c>
      <c r="U87" s="66">
        <f>-7.612-0.026</f>
        <v>-7.6379999999999999</v>
      </c>
      <c r="V87" s="66">
        <f>-11.6-0.2</f>
        <v>-11.799999999999999</v>
      </c>
      <c r="W87" s="66">
        <v>-22.7</v>
      </c>
      <c r="X87" s="66">
        <v>-4.4000000000000004</v>
      </c>
      <c r="Y87" s="66">
        <v>-4.5</v>
      </c>
      <c r="Z87" s="66">
        <v>-5.7</v>
      </c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</row>
    <row r="88" spans="2:45" x14ac:dyDescent="0.2">
      <c r="B88" s="64" t="s">
        <v>113</v>
      </c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81">
        <f t="shared" ref="T88" si="60">+SUM(T85:T87)</f>
        <v>-9.5380000000000003</v>
      </c>
      <c r="U88" s="81">
        <f t="shared" ref="U88" si="61">+SUM(U85:U87)</f>
        <v>-18.624000000000002</v>
      </c>
      <c r="V88" s="81">
        <f t="shared" ref="V88:X88" si="62">+SUM(V85:V87)</f>
        <v>-36.439</v>
      </c>
      <c r="W88" s="81">
        <f t="shared" si="62"/>
        <v>-83</v>
      </c>
      <c r="X88" s="81">
        <f t="shared" si="62"/>
        <v>-47.199999999999996</v>
      </c>
      <c r="Y88" s="81">
        <f>+SUM(Y85:Y87)</f>
        <v>-64.900000000000006</v>
      </c>
      <c r="Z88" s="81">
        <f>+SUM(Z85:Z87)</f>
        <v>-78.600000000000009</v>
      </c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</row>
    <row r="89" spans="2:45" x14ac:dyDescent="0.2">
      <c r="B89" s="65" t="s">
        <v>116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>
        <f>3-1.2-2</f>
        <v>-0.19999999999999996</v>
      </c>
      <c r="U89" s="66">
        <f>-(3+3.399)</f>
        <v>-6.399</v>
      </c>
      <c r="V89" s="66">
        <v>-13.311</v>
      </c>
      <c r="W89" s="66">
        <v>-15.4</v>
      </c>
      <c r="X89" s="66">
        <v>-25.5</v>
      </c>
      <c r="Y89" s="66">
        <v>-51.3</v>
      </c>
      <c r="Z89" s="66">
        <v>-69.900000000000006</v>
      </c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</row>
    <row r="90" spans="2:45" x14ac:dyDescent="0.2">
      <c r="B90" s="65" t="s">
        <v>117</v>
      </c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>
        <v>0</v>
      </c>
      <c r="U90" s="66">
        <f>133.266-1.476</f>
        <v>131.79</v>
      </c>
      <c r="V90" s="66">
        <f>0.071+618.191-6.836</f>
        <v>611.42600000000004</v>
      </c>
      <c r="W90" s="66">
        <v>0</v>
      </c>
      <c r="X90" s="66">
        <v>0</v>
      </c>
      <c r="Y90" s="66">
        <v>0.2</v>
      </c>
      <c r="Z90" s="66">
        <v>4.3</v>
      </c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</row>
    <row r="91" spans="2:45" x14ac:dyDescent="0.2">
      <c r="B91" s="65" t="s">
        <v>118</v>
      </c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>
        <v>-0.49099999999999999</v>
      </c>
      <c r="U91" s="66">
        <v>-0.59499999999999997</v>
      </c>
      <c r="V91" s="66">
        <f>0.5-2.764</f>
        <v>-2.2639999999999998</v>
      </c>
      <c r="W91" s="66">
        <v>26.4</v>
      </c>
      <c r="X91" s="66">
        <v>10.1</v>
      </c>
      <c r="Y91" s="66">
        <v>10.9</v>
      </c>
      <c r="Z91" s="66">
        <v>8.6</v>
      </c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</row>
    <row r="92" spans="2:45" x14ac:dyDescent="0.2">
      <c r="B92" s="65" t="s">
        <v>119</v>
      </c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>
        <v>0</v>
      </c>
      <c r="U92" s="66">
        <v>0</v>
      </c>
      <c r="V92" s="66">
        <v>0</v>
      </c>
      <c r="W92" s="66">
        <v>-4.7</v>
      </c>
      <c r="X92" s="66">
        <v>-6.5</v>
      </c>
      <c r="Y92" s="66">
        <v>-15.3</v>
      </c>
      <c r="Z92" s="66">
        <v>-21.5</v>
      </c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</row>
    <row r="93" spans="2:45" x14ac:dyDescent="0.2">
      <c r="B93" s="64" t="s">
        <v>120</v>
      </c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81">
        <f t="shared" ref="T93" si="63">+SUM(T89:T92)</f>
        <v>-0.69099999999999995</v>
      </c>
      <c r="U93" s="81">
        <f>+SUM(U89:U92)</f>
        <v>124.79599999999999</v>
      </c>
      <c r="V93" s="81">
        <f>+SUM(V89:V92)</f>
        <v>595.851</v>
      </c>
      <c r="W93" s="81">
        <f t="shared" ref="W93:X93" si="64">+SUM(W89:W92)</f>
        <v>6.299999999999998</v>
      </c>
      <c r="X93" s="81">
        <f t="shared" si="64"/>
        <v>-21.9</v>
      </c>
      <c r="Y93" s="81">
        <f>+SUM(Y89:Y92)</f>
        <v>-55.5</v>
      </c>
      <c r="Z93" s="81">
        <f>+SUM(Z89:Z92)</f>
        <v>-78.5</v>
      </c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</row>
    <row r="94" spans="2:45" x14ac:dyDescent="0.2">
      <c r="B94" s="65" t="s">
        <v>114</v>
      </c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>
        <v>-0.19500000000000001</v>
      </c>
      <c r="U94" s="66">
        <v>-0.96899999999999997</v>
      </c>
      <c r="V94" s="66">
        <v>-13.868</v>
      </c>
      <c r="W94" s="66">
        <v>21.5</v>
      </c>
      <c r="X94" s="66">
        <v>-39.6</v>
      </c>
      <c r="Y94" s="66">
        <v>39.4</v>
      </c>
      <c r="Z94" s="66">
        <v>-106.7</v>
      </c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</row>
    <row r="95" spans="2:45" x14ac:dyDescent="0.2">
      <c r="B95" s="64" t="s">
        <v>115</v>
      </c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81">
        <f t="shared" ref="T95" si="65">+SUM(T94,T93,T88,T84)</f>
        <v>-15.641000000000002</v>
      </c>
      <c r="U95" s="81">
        <f t="shared" ref="U95" si="66">+SUM(U94,U93,U88,U84)</f>
        <v>90.474999999999994</v>
      </c>
      <c r="V95" s="81">
        <f t="shared" ref="V95:X95" si="67">+SUM(V94,V93,V88,V84)</f>
        <v>562.49</v>
      </c>
      <c r="W95" s="81">
        <f t="shared" si="67"/>
        <v>-282.20000000000005</v>
      </c>
      <c r="X95" s="81">
        <f t="shared" si="67"/>
        <v>123.50000000000003</v>
      </c>
      <c r="Y95" s="81">
        <f>+SUM(Y94,Y93,Y88,Y84)</f>
        <v>429.70000000000005</v>
      </c>
      <c r="Z95" s="81">
        <f>+SUM(Z94,Z93,Z88,Z84)</f>
        <v>95.799999999999898</v>
      </c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</row>
    <row r="96" spans="2:45" x14ac:dyDescent="0.2">
      <c r="B96" s="65" t="s">
        <v>121</v>
      </c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>
        <f>+T97-T95</f>
        <v>15.776000000000021</v>
      </c>
      <c r="U96" s="66">
        <f>+U97-U95</f>
        <v>0.13500000000001933</v>
      </c>
      <c r="V96" s="88">
        <f>+V97-V95</f>
        <v>90.610000000000014</v>
      </c>
      <c r="W96" s="88">
        <v>653.1</v>
      </c>
      <c r="X96" s="88">
        <v>371</v>
      </c>
      <c r="Y96" s="66">
        <v>494.6</v>
      </c>
      <c r="Z96" s="65">
        <v>924.3</v>
      </c>
    </row>
    <row r="97" spans="2:26" x14ac:dyDescent="0.2">
      <c r="B97" s="65" t="s">
        <v>122</v>
      </c>
      <c r="T97" s="66">
        <f>+U96</f>
        <v>0.13500000000001933</v>
      </c>
      <c r="U97" s="88">
        <f>+V96</f>
        <v>90.610000000000014</v>
      </c>
      <c r="V97" s="88">
        <f>+W96</f>
        <v>653.1</v>
      </c>
      <c r="W97" s="88">
        <f>+X96</f>
        <v>371</v>
      </c>
      <c r="X97" s="66">
        <f>+Y96</f>
        <v>494.6</v>
      </c>
      <c r="Y97" s="88">
        <f>+Y95+Y96</f>
        <v>924.30000000000007</v>
      </c>
      <c r="Z97" s="65">
        <v>1019.9</v>
      </c>
    </row>
  </sheetData>
  <hyperlinks>
    <hyperlink ref="A1" location="Main!A1" display="Main" xr:uid="{97107C82-822A-4A0C-8065-5823F18768A2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6609-401C-4E27-8E4D-7134543BC6A9}">
  <dimension ref="A1:J60"/>
  <sheetViews>
    <sheetView zoomScale="200" zoomScaleNormal="200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H57" sqref="H57:H60"/>
    </sheetView>
  </sheetViews>
  <sheetFormatPr defaultRowHeight="12.75" x14ac:dyDescent="0.2"/>
  <cols>
    <col min="1" max="1" width="5.42578125" style="89" bestFit="1" customWidth="1"/>
    <col min="2" max="2" width="32.42578125" style="89" bestFit="1" customWidth="1"/>
    <col min="3" max="16384" width="9.140625" style="89"/>
  </cols>
  <sheetData>
    <row r="1" spans="1:10" x14ac:dyDescent="0.2">
      <c r="A1" s="69" t="s">
        <v>9</v>
      </c>
    </row>
    <row r="2" spans="1:10" x14ac:dyDescent="0.2">
      <c r="B2" s="92" t="s">
        <v>217</v>
      </c>
      <c r="C2" s="93">
        <v>20</v>
      </c>
      <c r="D2" s="93">
        <v>21</v>
      </c>
      <c r="E2" s="93">
        <v>22</v>
      </c>
      <c r="F2" s="93">
        <v>23</v>
      </c>
      <c r="G2" s="93">
        <v>24</v>
      </c>
      <c r="H2" s="93">
        <v>25</v>
      </c>
      <c r="I2" s="94"/>
    </row>
    <row r="3" spans="1:10" x14ac:dyDescent="0.2">
      <c r="B3" s="89" t="s">
        <v>19</v>
      </c>
      <c r="C3" s="95" t="s">
        <v>62</v>
      </c>
      <c r="D3" s="96">
        <v>38.68</v>
      </c>
      <c r="E3" s="96">
        <v>17.07</v>
      </c>
      <c r="F3" s="96">
        <v>26.76</v>
      </c>
      <c r="G3" s="96">
        <v>55.37</v>
      </c>
      <c r="H3" s="97">
        <v>41.05</v>
      </c>
      <c r="I3" s="97"/>
    </row>
    <row r="4" spans="1:10" s="98" customFormat="1" x14ac:dyDescent="0.2">
      <c r="B4" s="98" t="s">
        <v>18</v>
      </c>
      <c r="C4" s="95" t="s">
        <v>62</v>
      </c>
      <c r="D4" s="96">
        <f>+D3*Main!$H$10</f>
        <v>32.878</v>
      </c>
      <c r="E4" s="96">
        <f>+E3*Main!$H$10</f>
        <v>14.509499999999999</v>
      </c>
      <c r="F4" s="96">
        <f>+F3*Main!$H$10</f>
        <v>22.746000000000002</v>
      </c>
      <c r="G4" s="96">
        <f>+G3*Main!$H$10</f>
        <v>47.064499999999995</v>
      </c>
      <c r="H4" s="96">
        <f>+H3*Main!$H$10</f>
        <v>34.892499999999998</v>
      </c>
    </row>
    <row r="5" spans="1:10" x14ac:dyDescent="0.2">
      <c r="B5" s="89" t="s">
        <v>218</v>
      </c>
      <c r="C5" s="95" t="s">
        <v>62</v>
      </c>
      <c r="D5" s="96">
        <f>+Model!V24</f>
        <v>264.17120799999998</v>
      </c>
      <c r="E5" s="96">
        <f>+Model!W24</f>
        <v>282.19649500000003</v>
      </c>
      <c r="F5" s="96">
        <f>+Model!X24</f>
        <v>284.78245600000002</v>
      </c>
      <c r="G5" s="96">
        <f>+Model!Y24</f>
        <v>289.63972999999999</v>
      </c>
      <c r="H5" s="96">
        <f>+Model!Z24</f>
        <v>296.87335300000001</v>
      </c>
      <c r="I5" s="97"/>
    </row>
    <row r="6" spans="1:10" x14ac:dyDescent="0.2">
      <c r="B6" s="89" t="s">
        <v>219</v>
      </c>
      <c r="C6" s="95" t="s">
        <v>62</v>
      </c>
      <c r="D6" s="97">
        <f t="shared" ref="D6:F6" si="0">+D4*D5</f>
        <v>8685.4209766240001</v>
      </c>
      <c r="E6" s="97">
        <f t="shared" si="0"/>
        <v>4094.5300442025</v>
      </c>
      <c r="F6" s="97">
        <f t="shared" si="0"/>
        <v>6477.6617441760009</v>
      </c>
      <c r="G6" s="97">
        <f>+G4*G5</f>
        <v>13631.749072584998</v>
      </c>
      <c r="H6" s="97">
        <f>+H4*H5</f>
        <v>10358.653469552501</v>
      </c>
      <c r="I6" s="97"/>
    </row>
    <row r="7" spans="1:10" x14ac:dyDescent="0.2">
      <c r="B7" s="89" t="s">
        <v>220</v>
      </c>
      <c r="C7" s="97">
        <f>+Model!U53-Model!U39+Model!U42</f>
        <v>-66.230999999999995</v>
      </c>
      <c r="D7" s="97">
        <f>+Model!V53-Model!V39+Model!V42</f>
        <v>-602.93000000000006</v>
      </c>
      <c r="E7" s="97">
        <f>+Model!W53-Model!W39+Model!W42</f>
        <v>-306.8</v>
      </c>
      <c r="F7" s="97">
        <f>+Model!X53-Model!X39+Model!X42</f>
        <v>-445.6</v>
      </c>
      <c r="G7" s="97">
        <f>+Model!Y53-Model!Y39+Model!Y42</f>
        <v>-816.6</v>
      </c>
      <c r="H7" s="97">
        <f>+Model!Z53-Model!Z39+Model!Z42</f>
        <v>-903.99999999999989</v>
      </c>
      <c r="I7" s="97"/>
    </row>
    <row r="8" spans="1:10" x14ac:dyDescent="0.2">
      <c r="B8" s="89" t="s">
        <v>7</v>
      </c>
      <c r="C8" s="95" t="s">
        <v>62</v>
      </c>
      <c r="D8" s="97">
        <f t="shared" ref="D8:F8" si="1">+D6+D7</f>
        <v>8082.4909766239998</v>
      </c>
      <c r="E8" s="97">
        <f t="shared" si="1"/>
        <v>3787.7300442024998</v>
      </c>
      <c r="F8" s="97">
        <f t="shared" si="1"/>
        <v>6032.0617441760005</v>
      </c>
      <c r="G8" s="97">
        <f>+G6+G7</f>
        <v>12815.149072584998</v>
      </c>
      <c r="H8" s="97">
        <f>+H6+H7</f>
        <v>9454.6534695525006</v>
      </c>
      <c r="I8" s="97"/>
    </row>
    <row r="9" spans="1:10" x14ac:dyDescent="0.2">
      <c r="C9" s="97"/>
      <c r="D9" s="97"/>
      <c r="E9" s="97"/>
      <c r="F9" s="97"/>
      <c r="G9" s="97"/>
      <c r="H9" s="97"/>
      <c r="I9" s="97"/>
    </row>
    <row r="10" spans="1:10" x14ac:dyDescent="0.2">
      <c r="A10" s="99" t="s">
        <v>138</v>
      </c>
      <c r="B10" s="68" t="s">
        <v>221</v>
      </c>
      <c r="C10" s="97"/>
      <c r="D10" s="97"/>
      <c r="E10" s="97"/>
      <c r="F10" s="97"/>
      <c r="G10" s="97"/>
      <c r="H10" s="97"/>
      <c r="I10" s="97"/>
    </row>
    <row r="11" spans="1:10" x14ac:dyDescent="0.2">
      <c r="B11" s="89" t="s">
        <v>222</v>
      </c>
      <c r="C11" s="95" t="s">
        <v>62</v>
      </c>
      <c r="D11" s="97">
        <f>+Model!V49+SUM(Model!V40,Model!V41,Model!V43)-Model!V51</f>
        <v>507.45099999999996</v>
      </c>
      <c r="E11" s="97">
        <f>+Model!W49+SUM(Model!W40,Model!W41,Model!W43)-Model!W51</f>
        <v>867</v>
      </c>
      <c r="F11" s="97">
        <f>+Model!X49+SUM(Model!X40,Model!X41,Model!X43)-Model!X51</f>
        <v>999.1</v>
      </c>
      <c r="G11" s="97">
        <f>+Model!Y49+SUM(Model!Y40,Model!Y41,Model!Y43)-Model!Y51</f>
        <v>1229.4000000000001</v>
      </c>
      <c r="H11" s="97">
        <f>+Model!Z49+SUM(Model!Z40,Model!Z41,Model!Z43)-Model!Z51</f>
        <v>1601.6000000000001</v>
      </c>
      <c r="J11" s="100" t="s">
        <v>223</v>
      </c>
    </row>
    <row r="12" spans="1:10" x14ac:dyDescent="0.2">
      <c r="B12" s="89" t="s">
        <v>224</v>
      </c>
      <c r="C12" s="95" t="s">
        <v>62</v>
      </c>
      <c r="D12" s="97">
        <f>+Model!V45+SUM(Model!V40:V41,Model!V43)-SUM(Model!V51:V54)+Model!V42+Model!V47</f>
        <v>215.67400000000001</v>
      </c>
      <c r="E12" s="97">
        <f>+Model!W45+SUM(Model!W40:W41,Model!W43)-SUM(Model!W51:W54)+Model!W42+Model!W47</f>
        <v>604.20000000000005</v>
      </c>
      <c r="F12" s="97">
        <f>+Model!X45+SUM(Model!X40:X41,Model!X43)-SUM(Model!X51:X54)+Model!X42+Model!X47</f>
        <v>539.9</v>
      </c>
      <c r="G12" s="97">
        <f>+Model!Y45+SUM(Model!Y40:Y41,Model!Y43)-SUM(Model!Y51:Y54)+Model!Y42+Model!Y47</f>
        <v>444.7</v>
      </c>
      <c r="H12" s="97">
        <f>+Model!Z45+SUM(Model!Z40:Z41,Model!Z43)-SUM(Model!Z51:Z54)+Model!Z42+Model!Z47</f>
        <v>497.50000000000011</v>
      </c>
      <c r="J12" s="100" t="s">
        <v>225</v>
      </c>
    </row>
    <row r="13" spans="1:10" x14ac:dyDescent="0.2">
      <c r="B13" s="89" t="s">
        <v>226</v>
      </c>
      <c r="C13" s="95" t="s">
        <v>62</v>
      </c>
      <c r="D13" s="97">
        <f>+D12-Model!V47</f>
        <v>158.21</v>
      </c>
      <c r="E13" s="97">
        <f>+E12-Model!W47</f>
        <v>533.90000000000009</v>
      </c>
      <c r="F13" s="97">
        <f>+F12-Model!X47</f>
        <v>475.29999999999995</v>
      </c>
      <c r="G13" s="97">
        <f>+G12-Model!Y47</f>
        <v>386.4</v>
      </c>
      <c r="H13" s="97">
        <f>+H12-Model!Z47</f>
        <v>443.30000000000013</v>
      </c>
      <c r="J13" s="100"/>
    </row>
    <row r="14" spans="1:10" x14ac:dyDescent="0.2">
      <c r="B14" s="89" t="s">
        <v>227</v>
      </c>
      <c r="C14" s="95" t="s">
        <v>62</v>
      </c>
      <c r="D14" s="97">
        <f>+D12+Model!V39+Model!V46</f>
        <v>1046.645</v>
      </c>
      <c r="E14" s="97">
        <f>+E12+Model!W39+Model!W46</f>
        <v>1126.8</v>
      </c>
      <c r="F14" s="97">
        <f>+F12+Model!X39+Model!X46</f>
        <v>1248.5</v>
      </c>
      <c r="G14" s="97">
        <f>+G12+Model!Y39+Model!Y46</f>
        <v>1692.6</v>
      </c>
      <c r="H14" s="97">
        <f>+H12+Model!Z39+Model!Z46</f>
        <v>2011.5</v>
      </c>
      <c r="J14" s="100" t="s">
        <v>228</v>
      </c>
    </row>
    <row r="15" spans="1:10" x14ac:dyDescent="0.2">
      <c r="B15" s="89" t="s">
        <v>229</v>
      </c>
      <c r="C15" s="95" t="s">
        <v>62</v>
      </c>
      <c r="D15" s="97">
        <f>+Model!V15*(1-Model!V37)</f>
        <v>-150.47130325814533</v>
      </c>
      <c r="E15" s="97">
        <f>+Model!W15*(1-Model!W37)</f>
        <v>63.032991014120576</v>
      </c>
      <c r="F15" s="97">
        <f>+Model!X15*(1-Model!X37)</f>
        <v>207.69725036179449</v>
      </c>
      <c r="G15" s="97">
        <f>+Model!Y15*(1-Model!Y37)</f>
        <v>183.20922746781139</v>
      </c>
      <c r="H15" s="97">
        <f>+Model!Z15*(1-Model!Z37)</f>
        <v>374.3434210526317</v>
      </c>
      <c r="J15" s="89" t="s">
        <v>230</v>
      </c>
    </row>
    <row r="16" spans="1:10" x14ac:dyDescent="0.2">
      <c r="B16" s="89" t="s">
        <v>231</v>
      </c>
      <c r="C16" s="95" t="s">
        <v>62</v>
      </c>
      <c r="D16" s="95" t="s">
        <v>62</v>
      </c>
      <c r="E16" s="97">
        <f t="shared" ref="E16" si="2">+E14-D14</f>
        <v>80.154999999999973</v>
      </c>
      <c r="F16" s="97">
        <f>+F14-E14</f>
        <v>121.70000000000005</v>
      </c>
      <c r="G16" s="97">
        <f>+G14-F14</f>
        <v>444.09999999999991</v>
      </c>
      <c r="H16" s="97">
        <f>+H14-G14</f>
        <v>318.90000000000009</v>
      </c>
      <c r="J16" s="100" t="s">
        <v>232</v>
      </c>
    </row>
    <row r="17" spans="1:10" x14ac:dyDescent="0.2">
      <c r="B17" s="89" t="s">
        <v>233</v>
      </c>
      <c r="C17" s="95" t="s">
        <v>62</v>
      </c>
      <c r="D17" s="95" t="s">
        <v>62</v>
      </c>
      <c r="E17" s="97">
        <f>+E15-E16+SUM(Model!W69:W71)</f>
        <v>72.377991014120596</v>
      </c>
      <c r="F17" s="97">
        <f>+F15-F16+SUM(Model!X69:X71)</f>
        <v>170.69725036179443</v>
      </c>
      <c r="G17" s="97">
        <f>+G15-G16+SUM(Model!Y69:Y71)</f>
        <v>-93.59077253218851</v>
      </c>
      <c r="H17" s="97">
        <f>+H15-H16+SUM(Model!Z69:Z71)</f>
        <v>253.44342105263161</v>
      </c>
      <c r="J17" s="100" t="s">
        <v>234</v>
      </c>
    </row>
    <row r="18" spans="1:10" x14ac:dyDescent="0.2">
      <c r="B18" s="89" t="s">
        <v>235</v>
      </c>
      <c r="C18" s="95" t="s">
        <v>62</v>
      </c>
      <c r="D18" s="95" t="s">
        <v>62</v>
      </c>
      <c r="E18" s="101">
        <f t="shared" ref="E18:F18" si="3">+E16/E15</f>
        <v>1.2716356738020531</v>
      </c>
      <c r="F18" s="101">
        <f t="shared" si="3"/>
        <v>0.58594901852579617</v>
      </c>
      <c r="G18" s="101">
        <f>+G16/G15</f>
        <v>2.4240045446293106</v>
      </c>
      <c r="H18" s="101">
        <f>+H16/H15</f>
        <v>0.85189155749891909</v>
      </c>
      <c r="J18" s="100" t="s">
        <v>236</v>
      </c>
    </row>
    <row r="19" spans="1:10" x14ac:dyDescent="0.2">
      <c r="B19" s="89" t="s">
        <v>237</v>
      </c>
      <c r="C19" s="95" t="s">
        <v>62</v>
      </c>
      <c r="D19" s="97"/>
      <c r="E19" s="97"/>
      <c r="F19" s="97"/>
      <c r="G19" s="97"/>
      <c r="J19" s="100" t="s">
        <v>238</v>
      </c>
    </row>
    <row r="21" spans="1:10" x14ac:dyDescent="0.2">
      <c r="A21" s="99" t="s">
        <v>138</v>
      </c>
      <c r="B21" s="68" t="s">
        <v>239</v>
      </c>
    </row>
    <row r="22" spans="1:10" x14ac:dyDescent="0.2">
      <c r="B22" s="89" t="s">
        <v>240</v>
      </c>
      <c r="C22" s="95" t="s">
        <v>62</v>
      </c>
      <c r="D22" s="102">
        <f>+Model!V11/Model!V65</f>
        <v>0.86428691558352488</v>
      </c>
      <c r="E22" s="102">
        <f>+Model!W11/Model!W65</f>
        <v>1.2605466735430633</v>
      </c>
      <c r="F22" s="102">
        <f>+Model!X11/Model!X65</f>
        <v>1.6678455095393205</v>
      </c>
      <c r="G22" s="102">
        <f>+Model!Y11/Model!Y65</f>
        <v>1.6656847248167843</v>
      </c>
      <c r="H22" s="102">
        <f>+Model!Z11/Model!Z65</f>
        <v>1.8463611859838274</v>
      </c>
      <c r="J22" s="100" t="s">
        <v>241</v>
      </c>
    </row>
    <row r="23" spans="1:10" x14ac:dyDescent="0.2">
      <c r="B23" s="89" t="s">
        <v>242</v>
      </c>
      <c r="C23" s="95" t="s">
        <v>62</v>
      </c>
      <c r="D23" s="103">
        <f>+Model!V21/Model!V65</f>
        <v>-0.20301081014672356</v>
      </c>
      <c r="E23" s="103">
        <f>+Model!W21/Model!W65</f>
        <v>5.951521402784931E-2</v>
      </c>
      <c r="F23" s="103">
        <f>+Model!X21/Model!X65</f>
        <v>7.4080967892042757E-2</v>
      </c>
      <c r="G23" s="103">
        <f>+Model!Y21/Model!Y65</f>
        <v>0.17401925564017837</v>
      </c>
      <c r="H23" s="103">
        <f>+Model!Z21/Model!Z65</f>
        <v>0.12478559176672389</v>
      </c>
      <c r="J23" s="100" t="s">
        <v>243</v>
      </c>
    </row>
    <row r="24" spans="1:10" x14ac:dyDescent="0.2">
      <c r="B24" s="89" t="s">
        <v>244</v>
      </c>
      <c r="C24" s="95" t="s">
        <v>62</v>
      </c>
      <c r="D24" s="103">
        <f>+Model!V15/KPIs!D11</f>
        <v>-0.27805640347540939</v>
      </c>
      <c r="E24" s="103">
        <f>+Model!W15/KPIs!E11</f>
        <v>9.8154555940022967E-2</v>
      </c>
      <c r="F24" s="103">
        <f>+Model!X15/KPIs!F11</f>
        <v>0.18046241617455705</v>
      </c>
      <c r="G24" s="103">
        <f>+Model!Y15/KPIs!G11</f>
        <v>0.1720351390922403</v>
      </c>
      <c r="H24" s="103">
        <f>+Model!Z15/KPIs!H11</f>
        <v>0.23545204795204802</v>
      </c>
      <c r="J24" s="100" t="s">
        <v>245</v>
      </c>
    </row>
    <row r="25" spans="1:10" x14ac:dyDescent="0.2">
      <c r="B25" s="89" t="s">
        <v>246</v>
      </c>
      <c r="C25" s="95" t="s">
        <v>62</v>
      </c>
      <c r="D25" s="103">
        <f t="shared" ref="D25:F25" si="4">+D15/D12</f>
        <v>-0.69767938304174504</v>
      </c>
      <c r="E25" s="103">
        <f t="shared" si="4"/>
        <v>0.10432471203925947</v>
      </c>
      <c r="F25" s="103">
        <f t="shared" si="4"/>
        <v>0.38469577766585383</v>
      </c>
      <c r="G25" s="103">
        <f>+G15/G12</f>
        <v>0.41198387107670653</v>
      </c>
      <c r="H25" s="103">
        <f>+H15/H12</f>
        <v>0.75244908754297812</v>
      </c>
      <c r="J25" s="100" t="s">
        <v>247</v>
      </c>
    </row>
    <row r="26" spans="1:10" x14ac:dyDescent="0.2">
      <c r="B26" s="89" t="s">
        <v>248</v>
      </c>
      <c r="C26" s="95" t="s">
        <v>62</v>
      </c>
      <c r="D26" s="103">
        <f t="shared" ref="D26:F26" si="5">+D15/D13</f>
        <v>-0.95108591908315099</v>
      </c>
      <c r="E26" s="103">
        <f t="shared" si="5"/>
        <v>0.11806141789496266</v>
      </c>
      <c r="F26" s="103">
        <f t="shared" si="5"/>
        <v>0.43698138094213024</v>
      </c>
      <c r="G26" s="103">
        <f>+G15/G13</f>
        <v>0.47414396342601295</v>
      </c>
      <c r="H26" s="103">
        <f>+H15/H13</f>
        <v>0.84444714877652061</v>
      </c>
      <c r="J26" s="100" t="s">
        <v>249</v>
      </c>
    </row>
    <row r="27" spans="1:10" x14ac:dyDescent="0.2">
      <c r="B27" s="89" t="s">
        <v>250</v>
      </c>
      <c r="C27" s="95" t="s">
        <v>62</v>
      </c>
      <c r="J27" s="100" t="s">
        <v>251</v>
      </c>
    </row>
    <row r="29" spans="1:10" x14ac:dyDescent="0.2">
      <c r="B29" s="89" t="s">
        <v>252</v>
      </c>
      <c r="C29" s="95" t="s">
        <v>62</v>
      </c>
      <c r="D29" s="104">
        <f>1-(0/Model!V21)%</f>
        <v>1</v>
      </c>
      <c r="E29" s="104">
        <f>1-(0/Model!W21)%</f>
        <v>1</v>
      </c>
      <c r="F29" s="104">
        <f>1-(0/Model!X21)%</f>
        <v>1</v>
      </c>
      <c r="G29" s="104">
        <f>1-(0/Model!Y21)%</f>
        <v>1</v>
      </c>
      <c r="H29" s="104">
        <f>1-(0/Model!Z21)%</f>
        <v>1</v>
      </c>
      <c r="J29" s="100" t="s">
        <v>253</v>
      </c>
    </row>
    <row r="30" spans="1:10" x14ac:dyDescent="0.2">
      <c r="B30" s="89" t="s">
        <v>254</v>
      </c>
      <c r="C30" s="95" t="s">
        <v>62</v>
      </c>
      <c r="D30" s="104">
        <f>-(Model!V85+Model!V79)/KPIs!D15</f>
        <v>-0.65843784066937572</v>
      </c>
      <c r="E30" s="104">
        <f>-(Model!W85+Model!W79)/KPIs!E15</f>
        <v>5.4907754563394766</v>
      </c>
      <c r="F30" s="104">
        <f>-(Model!X85+Model!X79)/KPIs!F15</f>
        <v>0.69331683375279063</v>
      </c>
      <c r="G30" s="104">
        <f>-(Model!Y85+Model!Y79)/KPIs!G15</f>
        <v>7.8598661208426235E-2</v>
      </c>
      <c r="H30" s="104">
        <f>-(Model!Z85+Model!Z79)/KPIs!H15</f>
        <v>0.69615221036129915</v>
      </c>
      <c r="J30" s="100" t="s">
        <v>255</v>
      </c>
    </row>
    <row r="31" spans="1:10" x14ac:dyDescent="0.2">
      <c r="B31" s="89" t="s">
        <v>256</v>
      </c>
      <c r="C31" s="95" t="s">
        <v>62</v>
      </c>
      <c r="D31" s="103">
        <f t="shared" ref="D31:F31" si="6">+D29*D23</f>
        <v>-0.20301081014672356</v>
      </c>
      <c r="E31" s="103">
        <f t="shared" si="6"/>
        <v>5.951521402784931E-2</v>
      </c>
      <c r="F31" s="103">
        <f t="shared" si="6"/>
        <v>7.4080967892042757E-2</v>
      </c>
      <c r="G31" s="103">
        <f>+G29*G23</f>
        <v>0.17401925564017837</v>
      </c>
      <c r="H31" s="103">
        <f>+H29*H23</f>
        <v>0.12478559176672389</v>
      </c>
      <c r="J31" s="100" t="s">
        <v>257</v>
      </c>
    </row>
    <row r="32" spans="1:10" x14ac:dyDescent="0.2">
      <c r="B32" s="89" t="s">
        <v>258</v>
      </c>
      <c r="C32" s="95" t="s">
        <v>62</v>
      </c>
      <c r="D32" s="103">
        <f t="shared" ref="D32:F32" si="7">+D30*D26</f>
        <v>0.62623095885215851</v>
      </c>
      <c r="E32" s="103">
        <f t="shared" si="7"/>
        <v>0.64824873571829922</v>
      </c>
      <c r="F32" s="103">
        <f t="shared" si="7"/>
        <v>0.30296654744371976</v>
      </c>
      <c r="G32" s="103">
        <f>+G30*G26</f>
        <v>3.726708074534163E-2</v>
      </c>
      <c r="H32" s="103">
        <f>+H30*H26</f>
        <v>0.58786374915407169</v>
      </c>
      <c r="J32" s="100" t="s">
        <v>259</v>
      </c>
    </row>
    <row r="34" spans="1:10" x14ac:dyDescent="0.2">
      <c r="A34" s="99" t="s">
        <v>138</v>
      </c>
      <c r="B34" s="68" t="s">
        <v>260</v>
      </c>
    </row>
    <row r="35" spans="1:10" x14ac:dyDescent="0.2">
      <c r="B35" s="89" t="s">
        <v>261</v>
      </c>
      <c r="C35" s="95" t="s">
        <v>62</v>
      </c>
      <c r="J35" s="100" t="s">
        <v>262</v>
      </c>
    </row>
    <row r="36" spans="1:10" x14ac:dyDescent="0.2">
      <c r="B36" s="89" t="s">
        <v>263</v>
      </c>
      <c r="C36" s="95" t="s">
        <v>62</v>
      </c>
      <c r="J36" s="100" t="s">
        <v>264</v>
      </c>
    </row>
    <row r="37" spans="1:10" x14ac:dyDescent="0.2">
      <c r="B37" s="89" t="s">
        <v>265</v>
      </c>
      <c r="C37" s="95" t="s">
        <v>62</v>
      </c>
      <c r="J37" s="100" t="s">
        <v>266</v>
      </c>
    </row>
    <row r="38" spans="1:10" x14ac:dyDescent="0.2">
      <c r="B38" s="89" t="s">
        <v>267</v>
      </c>
      <c r="C38" s="95" t="s">
        <v>62</v>
      </c>
      <c r="D38" s="101"/>
      <c r="E38" s="101"/>
      <c r="G38" s="104"/>
      <c r="H38" s="104"/>
      <c r="J38" s="100" t="s">
        <v>268</v>
      </c>
    </row>
    <row r="39" spans="1:10" x14ac:dyDescent="0.2">
      <c r="B39" s="89" t="s">
        <v>269</v>
      </c>
      <c r="C39" s="95" t="s">
        <v>62</v>
      </c>
      <c r="D39" s="90"/>
      <c r="E39" s="90"/>
      <c r="G39" s="104"/>
      <c r="H39" s="104"/>
      <c r="J39" s="100" t="s">
        <v>270</v>
      </c>
    </row>
    <row r="41" spans="1:10" x14ac:dyDescent="0.2">
      <c r="A41" s="99" t="s">
        <v>138</v>
      </c>
      <c r="B41" s="68" t="s">
        <v>271</v>
      </c>
    </row>
    <row r="42" spans="1:10" x14ac:dyDescent="0.2">
      <c r="B42" s="89" t="s">
        <v>272</v>
      </c>
      <c r="C42" s="95" t="s">
        <v>62</v>
      </c>
      <c r="D42" s="105">
        <f>+Model!V40/Model!V11*360</f>
        <v>49.316919679823343</v>
      </c>
      <c r="E42" s="105">
        <f>+Model!W40/Model!W11*360</f>
        <v>51.432779641600533</v>
      </c>
      <c r="F42" s="105">
        <f>+Model!X40/Model!X11*360</f>
        <v>41.140561352603093</v>
      </c>
      <c r="G42" s="105">
        <f>+Model!Y40/Model!Y11*360</f>
        <v>38.215934089634644</v>
      </c>
      <c r="H42" s="105">
        <f>+Model!Z40/Model!Z11*360</f>
        <v>36.477770404777701</v>
      </c>
      <c r="J42" s="100" t="s">
        <v>273</v>
      </c>
    </row>
    <row r="43" spans="1:10" x14ac:dyDescent="0.2">
      <c r="B43" s="89" t="s">
        <v>274</v>
      </c>
      <c r="C43" s="95" t="s">
        <v>62</v>
      </c>
      <c r="D43" s="105">
        <f>+Model!V51/Model!V11*360</f>
        <v>22.823682031465637</v>
      </c>
      <c r="E43" s="105">
        <f>+Model!W51/Model!W11*360</f>
        <v>32.697815236069061</v>
      </c>
      <c r="F43" s="105">
        <f>+Model!X51/Model!X11*360</f>
        <v>13.077395234640925</v>
      </c>
      <c r="G43" s="105">
        <f>+Model!Y51/Model!Y11*360</f>
        <v>25.855152482422461</v>
      </c>
      <c r="H43" s="105">
        <f>+Model!Z51/Model!Z11*360</f>
        <v>18.48971466489715</v>
      </c>
      <c r="J43" s="100" t="s">
        <v>275</v>
      </c>
    </row>
    <row r="44" spans="1:10" x14ac:dyDescent="0.2">
      <c r="B44" s="89" t="s">
        <v>276</v>
      </c>
      <c r="C44" s="95" t="s">
        <v>62</v>
      </c>
      <c r="D44" s="103">
        <f>+Model!V41/Model!V50</f>
        <v>0.10851216109662157</v>
      </c>
      <c r="E44" s="103">
        <f>+Model!W41/Model!W50</f>
        <v>0.28621038923455361</v>
      </c>
      <c r="F44" s="103">
        <f>+Model!X41/Model!X50</f>
        <v>0.22379158819836784</v>
      </c>
      <c r="G44" s="103">
        <f>+Model!Y41/Model!Y50</f>
        <v>0.17638643440208701</v>
      </c>
      <c r="H44" s="103">
        <f>+Model!Z41/Model!Z50</f>
        <v>0.1480514900370305</v>
      </c>
      <c r="J44" s="100" t="s">
        <v>277</v>
      </c>
    </row>
    <row r="45" spans="1:10" x14ac:dyDescent="0.2">
      <c r="B45" s="89" t="s">
        <v>278</v>
      </c>
      <c r="C45" s="95" t="s">
        <v>62</v>
      </c>
      <c r="D45" s="105">
        <f>+Model!V12/Model!V41</f>
        <v>2.1933550954701966</v>
      </c>
      <c r="E45" s="105">
        <f>+Model!W12/Model!W41</f>
        <v>1.3579373104145602</v>
      </c>
      <c r="F45" s="105">
        <f>+Model!X12/Model!X41</f>
        <v>2.0330995792426365</v>
      </c>
      <c r="G45" s="105">
        <f>+Model!Y12/Model!Y41</f>
        <v>2.1770038167938934</v>
      </c>
      <c r="H45" s="105">
        <f>+Model!Z12/Model!Z41</f>
        <v>2.6686517389232964</v>
      </c>
      <c r="J45" s="100" t="s">
        <v>279</v>
      </c>
    </row>
    <row r="46" spans="1:10" x14ac:dyDescent="0.2">
      <c r="B46" s="89" t="s">
        <v>280</v>
      </c>
      <c r="C46" s="95" t="s">
        <v>62</v>
      </c>
      <c r="D46" s="105">
        <f t="shared" ref="D46:F46" si="8">360/D45</f>
        <v>164.1321100917431</v>
      </c>
      <c r="E46" s="105">
        <f t="shared" si="8"/>
        <v>265.10796723752793</v>
      </c>
      <c r="F46" s="105">
        <f t="shared" si="8"/>
        <v>177.06953642384107</v>
      </c>
      <c r="G46" s="105">
        <f>360/G45</f>
        <v>165.36489151873764</v>
      </c>
      <c r="H46" s="105">
        <f>360/H45</f>
        <v>134.8995804695171</v>
      </c>
      <c r="J46" s="100" t="s">
        <v>281</v>
      </c>
    </row>
    <row r="47" spans="1:10" x14ac:dyDescent="0.2">
      <c r="B47" s="89" t="s">
        <v>282</v>
      </c>
      <c r="C47" s="95" t="s">
        <v>62</v>
      </c>
      <c r="D47" s="105">
        <f t="shared" ref="D47:F47" si="9">+D42+D46-D43</f>
        <v>190.62534774010081</v>
      </c>
      <c r="E47" s="105">
        <f t="shared" si="9"/>
        <v>283.84293164305939</v>
      </c>
      <c r="F47" s="105">
        <f t="shared" si="9"/>
        <v>205.13270254180324</v>
      </c>
      <c r="G47" s="105">
        <f>+G42+G46-G43</f>
        <v>177.72567312594981</v>
      </c>
      <c r="H47" s="105">
        <f>+H42+H46-H43</f>
        <v>152.88763620939764</v>
      </c>
      <c r="J47" s="100" t="s">
        <v>283</v>
      </c>
    </row>
    <row r="49" spans="1:10" x14ac:dyDescent="0.2">
      <c r="A49" s="99" t="s">
        <v>138</v>
      </c>
      <c r="B49" s="68" t="s">
        <v>284</v>
      </c>
    </row>
    <row r="50" spans="1:10" x14ac:dyDescent="0.2">
      <c r="B50" s="68" t="s">
        <v>285</v>
      </c>
      <c r="C50" s="106"/>
      <c r="D50" s="106"/>
      <c r="E50" s="106"/>
    </row>
    <row r="51" spans="1:10" x14ac:dyDescent="0.2">
      <c r="B51" s="89" t="s">
        <v>286</v>
      </c>
      <c r="C51" s="95" t="s">
        <v>62</v>
      </c>
      <c r="D51" s="105">
        <f>+D6/Model!V21</f>
        <v>-51.030675538331387</v>
      </c>
      <c r="E51" s="105">
        <f>+E6/Model!W21</f>
        <v>70.962392447183831</v>
      </c>
      <c r="F51" s="105">
        <f>+F6/Model!X21</f>
        <v>81.377660102713648</v>
      </c>
      <c r="G51" s="105">
        <f>+G6/Model!Y21</f>
        <v>56.283026724132881</v>
      </c>
      <c r="H51" s="105">
        <f>+H6/Model!Z21</f>
        <v>50.852496168642588</v>
      </c>
      <c r="J51" s="100" t="s">
        <v>287</v>
      </c>
    </row>
    <row r="52" spans="1:10" x14ac:dyDescent="0.2">
      <c r="B52" s="89" t="s">
        <v>288</v>
      </c>
      <c r="C52" s="95" t="s">
        <v>62</v>
      </c>
      <c r="D52" s="95" t="s">
        <v>62</v>
      </c>
      <c r="E52" s="105">
        <f>+E51/((Model!W21/Model!V21-1)*100)</f>
        <v>-0.52996047365119314</v>
      </c>
      <c r="F52" s="105">
        <f>+F51/((Model!X21/Model!W21-1)*100)</f>
        <v>2.1440598118386132</v>
      </c>
      <c r="G52" s="105">
        <f>+G51/((Model!Y21/Model!X21-1)*100)</f>
        <v>0.27553068433216271</v>
      </c>
      <c r="H52" s="105">
        <f>+H51/((Model!Z21/Model!Y21-1)*100)</f>
        <v>-3.1990843044273247</v>
      </c>
      <c r="J52" s="100" t="s">
        <v>289</v>
      </c>
    </row>
    <row r="53" spans="1:10" x14ac:dyDescent="0.2">
      <c r="B53" s="89" t="s">
        <v>290</v>
      </c>
      <c r="C53" s="95" t="s">
        <v>62</v>
      </c>
      <c r="D53" s="105">
        <f>+KPIs!D6/Model!V50</f>
        <v>7.0240561061232079</v>
      </c>
      <c r="E53" s="105">
        <f>+KPIs!E6/Model!W50</f>
        <v>2.9623282044584718</v>
      </c>
      <c r="F53" s="105">
        <f>+KPIs!F6/Model!X50</f>
        <v>4.0663287785160076</v>
      </c>
      <c r="G53" s="105">
        <f>+KPIs!G6/Model!Y50</f>
        <v>5.7358196888769664</v>
      </c>
      <c r="H53" s="105">
        <f>+KPIs!H6/Model!Z50</f>
        <v>3.653201717352319</v>
      </c>
      <c r="J53" s="100" t="s">
        <v>291</v>
      </c>
    </row>
    <row r="54" spans="1:10" x14ac:dyDescent="0.2">
      <c r="B54" s="89" t="s">
        <v>292</v>
      </c>
      <c r="C54" s="95" t="s">
        <v>62</v>
      </c>
      <c r="D54" s="105">
        <f>+D6/Model!V84</f>
        <v>512.53516916228057</v>
      </c>
      <c r="E54" s="105">
        <f>+E6/Model!W84</f>
        <v>-18.037577287235678</v>
      </c>
      <c r="F54" s="105">
        <f>+F6/Model!X84</f>
        <v>27.896906736330752</v>
      </c>
      <c r="G54" s="105">
        <f>+G6/Model!Y84</f>
        <v>26.6922832829156</v>
      </c>
      <c r="H54" s="105">
        <f>+H6/Model!Z84</f>
        <v>28.806044131124871</v>
      </c>
      <c r="J54" s="100" t="s">
        <v>293</v>
      </c>
    </row>
    <row r="55" spans="1:10" x14ac:dyDescent="0.2">
      <c r="B55" s="89" t="s">
        <v>294</v>
      </c>
      <c r="C55" s="95" t="s">
        <v>62</v>
      </c>
      <c r="D55" s="105">
        <f>+D6/Model!V11</f>
        <v>11.98650424596191</v>
      </c>
      <c r="E55" s="105">
        <f>+E6/Model!W11</f>
        <v>3.3504050766733493</v>
      </c>
      <c r="F55" s="105">
        <f>+F6/Model!X11</f>
        <v>3.6145648926823286</v>
      </c>
      <c r="G55" s="105">
        <f>+G6/Model!Y11</f>
        <v>5.8800625771405759</v>
      </c>
      <c r="H55" s="105">
        <f>+H6/Model!Z11</f>
        <v>3.4368458757639351</v>
      </c>
      <c r="J55" s="100" t="s">
        <v>295</v>
      </c>
    </row>
    <row r="56" spans="1:10" x14ac:dyDescent="0.2">
      <c r="B56" s="68" t="s">
        <v>296</v>
      </c>
      <c r="G56" s="105"/>
      <c r="H56" s="105"/>
    </row>
    <row r="57" spans="1:10" x14ac:dyDescent="0.2">
      <c r="B57" s="89" t="s">
        <v>297</v>
      </c>
      <c r="C57" s="95" t="s">
        <v>62</v>
      </c>
      <c r="D57" s="105">
        <f>+D8/(Model!V15+Model!V71)</f>
        <v>-73.686863316746766</v>
      </c>
      <c r="E57" s="105">
        <f>+E8/(Model!W15+Model!W71)</f>
        <v>28.804030754391651</v>
      </c>
      <c r="F57" s="105">
        <f>+F8/(Model!X15+Model!X71)</f>
        <v>24.60057807575857</v>
      </c>
      <c r="G57" s="105">
        <f>+G8/(Model!Y15+Model!Y71)</f>
        <v>40.541439647532385</v>
      </c>
      <c r="H57" s="105">
        <f>+H8/(Model!Z15+Model!Z71)</f>
        <v>18.740641168587707</v>
      </c>
      <c r="J57" s="100" t="s">
        <v>298</v>
      </c>
    </row>
    <row r="58" spans="1:10" x14ac:dyDescent="0.2">
      <c r="B58" s="89" t="s">
        <v>299</v>
      </c>
      <c r="C58" s="95" t="s">
        <v>62</v>
      </c>
      <c r="D58" s="105">
        <f>+D8/Model!V15</f>
        <v>-57.282005504068053</v>
      </c>
      <c r="E58" s="105">
        <f>+E8/Model!W15</f>
        <v>44.509166206844931</v>
      </c>
      <c r="F58" s="105">
        <f>+F8/Model!X15</f>
        <v>33.455694643239056</v>
      </c>
      <c r="G58" s="105">
        <f>+G8/Model!Y15</f>
        <v>60.591721383380538</v>
      </c>
      <c r="H58" s="105">
        <f>+H8/Model!Z15</f>
        <v>25.072006018436745</v>
      </c>
      <c r="J58" s="100" t="s">
        <v>300</v>
      </c>
    </row>
    <row r="59" spans="1:10" x14ac:dyDescent="0.2">
      <c r="B59" s="89" t="s">
        <v>301</v>
      </c>
      <c r="C59" s="95" t="s">
        <v>62</v>
      </c>
      <c r="D59" s="95" t="s">
        <v>62</v>
      </c>
      <c r="E59" s="107">
        <f t="shared" ref="E59:F59" si="10">+E8/E17</f>
        <v>52.332621990896818</v>
      </c>
      <c r="F59" s="107">
        <f t="shared" si="10"/>
        <v>35.337779204943189</v>
      </c>
      <c r="G59" s="107">
        <f>+G8/G17</f>
        <v>-136.92748468528248</v>
      </c>
      <c r="H59" s="107">
        <f>+H8/H17</f>
        <v>37.304789488258564</v>
      </c>
      <c r="J59" s="100" t="s">
        <v>302</v>
      </c>
    </row>
    <row r="60" spans="1:10" x14ac:dyDescent="0.2">
      <c r="B60" s="89" t="s">
        <v>303</v>
      </c>
      <c r="C60" s="95" t="s">
        <v>62</v>
      </c>
      <c r="D60" s="105">
        <f>+D8/Model!V11</f>
        <v>11.154417577455147</v>
      </c>
      <c r="E60" s="105">
        <f>+E8/Model!W11</f>
        <v>3.0993617905265527</v>
      </c>
      <c r="F60" s="105">
        <f>+F8/Model!X11</f>
        <v>3.3659180537782496</v>
      </c>
      <c r="G60" s="105">
        <f>+G8/Model!Y11</f>
        <v>5.527821710988654</v>
      </c>
      <c r="H60" s="105">
        <f>+H8/Model!Z11</f>
        <v>3.1369122327645989</v>
      </c>
      <c r="J60" s="100" t="s">
        <v>304</v>
      </c>
    </row>
  </sheetData>
  <hyperlinks>
    <hyperlink ref="A1" location="Main!A1" display="Main" xr:uid="{F8A7C691-6583-4C70-87CB-BE1B5769EE9B}"/>
  </hyperlink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B029-70DC-4EC2-87DF-13B06177668A}">
  <dimension ref="A1:I48"/>
  <sheetViews>
    <sheetView showGridLines="0" workbookViewId="0">
      <selection activeCell="E11" sqref="E11"/>
    </sheetView>
  </sheetViews>
  <sheetFormatPr defaultRowHeight="15" x14ac:dyDescent="0.25"/>
  <cols>
    <col min="1" max="1" width="5.42578125" bestFit="1" customWidth="1"/>
  </cols>
  <sheetData>
    <row r="1" spans="1:8" x14ac:dyDescent="0.25">
      <c r="A1" s="1" t="s">
        <v>9</v>
      </c>
    </row>
    <row r="3" spans="1:8" x14ac:dyDescent="0.25">
      <c r="B3" s="17" t="s">
        <v>181</v>
      </c>
      <c r="C3" s="17"/>
      <c r="D3" s="17"/>
      <c r="E3" s="17"/>
      <c r="F3" s="17"/>
    </row>
    <row r="4" spans="1:8" x14ac:dyDescent="0.25">
      <c r="A4" s="57" t="s">
        <v>138</v>
      </c>
      <c r="B4" s="2" t="s">
        <v>182</v>
      </c>
    </row>
    <row r="5" spans="1:8" x14ac:dyDescent="0.25">
      <c r="B5" s="2" t="s">
        <v>183</v>
      </c>
    </row>
    <row r="6" spans="1:8" x14ac:dyDescent="0.25">
      <c r="B6" t="s">
        <v>184</v>
      </c>
      <c r="H6" s="44" t="s">
        <v>185</v>
      </c>
    </row>
    <row r="7" spans="1:8" x14ac:dyDescent="0.25">
      <c r="B7" t="s">
        <v>186</v>
      </c>
      <c r="H7" s="44" t="s">
        <v>187</v>
      </c>
    </row>
    <row r="8" spans="1:8" x14ac:dyDescent="0.25">
      <c r="B8" t="s">
        <v>183</v>
      </c>
      <c r="F8">
        <f>F6+F7</f>
        <v>0</v>
      </c>
      <c r="H8" s="44" t="s">
        <v>188</v>
      </c>
    </row>
    <row r="10" spans="1:8" x14ac:dyDescent="0.25">
      <c r="A10" s="57" t="s">
        <v>138</v>
      </c>
      <c r="B10" s="2" t="s">
        <v>189</v>
      </c>
    </row>
    <row r="11" spans="1:8" x14ac:dyDescent="0.25">
      <c r="B11" t="s">
        <v>190</v>
      </c>
      <c r="H11" s="44" t="s">
        <v>191</v>
      </c>
    </row>
    <row r="12" spans="1:8" x14ac:dyDescent="0.25">
      <c r="B12" t="s">
        <v>192</v>
      </c>
      <c r="H12" s="44" t="s">
        <v>193</v>
      </c>
    </row>
    <row r="13" spans="1:8" x14ac:dyDescent="0.25">
      <c r="B13" t="s">
        <v>194</v>
      </c>
      <c r="H13" s="44" t="s">
        <v>195</v>
      </c>
    </row>
    <row r="14" spans="1:8" x14ac:dyDescent="0.25">
      <c r="B14" t="s">
        <v>196</v>
      </c>
      <c r="H14" s="44" t="s">
        <v>197</v>
      </c>
    </row>
    <row r="15" spans="1:8" x14ac:dyDescent="0.25">
      <c r="B15" t="s">
        <v>198</v>
      </c>
      <c r="H15" s="44" t="s">
        <v>199</v>
      </c>
    </row>
    <row r="17" spans="1:8" x14ac:dyDescent="0.25">
      <c r="A17" s="57" t="s">
        <v>138</v>
      </c>
      <c r="B17" s="2" t="s">
        <v>200</v>
      </c>
    </row>
    <row r="18" spans="1:8" x14ac:dyDescent="0.25">
      <c r="B18" t="s">
        <v>201</v>
      </c>
      <c r="H18" s="44" t="s">
        <v>202</v>
      </c>
    </row>
    <row r="19" spans="1:8" x14ac:dyDescent="0.25">
      <c r="B19" t="s">
        <v>183</v>
      </c>
    </row>
    <row r="20" spans="1:8" x14ac:dyDescent="0.25">
      <c r="B20" t="s">
        <v>200</v>
      </c>
      <c r="F20">
        <f>F18-F19</f>
        <v>0</v>
      </c>
    </row>
    <row r="22" spans="1:8" x14ac:dyDescent="0.25">
      <c r="A22" s="57" t="s">
        <v>138</v>
      </c>
      <c r="B22" s="58" t="s">
        <v>182</v>
      </c>
      <c r="C22" s="47"/>
      <c r="D22" s="47"/>
      <c r="E22" s="47"/>
      <c r="F22" s="59">
        <f>F8+F15*F20</f>
        <v>0</v>
      </c>
      <c r="H22" s="44" t="s">
        <v>203</v>
      </c>
    </row>
    <row r="25" spans="1:8" x14ac:dyDescent="0.25">
      <c r="A25" s="57" t="s">
        <v>138</v>
      </c>
      <c r="B25" s="2" t="s">
        <v>204</v>
      </c>
    </row>
    <row r="26" spans="1:8" x14ac:dyDescent="0.25">
      <c r="B26" t="s">
        <v>205</v>
      </c>
      <c r="H26" s="44" t="s">
        <v>206</v>
      </c>
    </row>
    <row r="27" spans="1:8" x14ac:dyDescent="0.25">
      <c r="B27" t="s">
        <v>207</v>
      </c>
    </row>
    <row r="28" spans="1:8" x14ac:dyDescent="0.25">
      <c r="B28" t="s">
        <v>183</v>
      </c>
    </row>
    <row r="29" spans="1:8" x14ac:dyDescent="0.25">
      <c r="B29" t="s">
        <v>208</v>
      </c>
    </row>
    <row r="30" spans="1:8" x14ac:dyDescent="0.25">
      <c r="B30" t="s">
        <v>209</v>
      </c>
    </row>
    <row r="32" spans="1:8" x14ac:dyDescent="0.25">
      <c r="A32" s="57" t="s">
        <v>138</v>
      </c>
      <c r="B32" s="58" t="s">
        <v>204</v>
      </c>
      <c r="C32" s="47"/>
      <c r="D32" s="47"/>
      <c r="E32" s="47"/>
      <c r="F32" s="59">
        <f>F28+F29+F30</f>
        <v>0</v>
      </c>
    </row>
    <row r="34" spans="1:9" x14ac:dyDescent="0.25">
      <c r="A34" s="57" t="s">
        <v>138</v>
      </c>
      <c r="B34" s="2" t="s">
        <v>210</v>
      </c>
    </row>
    <row r="35" spans="1:9" x14ac:dyDescent="0.25">
      <c r="B35" t="s">
        <v>211</v>
      </c>
    </row>
    <row r="36" spans="1:9" x14ac:dyDescent="0.25">
      <c r="B36" t="s">
        <v>212</v>
      </c>
    </row>
    <row r="37" spans="1:9" x14ac:dyDescent="0.25">
      <c r="B37" t="s">
        <v>213</v>
      </c>
      <c r="F37">
        <f>F35+F36</f>
        <v>0</v>
      </c>
    </row>
    <row r="39" spans="1:9" x14ac:dyDescent="0.25">
      <c r="B39" t="s">
        <v>214</v>
      </c>
    </row>
    <row r="41" spans="1:9" x14ac:dyDescent="0.25">
      <c r="A41" s="57" t="s">
        <v>138</v>
      </c>
      <c r="B41" s="58" t="s">
        <v>149</v>
      </c>
      <c r="C41" s="47"/>
      <c r="D41" s="47"/>
      <c r="E41" s="47"/>
      <c r="F41" s="59" t="e">
        <f>(F32*(F35/F37)*(1-F39))+((F36/F38)*F22)</f>
        <v>#DIV/0!</v>
      </c>
      <c r="H41" s="44" t="s">
        <v>215</v>
      </c>
    </row>
    <row r="47" spans="1:9" x14ac:dyDescent="0.25">
      <c r="I47" t="e">
        <f>SLOPE(H48:H52,K48:K52)</f>
        <v>#DIV/0!</v>
      </c>
    </row>
    <row r="48" spans="1:9" x14ac:dyDescent="0.25">
      <c r="H48" t="s">
        <v>216</v>
      </c>
    </row>
  </sheetData>
  <hyperlinks>
    <hyperlink ref="A1" location="Main!A1" display="Main" xr:uid="{48F74605-D398-461D-ACF7-13C61D4981F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F5F4-B5B2-4F86-B76F-248870276DDF}">
  <dimension ref="A1:AA76"/>
  <sheetViews>
    <sheetView showGridLines="0" workbookViewId="0">
      <selection activeCell="N28" sqref="N28"/>
    </sheetView>
  </sheetViews>
  <sheetFormatPr defaultRowHeight="15" x14ac:dyDescent="0.25"/>
  <cols>
    <col min="1" max="1" width="5.42578125" bestFit="1" customWidth="1"/>
    <col min="5" max="5" width="10.140625" bestFit="1" customWidth="1"/>
  </cols>
  <sheetData>
    <row r="1" spans="1:27" ht="19.5" x14ac:dyDescent="0.3">
      <c r="A1" s="7" t="s">
        <v>9</v>
      </c>
      <c r="B1" s="8" t="s">
        <v>180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x14ac:dyDescent="0.25">
      <c r="E2" s="9"/>
    </row>
    <row r="3" spans="1:27" x14ac:dyDescent="0.25">
      <c r="B3" t="s">
        <v>131</v>
      </c>
      <c r="E3" s="10" t="s">
        <v>8</v>
      </c>
      <c r="G3" t="s">
        <v>132</v>
      </c>
      <c r="J3" s="10">
        <f>+Main!H3</f>
        <v>26.2225</v>
      </c>
      <c r="L3" t="s">
        <v>132</v>
      </c>
      <c r="O3" s="10">
        <f>+J3</f>
        <v>26.2225</v>
      </c>
    </row>
    <row r="4" spans="1:27" x14ac:dyDescent="0.25">
      <c r="B4" t="s">
        <v>133</v>
      </c>
      <c r="E4" s="11">
        <f ca="1">+TODAY()</f>
        <v>46245</v>
      </c>
      <c r="G4" t="s">
        <v>134</v>
      </c>
      <c r="J4" s="12">
        <f ca="1">V62</f>
        <v>100.63137066955122</v>
      </c>
      <c r="L4" t="s">
        <v>135</v>
      </c>
      <c r="O4" s="13">
        <f>+J15+O15+T15</f>
        <v>0</v>
      </c>
    </row>
    <row r="5" spans="1:27" x14ac:dyDescent="0.25">
      <c r="B5" t="s">
        <v>136</v>
      </c>
      <c r="E5" s="11">
        <v>46022</v>
      </c>
      <c r="G5" t="s">
        <v>137</v>
      </c>
      <c r="J5" s="15">
        <f ca="1">J4/J3-1</f>
        <v>2.8375963645552948</v>
      </c>
      <c r="L5" t="s">
        <v>137</v>
      </c>
      <c r="O5" s="15">
        <f>O4/O3-1</f>
        <v>-1</v>
      </c>
    </row>
    <row r="7" spans="1:27" x14ac:dyDescent="0.25">
      <c r="A7" s="16" t="s">
        <v>138</v>
      </c>
      <c r="B7" s="17" t="s">
        <v>139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7" x14ac:dyDescent="0.25">
      <c r="A8" s="16"/>
    </row>
    <row r="9" spans="1:27" x14ac:dyDescent="0.25">
      <c r="A9" s="16"/>
      <c r="B9" s="18" t="s">
        <v>140</v>
      </c>
      <c r="C9" s="19"/>
      <c r="D9" s="19"/>
      <c r="E9" s="19"/>
      <c r="G9" s="18" t="s">
        <v>141</v>
      </c>
      <c r="H9" s="18"/>
      <c r="I9" s="19"/>
      <c r="J9" s="19"/>
      <c r="L9" s="18" t="s">
        <v>142</v>
      </c>
      <c r="M9" s="19"/>
      <c r="N9" s="19"/>
      <c r="O9" s="19"/>
      <c r="Q9" s="18" t="s">
        <v>143</v>
      </c>
      <c r="R9" s="19"/>
      <c r="S9" s="19"/>
      <c r="T9" s="19"/>
    </row>
    <row r="10" spans="1:27" x14ac:dyDescent="0.25">
      <c r="A10" s="16"/>
      <c r="B10" s="20" t="s">
        <v>144</v>
      </c>
      <c r="G10" s="20" t="s">
        <v>144</v>
      </c>
      <c r="H10" s="20"/>
      <c r="I10" s="20" t="s">
        <v>145</v>
      </c>
      <c r="J10" s="20" t="s">
        <v>146</v>
      </c>
      <c r="L10" s="20" t="s">
        <v>144</v>
      </c>
      <c r="N10" s="20" t="s">
        <v>145</v>
      </c>
      <c r="O10" s="20" t="s">
        <v>146</v>
      </c>
      <c r="Q10" s="20" t="s">
        <v>144</v>
      </c>
      <c r="S10" s="20" t="s">
        <v>145</v>
      </c>
      <c r="T10" s="20" t="s">
        <v>146</v>
      </c>
    </row>
    <row r="11" spans="1:27" x14ac:dyDescent="0.25">
      <c r="B11" t="s">
        <v>21</v>
      </c>
      <c r="E11" s="14">
        <v>2</v>
      </c>
      <c r="G11" t="s">
        <v>147</v>
      </c>
      <c r="K11" s="3"/>
      <c r="L11" t="s">
        <v>147</v>
      </c>
      <c r="O11" s="60">
        <v>-0.02</v>
      </c>
      <c r="Q11" t="s">
        <v>147</v>
      </c>
    </row>
    <row r="12" spans="1:27" x14ac:dyDescent="0.25">
      <c r="B12" t="s">
        <v>148</v>
      </c>
      <c r="E12" s="14">
        <v>2</v>
      </c>
      <c r="G12" t="s">
        <v>148</v>
      </c>
      <c r="L12" t="s">
        <v>148</v>
      </c>
      <c r="O12" s="60">
        <v>0.1</v>
      </c>
      <c r="Q12" t="s">
        <v>148</v>
      </c>
    </row>
    <row r="13" spans="1:27" x14ac:dyDescent="0.25">
      <c r="B13" t="s">
        <v>149</v>
      </c>
      <c r="E13" s="14">
        <v>2</v>
      </c>
      <c r="G13" t="s">
        <v>150</v>
      </c>
      <c r="J13" s="21"/>
      <c r="L13" t="s">
        <v>150</v>
      </c>
      <c r="O13" s="21"/>
      <c r="Q13" t="s">
        <v>150</v>
      </c>
      <c r="T13" s="21"/>
    </row>
    <row r="14" spans="1:27" x14ac:dyDescent="0.25">
      <c r="B14" t="s">
        <v>151</v>
      </c>
      <c r="E14" s="14">
        <v>2</v>
      </c>
      <c r="G14" t="s">
        <v>152</v>
      </c>
      <c r="J14" s="21"/>
      <c r="L14" t="s">
        <v>152</v>
      </c>
      <c r="O14" s="21"/>
      <c r="Q14" t="s">
        <v>152</v>
      </c>
      <c r="T14" s="21"/>
    </row>
    <row r="15" spans="1:27" x14ac:dyDescent="0.25">
      <c r="B15" t="s">
        <v>153</v>
      </c>
      <c r="E15" s="14">
        <v>2</v>
      </c>
      <c r="G15" t="s">
        <v>154</v>
      </c>
      <c r="J15" s="21"/>
      <c r="L15" t="s">
        <v>154</v>
      </c>
      <c r="O15" s="21"/>
      <c r="Q15" t="s">
        <v>154</v>
      </c>
      <c r="T15" s="21"/>
    </row>
    <row r="17" spans="1:22" x14ac:dyDescent="0.25">
      <c r="B17" s="20" t="s">
        <v>155</v>
      </c>
    </row>
    <row r="18" spans="1:22" x14ac:dyDescent="0.25">
      <c r="B18" t="s">
        <v>149</v>
      </c>
      <c r="E18" s="21">
        <f>CHOOSE(E13,J18,O18,T18)</f>
        <v>0.1</v>
      </c>
      <c r="G18" t="s">
        <v>149</v>
      </c>
      <c r="J18" s="21"/>
      <c r="L18" t="s">
        <v>149</v>
      </c>
      <c r="O18" s="21">
        <v>0.1</v>
      </c>
      <c r="Q18" t="s">
        <v>149</v>
      </c>
      <c r="T18" s="21"/>
    </row>
    <row r="19" spans="1:22" x14ac:dyDescent="0.25">
      <c r="B19" t="s">
        <v>151</v>
      </c>
      <c r="E19" s="21">
        <f>CHOOSE(E14,J19,O19,T19)</f>
        <v>0.03</v>
      </c>
      <c r="G19" t="s">
        <v>151</v>
      </c>
      <c r="J19" s="21"/>
      <c r="L19" t="s">
        <v>151</v>
      </c>
      <c r="O19" s="21">
        <v>0.03</v>
      </c>
      <c r="Q19" t="s">
        <v>151</v>
      </c>
      <c r="T19" s="21"/>
    </row>
    <row r="20" spans="1:22" x14ac:dyDescent="0.25">
      <c r="B20" t="s">
        <v>156</v>
      </c>
      <c r="E20" s="21">
        <f>CHOOSE(E15,J20,O20,T20)</f>
        <v>0.15</v>
      </c>
      <c r="G20" t="s">
        <v>156</v>
      </c>
      <c r="J20" s="21"/>
      <c r="L20" t="s">
        <v>156</v>
      </c>
      <c r="O20" s="21">
        <v>0.15</v>
      </c>
      <c r="Q20" t="s">
        <v>156</v>
      </c>
      <c r="T20" s="21"/>
    </row>
    <row r="24" spans="1:22" x14ac:dyDescent="0.25">
      <c r="A24" s="16" t="s">
        <v>138</v>
      </c>
      <c r="B24" s="17" t="s">
        <v>157</v>
      </c>
      <c r="C24" s="17"/>
      <c r="D24" s="17"/>
      <c r="E24" s="17"/>
      <c r="F24" s="17"/>
      <c r="G24" s="22">
        <v>19</v>
      </c>
      <c r="H24" s="22">
        <f>G24+1</f>
        <v>20</v>
      </c>
      <c r="I24" s="22">
        <f t="shared" ref="I24:V24" si="0">H24+1</f>
        <v>21</v>
      </c>
      <c r="J24" s="22">
        <f t="shared" si="0"/>
        <v>22</v>
      </c>
      <c r="K24" s="22">
        <f t="shared" si="0"/>
        <v>23</v>
      </c>
      <c r="L24" s="22">
        <f t="shared" si="0"/>
        <v>24</v>
      </c>
      <c r="M24" s="22">
        <f t="shared" si="0"/>
        <v>25</v>
      </c>
      <c r="N24" s="22">
        <f t="shared" si="0"/>
        <v>26</v>
      </c>
      <c r="O24" s="22">
        <f t="shared" si="0"/>
        <v>27</v>
      </c>
      <c r="P24" s="22">
        <f t="shared" si="0"/>
        <v>28</v>
      </c>
      <c r="Q24" s="22">
        <f t="shared" si="0"/>
        <v>29</v>
      </c>
      <c r="R24" s="22">
        <f t="shared" si="0"/>
        <v>30</v>
      </c>
      <c r="S24" s="22">
        <f t="shared" si="0"/>
        <v>31</v>
      </c>
      <c r="T24" s="22">
        <f t="shared" si="0"/>
        <v>32</v>
      </c>
      <c r="U24" s="22">
        <f t="shared" si="0"/>
        <v>33</v>
      </c>
      <c r="V24" s="22">
        <f t="shared" si="0"/>
        <v>34</v>
      </c>
    </row>
    <row r="25" spans="1:22" x14ac:dyDescent="0.25">
      <c r="B25" t="s">
        <v>147</v>
      </c>
      <c r="G25" s="61" t="s">
        <v>62</v>
      </c>
      <c r="H25" s="23">
        <f>+Model!U11</f>
        <v>425.29</v>
      </c>
      <c r="I25" s="23">
        <f>+Model!V11</f>
        <v>724.6</v>
      </c>
      <c r="J25" s="23">
        <f>+Model!W11</f>
        <v>1222.0999999999999</v>
      </c>
      <c r="K25" s="23">
        <f>+Model!X11</f>
        <v>1792.1</v>
      </c>
      <c r="L25" s="23">
        <f>+Model!Y11</f>
        <v>2318.3000000000002</v>
      </c>
      <c r="M25" s="23">
        <f ca="1">L25*(1+M26)</f>
        <v>2619.6790000000001</v>
      </c>
      <c r="N25" s="23">
        <f t="shared" ref="N25:V25" ca="1" si="1">M25*(1+N26)</f>
        <v>3274.5987500000001</v>
      </c>
      <c r="O25" s="23">
        <f t="shared" ca="1" si="1"/>
        <v>4076.8754437500006</v>
      </c>
      <c r="P25" s="23">
        <f t="shared" ca="1" si="1"/>
        <v>5055.7332377943758</v>
      </c>
      <c r="Q25" s="23">
        <f t="shared" ca="1" si="1"/>
        <v>6245.3371571809166</v>
      </c>
      <c r="R25" s="23">
        <f t="shared" ca="1" si="1"/>
        <v>7685.4621927430644</v>
      </c>
      <c r="S25" s="23">
        <f t="shared" ca="1" si="1"/>
        <v>8838.2815216545241</v>
      </c>
      <c r="T25" s="23">
        <f t="shared" ca="1" si="1"/>
        <v>10164.023749902703</v>
      </c>
      <c r="U25" s="23">
        <f t="shared" ca="1" si="1"/>
        <v>11180.426124892974</v>
      </c>
      <c r="V25" s="23">
        <f t="shared" ca="1" si="1"/>
        <v>11739.447431137623</v>
      </c>
    </row>
    <row r="26" spans="1:22" x14ac:dyDescent="0.25">
      <c r="B26" s="24" t="s">
        <v>158</v>
      </c>
      <c r="C26" s="25"/>
      <c r="G26" s="61" t="s">
        <v>62</v>
      </c>
      <c r="H26" s="61" t="s">
        <v>62</v>
      </c>
      <c r="I26" s="27">
        <f t="shared" ref="I26:L26" si="2">I25/H25-1</f>
        <v>0.70377859813303867</v>
      </c>
      <c r="J26" s="27">
        <f t="shared" si="2"/>
        <v>0.68658570245652761</v>
      </c>
      <c r="K26" s="27">
        <f t="shared" si="2"/>
        <v>0.46641027739137564</v>
      </c>
      <c r="L26" s="27">
        <f t="shared" si="2"/>
        <v>0.29362200770046321</v>
      </c>
      <c r="M26" s="27" cm="1">
        <f t="array" aca="1" ref="M26" ca="1">OFFSET(M26,$E$11,,)</f>
        <v>0.13</v>
      </c>
      <c r="N26" s="27" cm="1">
        <f t="array" aca="1" ref="N26" ca="1">OFFSET(N26,$E$11,,)</f>
        <v>0.25</v>
      </c>
      <c r="O26" s="27" cm="1">
        <f t="array" aca="1" ref="O26" ca="1">OFFSET(O26,$E$11,,)</f>
        <v>0.245</v>
      </c>
      <c r="P26" s="27" cm="1">
        <f t="array" aca="1" ref="P26" ca="1">OFFSET(P26,$E$11,,)</f>
        <v>0.24009999999999998</v>
      </c>
      <c r="Q26" s="27" cm="1">
        <f t="array" aca="1" ref="Q26" ca="1">OFFSET(Q26,$E$11,,)</f>
        <v>0.23529799999999998</v>
      </c>
      <c r="R26" s="27" cm="1">
        <f t="array" aca="1" ref="R26" ca="1">OFFSET(R26,$E$11,,)</f>
        <v>0.23059203999999997</v>
      </c>
      <c r="S26" s="27" cm="1">
        <f t="array" aca="1" ref="S26" ca="1">OFFSET(S26,$E$11,,)</f>
        <v>0.15</v>
      </c>
      <c r="T26" s="27" cm="1">
        <f t="array" aca="1" ref="T26" ca="1">OFFSET(T26,$E$11,,)</f>
        <v>0.15</v>
      </c>
      <c r="U26" s="27" cm="1">
        <f t="array" aca="1" ref="U26" ca="1">OFFSET(U26,$E$11,,)</f>
        <v>0.1</v>
      </c>
      <c r="V26" s="27" cm="1">
        <f t="array" aca="1" ref="V26" ca="1">OFFSET(V26,$E$11,,)</f>
        <v>0.05</v>
      </c>
    </row>
    <row r="27" spans="1:22" x14ac:dyDescent="0.25">
      <c r="B27" s="24" t="s">
        <v>141</v>
      </c>
      <c r="C27" s="25"/>
      <c r="I27" s="5"/>
      <c r="J27" s="5"/>
      <c r="K27" s="5"/>
      <c r="L27" s="5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x14ac:dyDescent="0.25">
      <c r="B28" s="24" t="s">
        <v>159</v>
      </c>
      <c r="C28" s="25"/>
      <c r="I28" s="5"/>
      <c r="J28" s="5"/>
      <c r="K28" s="5"/>
      <c r="L28" s="5"/>
      <c r="M28" s="28">
        <v>0.13</v>
      </c>
      <c r="N28" s="28">
        <v>0.25</v>
      </c>
      <c r="O28" s="28">
        <f>+N28*(1+$O$11)</f>
        <v>0.245</v>
      </c>
      <c r="P28" s="28">
        <f t="shared" ref="P28:R28" si="3">+O28*(1+$O$11)</f>
        <v>0.24009999999999998</v>
      </c>
      <c r="Q28" s="28">
        <f t="shared" si="3"/>
        <v>0.23529799999999998</v>
      </c>
      <c r="R28" s="28">
        <f t="shared" si="3"/>
        <v>0.23059203999999997</v>
      </c>
      <c r="S28" s="28">
        <v>0.15</v>
      </c>
      <c r="T28" s="28">
        <v>0.15</v>
      </c>
      <c r="U28" s="28">
        <v>0.1</v>
      </c>
      <c r="V28" s="28">
        <v>0.05</v>
      </c>
    </row>
    <row r="29" spans="1:22" x14ac:dyDescent="0.25">
      <c r="B29" s="24" t="s">
        <v>160</v>
      </c>
      <c r="C29" s="25"/>
      <c r="I29" s="5"/>
      <c r="J29" s="5"/>
      <c r="K29" s="5"/>
      <c r="L29" s="5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1" spans="1:22" x14ac:dyDescent="0.25">
      <c r="B31" t="s">
        <v>148</v>
      </c>
      <c r="G31" s="61" t="s">
        <v>62</v>
      </c>
      <c r="H31" s="23">
        <f>+Model!U15</f>
        <v>-17.09899999999999</v>
      </c>
      <c r="I31" s="23">
        <f>+Model!V15</f>
        <v>-141.09999999999997</v>
      </c>
      <c r="J31" s="23">
        <f>+Model!W15</f>
        <v>85.099999999999909</v>
      </c>
      <c r="K31" s="23">
        <f>+Model!X15</f>
        <v>180.29999999999995</v>
      </c>
      <c r="L31" s="23">
        <f>+Model!Y15</f>
        <v>211.50000000000023</v>
      </c>
      <c r="M31" s="23">
        <f ca="1">M32*M25</f>
        <v>261.96790000000004</v>
      </c>
      <c r="N31" s="23">
        <f t="shared" ref="N31:V31" ca="1" si="4">N32*N25</f>
        <v>491.18981250000002</v>
      </c>
      <c r="O31" s="23">
        <f t="shared" ca="1" si="4"/>
        <v>611.53131656250002</v>
      </c>
      <c r="P31" s="23">
        <f t="shared" ca="1" si="4"/>
        <v>1011.1466475588752</v>
      </c>
      <c r="Q31" s="23">
        <f t="shared" ca="1" si="4"/>
        <v>1561.3342892952292</v>
      </c>
      <c r="R31" s="23">
        <f t="shared" ca="1" si="4"/>
        <v>2305.6386578229194</v>
      </c>
      <c r="S31" s="23">
        <f t="shared" ca="1" si="4"/>
        <v>3093.3985325790832</v>
      </c>
      <c r="T31" s="23">
        <f t="shared" ca="1" si="4"/>
        <v>4065.6094999610814</v>
      </c>
      <c r="U31" s="23">
        <f t="shared" ca="1" si="4"/>
        <v>4472.1704499571897</v>
      </c>
      <c r="V31" s="23">
        <f t="shared" ca="1" si="4"/>
        <v>4695.7789724550494</v>
      </c>
    </row>
    <row r="32" spans="1:22" x14ac:dyDescent="0.25">
      <c r="B32" s="24" t="s">
        <v>161</v>
      </c>
      <c r="G32" s="61" t="s">
        <v>62</v>
      </c>
      <c r="H32" s="27">
        <f t="shared" ref="H32:L32" si="5">H31/H25</f>
        <v>-4.0205506830633189E-2</v>
      </c>
      <c r="I32" s="27">
        <f t="shared" si="5"/>
        <v>-0.19472812586254479</v>
      </c>
      <c r="J32" s="27">
        <f t="shared" si="5"/>
        <v>6.9634236150887749E-2</v>
      </c>
      <c r="K32" s="27">
        <f t="shared" si="5"/>
        <v>0.10060822498744487</v>
      </c>
      <c r="L32" s="27">
        <f t="shared" si="5"/>
        <v>9.1230643143682968E-2</v>
      </c>
      <c r="M32" s="27" cm="1">
        <f t="array" aca="1" ref="M32" ca="1">OFFSET(M32,$E$12,,)</f>
        <v>0.1</v>
      </c>
      <c r="N32" s="27" cm="1">
        <f t="array" aca="1" ref="N32" ca="1">OFFSET(N32,$E$12,,)</f>
        <v>0.15</v>
      </c>
      <c r="O32" s="27" cm="1">
        <f t="array" aca="1" ref="O32" ca="1">OFFSET(O32,$E$12,,)</f>
        <v>0.15</v>
      </c>
      <c r="P32" s="27" cm="1">
        <f t="array" aca="1" ref="P32" ca="1">OFFSET(P32,$E$12,,)</f>
        <v>0.2</v>
      </c>
      <c r="Q32" s="27" cm="1">
        <f t="array" aca="1" ref="Q32" ca="1">OFFSET(Q32,$E$12,,)</f>
        <v>0.25</v>
      </c>
      <c r="R32" s="27" cm="1">
        <f t="array" aca="1" ref="R32" ca="1">OFFSET(R32,$E$12,,)</f>
        <v>0.3</v>
      </c>
      <c r="S32" s="27" cm="1">
        <f t="array" aca="1" ref="S32" ca="1">OFFSET(S32,$E$12,,)</f>
        <v>0.35</v>
      </c>
      <c r="T32" s="27" cm="1">
        <f t="array" aca="1" ref="T32" ca="1">OFFSET(T32,$E$12,,)</f>
        <v>0.4</v>
      </c>
      <c r="U32" s="27" cm="1">
        <f t="array" aca="1" ref="U32" ca="1">OFFSET(U32,$E$12,,)</f>
        <v>0.4</v>
      </c>
      <c r="V32" s="27" cm="1">
        <f t="array" aca="1" ref="V32" ca="1">OFFSET(V32,$E$12,,)</f>
        <v>0.4</v>
      </c>
    </row>
    <row r="33" spans="2:22" x14ac:dyDescent="0.25">
      <c r="B33" s="24" t="s">
        <v>141</v>
      </c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2:22" x14ac:dyDescent="0.25">
      <c r="B34" s="24" t="s">
        <v>159</v>
      </c>
      <c r="M34" s="28">
        <v>0.1</v>
      </c>
      <c r="N34" s="28">
        <v>0.15</v>
      </c>
      <c r="O34" s="28">
        <v>0.15</v>
      </c>
      <c r="P34" s="28">
        <v>0.2</v>
      </c>
      <c r="Q34" s="28">
        <v>0.25</v>
      </c>
      <c r="R34" s="28">
        <v>0.3</v>
      </c>
      <c r="S34" s="28">
        <v>0.35</v>
      </c>
      <c r="T34" s="28">
        <v>0.4</v>
      </c>
      <c r="U34" s="28">
        <v>0.4</v>
      </c>
      <c r="V34" s="28">
        <v>0.4</v>
      </c>
    </row>
    <row r="35" spans="2:22" x14ac:dyDescent="0.25">
      <c r="B35" s="24" t="s">
        <v>160</v>
      </c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7" spans="2:22" x14ac:dyDescent="0.25">
      <c r="B37" t="s">
        <v>162</v>
      </c>
      <c r="G37" s="61" t="s">
        <v>62</v>
      </c>
      <c r="H37" s="23">
        <f>+Model!U20</f>
        <v>3.0830000000000002</v>
      </c>
      <c r="I37" s="23">
        <f>+Model!V20</f>
        <v>10.6</v>
      </c>
      <c r="J37" s="23">
        <f>+Model!W20</f>
        <v>20.2</v>
      </c>
      <c r="K37" s="23">
        <f>+Model!X20</f>
        <v>-10.5</v>
      </c>
      <c r="L37" s="23">
        <f>+Model!Y20</f>
        <v>37.4</v>
      </c>
      <c r="M37" s="23">
        <f ca="1">M38*M31</f>
        <v>23.577111000000002</v>
      </c>
      <c r="N37" s="23">
        <f t="shared" ref="N37:V37" ca="1" si="6">N38*N31</f>
        <v>44.207083124999997</v>
      </c>
      <c r="O37" s="23">
        <f t="shared" ca="1" si="6"/>
        <v>55.037818490625</v>
      </c>
      <c r="P37" s="23">
        <f t="shared" ca="1" si="6"/>
        <v>91.003198280298761</v>
      </c>
      <c r="Q37" s="23">
        <f t="shared" ca="1" si="6"/>
        <v>140.52008603657063</v>
      </c>
      <c r="R37" s="23">
        <f t="shared" ca="1" si="6"/>
        <v>207.50747920406275</v>
      </c>
      <c r="S37" s="23">
        <f t="shared" ca="1" si="6"/>
        <v>278.40586793211747</v>
      </c>
      <c r="T37" s="23">
        <f t="shared" ca="1" si="6"/>
        <v>365.90485499649731</v>
      </c>
      <c r="U37" s="23">
        <f t="shared" ca="1" si="6"/>
        <v>402.49534049614704</v>
      </c>
      <c r="V37" s="23">
        <f t="shared" ca="1" si="6"/>
        <v>422.62010752095443</v>
      </c>
    </row>
    <row r="38" spans="2:22" x14ac:dyDescent="0.25">
      <c r="B38" s="25" t="s">
        <v>163</v>
      </c>
      <c r="G38" s="61" t="s">
        <v>62</v>
      </c>
      <c r="H38" s="27">
        <f t="shared" ref="H38:L38" si="7">H37/H31</f>
        <v>-0.18030294169249675</v>
      </c>
      <c r="I38" s="27">
        <f t="shared" si="7"/>
        <v>-7.5124025513819997E-2</v>
      </c>
      <c r="J38" s="27">
        <f t="shared" si="7"/>
        <v>0.23736780258519413</v>
      </c>
      <c r="K38" s="27">
        <f t="shared" si="7"/>
        <v>-5.8236272878535791E-2</v>
      </c>
      <c r="L38" s="27">
        <f t="shared" si="7"/>
        <v>0.17683215130023622</v>
      </c>
      <c r="M38" s="27">
        <v>0.09</v>
      </c>
      <c r="N38" s="27">
        <v>0.09</v>
      </c>
      <c r="O38" s="27">
        <v>0.09</v>
      </c>
      <c r="P38" s="27">
        <v>0.09</v>
      </c>
      <c r="Q38" s="27">
        <v>0.09</v>
      </c>
      <c r="R38" s="27">
        <v>0.09</v>
      </c>
      <c r="S38" s="27">
        <v>0.09</v>
      </c>
      <c r="T38" s="27">
        <v>0.09</v>
      </c>
      <c r="U38" s="27">
        <v>0.09</v>
      </c>
      <c r="V38" s="27">
        <v>0.09</v>
      </c>
    </row>
    <row r="39" spans="2:22" x14ac:dyDescent="0.25">
      <c r="B39" s="25"/>
    </row>
    <row r="40" spans="2:22" x14ac:dyDescent="0.25">
      <c r="B40" s="29" t="s">
        <v>164</v>
      </c>
      <c r="C40" s="30"/>
      <c r="D40" s="30"/>
      <c r="E40" s="30"/>
      <c r="F40" s="30"/>
      <c r="G40" s="62" t="s">
        <v>62</v>
      </c>
      <c r="H40" s="31">
        <f t="shared" ref="H40:V40" si="8">H31-H37</f>
        <v>-20.181999999999988</v>
      </c>
      <c r="I40" s="31">
        <f t="shared" si="8"/>
        <v>-151.69999999999996</v>
      </c>
      <c r="J40" s="31">
        <f t="shared" si="8"/>
        <v>64.899999999999906</v>
      </c>
      <c r="K40" s="31">
        <f t="shared" si="8"/>
        <v>190.79999999999995</v>
      </c>
      <c r="L40" s="31">
        <f t="shared" si="8"/>
        <v>174.10000000000022</v>
      </c>
      <c r="M40" s="31">
        <f t="shared" ca="1" si="8"/>
        <v>238.39078900000004</v>
      </c>
      <c r="N40" s="31">
        <f t="shared" ca="1" si="8"/>
        <v>446.98272937500002</v>
      </c>
      <c r="O40" s="31">
        <f t="shared" ca="1" si="8"/>
        <v>556.49349807187502</v>
      </c>
      <c r="P40" s="31">
        <f t="shared" ca="1" si="8"/>
        <v>920.14344927857644</v>
      </c>
      <c r="Q40" s="31">
        <f t="shared" ca="1" si="8"/>
        <v>1420.8142032586586</v>
      </c>
      <c r="R40" s="31">
        <f t="shared" ca="1" si="8"/>
        <v>2098.1311786188567</v>
      </c>
      <c r="S40" s="31">
        <f t="shared" ca="1" si="8"/>
        <v>2814.9926646469657</v>
      </c>
      <c r="T40" s="31">
        <f t="shared" ca="1" si="8"/>
        <v>3699.7046449645841</v>
      </c>
      <c r="U40" s="31">
        <f t="shared" ca="1" si="8"/>
        <v>4069.6751094610427</v>
      </c>
      <c r="V40" s="32">
        <f t="shared" ca="1" si="8"/>
        <v>4273.1588649340947</v>
      </c>
    </row>
    <row r="42" spans="2:22" x14ac:dyDescent="0.25">
      <c r="B42" t="s">
        <v>165</v>
      </c>
      <c r="G42" s="61" t="s">
        <v>62</v>
      </c>
      <c r="H42" s="23">
        <f>+Model!U71</f>
        <v>12.090999999999999</v>
      </c>
      <c r="I42" s="23">
        <f>+Model!V71</f>
        <v>31.413</v>
      </c>
      <c r="J42" s="23">
        <f>+Model!W71</f>
        <v>46.4</v>
      </c>
      <c r="K42" s="23">
        <f>+Model!X71</f>
        <v>64.900000000000006</v>
      </c>
      <c r="L42" s="23">
        <f>+Model!Y71</f>
        <v>104.6</v>
      </c>
      <c r="M42" s="23">
        <f ca="1">M43*M25</f>
        <v>104.78716</v>
      </c>
      <c r="N42" s="23">
        <f t="shared" ref="N42:V42" ca="1" si="9">N43*N25</f>
        <v>130.98394999999999</v>
      </c>
      <c r="O42" s="23">
        <f t="shared" ca="1" si="9"/>
        <v>163.07501775000003</v>
      </c>
      <c r="P42" s="23">
        <f t="shared" ca="1" si="9"/>
        <v>202.22932951177503</v>
      </c>
      <c r="Q42" s="23">
        <f t="shared" ca="1" si="9"/>
        <v>249.81348628723666</v>
      </c>
      <c r="R42" s="23">
        <f t="shared" ca="1" si="9"/>
        <v>307.41848770972257</v>
      </c>
      <c r="S42" s="23">
        <f t="shared" ca="1" si="9"/>
        <v>353.53126086618096</v>
      </c>
      <c r="T42" s="23">
        <f t="shared" ca="1" si="9"/>
        <v>406.56094999610809</v>
      </c>
      <c r="U42" s="23">
        <f t="shared" ca="1" si="9"/>
        <v>447.21704499571899</v>
      </c>
      <c r="V42" s="23">
        <f t="shared" ca="1" si="9"/>
        <v>469.57789724550497</v>
      </c>
    </row>
    <row r="43" spans="2:22" x14ac:dyDescent="0.25">
      <c r="B43" s="24" t="s">
        <v>161</v>
      </c>
      <c r="C43" s="26"/>
      <c r="D43" s="26"/>
      <c r="E43" s="26"/>
      <c r="F43" s="26"/>
      <c r="G43" s="61" t="s">
        <v>62</v>
      </c>
      <c r="H43" s="33">
        <f t="shared" ref="H43:L43" si="10">H42/H25</f>
        <v>2.8430012462084691E-2</v>
      </c>
      <c r="I43" s="33">
        <f t="shared" si="10"/>
        <v>4.3352194314104329E-2</v>
      </c>
      <c r="J43" s="33">
        <f t="shared" si="10"/>
        <v>3.7967433106947057E-2</v>
      </c>
      <c r="K43" s="33">
        <f t="shared" si="10"/>
        <v>3.6214496958875068E-2</v>
      </c>
      <c r="L43" s="33">
        <f t="shared" si="10"/>
        <v>4.5119268429452609E-2</v>
      </c>
      <c r="M43" s="34">
        <v>0.04</v>
      </c>
      <c r="N43" s="34">
        <v>0.04</v>
      </c>
      <c r="O43" s="34">
        <v>0.04</v>
      </c>
      <c r="P43" s="34">
        <v>0.04</v>
      </c>
      <c r="Q43" s="34">
        <v>0.04</v>
      </c>
      <c r="R43" s="34">
        <v>0.04</v>
      </c>
      <c r="S43" s="34">
        <v>0.04</v>
      </c>
      <c r="T43" s="34">
        <v>0.04</v>
      </c>
      <c r="U43" s="34">
        <v>0.04</v>
      </c>
      <c r="V43" s="34">
        <v>0.04</v>
      </c>
    </row>
    <row r="45" spans="2:22" x14ac:dyDescent="0.25">
      <c r="B45" t="s">
        <v>110</v>
      </c>
      <c r="G45" s="61" t="s">
        <v>62</v>
      </c>
      <c r="H45" s="23">
        <f>+SUM(Model!U85:U86)</f>
        <v>-10.986000000000001</v>
      </c>
      <c r="I45" s="23">
        <f>+SUM(Model!V85:V86)</f>
        <v>-24.638999999999999</v>
      </c>
      <c r="J45" s="23">
        <f>+SUM(Model!W85:W86)</f>
        <v>-60.3</v>
      </c>
      <c r="K45" s="23">
        <f>+SUM(Model!X85:X86)</f>
        <v>-42.8</v>
      </c>
      <c r="L45" s="23">
        <f>+SUM(Model!Y85:Y86)</f>
        <v>-60.4</v>
      </c>
      <c r="M45" s="23">
        <f ca="1">M46*M25</f>
        <v>-91.688765000000018</v>
      </c>
      <c r="N45" s="23">
        <f t="shared" ref="N45:V45" ca="1" si="11">N46*N25</f>
        <v>-114.61095625000002</v>
      </c>
      <c r="O45" s="23">
        <f t="shared" ca="1" si="11"/>
        <v>-142.69064053125004</v>
      </c>
      <c r="P45" s="23">
        <f t="shared" ca="1" si="11"/>
        <v>-176.95066332280317</v>
      </c>
      <c r="Q45" s="23">
        <f t="shared" ca="1" si="11"/>
        <v>-218.58680050133211</v>
      </c>
      <c r="R45" s="23">
        <f t="shared" ca="1" si="11"/>
        <v>-268.99117674600728</v>
      </c>
      <c r="S45" s="23">
        <f t="shared" ca="1" si="11"/>
        <v>-309.33985325790837</v>
      </c>
      <c r="T45" s="23">
        <f t="shared" ca="1" si="11"/>
        <v>-355.74083124659461</v>
      </c>
      <c r="U45" s="23">
        <f t="shared" ca="1" si="11"/>
        <v>-391.31491437125413</v>
      </c>
      <c r="V45" s="23">
        <f t="shared" ca="1" si="11"/>
        <v>-410.88066008981684</v>
      </c>
    </row>
    <row r="46" spans="2:22" x14ac:dyDescent="0.25">
      <c r="B46" s="24" t="s">
        <v>161</v>
      </c>
      <c r="G46" s="61" t="s">
        <v>62</v>
      </c>
      <c r="H46" s="33">
        <f t="shared" ref="H46:L46" si="12">H45/H25</f>
        <v>-2.5831785369982836E-2</v>
      </c>
      <c r="I46" s="33">
        <f t="shared" si="12"/>
        <v>-3.40035881865857E-2</v>
      </c>
      <c r="J46" s="33">
        <f t="shared" si="12"/>
        <v>-4.9341297766140255E-2</v>
      </c>
      <c r="K46" s="33">
        <f t="shared" si="12"/>
        <v>-2.3882595837285865E-2</v>
      </c>
      <c r="L46" s="33">
        <f t="shared" si="12"/>
        <v>-2.6053573739377989E-2</v>
      </c>
      <c r="M46" s="34">
        <v>-3.5000000000000003E-2</v>
      </c>
      <c r="N46" s="34">
        <v>-3.5000000000000003E-2</v>
      </c>
      <c r="O46" s="34">
        <v>-3.5000000000000003E-2</v>
      </c>
      <c r="P46" s="34">
        <v>-3.5000000000000003E-2</v>
      </c>
      <c r="Q46" s="34">
        <v>-3.5000000000000003E-2</v>
      </c>
      <c r="R46" s="34">
        <v>-3.5000000000000003E-2</v>
      </c>
      <c r="S46" s="34">
        <v>-3.5000000000000003E-2</v>
      </c>
      <c r="T46" s="34">
        <v>-3.5000000000000003E-2</v>
      </c>
      <c r="U46" s="34">
        <v>-3.5000000000000003E-2</v>
      </c>
      <c r="V46" s="34">
        <v>-3.5000000000000003E-2</v>
      </c>
    </row>
    <row r="47" spans="2:22" x14ac:dyDescent="0.25">
      <c r="G47" s="61"/>
    </row>
    <row r="48" spans="2:22" x14ac:dyDescent="0.25">
      <c r="B48" t="s">
        <v>105</v>
      </c>
      <c r="G48" s="61" t="s">
        <v>62</v>
      </c>
      <c r="H48" s="23">
        <f>+Model!U79</f>
        <v>-49.223000000000006</v>
      </c>
      <c r="I48" s="23">
        <f>+Model!V79</f>
        <v>-74.437000000000012</v>
      </c>
      <c r="J48" s="23">
        <f>+Model!W79</f>
        <v>-285.8</v>
      </c>
      <c r="K48" s="23">
        <f>+Model!X79</f>
        <v>-101.19999999999999</v>
      </c>
      <c r="L48" s="23">
        <f>+Model!Y79</f>
        <v>46.099999999999994</v>
      </c>
      <c r="M48" s="23">
        <f ca="1">M49*M25</f>
        <v>-130.98395000000002</v>
      </c>
      <c r="N48" s="23">
        <f t="shared" ref="N48:V48" ca="1" si="13">N49*N25</f>
        <v>-163.72993750000001</v>
      </c>
      <c r="O48" s="23">
        <f t="shared" ca="1" si="13"/>
        <v>-203.84377218750004</v>
      </c>
      <c r="P48" s="23">
        <f t="shared" ca="1" si="13"/>
        <v>-252.7866618897188</v>
      </c>
      <c r="Q48" s="23">
        <f t="shared" ca="1" si="13"/>
        <v>-312.26685785904584</v>
      </c>
      <c r="R48" s="23">
        <f t="shared" ca="1" si="13"/>
        <v>-384.27310963715325</v>
      </c>
      <c r="S48" s="23">
        <f t="shared" ca="1" si="13"/>
        <v>-441.91407608272624</v>
      </c>
      <c r="T48" s="23">
        <f t="shared" ca="1" si="13"/>
        <v>-508.20118749513517</v>
      </c>
      <c r="U48" s="23">
        <f t="shared" ca="1" si="13"/>
        <v>-559.02130624464871</v>
      </c>
      <c r="V48" s="23">
        <f t="shared" ca="1" si="13"/>
        <v>-586.97237155688117</v>
      </c>
    </row>
    <row r="49" spans="2:24" x14ac:dyDescent="0.25">
      <c r="B49" s="24" t="s">
        <v>161</v>
      </c>
      <c r="G49" s="61" t="s">
        <v>62</v>
      </c>
      <c r="H49" s="33">
        <f t="shared" ref="H49:L49" si="14">H48/H25</f>
        <v>-0.11573984810364693</v>
      </c>
      <c r="I49" s="33">
        <f t="shared" si="14"/>
        <v>-0.10272840187689761</v>
      </c>
      <c r="J49" s="33">
        <f t="shared" si="14"/>
        <v>-0.2338597496113248</v>
      </c>
      <c r="K49" s="33">
        <f t="shared" si="14"/>
        <v>-5.6470063054517045E-2</v>
      </c>
      <c r="L49" s="33">
        <f t="shared" si="14"/>
        <v>1.988526075141267E-2</v>
      </c>
      <c r="M49" s="34">
        <v>-0.05</v>
      </c>
      <c r="N49" s="34">
        <v>-0.05</v>
      </c>
      <c r="O49" s="34">
        <v>-0.05</v>
      </c>
      <c r="P49" s="34">
        <v>-0.05</v>
      </c>
      <c r="Q49" s="34">
        <v>-0.05</v>
      </c>
      <c r="R49" s="34">
        <v>-0.05</v>
      </c>
      <c r="S49" s="34">
        <v>-0.05</v>
      </c>
      <c r="T49" s="34">
        <v>-0.05</v>
      </c>
      <c r="U49" s="34">
        <v>-0.05</v>
      </c>
      <c r="V49" s="34">
        <v>-0.05</v>
      </c>
    </row>
    <row r="50" spans="2:24" x14ac:dyDescent="0.25">
      <c r="G50" s="61"/>
    </row>
    <row r="51" spans="2:24" x14ac:dyDescent="0.25">
      <c r="B51" s="35" t="s">
        <v>166</v>
      </c>
      <c r="C51" s="36"/>
      <c r="D51" s="36"/>
      <c r="E51" s="36"/>
      <c r="F51" s="36"/>
      <c r="G51" s="63" t="s">
        <v>62</v>
      </c>
      <c r="H51" s="37">
        <f t="shared" ref="H51:U51" si="15">H40+H42+H45+H48</f>
        <v>-68.3</v>
      </c>
      <c r="I51" s="37">
        <f t="shared" si="15"/>
        <v>-219.36299999999997</v>
      </c>
      <c r="J51" s="37">
        <f t="shared" si="15"/>
        <v>-234.80000000000013</v>
      </c>
      <c r="K51" s="37">
        <f t="shared" si="15"/>
        <v>111.69999999999999</v>
      </c>
      <c r="L51" s="37">
        <f t="shared" si="15"/>
        <v>264.4000000000002</v>
      </c>
      <c r="M51" s="37">
        <f ca="1">M40+M42+M45+M48</f>
        <v>120.50523399999997</v>
      </c>
      <c r="N51" s="37">
        <f t="shared" ca="1" si="15"/>
        <v>299.62578562499999</v>
      </c>
      <c r="O51" s="37">
        <f t="shared" ca="1" si="15"/>
        <v>373.03410310312506</v>
      </c>
      <c r="P51" s="37">
        <f t="shared" ca="1" si="15"/>
        <v>692.63545357782959</v>
      </c>
      <c r="Q51" s="37">
        <f t="shared" ca="1" si="15"/>
        <v>1139.7740311855173</v>
      </c>
      <c r="R51" s="37">
        <f t="shared" ca="1" si="15"/>
        <v>1752.285379945419</v>
      </c>
      <c r="S51" s="37">
        <f t="shared" ca="1" si="15"/>
        <v>2417.269996172512</v>
      </c>
      <c r="T51" s="37">
        <f t="shared" ca="1" si="15"/>
        <v>3242.3235762189624</v>
      </c>
      <c r="U51" s="37">
        <f t="shared" ca="1" si="15"/>
        <v>3566.5559338408589</v>
      </c>
      <c r="V51" s="38">
        <f ca="1">V40+V42+V45+V48</f>
        <v>3744.8837305329012</v>
      </c>
    </row>
    <row r="52" spans="2:24" x14ac:dyDescent="0.25">
      <c r="B52" s="39" t="s">
        <v>167</v>
      </c>
      <c r="C52" s="40"/>
      <c r="D52" s="40"/>
      <c r="E52" s="40"/>
      <c r="F52" s="40"/>
      <c r="G52" s="41"/>
      <c r="H52" s="41"/>
      <c r="I52" s="41"/>
      <c r="J52" s="41"/>
      <c r="K52" s="41"/>
      <c r="L52" s="41"/>
      <c r="M52" s="41">
        <f ca="1">(M51/(1+$E$18)^M53)*M53</f>
        <v>69.772642896395425</v>
      </c>
      <c r="N52" s="41">
        <f ca="1">N51/(1+$E$18)^N53</f>
        <v>256.90703157218201</v>
      </c>
      <c r="O52" s="41">
        <f t="shared" ref="O52:U52" ca="1" si="16">O51/(1+$E$18)^O53</f>
        <v>290.77204937033326</v>
      </c>
      <c r="P52" s="41">
        <f t="shared" ca="1" si="16"/>
        <v>490.81310803883355</v>
      </c>
      <c r="Q52" s="41">
        <f t="shared" ca="1" si="16"/>
        <v>734.23909926332612</v>
      </c>
      <c r="R52" s="41">
        <f t="shared" ca="1" si="16"/>
        <v>1026.1973815707595</v>
      </c>
      <c r="S52" s="41">
        <f t="shared" ca="1" si="16"/>
        <v>1286.9407154646849</v>
      </c>
      <c r="T52" s="41">
        <f t="shared" ca="1" si="16"/>
        <v>1569.2677462796071</v>
      </c>
      <c r="U52" s="41">
        <f t="shared" ca="1" si="16"/>
        <v>1569.2677462796071</v>
      </c>
      <c r="V52" s="42">
        <f ca="1">V51/(1+$E$18)^V53</f>
        <v>1497.9373941759882</v>
      </c>
    </row>
    <row r="53" spans="2:24" x14ac:dyDescent="0.25">
      <c r="B53" t="s">
        <v>168</v>
      </c>
      <c r="M53" s="4">
        <f ca="1">YEARFRAC(E4,E5)</f>
        <v>0.61388888888888893</v>
      </c>
      <c r="N53" s="4">
        <f ca="1">M53+1</f>
        <v>1.6138888888888889</v>
      </c>
      <c r="O53" s="4">
        <f ca="1">N53+1</f>
        <v>2.6138888888888889</v>
      </c>
      <c r="P53" s="4">
        <f t="shared" ref="P53:V53" ca="1" si="17">O53+1</f>
        <v>3.6138888888888889</v>
      </c>
      <c r="Q53" s="4">
        <f t="shared" ca="1" si="17"/>
        <v>4.6138888888888889</v>
      </c>
      <c r="R53" s="4">
        <f t="shared" ca="1" si="17"/>
        <v>5.6138888888888889</v>
      </c>
      <c r="S53" s="4">
        <f t="shared" ca="1" si="17"/>
        <v>6.6138888888888889</v>
      </c>
      <c r="T53" s="4">
        <f t="shared" ca="1" si="17"/>
        <v>7.6138888888888889</v>
      </c>
      <c r="U53" s="4">
        <f t="shared" ca="1" si="17"/>
        <v>8.6138888888888889</v>
      </c>
      <c r="V53" s="4">
        <f t="shared" ca="1" si="17"/>
        <v>9.6138888888888889</v>
      </c>
    </row>
    <row r="54" spans="2:24" x14ac:dyDescent="0.25">
      <c r="B54" t="s">
        <v>169</v>
      </c>
      <c r="N54" s="43"/>
      <c r="O54" s="43"/>
      <c r="P54" s="43"/>
      <c r="Q54" s="43"/>
      <c r="V54" s="23">
        <f ca="1">SUM(M52:V52)</f>
        <v>8792.1149149117173</v>
      </c>
    </row>
    <row r="55" spans="2:24" x14ac:dyDescent="0.25">
      <c r="B55" t="s">
        <v>170</v>
      </c>
      <c r="N55" s="43"/>
      <c r="O55" s="43"/>
      <c r="P55" s="43"/>
      <c r="Q55" s="43"/>
      <c r="V55" s="23">
        <f ca="1">+(V40*(1+E19))*(1-(E19/E20))/(E18-E19)</f>
        <v>50301.184352938479</v>
      </c>
      <c r="X55" s="44" t="s">
        <v>171</v>
      </c>
    </row>
    <row r="56" spans="2:24" x14ac:dyDescent="0.25">
      <c r="B56" s="6" t="s">
        <v>172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45"/>
      <c r="O56" s="45"/>
      <c r="P56" s="45"/>
      <c r="Q56" s="45"/>
      <c r="R56" s="45"/>
      <c r="S56" s="45"/>
      <c r="T56" s="45"/>
      <c r="U56" s="45"/>
      <c r="V56" s="46">
        <f ca="1">V55/(1+E18)^V53</f>
        <v>20120.257512743803</v>
      </c>
    </row>
    <row r="57" spans="2:24" x14ac:dyDescent="0.25">
      <c r="B57" s="47" t="s">
        <v>173</v>
      </c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8"/>
      <c r="O57" s="48"/>
      <c r="P57" s="48"/>
      <c r="Q57" s="48"/>
      <c r="R57" s="48"/>
      <c r="S57" s="48"/>
      <c r="T57" s="48"/>
      <c r="U57" s="48"/>
      <c r="V57" s="49">
        <f ca="1">V54+V56</f>
        <v>28912.372427655522</v>
      </c>
    </row>
    <row r="58" spans="2:24" x14ac:dyDescent="0.25">
      <c r="B58" t="s">
        <v>174</v>
      </c>
      <c r="N58" s="43"/>
      <c r="O58" s="43"/>
      <c r="P58" s="43"/>
      <c r="Q58" s="43"/>
      <c r="V58" s="50">
        <f>+Main!H6</f>
        <v>1020.4</v>
      </c>
    </row>
    <row r="59" spans="2:24" x14ac:dyDescent="0.25">
      <c r="B59" s="6" t="s">
        <v>175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45"/>
      <c r="O59" s="45"/>
      <c r="P59" s="45"/>
      <c r="Q59" s="45"/>
      <c r="R59" s="45"/>
      <c r="S59" s="45"/>
      <c r="T59" s="45"/>
      <c r="U59" s="45"/>
      <c r="V59" s="46">
        <f>+Main!H7</f>
        <v>58</v>
      </c>
    </row>
    <row r="60" spans="2:24" x14ac:dyDescent="0.25">
      <c r="B60" t="s">
        <v>176</v>
      </c>
      <c r="N60" s="43"/>
      <c r="O60" s="43"/>
      <c r="P60" s="43"/>
      <c r="Q60" s="43"/>
      <c r="V60" s="50">
        <f ca="1">V57+V58-V59</f>
        <v>29874.772427655524</v>
      </c>
    </row>
    <row r="61" spans="2:24" x14ac:dyDescent="0.25">
      <c r="B61" s="6" t="s">
        <v>177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45"/>
      <c r="O61" s="45"/>
      <c r="P61" s="45"/>
      <c r="Q61" s="45"/>
      <c r="R61" s="45"/>
      <c r="S61" s="45"/>
      <c r="T61" s="45"/>
      <c r="U61" s="45"/>
      <c r="V61" s="46">
        <f>+Main!H4</f>
        <v>296.87335300000001</v>
      </c>
    </row>
    <row r="62" spans="2:24" x14ac:dyDescent="0.25">
      <c r="B62" t="s">
        <v>132</v>
      </c>
      <c r="V62" s="50">
        <f ca="1">V60/V61</f>
        <v>100.63137066955122</v>
      </c>
    </row>
    <row r="66" spans="1:22" x14ac:dyDescent="0.25">
      <c r="A66" s="16" t="s">
        <v>138</v>
      </c>
      <c r="B66" s="17" t="s">
        <v>178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8" spans="1:22" x14ac:dyDescent="0.25">
      <c r="B68" s="51"/>
      <c r="C68" s="110" t="s">
        <v>151</v>
      </c>
      <c r="D68" s="110"/>
      <c r="E68" s="110"/>
      <c r="F68" s="110"/>
      <c r="G68" s="110"/>
      <c r="H68" s="110"/>
      <c r="I68" s="110"/>
      <c r="J68" s="111"/>
      <c r="M68" s="51"/>
      <c r="N68" s="112" t="s">
        <v>179</v>
      </c>
      <c r="O68" s="112"/>
      <c r="P68" s="112"/>
      <c r="Q68" s="112"/>
      <c r="R68" s="112"/>
      <c r="S68" s="112"/>
      <c r="T68" s="112"/>
      <c r="U68" s="113"/>
    </row>
    <row r="69" spans="1:22" x14ac:dyDescent="0.25">
      <c r="B69" s="114" t="s">
        <v>149</v>
      </c>
      <c r="C69" s="52">
        <f ca="1">+J4</f>
        <v>100.63137066955122</v>
      </c>
      <c r="D69" s="53"/>
      <c r="E69" s="53"/>
      <c r="F69" s="53"/>
      <c r="G69" s="53"/>
      <c r="H69" s="53"/>
      <c r="I69" s="53"/>
      <c r="J69" s="53"/>
      <c r="M69" s="114" t="s">
        <v>149</v>
      </c>
      <c r="N69" s="52">
        <f ca="1">+J4</f>
        <v>100.63137066955122</v>
      </c>
      <c r="O69" s="53"/>
      <c r="P69" s="53"/>
      <c r="Q69" s="53"/>
      <c r="R69" s="53"/>
      <c r="S69" s="53"/>
      <c r="T69" s="53"/>
      <c r="U69" s="53"/>
    </row>
    <row r="70" spans="1:22" x14ac:dyDescent="0.25">
      <c r="B70" s="114"/>
      <c r="C70" s="54"/>
      <c r="D70" s="55"/>
      <c r="E70" s="55"/>
      <c r="F70" s="55"/>
      <c r="G70" s="56"/>
      <c r="H70" s="55"/>
      <c r="I70" s="55"/>
      <c r="J70" s="55"/>
      <c r="M70" s="114"/>
      <c r="N70" s="54"/>
      <c r="O70" s="55"/>
      <c r="P70" s="55"/>
      <c r="Q70" s="55"/>
      <c r="R70" s="56"/>
      <c r="S70" s="55"/>
      <c r="T70" s="55"/>
      <c r="U70" s="55"/>
    </row>
    <row r="71" spans="1:22" x14ac:dyDescent="0.25">
      <c r="B71" s="114"/>
      <c r="C71" s="54"/>
      <c r="D71" s="55"/>
      <c r="E71" s="55"/>
      <c r="F71" s="55"/>
      <c r="G71" s="56"/>
      <c r="H71" s="55"/>
      <c r="I71" s="55"/>
      <c r="J71" s="55"/>
      <c r="M71" s="114"/>
      <c r="N71" s="54"/>
      <c r="O71" s="55"/>
      <c r="P71" s="55"/>
      <c r="Q71" s="55"/>
      <c r="R71" s="56"/>
      <c r="S71" s="55"/>
      <c r="T71" s="55"/>
      <c r="U71" s="55"/>
    </row>
    <row r="72" spans="1:22" x14ac:dyDescent="0.25">
      <c r="B72" s="114"/>
      <c r="C72" s="54"/>
      <c r="D72" s="56"/>
      <c r="E72" s="56"/>
      <c r="F72" s="56"/>
      <c r="G72" s="56"/>
      <c r="H72" s="56"/>
      <c r="I72" s="56"/>
      <c r="J72" s="56"/>
      <c r="M72" s="114"/>
      <c r="N72" s="54"/>
      <c r="O72" s="56"/>
      <c r="P72" s="56"/>
      <c r="Q72" s="56"/>
      <c r="R72" s="56"/>
      <c r="S72" s="56"/>
      <c r="T72" s="56"/>
      <c r="U72" s="56"/>
    </row>
    <row r="73" spans="1:22" x14ac:dyDescent="0.25">
      <c r="B73" s="114"/>
      <c r="C73" s="54"/>
      <c r="D73" s="55"/>
      <c r="E73" s="55"/>
      <c r="F73" s="55"/>
      <c r="G73" s="56"/>
      <c r="H73" s="55"/>
      <c r="I73" s="55"/>
      <c r="J73" s="55"/>
      <c r="M73" s="114"/>
      <c r="N73" s="54"/>
      <c r="O73" s="55"/>
      <c r="P73" s="55"/>
      <c r="Q73" s="55"/>
      <c r="R73" s="56"/>
      <c r="S73" s="55"/>
      <c r="T73" s="55"/>
      <c r="U73" s="55"/>
    </row>
    <row r="74" spans="1:22" x14ac:dyDescent="0.25">
      <c r="B74" s="114"/>
      <c r="C74" s="54"/>
      <c r="D74" s="55"/>
      <c r="E74" s="55"/>
      <c r="F74" s="55"/>
      <c r="G74" s="56"/>
      <c r="H74" s="55"/>
      <c r="I74" s="55"/>
      <c r="J74" s="55"/>
      <c r="M74" s="114"/>
      <c r="N74" s="54"/>
      <c r="O74" s="55"/>
      <c r="P74" s="55"/>
      <c r="Q74" s="55"/>
      <c r="R74" s="56"/>
      <c r="S74" s="55"/>
      <c r="T74" s="55"/>
      <c r="U74" s="55"/>
    </row>
    <row r="75" spans="1:22" x14ac:dyDescent="0.25">
      <c r="B75" s="114"/>
      <c r="C75" s="54"/>
      <c r="D75" s="55"/>
      <c r="E75" s="55"/>
      <c r="F75" s="55"/>
      <c r="G75" s="56"/>
      <c r="H75" s="55"/>
      <c r="I75" s="55"/>
      <c r="J75" s="55"/>
      <c r="M75" s="114"/>
      <c r="N75" s="54"/>
      <c r="O75" s="55"/>
      <c r="P75" s="55"/>
      <c r="Q75" s="55"/>
      <c r="R75" s="56"/>
      <c r="S75" s="55"/>
      <c r="T75" s="55"/>
      <c r="U75" s="55"/>
    </row>
    <row r="76" spans="1:22" x14ac:dyDescent="0.25">
      <c r="B76" s="115"/>
      <c r="C76" s="54"/>
      <c r="D76" s="55"/>
      <c r="E76" s="55"/>
      <c r="F76" s="55"/>
      <c r="G76" s="56"/>
      <c r="H76" s="55"/>
      <c r="I76" s="55"/>
      <c r="J76" s="55"/>
      <c r="M76" s="115"/>
      <c r="N76" s="54"/>
      <c r="O76" s="55"/>
      <c r="P76" s="55"/>
      <c r="Q76" s="55"/>
      <c r="R76" s="56"/>
      <c r="S76" s="55"/>
      <c r="T76" s="55"/>
      <c r="U76" s="55"/>
    </row>
  </sheetData>
  <mergeCells count="4">
    <mergeCell ref="C68:J68"/>
    <mergeCell ref="N68:U68"/>
    <mergeCell ref="B69:B76"/>
    <mergeCell ref="M69:M76"/>
  </mergeCells>
  <conditionalFormatting sqref="D70:J76">
    <cfRule type="cellIs" dxfId="3" priority="3" operator="lessThan">
      <formula>$J$3</formula>
    </cfRule>
    <cfRule type="cellIs" dxfId="2" priority="4" operator="greaterThan">
      <formula>$J$3</formula>
    </cfRule>
  </conditionalFormatting>
  <conditionalFormatting sqref="O70:U76">
    <cfRule type="cellIs" dxfId="1" priority="1" operator="lessThan">
      <formula>$J$3</formula>
    </cfRule>
    <cfRule type="cellIs" dxfId="0" priority="2" operator="greaterThan">
      <formula>$J$3</formula>
    </cfRule>
  </conditionalFormatting>
  <dataValidations count="1">
    <dataValidation type="list" allowBlank="1" showInputMessage="1" showErrorMessage="1" sqref="E11:E15" xr:uid="{FD5894A3-F7DF-41E8-BE3D-F006F42F0805}">
      <formula1>"1,2,3"</formula1>
    </dataValidation>
  </dataValidations>
  <hyperlinks>
    <hyperlink ref="A1" location="Main!A1" display="Main" xr:uid="{9E99DD6C-438C-4FBB-A196-5048DE2DB703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KPIs</vt:lpstr>
      <vt:lpstr>CoC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cp:lastPrinted>2025-02-14T13:19:12Z</cp:lastPrinted>
  <dcterms:created xsi:type="dcterms:W3CDTF">2024-06-24T17:50:34Z</dcterms:created>
  <dcterms:modified xsi:type="dcterms:W3CDTF">2026-08-11T17:08:34Z</dcterms:modified>
</cp:coreProperties>
</file>