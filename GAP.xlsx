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328"/>
  <workbookPr defaultThemeVersion="202300"/>
  <mc:AlternateContent xmlns:mc="http://schemas.openxmlformats.org/markup-compatibility/2006">
    <mc:Choice Requires="x15">
      <x15ac:absPath xmlns:x15ac="http://schemas.microsoft.com/office/spreadsheetml/2010/11/ac" url="E:\1.Finance\Anaylsen\Models\"/>
    </mc:Choice>
  </mc:AlternateContent>
  <xr:revisionPtr revIDLastSave="0" documentId="13_ncr:1_{9048D178-8492-4628-BC15-80510E4E632A}" xr6:coauthVersionLast="47" xr6:coauthVersionMax="47" xr10:uidLastSave="{00000000-0000-0000-0000-000000000000}"/>
  <bookViews>
    <workbookView xWindow="19095" yWindow="0" windowWidth="19410" windowHeight="20925" xr2:uid="{45B8ACDC-CB3B-40F4-A3D2-AA5D93D3C1D7}"/>
  </bookViews>
  <sheets>
    <sheet name="Main" sheetId="1" r:id="rId1"/>
    <sheet name="Model" sheetId="2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M41" i="2" l="1"/>
  <c r="M40" i="2"/>
  <c r="M39" i="2"/>
  <c r="M38" i="2"/>
  <c r="M37" i="2"/>
  <c r="M36" i="2"/>
  <c r="M35" i="2"/>
  <c r="M34" i="2"/>
  <c r="M33" i="2"/>
  <c r="M32" i="2"/>
  <c r="M31" i="2"/>
  <c r="M30" i="2"/>
  <c r="M29" i="2"/>
  <c r="M26" i="2"/>
  <c r="M24" i="2"/>
  <c r="M22" i="2"/>
  <c r="M19" i="2"/>
  <c r="M17" i="2"/>
  <c r="J5" i="1"/>
  <c r="L41" i="2"/>
  <c r="L40" i="2"/>
  <c r="L39" i="2"/>
  <c r="L38" i="2"/>
  <c r="L37" i="2"/>
  <c r="L36" i="2"/>
  <c r="L35" i="2"/>
  <c r="L34" i="2"/>
  <c r="L33" i="2"/>
  <c r="L32" i="2"/>
  <c r="L31" i="2"/>
  <c r="L30" i="2"/>
  <c r="L29" i="2"/>
  <c r="J9" i="1"/>
  <c r="L26" i="2"/>
  <c r="L24" i="2"/>
  <c r="L22" i="2"/>
  <c r="L19" i="2"/>
  <c r="L17" i="2"/>
  <c r="K41" i="2"/>
  <c r="K40" i="2"/>
  <c r="K39" i="2"/>
  <c r="K38" i="2"/>
  <c r="K37" i="2"/>
  <c r="K36" i="2"/>
  <c r="K35" i="2"/>
  <c r="K34" i="2"/>
  <c r="K33" i="2"/>
  <c r="K32" i="2"/>
  <c r="K31" i="2"/>
  <c r="K30" i="2"/>
  <c r="K29" i="2"/>
  <c r="K13" i="2"/>
  <c r="K14" i="2"/>
  <c r="K26" i="2"/>
  <c r="K24" i="2"/>
  <c r="K22" i="2"/>
  <c r="K19" i="2"/>
  <c r="K17" i="2"/>
  <c r="U34" i="2"/>
  <c r="T34" i="2"/>
  <c r="S34" i="2"/>
  <c r="R34" i="2"/>
  <c r="Q34" i="2"/>
  <c r="U33" i="2"/>
  <c r="T33" i="2"/>
  <c r="S33" i="2"/>
  <c r="R33" i="2"/>
  <c r="Q33" i="2"/>
  <c r="U32" i="2"/>
  <c r="T32" i="2"/>
  <c r="S32" i="2"/>
  <c r="R32" i="2"/>
  <c r="Q32" i="2"/>
  <c r="U31" i="2"/>
  <c r="T31" i="2"/>
  <c r="S31" i="2"/>
  <c r="R31" i="2"/>
  <c r="Q31" i="2"/>
  <c r="V33" i="2"/>
  <c r="V32" i="2"/>
  <c r="V31" i="2"/>
  <c r="V34" i="2"/>
  <c r="I30" i="2"/>
  <c r="H30" i="2"/>
  <c r="G30" i="2"/>
  <c r="I29" i="2"/>
  <c r="H29" i="2"/>
  <c r="G29" i="2"/>
  <c r="J29" i="2"/>
  <c r="J30" i="2"/>
  <c r="I34" i="2"/>
  <c r="H34" i="2"/>
  <c r="G34" i="2"/>
  <c r="I33" i="2"/>
  <c r="H33" i="2"/>
  <c r="G33" i="2"/>
  <c r="I32" i="2"/>
  <c r="H32" i="2"/>
  <c r="G32" i="2"/>
  <c r="I31" i="2"/>
  <c r="H31" i="2"/>
  <c r="G31" i="2"/>
  <c r="J33" i="2"/>
  <c r="J32" i="2"/>
  <c r="J31" i="2"/>
  <c r="J34" i="2"/>
  <c r="I36" i="2"/>
  <c r="H36" i="2"/>
  <c r="G36" i="2"/>
  <c r="I35" i="2"/>
  <c r="H35" i="2"/>
  <c r="G35" i="2"/>
  <c r="J35" i="2"/>
  <c r="J36" i="2"/>
  <c r="J12" i="2"/>
  <c r="J11" i="2"/>
  <c r="J10" i="2"/>
  <c r="J9" i="2"/>
  <c r="J8" i="2"/>
  <c r="F12" i="2"/>
  <c r="F11" i="2"/>
  <c r="F10" i="2"/>
  <c r="F9" i="2"/>
  <c r="F8" i="2"/>
  <c r="J4" i="1"/>
  <c r="J23" i="2"/>
  <c r="J21" i="2"/>
  <c r="J20" i="2"/>
  <c r="J18" i="2"/>
  <c r="J16" i="2"/>
  <c r="J15" i="2"/>
  <c r="J14" i="2"/>
  <c r="J13" i="2"/>
  <c r="F23" i="2"/>
  <c r="F21" i="2"/>
  <c r="F20" i="2"/>
  <c r="F18" i="2"/>
  <c r="F16" i="2"/>
  <c r="F17" i="2" s="1"/>
  <c r="F38" i="2" s="1"/>
  <c r="F15" i="2"/>
  <c r="F14" i="2"/>
  <c r="F13" i="2"/>
  <c r="V37" i="2"/>
  <c r="V36" i="2"/>
  <c r="V35" i="2"/>
  <c r="V30" i="2"/>
  <c r="V29" i="2"/>
  <c r="V48" i="2"/>
  <c r="V17" i="2"/>
  <c r="V38" i="2" s="1"/>
  <c r="V5" i="2"/>
  <c r="V6" i="2" s="1"/>
  <c r="U5" i="2"/>
  <c r="U6" i="2" s="1"/>
  <c r="T5" i="2"/>
  <c r="T6" i="2" s="1"/>
  <c r="S5" i="2"/>
  <c r="S6" i="2" s="1"/>
  <c r="R5" i="2"/>
  <c r="R6" i="2" s="1"/>
  <c r="Q5" i="2"/>
  <c r="Q6" i="2" s="1"/>
  <c r="P5" i="2"/>
  <c r="P6" i="2" s="1"/>
  <c r="N5" i="2"/>
  <c r="N6" i="2" s="1"/>
  <c r="M5" i="2"/>
  <c r="M6" i="2" s="1"/>
  <c r="L5" i="2"/>
  <c r="L6" i="2" s="1"/>
  <c r="K5" i="2"/>
  <c r="J5" i="2"/>
  <c r="I5" i="2"/>
  <c r="I6" i="2" s="1"/>
  <c r="H5" i="2"/>
  <c r="H6" i="2" s="1"/>
  <c r="G5" i="2"/>
  <c r="G6" i="2" s="1"/>
  <c r="F5" i="2"/>
  <c r="E5" i="2"/>
  <c r="E6" i="2" s="1"/>
  <c r="D5" i="2"/>
  <c r="D6" i="2" s="1"/>
  <c r="C5" i="2"/>
  <c r="C6" i="2" s="1"/>
  <c r="R20" i="2"/>
  <c r="T30" i="2"/>
  <c r="S30" i="2"/>
  <c r="R30" i="2"/>
  <c r="Q30" i="2"/>
  <c r="U30" i="2"/>
  <c r="T29" i="2"/>
  <c r="S29" i="2"/>
  <c r="R29" i="2"/>
  <c r="Q29" i="2"/>
  <c r="U29" i="2"/>
  <c r="T35" i="2"/>
  <c r="S35" i="2"/>
  <c r="R35" i="2"/>
  <c r="Q35" i="2"/>
  <c r="U35" i="2"/>
  <c r="T36" i="2"/>
  <c r="S36" i="2"/>
  <c r="R36" i="2"/>
  <c r="Q36" i="2"/>
  <c r="U36" i="2"/>
  <c r="T37" i="2"/>
  <c r="S37" i="2"/>
  <c r="R37" i="2"/>
  <c r="Q37" i="2"/>
  <c r="U37" i="2"/>
  <c r="S20" i="2"/>
  <c r="U17" i="2"/>
  <c r="U19" i="2" s="1"/>
  <c r="U22" i="2" s="1"/>
  <c r="U24" i="2" s="1"/>
  <c r="U26" i="2" s="1"/>
  <c r="T17" i="2"/>
  <c r="T19" i="2" s="1"/>
  <c r="T22" i="2" s="1"/>
  <c r="T24" i="2" s="1"/>
  <c r="T26" i="2" s="1"/>
  <c r="S17" i="2"/>
  <c r="S19" i="2" s="1"/>
  <c r="S39" i="2" s="1"/>
  <c r="R17" i="2"/>
  <c r="R38" i="2" s="1"/>
  <c r="Q17" i="2"/>
  <c r="Q38" i="2" s="1"/>
  <c r="P17" i="2"/>
  <c r="P19" i="2" s="1"/>
  <c r="P22" i="2" s="1"/>
  <c r="P24" i="2" s="1"/>
  <c r="V69" i="2"/>
  <c r="U69" i="2"/>
  <c r="T69" i="2"/>
  <c r="S69" i="2"/>
  <c r="R69" i="2"/>
  <c r="Q69" i="2"/>
  <c r="P69" i="2"/>
  <c r="V63" i="2"/>
  <c r="U63" i="2"/>
  <c r="T63" i="2"/>
  <c r="S63" i="2"/>
  <c r="R63" i="2"/>
  <c r="Q63" i="2"/>
  <c r="P63" i="2"/>
  <c r="V58" i="2"/>
  <c r="U58" i="2"/>
  <c r="T58" i="2"/>
  <c r="S58" i="2"/>
  <c r="R58" i="2"/>
  <c r="Q58" i="2"/>
  <c r="P58" i="2"/>
  <c r="V52" i="2"/>
  <c r="U52" i="2"/>
  <c r="T52" i="2"/>
  <c r="S52" i="2"/>
  <c r="R52" i="2"/>
  <c r="Q52" i="2"/>
  <c r="P52" i="2"/>
  <c r="U48" i="2"/>
  <c r="T48" i="2"/>
  <c r="S48" i="2"/>
  <c r="R48" i="2"/>
  <c r="Q48" i="2"/>
  <c r="P48" i="2"/>
  <c r="J97" i="2"/>
  <c r="I97" i="2"/>
  <c r="H97" i="2"/>
  <c r="G97" i="2"/>
  <c r="F97" i="2"/>
  <c r="E97" i="2"/>
  <c r="D97" i="2"/>
  <c r="C97" i="2"/>
  <c r="J93" i="2"/>
  <c r="I93" i="2"/>
  <c r="H93" i="2"/>
  <c r="G93" i="2"/>
  <c r="F93" i="2"/>
  <c r="E93" i="2"/>
  <c r="D93" i="2"/>
  <c r="C93" i="2"/>
  <c r="J86" i="2"/>
  <c r="I86" i="2"/>
  <c r="H86" i="2"/>
  <c r="G86" i="2"/>
  <c r="F86" i="2"/>
  <c r="E86" i="2"/>
  <c r="D86" i="2"/>
  <c r="C86" i="2"/>
  <c r="J69" i="2"/>
  <c r="I69" i="2"/>
  <c r="H69" i="2"/>
  <c r="G69" i="2"/>
  <c r="F69" i="2"/>
  <c r="E69" i="2"/>
  <c r="D69" i="2"/>
  <c r="C69" i="2"/>
  <c r="J63" i="2"/>
  <c r="I63" i="2"/>
  <c r="H63" i="2"/>
  <c r="G63" i="2"/>
  <c r="F63" i="2"/>
  <c r="E63" i="2"/>
  <c r="D63" i="2"/>
  <c r="C63" i="2"/>
  <c r="J58" i="2"/>
  <c r="I58" i="2"/>
  <c r="H58" i="2"/>
  <c r="G58" i="2"/>
  <c r="F58" i="2"/>
  <c r="E58" i="2"/>
  <c r="D58" i="2"/>
  <c r="C58" i="2"/>
  <c r="J52" i="2"/>
  <c r="I52" i="2"/>
  <c r="H52" i="2"/>
  <c r="G52" i="2"/>
  <c r="F52" i="2"/>
  <c r="E52" i="2"/>
  <c r="D52" i="2"/>
  <c r="C52" i="2"/>
  <c r="J48" i="2"/>
  <c r="I48" i="2"/>
  <c r="H48" i="2"/>
  <c r="G48" i="2"/>
  <c r="F48" i="2"/>
  <c r="E48" i="2"/>
  <c r="D48" i="2"/>
  <c r="C48" i="2"/>
  <c r="J37" i="2"/>
  <c r="I37" i="2"/>
  <c r="H37" i="2"/>
  <c r="G37" i="2"/>
  <c r="J17" i="2"/>
  <c r="J38" i="2" s="1"/>
  <c r="I17" i="2"/>
  <c r="I19" i="2" s="1"/>
  <c r="I39" i="2" s="1"/>
  <c r="H17" i="2"/>
  <c r="H19" i="2" s="1"/>
  <c r="H39" i="2" s="1"/>
  <c r="G17" i="2"/>
  <c r="G38" i="2" s="1"/>
  <c r="E17" i="2"/>
  <c r="E19" i="2" s="1"/>
  <c r="D17" i="2"/>
  <c r="D38" i="2" s="1"/>
  <c r="C17" i="2"/>
  <c r="C38" i="2" s="1"/>
  <c r="K6" i="2" l="1"/>
  <c r="J6" i="2"/>
  <c r="F6" i="2"/>
  <c r="V19" i="2"/>
  <c r="V64" i="2"/>
  <c r="V70" i="2" s="1"/>
  <c r="U40" i="2"/>
  <c r="T40" i="2"/>
  <c r="Q53" i="2"/>
  <c r="U53" i="2"/>
  <c r="H22" i="2"/>
  <c r="I40" i="2"/>
  <c r="R19" i="2"/>
  <c r="P53" i="2"/>
  <c r="V53" i="2"/>
  <c r="R64" i="2"/>
  <c r="R70" i="2" s="1"/>
  <c r="T39" i="2"/>
  <c r="U39" i="2"/>
  <c r="P64" i="2"/>
  <c r="P70" i="2" s="1"/>
  <c r="Q64" i="2"/>
  <c r="Q70" i="2" s="1"/>
  <c r="R53" i="2"/>
  <c r="S53" i="2"/>
  <c r="S64" i="2"/>
  <c r="S70" i="2" s="1"/>
  <c r="T53" i="2"/>
  <c r="T72" i="2"/>
  <c r="U72" i="2"/>
  <c r="Q19" i="2"/>
  <c r="U38" i="2"/>
  <c r="P26" i="2"/>
  <c r="P72" i="2"/>
  <c r="S38" i="2"/>
  <c r="T41" i="2"/>
  <c r="D53" i="2"/>
  <c r="T38" i="2"/>
  <c r="U41" i="2"/>
  <c r="S22" i="2"/>
  <c r="T64" i="2"/>
  <c r="T70" i="2" s="1"/>
  <c r="U64" i="2"/>
  <c r="U70" i="2" s="1"/>
  <c r="D64" i="2"/>
  <c r="D70" i="2" s="1"/>
  <c r="E64" i="2"/>
  <c r="E70" i="2" s="1"/>
  <c r="I53" i="2"/>
  <c r="F64" i="2"/>
  <c r="F70" i="2" s="1"/>
  <c r="H38" i="2"/>
  <c r="I38" i="2"/>
  <c r="J53" i="2"/>
  <c r="G19" i="2"/>
  <c r="H40" i="2" s="1"/>
  <c r="I64" i="2"/>
  <c r="I70" i="2" s="1"/>
  <c r="J64" i="2"/>
  <c r="J70" i="2" s="1"/>
  <c r="F53" i="2"/>
  <c r="H53" i="2"/>
  <c r="F19" i="2"/>
  <c r="E38" i="2"/>
  <c r="E53" i="2"/>
  <c r="H64" i="2"/>
  <c r="H70" i="2" s="1"/>
  <c r="E22" i="2"/>
  <c r="E39" i="2"/>
  <c r="G64" i="2"/>
  <c r="G70" i="2" s="1"/>
  <c r="G53" i="2"/>
  <c r="I22" i="2"/>
  <c r="J19" i="2"/>
  <c r="J40" i="2" s="1"/>
  <c r="C64" i="2"/>
  <c r="C70" i="2" s="1"/>
  <c r="C19" i="2"/>
  <c r="D19" i="2"/>
  <c r="C53" i="2"/>
  <c r="V39" i="2" l="1"/>
  <c r="V22" i="2"/>
  <c r="V40" i="2"/>
  <c r="Q22" i="2"/>
  <c r="Q24" i="2" s="1"/>
  <c r="Q40" i="2"/>
  <c r="S40" i="2"/>
  <c r="R40" i="2"/>
  <c r="F22" i="2"/>
  <c r="F41" i="2" s="1"/>
  <c r="F40" i="2"/>
  <c r="G39" i="2"/>
  <c r="G40" i="2"/>
  <c r="D40" i="2"/>
  <c r="E40" i="2"/>
  <c r="J7" i="1"/>
  <c r="R22" i="2"/>
  <c r="R41" i="2" s="1"/>
  <c r="R39" i="2"/>
  <c r="Q39" i="2"/>
  <c r="S24" i="2"/>
  <c r="S41" i="2"/>
  <c r="F39" i="2"/>
  <c r="G22" i="2"/>
  <c r="G41" i="2" s="1"/>
  <c r="D22" i="2"/>
  <c r="D39" i="2"/>
  <c r="H24" i="2"/>
  <c r="H26" i="2" s="1"/>
  <c r="H41" i="2"/>
  <c r="C22" i="2"/>
  <c r="C39" i="2"/>
  <c r="J39" i="2"/>
  <c r="J22" i="2"/>
  <c r="I24" i="2"/>
  <c r="I26" i="2" s="1"/>
  <c r="I41" i="2"/>
  <c r="E41" i="2"/>
  <c r="E24" i="2"/>
  <c r="E26" i="2" s="1"/>
  <c r="V41" i="2" l="1"/>
  <c r="V24" i="2"/>
  <c r="R24" i="2"/>
  <c r="Q72" i="2"/>
  <c r="Q26" i="2"/>
  <c r="Q41" i="2"/>
  <c r="F24" i="2"/>
  <c r="S26" i="2"/>
  <c r="S72" i="2"/>
  <c r="G24" i="2"/>
  <c r="E72" i="2"/>
  <c r="E87" i="2" s="1"/>
  <c r="E99" i="2" s="1"/>
  <c r="C41" i="2"/>
  <c r="C24" i="2"/>
  <c r="I72" i="2"/>
  <c r="I87" i="2" s="1"/>
  <c r="I99" i="2" s="1"/>
  <c r="J24" i="2"/>
  <c r="J26" i="2" s="1"/>
  <c r="J41" i="2"/>
  <c r="H72" i="2"/>
  <c r="H87" i="2" s="1"/>
  <c r="H99" i="2" s="1"/>
  <c r="D41" i="2"/>
  <c r="D24" i="2"/>
  <c r="D26" i="2" s="1"/>
  <c r="F72" i="2" l="1"/>
  <c r="F87" i="2" s="1"/>
  <c r="F99" i="2" s="1"/>
  <c r="F26" i="2"/>
  <c r="V26" i="2"/>
  <c r="V72" i="2"/>
  <c r="R26" i="2"/>
  <c r="R72" i="2"/>
  <c r="G72" i="2"/>
  <c r="G87" i="2" s="1"/>
  <c r="G99" i="2" s="1"/>
  <c r="G101" i="2" s="1"/>
  <c r="G26" i="2"/>
  <c r="D72" i="2"/>
  <c r="D87" i="2" s="1"/>
  <c r="D99" i="2" s="1"/>
  <c r="C72" i="2"/>
  <c r="C87" i="2" s="1"/>
  <c r="C99" i="2" s="1"/>
  <c r="C101" i="2" s="1"/>
  <c r="C26" i="2"/>
  <c r="J72" i="2"/>
  <c r="J87" i="2" s="1"/>
  <c r="J99" i="2" s="1"/>
</calcChain>
</file>

<file path=xl/sharedStrings.xml><?xml version="1.0" encoding="utf-8"?>
<sst xmlns="http://schemas.openxmlformats.org/spreadsheetml/2006/main" count="165" uniqueCount="154">
  <si>
    <t>GAP</t>
  </si>
  <si>
    <t>SEC</t>
  </si>
  <si>
    <t>IR</t>
  </si>
  <si>
    <t>Price</t>
  </si>
  <si>
    <t>Shares</t>
  </si>
  <si>
    <t>Q124</t>
  </si>
  <si>
    <t>MC</t>
  </si>
  <si>
    <t>Cash</t>
  </si>
  <si>
    <t>Debt</t>
  </si>
  <si>
    <t>EV</t>
  </si>
  <si>
    <t>GAP Inc</t>
  </si>
  <si>
    <t>Main</t>
  </si>
  <si>
    <t>Revenue</t>
  </si>
  <si>
    <t>COGS</t>
  </si>
  <si>
    <t>Gross Profit</t>
  </si>
  <si>
    <t>Q224</t>
  </si>
  <si>
    <t>Q324</t>
  </si>
  <si>
    <t>Q424</t>
  </si>
  <si>
    <t>FY18</t>
  </si>
  <si>
    <t>FY19</t>
  </si>
  <si>
    <t>FY20</t>
  </si>
  <si>
    <t>FY21</t>
  </si>
  <si>
    <t>FY22</t>
  </si>
  <si>
    <t>FY23</t>
  </si>
  <si>
    <t>FY24</t>
  </si>
  <si>
    <t>Operating Expenses</t>
  </si>
  <si>
    <t>Operating Income</t>
  </si>
  <si>
    <t>Interest Expense</t>
  </si>
  <si>
    <t>Interest Income</t>
  </si>
  <si>
    <t>Pretax Income</t>
  </si>
  <si>
    <t>Net Income</t>
  </si>
  <si>
    <t>Income Tax Expense</t>
  </si>
  <si>
    <t>EPS</t>
  </si>
  <si>
    <t>Revenue Growth</t>
  </si>
  <si>
    <t>Gross Margin</t>
  </si>
  <si>
    <t>Operating Margin</t>
  </si>
  <si>
    <t>Tax Rate</t>
  </si>
  <si>
    <t>Cash and Cash Equivalents</t>
  </si>
  <si>
    <t>Short Term Investments</t>
  </si>
  <si>
    <t>Merchandise Invesntory</t>
  </si>
  <si>
    <t xml:space="preserve">Other Current Assets </t>
  </si>
  <si>
    <t>Total Current Assets</t>
  </si>
  <si>
    <t>Accrued Expenses</t>
  </si>
  <si>
    <t>PP&amp;E</t>
  </si>
  <si>
    <t>Lease Assets</t>
  </si>
  <si>
    <t>Other</t>
  </si>
  <si>
    <t>Total Non Current Assets</t>
  </si>
  <si>
    <t>Total Assets</t>
  </si>
  <si>
    <t>Accounts Payabales</t>
  </si>
  <si>
    <t>Current Portion of Lease Liabilities</t>
  </si>
  <si>
    <t>Income Tax Paybles</t>
  </si>
  <si>
    <t>Total Current Liabilties</t>
  </si>
  <si>
    <t>Revolver Credit</t>
  </si>
  <si>
    <t>Lease Debt</t>
  </si>
  <si>
    <t>Total Long-Term Liabilities</t>
  </si>
  <si>
    <t>Total Liabilities</t>
  </si>
  <si>
    <t>Common Stock</t>
  </si>
  <si>
    <t>Paid in Capital</t>
  </si>
  <si>
    <t>Retained Earnings</t>
  </si>
  <si>
    <t>Comprehensive Income</t>
  </si>
  <si>
    <t>Total Equity</t>
  </si>
  <si>
    <t>Total Liabilities and Equity</t>
  </si>
  <si>
    <t>D&amp;A</t>
  </si>
  <si>
    <t>Share-based Compensations</t>
  </si>
  <si>
    <t>Other Non-Cash Adjustments</t>
  </si>
  <si>
    <t>Gain on Sale of Building</t>
  </si>
  <si>
    <t>Deffered Income Tax</t>
  </si>
  <si>
    <t>Change in WC:</t>
  </si>
  <si>
    <t>Inventory</t>
  </si>
  <si>
    <t>Account Payables</t>
  </si>
  <si>
    <t>Income Tax Payables</t>
  </si>
  <si>
    <t>Other Current Liabilties</t>
  </si>
  <si>
    <t>Other Current Assets</t>
  </si>
  <si>
    <t>Total</t>
  </si>
  <si>
    <t>CFFO</t>
  </si>
  <si>
    <t>Operating Lease assets/liabilties</t>
  </si>
  <si>
    <t>CapEx</t>
  </si>
  <si>
    <t>Sales of Building</t>
  </si>
  <si>
    <t>Purchase of Short Term Investments</t>
  </si>
  <si>
    <t>Sale of Short Term Investments</t>
  </si>
  <si>
    <t>Devisititure Activity</t>
  </si>
  <si>
    <t>CFFI</t>
  </si>
  <si>
    <t>Issuance of Stock based Compensations</t>
  </si>
  <si>
    <t>Withhold Taxpayments for vest stocks</t>
  </si>
  <si>
    <t>Dividend paid</t>
  </si>
  <si>
    <t>CFFF</t>
  </si>
  <si>
    <t>Net Change in Cash</t>
  </si>
  <si>
    <t>Cash BOP</t>
  </si>
  <si>
    <t>Cash EOP</t>
  </si>
  <si>
    <t>Business Model</t>
  </si>
  <si>
    <t>Brand</t>
  </si>
  <si>
    <t>Old Navy</t>
  </si>
  <si>
    <t>Banana Republic</t>
  </si>
  <si>
    <t>Athleta Brands</t>
  </si>
  <si>
    <t>Notes</t>
  </si>
  <si>
    <t>% of Rev</t>
  </si>
  <si>
    <t>Products</t>
  </si>
  <si>
    <t>Competitors</t>
  </si>
  <si>
    <t>Appereal, Accessoires, Personal Care</t>
  </si>
  <si>
    <t>"Affordable" Lifestyle Brand -&gt; Appereal, Accessoires</t>
  </si>
  <si>
    <t>H&amp;M, Zara</t>
  </si>
  <si>
    <t>Premium Men/Womenwear, Home Products</t>
  </si>
  <si>
    <t>RL, Marco Polo, Lacoste</t>
  </si>
  <si>
    <t>Appereal &amp; Accessoires</t>
  </si>
  <si>
    <t>Abercrombie</t>
  </si>
  <si>
    <t>Premium Fitness Lifestyle Products</t>
  </si>
  <si>
    <t>Lululemon, Nike, etc.</t>
  </si>
  <si>
    <t>Number of Stores</t>
  </si>
  <si>
    <t>Franchise Stores</t>
  </si>
  <si>
    <t>Store Revenue</t>
  </si>
  <si>
    <t>Online Shop Revenue</t>
  </si>
  <si>
    <t>Store Growth</t>
  </si>
  <si>
    <t>Franchise Growth</t>
  </si>
  <si>
    <t>Store Revenue Growth</t>
  </si>
  <si>
    <t>Contribution Margin</t>
  </si>
  <si>
    <t>P/E</t>
  </si>
  <si>
    <t>Q225</t>
  </si>
  <si>
    <t>Q125</t>
  </si>
  <si>
    <t>Q325</t>
  </si>
  <si>
    <t>Q425</t>
  </si>
  <si>
    <t>FX effects</t>
  </si>
  <si>
    <t>numbers in mio USD</t>
  </si>
  <si>
    <t>Q123</t>
  </si>
  <si>
    <t>Q423</t>
  </si>
  <si>
    <t>FY25</t>
  </si>
  <si>
    <t>ARPS</t>
  </si>
  <si>
    <t>Total Stores</t>
  </si>
  <si>
    <t>Old Navy Global</t>
  </si>
  <si>
    <t>Gap Global</t>
  </si>
  <si>
    <t>Banana Republic Global</t>
  </si>
  <si>
    <t>Athleta Global</t>
  </si>
  <si>
    <t>Old Navy Growth</t>
  </si>
  <si>
    <t>GAP Growth</t>
  </si>
  <si>
    <t>Banana Republic Growth</t>
  </si>
  <si>
    <t>Athletea Growth</t>
  </si>
  <si>
    <t>Online Growth</t>
  </si>
  <si>
    <t>Founded 1969</t>
  </si>
  <si>
    <t>Managment</t>
  </si>
  <si>
    <t>CEO</t>
  </si>
  <si>
    <t>CFO</t>
  </si>
  <si>
    <t>Richard Dickson</t>
  </si>
  <si>
    <t>Katrina O'Connell</t>
  </si>
  <si>
    <t>Old Navy CEO</t>
  </si>
  <si>
    <t>Haip Barbeito</t>
  </si>
  <si>
    <t>GAP CEO</t>
  </si>
  <si>
    <t>Mark Breitbard</t>
  </si>
  <si>
    <t>Athleta CEO</t>
  </si>
  <si>
    <t>Chris Blakeslee</t>
  </si>
  <si>
    <t>CSO</t>
  </si>
  <si>
    <t>CPO</t>
  </si>
  <si>
    <t>Eric Chan</t>
  </si>
  <si>
    <t>Amy Thompson</t>
  </si>
  <si>
    <t>Creative Director</t>
  </si>
  <si>
    <t>Zac Posen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</si>
</sst>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164" formatCode="#,##0.0;\(#,##0.0\)"/>
    <numFmt numFmtId="165" formatCode="#,##0.00;\(\-#,##0.00\)"/>
    <numFmt numFmtId="166" formatCode="#,##0.00;\(#,##0.00\)"/>
    <numFmt numFmtId="167" formatCode="#,##0;\(#,##0\)"/>
    <numFmt numFmtId="168" formatCode="0.0%"/>
  </numFmts>
  <fonts count="8" x14ac:knownFonts="1">
    <font>
      <sz val="11"/>
      <color theme="1"/>
      <name val="Aptos Narrow"/>
      <family val="2"/>
      <scheme val="minor"/>
    </font>
    <font>
      <sz val="10"/>
      <color theme="1"/>
      <name val="Arial"/>
      <family val="2"/>
    </font>
    <font>
      <sz val="10"/>
      <color theme="1"/>
      <name val="Arial"/>
      <family val="2"/>
    </font>
    <font>
      <u/>
      <sz val="11"/>
      <color theme="10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0"/>
      <color theme="1"/>
      <name val="Arial"/>
      <family val="2"/>
    </font>
    <font>
      <u/>
      <sz val="10"/>
      <color theme="10"/>
      <name val="Arial"/>
      <family val="2"/>
    </font>
    <font>
      <b/>
      <u/>
      <sz val="10"/>
      <color theme="1"/>
      <name val="Arial"/>
      <family val="2"/>
    </font>
  </fonts>
  <fills count="2">
    <fill>
      <patternFill patternType="none"/>
    </fill>
    <fill>
      <patternFill patternType="gray125"/>
    </fill>
  </fills>
  <borders count="12">
    <border>
      <left/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 style="thin">
        <color indexed="64"/>
      </right>
      <top/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</borders>
  <cellStyleXfs count="3">
    <xf numFmtId="0" fontId="0" fillId="0" borderId="0"/>
    <xf numFmtId="0" fontId="3" fillId="0" borderId="0" applyNumberFormat="0" applyFill="0" applyBorder="0" applyAlignment="0" applyProtection="0"/>
    <xf numFmtId="9" fontId="4" fillId="0" borderId="0" applyFont="0" applyFill="0" applyBorder="0" applyAlignment="0" applyProtection="0"/>
  </cellStyleXfs>
  <cellXfs count="33">
    <xf numFmtId="0" fontId="0" fillId="0" borderId="0" xfId="0"/>
    <xf numFmtId="0" fontId="5" fillId="0" borderId="0" xfId="0" applyFont="1"/>
    <xf numFmtId="0" fontId="2" fillId="0" borderId="0" xfId="0" applyFont="1"/>
    <xf numFmtId="164" fontId="2" fillId="0" borderId="0" xfId="0" applyNumberFormat="1" applyFont="1"/>
    <xf numFmtId="0" fontId="2" fillId="0" borderId="0" xfId="0" applyFont="1" applyAlignment="1">
      <alignment horizontal="right"/>
    </xf>
    <xf numFmtId="0" fontId="6" fillId="0" borderId="0" xfId="1" applyFont="1"/>
    <xf numFmtId="167" fontId="2" fillId="0" borderId="0" xfId="0" applyNumberFormat="1" applyFont="1"/>
    <xf numFmtId="0" fontId="7" fillId="0" borderId="1" xfId="0" applyFont="1" applyBorder="1"/>
    <xf numFmtId="0" fontId="7" fillId="0" borderId="2" xfId="0" applyFont="1" applyBorder="1"/>
    <xf numFmtId="0" fontId="7" fillId="0" borderId="3" xfId="0" applyFont="1" applyBorder="1"/>
    <xf numFmtId="0" fontId="2" fillId="0" borderId="4" xfId="0" applyFont="1" applyBorder="1"/>
    <xf numFmtId="168" fontId="2" fillId="0" borderId="5" xfId="2" applyNumberFormat="1" applyFont="1" applyBorder="1"/>
    <xf numFmtId="0" fontId="2" fillId="0" borderId="5" xfId="0" applyFont="1" applyBorder="1"/>
    <xf numFmtId="0" fontId="2" fillId="0" borderId="6" xfId="0" applyFont="1" applyBorder="1"/>
    <xf numFmtId="0" fontId="2" fillId="0" borderId="7" xfId="0" applyFont="1" applyBorder="1"/>
    <xf numFmtId="168" fontId="2" fillId="0" borderId="0" xfId="0" applyNumberFormat="1" applyFont="1"/>
    <xf numFmtId="0" fontId="2" fillId="0" borderId="8" xfId="0" applyFont="1" applyBorder="1"/>
    <xf numFmtId="168" fontId="2" fillId="0" borderId="0" xfId="2" applyNumberFormat="1" applyFont="1"/>
    <xf numFmtId="2" fontId="2" fillId="0" borderId="0" xfId="0" applyNumberFormat="1" applyFont="1"/>
    <xf numFmtId="0" fontId="2" fillId="0" borderId="9" xfId="0" applyFont="1" applyBorder="1"/>
    <xf numFmtId="0" fontId="2" fillId="0" borderId="10" xfId="0" applyFont="1" applyBorder="1"/>
    <xf numFmtId="0" fontId="2" fillId="0" borderId="11" xfId="0" applyFont="1" applyBorder="1"/>
    <xf numFmtId="0" fontId="7" fillId="0" borderId="0" xfId="0" applyFont="1"/>
    <xf numFmtId="10" fontId="2" fillId="0" borderId="0" xfId="0" applyNumberFormat="1" applyFont="1"/>
    <xf numFmtId="167" fontId="5" fillId="0" borderId="0" xfId="0" applyNumberFormat="1" applyFont="1"/>
    <xf numFmtId="166" fontId="2" fillId="0" borderId="0" xfId="0" applyNumberFormat="1" applyFont="1"/>
    <xf numFmtId="0" fontId="2" fillId="0" borderId="0" xfId="0" applyFont="1" applyAlignment="1">
      <alignment horizontal="center"/>
    </xf>
    <xf numFmtId="165" fontId="2" fillId="0" borderId="0" xfId="0" applyNumberFormat="1" applyFont="1"/>
    <xf numFmtId="9" fontId="2" fillId="0" borderId="0" xfId="2" applyFont="1"/>
    <xf numFmtId="165" fontId="5" fillId="0" borderId="0" xfId="0" applyNumberFormat="1" applyFont="1"/>
    <xf numFmtId="9" fontId="5" fillId="0" borderId="0" xfId="2" applyFont="1"/>
    <xf numFmtId="166" fontId="5" fillId="0" borderId="0" xfId="0" applyNumberFormat="1" applyFont="1"/>
    <xf numFmtId="0" fontId="1" fillId="0" borderId="0" xfId="0" applyFont="1" applyAlignment="1">
      <alignment horizontal="right"/>
    </xf>
  </cellXfs>
  <cellStyles count="3">
    <cellStyle name="Hyperlink" xfId="1" builtinId="8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hyperlink" Target="https://www.gapinc.com/en-us/investors" TargetMode="External"/><Relationship Id="rId1" Type="http://schemas.openxmlformats.org/officeDocument/2006/relationships/hyperlink" Target="https://www.sec.gov/edgar/browse/?CIK=39911&amp;owner=exclude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7C29C52-BB44-40A0-B598-95160E4D3AF4}">
  <dimension ref="A1:K21"/>
  <sheetViews>
    <sheetView tabSelected="1" topLeftCell="E1" zoomScale="200" zoomScaleNormal="200" workbookViewId="0">
      <selection activeCell="H10" sqref="H10"/>
    </sheetView>
  </sheetViews>
  <sheetFormatPr defaultRowHeight="12.75" x14ac:dyDescent="0.2"/>
  <cols>
    <col min="1" max="1" width="3.42578125" style="2" customWidth="1"/>
    <col min="2" max="2" width="14.42578125" style="2" bestFit="1" customWidth="1"/>
    <col min="3" max="3" width="9.140625" style="2"/>
    <col min="4" max="4" width="43.5703125" style="2" bestFit="1" customWidth="1"/>
    <col min="5" max="5" width="20.28515625" style="2" bestFit="1" customWidth="1"/>
    <col min="6" max="6" width="11.5703125" style="2" customWidth="1"/>
    <col min="7" max="7" width="15.5703125" style="2" bestFit="1" customWidth="1"/>
    <col min="8" max="16384" width="9.140625" style="2"/>
  </cols>
  <sheetData>
    <row r="1" spans="1:11" x14ac:dyDescent="0.2">
      <c r="A1" s="1" t="s">
        <v>10</v>
      </c>
    </row>
    <row r="2" spans="1:11" x14ac:dyDescent="0.2">
      <c r="A2" s="2" t="s">
        <v>121</v>
      </c>
      <c r="I2" s="2" t="s">
        <v>3</v>
      </c>
      <c r="J2" s="2">
        <v>27.09</v>
      </c>
    </row>
    <row r="3" spans="1:11" x14ac:dyDescent="0.2">
      <c r="I3" s="2" t="s">
        <v>4</v>
      </c>
      <c r="J3" s="3">
        <v>371.92174</v>
      </c>
      <c r="K3" s="32" t="s">
        <v>118</v>
      </c>
    </row>
    <row r="4" spans="1:11" x14ac:dyDescent="0.2">
      <c r="B4" s="5" t="s">
        <v>2</v>
      </c>
      <c r="C4" s="5" t="s">
        <v>1</v>
      </c>
      <c r="I4" s="2" t="s">
        <v>6</v>
      </c>
      <c r="J4" s="6">
        <f>J3*J2</f>
        <v>10075.3599366</v>
      </c>
      <c r="K4" s="4"/>
    </row>
    <row r="5" spans="1:11" x14ac:dyDescent="0.2">
      <c r="B5" s="1" t="s">
        <v>89</v>
      </c>
      <c r="I5" s="2" t="s">
        <v>7</v>
      </c>
      <c r="J5" s="6">
        <f>2262+255</f>
        <v>2517</v>
      </c>
      <c r="K5" s="32" t="s">
        <v>118</v>
      </c>
    </row>
    <row r="6" spans="1:11" x14ac:dyDescent="0.2">
      <c r="B6" s="7" t="s">
        <v>90</v>
      </c>
      <c r="C6" s="8" t="s">
        <v>95</v>
      </c>
      <c r="D6" s="8" t="s">
        <v>96</v>
      </c>
      <c r="E6" s="8" t="s">
        <v>97</v>
      </c>
      <c r="F6" s="9"/>
      <c r="I6" s="2" t="s">
        <v>8</v>
      </c>
      <c r="J6" s="6">
        <v>1491</v>
      </c>
      <c r="K6" s="32" t="s">
        <v>118</v>
      </c>
    </row>
    <row r="7" spans="1:11" x14ac:dyDescent="0.2">
      <c r="B7" s="10" t="s">
        <v>0</v>
      </c>
      <c r="C7" s="11">
        <v>0.22099960228026</v>
      </c>
      <c r="D7" s="12" t="s">
        <v>103</v>
      </c>
      <c r="E7" s="12" t="s">
        <v>104</v>
      </c>
      <c r="F7" s="13"/>
      <c r="I7" s="2" t="s">
        <v>9</v>
      </c>
      <c r="J7" s="6">
        <f>J4+J6-J5</f>
        <v>9049.3599365999999</v>
      </c>
    </row>
    <row r="8" spans="1:11" x14ac:dyDescent="0.2">
      <c r="B8" s="14" t="s">
        <v>91</v>
      </c>
      <c r="C8" s="15">
        <v>0.55687392284237003</v>
      </c>
      <c r="D8" s="2" t="s">
        <v>99</v>
      </c>
      <c r="E8" s="2" t="s">
        <v>100</v>
      </c>
      <c r="F8" s="16"/>
    </row>
    <row r="9" spans="1:11" x14ac:dyDescent="0.2">
      <c r="B9" s="14" t="s">
        <v>92</v>
      </c>
      <c r="C9" s="17">
        <v>0.13210924035529631</v>
      </c>
      <c r="D9" s="2" t="s">
        <v>101</v>
      </c>
      <c r="E9" s="2" t="s">
        <v>102</v>
      </c>
      <c r="F9" s="16"/>
      <c r="I9" s="2" t="s">
        <v>115</v>
      </c>
      <c r="J9" s="18">
        <f>+J4/844</f>
        <v>11.937630256635071</v>
      </c>
    </row>
    <row r="10" spans="1:11" x14ac:dyDescent="0.2">
      <c r="B10" s="14" t="s">
        <v>93</v>
      </c>
      <c r="C10" s="17">
        <v>8.9685801405276419E-2</v>
      </c>
      <c r="D10" s="2" t="s">
        <v>105</v>
      </c>
      <c r="E10" s="2" t="s">
        <v>106</v>
      </c>
      <c r="F10" s="16"/>
    </row>
    <row r="11" spans="1:11" x14ac:dyDescent="0.2">
      <c r="B11" s="19"/>
      <c r="C11" s="20"/>
      <c r="D11" s="20"/>
      <c r="E11" s="20"/>
      <c r="F11" s="21"/>
    </row>
    <row r="13" spans="1:11" x14ac:dyDescent="0.2">
      <c r="B13" s="22" t="s">
        <v>94</v>
      </c>
      <c r="G13" s="22" t="s">
        <v>137</v>
      </c>
    </row>
    <row r="14" spans="1:11" x14ac:dyDescent="0.2">
      <c r="B14" s="2" t="s">
        <v>98</v>
      </c>
      <c r="G14" s="2" t="s">
        <v>138</v>
      </c>
      <c r="H14" s="2" t="s">
        <v>140</v>
      </c>
    </row>
    <row r="15" spans="1:11" x14ac:dyDescent="0.2">
      <c r="B15" s="2" t="s">
        <v>136</v>
      </c>
      <c r="G15" s="2" t="s">
        <v>139</v>
      </c>
      <c r="H15" s="2" t="s">
        <v>141</v>
      </c>
    </row>
    <row r="16" spans="1:11" x14ac:dyDescent="0.2">
      <c r="C16" s="23"/>
      <c r="G16" s="2" t="s">
        <v>142</v>
      </c>
      <c r="H16" s="2" t="s">
        <v>143</v>
      </c>
    </row>
    <row r="17" spans="7:8" x14ac:dyDescent="0.2">
      <c r="G17" s="2" t="s">
        <v>144</v>
      </c>
      <c r="H17" s="2" t="s">
        <v>145</v>
      </c>
    </row>
    <row r="18" spans="7:8" x14ac:dyDescent="0.2">
      <c r="G18" s="2" t="s">
        <v>146</v>
      </c>
      <c r="H18" s="2" t="s">
        <v>147</v>
      </c>
    </row>
    <row r="19" spans="7:8" x14ac:dyDescent="0.2">
      <c r="G19" s="2" t="s">
        <v>148</v>
      </c>
      <c r="H19" s="2" t="s">
        <v>150</v>
      </c>
    </row>
    <row r="20" spans="7:8" x14ac:dyDescent="0.2">
      <c r="G20" s="2" t="s">
        <v>149</v>
      </c>
      <c r="H20" s="2" t="s">
        <v>151</v>
      </c>
    </row>
    <row r="21" spans="7:8" x14ac:dyDescent="0.2">
      <c r="G21" s="2" t="s">
        <v>152</v>
      </c>
      <c r="H21" s="2" t="s">
        <v>153</v>
      </c>
    </row>
  </sheetData>
  <hyperlinks>
    <hyperlink ref="C4" r:id="rId1" xr:uid="{EB8B7E33-70DC-4300-ADDE-D9FA973757D7}"/>
    <hyperlink ref="B4" r:id="rId2" xr:uid="{D96CEBDF-83D5-4016-B4E8-9E391024B126}"/>
  </hyperlink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16EEEBF-2CF3-46B3-9270-C39008852D3A}">
  <dimension ref="A1:AH210"/>
  <sheetViews>
    <sheetView zoomScale="200" zoomScaleNormal="200" workbookViewId="0">
      <pane xSplit="2" ySplit="2" topLeftCell="I3" activePane="bottomRight" state="frozen"/>
      <selection pane="topRight" activeCell="C1" sqref="C1"/>
      <selection pane="bottomLeft" activeCell="A3" sqref="A3"/>
      <selection pane="bottomRight" activeCell="M5" sqref="M5"/>
    </sheetView>
  </sheetViews>
  <sheetFormatPr defaultRowHeight="12.75" x14ac:dyDescent="0.2"/>
  <cols>
    <col min="1" max="1" width="4.7109375" style="26" bestFit="1" customWidth="1"/>
    <col min="2" max="2" width="33.85546875" style="2" bestFit="1" customWidth="1"/>
    <col min="3" max="10" width="8.85546875" style="2" bestFit="1" customWidth="1"/>
    <col min="11" max="13" width="8.85546875" style="2" customWidth="1"/>
    <col min="14" max="15" width="9.140625" style="2"/>
    <col min="16" max="17" width="8.85546875" style="2" bestFit="1" customWidth="1"/>
    <col min="18" max="18" width="9.140625" style="2" bestFit="1" customWidth="1"/>
    <col min="19" max="21" width="8.85546875" style="2" bestFit="1" customWidth="1"/>
    <col min="22" max="16384" width="9.140625" style="2"/>
  </cols>
  <sheetData>
    <row r="1" spans="1:34" x14ac:dyDescent="0.2">
      <c r="A1" s="5" t="s">
        <v>11</v>
      </c>
    </row>
    <row r="2" spans="1:34" x14ac:dyDescent="0.2">
      <c r="A2" s="2"/>
      <c r="C2" s="4" t="s">
        <v>122</v>
      </c>
      <c r="D2" s="4" t="s">
        <v>15</v>
      </c>
      <c r="E2" s="4" t="s">
        <v>16</v>
      </c>
      <c r="F2" s="4" t="s">
        <v>123</v>
      </c>
      <c r="G2" s="4" t="s">
        <v>5</v>
      </c>
      <c r="H2" s="4" t="s">
        <v>15</v>
      </c>
      <c r="I2" s="4" t="s">
        <v>16</v>
      </c>
      <c r="J2" s="4" t="s">
        <v>17</v>
      </c>
      <c r="K2" s="4" t="s">
        <v>117</v>
      </c>
      <c r="L2" s="4" t="s">
        <v>116</v>
      </c>
      <c r="M2" s="4" t="s">
        <v>118</v>
      </c>
      <c r="N2" s="4" t="s">
        <v>119</v>
      </c>
      <c r="O2" s="4"/>
      <c r="P2" s="4" t="s">
        <v>18</v>
      </c>
      <c r="Q2" s="4" t="s">
        <v>19</v>
      </c>
      <c r="R2" s="4" t="s">
        <v>20</v>
      </c>
      <c r="S2" s="4" t="s">
        <v>21</v>
      </c>
      <c r="T2" s="4" t="s">
        <v>22</v>
      </c>
      <c r="U2" s="4" t="s">
        <v>23</v>
      </c>
      <c r="V2" s="4" t="s">
        <v>24</v>
      </c>
      <c r="W2" s="4" t="s">
        <v>124</v>
      </c>
    </row>
    <row r="3" spans="1:34" x14ac:dyDescent="0.2">
      <c r="A3" s="2"/>
      <c r="B3" s="2" t="s">
        <v>107</v>
      </c>
      <c r="C3" s="6">
        <v>2601</v>
      </c>
      <c r="D3" s="6">
        <v>2592</v>
      </c>
      <c r="E3" s="6">
        <v>2598</v>
      </c>
      <c r="F3" s="6">
        <v>2562</v>
      </c>
      <c r="G3" s="6">
        <v>2554</v>
      </c>
      <c r="H3" s="6">
        <v>2541</v>
      </c>
      <c r="I3" s="6">
        <v>2544</v>
      </c>
      <c r="J3" s="6">
        <v>2506</v>
      </c>
      <c r="K3" s="6">
        <v>2496</v>
      </c>
      <c r="L3" s="6">
        <v>2440</v>
      </c>
      <c r="M3" s="6">
        <v>2497</v>
      </c>
      <c r="N3" s="6"/>
      <c r="O3" s="6"/>
      <c r="P3" s="6">
        <v>3194</v>
      </c>
      <c r="Q3" s="6">
        <v>3345</v>
      </c>
      <c r="R3" s="6">
        <v>2835</v>
      </c>
      <c r="S3" s="6">
        <v>2685</v>
      </c>
      <c r="T3" s="6">
        <v>2685</v>
      </c>
      <c r="U3" s="6">
        <v>2562</v>
      </c>
      <c r="V3" s="6">
        <v>2506</v>
      </c>
      <c r="W3" s="6"/>
      <c r="X3" s="6"/>
      <c r="Y3" s="6"/>
      <c r="Z3" s="6"/>
      <c r="AA3" s="6"/>
      <c r="AB3" s="6"/>
      <c r="AC3" s="6"/>
      <c r="AD3" s="6"/>
    </row>
    <row r="4" spans="1:34" x14ac:dyDescent="0.2">
      <c r="A4" s="2"/>
      <c r="B4" s="2" t="s">
        <v>108</v>
      </c>
      <c r="C4" s="6">
        <v>852</v>
      </c>
      <c r="D4" s="6">
        <v>864</v>
      </c>
      <c r="E4" s="6">
        <v>935</v>
      </c>
      <c r="F4" s="6">
        <v>998</v>
      </c>
      <c r="G4" s="6">
        <v>1017</v>
      </c>
      <c r="H4" s="6">
        <v>1027</v>
      </c>
      <c r="I4" s="6">
        <v>1059</v>
      </c>
      <c r="J4" s="6">
        <v>1063</v>
      </c>
      <c r="K4" s="6">
        <v>1000</v>
      </c>
      <c r="L4" s="6">
        <v>1285</v>
      </c>
      <c r="M4" s="6">
        <v>1000</v>
      </c>
      <c r="N4" s="6"/>
      <c r="O4" s="6"/>
      <c r="P4" s="6">
        <v>472</v>
      </c>
      <c r="Q4" s="6">
        <v>574</v>
      </c>
      <c r="R4" s="6">
        <v>564</v>
      </c>
      <c r="S4" s="6">
        <v>667</v>
      </c>
      <c r="T4" s="6">
        <v>667</v>
      </c>
      <c r="U4" s="6">
        <v>998</v>
      </c>
      <c r="V4" s="6">
        <v>1063</v>
      </c>
      <c r="W4" s="6"/>
      <c r="X4" s="6"/>
      <c r="Y4" s="6"/>
      <c r="Z4" s="6"/>
      <c r="AA4" s="6"/>
      <c r="AB4" s="6"/>
      <c r="AC4" s="6"/>
      <c r="AD4" s="6"/>
    </row>
    <row r="5" spans="1:34" x14ac:dyDescent="0.2">
      <c r="A5" s="2"/>
      <c r="B5" s="1" t="s">
        <v>126</v>
      </c>
      <c r="C5" s="24">
        <f>+C3+C4</f>
        <v>3453</v>
      </c>
      <c r="D5" s="24">
        <f t="shared" ref="D5:N5" si="0">+D3+D4</f>
        <v>3456</v>
      </c>
      <c r="E5" s="24">
        <f t="shared" si="0"/>
        <v>3533</v>
      </c>
      <c r="F5" s="24">
        <f t="shared" si="0"/>
        <v>3560</v>
      </c>
      <c r="G5" s="24">
        <f t="shared" si="0"/>
        <v>3571</v>
      </c>
      <c r="H5" s="24">
        <f t="shared" si="0"/>
        <v>3568</v>
      </c>
      <c r="I5" s="24">
        <f t="shared" si="0"/>
        <v>3603</v>
      </c>
      <c r="J5" s="24">
        <f t="shared" si="0"/>
        <v>3569</v>
      </c>
      <c r="K5" s="24">
        <f t="shared" si="0"/>
        <v>3496</v>
      </c>
      <c r="L5" s="24">
        <f t="shared" si="0"/>
        <v>3725</v>
      </c>
      <c r="M5" s="24">
        <f t="shared" si="0"/>
        <v>3497</v>
      </c>
      <c r="N5" s="24">
        <f t="shared" si="0"/>
        <v>0</v>
      </c>
      <c r="O5" s="24"/>
      <c r="P5" s="24">
        <f t="shared" ref="P5" si="1">+P3+P4</f>
        <v>3666</v>
      </c>
      <c r="Q5" s="24">
        <f t="shared" ref="Q5" si="2">+Q3+Q4</f>
        <v>3919</v>
      </c>
      <c r="R5" s="24">
        <f t="shared" ref="R5" si="3">+R3+R4</f>
        <v>3399</v>
      </c>
      <c r="S5" s="24">
        <f t="shared" ref="S5" si="4">+S3+S4</f>
        <v>3352</v>
      </c>
      <c r="T5" s="24">
        <f t="shared" ref="T5" si="5">+T3+T4</f>
        <v>3352</v>
      </c>
      <c r="U5" s="24">
        <f t="shared" ref="U5" si="6">+U3+U4</f>
        <v>3560</v>
      </c>
      <c r="V5" s="24">
        <f t="shared" ref="V5" si="7">+V3+V4</f>
        <v>3569</v>
      </c>
      <c r="W5" s="24"/>
      <c r="X5" s="24"/>
      <c r="Y5" s="24"/>
      <c r="Z5" s="6"/>
      <c r="AA5" s="6"/>
      <c r="AB5" s="6"/>
      <c r="AC5" s="6"/>
      <c r="AD5" s="6"/>
    </row>
    <row r="6" spans="1:34" x14ac:dyDescent="0.2">
      <c r="A6" s="2"/>
      <c r="B6" s="2" t="s">
        <v>125</v>
      </c>
      <c r="C6" s="25">
        <f t="shared" ref="C6:N6" si="8">+C13/C5</f>
        <v>0.59455545902114104</v>
      </c>
      <c r="D6" s="25">
        <f t="shared" si="8"/>
        <v>0.69068287037037035</v>
      </c>
      <c r="E6" s="25">
        <f t="shared" si="8"/>
        <v>0.65977922445513726</v>
      </c>
      <c r="F6" s="25">
        <f t="shared" si="8"/>
        <v>0.723314606741573</v>
      </c>
      <c r="G6" s="25">
        <f t="shared" si="8"/>
        <v>0.58975077009241106</v>
      </c>
      <c r="H6" s="25">
        <f t="shared" si="8"/>
        <v>0.69394618834080712</v>
      </c>
      <c r="I6" s="25">
        <f t="shared" si="8"/>
        <v>0.63530391340549541</v>
      </c>
      <c r="J6" s="25">
        <f t="shared" si="8"/>
        <v>0.6895488932474082</v>
      </c>
      <c r="K6" s="25">
        <f t="shared" si="8"/>
        <v>0.60424199084668184</v>
      </c>
      <c r="L6" s="25">
        <f t="shared" si="8"/>
        <v>0.65503355704697985</v>
      </c>
      <c r="M6" s="25">
        <f t="shared" si="8"/>
        <v>0.67715184443808984</v>
      </c>
      <c r="N6" s="25" t="e">
        <f t="shared" si="8"/>
        <v>#DIV/0!</v>
      </c>
      <c r="O6" s="25"/>
      <c r="P6" s="25">
        <f t="shared" ref="P6:V6" si="9">+P13/P5</f>
        <v>3.5081833060556464</v>
      </c>
      <c r="Q6" s="25">
        <f t="shared" si="9"/>
        <v>3.1370247512120439</v>
      </c>
      <c r="R6" s="25">
        <f t="shared" si="9"/>
        <v>2.2130038246543102</v>
      </c>
      <c r="S6" s="25">
        <f t="shared" si="9"/>
        <v>3.0545942720763724</v>
      </c>
      <c r="T6" s="25">
        <f t="shared" si="9"/>
        <v>2.8791766109785204</v>
      </c>
      <c r="U6" s="25">
        <f t="shared" si="9"/>
        <v>2.6252808988764045</v>
      </c>
      <c r="V6" s="25">
        <f t="shared" si="9"/>
        <v>2.6147380218548615</v>
      </c>
    </row>
    <row r="7" spans="1:34" x14ac:dyDescent="0.2">
      <c r="A7" s="2"/>
      <c r="C7" s="6"/>
      <c r="D7" s="6"/>
      <c r="E7" s="6"/>
      <c r="F7" s="6"/>
      <c r="G7" s="6"/>
      <c r="H7" s="25"/>
      <c r="I7" s="25"/>
      <c r="J7" s="25"/>
      <c r="K7" s="25"/>
      <c r="L7" s="25"/>
      <c r="M7" s="25"/>
      <c r="N7" s="25"/>
      <c r="O7" s="25"/>
      <c r="P7" s="25"/>
      <c r="Q7" s="25"/>
      <c r="R7" s="25"/>
      <c r="S7" s="25"/>
      <c r="T7" s="25"/>
      <c r="U7" s="25"/>
      <c r="V7" s="4"/>
    </row>
    <row r="8" spans="1:34" x14ac:dyDescent="0.2">
      <c r="A8" s="2"/>
      <c r="B8" s="2" t="s">
        <v>127</v>
      </c>
      <c r="C8" s="6">
        <v>1828</v>
      </c>
      <c r="D8" s="6">
        <v>1961</v>
      </c>
      <c r="E8" s="6">
        <v>2126</v>
      </c>
      <c r="F8" s="6">
        <f t="shared" ref="F8:F12" si="10">+U8-SUM(C8:E8)</f>
        <v>2288</v>
      </c>
      <c r="G8" s="6">
        <v>1916</v>
      </c>
      <c r="H8" s="6">
        <v>2123</v>
      </c>
      <c r="I8" s="6">
        <v>2150</v>
      </c>
      <c r="J8" s="6">
        <f t="shared" ref="J8:J12" si="11">+V8-SUM(G8:I8)</f>
        <v>2212</v>
      </c>
      <c r="K8" s="6">
        <v>1981</v>
      </c>
      <c r="L8" s="6">
        <v>2150</v>
      </c>
      <c r="M8" s="6">
        <v>2253</v>
      </c>
      <c r="N8" s="6"/>
      <c r="O8" s="6"/>
      <c r="P8" s="6"/>
      <c r="Q8" s="6"/>
      <c r="R8" s="6"/>
      <c r="S8" s="6"/>
      <c r="T8" s="6">
        <v>8234</v>
      </c>
      <c r="U8" s="6">
        <v>8203</v>
      </c>
      <c r="V8" s="6">
        <v>8401</v>
      </c>
      <c r="W8" s="6"/>
      <c r="X8" s="6"/>
      <c r="Y8" s="6"/>
      <c r="Z8" s="6"/>
      <c r="AA8" s="6"/>
      <c r="AB8" s="6"/>
      <c r="AC8" s="6"/>
      <c r="AD8" s="6"/>
    </row>
    <row r="9" spans="1:34" x14ac:dyDescent="0.2">
      <c r="A9" s="2"/>
      <c r="B9" s="2" t="s">
        <v>128</v>
      </c>
      <c r="C9" s="6">
        <v>692</v>
      </c>
      <c r="D9" s="6">
        <v>755</v>
      </c>
      <c r="E9" s="6">
        <v>887</v>
      </c>
      <c r="F9" s="6">
        <f t="shared" si="10"/>
        <v>1007</v>
      </c>
      <c r="G9" s="6">
        <v>689</v>
      </c>
      <c r="H9" s="6">
        <v>766</v>
      </c>
      <c r="I9" s="6">
        <v>899</v>
      </c>
      <c r="J9" s="6">
        <f t="shared" si="11"/>
        <v>980</v>
      </c>
      <c r="K9" s="6">
        <v>724</v>
      </c>
      <c r="L9" s="6">
        <v>772</v>
      </c>
      <c r="M9" s="6">
        <v>951</v>
      </c>
      <c r="N9" s="6"/>
      <c r="O9" s="6"/>
      <c r="P9" s="6"/>
      <c r="Q9" s="6"/>
      <c r="R9" s="6"/>
      <c r="S9" s="6"/>
      <c r="T9" s="6">
        <v>3774</v>
      </c>
      <c r="U9" s="6">
        <v>3341</v>
      </c>
      <c r="V9" s="6">
        <v>3334</v>
      </c>
      <c r="W9" s="6"/>
      <c r="X9" s="6"/>
      <c r="Y9" s="6"/>
      <c r="Z9" s="6"/>
      <c r="AA9" s="6"/>
      <c r="AB9" s="6"/>
      <c r="AC9" s="6"/>
      <c r="AD9" s="6"/>
    </row>
    <row r="10" spans="1:34" x14ac:dyDescent="0.2">
      <c r="A10" s="2"/>
      <c r="B10" s="2" t="s">
        <v>129</v>
      </c>
      <c r="C10" s="6">
        <v>432</v>
      </c>
      <c r="D10" s="6">
        <v>480</v>
      </c>
      <c r="E10" s="6">
        <v>460</v>
      </c>
      <c r="F10" s="6">
        <f t="shared" si="10"/>
        <v>567</v>
      </c>
      <c r="G10" s="6">
        <v>440</v>
      </c>
      <c r="H10" s="6">
        <v>479</v>
      </c>
      <c r="I10" s="6">
        <v>469</v>
      </c>
      <c r="J10" s="6">
        <f t="shared" si="11"/>
        <v>605</v>
      </c>
      <c r="K10" s="6">
        <v>428</v>
      </c>
      <c r="L10" s="6">
        <v>475</v>
      </c>
      <c r="M10" s="6">
        <v>464</v>
      </c>
      <c r="N10" s="6"/>
      <c r="O10" s="6"/>
      <c r="P10" s="6"/>
      <c r="Q10" s="6"/>
      <c r="R10" s="6"/>
      <c r="S10" s="6"/>
      <c r="T10" s="6">
        <v>2116</v>
      </c>
      <c r="U10" s="6">
        <v>1939</v>
      </c>
      <c r="V10" s="6">
        <v>1993</v>
      </c>
      <c r="W10" s="6"/>
      <c r="X10" s="6"/>
      <c r="Y10" s="6"/>
      <c r="Z10" s="6"/>
      <c r="AA10" s="6"/>
      <c r="AB10" s="6"/>
      <c r="AC10" s="6"/>
      <c r="AD10" s="6"/>
    </row>
    <row r="11" spans="1:34" x14ac:dyDescent="0.2">
      <c r="A11" s="2"/>
      <c r="B11" s="2" t="s">
        <v>130</v>
      </c>
      <c r="C11" s="6">
        <v>321</v>
      </c>
      <c r="D11" s="6">
        <v>341</v>
      </c>
      <c r="E11" s="6">
        <v>279</v>
      </c>
      <c r="F11" s="6">
        <f t="shared" si="10"/>
        <v>419</v>
      </c>
      <c r="G11" s="6">
        <v>329</v>
      </c>
      <c r="H11" s="6">
        <v>338</v>
      </c>
      <c r="I11" s="6">
        <v>290</v>
      </c>
      <c r="J11" s="6">
        <f t="shared" si="11"/>
        <v>396</v>
      </c>
      <c r="K11" s="6">
        <v>308</v>
      </c>
      <c r="L11" s="6">
        <v>300</v>
      </c>
      <c r="M11" s="6">
        <v>257</v>
      </c>
      <c r="N11" s="6"/>
      <c r="O11" s="6"/>
      <c r="P11" s="6"/>
      <c r="Q11" s="6"/>
      <c r="R11" s="6"/>
      <c r="S11" s="6"/>
      <c r="T11" s="6">
        <v>1480</v>
      </c>
      <c r="U11" s="6">
        <v>1360</v>
      </c>
      <c r="V11" s="6">
        <v>1353</v>
      </c>
      <c r="W11" s="6"/>
      <c r="X11" s="6"/>
      <c r="Y11" s="6"/>
      <c r="Z11" s="6"/>
      <c r="AA11" s="6"/>
      <c r="AB11" s="6"/>
      <c r="AC11" s="6"/>
      <c r="AD11" s="6"/>
    </row>
    <row r="12" spans="1:34" x14ac:dyDescent="0.2">
      <c r="A12" s="2"/>
      <c r="B12" s="2" t="s">
        <v>45</v>
      </c>
      <c r="C12" s="6">
        <v>3</v>
      </c>
      <c r="D12" s="6">
        <v>11</v>
      </c>
      <c r="E12" s="6">
        <v>15</v>
      </c>
      <c r="F12" s="6">
        <f t="shared" si="10"/>
        <v>17</v>
      </c>
      <c r="G12" s="6">
        <v>14</v>
      </c>
      <c r="H12" s="6">
        <v>14</v>
      </c>
      <c r="I12" s="6">
        <v>21</v>
      </c>
      <c r="J12" s="6">
        <f t="shared" si="11"/>
        <v>16</v>
      </c>
      <c r="K12" s="6">
        <v>22</v>
      </c>
      <c r="L12" s="6">
        <v>28</v>
      </c>
      <c r="M12" s="6">
        <v>17</v>
      </c>
      <c r="N12" s="6"/>
      <c r="O12" s="6"/>
      <c r="P12" s="6"/>
      <c r="Q12" s="6"/>
      <c r="R12" s="6"/>
      <c r="S12" s="6"/>
      <c r="T12" s="6">
        <v>12</v>
      </c>
      <c r="U12" s="6">
        <v>46</v>
      </c>
      <c r="V12" s="6">
        <v>65</v>
      </c>
      <c r="W12" s="6"/>
      <c r="X12" s="6"/>
      <c r="Y12" s="6"/>
      <c r="Z12" s="6"/>
      <c r="AA12" s="6"/>
      <c r="AB12" s="6"/>
      <c r="AC12" s="6"/>
      <c r="AD12" s="6"/>
    </row>
    <row r="13" spans="1:34" x14ac:dyDescent="0.2">
      <c r="B13" s="2" t="s">
        <v>109</v>
      </c>
      <c r="C13" s="6">
        <v>2053</v>
      </c>
      <c r="D13" s="6">
        <v>2387</v>
      </c>
      <c r="E13" s="6">
        <v>2331</v>
      </c>
      <c r="F13" s="6">
        <f>+U13-SUM(C13:E13)</f>
        <v>2575</v>
      </c>
      <c r="G13" s="6">
        <v>2106</v>
      </c>
      <c r="H13" s="6">
        <v>2476</v>
      </c>
      <c r="I13" s="6">
        <v>2289</v>
      </c>
      <c r="J13" s="6">
        <f>+V13-SUM(G13:I13)</f>
        <v>2461</v>
      </c>
      <c r="K13" s="6">
        <f>61%*K15</f>
        <v>2112.4299999999998</v>
      </c>
      <c r="L13" s="6">
        <v>2440</v>
      </c>
      <c r="M13" s="6">
        <v>2368</v>
      </c>
      <c r="N13" s="6"/>
      <c r="O13" s="6"/>
      <c r="P13" s="6">
        <v>12861</v>
      </c>
      <c r="Q13" s="6">
        <v>12294</v>
      </c>
      <c r="R13" s="6">
        <v>7522</v>
      </c>
      <c r="S13" s="6">
        <v>10239</v>
      </c>
      <c r="T13" s="6">
        <v>9651</v>
      </c>
      <c r="U13" s="6">
        <v>9346</v>
      </c>
      <c r="V13" s="6">
        <v>9332</v>
      </c>
      <c r="W13" s="6"/>
      <c r="X13" s="6"/>
      <c r="Y13" s="6"/>
      <c r="Z13" s="6"/>
      <c r="AA13" s="6"/>
      <c r="AB13" s="6"/>
      <c r="AC13" s="6"/>
      <c r="AD13" s="25"/>
      <c r="AE13" s="25"/>
      <c r="AF13" s="25"/>
      <c r="AG13" s="25"/>
    </row>
    <row r="14" spans="1:34" x14ac:dyDescent="0.2">
      <c r="B14" s="2" t="s">
        <v>110</v>
      </c>
      <c r="C14" s="6">
        <v>1223</v>
      </c>
      <c r="D14" s="6">
        <v>1161</v>
      </c>
      <c r="E14" s="6">
        <v>1436</v>
      </c>
      <c r="F14" s="6">
        <f>+U14-SUM(C14:E14)</f>
        <v>1723</v>
      </c>
      <c r="G14" s="6">
        <v>1282</v>
      </c>
      <c r="H14" s="6">
        <v>1224</v>
      </c>
      <c r="I14" s="6">
        <v>1540</v>
      </c>
      <c r="J14" s="6">
        <f>+V14-SUM(G14:I14)</f>
        <v>1708</v>
      </c>
      <c r="K14" s="6">
        <f>39%*K15</f>
        <v>1350.57</v>
      </c>
      <c r="L14" s="6">
        <v>1285</v>
      </c>
      <c r="M14" s="6">
        <v>1574</v>
      </c>
      <c r="N14" s="6"/>
      <c r="O14" s="6"/>
      <c r="P14" s="6">
        <v>3719</v>
      </c>
      <c r="Q14" s="6">
        <v>4089</v>
      </c>
      <c r="R14" s="6">
        <v>6278</v>
      </c>
      <c r="S14" s="6">
        <v>6431</v>
      </c>
      <c r="T14" s="6">
        <v>5965</v>
      </c>
      <c r="U14" s="6">
        <v>5543</v>
      </c>
      <c r="V14" s="6">
        <v>5754</v>
      </c>
      <c r="W14" s="6"/>
      <c r="X14" s="6"/>
      <c r="Y14" s="6"/>
      <c r="Z14" s="6"/>
      <c r="AA14" s="6"/>
      <c r="AB14" s="6"/>
      <c r="AC14" s="6"/>
      <c r="AD14" s="25"/>
      <c r="AE14" s="25"/>
      <c r="AF14" s="25"/>
      <c r="AG14" s="25"/>
      <c r="AH14" s="25"/>
    </row>
    <row r="15" spans="1:34" s="25" customFormat="1" x14ac:dyDescent="0.2">
      <c r="A15" s="26"/>
      <c r="B15" s="1" t="s">
        <v>12</v>
      </c>
      <c r="C15" s="24">
        <v>3276</v>
      </c>
      <c r="D15" s="24">
        <v>3548</v>
      </c>
      <c r="E15" s="24">
        <v>3767</v>
      </c>
      <c r="F15" s="24">
        <f>+U15-SUM(C15:E15)</f>
        <v>4298</v>
      </c>
      <c r="G15" s="24">
        <v>3388</v>
      </c>
      <c r="H15" s="24">
        <v>3720</v>
      </c>
      <c r="I15" s="24">
        <v>3829</v>
      </c>
      <c r="J15" s="24">
        <f>+V15-SUM(G15:I15)</f>
        <v>4149</v>
      </c>
      <c r="K15" s="24">
        <v>3463</v>
      </c>
      <c r="L15" s="24">
        <v>3725</v>
      </c>
      <c r="M15" s="24">
        <v>3942</v>
      </c>
      <c r="N15" s="24"/>
      <c r="O15" s="24"/>
      <c r="P15" s="24">
        <v>16580</v>
      </c>
      <c r="Q15" s="24">
        <v>16383</v>
      </c>
      <c r="R15" s="24">
        <v>13800</v>
      </c>
      <c r="S15" s="24">
        <v>16670</v>
      </c>
      <c r="T15" s="24">
        <v>15616</v>
      </c>
      <c r="U15" s="24">
        <v>14889</v>
      </c>
      <c r="V15" s="24">
        <v>15086</v>
      </c>
      <c r="W15" s="24"/>
      <c r="X15" s="24"/>
      <c r="Y15" s="24"/>
      <c r="Z15" s="24"/>
      <c r="AA15" s="24"/>
      <c r="AB15" s="24"/>
      <c r="AC15" s="24"/>
    </row>
    <row r="16" spans="1:34" s="25" customFormat="1" x14ac:dyDescent="0.2">
      <c r="A16" s="26"/>
      <c r="B16" s="2" t="s">
        <v>13</v>
      </c>
      <c r="C16" s="6">
        <v>2062</v>
      </c>
      <c r="D16" s="6">
        <v>2215</v>
      </c>
      <c r="E16" s="6">
        <v>2211</v>
      </c>
      <c r="F16" s="6">
        <f>+U16-SUM(C16:E16)</f>
        <v>2626</v>
      </c>
      <c r="G16" s="6">
        <v>1991</v>
      </c>
      <c r="H16" s="6">
        <v>2137</v>
      </c>
      <c r="I16" s="6">
        <v>2194</v>
      </c>
      <c r="J16" s="6">
        <f>+V16-SUM(G16:I16)</f>
        <v>2537</v>
      </c>
      <c r="K16" s="6">
        <v>2015</v>
      </c>
      <c r="L16" s="6">
        <v>2189</v>
      </c>
      <c r="M16" s="6">
        <v>2272</v>
      </c>
      <c r="N16" s="6"/>
      <c r="O16" s="6"/>
      <c r="P16" s="6">
        <v>10258</v>
      </c>
      <c r="Q16" s="6">
        <v>10250</v>
      </c>
      <c r="R16" s="6">
        <v>9095</v>
      </c>
      <c r="S16" s="6">
        <v>10033</v>
      </c>
      <c r="T16" s="6">
        <v>10257</v>
      </c>
      <c r="U16" s="6">
        <v>9114</v>
      </c>
      <c r="V16" s="6">
        <v>8859</v>
      </c>
      <c r="W16" s="6"/>
      <c r="X16" s="6"/>
      <c r="Y16" s="6"/>
      <c r="Z16" s="6"/>
      <c r="AA16" s="6"/>
      <c r="AB16" s="6"/>
      <c r="AC16" s="6"/>
    </row>
    <row r="17" spans="1:33" s="25" customFormat="1" x14ac:dyDescent="0.2">
      <c r="A17" s="26"/>
      <c r="B17" s="2" t="s">
        <v>14</v>
      </c>
      <c r="C17" s="6">
        <f>C15-C16</f>
        <v>1214</v>
      </c>
      <c r="D17" s="6">
        <f t="shared" ref="D17:M17" si="12">D15-D16</f>
        <v>1333</v>
      </c>
      <c r="E17" s="6">
        <f t="shared" si="12"/>
        <v>1556</v>
      </c>
      <c r="F17" s="6">
        <f t="shared" si="12"/>
        <v>1672</v>
      </c>
      <c r="G17" s="6">
        <f t="shared" si="12"/>
        <v>1397</v>
      </c>
      <c r="H17" s="6">
        <f t="shared" si="12"/>
        <v>1583</v>
      </c>
      <c r="I17" s="6">
        <f t="shared" si="12"/>
        <v>1635</v>
      </c>
      <c r="J17" s="6">
        <f t="shared" si="12"/>
        <v>1612</v>
      </c>
      <c r="K17" s="6">
        <f t="shared" si="12"/>
        <v>1448</v>
      </c>
      <c r="L17" s="6">
        <f t="shared" si="12"/>
        <v>1536</v>
      </c>
      <c r="M17" s="6">
        <f t="shared" si="12"/>
        <v>1670</v>
      </c>
      <c r="N17" s="6"/>
      <c r="O17" s="6"/>
      <c r="P17" s="6">
        <f t="shared" ref="P17" si="13">P15-P16</f>
        <v>6322</v>
      </c>
      <c r="Q17" s="6">
        <f t="shared" ref="Q17" si="14">Q15-Q16</f>
        <v>6133</v>
      </c>
      <c r="R17" s="6">
        <f t="shared" ref="R17" si="15">R15-R16</f>
        <v>4705</v>
      </c>
      <c r="S17" s="6">
        <f t="shared" ref="S17" si="16">S15-S16</f>
        <v>6637</v>
      </c>
      <c r="T17" s="6">
        <f t="shared" ref="T17" si="17">T15-T16</f>
        <v>5359</v>
      </c>
      <c r="U17" s="6">
        <f t="shared" ref="U17:V17" si="18">U15-U16</f>
        <v>5775</v>
      </c>
      <c r="V17" s="6">
        <f t="shared" si="18"/>
        <v>6227</v>
      </c>
      <c r="W17" s="6"/>
      <c r="X17" s="6"/>
      <c r="Y17" s="6"/>
      <c r="Z17" s="6"/>
      <c r="AA17" s="6"/>
      <c r="AB17" s="6"/>
      <c r="AC17" s="6"/>
    </row>
    <row r="18" spans="1:33" s="25" customFormat="1" x14ac:dyDescent="0.2">
      <c r="A18" s="26"/>
      <c r="B18" s="2" t="s">
        <v>25</v>
      </c>
      <c r="C18" s="6">
        <v>1224</v>
      </c>
      <c r="D18" s="6">
        <v>1227</v>
      </c>
      <c r="E18" s="6">
        <v>1306</v>
      </c>
      <c r="F18" s="6">
        <f>+U18-SUM(C18:E18)</f>
        <v>1458</v>
      </c>
      <c r="G18" s="6">
        <v>1192</v>
      </c>
      <c r="H18" s="6">
        <v>1290</v>
      </c>
      <c r="I18" s="6">
        <v>1280</v>
      </c>
      <c r="J18" s="6">
        <f>+V18-SUM(G18:I18)</f>
        <v>1353</v>
      </c>
      <c r="K18" s="6">
        <v>1188</v>
      </c>
      <c r="L18" s="6">
        <v>1244</v>
      </c>
      <c r="M18" s="6">
        <v>1336</v>
      </c>
      <c r="N18" s="6"/>
      <c r="O18" s="6"/>
      <c r="P18" s="6">
        <v>4960</v>
      </c>
      <c r="Q18" s="6">
        <v>5559</v>
      </c>
      <c r="R18" s="6">
        <v>5567</v>
      </c>
      <c r="S18" s="6">
        <v>5827</v>
      </c>
      <c r="T18" s="6">
        <v>5428</v>
      </c>
      <c r="U18" s="6">
        <v>5215</v>
      </c>
      <c r="V18" s="6">
        <v>5115</v>
      </c>
      <c r="W18" s="6"/>
      <c r="X18" s="6"/>
      <c r="Y18" s="6"/>
      <c r="Z18" s="6"/>
      <c r="AA18" s="6"/>
      <c r="AB18" s="6"/>
      <c r="AC18" s="6"/>
    </row>
    <row r="19" spans="1:33" s="25" customFormat="1" x14ac:dyDescent="0.2">
      <c r="A19" s="26"/>
      <c r="B19" s="27" t="s">
        <v>26</v>
      </c>
      <c r="C19" s="6">
        <f t="shared" ref="C19:F19" si="19">C17-C18</f>
        <v>-10</v>
      </c>
      <c r="D19" s="6">
        <f t="shared" si="19"/>
        <v>106</v>
      </c>
      <c r="E19" s="6">
        <f t="shared" si="19"/>
        <v>250</v>
      </c>
      <c r="F19" s="6">
        <f t="shared" si="19"/>
        <v>214</v>
      </c>
      <c r="G19" s="6">
        <f>G17-G18</f>
        <v>205</v>
      </c>
      <c r="H19" s="6">
        <f t="shared" ref="H19:M19" si="20">H17-H18</f>
        <v>293</v>
      </c>
      <c r="I19" s="6">
        <f t="shared" si="20"/>
        <v>355</v>
      </c>
      <c r="J19" s="6">
        <f t="shared" si="20"/>
        <v>259</v>
      </c>
      <c r="K19" s="6">
        <f t="shared" si="20"/>
        <v>260</v>
      </c>
      <c r="L19" s="6">
        <f t="shared" si="20"/>
        <v>292</v>
      </c>
      <c r="M19" s="6">
        <f t="shared" si="20"/>
        <v>334</v>
      </c>
      <c r="N19" s="6"/>
      <c r="O19" s="6"/>
      <c r="P19" s="6">
        <f t="shared" ref="P19" si="21">P17-P18</f>
        <v>1362</v>
      </c>
      <c r="Q19" s="6">
        <f t="shared" ref="Q19" si="22">Q17-Q18</f>
        <v>574</v>
      </c>
      <c r="R19" s="6">
        <f t="shared" ref="R19" si="23">R17-R18</f>
        <v>-862</v>
      </c>
      <c r="S19" s="6">
        <f t="shared" ref="S19" si="24">S17-S18</f>
        <v>810</v>
      </c>
      <c r="T19" s="6">
        <f t="shared" ref="T19" si="25">T17-T18</f>
        <v>-69</v>
      </c>
      <c r="U19" s="6">
        <f t="shared" ref="U19:V19" si="26">U17-U18</f>
        <v>560</v>
      </c>
      <c r="V19" s="6">
        <f t="shared" si="26"/>
        <v>1112</v>
      </c>
      <c r="W19" s="6"/>
      <c r="X19" s="6"/>
      <c r="Y19" s="6"/>
      <c r="Z19" s="6"/>
      <c r="AA19" s="6"/>
      <c r="AB19" s="6"/>
      <c r="AC19" s="6"/>
    </row>
    <row r="20" spans="1:33" s="25" customFormat="1" x14ac:dyDescent="0.2">
      <c r="A20" s="26"/>
      <c r="B20" s="2" t="s">
        <v>27</v>
      </c>
      <c r="C20" s="6">
        <v>23</v>
      </c>
      <c r="D20" s="6">
        <v>15</v>
      </c>
      <c r="E20" s="6">
        <v>28</v>
      </c>
      <c r="F20" s="6">
        <f>+U20-SUM(C20:E20)</f>
        <v>24</v>
      </c>
      <c r="G20" s="6">
        <v>21</v>
      </c>
      <c r="H20" s="6">
        <v>24</v>
      </c>
      <c r="I20" s="6">
        <v>23</v>
      </c>
      <c r="J20" s="6">
        <f>+V20-SUM(G20:I20)</f>
        <v>19</v>
      </c>
      <c r="K20" s="6">
        <v>0</v>
      </c>
      <c r="L20" s="6">
        <v>23</v>
      </c>
      <c r="M20" s="6">
        <v>23</v>
      </c>
      <c r="N20" s="6"/>
      <c r="O20" s="6"/>
      <c r="P20" s="6">
        <v>73</v>
      </c>
      <c r="Q20" s="6">
        <v>76</v>
      </c>
      <c r="R20" s="6">
        <f>58+192</f>
        <v>250</v>
      </c>
      <c r="S20" s="6">
        <f>325+167</f>
        <v>492</v>
      </c>
      <c r="T20" s="6">
        <v>88</v>
      </c>
      <c r="U20" s="6">
        <v>90</v>
      </c>
      <c r="V20" s="6">
        <v>87</v>
      </c>
      <c r="W20" s="6"/>
      <c r="X20" s="6"/>
      <c r="Y20" s="6"/>
      <c r="Z20" s="6"/>
      <c r="AA20" s="6"/>
      <c r="AB20" s="6"/>
      <c r="AC20" s="6"/>
    </row>
    <row r="21" spans="1:33" s="25" customFormat="1" x14ac:dyDescent="0.2">
      <c r="A21" s="26"/>
      <c r="B21" s="2" t="s">
        <v>28</v>
      </c>
      <c r="C21" s="6">
        <v>13</v>
      </c>
      <c r="D21" s="6">
        <v>17</v>
      </c>
      <c r="E21" s="6">
        <v>28</v>
      </c>
      <c r="F21" s="6">
        <f>+U21-SUM(C21:E21)</f>
        <v>28</v>
      </c>
      <c r="G21" s="6">
        <v>24</v>
      </c>
      <c r="H21" s="6">
        <v>27</v>
      </c>
      <c r="I21" s="6">
        <v>29</v>
      </c>
      <c r="J21" s="6">
        <f>+V21-SUM(G21:I21)</f>
        <v>32</v>
      </c>
      <c r="K21" s="6">
        <v>3</v>
      </c>
      <c r="L21" s="6">
        <v>27</v>
      </c>
      <c r="M21" s="6">
        <v>26</v>
      </c>
      <c r="N21" s="6"/>
      <c r="O21" s="6"/>
      <c r="P21" s="6">
        <v>33</v>
      </c>
      <c r="Q21" s="6">
        <v>30</v>
      </c>
      <c r="R21" s="6">
        <v>10</v>
      </c>
      <c r="S21" s="6">
        <v>5</v>
      </c>
      <c r="T21" s="6">
        <v>18</v>
      </c>
      <c r="U21" s="6">
        <v>86</v>
      </c>
      <c r="V21" s="6">
        <v>112</v>
      </c>
      <c r="W21" s="6"/>
      <c r="X21" s="6"/>
      <c r="Y21" s="6"/>
      <c r="Z21" s="6"/>
      <c r="AA21" s="6"/>
      <c r="AB21" s="6"/>
      <c r="AC21" s="6"/>
    </row>
    <row r="22" spans="1:33" s="25" customFormat="1" x14ac:dyDescent="0.2">
      <c r="A22" s="26"/>
      <c r="B22" s="2" t="s">
        <v>29</v>
      </c>
      <c r="C22" s="6">
        <f>C19-C20+C21</f>
        <v>-20</v>
      </c>
      <c r="D22" s="6">
        <f t="shared" ref="D22" si="27">D19-D20+D21</f>
        <v>108</v>
      </c>
      <c r="E22" s="6">
        <f t="shared" ref="E22" si="28">E19-E20+E21</f>
        <v>250</v>
      </c>
      <c r="F22" s="6">
        <f t="shared" ref="F22" si="29">F19-F20+F21</f>
        <v>218</v>
      </c>
      <c r="G22" s="6">
        <f>G19-G20+G21</f>
        <v>208</v>
      </c>
      <c r="H22" s="6">
        <f t="shared" ref="H22:M22" si="30">H19-H20+H21</f>
        <v>296</v>
      </c>
      <c r="I22" s="6">
        <f t="shared" si="30"/>
        <v>361</v>
      </c>
      <c r="J22" s="6">
        <f t="shared" si="30"/>
        <v>272</v>
      </c>
      <c r="K22" s="6">
        <f t="shared" si="30"/>
        <v>263</v>
      </c>
      <c r="L22" s="6">
        <f t="shared" si="30"/>
        <v>296</v>
      </c>
      <c r="M22" s="6">
        <f t="shared" si="30"/>
        <v>337</v>
      </c>
      <c r="N22" s="6"/>
      <c r="O22" s="6"/>
      <c r="P22" s="6">
        <f t="shared" ref="P22" si="31">P19-P20+P21</f>
        <v>1322</v>
      </c>
      <c r="Q22" s="6">
        <f t="shared" ref="Q22" si="32">Q19-Q20+Q21</f>
        <v>528</v>
      </c>
      <c r="R22" s="6">
        <f>R19-R20+R21</f>
        <v>-1102</v>
      </c>
      <c r="S22" s="6">
        <f t="shared" ref="S22" si="33">S19-S20+S21</f>
        <v>323</v>
      </c>
      <c r="T22" s="6">
        <f t="shared" ref="T22" si="34">T19-T20+T21</f>
        <v>-139</v>
      </c>
      <c r="U22" s="6">
        <f t="shared" ref="U22:V22" si="35">U19-U20+U21</f>
        <v>556</v>
      </c>
      <c r="V22" s="6">
        <f t="shared" si="35"/>
        <v>1137</v>
      </c>
      <c r="W22" s="6"/>
      <c r="X22" s="6"/>
      <c r="Y22" s="6"/>
      <c r="Z22" s="6"/>
      <c r="AA22" s="6"/>
      <c r="AB22" s="6"/>
      <c r="AC22" s="6"/>
    </row>
    <row r="23" spans="1:33" s="25" customFormat="1" x14ac:dyDescent="0.2">
      <c r="A23" s="26"/>
      <c r="B23" s="2" t="s">
        <v>31</v>
      </c>
      <c r="C23" s="6">
        <v>-2</v>
      </c>
      <c r="D23" s="6">
        <v>-9</v>
      </c>
      <c r="E23" s="6">
        <v>32</v>
      </c>
      <c r="F23" s="6">
        <f>+U23-SUM(C23:E23)</f>
        <v>33</v>
      </c>
      <c r="G23" s="6">
        <v>50</v>
      </c>
      <c r="H23" s="6">
        <v>90</v>
      </c>
      <c r="I23" s="6">
        <v>87</v>
      </c>
      <c r="J23" s="6">
        <f>+V23-SUM(G23:I23)</f>
        <v>66</v>
      </c>
      <c r="K23" s="6">
        <v>70</v>
      </c>
      <c r="L23" s="6">
        <v>80</v>
      </c>
      <c r="M23" s="6">
        <v>101</v>
      </c>
      <c r="N23" s="6"/>
      <c r="O23" s="6"/>
      <c r="P23" s="6">
        <v>319</v>
      </c>
      <c r="Q23" s="6">
        <v>177</v>
      </c>
      <c r="R23" s="6">
        <v>-437</v>
      </c>
      <c r="S23" s="6">
        <v>67</v>
      </c>
      <c r="T23" s="6">
        <v>63</v>
      </c>
      <c r="U23" s="6">
        <v>54</v>
      </c>
      <c r="V23" s="6">
        <v>293</v>
      </c>
      <c r="W23" s="6"/>
      <c r="X23" s="6"/>
      <c r="Y23" s="6"/>
      <c r="Z23" s="6"/>
      <c r="AA23" s="6"/>
      <c r="AB23" s="6"/>
      <c r="AC23" s="6"/>
    </row>
    <row r="24" spans="1:33" s="25" customFormat="1" x14ac:dyDescent="0.2">
      <c r="A24" s="26"/>
      <c r="B24" s="2" t="s">
        <v>30</v>
      </c>
      <c r="C24" s="6">
        <f>C22-C23</f>
        <v>-18</v>
      </c>
      <c r="D24" s="6">
        <f t="shared" ref="D24:M24" si="36">D22-D23</f>
        <v>117</v>
      </c>
      <c r="E24" s="6">
        <f t="shared" si="36"/>
        <v>218</v>
      </c>
      <c r="F24" s="6">
        <f t="shared" si="36"/>
        <v>185</v>
      </c>
      <c r="G24" s="6">
        <f t="shared" si="36"/>
        <v>158</v>
      </c>
      <c r="H24" s="6">
        <f t="shared" si="36"/>
        <v>206</v>
      </c>
      <c r="I24" s="6">
        <f t="shared" si="36"/>
        <v>274</v>
      </c>
      <c r="J24" s="6">
        <f t="shared" si="36"/>
        <v>206</v>
      </c>
      <c r="K24" s="6">
        <f t="shared" si="36"/>
        <v>193</v>
      </c>
      <c r="L24" s="6">
        <f t="shared" si="36"/>
        <v>216</v>
      </c>
      <c r="M24" s="6">
        <f t="shared" si="36"/>
        <v>236</v>
      </c>
      <c r="N24" s="6"/>
      <c r="O24" s="6"/>
      <c r="P24" s="6">
        <f t="shared" ref="P24" si="37">P22-P23</f>
        <v>1003</v>
      </c>
      <c r="Q24" s="6">
        <f t="shared" ref="Q24" si="38">Q22-Q23</f>
        <v>351</v>
      </c>
      <c r="R24" s="6">
        <f t="shared" ref="R24" si="39">R22-R23</f>
        <v>-665</v>
      </c>
      <c r="S24" s="6">
        <f t="shared" ref="S24" si="40">S22-S23</f>
        <v>256</v>
      </c>
      <c r="T24" s="6">
        <f t="shared" ref="T24" si="41">T22-T23</f>
        <v>-202</v>
      </c>
      <c r="U24" s="6">
        <f t="shared" ref="U24:V24" si="42">U22-U23</f>
        <v>502</v>
      </c>
      <c r="V24" s="6">
        <f t="shared" si="42"/>
        <v>844</v>
      </c>
      <c r="W24" s="6"/>
      <c r="X24" s="6"/>
      <c r="Y24" s="6"/>
      <c r="Z24" s="6"/>
      <c r="AA24" s="6"/>
      <c r="AB24" s="6"/>
      <c r="AC24" s="6"/>
    </row>
    <row r="25" spans="1:33" s="25" customFormat="1" x14ac:dyDescent="0.2">
      <c r="A25" s="26"/>
      <c r="B25" s="2"/>
      <c r="C25" s="6"/>
      <c r="D25" s="6"/>
      <c r="E25" s="6"/>
      <c r="F25" s="6"/>
    </row>
    <row r="26" spans="1:33" s="25" customFormat="1" x14ac:dyDescent="0.2">
      <c r="A26" s="26"/>
      <c r="B26" s="2" t="s">
        <v>32</v>
      </c>
      <c r="C26" s="25">
        <f>C24/C27</f>
        <v>-4.9046321525885561E-2</v>
      </c>
      <c r="D26" s="25">
        <f>D24/D27</f>
        <v>0.31707317073170732</v>
      </c>
      <c r="E26" s="25">
        <f>E24/E27</f>
        <v>0.58760107816711593</v>
      </c>
      <c r="F26" s="25">
        <f>F24/F27</f>
        <v>0.49865229110512127</v>
      </c>
      <c r="G26" s="25">
        <f>G24/G27</f>
        <v>0.42245989304812837</v>
      </c>
      <c r="H26" s="25">
        <f>+H24/H27</f>
        <v>0.5478723404255319</v>
      </c>
      <c r="I26" s="25">
        <f>+I24/I27</f>
        <v>0.72679045092838201</v>
      </c>
      <c r="J26" s="25">
        <f>+J24/J27</f>
        <v>0.54641909814323608</v>
      </c>
      <c r="K26" s="25">
        <f>+K24/K27</f>
        <v>0.51604278074866305</v>
      </c>
      <c r="L26" s="25">
        <f>+L24/L27</f>
        <v>0.579088471849866</v>
      </c>
      <c r="M26" s="25">
        <f>+M24/M27</f>
        <v>0.63440860215053763</v>
      </c>
      <c r="P26" s="25">
        <f t="shared" ref="P26:V26" si="43">P24/P27</f>
        <v>2.5850515463917527</v>
      </c>
      <c r="Q26" s="25">
        <f t="shared" si="43"/>
        <v>0.9285714285714286</v>
      </c>
      <c r="R26" s="25">
        <f t="shared" si="43"/>
        <v>-1.7780748663101604</v>
      </c>
      <c r="S26" s="25">
        <f t="shared" si="43"/>
        <v>0.68085106382978722</v>
      </c>
      <c r="T26" s="25">
        <f t="shared" si="43"/>
        <v>-0.55040871934604907</v>
      </c>
      <c r="U26" s="25">
        <f t="shared" si="43"/>
        <v>1.3567567567567567</v>
      </c>
      <c r="V26" s="25">
        <f t="shared" si="43"/>
        <v>2.2446808510638299</v>
      </c>
    </row>
    <row r="27" spans="1:33" s="25" customFormat="1" x14ac:dyDescent="0.2">
      <c r="A27" s="26"/>
      <c r="B27" s="2" t="s">
        <v>4</v>
      </c>
      <c r="C27" s="6">
        <v>367</v>
      </c>
      <c r="D27" s="6">
        <v>369</v>
      </c>
      <c r="E27" s="6">
        <v>371</v>
      </c>
      <c r="F27" s="6">
        <v>371</v>
      </c>
      <c r="G27" s="6">
        <v>374</v>
      </c>
      <c r="H27" s="6">
        <v>376</v>
      </c>
      <c r="I27" s="6">
        <v>377</v>
      </c>
      <c r="J27" s="6">
        <v>377</v>
      </c>
      <c r="K27" s="6">
        <v>374</v>
      </c>
      <c r="L27" s="6">
        <v>373</v>
      </c>
      <c r="M27" s="6">
        <v>372</v>
      </c>
      <c r="N27" s="6"/>
      <c r="O27" s="6"/>
      <c r="P27" s="6">
        <v>388</v>
      </c>
      <c r="Q27" s="6">
        <v>378</v>
      </c>
      <c r="R27" s="6">
        <v>374</v>
      </c>
      <c r="S27" s="6">
        <v>376</v>
      </c>
      <c r="T27" s="6">
        <v>367</v>
      </c>
      <c r="U27" s="6">
        <v>370</v>
      </c>
      <c r="V27" s="6">
        <v>376</v>
      </c>
      <c r="W27" s="6"/>
      <c r="X27" s="6"/>
      <c r="Y27" s="6"/>
      <c r="Z27" s="6"/>
      <c r="AA27" s="6"/>
      <c r="AB27" s="6"/>
      <c r="AC27" s="6"/>
    </row>
    <row r="28" spans="1:33" s="25" customFormat="1" x14ac:dyDescent="0.2">
      <c r="A28" s="26"/>
      <c r="B28" s="2"/>
      <c r="C28" s="6"/>
      <c r="D28" s="6"/>
      <c r="E28" s="6"/>
      <c r="F28" s="6"/>
      <c r="G28" s="6"/>
      <c r="H28" s="6"/>
    </row>
    <row r="29" spans="1:33" x14ac:dyDescent="0.2">
      <c r="B29" s="2" t="s">
        <v>111</v>
      </c>
      <c r="C29" s="27"/>
      <c r="D29" s="6"/>
      <c r="E29" s="6"/>
      <c r="F29" s="6"/>
      <c r="G29" s="28">
        <f t="shared" ref="G29:I29" si="44">+G3/C3-1</f>
        <v>-1.8069973087274094E-2</v>
      </c>
      <c r="H29" s="28">
        <f t="shared" si="44"/>
        <v>-1.967592592592593E-2</v>
      </c>
      <c r="I29" s="28">
        <f t="shared" si="44"/>
        <v>-2.0785219399538146E-2</v>
      </c>
      <c r="J29" s="28">
        <f t="shared" ref="J29:M30" si="45">+J3/F3-1</f>
        <v>-2.1857923497267784E-2</v>
      </c>
      <c r="K29" s="28">
        <f t="shared" si="45"/>
        <v>-2.2709475332811313E-2</v>
      </c>
      <c r="L29" s="28">
        <f t="shared" si="45"/>
        <v>-3.9748130657221603E-2</v>
      </c>
      <c r="M29" s="28">
        <f t="shared" si="45"/>
        <v>-1.8474842767295607E-2</v>
      </c>
      <c r="N29" s="27"/>
      <c r="O29" s="27"/>
      <c r="P29" s="27"/>
      <c r="Q29" s="28">
        <f t="shared" ref="Q29:V30" si="46">Q3/P3-1</f>
        <v>4.7276142767689322E-2</v>
      </c>
      <c r="R29" s="28">
        <f t="shared" si="46"/>
        <v>-0.15246636771300448</v>
      </c>
      <c r="S29" s="28">
        <f t="shared" si="46"/>
        <v>-5.2910052910052907E-2</v>
      </c>
      <c r="T29" s="28">
        <f t="shared" si="46"/>
        <v>0</v>
      </c>
      <c r="U29" s="28">
        <f t="shared" si="46"/>
        <v>-4.5810055865921795E-2</v>
      </c>
      <c r="V29" s="28">
        <f t="shared" si="46"/>
        <v>-2.1857923497267784E-2</v>
      </c>
      <c r="W29" s="27"/>
      <c r="X29" s="27"/>
      <c r="Y29" s="27"/>
      <c r="Z29" s="27"/>
      <c r="AA29" s="27"/>
      <c r="AB29" s="27"/>
      <c r="AC29" s="27"/>
      <c r="AD29" s="27"/>
      <c r="AE29" s="27"/>
      <c r="AF29" s="27"/>
      <c r="AG29" s="27"/>
    </row>
    <row r="30" spans="1:33" x14ac:dyDescent="0.2">
      <c r="B30" s="2" t="s">
        <v>112</v>
      </c>
      <c r="C30" s="27"/>
      <c r="D30" s="6"/>
      <c r="E30" s="6"/>
      <c r="F30" s="6"/>
      <c r="G30" s="28">
        <f t="shared" ref="G30:I30" si="47">+G4/C4-1</f>
        <v>0.19366197183098599</v>
      </c>
      <c r="H30" s="28">
        <f t="shared" si="47"/>
        <v>0.18865740740740744</v>
      </c>
      <c r="I30" s="28">
        <f t="shared" si="47"/>
        <v>0.13262032085561493</v>
      </c>
      <c r="J30" s="28">
        <f t="shared" si="45"/>
        <v>6.5130260521041983E-2</v>
      </c>
      <c r="K30" s="28">
        <f t="shared" si="45"/>
        <v>-1.6715830875122961E-2</v>
      </c>
      <c r="L30" s="28">
        <f t="shared" si="45"/>
        <v>0.2512171372930867</v>
      </c>
      <c r="M30" s="28">
        <f t="shared" si="45"/>
        <v>-5.5712936732766782E-2</v>
      </c>
      <c r="N30" s="27"/>
      <c r="O30" s="27"/>
      <c r="P30" s="27"/>
      <c r="Q30" s="28">
        <f t="shared" si="46"/>
        <v>0.21610169491525433</v>
      </c>
      <c r="R30" s="28">
        <f t="shared" si="46"/>
        <v>-1.7421602787456414E-2</v>
      </c>
      <c r="S30" s="28">
        <f t="shared" si="46"/>
        <v>0.18262411347517737</v>
      </c>
      <c r="T30" s="28">
        <f t="shared" si="46"/>
        <v>0</v>
      </c>
      <c r="U30" s="28">
        <f t="shared" si="46"/>
        <v>0.49625187406296845</v>
      </c>
      <c r="V30" s="28">
        <f t="shared" si="46"/>
        <v>6.5130260521041983E-2</v>
      </c>
      <c r="W30" s="27"/>
      <c r="X30" s="27"/>
      <c r="Y30" s="27"/>
      <c r="Z30" s="27"/>
      <c r="AA30" s="27"/>
      <c r="AB30" s="27"/>
      <c r="AC30" s="27"/>
      <c r="AD30" s="27"/>
      <c r="AE30" s="27"/>
      <c r="AF30" s="27"/>
      <c r="AG30" s="27"/>
    </row>
    <row r="31" spans="1:33" x14ac:dyDescent="0.2">
      <c r="B31" s="2" t="s">
        <v>131</v>
      </c>
      <c r="C31" s="27"/>
      <c r="D31" s="6"/>
      <c r="E31" s="6"/>
      <c r="F31" s="6"/>
      <c r="G31" s="28">
        <f t="shared" ref="G31:G34" si="48">+G8/C8-1</f>
        <v>4.8140043763676088E-2</v>
      </c>
      <c r="H31" s="28">
        <f t="shared" ref="H31:H34" si="49">+H8/D8-1</f>
        <v>8.2610912799591985E-2</v>
      </c>
      <c r="I31" s="28">
        <f t="shared" ref="I31:I34" si="50">+I8/E8-1</f>
        <v>1.1288805268109048E-2</v>
      </c>
      <c r="J31" s="28">
        <f t="shared" ref="J31:M33" si="51">+J8/F8-1</f>
        <v>-3.321678321678323E-2</v>
      </c>
      <c r="K31" s="28">
        <f t="shared" si="51"/>
        <v>3.3924843423799533E-2</v>
      </c>
      <c r="L31" s="28">
        <f t="shared" si="51"/>
        <v>1.2717852096090443E-2</v>
      </c>
      <c r="M31" s="28">
        <f t="shared" si="51"/>
        <v>4.7906976744185981E-2</v>
      </c>
      <c r="N31" s="27"/>
      <c r="O31" s="27"/>
      <c r="P31" s="27"/>
      <c r="Q31" s="28" t="e">
        <f t="shared" ref="Q31:U33" si="52">+Q8/P8-1</f>
        <v>#DIV/0!</v>
      </c>
      <c r="R31" s="28" t="e">
        <f t="shared" si="52"/>
        <v>#DIV/0!</v>
      </c>
      <c r="S31" s="28" t="e">
        <f t="shared" si="52"/>
        <v>#DIV/0!</v>
      </c>
      <c r="T31" s="28" t="e">
        <f t="shared" si="52"/>
        <v>#DIV/0!</v>
      </c>
      <c r="U31" s="28">
        <f t="shared" si="52"/>
        <v>-3.764877337867345E-3</v>
      </c>
      <c r="V31" s="28">
        <f t="shared" ref="V31:V33" si="53">+V8/U8-1</f>
        <v>2.4137510666829121E-2</v>
      </c>
      <c r="W31" s="27"/>
      <c r="X31" s="27"/>
      <c r="Y31" s="27"/>
      <c r="Z31" s="27"/>
      <c r="AA31" s="27"/>
      <c r="AB31" s="27"/>
      <c r="AC31" s="27"/>
      <c r="AD31" s="27"/>
      <c r="AE31" s="27"/>
      <c r="AF31" s="27"/>
      <c r="AG31" s="27"/>
    </row>
    <row r="32" spans="1:33" x14ac:dyDescent="0.2">
      <c r="B32" s="2" t="s">
        <v>132</v>
      </c>
      <c r="C32" s="27"/>
      <c r="D32" s="6"/>
      <c r="E32" s="6"/>
      <c r="F32" s="6"/>
      <c r="G32" s="28">
        <f t="shared" si="48"/>
        <v>-4.3352601156069204E-3</v>
      </c>
      <c r="H32" s="28">
        <f t="shared" si="49"/>
        <v>1.4569536423840956E-2</v>
      </c>
      <c r="I32" s="28">
        <f t="shared" si="50"/>
        <v>1.3528748590755368E-2</v>
      </c>
      <c r="J32" s="28">
        <f t="shared" si="51"/>
        <v>-2.6812313803376342E-2</v>
      </c>
      <c r="K32" s="28">
        <f t="shared" si="51"/>
        <v>5.079825834542806E-2</v>
      </c>
      <c r="L32" s="28">
        <f t="shared" si="51"/>
        <v>7.8328981723236879E-3</v>
      </c>
      <c r="M32" s="28">
        <f t="shared" si="51"/>
        <v>5.784204671857629E-2</v>
      </c>
      <c r="N32" s="27"/>
      <c r="O32" s="27"/>
      <c r="P32" s="27"/>
      <c r="Q32" s="28" t="e">
        <f t="shared" si="52"/>
        <v>#DIV/0!</v>
      </c>
      <c r="R32" s="28" t="e">
        <f t="shared" si="52"/>
        <v>#DIV/0!</v>
      </c>
      <c r="S32" s="28" t="e">
        <f t="shared" si="52"/>
        <v>#DIV/0!</v>
      </c>
      <c r="T32" s="28" t="e">
        <f t="shared" si="52"/>
        <v>#DIV/0!</v>
      </c>
      <c r="U32" s="28">
        <f t="shared" si="52"/>
        <v>-0.11473237943826176</v>
      </c>
      <c r="V32" s="28">
        <f t="shared" si="53"/>
        <v>-2.0951810835079243E-3</v>
      </c>
      <c r="W32" s="27"/>
      <c r="X32" s="27"/>
      <c r="Y32" s="27"/>
      <c r="Z32" s="27"/>
      <c r="AA32" s="27"/>
      <c r="AB32" s="27"/>
      <c r="AC32" s="27"/>
      <c r="AD32" s="27"/>
      <c r="AE32" s="27"/>
      <c r="AF32" s="27"/>
      <c r="AG32" s="27"/>
    </row>
    <row r="33" spans="2:33" x14ac:dyDescent="0.2">
      <c r="B33" s="2" t="s">
        <v>133</v>
      </c>
      <c r="C33" s="27"/>
      <c r="D33" s="6"/>
      <c r="E33" s="6"/>
      <c r="F33" s="6"/>
      <c r="G33" s="28">
        <f t="shared" si="48"/>
        <v>1.8518518518518601E-2</v>
      </c>
      <c r="H33" s="28">
        <f t="shared" si="49"/>
        <v>-2.0833333333333259E-3</v>
      </c>
      <c r="I33" s="28">
        <f t="shared" si="50"/>
        <v>1.9565217391304346E-2</v>
      </c>
      <c r="J33" s="28">
        <f t="shared" si="51"/>
        <v>6.7019400352733793E-2</v>
      </c>
      <c r="K33" s="28">
        <f t="shared" si="51"/>
        <v>-2.7272727272727226E-2</v>
      </c>
      <c r="L33" s="28">
        <f t="shared" si="51"/>
        <v>-8.3507306889353261E-3</v>
      </c>
      <c r="M33" s="28">
        <f t="shared" si="51"/>
        <v>-1.0660980810234588E-2</v>
      </c>
      <c r="N33" s="27"/>
      <c r="O33" s="27"/>
      <c r="P33" s="27"/>
      <c r="Q33" s="28" t="e">
        <f t="shared" si="52"/>
        <v>#DIV/0!</v>
      </c>
      <c r="R33" s="28" t="e">
        <f t="shared" si="52"/>
        <v>#DIV/0!</v>
      </c>
      <c r="S33" s="28" t="e">
        <f t="shared" si="52"/>
        <v>#DIV/0!</v>
      </c>
      <c r="T33" s="28" t="e">
        <f t="shared" si="52"/>
        <v>#DIV/0!</v>
      </c>
      <c r="U33" s="28">
        <f t="shared" si="52"/>
        <v>-8.364839319470696E-2</v>
      </c>
      <c r="V33" s="28">
        <f t="shared" si="53"/>
        <v>2.7849406910778862E-2</v>
      </c>
      <c r="W33" s="27"/>
      <c r="X33" s="27"/>
      <c r="Y33" s="27"/>
      <c r="Z33" s="27"/>
      <c r="AA33" s="27"/>
      <c r="AB33" s="27"/>
      <c r="AC33" s="27"/>
      <c r="AD33" s="27"/>
      <c r="AE33" s="27"/>
      <c r="AF33" s="27"/>
      <c r="AG33" s="27"/>
    </row>
    <row r="34" spans="2:33" x14ac:dyDescent="0.2">
      <c r="B34" s="2" t="s">
        <v>134</v>
      </c>
      <c r="C34" s="27"/>
      <c r="D34" s="6"/>
      <c r="E34" s="6"/>
      <c r="F34" s="6"/>
      <c r="G34" s="28">
        <f t="shared" si="48"/>
        <v>2.4922118380062308E-2</v>
      </c>
      <c r="H34" s="28">
        <f t="shared" si="49"/>
        <v>-8.7976539589442737E-3</v>
      </c>
      <c r="I34" s="28">
        <f t="shared" si="50"/>
        <v>3.9426523297491078E-2</v>
      </c>
      <c r="J34" s="28">
        <f>+J11/F11-1</f>
        <v>-5.4892601431980936E-2</v>
      </c>
      <c r="K34" s="28">
        <f>+K11/G11-1</f>
        <v>-6.3829787234042534E-2</v>
      </c>
      <c r="L34" s="28">
        <f>+L11/H11-1</f>
        <v>-0.1124260355029586</v>
      </c>
      <c r="M34" s="28">
        <f>+M11/I11-1</f>
        <v>-0.11379310344827587</v>
      </c>
      <c r="N34" s="27"/>
      <c r="O34" s="27"/>
      <c r="P34" s="27"/>
      <c r="Q34" s="28" t="e">
        <f t="shared" ref="Q34:U34" si="54">+Q11/P11-1</f>
        <v>#DIV/0!</v>
      </c>
      <c r="R34" s="28" t="e">
        <f t="shared" si="54"/>
        <v>#DIV/0!</v>
      </c>
      <c r="S34" s="28" t="e">
        <f t="shared" si="54"/>
        <v>#DIV/0!</v>
      </c>
      <c r="T34" s="28" t="e">
        <f t="shared" si="54"/>
        <v>#DIV/0!</v>
      </c>
      <c r="U34" s="28">
        <f t="shared" si="54"/>
        <v>-8.108108108108103E-2</v>
      </c>
      <c r="V34" s="28">
        <f>+V11/U11-1</f>
        <v>-5.1470588235293935E-3</v>
      </c>
      <c r="W34" s="27"/>
      <c r="X34" s="27"/>
      <c r="Y34" s="27"/>
      <c r="Z34" s="27"/>
      <c r="AA34" s="27"/>
      <c r="AB34" s="27"/>
      <c r="AC34" s="27"/>
      <c r="AD34" s="27"/>
      <c r="AE34" s="27"/>
      <c r="AF34" s="27"/>
      <c r="AG34" s="27"/>
    </row>
    <row r="35" spans="2:33" x14ac:dyDescent="0.2">
      <c r="B35" s="2" t="s">
        <v>113</v>
      </c>
      <c r="C35" s="27"/>
      <c r="D35" s="6"/>
      <c r="E35" s="27"/>
      <c r="F35" s="27"/>
      <c r="G35" s="28">
        <f t="shared" ref="G35:G36" si="55">+G13/C13-1</f>
        <v>2.5815879201169123E-2</v>
      </c>
      <c r="H35" s="28">
        <f t="shared" ref="H35:H36" si="56">+H13/D13-1</f>
        <v>3.7285295349811509E-2</v>
      </c>
      <c r="I35" s="28">
        <f t="shared" ref="I35:I36" si="57">+I13/E13-1</f>
        <v>-1.8018018018018056E-2</v>
      </c>
      <c r="J35" s="28">
        <f t="shared" ref="J35:M35" si="58">+J13/F13-1</f>
        <v>-4.4271844660194182E-2</v>
      </c>
      <c r="K35" s="28">
        <f t="shared" si="58"/>
        <v>3.0531813865146695E-3</v>
      </c>
      <c r="L35" s="28">
        <f t="shared" si="58"/>
        <v>-1.4539579967689842E-2</v>
      </c>
      <c r="M35" s="28">
        <f t="shared" si="58"/>
        <v>3.4512887723896934E-2</v>
      </c>
      <c r="N35" s="27"/>
      <c r="O35" s="27"/>
      <c r="P35" s="27"/>
      <c r="Q35" s="28">
        <f t="shared" ref="Q35:V37" si="59">Q13/P13-1</f>
        <v>-4.4086773967809689E-2</v>
      </c>
      <c r="R35" s="28">
        <f t="shared" si="59"/>
        <v>-0.38815682446721977</v>
      </c>
      <c r="S35" s="28">
        <f t="shared" si="59"/>
        <v>0.36120712576442426</v>
      </c>
      <c r="T35" s="28">
        <f t="shared" si="59"/>
        <v>-5.742748315265167E-2</v>
      </c>
      <c r="U35" s="28">
        <f t="shared" si="59"/>
        <v>-3.1602942700238335E-2</v>
      </c>
      <c r="V35" s="28">
        <f t="shared" si="59"/>
        <v>-1.4979670447250459E-3</v>
      </c>
      <c r="W35" s="27"/>
      <c r="X35" s="27"/>
      <c r="Y35" s="27"/>
      <c r="Z35" s="27"/>
      <c r="AA35" s="27"/>
      <c r="AB35" s="27"/>
      <c r="AC35" s="27"/>
      <c r="AD35" s="27"/>
      <c r="AE35" s="27"/>
      <c r="AF35" s="27"/>
      <c r="AG35" s="27"/>
    </row>
    <row r="36" spans="2:33" x14ac:dyDescent="0.2">
      <c r="B36" s="2" t="s">
        <v>135</v>
      </c>
      <c r="C36" s="27"/>
      <c r="D36" s="6"/>
      <c r="E36" s="27"/>
      <c r="F36" s="27"/>
      <c r="G36" s="28">
        <f t="shared" si="55"/>
        <v>4.8242027800490694E-2</v>
      </c>
      <c r="H36" s="28">
        <f t="shared" si="56"/>
        <v>5.4263565891472965E-2</v>
      </c>
      <c r="I36" s="28">
        <f t="shared" si="57"/>
        <v>7.2423398328690824E-2</v>
      </c>
      <c r="J36" s="28">
        <f>+J14/F14-1</f>
        <v>-8.7057457922228298E-3</v>
      </c>
      <c r="K36" s="28">
        <f>+K14/G14-1</f>
        <v>5.3486739469578826E-2</v>
      </c>
      <c r="L36" s="28">
        <f>+L14/H14-1</f>
        <v>4.9836601307189587E-2</v>
      </c>
      <c r="M36" s="28">
        <f>+M14/I14-1</f>
        <v>2.2077922077922141E-2</v>
      </c>
      <c r="N36" s="27"/>
      <c r="O36" s="27"/>
      <c r="P36" s="27"/>
      <c r="Q36" s="28">
        <f t="shared" si="59"/>
        <v>9.9489109975799961E-2</v>
      </c>
      <c r="R36" s="28">
        <f t="shared" si="59"/>
        <v>0.53533871362191254</v>
      </c>
      <c r="S36" s="28">
        <f t="shared" si="59"/>
        <v>2.4370818732080357E-2</v>
      </c>
      <c r="T36" s="28">
        <f t="shared" si="59"/>
        <v>-7.2461514538951999E-2</v>
      </c>
      <c r="U36" s="28">
        <f t="shared" si="59"/>
        <v>-7.0746018440905334E-2</v>
      </c>
      <c r="V36" s="28">
        <f t="shared" si="59"/>
        <v>3.8066029226050846E-2</v>
      </c>
      <c r="W36" s="27"/>
      <c r="X36" s="27"/>
      <c r="Y36" s="27"/>
      <c r="Z36" s="27"/>
      <c r="AA36" s="27"/>
      <c r="AB36" s="27"/>
      <c r="AC36" s="27"/>
      <c r="AD36" s="27"/>
      <c r="AE36" s="27"/>
      <c r="AF36" s="27"/>
      <c r="AG36" s="27"/>
    </row>
    <row r="37" spans="2:33" x14ac:dyDescent="0.2">
      <c r="B37" s="1" t="s">
        <v>33</v>
      </c>
      <c r="C37" s="29"/>
      <c r="D37" s="24"/>
      <c r="E37" s="29"/>
      <c r="F37" s="29"/>
      <c r="G37" s="30">
        <f t="shared" ref="G37:M37" si="60">G15/C15-1</f>
        <v>3.4188034188034289E-2</v>
      </c>
      <c r="H37" s="30">
        <f t="shared" si="60"/>
        <v>4.8478015783540052E-2</v>
      </c>
      <c r="I37" s="30">
        <f t="shared" si="60"/>
        <v>1.6458720467215304E-2</v>
      </c>
      <c r="J37" s="30">
        <f t="shared" si="60"/>
        <v>-3.4667287110283884E-2</v>
      </c>
      <c r="K37" s="30">
        <f t="shared" si="60"/>
        <v>2.2136953955135708E-2</v>
      </c>
      <c r="L37" s="30">
        <f t="shared" si="60"/>
        <v>1.3440860215054862E-3</v>
      </c>
      <c r="M37" s="30">
        <f t="shared" si="60"/>
        <v>2.9511621833376855E-2</v>
      </c>
      <c r="N37" s="29"/>
      <c r="O37" s="29"/>
      <c r="P37" s="29"/>
      <c r="Q37" s="30">
        <f t="shared" si="59"/>
        <v>-1.1881785283474056E-2</v>
      </c>
      <c r="R37" s="30">
        <f t="shared" si="59"/>
        <v>-0.15766343160593299</v>
      </c>
      <c r="S37" s="30">
        <f t="shared" si="59"/>
        <v>0.20797101449275357</v>
      </c>
      <c r="T37" s="30">
        <f t="shared" si="59"/>
        <v>-6.3227354529094226E-2</v>
      </c>
      <c r="U37" s="30">
        <f t="shared" si="59"/>
        <v>-4.6554815573770503E-2</v>
      </c>
      <c r="V37" s="30">
        <f t="shared" si="59"/>
        <v>1.3231244542951215E-2</v>
      </c>
      <c r="W37" s="27"/>
      <c r="X37" s="27"/>
      <c r="Y37" s="27"/>
      <c r="Z37" s="27"/>
      <c r="AA37" s="27"/>
      <c r="AB37" s="27"/>
      <c r="AC37" s="27"/>
      <c r="AD37" s="27"/>
      <c r="AE37" s="27"/>
      <c r="AF37" s="27"/>
      <c r="AG37" s="27"/>
    </row>
    <row r="38" spans="2:33" x14ac:dyDescent="0.2">
      <c r="B38" s="2" t="s">
        <v>34</v>
      </c>
      <c r="C38" s="28">
        <f t="shared" ref="C38:J38" si="61">C17/C15</f>
        <v>0.37057387057387059</v>
      </c>
      <c r="D38" s="28">
        <f t="shared" si="61"/>
        <v>0.37570462232243518</v>
      </c>
      <c r="E38" s="28">
        <f t="shared" si="61"/>
        <v>0.41306079108043536</v>
      </c>
      <c r="F38" s="28">
        <f t="shared" si="61"/>
        <v>0.3890181479758027</v>
      </c>
      <c r="G38" s="28">
        <f t="shared" si="61"/>
        <v>0.41233766233766234</v>
      </c>
      <c r="H38" s="28">
        <f t="shared" si="61"/>
        <v>0.42553763440860215</v>
      </c>
      <c r="I38" s="28">
        <f t="shared" si="61"/>
        <v>0.42700443980151476</v>
      </c>
      <c r="J38" s="28">
        <f t="shared" si="61"/>
        <v>0.38852735598939503</v>
      </c>
      <c r="K38" s="28">
        <f t="shared" ref="K38:L38" si="62">K17/K15</f>
        <v>0.41813456540571758</v>
      </c>
      <c r="L38" s="28">
        <f t="shared" si="62"/>
        <v>0.41234899328859059</v>
      </c>
      <c r="M38" s="28">
        <f t="shared" ref="M38" si="63">M17/M15</f>
        <v>0.42364282090309485</v>
      </c>
      <c r="N38" s="27"/>
      <c r="O38" s="27"/>
      <c r="P38" s="27"/>
      <c r="Q38" s="28">
        <f t="shared" ref="Q38:V38" si="64">Q17/Q15</f>
        <v>0.37435146188121832</v>
      </c>
      <c r="R38" s="28">
        <f t="shared" si="64"/>
        <v>0.34094202898550724</v>
      </c>
      <c r="S38" s="28">
        <f t="shared" si="64"/>
        <v>0.39814037192561486</v>
      </c>
      <c r="T38" s="28">
        <f t="shared" si="64"/>
        <v>0.34317366803278687</v>
      </c>
      <c r="U38" s="28">
        <f t="shared" si="64"/>
        <v>0.38787023977433005</v>
      </c>
      <c r="V38" s="28">
        <f t="shared" si="64"/>
        <v>0.41276680365902163</v>
      </c>
      <c r="W38" s="27"/>
      <c r="X38" s="27"/>
      <c r="Y38" s="27"/>
      <c r="Z38" s="27"/>
      <c r="AA38" s="27"/>
      <c r="AB38" s="27"/>
      <c r="AC38" s="27"/>
      <c r="AD38" s="27"/>
      <c r="AE38" s="27"/>
      <c r="AF38" s="27"/>
      <c r="AG38" s="27"/>
    </row>
    <row r="39" spans="2:33" x14ac:dyDescent="0.2">
      <c r="B39" s="2" t="s">
        <v>35</v>
      </c>
      <c r="C39" s="28">
        <f t="shared" ref="C39:J39" si="65">C19/C15</f>
        <v>-3.0525030525030525E-3</v>
      </c>
      <c r="D39" s="28">
        <f t="shared" si="65"/>
        <v>2.987598647125141E-2</v>
      </c>
      <c r="E39" s="28">
        <f t="shared" si="65"/>
        <v>6.636580833554552E-2</v>
      </c>
      <c r="F39" s="28">
        <f t="shared" si="65"/>
        <v>4.9790600279199626E-2</v>
      </c>
      <c r="G39" s="28">
        <f t="shared" si="65"/>
        <v>6.0507674144037779E-2</v>
      </c>
      <c r="H39" s="28">
        <f t="shared" si="65"/>
        <v>7.8763440860215056E-2</v>
      </c>
      <c r="I39" s="28">
        <f t="shared" si="65"/>
        <v>9.2713502219900754E-2</v>
      </c>
      <c r="J39" s="28">
        <f t="shared" si="65"/>
        <v>6.2424680645938778E-2</v>
      </c>
      <c r="K39" s="28">
        <f t="shared" ref="K39:L39" si="66">K19/K15</f>
        <v>7.5079410915391276E-2</v>
      </c>
      <c r="L39" s="28">
        <f t="shared" si="66"/>
        <v>7.8389261744966438E-2</v>
      </c>
      <c r="M39" s="28">
        <f t="shared" ref="M39" si="67">M19/M15</f>
        <v>8.472856418061897E-2</v>
      </c>
      <c r="N39" s="27"/>
      <c r="O39" s="27"/>
      <c r="P39" s="27"/>
      <c r="Q39" s="28">
        <f t="shared" ref="Q39:V39" si="68">Q19/Q15</f>
        <v>3.5036318134651773E-2</v>
      </c>
      <c r="R39" s="28">
        <f t="shared" si="68"/>
        <v>-6.246376811594203E-2</v>
      </c>
      <c r="S39" s="28">
        <f t="shared" si="68"/>
        <v>4.8590281943611278E-2</v>
      </c>
      <c r="T39" s="28">
        <f t="shared" si="68"/>
        <v>-4.4185450819672128E-3</v>
      </c>
      <c r="U39" s="28">
        <f t="shared" si="68"/>
        <v>3.7611659614480486E-2</v>
      </c>
      <c r="V39" s="28">
        <f t="shared" si="68"/>
        <v>7.3710725175659547E-2</v>
      </c>
      <c r="W39" s="27"/>
      <c r="X39" s="27"/>
      <c r="Y39" s="27"/>
      <c r="Z39" s="27"/>
      <c r="AA39" s="27"/>
      <c r="AB39" s="27"/>
      <c r="AC39" s="27"/>
      <c r="AD39" s="27"/>
      <c r="AE39" s="27"/>
      <c r="AF39" s="27"/>
      <c r="AG39" s="27"/>
    </row>
    <row r="40" spans="2:33" x14ac:dyDescent="0.2">
      <c r="B40" s="2" t="s">
        <v>114</v>
      </c>
      <c r="C40" s="28"/>
      <c r="D40" s="28">
        <f t="shared" ref="D40:J40" si="69">(D19-C19)/(D17-C17)</f>
        <v>0.97478991596638653</v>
      </c>
      <c r="E40" s="28">
        <f t="shared" si="69"/>
        <v>0.64573991031390132</v>
      </c>
      <c r="F40" s="28">
        <f t="shared" si="69"/>
        <v>-0.31034482758620691</v>
      </c>
      <c r="G40" s="28">
        <f t="shared" si="69"/>
        <v>3.272727272727273E-2</v>
      </c>
      <c r="H40" s="28">
        <f t="shared" si="69"/>
        <v>0.4731182795698925</v>
      </c>
      <c r="I40" s="28">
        <f t="shared" si="69"/>
        <v>1.1923076923076923</v>
      </c>
      <c r="J40" s="28">
        <f t="shared" si="69"/>
        <v>4.1739130434782608</v>
      </c>
      <c r="K40" s="28">
        <f t="shared" ref="K40:M40" si="70">(K19-J19)/(K17-J17)</f>
        <v>-6.0975609756097563E-3</v>
      </c>
      <c r="L40" s="28">
        <f t="shared" si="70"/>
        <v>0.36363636363636365</v>
      </c>
      <c r="M40" s="28">
        <f t="shared" si="70"/>
        <v>0.31343283582089554</v>
      </c>
      <c r="N40" s="27"/>
      <c r="O40" s="27"/>
      <c r="P40" s="27"/>
      <c r="Q40" s="28">
        <f t="shared" ref="Q40:V40" si="71">(Q19-P19)/(Q15-P15)</f>
        <v>4</v>
      </c>
      <c r="R40" s="28">
        <f t="shared" si="71"/>
        <v>0.55594270228416565</v>
      </c>
      <c r="S40" s="28">
        <f t="shared" si="71"/>
        <v>0.58257839721254356</v>
      </c>
      <c r="T40" s="28">
        <f t="shared" si="71"/>
        <v>0.83396584440227706</v>
      </c>
      <c r="U40" s="28">
        <f t="shared" si="71"/>
        <v>-0.86519944979367258</v>
      </c>
      <c r="V40" s="28">
        <f t="shared" si="71"/>
        <v>2.8020304568527918</v>
      </c>
      <c r="W40" s="27"/>
      <c r="X40" s="27"/>
      <c r="Y40" s="27"/>
      <c r="Z40" s="27"/>
      <c r="AA40" s="27"/>
      <c r="AB40" s="27"/>
      <c r="AC40" s="27"/>
      <c r="AD40" s="27"/>
      <c r="AE40" s="27"/>
      <c r="AF40" s="27"/>
      <c r="AG40" s="27"/>
    </row>
    <row r="41" spans="2:33" x14ac:dyDescent="0.2">
      <c r="B41" s="2" t="s">
        <v>36</v>
      </c>
      <c r="C41" s="28">
        <f t="shared" ref="C41:J41" si="72">C23/C22</f>
        <v>0.1</v>
      </c>
      <c r="D41" s="28">
        <f t="shared" si="72"/>
        <v>-8.3333333333333329E-2</v>
      </c>
      <c r="E41" s="28">
        <f t="shared" si="72"/>
        <v>0.128</v>
      </c>
      <c r="F41" s="28">
        <f t="shared" si="72"/>
        <v>0.15137614678899083</v>
      </c>
      <c r="G41" s="28">
        <f t="shared" si="72"/>
        <v>0.24038461538461539</v>
      </c>
      <c r="H41" s="28">
        <f t="shared" si="72"/>
        <v>0.30405405405405406</v>
      </c>
      <c r="I41" s="28">
        <f t="shared" si="72"/>
        <v>0.24099722991689751</v>
      </c>
      <c r="J41" s="28">
        <f t="shared" si="72"/>
        <v>0.24264705882352941</v>
      </c>
      <c r="K41" s="28">
        <f t="shared" ref="K41:L41" si="73">K23/K22</f>
        <v>0.26615969581749049</v>
      </c>
      <c r="L41" s="28">
        <f t="shared" si="73"/>
        <v>0.27027027027027029</v>
      </c>
      <c r="M41" s="28">
        <f t="shared" ref="M41" si="74">M23/M22</f>
        <v>0.29970326409495551</v>
      </c>
      <c r="N41" s="27"/>
      <c r="O41" s="27"/>
      <c r="P41" s="27"/>
      <c r="Q41" s="28">
        <f t="shared" ref="Q41:V41" si="75">Q23/Q22</f>
        <v>0.33522727272727271</v>
      </c>
      <c r="R41" s="28">
        <f t="shared" si="75"/>
        <v>0.39655172413793105</v>
      </c>
      <c r="S41" s="28">
        <f t="shared" si="75"/>
        <v>0.20743034055727555</v>
      </c>
      <c r="T41" s="28">
        <f t="shared" si="75"/>
        <v>-0.45323741007194246</v>
      </c>
      <c r="U41" s="28">
        <f t="shared" si="75"/>
        <v>9.7122302158273388E-2</v>
      </c>
      <c r="V41" s="28">
        <f t="shared" si="75"/>
        <v>0.25769569041336854</v>
      </c>
      <c r="W41" s="27"/>
      <c r="X41" s="27"/>
      <c r="Y41" s="27"/>
      <c r="Z41" s="27"/>
      <c r="AA41" s="27"/>
      <c r="AB41" s="27"/>
      <c r="AC41" s="27"/>
      <c r="AD41" s="27"/>
      <c r="AE41" s="27"/>
      <c r="AF41" s="27"/>
      <c r="AG41" s="27"/>
    </row>
    <row r="42" spans="2:33" x14ac:dyDescent="0.2">
      <c r="C42" s="27"/>
      <c r="D42" s="27"/>
      <c r="E42" s="27"/>
      <c r="F42" s="27"/>
      <c r="G42" s="27"/>
      <c r="H42" s="27"/>
      <c r="I42" s="27"/>
      <c r="J42" s="27"/>
      <c r="K42" s="27"/>
      <c r="L42" s="27"/>
      <c r="M42" s="27"/>
      <c r="N42" s="27"/>
      <c r="O42" s="27"/>
      <c r="P42" s="27"/>
      <c r="Q42" s="27"/>
      <c r="R42" s="27"/>
      <c r="S42" s="27"/>
      <c r="T42" s="27"/>
      <c r="U42" s="28"/>
      <c r="V42" s="27"/>
      <c r="W42" s="27"/>
      <c r="X42" s="27"/>
      <c r="Y42" s="27"/>
      <c r="Z42" s="27"/>
      <c r="AA42" s="27"/>
      <c r="AB42" s="27"/>
      <c r="AC42" s="27"/>
      <c r="AD42" s="27"/>
      <c r="AE42" s="27"/>
      <c r="AF42" s="27"/>
      <c r="AG42" s="27"/>
    </row>
    <row r="43" spans="2:33" x14ac:dyDescent="0.2">
      <c r="C43" s="27"/>
      <c r="D43" s="27"/>
      <c r="E43" s="27"/>
      <c r="F43" s="27"/>
      <c r="G43" s="27"/>
      <c r="H43" s="27"/>
      <c r="I43" s="27"/>
      <c r="J43" s="27"/>
      <c r="K43" s="27"/>
      <c r="L43" s="27"/>
      <c r="M43" s="27"/>
      <c r="N43" s="27"/>
      <c r="O43" s="27"/>
      <c r="P43" s="27"/>
      <c r="Q43" s="27"/>
      <c r="R43" s="27"/>
      <c r="S43" s="27"/>
      <c r="T43" s="27"/>
      <c r="U43" s="31"/>
      <c r="V43" s="27"/>
      <c r="W43" s="27"/>
      <c r="X43" s="27"/>
      <c r="Y43" s="27"/>
      <c r="Z43" s="27"/>
      <c r="AA43" s="27"/>
      <c r="AB43" s="27"/>
      <c r="AC43" s="27"/>
      <c r="AD43" s="27"/>
      <c r="AE43" s="27"/>
      <c r="AF43" s="27"/>
      <c r="AG43" s="27"/>
    </row>
    <row r="44" spans="2:33" x14ac:dyDescent="0.2">
      <c r="B44" s="2" t="s">
        <v>37</v>
      </c>
      <c r="C44" s="6">
        <v>1170</v>
      </c>
      <c r="D44" s="6"/>
      <c r="E44" s="6"/>
      <c r="F44" s="6">
        <v>1902</v>
      </c>
      <c r="G44" s="6">
        <v>1532</v>
      </c>
      <c r="H44" s="6"/>
      <c r="I44" s="6"/>
      <c r="J44" s="6"/>
      <c r="K44" s="6"/>
      <c r="L44" s="6"/>
      <c r="M44" s="6"/>
      <c r="N44" s="6"/>
      <c r="O44" s="6"/>
      <c r="P44" s="6"/>
      <c r="Q44" s="6"/>
      <c r="R44" s="6"/>
      <c r="S44" s="6"/>
      <c r="T44" s="6">
        <v>1215</v>
      </c>
      <c r="U44" s="6">
        <v>1873</v>
      </c>
      <c r="V44" s="6">
        <v>2335</v>
      </c>
      <c r="W44" s="27"/>
      <c r="X44" s="27"/>
      <c r="Y44" s="27"/>
      <c r="Z44" s="27"/>
      <c r="AA44" s="27"/>
      <c r="AB44" s="27"/>
      <c r="AC44" s="27"/>
      <c r="AD44" s="27"/>
      <c r="AE44" s="27"/>
      <c r="AF44" s="27"/>
      <c r="AG44" s="27"/>
    </row>
    <row r="45" spans="2:33" x14ac:dyDescent="0.2">
      <c r="B45" s="2" t="s">
        <v>38</v>
      </c>
      <c r="C45" s="6">
        <v>0</v>
      </c>
      <c r="D45" s="6"/>
      <c r="E45" s="6"/>
      <c r="F45" s="6"/>
      <c r="G45" s="6">
        <v>199</v>
      </c>
      <c r="H45" s="6"/>
      <c r="I45" s="6"/>
      <c r="J45" s="6"/>
      <c r="K45" s="6"/>
      <c r="L45" s="6"/>
      <c r="M45" s="6"/>
      <c r="N45" s="6"/>
      <c r="O45" s="6"/>
      <c r="P45" s="6"/>
      <c r="Q45" s="6"/>
      <c r="R45" s="6"/>
      <c r="S45" s="6"/>
      <c r="T45" s="6">
        <v>0</v>
      </c>
      <c r="U45" s="6">
        <v>0</v>
      </c>
      <c r="V45" s="6">
        <v>253</v>
      </c>
      <c r="W45" s="27"/>
      <c r="X45" s="27"/>
      <c r="Y45" s="27"/>
      <c r="Z45" s="27"/>
      <c r="AA45" s="27"/>
      <c r="AB45" s="27"/>
      <c r="AC45" s="27"/>
      <c r="AD45" s="27"/>
      <c r="AE45" s="27"/>
      <c r="AF45" s="27"/>
      <c r="AG45" s="27"/>
    </row>
    <row r="46" spans="2:33" x14ac:dyDescent="0.2">
      <c r="B46" s="2" t="s">
        <v>39</v>
      </c>
      <c r="C46" s="6">
        <v>2299</v>
      </c>
      <c r="D46" s="6"/>
      <c r="E46" s="6"/>
      <c r="F46" s="6"/>
      <c r="G46" s="6">
        <v>1952</v>
      </c>
      <c r="H46" s="6"/>
      <c r="I46" s="6"/>
      <c r="J46" s="6"/>
      <c r="K46" s="6"/>
      <c r="L46" s="6"/>
      <c r="M46" s="6"/>
      <c r="N46" s="6"/>
      <c r="O46" s="6"/>
      <c r="P46" s="6"/>
      <c r="Q46" s="6"/>
      <c r="R46" s="6"/>
      <c r="S46" s="6"/>
      <c r="T46" s="6">
        <v>2389</v>
      </c>
      <c r="U46" s="6">
        <v>1995</v>
      </c>
      <c r="V46" s="6">
        <v>2067</v>
      </c>
      <c r="W46" s="27"/>
      <c r="X46" s="27"/>
      <c r="Y46" s="27"/>
      <c r="Z46" s="27"/>
      <c r="AA46" s="27"/>
      <c r="AB46" s="27"/>
      <c r="AC46" s="27"/>
      <c r="AD46" s="27"/>
      <c r="AE46" s="27"/>
      <c r="AF46" s="27"/>
      <c r="AG46" s="27"/>
    </row>
    <row r="47" spans="2:33" x14ac:dyDescent="0.2">
      <c r="B47" s="2" t="s">
        <v>40</v>
      </c>
      <c r="C47" s="6">
        <v>814</v>
      </c>
      <c r="D47" s="6"/>
      <c r="E47" s="6"/>
      <c r="F47" s="6"/>
      <c r="G47" s="6">
        <v>514</v>
      </c>
      <c r="H47" s="6"/>
      <c r="I47" s="6"/>
      <c r="J47" s="6"/>
      <c r="K47" s="6"/>
      <c r="L47" s="6"/>
      <c r="M47" s="6"/>
      <c r="N47" s="6"/>
      <c r="O47" s="6"/>
      <c r="P47" s="6"/>
      <c r="Q47" s="6"/>
      <c r="R47" s="6"/>
      <c r="S47" s="6"/>
      <c r="T47" s="6">
        <v>1013</v>
      </c>
      <c r="U47" s="6">
        <v>527</v>
      </c>
      <c r="V47" s="6">
        <v>548</v>
      </c>
      <c r="W47" s="27"/>
      <c r="X47" s="27"/>
      <c r="Y47" s="27"/>
      <c r="Z47" s="27"/>
      <c r="AA47" s="27"/>
      <c r="AB47" s="27"/>
      <c r="AC47" s="27"/>
      <c r="AD47" s="27"/>
      <c r="AE47" s="27"/>
      <c r="AF47" s="27"/>
      <c r="AG47" s="27"/>
    </row>
    <row r="48" spans="2:33" x14ac:dyDescent="0.2">
      <c r="B48" s="2" t="s">
        <v>41</v>
      </c>
      <c r="C48" s="6">
        <f>SUM(C44:C47)</f>
        <v>4283</v>
      </c>
      <c r="D48" s="6">
        <f t="shared" ref="D48:J48" si="76">SUM(D44:D47)</f>
        <v>0</v>
      </c>
      <c r="E48" s="6">
        <f t="shared" si="76"/>
        <v>0</v>
      </c>
      <c r="F48" s="6">
        <f t="shared" si="76"/>
        <v>1902</v>
      </c>
      <c r="G48" s="6">
        <f t="shared" si="76"/>
        <v>4197</v>
      </c>
      <c r="H48" s="6">
        <f t="shared" si="76"/>
        <v>0</v>
      </c>
      <c r="I48" s="6">
        <f t="shared" si="76"/>
        <v>0</v>
      </c>
      <c r="J48" s="6">
        <f t="shared" si="76"/>
        <v>0</v>
      </c>
      <c r="K48" s="6"/>
      <c r="L48" s="6"/>
      <c r="M48" s="6"/>
      <c r="N48" s="6"/>
      <c r="O48" s="6"/>
      <c r="P48" s="6">
        <f t="shared" ref="P48" si="77">SUM(P44:P47)</f>
        <v>0</v>
      </c>
      <c r="Q48" s="6">
        <f t="shared" ref="Q48" si="78">SUM(Q44:Q47)</f>
        <v>0</v>
      </c>
      <c r="R48" s="6">
        <f t="shared" ref="R48" si="79">SUM(R44:R47)</f>
        <v>0</v>
      </c>
      <c r="S48" s="6">
        <f t="shared" ref="S48" si="80">SUM(S44:S47)</f>
        <v>0</v>
      </c>
      <c r="T48" s="6">
        <f t="shared" ref="T48" si="81">SUM(T44:T47)</f>
        <v>4617</v>
      </c>
      <c r="U48" s="6">
        <f t="shared" ref="U48:V48" si="82">SUM(U44:U47)</f>
        <v>4395</v>
      </c>
      <c r="V48" s="6">
        <f t="shared" si="82"/>
        <v>5203</v>
      </c>
      <c r="W48" s="27"/>
      <c r="X48" s="27"/>
      <c r="Y48" s="27"/>
      <c r="Z48" s="27"/>
      <c r="AA48" s="27"/>
      <c r="AB48" s="27"/>
      <c r="AC48" s="27"/>
      <c r="AD48" s="27"/>
      <c r="AE48" s="27"/>
      <c r="AF48" s="27"/>
      <c r="AG48" s="27"/>
    </row>
    <row r="49" spans="2:33" x14ac:dyDescent="0.2">
      <c r="B49" s="2" t="s">
        <v>43</v>
      </c>
      <c r="C49" s="6">
        <v>2646</v>
      </c>
      <c r="D49" s="6"/>
      <c r="E49" s="6"/>
      <c r="F49" s="6"/>
      <c r="G49" s="6">
        <v>2528</v>
      </c>
      <c r="H49" s="6"/>
      <c r="I49" s="6"/>
      <c r="J49" s="6"/>
      <c r="K49" s="6"/>
      <c r="L49" s="6"/>
      <c r="M49" s="6"/>
      <c r="N49" s="6"/>
      <c r="O49" s="6"/>
      <c r="P49" s="6"/>
      <c r="Q49" s="6"/>
      <c r="R49" s="6"/>
      <c r="S49" s="6"/>
      <c r="T49" s="6">
        <v>2688</v>
      </c>
      <c r="U49" s="6">
        <v>2566</v>
      </c>
      <c r="V49" s="6">
        <v>2496</v>
      </c>
      <c r="W49" s="27"/>
      <c r="X49" s="27"/>
      <c r="Y49" s="27"/>
      <c r="Z49" s="27"/>
      <c r="AA49" s="27"/>
      <c r="AB49" s="27"/>
      <c r="AC49" s="27"/>
      <c r="AD49" s="27"/>
      <c r="AE49" s="27"/>
      <c r="AF49" s="27"/>
      <c r="AG49" s="27"/>
    </row>
    <row r="50" spans="2:33" x14ac:dyDescent="0.2">
      <c r="B50" s="2" t="s">
        <v>44</v>
      </c>
      <c r="C50" s="6">
        <v>3123</v>
      </c>
      <c r="D50" s="6"/>
      <c r="E50" s="6"/>
      <c r="F50" s="6"/>
      <c r="G50" s="6">
        <v>3207</v>
      </c>
      <c r="H50" s="6"/>
      <c r="I50" s="6"/>
      <c r="J50" s="6"/>
      <c r="K50" s="6"/>
      <c r="L50" s="6"/>
      <c r="M50" s="6"/>
      <c r="N50" s="6"/>
      <c r="O50" s="6"/>
      <c r="P50" s="6"/>
      <c r="Q50" s="6"/>
      <c r="R50" s="6"/>
      <c r="S50" s="6"/>
      <c r="T50" s="6">
        <v>3173</v>
      </c>
      <c r="U50" s="6">
        <v>3115</v>
      </c>
      <c r="V50" s="6">
        <v>3240</v>
      </c>
      <c r="W50" s="27"/>
      <c r="X50" s="27"/>
      <c r="Y50" s="27"/>
      <c r="Z50" s="27"/>
      <c r="AA50" s="27"/>
      <c r="AB50" s="27"/>
      <c r="AC50" s="27"/>
      <c r="AD50" s="27"/>
      <c r="AE50" s="27"/>
      <c r="AF50" s="27"/>
      <c r="AG50" s="27"/>
    </row>
    <row r="51" spans="2:33" x14ac:dyDescent="0.2">
      <c r="B51" s="2" t="s">
        <v>45</v>
      </c>
      <c r="C51" s="6">
        <v>880</v>
      </c>
      <c r="D51" s="6"/>
      <c r="E51" s="6"/>
      <c r="F51" s="6"/>
      <c r="G51" s="6">
        <v>976</v>
      </c>
      <c r="H51" s="6"/>
      <c r="I51" s="6"/>
      <c r="J51" s="6"/>
      <c r="K51" s="6"/>
      <c r="L51" s="6"/>
      <c r="M51" s="6"/>
      <c r="N51" s="6"/>
      <c r="O51" s="6"/>
      <c r="P51" s="6"/>
      <c r="Q51" s="6"/>
      <c r="R51" s="6"/>
      <c r="S51" s="6"/>
      <c r="T51" s="6">
        <v>908</v>
      </c>
      <c r="U51" s="6">
        <v>968</v>
      </c>
      <c r="V51" s="6">
        <v>946</v>
      </c>
      <c r="W51" s="27"/>
      <c r="X51" s="27"/>
      <c r="Y51" s="27"/>
      <c r="Z51" s="27"/>
      <c r="AA51" s="27"/>
      <c r="AB51" s="27"/>
      <c r="AC51" s="27"/>
      <c r="AD51" s="27"/>
      <c r="AE51" s="27"/>
      <c r="AF51" s="27"/>
      <c r="AG51" s="27"/>
    </row>
    <row r="52" spans="2:33" x14ac:dyDescent="0.2">
      <c r="B52" s="2" t="s">
        <v>46</v>
      </c>
      <c r="C52" s="6">
        <f>SUM(C49:C51)</f>
        <v>6649</v>
      </c>
      <c r="D52" s="6">
        <f t="shared" ref="D52:J52" si="83">SUM(D49:D51)</f>
        <v>0</v>
      </c>
      <c r="E52" s="6">
        <f t="shared" si="83"/>
        <v>0</v>
      </c>
      <c r="F52" s="6">
        <f t="shared" si="83"/>
        <v>0</v>
      </c>
      <c r="G52" s="6">
        <f t="shared" si="83"/>
        <v>6711</v>
      </c>
      <c r="H52" s="6">
        <f t="shared" si="83"/>
        <v>0</v>
      </c>
      <c r="I52" s="6">
        <f t="shared" si="83"/>
        <v>0</v>
      </c>
      <c r="J52" s="6">
        <f t="shared" si="83"/>
        <v>0</v>
      </c>
      <c r="K52" s="6"/>
      <c r="L52" s="6"/>
      <c r="M52" s="6"/>
      <c r="N52" s="6"/>
      <c r="O52" s="6"/>
      <c r="P52" s="6">
        <f t="shared" ref="P52" si="84">SUM(P49:P51)</f>
        <v>0</v>
      </c>
      <c r="Q52" s="6">
        <f t="shared" ref="Q52" si="85">SUM(Q49:Q51)</f>
        <v>0</v>
      </c>
      <c r="R52" s="6">
        <f t="shared" ref="R52" si="86">SUM(R49:R51)</f>
        <v>0</v>
      </c>
      <c r="S52" s="6">
        <f t="shared" ref="S52" si="87">SUM(S49:S51)</f>
        <v>0</v>
      </c>
      <c r="T52" s="6">
        <f t="shared" ref="T52" si="88">SUM(T49:T51)</f>
        <v>6769</v>
      </c>
      <c r="U52" s="6">
        <f t="shared" ref="U52" si="89">SUM(U49:U51)</f>
        <v>6649</v>
      </c>
      <c r="V52" s="6">
        <f t="shared" ref="V52" si="90">SUM(V49:V51)</f>
        <v>6682</v>
      </c>
      <c r="W52" s="27"/>
      <c r="X52" s="27"/>
      <c r="Y52" s="27"/>
      <c r="Z52" s="27"/>
      <c r="AA52" s="27"/>
      <c r="AB52" s="27"/>
      <c r="AC52" s="27"/>
      <c r="AD52" s="27"/>
      <c r="AE52" s="27"/>
      <c r="AF52" s="27"/>
      <c r="AG52" s="27"/>
    </row>
    <row r="53" spans="2:33" x14ac:dyDescent="0.2">
      <c r="B53" s="1" t="s">
        <v>47</v>
      </c>
      <c r="C53" s="24">
        <f t="shared" ref="C53:J53" si="91">C52+C48</f>
        <v>10932</v>
      </c>
      <c r="D53" s="24">
        <f t="shared" si="91"/>
        <v>0</v>
      </c>
      <c r="E53" s="24">
        <f t="shared" si="91"/>
        <v>0</v>
      </c>
      <c r="F53" s="24">
        <f t="shared" si="91"/>
        <v>1902</v>
      </c>
      <c r="G53" s="24">
        <f t="shared" si="91"/>
        <v>10908</v>
      </c>
      <c r="H53" s="24">
        <f t="shared" si="91"/>
        <v>0</v>
      </c>
      <c r="I53" s="24">
        <f t="shared" si="91"/>
        <v>0</v>
      </c>
      <c r="J53" s="24">
        <f t="shared" si="91"/>
        <v>0</v>
      </c>
      <c r="K53" s="24"/>
      <c r="L53" s="24"/>
      <c r="M53" s="24"/>
      <c r="N53" s="6"/>
      <c r="O53" s="6"/>
      <c r="P53" s="24">
        <f t="shared" ref="P53:V53" si="92">P52+P48</f>
        <v>0</v>
      </c>
      <c r="Q53" s="24">
        <f t="shared" si="92"/>
        <v>0</v>
      </c>
      <c r="R53" s="24">
        <f t="shared" si="92"/>
        <v>0</v>
      </c>
      <c r="S53" s="24">
        <f t="shared" si="92"/>
        <v>0</v>
      </c>
      <c r="T53" s="24">
        <f t="shared" si="92"/>
        <v>11386</v>
      </c>
      <c r="U53" s="24">
        <f t="shared" si="92"/>
        <v>11044</v>
      </c>
      <c r="V53" s="24">
        <f t="shared" si="92"/>
        <v>11885</v>
      </c>
      <c r="W53" s="27"/>
      <c r="X53" s="27"/>
      <c r="Y53" s="27"/>
      <c r="Z53" s="27"/>
      <c r="AA53" s="27"/>
      <c r="AB53" s="27"/>
      <c r="AC53" s="27"/>
      <c r="AD53" s="27"/>
      <c r="AE53" s="27"/>
      <c r="AF53" s="27"/>
      <c r="AG53" s="27"/>
    </row>
    <row r="54" spans="2:33" x14ac:dyDescent="0.2">
      <c r="B54" s="2" t="s">
        <v>48</v>
      </c>
      <c r="C54" s="6">
        <v>1199</v>
      </c>
      <c r="D54" s="6"/>
      <c r="E54" s="6"/>
      <c r="F54" s="6"/>
      <c r="G54" s="6">
        <v>1196</v>
      </c>
      <c r="H54" s="6"/>
      <c r="I54" s="6"/>
      <c r="J54" s="6"/>
      <c r="K54" s="6"/>
      <c r="L54" s="6"/>
      <c r="M54" s="6"/>
      <c r="N54" s="6"/>
      <c r="O54" s="6"/>
      <c r="P54" s="6"/>
      <c r="Q54" s="6"/>
      <c r="R54" s="6"/>
      <c r="S54" s="6"/>
      <c r="T54" s="6">
        <v>1320</v>
      </c>
      <c r="U54" s="6">
        <v>1349</v>
      </c>
      <c r="V54" s="6">
        <v>1488</v>
      </c>
      <c r="W54" s="27"/>
      <c r="X54" s="27"/>
      <c r="Y54" s="27"/>
      <c r="Z54" s="27"/>
      <c r="AA54" s="27"/>
      <c r="AB54" s="27"/>
      <c r="AC54" s="27"/>
      <c r="AD54" s="27"/>
      <c r="AE54" s="27"/>
      <c r="AF54" s="27"/>
      <c r="AG54" s="27"/>
    </row>
    <row r="55" spans="2:33" x14ac:dyDescent="0.2">
      <c r="B55" s="2" t="s">
        <v>42</v>
      </c>
      <c r="C55" s="6">
        <v>1051</v>
      </c>
      <c r="D55" s="6"/>
      <c r="E55" s="6"/>
      <c r="F55" s="6"/>
      <c r="G55" s="6">
        <v>942</v>
      </c>
      <c r="H55" s="6"/>
      <c r="I55" s="6"/>
      <c r="J55" s="6"/>
      <c r="K55" s="6"/>
      <c r="L55" s="6"/>
      <c r="M55" s="6"/>
      <c r="N55" s="6"/>
      <c r="O55" s="6"/>
      <c r="P55" s="6"/>
      <c r="Q55" s="6"/>
      <c r="R55" s="6"/>
      <c r="S55" s="6"/>
      <c r="T55" s="6">
        <v>1219</v>
      </c>
      <c r="U55" s="6">
        <v>1108</v>
      </c>
      <c r="V55" s="6">
        <v>1083</v>
      </c>
      <c r="W55" s="27"/>
      <c r="X55" s="27"/>
      <c r="Y55" s="27"/>
      <c r="Z55" s="27"/>
      <c r="AA55" s="27"/>
      <c r="AB55" s="27"/>
      <c r="AC55" s="27"/>
      <c r="AD55" s="27"/>
      <c r="AE55" s="27"/>
      <c r="AF55" s="27"/>
      <c r="AG55" s="27"/>
    </row>
    <row r="56" spans="2:33" x14ac:dyDescent="0.2">
      <c r="B56" s="2" t="s">
        <v>49</v>
      </c>
      <c r="C56" s="6">
        <v>658</v>
      </c>
      <c r="D56" s="6"/>
      <c r="E56" s="6"/>
      <c r="F56" s="6"/>
      <c r="G56" s="6">
        <v>624</v>
      </c>
      <c r="H56" s="6"/>
      <c r="I56" s="6"/>
      <c r="J56" s="6"/>
      <c r="K56" s="6"/>
      <c r="L56" s="6"/>
      <c r="M56" s="6"/>
      <c r="N56" s="6"/>
      <c r="O56" s="6"/>
      <c r="P56" s="6"/>
      <c r="Q56" s="6"/>
      <c r="R56" s="6"/>
      <c r="S56" s="6"/>
      <c r="T56" s="6">
        <v>667</v>
      </c>
      <c r="U56" s="6">
        <v>600</v>
      </c>
      <c r="V56" s="6">
        <v>632</v>
      </c>
      <c r="W56" s="27"/>
      <c r="X56" s="27"/>
      <c r="Y56" s="27"/>
      <c r="Z56" s="27"/>
      <c r="AA56" s="27"/>
      <c r="AB56" s="27"/>
      <c r="AC56" s="27"/>
      <c r="AD56" s="27"/>
      <c r="AE56" s="27"/>
      <c r="AF56" s="27"/>
      <c r="AG56" s="27"/>
    </row>
    <row r="57" spans="2:33" x14ac:dyDescent="0.2">
      <c r="B57" s="2" t="s">
        <v>50</v>
      </c>
      <c r="C57" s="6">
        <v>10</v>
      </c>
      <c r="D57" s="6"/>
      <c r="E57" s="6"/>
      <c r="F57" s="6"/>
      <c r="G57" s="6">
        <v>44</v>
      </c>
      <c r="H57" s="6"/>
      <c r="I57" s="6"/>
      <c r="J57" s="6"/>
      <c r="K57" s="6"/>
      <c r="L57" s="6"/>
      <c r="M57" s="6"/>
      <c r="N57" s="6"/>
      <c r="O57" s="6"/>
      <c r="P57" s="6"/>
      <c r="Q57" s="6"/>
      <c r="R57" s="6"/>
      <c r="S57" s="6"/>
      <c r="T57" s="6">
        <v>50</v>
      </c>
      <c r="U57" s="6">
        <v>39</v>
      </c>
      <c r="V57" s="6">
        <v>53</v>
      </c>
      <c r="W57" s="27"/>
      <c r="X57" s="27"/>
      <c r="Y57" s="27"/>
      <c r="Z57" s="27"/>
      <c r="AA57" s="27"/>
      <c r="AB57" s="27"/>
      <c r="AC57" s="27"/>
      <c r="AD57" s="27"/>
      <c r="AE57" s="27"/>
      <c r="AF57" s="27"/>
      <c r="AG57" s="27"/>
    </row>
    <row r="58" spans="2:33" x14ac:dyDescent="0.2">
      <c r="B58" s="2" t="s">
        <v>51</v>
      </c>
      <c r="C58" s="6">
        <f>SUM(C54:C57)</f>
        <v>2918</v>
      </c>
      <c r="D58" s="6">
        <f t="shared" ref="D58:J58" si="93">SUM(D54:D57)</f>
        <v>0</v>
      </c>
      <c r="E58" s="6">
        <f t="shared" si="93"/>
        <v>0</v>
      </c>
      <c r="F58" s="6">
        <f t="shared" si="93"/>
        <v>0</v>
      </c>
      <c r="G58" s="6">
        <f t="shared" si="93"/>
        <v>2806</v>
      </c>
      <c r="H58" s="6">
        <f t="shared" si="93"/>
        <v>0</v>
      </c>
      <c r="I58" s="6">
        <f t="shared" si="93"/>
        <v>0</v>
      </c>
      <c r="J58" s="6">
        <f t="shared" si="93"/>
        <v>0</v>
      </c>
      <c r="K58" s="6"/>
      <c r="L58" s="6"/>
      <c r="M58" s="6"/>
      <c r="N58" s="6"/>
      <c r="O58" s="6"/>
      <c r="P58" s="6">
        <f t="shared" ref="P58" si="94">SUM(P54:P57)</f>
        <v>0</v>
      </c>
      <c r="Q58" s="6">
        <f t="shared" ref="Q58" si="95">SUM(Q54:Q57)</f>
        <v>0</v>
      </c>
      <c r="R58" s="6">
        <f t="shared" ref="R58" si="96">SUM(R54:R57)</f>
        <v>0</v>
      </c>
      <c r="S58" s="6">
        <f t="shared" ref="S58" si="97">SUM(S54:S57)</f>
        <v>0</v>
      </c>
      <c r="T58" s="6">
        <f t="shared" ref="T58" si="98">SUM(T54:T57)</f>
        <v>3256</v>
      </c>
      <c r="U58" s="6">
        <f t="shared" ref="U58" si="99">SUM(U54:U57)</f>
        <v>3096</v>
      </c>
      <c r="V58" s="6">
        <f t="shared" ref="V58" si="100">SUM(V54:V57)</f>
        <v>3256</v>
      </c>
      <c r="W58" s="27"/>
      <c r="X58" s="27"/>
      <c r="Y58" s="27"/>
      <c r="Z58" s="27"/>
      <c r="AA58" s="27"/>
      <c r="AB58" s="27"/>
      <c r="AC58" s="27"/>
      <c r="AD58" s="27"/>
      <c r="AE58" s="27"/>
      <c r="AF58" s="27"/>
      <c r="AG58" s="27"/>
    </row>
    <row r="59" spans="2:33" x14ac:dyDescent="0.2">
      <c r="B59" s="2" t="s">
        <v>52</v>
      </c>
      <c r="C59" s="6">
        <v>350</v>
      </c>
      <c r="D59" s="6"/>
      <c r="E59" s="6"/>
      <c r="F59" s="6"/>
      <c r="G59" s="6">
        <v>0</v>
      </c>
      <c r="H59" s="6"/>
      <c r="I59" s="6"/>
      <c r="J59" s="6"/>
      <c r="K59" s="6"/>
      <c r="L59" s="6"/>
      <c r="M59" s="6"/>
      <c r="N59" s="6"/>
      <c r="O59" s="6"/>
      <c r="P59" s="6"/>
      <c r="Q59" s="6"/>
      <c r="R59" s="6"/>
      <c r="S59" s="6"/>
      <c r="T59" s="6">
        <v>350</v>
      </c>
      <c r="U59" s="6">
        <v>0</v>
      </c>
      <c r="V59" s="6">
        <v>0</v>
      </c>
      <c r="W59" s="27"/>
      <c r="X59" s="27"/>
      <c r="Y59" s="27"/>
      <c r="Z59" s="27"/>
      <c r="AA59" s="27"/>
      <c r="AB59" s="27"/>
      <c r="AC59" s="27"/>
      <c r="AD59" s="27"/>
      <c r="AE59" s="27"/>
      <c r="AF59" s="27"/>
      <c r="AG59" s="27"/>
    </row>
    <row r="60" spans="2:33" x14ac:dyDescent="0.2">
      <c r="B60" s="2" t="s">
        <v>8</v>
      </c>
      <c r="C60" s="6">
        <v>1487</v>
      </c>
      <c r="D60" s="6"/>
      <c r="E60" s="6"/>
      <c r="F60" s="6"/>
      <c r="G60" s="6">
        <v>1489</v>
      </c>
      <c r="H60" s="6"/>
      <c r="I60" s="6"/>
      <c r="J60" s="6"/>
      <c r="K60" s="6"/>
      <c r="L60" s="6"/>
      <c r="M60" s="6"/>
      <c r="N60" s="6"/>
      <c r="O60" s="6"/>
      <c r="P60" s="6"/>
      <c r="Q60" s="6"/>
      <c r="R60" s="6"/>
      <c r="S60" s="6"/>
      <c r="T60" s="6">
        <v>1486</v>
      </c>
      <c r="U60" s="6">
        <v>1488</v>
      </c>
      <c r="V60" s="6">
        <v>1490</v>
      </c>
      <c r="W60" s="27"/>
      <c r="X60" s="27"/>
      <c r="Y60" s="27"/>
      <c r="Z60" s="27"/>
      <c r="AA60" s="27"/>
      <c r="AB60" s="27"/>
      <c r="AC60" s="27"/>
      <c r="AD60" s="27"/>
      <c r="AE60" s="27"/>
      <c r="AF60" s="27"/>
      <c r="AG60" s="27"/>
    </row>
    <row r="61" spans="2:33" x14ac:dyDescent="0.2">
      <c r="B61" s="2" t="s">
        <v>53</v>
      </c>
      <c r="C61" s="6">
        <v>3453</v>
      </c>
      <c r="D61" s="6"/>
      <c r="E61" s="6"/>
      <c r="F61" s="6"/>
      <c r="G61" s="6">
        <v>3387</v>
      </c>
      <c r="H61" s="6"/>
      <c r="I61" s="6"/>
      <c r="J61" s="6"/>
      <c r="K61" s="6"/>
      <c r="L61" s="6"/>
      <c r="M61" s="6"/>
      <c r="N61" s="6"/>
      <c r="O61" s="6"/>
      <c r="P61" s="6"/>
      <c r="Q61" s="6"/>
      <c r="R61" s="6"/>
      <c r="S61" s="6"/>
      <c r="T61" s="6">
        <v>3517</v>
      </c>
      <c r="U61" s="6">
        <v>3353</v>
      </c>
      <c r="V61" s="6">
        <v>3353</v>
      </c>
      <c r="W61" s="27"/>
      <c r="X61" s="27"/>
      <c r="Y61" s="27"/>
      <c r="Z61" s="27"/>
      <c r="AA61" s="27"/>
      <c r="AB61" s="27"/>
      <c r="AC61" s="27"/>
      <c r="AD61" s="27"/>
      <c r="AE61" s="27"/>
      <c r="AF61" s="27"/>
      <c r="AG61" s="27"/>
    </row>
    <row r="62" spans="2:33" x14ac:dyDescent="0.2">
      <c r="B62" s="2" t="s">
        <v>45</v>
      </c>
      <c r="C62" s="6">
        <v>539</v>
      </c>
      <c r="D62" s="6"/>
      <c r="E62" s="6"/>
      <c r="F62" s="6"/>
      <c r="G62" s="6">
        <v>519</v>
      </c>
      <c r="H62" s="6"/>
      <c r="I62" s="6"/>
      <c r="J62" s="6"/>
      <c r="K62" s="6"/>
      <c r="L62" s="6"/>
      <c r="M62" s="6"/>
      <c r="N62" s="6"/>
      <c r="O62" s="6"/>
      <c r="P62" s="6"/>
      <c r="Q62" s="6"/>
      <c r="R62" s="6"/>
      <c r="S62" s="6"/>
      <c r="T62" s="6">
        <v>544</v>
      </c>
      <c r="U62" s="6">
        <v>512</v>
      </c>
      <c r="V62" s="6">
        <v>522</v>
      </c>
      <c r="W62" s="27"/>
      <c r="X62" s="27"/>
      <c r="Y62" s="27"/>
      <c r="Z62" s="27"/>
      <c r="AA62" s="27"/>
      <c r="AB62" s="27"/>
      <c r="AC62" s="27"/>
      <c r="AD62" s="27"/>
      <c r="AE62" s="27"/>
      <c r="AF62" s="27"/>
      <c r="AG62" s="27"/>
    </row>
    <row r="63" spans="2:33" x14ac:dyDescent="0.2">
      <c r="B63" s="2" t="s">
        <v>54</v>
      </c>
      <c r="C63" s="6">
        <f>SUM(C59:C62)</f>
        <v>5829</v>
      </c>
      <c r="D63" s="6">
        <f t="shared" ref="D63:J63" si="101">SUM(D59:D62)</f>
        <v>0</v>
      </c>
      <c r="E63" s="6">
        <f t="shared" si="101"/>
        <v>0</v>
      </c>
      <c r="F63" s="6">
        <f t="shared" si="101"/>
        <v>0</v>
      </c>
      <c r="G63" s="6">
        <f t="shared" si="101"/>
        <v>5395</v>
      </c>
      <c r="H63" s="6">
        <f t="shared" si="101"/>
        <v>0</v>
      </c>
      <c r="I63" s="6">
        <f t="shared" si="101"/>
        <v>0</v>
      </c>
      <c r="J63" s="6">
        <f t="shared" si="101"/>
        <v>0</v>
      </c>
      <c r="K63" s="6"/>
      <c r="L63" s="6"/>
      <c r="M63" s="6"/>
      <c r="N63" s="6"/>
      <c r="O63" s="6"/>
      <c r="P63" s="6">
        <f t="shared" ref="P63" si="102">SUM(P59:P62)</f>
        <v>0</v>
      </c>
      <c r="Q63" s="6">
        <f t="shared" ref="Q63" si="103">SUM(Q59:Q62)</f>
        <v>0</v>
      </c>
      <c r="R63" s="6">
        <f t="shared" ref="R63" si="104">SUM(R59:R62)</f>
        <v>0</v>
      </c>
      <c r="S63" s="6">
        <f t="shared" ref="S63" si="105">SUM(S59:S62)</f>
        <v>0</v>
      </c>
      <c r="T63" s="6">
        <f t="shared" ref="T63" si="106">SUM(T59:T62)</f>
        <v>5897</v>
      </c>
      <c r="U63" s="6">
        <f t="shared" ref="U63" si="107">SUM(U59:U62)</f>
        <v>5353</v>
      </c>
      <c r="V63" s="6">
        <f t="shared" ref="V63" si="108">SUM(V59:V62)</f>
        <v>5365</v>
      </c>
      <c r="W63" s="27"/>
      <c r="X63" s="27"/>
      <c r="Y63" s="27"/>
      <c r="Z63" s="27"/>
      <c r="AA63" s="27"/>
      <c r="AB63" s="27"/>
      <c r="AC63" s="27"/>
      <c r="AD63" s="27"/>
      <c r="AE63" s="27"/>
      <c r="AF63" s="27"/>
      <c r="AG63" s="27"/>
    </row>
    <row r="64" spans="2:33" x14ac:dyDescent="0.2">
      <c r="B64" s="1" t="s">
        <v>55</v>
      </c>
      <c r="C64" s="24">
        <f t="shared" ref="C64:J64" si="109">C63+C58</f>
        <v>8747</v>
      </c>
      <c r="D64" s="24">
        <f t="shared" si="109"/>
        <v>0</v>
      </c>
      <c r="E64" s="24">
        <f t="shared" si="109"/>
        <v>0</v>
      </c>
      <c r="F64" s="24">
        <f t="shared" si="109"/>
        <v>0</v>
      </c>
      <c r="G64" s="24">
        <f t="shared" si="109"/>
        <v>8201</v>
      </c>
      <c r="H64" s="24">
        <f t="shared" si="109"/>
        <v>0</v>
      </c>
      <c r="I64" s="24">
        <f t="shared" si="109"/>
        <v>0</v>
      </c>
      <c r="J64" s="24">
        <f t="shared" si="109"/>
        <v>0</v>
      </c>
      <c r="K64" s="24"/>
      <c r="L64" s="24"/>
      <c r="M64" s="24"/>
      <c r="N64" s="6"/>
      <c r="O64" s="6"/>
      <c r="P64" s="24">
        <f t="shared" ref="P64:V64" si="110">P63+P58</f>
        <v>0</v>
      </c>
      <c r="Q64" s="24">
        <f t="shared" si="110"/>
        <v>0</v>
      </c>
      <c r="R64" s="24">
        <f t="shared" si="110"/>
        <v>0</v>
      </c>
      <c r="S64" s="24">
        <f t="shared" si="110"/>
        <v>0</v>
      </c>
      <c r="T64" s="24">
        <f t="shared" si="110"/>
        <v>9153</v>
      </c>
      <c r="U64" s="24">
        <f t="shared" si="110"/>
        <v>8449</v>
      </c>
      <c r="V64" s="24">
        <f t="shared" si="110"/>
        <v>8621</v>
      </c>
      <c r="W64" s="27"/>
      <c r="X64" s="27"/>
      <c r="Y64" s="27"/>
      <c r="Z64" s="27"/>
      <c r="AA64" s="27"/>
      <c r="AB64" s="27"/>
      <c r="AC64" s="27"/>
      <c r="AD64" s="27"/>
      <c r="AE64" s="27"/>
      <c r="AF64" s="27"/>
      <c r="AG64" s="27"/>
    </row>
    <row r="65" spans="2:33" x14ac:dyDescent="0.2">
      <c r="B65" s="2" t="s">
        <v>56</v>
      </c>
      <c r="C65" s="6">
        <v>18</v>
      </c>
      <c r="D65" s="6"/>
      <c r="E65" s="6"/>
      <c r="F65" s="6"/>
      <c r="G65" s="6">
        <v>19</v>
      </c>
      <c r="H65" s="6"/>
      <c r="I65" s="6"/>
      <c r="J65" s="6"/>
      <c r="K65" s="6"/>
      <c r="L65" s="6"/>
      <c r="M65" s="6"/>
      <c r="N65" s="6"/>
      <c r="O65" s="6"/>
      <c r="P65" s="6"/>
      <c r="Q65" s="6"/>
      <c r="R65" s="6"/>
      <c r="S65" s="6"/>
      <c r="T65" s="6">
        <v>18</v>
      </c>
      <c r="U65" s="6">
        <v>19</v>
      </c>
      <c r="V65" s="6">
        <v>19</v>
      </c>
      <c r="W65" s="27"/>
      <c r="X65" s="27"/>
      <c r="Y65" s="27"/>
      <c r="Z65" s="27"/>
      <c r="AA65" s="27"/>
      <c r="AB65" s="27"/>
      <c r="AC65" s="27"/>
      <c r="AD65" s="27"/>
      <c r="AE65" s="27"/>
      <c r="AF65" s="27"/>
      <c r="AG65" s="27"/>
    </row>
    <row r="66" spans="2:33" x14ac:dyDescent="0.2">
      <c r="B66" s="2" t="s">
        <v>57</v>
      </c>
      <c r="C66" s="6">
        <v>47</v>
      </c>
      <c r="D66" s="6"/>
      <c r="E66" s="6"/>
      <c r="F66" s="6"/>
      <c r="G66" s="6">
        <v>119</v>
      </c>
      <c r="H66" s="6"/>
      <c r="I66" s="6"/>
      <c r="J66" s="6"/>
      <c r="K66" s="6"/>
      <c r="L66" s="6"/>
      <c r="M66" s="6"/>
      <c r="N66" s="6"/>
      <c r="O66" s="6"/>
      <c r="P66" s="6"/>
      <c r="Q66" s="6"/>
      <c r="R66" s="6"/>
      <c r="S66" s="6"/>
      <c r="T66" s="6">
        <v>27</v>
      </c>
      <c r="U66" s="6">
        <v>113</v>
      </c>
      <c r="V66" s="6">
        <v>146</v>
      </c>
      <c r="W66" s="27"/>
      <c r="X66" s="27"/>
      <c r="Y66" s="27"/>
      <c r="Z66" s="27"/>
      <c r="AA66" s="27"/>
      <c r="AB66" s="27"/>
      <c r="AC66" s="27"/>
      <c r="AD66" s="27"/>
      <c r="AE66" s="27"/>
      <c r="AF66" s="27"/>
      <c r="AG66" s="27"/>
    </row>
    <row r="67" spans="2:33" x14ac:dyDescent="0.2">
      <c r="B67" s="2" t="s">
        <v>58</v>
      </c>
      <c r="C67" s="6">
        <v>2067</v>
      </c>
      <c r="D67" s="6"/>
      <c r="E67" s="6"/>
      <c r="F67" s="6"/>
      <c r="G67" s="6">
        <v>2522</v>
      </c>
      <c r="H67" s="6"/>
      <c r="I67" s="6"/>
      <c r="J67" s="6"/>
      <c r="K67" s="6"/>
      <c r="L67" s="6"/>
      <c r="M67" s="6"/>
      <c r="N67" s="6"/>
      <c r="O67" s="6"/>
      <c r="P67" s="6"/>
      <c r="Q67" s="6"/>
      <c r="R67" s="6"/>
      <c r="S67" s="6"/>
      <c r="T67" s="6">
        <v>2140</v>
      </c>
      <c r="U67" s="6">
        <v>2420</v>
      </c>
      <c r="V67" s="6">
        <v>3039</v>
      </c>
      <c r="W67" s="27"/>
      <c r="X67" s="27"/>
      <c r="Y67" s="27"/>
      <c r="Z67" s="27"/>
      <c r="AA67" s="27"/>
      <c r="AB67" s="27"/>
      <c r="AC67" s="27"/>
      <c r="AD67" s="27"/>
      <c r="AE67" s="27"/>
      <c r="AF67" s="27"/>
      <c r="AG67" s="27"/>
    </row>
    <row r="68" spans="2:33" x14ac:dyDescent="0.2">
      <c r="B68" s="2" t="s">
        <v>59</v>
      </c>
      <c r="C68" s="6">
        <v>53</v>
      </c>
      <c r="D68" s="6"/>
      <c r="E68" s="6"/>
      <c r="F68" s="6"/>
      <c r="G68" s="6">
        <v>47</v>
      </c>
      <c r="H68" s="6"/>
      <c r="I68" s="6"/>
      <c r="J68" s="6"/>
      <c r="K68" s="6"/>
      <c r="L68" s="6"/>
      <c r="M68" s="6"/>
      <c r="N68" s="6"/>
      <c r="O68" s="6"/>
      <c r="P68" s="6"/>
      <c r="Q68" s="6"/>
      <c r="R68" s="6"/>
      <c r="S68" s="6"/>
      <c r="T68" s="6">
        <v>48</v>
      </c>
      <c r="U68" s="6">
        <v>43</v>
      </c>
      <c r="V68" s="6">
        <v>60</v>
      </c>
      <c r="W68" s="27"/>
      <c r="X68" s="27"/>
      <c r="Y68" s="27"/>
      <c r="Z68" s="27"/>
      <c r="AA68" s="27"/>
      <c r="AB68" s="27"/>
      <c r="AC68" s="27"/>
      <c r="AD68" s="27"/>
      <c r="AE68" s="27"/>
      <c r="AF68" s="27"/>
      <c r="AG68" s="27"/>
    </row>
    <row r="69" spans="2:33" x14ac:dyDescent="0.2">
      <c r="B69" s="2" t="s">
        <v>60</v>
      </c>
      <c r="C69" s="6">
        <f>SUM(C65:C68)</f>
        <v>2185</v>
      </c>
      <c r="D69" s="6">
        <f t="shared" ref="D69:J69" si="111">SUM(D65:D68)</f>
        <v>0</v>
      </c>
      <c r="E69" s="6">
        <f t="shared" si="111"/>
        <v>0</v>
      </c>
      <c r="F69" s="6">
        <f t="shared" si="111"/>
        <v>0</v>
      </c>
      <c r="G69" s="6">
        <f t="shared" si="111"/>
        <v>2707</v>
      </c>
      <c r="H69" s="6">
        <f t="shared" si="111"/>
        <v>0</v>
      </c>
      <c r="I69" s="6">
        <f t="shared" si="111"/>
        <v>0</v>
      </c>
      <c r="J69" s="6">
        <f t="shared" si="111"/>
        <v>0</v>
      </c>
      <c r="K69" s="6"/>
      <c r="L69" s="6"/>
      <c r="M69" s="6"/>
      <c r="N69" s="6"/>
      <c r="O69" s="6"/>
      <c r="P69" s="6">
        <f t="shared" ref="P69" si="112">SUM(P65:P68)</f>
        <v>0</v>
      </c>
      <c r="Q69" s="6">
        <f t="shared" ref="Q69" si="113">SUM(Q65:Q68)</f>
        <v>0</v>
      </c>
      <c r="R69" s="6">
        <f t="shared" ref="R69" si="114">SUM(R65:R68)</f>
        <v>0</v>
      </c>
      <c r="S69" s="6">
        <f t="shared" ref="S69" si="115">SUM(S65:S68)</f>
        <v>0</v>
      </c>
      <c r="T69" s="6">
        <f t="shared" ref="T69" si="116">SUM(T65:T68)</f>
        <v>2233</v>
      </c>
      <c r="U69" s="6">
        <f t="shared" ref="U69" si="117">SUM(U65:U68)</f>
        <v>2595</v>
      </c>
      <c r="V69" s="6">
        <f t="shared" ref="V69" si="118">SUM(V65:V68)</f>
        <v>3264</v>
      </c>
      <c r="W69" s="27"/>
      <c r="X69" s="27"/>
      <c r="Y69" s="27"/>
      <c r="Z69" s="27"/>
      <c r="AA69" s="27"/>
      <c r="AB69" s="27"/>
      <c r="AC69" s="27"/>
      <c r="AD69" s="27"/>
      <c r="AE69" s="27"/>
      <c r="AF69" s="27"/>
      <c r="AG69" s="27"/>
    </row>
    <row r="70" spans="2:33" x14ac:dyDescent="0.2">
      <c r="B70" s="1" t="s">
        <v>61</v>
      </c>
      <c r="C70" s="24">
        <f t="shared" ref="C70:J70" si="119">C69+C64</f>
        <v>10932</v>
      </c>
      <c r="D70" s="24">
        <f t="shared" si="119"/>
        <v>0</v>
      </c>
      <c r="E70" s="24">
        <f t="shared" si="119"/>
        <v>0</v>
      </c>
      <c r="F70" s="24">
        <f t="shared" si="119"/>
        <v>0</v>
      </c>
      <c r="G70" s="24">
        <f t="shared" si="119"/>
        <v>10908</v>
      </c>
      <c r="H70" s="24">
        <f t="shared" si="119"/>
        <v>0</v>
      </c>
      <c r="I70" s="24">
        <f t="shared" si="119"/>
        <v>0</v>
      </c>
      <c r="J70" s="24">
        <f t="shared" si="119"/>
        <v>0</v>
      </c>
      <c r="K70" s="24"/>
      <c r="L70" s="24"/>
      <c r="M70" s="24"/>
      <c r="N70" s="6"/>
      <c r="O70" s="6"/>
      <c r="P70" s="24">
        <f t="shared" ref="P70:V70" si="120">P69+P64</f>
        <v>0</v>
      </c>
      <c r="Q70" s="24">
        <f t="shared" si="120"/>
        <v>0</v>
      </c>
      <c r="R70" s="24">
        <f t="shared" si="120"/>
        <v>0</v>
      </c>
      <c r="S70" s="24">
        <f t="shared" si="120"/>
        <v>0</v>
      </c>
      <c r="T70" s="24">
        <f t="shared" si="120"/>
        <v>11386</v>
      </c>
      <c r="U70" s="24">
        <f t="shared" si="120"/>
        <v>11044</v>
      </c>
      <c r="V70" s="24">
        <f t="shared" si="120"/>
        <v>11885</v>
      </c>
      <c r="W70" s="27"/>
      <c r="X70" s="27"/>
      <c r="Y70" s="27"/>
      <c r="Z70" s="27"/>
      <c r="AA70" s="27"/>
      <c r="AB70" s="27"/>
      <c r="AC70" s="27"/>
      <c r="AD70" s="27"/>
      <c r="AE70" s="27"/>
      <c r="AF70" s="27"/>
      <c r="AG70" s="27"/>
    </row>
    <row r="71" spans="2:33" x14ac:dyDescent="0.2">
      <c r="C71" s="6"/>
      <c r="D71" s="6"/>
      <c r="E71" s="6"/>
      <c r="F71" s="6"/>
      <c r="G71" s="6"/>
      <c r="H71" s="6"/>
      <c r="I71" s="6"/>
      <c r="J71" s="6"/>
      <c r="K71" s="6"/>
      <c r="L71" s="6"/>
      <c r="M71" s="6"/>
      <c r="N71" s="6"/>
      <c r="O71" s="6"/>
      <c r="P71" s="6"/>
      <c r="Q71" s="6"/>
      <c r="R71" s="6"/>
      <c r="S71" s="6"/>
      <c r="T71" s="6"/>
      <c r="U71" s="6"/>
      <c r="V71" s="6"/>
      <c r="W71" s="27"/>
      <c r="X71" s="27"/>
      <c r="Y71" s="27"/>
      <c r="Z71" s="27"/>
      <c r="AA71" s="27"/>
      <c r="AB71" s="27"/>
      <c r="AC71" s="27"/>
      <c r="AD71" s="27"/>
      <c r="AE71" s="27"/>
      <c r="AF71" s="27"/>
      <c r="AG71" s="27"/>
    </row>
    <row r="72" spans="2:33" x14ac:dyDescent="0.2">
      <c r="B72" s="2" t="s">
        <v>30</v>
      </c>
      <c r="C72" s="6">
        <f t="shared" ref="C72:J72" si="121">C24</f>
        <v>-18</v>
      </c>
      <c r="D72" s="6">
        <f t="shared" si="121"/>
        <v>117</v>
      </c>
      <c r="E72" s="6">
        <f t="shared" si="121"/>
        <v>218</v>
      </c>
      <c r="F72" s="6">
        <f t="shared" si="121"/>
        <v>185</v>
      </c>
      <c r="G72" s="6">
        <f t="shared" si="121"/>
        <v>158</v>
      </c>
      <c r="H72" s="6">
        <f t="shared" si="121"/>
        <v>206</v>
      </c>
      <c r="I72" s="6">
        <f t="shared" si="121"/>
        <v>274</v>
      </c>
      <c r="J72" s="6">
        <f t="shared" si="121"/>
        <v>206</v>
      </c>
      <c r="K72" s="6"/>
      <c r="L72" s="6"/>
      <c r="M72" s="6"/>
      <c r="N72" s="6"/>
      <c r="O72" s="6"/>
      <c r="P72" s="6">
        <f t="shared" ref="P72:V72" si="122">P24</f>
        <v>1003</v>
      </c>
      <c r="Q72" s="6">
        <f t="shared" si="122"/>
        <v>351</v>
      </c>
      <c r="R72" s="6">
        <f t="shared" si="122"/>
        <v>-665</v>
      </c>
      <c r="S72" s="6">
        <f t="shared" si="122"/>
        <v>256</v>
      </c>
      <c r="T72" s="6">
        <f t="shared" si="122"/>
        <v>-202</v>
      </c>
      <c r="U72" s="6">
        <f t="shared" si="122"/>
        <v>502</v>
      </c>
      <c r="V72" s="6">
        <f t="shared" si="122"/>
        <v>844</v>
      </c>
      <c r="W72" s="27"/>
      <c r="X72" s="27"/>
      <c r="Y72" s="27"/>
      <c r="Z72" s="27"/>
      <c r="AA72" s="27"/>
      <c r="AB72" s="27"/>
      <c r="AC72" s="27"/>
      <c r="AD72" s="27"/>
      <c r="AE72" s="27"/>
      <c r="AF72" s="27"/>
      <c r="AG72" s="27"/>
    </row>
    <row r="73" spans="2:33" x14ac:dyDescent="0.2">
      <c r="B73" s="2" t="s">
        <v>62</v>
      </c>
      <c r="C73" s="6">
        <v>137</v>
      </c>
      <c r="D73" s="6"/>
      <c r="E73" s="6"/>
      <c r="F73" s="6"/>
      <c r="G73" s="6">
        <v>124</v>
      </c>
      <c r="H73" s="6"/>
      <c r="I73" s="6"/>
      <c r="J73" s="6"/>
      <c r="K73" s="6"/>
      <c r="L73" s="6"/>
      <c r="M73" s="6"/>
      <c r="N73" s="6"/>
      <c r="O73" s="6"/>
      <c r="P73" s="6"/>
      <c r="Q73" s="6"/>
      <c r="R73" s="6"/>
      <c r="S73" s="6"/>
      <c r="T73" s="6"/>
      <c r="U73" s="6"/>
      <c r="V73" s="6"/>
      <c r="W73" s="27"/>
      <c r="X73" s="27"/>
      <c r="Y73" s="27"/>
      <c r="Z73" s="27"/>
      <c r="AA73" s="27"/>
      <c r="AB73" s="27"/>
      <c r="AC73" s="27"/>
      <c r="AD73" s="27"/>
      <c r="AE73" s="27"/>
      <c r="AF73" s="27"/>
      <c r="AG73" s="27"/>
    </row>
    <row r="74" spans="2:33" x14ac:dyDescent="0.2">
      <c r="B74" s="2" t="s">
        <v>63</v>
      </c>
      <c r="C74" s="6">
        <v>23</v>
      </c>
      <c r="D74" s="6"/>
      <c r="E74" s="6"/>
      <c r="F74" s="6"/>
      <c r="G74" s="6">
        <v>27</v>
      </c>
      <c r="H74" s="6"/>
      <c r="I74" s="6"/>
      <c r="J74" s="6"/>
      <c r="K74" s="6"/>
      <c r="L74" s="6"/>
      <c r="M74" s="6"/>
      <c r="N74" s="6"/>
      <c r="O74" s="6"/>
      <c r="P74" s="6"/>
      <c r="Q74" s="6"/>
      <c r="R74" s="6"/>
      <c r="S74" s="6"/>
      <c r="T74" s="6"/>
      <c r="U74" s="6"/>
      <c r="V74" s="6"/>
      <c r="W74" s="27"/>
      <c r="X74" s="27"/>
      <c r="Y74" s="27"/>
      <c r="Z74" s="27"/>
      <c r="AA74" s="27"/>
      <c r="AB74" s="27"/>
      <c r="AC74" s="27"/>
      <c r="AD74" s="27"/>
      <c r="AE74" s="27"/>
      <c r="AF74" s="27"/>
      <c r="AG74" s="27"/>
    </row>
    <row r="75" spans="2:33" x14ac:dyDescent="0.2">
      <c r="B75" s="2" t="s">
        <v>64</v>
      </c>
      <c r="C75" s="6">
        <v>28</v>
      </c>
      <c r="D75" s="6"/>
      <c r="E75" s="6"/>
      <c r="F75" s="6"/>
      <c r="G75" s="6">
        <v>-2</v>
      </c>
      <c r="H75" s="6"/>
      <c r="I75" s="6"/>
      <c r="J75" s="6"/>
      <c r="K75" s="6"/>
      <c r="L75" s="6"/>
      <c r="M75" s="6"/>
      <c r="N75" s="6"/>
      <c r="O75" s="6"/>
      <c r="P75" s="6"/>
      <c r="Q75" s="6"/>
      <c r="R75" s="6"/>
      <c r="S75" s="6"/>
      <c r="T75" s="6"/>
      <c r="U75" s="6"/>
      <c r="V75" s="6"/>
      <c r="W75" s="27"/>
      <c r="X75" s="27"/>
      <c r="Y75" s="27"/>
      <c r="Z75" s="27"/>
      <c r="AA75" s="27"/>
      <c r="AB75" s="27"/>
      <c r="AC75" s="27"/>
      <c r="AD75" s="27"/>
      <c r="AE75" s="27"/>
      <c r="AF75" s="27"/>
      <c r="AG75" s="27"/>
    </row>
    <row r="76" spans="2:33" x14ac:dyDescent="0.2">
      <c r="B76" s="2" t="s">
        <v>65</v>
      </c>
      <c r="C76" s="6">
        <v>-47</v>
      </c>
      <c r="D76" s="6"/>
      <c r="E76" s="6"/>
      <c r="F76" s="6"/>
      <c r="G76" s="6">
        <v>0</v>
      </c>
      <c r="H76" s="6"/>
      <c r="I76" s="6"/>
      <c r="J76" s="6"/>
      <c r="K76" s="6"/>
      <c r="L76" s="6"/>
      <c r="M76" s="6"/>
      <c r="N76" s="6"/>
      <c r="O76" s="6"/>
      <c r="P76" s="6"/>
      <c r="Q76" s="6"/>
      <c r="R76" s="6"/>
      <c r="S76" s="6"/>
      <c r="T76" s="6"/>
      <c r="U76" s="6"/>
      <c r="V76" s="6"/>
      <c r="W76" s="27"/>
      <c r="X76" s="27"/>
      <c r="Y76" s="27"/>
      <c r="Z76" s="27"/>
      <c r="AA76" s="27"/>
      <c r="AB76" s="27"/>
      <c r="AC76" s="27"/>
      <c r="AD76" s="27"/>
      <c r="AE76" s="27"/>
      <c r="AF76" s="27"/>
      <c r="AG76" s="27"/>
    </row>
    <row r="77" spans="2:33" x14ac:dyDescent="0.2">
      <c r="B77" s="2" t="s">
        <v>66</v>
      </c>
      <c r="C77" s="6">
        <v>5</v>
      </c>
      <c r="D77" s="6"/>
      <c r="E77" s="6"/>
      <c r="F77" s="6"/>
      <c r="G77" s="6">
        <v>1</v>
      </c>
      <c r="H77" s="6"/>
      <c r="I77" s="6"/>
      <c r="J77" s="6"/>
      <c r="K77" s="6"/>
      <c r="L77" s="6"/>
      <c r="M77" s="6"/>
      <c r="N77" s="6"/>
      <c r="O77" s="6"/>
      <c r="P77" s="6"/>
      <c r="Q77" s="6"/>
      <c r="R77" s="6"/>
      <c r="S77" s="6"/>
      <c r="T77" s="6"/>
      <c r="U77" s="6"/>
      <c r="V77" s="6"/>
      <c r="W77" s="27"/>
      <c r="X77" s="27"/>
      <c r="Y77" s="27"/>
      <c r="Z77" s="27"/>
      <c r="AA77" s="27"/>
      <c r="AB77" s="27"/>
      <c r="AC77" s="27"/>
      <c r="AD77" s="27"/>
      <c r="AE77" s="27"/>
      <c r="AF77" s="27"/>
      <c r="AG77" s="27"/>
    </row>
    <row r="78" spans="2:33" x14ac:dyDescent="0.2">
      <c r="B78" s="2" t="s">
        <v>67</v>
      </c>
      <c r="C78" s="6"/>
      <c r="D78" s="6"/>
      <c r="E78" s="6"/>
      <c r="F78" s="6"/>
      <c r="G78" s="6"/>
      <c r="H78" s="6"/>
      <c r="I78" s="6"/>
      <c r="J78" s="6"/>
      <c r="K78" s="6"/>
      <c r="L78" s="6"/>
      <c r="M78" s="6"/>
      <c r="N78" s="6"/>
      <c r="O78" s="6"/>
      <c r="P78" s="6"/>
      <c r="Q78" s="6"/>
      <c r="R78" s="6"/>
      <c r="S78" s="6"/>
      <c r="T78" s="6"/>
      <c r="U78" s="6"/>
      <c r="V78" s="6"/>
      <c r="W78" s="27"/>
      <c r="X78" s="27"/>
      <c r="Y78" s="27"/>
      <c r="Z78" s="27"/>
      <c r="AA78" s="27"/>
      <c r="AB78" s="27"/>
      <c r="AC78" s="27"/>
      <c r="AD78" s="27"/>
      <c r="AE78" s="27"/>
      <c r="AF78" s="27"/>
      <c r="AG78" s="27"/>
    </row>
    <row r="79" spans="2:33" x14ac:dyDescent="0.2">
      <c r="B79" s="2" t="s">
        <v>68</v>
      </c>
      <c r="C79" s="6">
        <v>83</v>
      </c>
      <c r="D79" s="6"/>
      <c r="E79" s="6"/>
      <c r="F79" s="6"/>
      <c r="G79" s="6">
        <v>38</v>
      </c>
      <c r="H79" s="6"/>
      <c r="I79" s="6"/>
      <c r="J79" s="6"/>
      <c r="K79" s="6"/>
      <c r="L79" s="6"/>
      <c r="M79" s="6"/>
      <c r="N79" s="6"/>
      <c r="O79" s="6"/>
      <c r="P79" s="6"/>
      <c r="Q79" s="6"/>
      <c r="R79" s="6"/>
      <c r="S79" s="6"/>
      <c r="T79" s="6"/>
      <c r="U79" s="6"/>
      <c r="V79" s="6"/>
      <c r="W79" s="27"/>
      <c r="X79" s="27"/>
      <c r="Y79" s="27"/>
      <c r="Z79" s="27"/>
      <c r="AA79" s="27"/>
      <c r="AB79" s="27"/>
      <c r="AC79" s="27"/>
      <c r="AD79" s="27"/>
      <c r="AE79" s="27"/>
      <c r="AF79" s="27"/>
      <c r="AG79" s="27"/>
    </row>
    <row r="80" spans="2:33" x14ac:dyDescent="0.2">
      <c r="B80" s="2" t="s">
        <v>72</v>
      </c>
      <c r="C80" s="6">
        <v>9</v>
      </c>
      <c r="D80" s="6"/>
      <c r="E80" s="6"/>
      <c r="F80" s="6"/>
      <c r="G80" s="6">
        <v>15</v>
      </c>
      <c r="H80" s="6"/>
      <c r="I80" s="6"/>
      <c r="J80" s="6"/>
      <c r="K80" s="6"/>
      <c r="L80" s="6"/>
      <c r="M80" s="6"/>
      <c r="N80" s="6"/>
      <c r="O80" s="6"/>
      <c r="P80" s="6"/>
      <c r="Q80" s="6"/>
      <c r="R80" s="6"/>
      <c r="S80" s="6"/>
      <c r="T80" s="6"/>
      <c r="U80" s="6"/>
      <c r="V80" s="6"/>
      <c r="W80" s="27"/>
      <c r="X80" s="27"/>
      <c r="Y80" s="27"/>
      <c r="Z80" s="27"/>
      <c r="AA80" s="27"/>
      <c r="AB80" s="27"/>
      <c r="AC80" s="27"/>
      <c r="AD80" s="27"/>
      <c r="AE80" s="27"/>
      <c r="AF80" s="27"/>
      <c r="AG80" s="27"/>
    </row>
    <row r="81" spans="2:33" x14ac:dyDescent="0.2">
      <c r="B81" s="2" t="s">
        <v>69</v>
      </c>
      <c r="C81" s="6">
        <v>-102</v>
      </c>
      <c r="D81" s="6"/>
      <c r="E81" s="6"/>
      <c r="F81" s="6"/>
      <c r="G81" s="6">
        <v>-152</v>
      </c>
      <c r="H81" s="6"/>
      <c r="I81" s="6"/>
      <c r="J81" s="6"/>
      <c r="K81" s="6"/>
      <c r="L81" s="6"/>
      <c r="M81" s="6"/>
      <c r="N81" s="6"/>
      <c r="O81" s="6"/>
      <c r="P81" s="6"/>
      <c r="Q81" s="6"/>
      <c r="R81" s="6"/>
      <c r="S81" s="6"/>
      <c r="T81" s="6"/>
      <c r="U81" s="6"/>
      <c r="V81" s="6"/>
      <c r="W81" s="27"/>
      <c r="X81" s="27"/>
      <c r="Y81" s="27"/>
      <c r="Z81" s="27"/>
      <c r="AA81" s="27"/>
      <c r="AB81" s="27"/>
      <c r="AC81" s="27"/>
      <c r="AD81" s="27"/>
      <c r="AE81" s="27"/>
      <c r="AF81" s="27"/>
      <c r="AG81" s="27"/>
    </row>
    <row r="82" spans="2:33" x14ac:dyDescent="0.2">
      <c r="B82" s="2" t="s">
        <v>42</v>
      </c>
      <c r="C82" s="6">
        <v>-22</v>
      </c>
      <c r="D82" s="6"/>
      <c r="E82" s="6"/>
      <c r="F82" s="6"/>
      <c r="G82" s="6">
        <v>-158</v>
      </c>
      <c r="H82" s="6"/>
      <c r="I82" s="6"/>
      <c r="J82" s="6"/>
      <c r="K82" s="6"/>
      <c r="L82" s="6"/>
      <c r="M82" s="6"/>
      <c r="N82" s="6"/>
      <c r="O82" s="6"/>
      <c r="P82" s="6"/>
      <c r="Q82" s="6"/>
      <c r="R82" s="6"/>
      <c r="S82" s="6"/>
      <c r="T82" s="6"/>
      <c r="U82" s="6"/>
      <c r="V82" s="6"/>
      <c r="W82" s="27"/>
      <c r="X82" s="27"/>
      <c r="Y82" s="27"/>
      <c r="Z82" s="27"/>
      <c r="AA82" s="27"/>
      <c r="AB82" s="27"/>
      <c r="AC82" s="27"/>
      <c r="AD82" s="27"/>
      <c r="AE82" s="27"/>
      <c r="AF82" s="27"/>
      <c r="AG82" s="27"/>
    </row>
    <row r="83" spans="2:33" x14ac:dyDescent="0.2">
      <c r="B83" s="2" t="s">
        <v>70</v>
      </c>
      <c r="C83" s="6">
        <v>-49</v>
      </c>
      <c r="D83" s="6"/>
      <c r="E83" s="6"/>
      <c r="F83" s="6"/>
      <c r="G83" s="6">
        <v>13</v>
      </c>
      <c r="H83" s="6"/>
      <c r="I83" s="6"/>
      <c r="J83" s="6"/>
      <c r="K83" s="6"/>
      <c r="L83" s="6"/>
      <c r="M83" s="6"/>
      <c r="N83" s="6"/>
      <c r="O83" s="6"/>
      <c r="P83" s="6"/>
      <c r="Q83" s="6"/>
      <c r="R83" s="6"/>
      <c r="S83" s="6"/>
      <c r="T83" s="6"/>
      <c r="U83" s="6"/>
      <c r="V83" s="6"/>
      <c r="W83" s="27"/>
      <c r="X83" s="27"/>
      <c r="Y83" s="27"/>
      <c r="Z83" s="27"/>
      <c r="AA83" s="27"/>
      <c r="AB83" s="27"/>
      <c r="AC83" s="27"/>
      <c r="AD83" s="27"/>
      <c r="AE83" s="27"/>
      <c r="AF83" s="27"/>
      <c r="AG83" s="27"/>
    </row>
    <row r="84" spans="2:33" x14ac:dyDescent="0.2">
      <c r="B84" s="2" t="s">
        <v>71</v>
      </c>
      <c r="C84" s="6">
        <v>-11</v>
      </c>
      <c r="D84" s="6"/>
      <c r="E84" s="6"/>
      <c r="F84" s="6"/>
      <c r="G84" s="6">
        <v>-2</v>
      </c>
      <c r="H84" s="6"/>
      <c r="I84" s="6"/>
      <c r="J84" s="6"/>
      <c r="K84" s="6"/>
      <c r="L84" s="6"/>
      <c r="M84" s="6"/>
      <c r="N84" s="6"/>
      <c r="O84" s="6"/>
      <c r="P84" s="6"/>
      <c r="Q84" s="6"/>
      <c r="R84" s="6"/>
      <c r="S84" s="6"/>
      <c r="T84" s="6"/>
      <c r="U84" s="6"/>
      <c r="V84" s="6"/>
      <c r="W84" s="27"/>
      <c r="X84" s="27"/>
      <c r="Y84" s="27"/>
      <c r="Z84" s="27"/>
      <c r="AA84" s="27"/>
      <c r="AB84" s="27"/>
      <c r="AC84" s="27"/>
      <c r="AD84" s="27"/>
      <c r="AE84" s="27"/>
      <c r="AF84" s="27"/>
      <c r="AG84" s="27"/>
    </row>
    <row r="85" spans="2:33" x14ac:dyDescent="0.2">
      <c r="B85" s="2" t="s">
        <v>75</v>
      </c>
      <c r="C85" s="6">
        <v>-21</v>
      </c>
      <c r="D85" s="6"/>
      <c r="E85" s="6"/>
      <c r="F85" s="6"/>
      <c r="G85" s="6">
        <v>-32</v>
      </c>
      <c r="H85" s="6"/>
      <c r="I85" s="6"/>
      <c r="J85" s="6"/>
      <c r="K85" s="6"/>
      <c r="L85" s="6"/>
      <c r="M85" s="6"/>
      <c r="N85" s="6"/>
      <c r="O85" s="6"/>
      <c r="P85" s="6"/>
      <c r="Q85" s="6"/>
      <c r="R85" s="6"/>
      <c r="S85" s="6"/>
      <c r="T85" s="6"/>
      <c r="U85" s="6"/>
      <c r="V85" s="6"/>
      <c r="W85" s="27"/>
      <c r="X85" s="27"/>
      <c r="Y85" s="27"/>
      <c r="Z85" s="27"/>
      <c r="AA85" s="27"/>
      <c r="AB85" s="27"/>
      <c r="AC85" s="27"/>
      <c r="AD85" s="27"/>
      <c r="AE85" s="27"/>
      <c r="AF85" s="27"/>
      <c r="AG85" s="27"/>
    </row>
    <row r="86" spans="2:33" x14ac:dyDescent="0.2">
      <c r="B86" s="2" t="s">
        <v>73</v>
      </c>
      <c r="C86" s="6">
        <f>SUM(C79:C85)</f>
        <v>-113</v>
      </c>
      <c r="D86" s="6">
        <f t="shared" ref="D86:J86" si="123">SUM(D79:D85)</f>
        <v>0</v>
      </c>
      <c r="E86" s="6">
        <f t="shared" si="123"/>
        <v>0</v>
      </c>
      <c r="F86" s="6">
        <f t="shared" si="123"/>
        <v>0</v>
      </c>
      <c r="G86" s="6">
        <f t="shared" si="123"/>
        <v>-278</v>
      </c>
      <c r="H86" s="6">
        <f t="shared" si="123"/>
        <v>0</v>
      </c>
      <c r="I86" s="6">
        <f t="shared" si="123"/>
        <v>0</v>
      </c>
      <c r="J86" s="6">
        <f t="shared" si="123"/>
        <v>0</v>
      </c>
      <c r="K86" s="6"/>
      <c r="L86" s="6"/>
      <c r="M86" s="6"/>
      <c r="N86" s="6"/>
      <c r="O86" s="6"/>
      <c r="P86" s="6"/>
      <c r="Q86" s="6"/>
      <c r="R86" s="6"/>
      <c r="S86" s="6"/>
      <c r="T86" s="6"/>
      <c r="U86" s="6"/>
      <c r="V86" s="6"/>
      <c r="W86" s="27"/>
      <c r="X86" s="27"/>
      <c r="Y86" s="27"/>
      <c r="Z86" s="27"/>
      <c r="AA86" s="27"/>
      <c r="AB86" s="27"/>
      <c r="AC86" s="27"/>
      <c r="AD86" s="27"/>
      <c r="AE86" s="27"/>
      <c r="AF86" s="27"/>
      <c r="AG86" s="27"/>
    </row>
    <row r="87" spans="2:33" x14ac:dyDescent="0.2">
      <c r="B87" s="1" t="s">
        <v>74</v>
      </c>
      <c r="C87" s="24">
        <f t="shared" ref="C87:J87" si="124">SUM(C72:C77)+C86</f>
        <v>15</v>
      </c>
      <c r="D87" s="24">
        <f t="shared" si="124"/>
        <v>117</v>
      </c>
      <c r="E87" s="24">
        <f t="shared" si="124"/>
        <v>218</v>
      </c>
      <c r="F87" s="24">
        <f t="shared" si="124"/>
        <v>185</v>
      </c>
      <c r="G87" s="24">
        <f t="shared" si="124"/>
        <v>30</v>
      </c>
      <c r="H87" s="24">
        <f t="shared" si="124"/>
        <v>206</v>
      </c>
      <c r="I87" s="24">
        <f t="shared" si="124"/>
        <v>274</v>
      </c>
      <c r="J87" s="24">
        <f t="shared" si="124"/>
        <v>206</v>
      </c>
      <c r="K87" s="24"/>
      <c r="L87" s="24"/>
      <c r="M87" s="24"/>
      <c r="N87" s="6"/>
      <c r="O87" s="6"/>
      <c r="P87" s="6"/>
      <c r="Q87" s="6"/>
      <c r="R87" s="6"/>
      <c r="S87" s="6"/>
      <c r="T87" s="6"/>
      <c r="U87" s="6"/>
      <c r="V87" s="6"/>
      <c r="W87" s="27"/>
      <c r="X87" s="27"/>
      <c r="Y87" s="27"/>
      <c r="Z87" s="27"/>
      <c r="AA87" s="27"/>
      <c r="AB87" s="27"/>
      <c r="AC87" s="27"/>
      <c r="AD87" s="27"/>
      <c r="AE87" s="27"/>
      <c r="AF87" s="27"/>
      <c r="AG87" s="27"/>
    </row>
    <row r="88" spans="2:33" x14ac:dyDescent="0.2">
      <c r="B88" s="2" t="s">
        <v>76</v>
      </c>
      <c r="C88" s="6">
        <v>-117</v>
      </c>
      <c r="D88" s="6"/>
      <c r="E88" s="6"/>
      <c r="F88" s="6"/>
      <c r="G88" s="6">
        <v>-93</v>
      </c>
      <c r="H88" s="6"/>
      <c r="I88" s="6"/>
      <c r="J88" s="6"/>
      <c r="K88" s="6"/>
      <c r="L88" s="6"/>
      <c r="M88" s="6"/>
      <c r="N88" s="6"/>
      <c r="O88" s="6"/>
      <c r="P88" s="6"/>
      <c r="Q88" s="6"/>
      <c r="R88" s="6"/>
      <c r="S88" s="6"/>
      <c r="T88" s="6"/>
      <c r="U88" s="6"/>
      <c r="V88" s="6"/>
      <c r="W88" s="25"/>
      <c r="X88" s="25"/>
      <c r="Y88" s="25"/>
      <c r="Z88" s="27"/>
      <c r="AA88" s="27"/>
      <c r="AB88" s="27"/>
      <c r="AC88" s="27"/>
      <c r="AD88" s="27"/>
      <c r="AE88" s="27"/>
      <c r="AF88" s="27"/>
      <c r="AG88" s="27"/>
    </row>
    <row r="89" spans="2:33" x14ac:dyDescent="0.2">
      <c r="B89" s="2" t="s">
        <v>77</v>
      </c>
      <c r="C89" s="6">
        <v>76</v>
      </c>
      <c r="D89" s="6"/>
      <c r="E89" s="6"/>
      <c r="F89" s="6"/>
      <c r="G89" s="6">
        <v>0</v>
      </c>
      <c r="H89" s="6"/>
      <c r="I89" s="6"/>
      <c r="J89" s="6"/>
      <c r="K89" s="6"/>
      <c r="L89" s="6"/>
      <c r="M89" s="6"/>
      <c r="N89" s="6"/>
      <c r="O89" s="6"/>
      <c r="P89" s="6"/>
      <c r="Q89" s="6"/>
      <c r="R89" s="6"/>
      <c r="S89" s="6"/>
      <c r="T89" s="6"/>
      <c r="U89" s="6"/>
      <c r="V89" s="6"/>
      <c r="W89" s="25"/>
      <c r="X89" s="25"/>
      <c r="Y89" s="25"/>
      <c r="Z89" s="27"/>
      <c r="AA89" s="27"/>
      <c r="AB89" s="27"/>
      <c r="AC89" s="27"/>
      <c r="AD89" s="27"/>
      <c r="AE89" s="27"/>
      <c r="AF89" s="27"/>
      <c r="AG89" s="27"/>
    </row>
    <row r="90" spans="2:33" x14ac:dyDescent="0.2">
      <c r="B90" s="2" t="s">
        <v>78</v>
      </c>
      <c r="C90" s="6">
        <v>0</v>
      </c>
      <c r="D90" s="6"/>
      <c r="E90" s="6"/>
      <c r="F90" s="6"/>
      <c r="G90" s="6">
        <v>-201</v>
      </c>
      <c r="H90" s="6"/>
      <c r="I90" s="6"/>
      <c r="J90" s="6"/>
      <c r="K90" s="6"/>
      <c r="L90" s="6"/>
      <c r="M90" s="6"/>
      <c r="N90" s="6"/>
      <c r="O90" s="6"/>
      <c r="P90" s="6"/>
      <c r="Q90" s="6"/>
      <c r="R90" s="6"/>
      <c r="S90" s="6"/>
      <c r="T90" s="6"/>
      <c r="U90" s="6"/>
      <c r="V90" s="6"/>
      <c r="W90" s="25"/>
      <c r="X90" s="25"/>
      <c r="Y90" s="25"/>
      <c r="Z90" s="27"/>
      <c r="AA90" s="27"/>
      <c r="AB90" s="27"/>
      <c r="AC90" s="27"/>
      <c r="AD90" s="27"/>
      <c r="AE90" s="27"/>
      <c r="AF90" s="27"/>
      <c r="AG90" s="27"/>
    </row>
    <row r="91" spans="2:33" x14ac:dyDescent="0.2">
      <c r="B91" s="2" t="s">
        <v>79</v>
      </c>
      <c r="C91" s="6">
        <v>0</v>
      </c>
      <c r="D91" s="6"/>
      <c r="E91" s="6"/>
      <c r="F91" s="6"/>
      <c r="G91" s="6">
        <v>3</v>
      </c>
      <c r="H91" s="6"/>
      <c r="I91" s="6"/>
      <c r="J91" s="6"/>
      <c r="K91" s="6"/>
      <c r="L91" s="6"/>
      <c r="M91" s="6"/>
      <c r="N91" s="6"/>
      <c r="O91" s="6"/>
      <c r="P91" s="6"/>
      <c r="Q91" s="6"/>
      <c r="R91" s="6"/>
      <c r="S91" s="6"/>
      <c r="T91" s="6"/>
      <c r="U91" s="6"/>
      <c r="V91" s="6"/>
      <c r="W91" s="25"/>
      <c r="X91" s="25"/>
      <c r="Y91" s="25"/>
      <c r="Z91" s="27"/>
      <c r="AA91" s="27"/>
      <c r="AB91" s="27"/>
      <c r="AC91" s="27"/>
      <c r="AD91" s="27"/>
      <c r="AE91" s="27"/>
      <c r="AF91" s="27"/>
      <c r="AG91" s="27"/>
    </row>
    <row r="92" spans="2:33" x14ac:dyDescent="0.2">
      <c r="B92" s="2" t="s">
        <v>80</v>
      </c>
      <c r="C92" s="6">
        <v>11</v>
      </c>
      <c r="D92" s="6"/>
      <c r="E92" s="6"/>
      <c r="F92" s="6"/>
      <c r="G92" s="6">
        <v>0</v>
      </c>
      <c r="H92" s="6"/>
      <c r="I92" s="6"/>
      <c r="J92" s="6"/>
      <c r="K92" s="6"/>
      <c r="L92" s="6"/>
      <c r="M92" s="6"/>
      <c r="N92" s="6"/>
      <c r="O92" s="6"/>
      <c r="P92" s="6"/>
      <c r="Q92" s="6"/>
      <c r="R92" s="6"/>
      <c r="S92" s="6"/>
      <c r="T92" s="6"/>
      <c r="U92" s="6"/>
      <c r="V92" s="6"/>
      <c r="W92" s="25"/>
      <c r="X92" s="25"/>
      <c r="Y92" s="25"/>
      <c r="Z92" s="27"/>
      <c r="AA92" s="27"/>
      <c r="AB92" s="27"/>
      <c r="AC92" s="27"/>
      <c r="AD92" s="27"/>
      <c r="AE92" s="27"/>
      <c r="AF92" s="27"/>
      <c r="AG92" s="27"/>
    </row>
    <row r="93" spans="2:33" x14ac:dyDescent="0.2">
      <c r="B93" s="1" t="s">
        <v>81</v>
      </c>
      <c r="C93" s="24">
        <f>SUM(C88:C92)</f>
        <v>-30</v>
      </c>
      <c r="D93" s="24">
        <f t="shared" ref="D93:J93" si="125">SUM(D88:D92)</f>
        <v>0</v>
      </c>
      <c r="E93" s="24">
        <f t="shared" si="125"/>
        <v>0</v>
      </c>
      <c r="F93" s="24">
        <f t="shared" si="125"/>
        <v>0</v>
      </c>
      <c r="G93" s="24">
        <f t="shared" si="125"/>
        <v>-291</v>
      </c>
      <c r="H93" s="24">
        <f t="shared" si="125"/>
        <v>0</v>
      </c>
      <c r="I93" s="24">
        <f t="shared" si="125"/>
        <v>0</v>
      </c>
      <c r="J93" s="24">
        <f t="shared" si="125"/>
        <v>0</v>
      </c>
      <c r="K93" s="24"/>
      <c r="L93" s="24"/>
      <c r="M93" s="24"/>
      <c r="N93" s="6"/>
      <c r="O93" s="6"/>
      <c r="P93" s="6"/>
      <c r="Q93" s="6"/>
      <c r="R93" s="6"/>
      <c r="S93" s="6"/>
      <c r="T93" s="6"/>
      <c r="U93" s="6"/>
      <c r="V93" s="6"/>
      <c r="W93" s="25"/>
      <c r="X93" s="25"/>
      <c r="Y93" s="25"/>
      <c r="Z93" s="27"/>
      <c r="AA93" s="27"/>
      <c r="AB93" s="27"/>
      <c r="AC93" s="27"/>
      <c r="AD93" s="27"/>
      <c r="AE93" s="27"/>
      <c r="AF93" s="27"/>
      <c r="AG93" s="27"/>
    </row>
    <row r="94" spans="2:33" x14ac:dyDescent="0.2">
      <c r="B94" s="2" t="s">
        <v>82</v>
      </c>
      <c r="C94" s="6">
        <v>7</v>
      </c>
      <c r="D94" s="6"/>
      <c r="E94" s="6"/>
      <c r="F94" s="6"/>
      <c r="G94" s="6">
        <v>10</v>
      </c>
      <c r="H94" s="6"/>
      <c r="I94" s="6"/>
      <c r="J94" s="6"/>
      <c r="K94" s="6"/>
      <c r="L94" s="6"/>
      <c r="M94" s="6"/>
      <c r="N94" s="6"/>
      <c r="O94" s="6"/>
      <c r="P94" s="6"/>
      <c r="Q94" s="6"/>
      <c r="R94" s="6"/>
      <c r="S94" s="6"/>
      <c r="T94" s="6"/>
      <c r="U94" s="6"/>
      <c r="V94" s="6"/>
      <c r="W94" s="25"/>
      <c r="X94" s="25"/>
      <c r="Y94" s="25"/>
      <c r="Z94" s="27"/>
      <c r="AA94" s="27"/>
      <c r="AB94" s="27"/>
      <c r="AC94" s="27"/>
      <c r="AD94" s="27"/>
      <c r="AE94" s="27"/>
      <c r="AF94" s="27"/>
      <c r="AG94" s="27"/>
    </row>
    <row r="95" spans="2:33" x14ac:dyDescent="0.2">
      <c r="B95" s="2" t="s">
        <v>83</v>
      </c>
      <c r="C95" s="6">
        <v>-10</v>
      </c>
      <c r="D95" s="6"/>
      <c r="E95" s="6"/>
      <c r="F95" s="6"/>
      <c r="G95" s="6">
        <v>-31</v>
      </c>
      <c r="H95" s="6"/>
      <c r="I95" s="6"/>
      <c r="J95" s="6"/>
      <c r="K95" s="6"/>
      <c r="L95" s="6"/>
      <c r="M95" s="6"/>
      <c r="N95" s="6"/>
      <c r="O95" s="6"/>
      <c r="P95" s="6"/>
      <c r="Q95" s="6"/>
      <c r="R95" s="6"/>
      <c r="S95" s="6"/>
      <c r="T95" s="6"/>
      <c r="U95" s="6"/>
      <c r="V95" s="6"/>
      <c r="W95" s="25"/>
      <c r="X95" s="25"/>
      <c r="Y95" s="25"/>
      <c r="Z95" s="27"/>
      <c r="AA95" s="27"/>
      <c r="AB95" s="27"/>
      <c r="AC95" s="27"/>
      <c r="AD95" s="27"/>
      <c r="AE95" s="27"/>
      <c r="AF95" s="27"/>
      <c r="AG95" s="27"/>
    </row>
    <row r="96" spans="2:33" x14ac:dyDescent="0.2">
      <c r="B96" s="2" t="s">
        <v>84</v>
      </c>
      <c r="C96" s="6">
        <v>-55</v>
      </c>
      <c r="D96" s="6"/>
      <c r="E96" s="6"/>
      <c r="F96" s="6"/>
      <c r="G96" s="6">
        <v>-56</v>
      </c>
      <c r="H96" s="6"/>
      <c r="I96" s="6"/>
      <c r="J96" s="6"/>
      <c r="K96" s="6"/>
      <c r="L96" s="6"/>
      <c r="M96" s="6"/>
      <c r="N96" s="6"/>
      <c r="O96" s="6"/>
      <c r="P96" s="6"/>
      <c r="Q96" s="6"/>
      <c r="R96" s="6"/>
      <c r="S96" s="6"/>
      <c r="T96" s="6"/>
      <c r="U96" s="6"/>
      <c r="V96" s="6"/>
      <c r="W96" s="25"/>
      <c r="X96" s="25"/>
      <c r="Y96" s="25"/>
      <c r="Z96" s="27"/>
      <c r="AA96" s="27"/>
      <c r="AB96" s="27"/>
      <c r="AC96" s="27"/>
      <c r="AD96" s="27"/>
      <c r="AE96" s="27"/>
      <c r="AF96" s="27"/>
      <c r="AG96" s="27"/>
    </row>
    <row r="97" spans="2:33" x14ac:dyDescent="0.2">
      <c r="B97" s="1" t="s">
        <v>85</v>
      </c>
      <c r="C97" s="24">
        <f>SUM(C94:C96)</f>
        <v>-58</v>
      </c>
      <c r="D97" s="24">
        <f t="shared" ref="D97:J97" si="126">SUM(D94:D96)</f>
        <v>0</v>
      </c>
      <c r="E97" s="24">
        <f t="shared" si="126"/>
        <v>0</v>
      </c>
      <c r="F97" s="24">
        <f t="shared" si="126"/>
        <v>0</v>
      </c>
      <c r="G97" s="24">
        <f t="shared" si="126"/>
        <v>-77</v>
      </c>
      <c r="H97" s="24">
        <f t="shared" si="126"/>
        <v>0</v>
      </c>
      <c r="I97" s="24">
        <f t="shared" si="126"/>
        <v>0</v>
      </c>
      <c r="J97" s="24">
        <f t="shared" si="126"/>
        <v>0</v>
      </c>
      <c r="K97" s="24"/>
      <c r="L97" s="24"/>
      <c r="M97" s="24"/>
      <c r="N97" s="6"/>
      <c r="O97" s="6"/>
      <c r="P97" s="6"/>
      <c r="Q97" s="6"/>
      <c r="R97" s="6"/>
      <c r="S97" s="6"/>
      <c r="T97" s="6"/>
      <c r="U97" s="6"/>
      <c r="V97" s="6"/>
      <c r="W97" s="25"/>
      <c r="X97" s="25"/>
      <c r="Y97" s="25"/>
      <c r="Z97" s="27"/>
      <c r="AA97" s="27"/>
      <c r="AB97" s="27"/>
      <c r="AC97" s="27"/>
      <c r="AD97" s="27"/>
      <c r="AE97" s="27"/>
      <c r="AF97" s="27"/>
      <c r="AG97" s="27"/>
    </row>
    <row r="98" spans="2:33" x14ac:dyDescent="0.2">
      <c r="B98" s="2" t="s">
        <v>120</v>
      </c>
      <c r="C98" s="6">
        <v>-2</v>
      </c>
      <c r="D98" s="6"/>
      <c r="E98" s="6"/>
      <c r="F98" s="6"/>
      <c r="G98" s="6">
        <v>-2</v>
      </c>
      <c r="H98" s="6"/>
      <c r="I98" s="6"/>
      <c r="J98" s="6"/>
      <c r="K98" s="6"/>
      <c r="L98" s="6"/>
      <c r="M98" s="6"/>
      <c r="N98" s="6"/>
      <c r="O98" s="6"/>
      <c r="P98" s="6"/>
      <c r="Q98" s="6"/>
      <c r="R98" s="6"/>
      <c r="S98" s="6"/>
      <c r="T98" s="6"/>
      <c r="U98" s="6"/>
      <c r="V98" s="6"/>
      <c r="W98" s="25"/>
      <c r="X98" s="25"/>
      <c r="Y98" s="25"/>
      <c r="Z98" s="27"/>
      <c r="AA98" s="27"/>
      <c r="AB98" s="27"/>
      <c r="AC98" s="27"/>
      <c r="AD98" s="27"/>
      <c r="AE98" s="27"/>
      <c r="AF98" s="27"/>
      <c r="AG98" s="27"/>
    </row>
    <row r="99" spans="2:33" x14ac:dyDescent="0.2">
      <c r="B99" s="1" t="s">
        <v>86</v>
      </c>
      <c r="C99" s="24">
        <f t="shared" ref="C99:F99" si="127">C97+C93+C87+C98</f>
        <v>-75</v>
      </c>
      <c r="D99" s="24">
        <f t="shared" si="127"/>
        <v>117</v>
      </c>
      <c r="E99" s="24">
        <f t="shared" si="127"/>
        <v>218</v>
      </c>
      <c r="F99" s="24">
        <f t="shared" si="127"/>
        <v>185</v>
      </c>
      <c r="G99" s="24">
        <f>G97+G93+G87+G98</f>
        <v>-340</v>
      </c>
      <c r="H99" s="24">
        <f t="shared" ref="H99:J99" si="128">H97+H93+H87+H98</f>
        <v>206</v>
      </c>
      <c r="I99" s="24">
        <f t="shared" si="128"/>
        <v>274</v>
      </c>
      <c r="J99" s="24">
        <f t="shared" si="128"/>
        <v>206</v>
      </c>
      <c r="K99" s="24"/>
      <c r="L99" s="24"/>
      <c r="M99" s="24"/>
      <c r="N99" s="6"/>
      <c r="O99" s="6"/>
      <c r="P99" s="6"/>
      <c r="Q99" s="6"/>
      <c r="R99" s="6"/>
      <c r="S99" s="6"/>
      <c r="T99" s="6"/>
      <c r="U99" s="6"/>
      <c r="V99" s="6"/>
      <c r="W99" s="25"/>
      <c r="X99" s="25"/>
      <c r="Y99" s="25"/>
      <c r="Z99" s="27"/>
      <c r="AA99" s="27"/>
      <c r="AB99" s="27"/>
      <c r="AC99" s="27"/>
      <c r="AD99" s="27"/>
      <c r="AE99" s="27"/>
      <c r="AF99" s="27"/>
      <c r="AG99" s="27"/>
    </row>
    <row r="100" spans="2:33" x14ac:dyDescent="0.2">
      <c r="B100" s="2" t="s">
        <v>87</v>
      </c>
      <c r="C100" s="6">
        <v>1273</v>
      </c>
      <c r="D100" s="6"/>
      <c r="E100" s="6"/>
      <c r="F100" s="6"/>
      <c r="G100" s="6">
        <v>1901</v>
      </c>
      <c r="H100" s="6"/>
      <c r="I100" s="6"/>
      <c r="J100" s="6"/>
      <c r="K100" s="6"/>
      <c r="L100" s="6"/>
      <c r="M100" s="6"/>
      <c r="N100" s="6"/>
      <c r="O100" s="6"/>
      <c r="P100" s="6"/>
      <c r="Q100" s="6"/>
      <c r="R100" s="6"/>
      <c r="S100" s="6"/>
      <c r="T100" s="6"/>
      <c r="U100" s="6"/>
      <c r="V100" s="6"/>
      <c r="W100" s="25"/>
      <c r="X100" s="25"/>
      <c r="Y100" s="25"/>
      <c r="Z100" s="27"/>
      <c r="AA100" s="27"/>
      <c r="AB100" s="27"/>
      <c r="AC100" s="27"/>
      <c r="AD100" s="27"/>
      <c r="AE100" s="27"/>
      <c r="AF100" s="27"/>
      <c r="AG100" s="27"/>
    </row>
    <row r="101" spans="2:33" x14ac:dyDescent="0.2">
      <c r="B101" s="2" t="s">
        <v>88</v>
      </c>
      <c r="C101" s="6">
        <f>C99+C100</f>
        <v>1198</v>
      </c>
      <c r="D101" s="6"/>
      <c r="E101" s="6"/>
      <c r="F101" s="6"/>
      <c r="G101" s="6">
        <f>G100+G99</f>
        <v>1561</v>
      </c>
      <c r="H101" s="6"/>
      <c r="I101" s="6"/>
      <c r="J101" s="6"/>
      <c r="K101" s="6"/>
      <c r="L101" s="6"/>
      <c r="M101" s="6"/>
      <c r="N101" s="6"/>
      <c r="O101" s="6"/>
      <c r="P101" s="6"/>
      <c r="Q101" s="6"/>
      <c r="R101" s="6"/>
      <c r="S101" s="6"/>
      <c r="T101" s="6"/>
      <c r="U101" s="6"/>
      <c r="V101" s="6"/>
      <c r="W101" s="25"/>
      <c r="X101" s="25"/>
      <c r="Y101" s="25"/>
      <c r="Z101" s="27"/>
      <c r="AA101" s="27"/>
      <c r="AB101" s="27"/>
      <c r="AC101" s="27"/>
      <c r="AD101" s="27"/>
      <c r="AE101" s="27"/>
      <c r="AF101" s="27"/>
      <c r="AG101" s="27"/>
    </row>
    <row r="102" spans="2:33" x14ac:dyDescent="0.2">
      <c r="C102" s="25"/>
      <c r="D102" s="25"/>
      <c r="E102" s="25"/>
      <c r="F102" s="25"/>
      <c r="G102" s="25"/>
      <c r="H102" s="25"/>
      <c r="I102" s="25"/>
      <c r="J102" s="25"/>
      <c r="K102" s="25"/>
      <c r="L102" s="25"/>
      <c r="M102" s="25"/>
      <c r="N102" s="25"/>
      <c r="O102" s="25"/>
      <c r="P102" s="25"/>
      <c r="Q102" s="25"/>
      <c r="R102" s="25"/>
      <c r="S102" s="25"/>
      <c r="T102" s="25"/>
      <c r="U102" s="25"/>
      <c r="V102" s="25"/>
      <c r="W102" s="25"/>
      <c r="X102" s="25"/>
      <c r="Y102" s="25"/>
      <c r="Z102" s="27"/>
      <c r="AA102" s="27"/>
      <c r="AB102" s="27"/>
      <c r="AC102" s="27"/>
      <c r="AD102" s="27"/>
      <c r="AE102" s="27"/>
      <c r="AF102" s="27"/>
      <c r="AG102" s="27"/>
    </row>
    <row r="103" spans="2:33" x14ac:dyDescent="0.2">
      <c r="C103" s="25"/>
      <c r="D103" s="25"/>
      <c r="E103" s="25"/>
      <c r="F103" s="25"/>
      <c r="G103" s="25"/>
      <c r="H103" s="25"/>
      <c r="I103" s="25"/>
      <c r="J103" s="25"/>
      <c r="K103" s="25"/>
      <c r="L103" s="25"/>
      <c r="M103" s="25"/>
      <c r="N103" s="25"/>
      <c r="O103" s="25"/>
      <c r="P103" s="25"/>
      <c r="Q103" s="25"/>
      <c r="R103" s="25"/>
      <c r="S103" s="25"/>
      <c r="T103" s="25"/>
      <c r="U103" s="25"/>
      <c r="V103" s="25"/>
      <c r="W103" s="25"/>
      <c r="X103" s="25"/>
      <c r="Y103" s="25"/>
      <c r="Z103" s="27"/>
      <c r="AA103" s="27"/>
      <c r="AB103" s="27"/>
      <c r="AC103" s="27"/>
      <c r="AD103" s="27"/>
      <c r="AE103" s="27"/>
      <c r="AF103" s="27"/>
      <c r="AG103" s="27"/>
    </row>
    <row r="104" spans="2:33" x14ac:dyDescent="0.2">
      <c r="C104" s="25"/>
      <c r="D104" s="25"/>
      <c r="E104" s="25"/>
      <c r="F104" s="25"/>
      <c r="G104" s="25"/>
      <c r="H104" s="25"/>
      <c r="I104" s="25"/>
      <c r="J104" s="25"/>
      <c r="K104" s="25"/>
      <c r="L104" s="25"/>
      <c r="M104" s="25"/>
      <c r="N104" s="25"/>
      <c r="O104" s="25"/>
      <c r="P104" s="25"/>
      <c r="Q104" s="25"/>
      <c r="R104" s="25"/>
      <c r="S104" s="25"/>
      <c r="T104" s="25"/>
      <c r="U104" s="25"/>
      <c r="V104" s="25"/>
      <c r="W104" s="25"/>
      <c r="X104" s="25"/>
      <c r="Y104" s="25"/>
      <c r="Z104" s="27"/>
      <c r="AA104" s="27"/>
      <c r="AB104" s="27"/>
      <c r="AC104" s="27"/>
      <c r="AD104" s="27"/>
      <c r="AE104" s="27"/>
      <c r="AF104" s="27"/>
      <c r="AG104" s="27"/>
    </row>
    <row r="105" spans="2:33" x14ac:dyDescent="0.2">
      <c r="C105" s="25"/>
      <c r="D105" s="25"/>
      <c r="E105" s="25"/>
      <c r="F105" s="25"/>
      <c r="G105" s="25"/>
      <c r="H105" s="25"/>
      <c r="I105" s="25"/>
      <c r="J105" s="25"/>
      <c r="K105" s="25"/>
      <c r="L105" s="25"/>
      <c r="M105" s="25"/>
      <c r="N105" s="25"/>
      <c r="O105" s="25"/>
      <c r="P105" s="25"/>
      <c r="Q105" s="25"/>
      <c r="R105" s="25"/>
      <c r="S105" s="25"/>
      <c r="T105" s="25"/>
      <c r="U105" s="25"/>
      <c r="V105" s="25"/>
      <c r="W105" s="25"/>
      <c r="X105" s="25"/>
      <c r="Y105" s="25"/>
      <c r="Z105" s="27"/>
      <c r="AA105" s="27"/>
      <c r="AB105" s="27"/>
      <c r="AC105" s="27"/>
      <c r="AD105" s="27"/>
      <c r="AE105" s="27"/>
      <c r="AF105" s="27"/>
      <c r="AG105" s="27"/>
    </row>
    <row r="106" spans="2:33" x14ac:dyDescent="0.2">
      <c r="C106" s="25"/>
      <c r="D106" s="25"/>
      <c r="E106" s="25"/>
      <c r="F106" s="25"/>
      <c r="G106" s="25"/>
      <c r="H106" s="25"/>
      <c r="I106" s="25"/>
      <c r="J106" s="25"/>
      <c r="K106" s="25"/>
      <c r="L106" s="25"/>
      <c r="M106" s="25"/>
      <c r="N106" s="25"/>
      <c r="O106" s="25"/>
      <c r="P106" s="25"/>
      <c r="Q106" s="25"/>
      <c r="R106" s="25"/>
      <c r="S106" s="25"/>
      <c r="T106" s="25"/>
      <c r="U106" s="25"/>
      <c r="V106" s="25"/>
      <c r="W106" s="25"/>
      <c r="X106" s="25"/>
      <c r="Y106" s="25"/>
      <c r="Z106" s="27"/>
      <c r="AA106" s="27"/>
      <c r="AB106" s="27"/>
      <c r="AC106" s="27"/>
      <c r="AD106" s="27"/>
      <c r="AE106" s="27"/>
      <c r="AF106" s="27"/>
      <c r="AG106" s="27"/>
    </row>
    <row r="107" spans="2:33" x14ac:dyDescent="0.2">
      <c r="C107" s="25"/>
      <c r="D107" s="25"/>
      <c r="E107" s="25"/>
      <c r="F107" s="25"/>
      <c r="G107" s="25"/>
      <c r="H107" s="25"/>
      <c r="I107" s="25"/>
      <c r="J107" s="25"/>
      <c r="K107" s="25"/>
      <c r="L107" s="25"/>
      <c r="M107" s="25"/>
      <c r="N107" s="25"/>
      <c r="O107" s="25"/>
      <c r="P107" s="25"/>
      <c r="Q107" s="25"/>
      <c r="R107" s="25"/>
      <c r="S107" s="25"/>
      <c r="T107" s="25"/>
      <c r="U107" s="25"/>
      <c r="V107" s="25"/>
      <c r="W107" s="25"/>
      <c r="X107" s="25"/>
      <c r="Y107" s="25"/>
      <c r="Z107" s="27"/>
      <c r="AA107" s="27"/>
      <c r="AB107" s="27"/>
      <c r="AC107" s="27"/>
      <c r="AD107" s="27"/>
      <c r="AE107" s="27"/>
      <c r="AF107" s="27"/>
      <c r="AG107" s="27"/>
    </row>
    <row r="108" spans="2:33" x14ac:dyDescent="0.2">
      <c r="C108" s="25"/>
      <c r="D108" s="25"/>
      <c r="E108" s="25"/>
      <c r="F108" s="25"/>
      <c r="G108" s="25"/>
      <c r="H108" s="25"/>
      <c r="I108" s="25"/>
      <c r="J108" s="25"/>
      <c r="K108" s="25"/>
      <c r="L108" s="25"/>
      <c r="M108" s="25"/>
      <c r="N108" s="25"/>
      <c r="O108" s="25"/>
      <c r="P108" s="25"/>
      <c r="Q108" s="25"/>
      <c r="R108" s="25"/>
      <c r="S108" s="25"/>
      <c r="T108" s="25"/>
      <c r="U108" s="25"/>
      <c r="V108" s="25"/>
      <c r="W108" s="25"/>
      <c r="X108" s="25"/>
      <c r="Y108" s="25"/>
      <c r="Z108" s="27"/>
      <c r="AA108" s="27"/>
      <c r="AB108" s="27"/>
      <c r="AC108" s="27"/>
      <c r="AD108" s="27"/>
      <c r="AE108" s="27"/>
      <c r="AF108" s="27"/>
      <c r="AG108" s="27"/>
    </row>
    <row r="109" spans="2:33" x14ac:dyDescent="0.2">
      <c r="C109" s="25"/>
      <c r="D109" s="25"/>
      <c r="E109" s="25"/>
      <c r="F109" s="25"/>
      <c r="G109" s="25"/>
      <c r="H109" s="25"/>
      <c r="I109" s="25"/>
      <c r="J109" s="25"/>
      <c r="K109" s="25"/>
      <c r="L109" s="25"/>
      <c r="M109" s="25"/>
      <c r="N109" s="25"/>
      <c r="O109" s="25"/>
      <c r="P109" s="25"/>
      <c r="Q109" s="25"/>
      <c r="R109" s="25"/>
      <c r="S109" s="25"/>
      <c r="T109" s="25"/>
      <c r="U109" s="25"/>
      <c r="V109" s="25"/>
      <c r="W109" s="25"/>
      <c r="X109" s="25"/>
      <c r="Y109" s="25"/>
      <c r="Z109" s="27"/>
      <c r="AA109" s="27"/>
      <c r="AB109" s="27"/>
      <c r="AC109" s="27"/>
      <c r="AD109" s="27"/>
      <c r="AE109" s="27"/>
      <c r="AF109" s="27"/>
      <c r="AG109" s="27"/>
    </row>
    <row r="110" spans="2:33" x14ac:dyDescent="0.2">
      <c r="C110" s="25"/>
      <c r="D110" s="25"/>
      <c r="E110" s="25"/>
      <c r="F110" s="25"/>
      <c r="G110" s="25"/>
      <c r="H110" s="25"/>
      <c r="I110" s="25"/>
      <c r="J110" s="25"/>
      <c r="K110" s="25"/>
      <c r="L110" s="25"/>
      <c r="M110" s="25"/>
      <c r="N110" s="25"/>
      <c r="O110" s="25"/>
      <c r="P110" s="25"/>
      <c r="Q110" s="25"/>
      <c r="R110" s="25"/>
      <c r="S110" s="25"/>
      <c r="T110" s="25"/>
      <c r="U110" s="25"/>
      <c r="V110" s="25"/>
      <c r="W110" s="25"/>
      <c r="X110" s="25"/>
      <c r="Y110" s="25"/>
      <c r="Z110" s="27"/>
      <c r="AA110" s="27"/>
      <c r="AB110" s="27"/>
      <c r="AC110" s="27"/>
      <c r="AD110" s="27"/>
      <c r="AE110" s="27"/>
      <c r="AF110" s="27"/>
      <c r="AG110" s="27"/>
    </row>
    <row r="111" spans="2:33" x14ac:dyDescent="0.2">
      <c r="C111" s="25"/>
      <c r="D111" s="25"/>
      <c r="E111" s="25"/>
      <c r="F111" s="25"/>
      <c r="G111" s="25"/>
      <c r="H111" s="25"/>
      <c r="I111" s="25"/>
      <c r="J111" s="25"/>
      <c r="K111" s="25"/>
      <c r="L111" s="25"/>
      <c r="M111" s="25"/>
      <c r="N111" s="25"/>
      <c r="O111" s="25"/>
      <c r="P111" s="25"/>
      <c r="Q111" s="25"/>
      <c r="R111" s="25"/>
      <c r="S111" s="25"/>
      <c r="T111" s="25"/>
      <c r="U111" s="25"/>
      <c r="V111" s="25"/>
      <c r="W111" s="25"/>
      <c r="X111" s="25"/>
      <c r="Y111" s="25"/>
      <c r="Z111" s="27"/>
      <c r="AA111" s="27"/>
      <c r="AB111" s="27"/>
      <c r="AC111" s="27"/>
      <c r="AD111" s="27"/>
      <c r="AE111" s="27"/>
      <c r="AF111" s="27"/>
      <c r="AG111" s="27"/>
    </row>
    <row r="112" spans="2:33" x14ac:dyDescent="0.2">
      <c r="C112" s="25"/>
      <c r="D112" s="25"/>
      <c r="E112" s="25"/>
      <c r="F112" s="25"/>
      <c r="G112" s="25"/>
      <c r="H112" s="25"/>
      <c r="I112" s="25"/>
      <c r="J112" s="25"/>
      <c r="K112" s="25"/>
      <c r="L112" s="25"/>
      <c r="M112" s="25"/>
      <c r="N112" s="25"/>
      <c r="O112" s="25"/>
      <c r="P112" s="25"/>
      <c r="Q112" s="25"/>
      <c r="R112" s="25"/>
      <c r="S112" s="25"/>
      <c r="T112" s="25"/>
      <c r="U112" s="25"/>
      <c r="V112" s="25"/>
      <c r="W112" s="25"/>
      <c r="X112" s="25"/>
      <c r="Y112" s="25"/>
      <c r="Z112" s="27"/>
      <c r="AA112" s="27"/>
      <c r="AB112" s="27"/>
      <c r="AC112" s="27"/>
      <c r="AD112" s="27"/>
      <c r="AE112" s="27"/>
      <c r="AF112" s="27"/>
      <c r="AG112" s="27"/>
    </row>
    <row r="113" spans="3:33" x14ac:dyDescent="0.2">
      <c r="C113" s="25"/>
      <c r="D113" s="25"/>
      <c r="E113" s="25"/>
      <c r="F113" s="25"/>
      <c r="G113" s="25"/>
      <c r="H113" s="25"/>
      <c r="I113" s="25"/>
      <c r="J113" s="25"/>
      <c r="K113" s="25"/>
      <c r="L113" s="25"/>
      <c r="M113" s="25"/>
      <c r="N113" s="25"/>
      <c r="O113" s="25"/>
      <c r="P113" s="25"/>
      <c r="Q113" s="25"/>
      <c r="R113" s="25"/>
      <c r="S113" s="25"/>
      <c r="T113" s="25"/>
      <c r="U113" s="25"/>
      <c r="V113" s="25"/>
      <c r="W113" s="25"/>
      <c r="X113" s="25"/>
      <c r="Y113" s="25"/>
      <c r="Z113" s="27"/>
      <c r="AA113" s="27"/>
      <c r="AB113" s="27"/>
      <c r="AC113" s="27"/>
      <c r="AD113" s="27"/>
      <c r="AE113" s="27"/>
      <c r="AF113" s="27"/>
      <c r="AG113" s="27"/>
    </row>
    <row r="114" spans="3:33" x14ac:dyDescent="0.2">
      <c r="C114" s="25"/>
      <c r="D114" s="25"/>
      <c r="E114" s="25"/>
      <c r="F114" s="25"/>
      <c r="G114" s="25"/>
      <c r="H114" s="25"/>
      <c r="I114" s="25"/>
      <c r="J114" s="25"/>
      <c r="K114" s="25"/>
      <c r="L114" s="25"/>
      <c r="M114" s="25"/>
      <c r="N114" s="25"/>
      <c r="O114" s="25"/>
      <c r="P114" s="25"/>
      <c r="Q114" s="25"/>
      <c r="R114" s="25"/>
      <c r="S114" s="25"/>
      <c r="T114" s="25"/>
      <c r="U114" s="25"/>
      <c r="V114" s="25"/>
      <c r="W114" s="25"/>
      <c r="X114" s="25"/>
      <c r="Y114" s="25"/>
      <c r="Z114" s="27"/>
      <c r="AA114" s="27"/>
      <c r="AB114" s="27"/>
      <c r="AC114" s="27"/>
      <c r="AD114" s="27"/>
      <c r="AE114" s="27"/>
      <c r="AF114" s="27"/>
      <c r="AG114" s="27"/>
    </row>
    <row r="115" spans="3:33" x14ac:dyDescent="0.2">
      <c r="C115" s="25"/>
      <c r="D115" s="25"/>
      <c r="E115" s="25"/>
      <c r="F115" s="25"/>
      <c r="G115" s="25"/>
      <c r="H115" s="25"/>
      <c r="I115" s="25"/>
      <c r="J115" s="25"/>
      <c r="K115" s="25"/>
      <c r="L115" s="25"/>
      <c r="M115" s="25"/>
      <c r="N115" s="25"/>
      <c r="O115" s="25"/>
      <c r="P115" s="25"/>
      <c r="Q115" s="25"/>
      <c r="R115" s="25"/>
      <c r="S115" s="25"/>
      <c r="T115" s="25"/>
      <c r="U115" s="25"/>
      <c r="V115" s="25"/>
      <c r="W115" s="25"/>
      <c r="X115" s="25"/>
      <c r="Y115" s="25"/>
      <c r="Z115" s="27"/>
      <c r="AA115" s="27"/>
      <c r="AB115" s="27"/>
      <c r="AC115" s="27"/>
      <c r="AD115" s="27"/>
      <c r="AE115" s="27"/>
      <c r="AF115" s="27"/>
      <c r="AG115" s="27"/>
    </row>
    <row r="116" spans="3:33" x14ac:dyDescent="0.2">
      <c r="C116" s="25"/>
      <c r="D116" s="25"/>
      <c r="E116" s="25"/>
      <c r="F116" s="25"/>
      <c r="G116" s="25"/>
      <c r="H116" s="25"/>
      <c r="I116" s="25"/>
      <c r="J116" s="25"/>
      <c r="K116" s="25"/>
      <c r="L116" s="25"/>
      <c r="M116" s="25"/>
      <c r="N116" s="25"/>
      <c r="O116" s="25"/>
      <c r="P116" s="25"/>
      <c r="Q116" s="25"/>
      <c r="R116" s="25"/>
      <c r="S116" s="25"/>
      <c r="T116" s="25"/>
      <c r="U116" s="25"/>
      <c r="V116" s="25"/>
      <c r="W116" s="25"/>
      <c r="X116" s="25"/>
      <c r="Y116" s="25"/>
      <c r="Z116" s="27"/>
      <c r="AA116" s="27"/>
      <c r="AB116" s="27"/>
      <c r="AC116" s="27"/>
      <c r="AD116" s="27"/>
      <c r="AE116" s="27"/>
      <c r="AF116" s="27"/>
      <c r="AG116" s="27"/>
    </row>
    <row r="117" spans="3:33" x14ac:dyDescent="0.2">
      <c r="C117" s="25"/>
      <c r="D117" s="25"/>
      <c r="E117" s="25"/>
      <c r="F117" s="25"/>
      <c r="G117" s="25"/>
      <c r="H117" s="25"/>
      <c r="I117" s="25"/>
      <c r="J117" s="25"/>
      <c r="K117" s="25"/>
      <c r="L117" s="25"/>
      <c r="M117" s="25"/>
      <c r="N117" s="25"/>
      <c r="O117" s="25"/>
      <c r="P117" s="25"/>
      <c r="Q117" s="25"/>
      <c r="R117" s="25"/>
      <c r="S117" s="25"/>
      <c r="T117" s="25"/>
      <c r="U117" s="25"/>
      <c r="V117" s="25"/>
      <c r="W117" s="25"/>
      <c r="X117" s="25"/>
      <c r="Y117" s="25"/>
      <c r="Z117" s="27"/>
      <c r="AA117" s="27"/>
      <c r="AB117" s="27"/>
      <c r="AC117" s="27"/>
      <c r="AD117" s="27"/>
      <c r="AE117" s="27"/>
      <c r="AF117" s="27"/>
      <c r="AG117" s="27"/>
    </row>
    <row r="118" spans="3:33" x14ac:dyDescent="0.2">
      <c r="C118" s="25"/>
      <c r="D118" s="25"/>
      <c r="E118" s="25"/>
      <c r="F118" s="25"/>
      <c r="G118" s="25"/>
      <c r="H118" s="25"/>
      <c r="I118" s="25"/>
      <c r="J118" s="25"/>
      <c r="K118" s="25"/>
      <c r="L118" s="25"/>
      <c r="M118" s="25"/>
      <c r="N118" s="25"/>
      <c r="O118" s="25"/>
      <c r="P118" s="25"/>
      <c r="Q118" s="25"/>
      <c r="R118" s="25"/>
      <c r="S118" s="25"/>
      <c r="T118" s="25"/>
      <c r="U118" s="25"/>
      <c r="V118" s="25"/>
      <c r="W118" s="25"/>
      <c r="X118" s="25"/>
      <c r="Y118" s="25"/>
      <c r="Z118" s="27"/>
      <c r="AA118" s="27"/>
      <c r="AB118" s="27"/>
      <c r="AC118" s="27"/>
      <c r="AD118" s="27"/>
      <c r="AE118" s="27"/>
      <c r="AF118" s="27"/>
      <c r="AG118" s="27"/>
    </row>
    <row r="119" spans="3:33" x14ac:dyDescent="0.2">
      <c r="C119" s="25"/>
      <c r="D119" s="25"/>
      <c r="E119" s="25"/>
      <c r="F119" s="25"/>
      <c r="G119" s="25"/>
      <c r="H119" s="25"/>
      <c r="I119" s="25"/>
      <c r="J119" s="25"/>
      <c r="K119" s="25"/>
      <c r="L119" s="25"/>
      <c r="M119" s="25"/>
      <c r="N119" s="25"/>
      <c r="O119" s="25"/>
      <c r="P119" s="25"/>
      <c r="Q119" s="25"/>
      <c r="R119" s="25"/>
      <c r="S119" s="25"/>
      <c r="T119" s="25"/>
      <c r="U119" s="25"/>
      <c r="V119" s="25"/>
      <c r="W119" s="25"/>
      <c r="X119" s="25"/>
      <c r="Y119" s="25"/>
      <c r="Z119" s="27"/>
      <c r="AA119" s="27"/>
      <c r="AB119" s="27"/>
      <c r="AC119" s="27"/>
      <c r="AD119" s="27"/>
      <c r="AE119" s="27"/>
      <c r="AF119" s="27"/>
      <c r="AG119" s="27"/>
    </row>
    <row r="120" spans="3:33" x14ac:dyDescent="0.2">
      <c r="C120" s="25"/>
      <c r="D120" s="25"/>
      <c r="E120" s="25"/>
      <c r="F120" s="25"/>
      <c r="G120" s="25"/>
      <c r="H120" s="25"/>
      <c r="I120" s="25"/>
      <c r="J120" s="25"/>
      <c r="K120" s="25"/>
      <c r="L120" s="25"/>
      <c r="M120" s="25"/>
      <c r="N120" s="25"/>
      <c r="O120" s="25"/>
      <c r="P120" s="25"/>
      <c r="Q120" s="25"/>
      <c r="R120" s="25"/>
      <c r="S120" s="25"/>
      <c r="T120" s="25"/>
      <c r="U120" s="25"/>
      <c r="V120" s="25"/>
      <c r="W120" s="25"/>
      <c r="X120" s="25"/>
      <c r="Y120" s="25"/>
      <c r="Z120" s="27"/>
      <c r="AA120" s="27"/>
      <c r="AB120" s="27"/>
      <c r="AC120" s="27"/>
      <c r="AD120" s="27"/>
      <c r="AE120" s="27"/>
      <c r="AF120" s="27"/>
      <c r="AG120" s="27"/>
    </row>
    <row r="121" spans="3:33" x14ac:dyDescent="0.2">
      <c r="C121" s="25"/>
      <c r="D121" s="25"/>
      <c r="E121" s="25"/>
      <c r="F121" s="25"/>
      <c r="G121" s="25"/>
      <c r="H121" s="25"/>
      <c r="I121" s="25"/>
      <c r="J121" s="25"/>
      <c r="K121" s="25"/>
      <c r="L121" s="25"/>
      <c r="M121" s="25"/>
      <c r="N121" s="25"/>
      <c r="O121" s="25"/>
      <c r="P121" s="25"/>
      <c r="Q121" s="25"/>
      <c r="R121" s="25"/>
      <c r="S121" s="25"/>
      <c r="T121" s="25"/>
      <c r="U121" s="25"/>
      <c r="V121" s="25"/>
      <c r="W121" s="25"/>
      <c r="X121" s="25"/>
      <c r="Y121" s="25"/>
      <c r="Z121" s="27"/>
      <c r="AA121" s="27"/>
      <c r="AB121" s="27"/>
      <c r="AC121" s="27"/>
      <c r="AD121" s="27"/>
      <c r="AE121" s="27"/>
      <c r="AF121" s="27"/>
      <c r="AG121" s="27"/>
    </row>
    <row r="122" spans="3:33" x14ac:dyDescent="0.2">
      <c r="C122" s="25"/>
      <c r="D122" s="25"/>
      <c r="E122" s="25"/>
      <c r="F122" s="25"/>
      <c r="G122" s="25"/>
      <c r="H122" s="25"/>
      <c r="I122" s="25"/>
      <c r="J122" s="25"/>
      <c r="K122" s="25"/>
      <c r="L122" s="25"/>
      <c r="M122" s="25"/>
      <c r="N122" s="25"/>
      <c r="O122" s="25"/>
      <c r="P122" s="25"/>
      <c r="Q122" s="25"/>
      <c r="R122" s="25"/>
      <c r="S122" s="25"/>
      <c r="T122" s="25"/>
      <c r="U122" s="25"/>
      <c r="V122" s="25"/>
      <c r="W122" s="25"/>
      <c r="X122" s="25"/>
      <c r="Y122" s="25"/>
      <c r="Z122" s="27"/>
      <c r="AA122" s="27"/>
      <c r="AB122" s="27"/>
      <c r="AC122" s="27"/>
      <c r="AD122" s="27"/>
      <c r="AE122" s="27"/>
      <c r="AF122" s="27"/>
      <c r="AG122" s="27"/>
    </row>
    <row r="123" spans="3:33" x14ac:dyDescent="0.2">
      <c r="C123" s="25"/>
      <c r="D123" s="25"/>
      <c r="E123" s="25"/>
      <c r="F123" s="25"/>
      <c r="G123" s="25"/>
      <c r="H123" s="25"/>
      <c r="I123" s="25"/>
      <c r="J123" s="25"/>
      <c r="K123" s="25"/>
      <c r="L123" s="25"/>
      <c r="M123" s="25"/>
      <c r="N123" s="25"/>
      <c r="O123" s="25"/>
      <c r="P123" s="25"/>
      <c r="Q123" s="25"/>
      <c r="R123" s="25"/>
      <c r="S123" s="25"/>
      <c r="T123" s="25"/>
      <c r="U123" s="25"/>
      <c r="V123" s="25"/>
      <c r="W123" s="25"/>
      <c r="X123" s="25"/>
      <c r="Y123" s="25"/>
      <c r="Z123" s="27"/>
      <c r="AA123" s="27"/>
      <c r="AB123" s="27"/>
      <c r="AC123" s="27"/>
      <c r="AD123" s="27"/>
      <c r="AE123" s="27"/>
      <c r="AF123" s="27"/>
      <c r="AG123" s="27"/>
    </row>
    <row r="124" spans="3:33" x14ac:dyDescent="0.2">
      <c r="C124" s="25"/>
      <c r="D124" s="25"/>
      <c r="E124" s="25"/>
      <c r="F124" s="25"/>
      <c r="G124" s="25"/>
      <c r="H124" s="25"/>
      <c r="I124" s="25"/>
      <c r="J124" s="25"/>
      <c r="K124" s="25"/>
      <c r="L124" s="25"/>
      <c r="M124" s="25"/>
      <c r="N124" s="25"/>
      <c r="O124" s="25"/>
      <c r="P124" s="25"/>
      <c r="Q124" s="25"/>
      <c r="R124" s="25"/>
      <c r="S124" s="25"/>
      <c r="T124" s="25"/>
      <c r="U124" s="25"/>
      <c r="V124" s="25"/>
      <c r="W124" s="25"/>
      <c r="X124" s="25"/>
      <c r="Y124" s="25"/>
      <c r="Z124" s="27"/>
      <c r="AA124" s="27"/>
      <c r="AB124" s="27"/>
      <c r="AC124" s="27"/>
      <c r="AD124" s="27"/>
      <c r="AE124" s="27"/>
      <c r="AF124" s="27"/>
      <c r="AG124" s="27"/>
    </row>
    <row r="125" spans="3:33" x14ac:dyDescent="0.2">
      <c r="C125" s="25"/>
      <c r="D125" s="25"/>
      <c r="E125" s="25"/>
      <c r="F125" s="25"/>
      <c r="G125" s="25"/>
      <c r="H125" s="25"/>
      <c r="I125" s="25"/>
      <c r="J125" s="25"/>
      <c r="K125" s="25"/>
      <c r="L125" s="25"/>
      <c r="M125" s="25"/>
      <c r="N125" s="25"/>
      <c r="O125" s="25"/>
      <c r="P125" s="25"/>
      <c r="Q125" s="25"/>
      <c r="R125" s="25"/>
      <c r="S125" s="25"/>
      <c r="T125" s="25"/>
      <c r="U125" s="25"/>
      <c r="V125" s="25"/>
      <c r="W125" s="25"/>
      <c r="X125" s="25"/>
      <c r="Y125" s="25"/>
      <c r="Z125" s="27"/>
      <c r="AA125" s="27"/>
      <c r="AB125" s="27"/>
      <c r="AC125" s="27"/>
      <c r="AD125" s="27"/>
      <c r="AE125" s="27"/>
      <c r="AF125" s="27"/>
      <c r="AG125" s="27"/>
    </row>
    <row r="126" spans="3:33" x14ac:dyDescent="0.2">
      <c r="C126" s="25"/>
      <c r="D126" s="25"/>
      <c r="E126" s="25"/>
      <c r="F126" s="25"/>
      <c r="G126" s="25"/>
      <c r="H126" s="25"/>
      <c r="I126" s="25"/>
      <c r="J126" s="25"/>
      <c r="K126" s="25"/>
      <c r="L126" s="25"/>
      <c r="M126" s="25"/>
      <c r="N126" s="25"/>
      <c r="O126" s="25"/>
      <c r="P126" s="25"/>
      <c r="Q126" s="25"/>
      <c r="R126" s="25"/>
      <c r="S126" s="25"/>
      <c r="T126" s="25"/>
      <c r="U126" s="25"/>
      <c r="V126" s="25"/>
      <c r="W126" s="25"/>
      <c r="X126" s="25"/>
      <c r="Y126" s="25"/>
      <c r="Z126" s="27"/>
      <c r="AA126" s="27"/>
      <c r="AB126" s="27"/>
      <c r="AC126" s="27"/>
      <c r="AD126" s="27"/>
      <c r="AE126" s="27"/>
      <c r="AF126" s="27"/>
      <c r="AG126" s="27"/>
    </row>
    <row r="127" spans="3:33" x14ac:dyDescent="0.2">
      <c r="C127" s="25"/>
      <c r="D127" s="25"/>
      <c r="E127" s="25"/>
      <c r="F127" s="25"/>
      <c r="G127" s="25"/>
      <c r="H127" s="25"/>
      <c r="I127" s="25"/>
      <c r="J127" s="25"/>
      <c r="K127" s="25"/>
      <c r="L127" s="25"/>
      <c r="M127" s="25"/>
      <c r="N127" s="25"/>
      <c r="O127" s="25"/>
      <c r="P127" s="25"/>
      <c r="Q127" s="25"/>
      <c r="R127" s="25"/>
      <c r="S127" s="25"/>
      <c r="T127" s="25"/>
      <c r="U127" s="25"/>
      <c r="V127" s="25"/>
      <c r="W127" s="25"/>
      <c r="X127" s="25"/>
      <c r="Y127" s="25"/>
      <c r="Z127" s="27"/>
      <c r="AA127" s="27"/>
      <c r="AB127" s="27"/>
      <c r="AC127" s="27"/>
      <c r="AD127" s="27"/>
      <c r="AE127" s="27"/>
      <c r="AF127" s="27"/>
      <c r="AG127" s="27"/>
    </row>
    <row r="128" spans="3:33" x14ac:dyDescent="0.2">
      <c r="C128" s="25"/>
      <c r="D128" s="25"/>
      <c r="E128" s="25"/>
      <c r="F128" s="25"/>
      <c r="G128" s="25"/>
      <c r="H128" s="25"/>
      <c r="I128" s="25"/>
      <c r="J128" s="25"/>
      <c r="K128" s="25"/>
      <c r="L128" s="25"/>
      <c r="M128" s="25"/>
      <c r="N128" s="25"/>
      <c r="O128" s="25"/>
      <c r="P128" s="25"/>
      <c r="Q128" s="25"/>
      <c r="R128" s="25"/>
      <c r="S128" s="25"/>
      <c r="T128" s="25"/>
      <c r="U128" s="25"/>
      <c r="V128" s="25"/>
      <c r="W128" s="25"/>
      <c r="X128" s="25"/>
      <c r="Y128" s="25"/>
      <c r="Z128" s="27"/>
      <c r="AA128" s="27"/>
      <c r="AB128" s="27"/>
      <c r="AC128" s="27"/>
      <c r="AD128" s="27"/>
      <c r="AE128" s="27"/>
      <c r="AF128" s="27"/>
      <c r="AG128" s="27"/>
    </row>
    <row r="129" spans="3:33" x14ac:dyDescent="0.2">
      <c r="C129" s="25"/>
      <c r="D129" s="25"/>
      <c r="E129" s="25"/>
      <c r="F129" s="25"/>
      <c r="G129" s="25"/>
      <c r="H129" s="25"/>
      <c r="I129" s="25"/>
      <c r="J129" s="25"/>
      <c r="K129" s="25"/>
      <c r="L129" s="25"/>
      <c r="M129" s="25"/>
      <c r="N129" s="25"/>
      <c r="O129" s="25"/>
      <c r="P129" s="25"/>
      <c r="Q129" s="25"/>
      <c r="R129" s="25"/>
      <c r="S129" s="25"/>
      <c r="T129" s="25"/>
      <c r="U129" s="25"/>
      <c r="V129" s="25"/>
      <c r="W129" s="25"/>
      <c r="X129" s="25"/>
      <c r="Y129" s="25"/>
      <c r="Z129" s="27"/>
      <c r="AA129" s="27"/>
      <c r="AB129" s="27"/>
      <c r="AC129" s="27"/>
      <c r="AD129" s="27"/>
      <c r="AE129" s="27"/>
      <c r="AF129" s="27"/>
      <c r="AG129" s="27"/>
    </row>
    <row r="130" spans="3:33" x14ac:dyDescent="0.2">
      <c r="C130" s="25"/>
      <c r="D130" s="25"/>
      <c r="E130" s="25"/>
      <c r="F130" s="25"/>
      <c r="G130" s="25"/>
      <c r="H130" s="25"/>
      <c r="I130" s="25"/>
      <c r="J130" s="25"/>
      <c r="K130" s="25"/>
      <c r="L130" s="25"/>
      <c r="M130" s="25"/>
      <c r="N130" s="25"/>
      <c r="O130" s="25"/>
      <c r="P130" s="25"/>
      <c r="Q130" s="25"/>
      <c r="R130" s="25"/>
      <c r="S130" s="25"/>
      <c r="T130" s="25"/>
      <c r="U130" s="25"/>
      <c r="V130" s="25"/>
      <c r="W130" s="25"/>
      <c r="X130" s="25"/>
      <c r="Y130" s="25"/>
      <c r="Z130" s="27"/>
      <c r="AA130" s="27"/>
      <c r="AB130" s="27"/>
      <c r="AC130" s="27"/>
      <c r="AD130" s="27"/>
      <c r="AE130" s="27"/>
      <c r="AF130" s="27"/>
      <c r="AG130" s="27"/>
    </row>
    <row r="131" spans="3:33" x14ac:dyDescent="0.2">
      <c r="C131" s="25"/>
      <c r="D131" s="25"/>
      <c r="E131" s="25"/>
      <c r="F131" s="25"/>
      <c r="G131" s="25"/>
      <c r="H131" s="25"/>
      <c r="I131" s="25"/>
      <c r="J131" s="25"/>
      <c r="K131" s="25"/>
      <c r="L131" s="25"/>
      <c r="M131" s="25"/>
      <c r="N131" s="25"/>
      <c r="O131" s="25"/>
      <c r="P131" s="25"/>
      <c r="Q131" s="25"/>
      <c r="R131" s="25"/>
      <c r="S131" s="25"/>
      <c r="T131" s="25"/>
      <c r="U131" s="25"/>
      <c r="V131" s="25"/>
      <c r="W131" s="25"/>
      <c r="X131" s="25"/>
      <c r="Y131" s="25"/>
      <c r="Z131" s="27"/>
      <c r="AA131" s="27"/>
      <c r="AB131" s="27"/>
      <c r="AC131" s="27"/>
      <c r="AD131" s="27"/>
      <c r="AE131" s="27"/>
      <c r="AF131" s="27"/>
      <c r="AG131" s="27"/>
    </row>
    <row r="132" spans="3:33" x14ac:dyDescent="0.2">
      <c r="C132" s="25"/>
      <c r="D132" s="25"/>
      <c r="E132" s="25"/>
      <c r="F132" s="25"/>
      <c r="G132" s="25"/>
      <c r="H132" s="25"/>
      <c r="I132" s="25"/>
      <c r="J132" s="25"/>
      <c r="K132" s="25"/>
      <c r="L132" s="25"/>
      <c r="M132" s="25"/>
      <c r="N132" s="25"/>
      <c r="O132" s="25"/>
      <c r="P132" s="25"/>
      <c r="Q132" s="25"/>
      <c r="R132" s="25"/>
      <c r="S132" s="25"/>
      <c r="T132" s="25"/>
      <c r="U132" s="25"/>
      <c r="V132" s="25"/>
      <c r="W132" s="25"/>
      <c r="X132" s="25"/>
      <c r="Y132" s="25"/>
      <c r="Z132" s="27"/>
      <c r="AA132" s="27"/>
      <c r="AB132" s="27"/>
      <c r="AC132" s="27"/>
      <c r="AD132" s="27"/>
      <c r="AE132" s="27"/>
      <c r="AF132" s="27"/>
      <c r="AG132" s="27"/>
    </row>
    <row r="133" spans="3:33" x14ac:dyDescent="0.2">
      <c r="C133" s="25"/>
      <c r="D133" s="25"/>
      <c r="E133" s="25"/>
      <c r="F133" s="25"/>
      <c r="G133" s="25"/>
      <c r="H133" s="25"/>
      <c r="I133" s="25"/>
      <c r="J133" s="25"/>
      <c r="K133" s="25"/>
      <c r="L133" s="25"/>
      <c r="M133" s="25"/>
      <c r="N133" s="25"/>
      <c r="O133" s="25"/>
      <c r="P133" s="25"/>
      <c r="Q133" s="25"/>
      <c r="R133" s="25"/>
      <c r="S133" s="25"/>
      <c r="T133" s="25"/>
      <c r="U133" s="25"/>
      <c r="V133" s="25"/>
      <c r="W133" s="25"/>
      <c r="X133" s="25"/>
      <c r="Y133" s="25"/>
      <c r="Z133" s="27"/>
      <c r="AA133" s="27"/>
      <c r="AB133" s="27"/>
      <c r="AC133" s="27"/>
      <c r="AD133" s="27"/>
      <c r="AE133" s="27"/>
      <c r="AF133" s="27"/>
      <c r="AG133" s="27"/>
    </row>
    <row r="134" spans="3:33" x14ac:dyDescent="0.2">
      <c r="C134" s="25"/>
      <c r="D134" s="25"/>
      <c r="E134" s="25"/>
      <c r="F134" s="25"/>
      <c r="G134" s="25"/>
      <c r="H134" s="25"/>
      <c r="I134" s="25"/>
      <c r="J134" s="25"/>
      <c r="K134" s="25"/>
      <c r="L134" s="25"/>
      <c r="M134" s="25"/>
      <c r="N134" s="25"/>
      <c r="O134" s="25"/>
      <c r="P134" s="25"/>
      <c r="Q134" s="25"/>
      <c r="R134" s="25"/>
      <c r="S134" s="25"/>
      <c r="T134" s="25"/>
      <c r="U134" s="25"/>
      <c r="V134" s="25"/>
      <c r="W134" s="25"/>
      <c r="X134" s="25"/>
      <c r="Y134" s="25"/>
      <c r="Z134" s="27"/>
      <c r="AA134" s="27"/>
      <c r="AB134" s="27"/>
      <c r="AC134" s="27"/>
      <c r="AD134" s="27"/>
      <c r="AE134" s="27"/>
      <c r="AF134" s="27"/>
      <c r="AG134" s="27"/>
    </row>
    <row r="135" spans="3:33" x14ac:dyDescent="0.2">
      <c r="C135" s="25"/>
      <c r="D135" s="25"/>
      <c r="E135" s="25"/>
      <c r="F135" s="25"/>
      <c r="G135" s="25"/>
      <c r="H135" s="25"/>
      <c r="I135" s="25"/>
      <c r="J135" s="25"/>
      <c r="K135" s="25"/>
      <c r="L135" s="25"/>
      <c r="M135" s="25"/>
      <c r="N135" s="25"/>
      <c r="O135" s="25"/>
      <c r="P135" s="25"/>
      <c r="Q135" s="25"/>
      <c r="R135" s="25"/>
      <c r="S135" s="25"/>
      <c r="T135" s="25"/>
      <c r="U135" s="25"/>
      <c r="V135" s="25"/>
      <c r="W135" s="25"/>
      <c r="X135" s="25"/>
      <c r="Y135" s="25"/>
      <c r="Z135" s="27"/>
      <c r="AA135" s="27"/>
      <c r="AB135" s="27"/>
      <c r="AC135" s="27"/>
      <c r="AD135" s="27"/>
      <c r="AE135" s="27"/>
      <c r="AF135" s="27"/>
      <c r="AG135" s="27"/>
    </row>
    <row r="136" spans="3:33" x14ac:dyDescent="0.2">
      <c r="C136" s="25"/>
      <c r="D136" s="25"/>
      <c r="E136" s="25"/>
      <c r="F136" s="25"/>
      <c r="G136" s="25"/>
      <c r="H136" s="25"/>
      <c r="I136" s="25"/>
      <c r="J136" s="25"/>
      <c r="K136" s="25"/>
      <c r="L136" s="25"/>
      <c r="M136" s="25"/>
      <c r="N136" s="25"/>
      <c r="O136" s="25"/>
      <c r="P136" s="25"/>
      <c r="Q136" s="25"/>
      <c r="R136" s="25"/>
      <c r="S136" s="25"/>
      <c r="T136" s="25"/>
      <c r="U136" s="25"/>
      <c r="V136" s="25"/>
      <c r="W136" s="25"/>
      <c r="X136" s="25"/>
      <c r="Y136" s="25"/>
      <c r="Z136" s="27"/>
      <c r="AA136" s="27"/>
      <c r="AB136" s="27"/>
      <c r="AC136" s="27"/>
      <c r="AD136" s="27"/>
      <c r="AE136" s="27"/>
      <c r="AF136" s="27"/>
      <c r="AG136" s="27"/>
    </row>
    <row r="137" spans="3:33" x14ac:dyDescent="0.2">
      <c r="C137" s="25"/>
      <c r="D137" s="25"/>
      <c r="E137" s="25"/>
      <c r="F137" s="25"/>
      <c r="G137" s="25"/>
      <c r="H137" s="25"/>
      <c r="I137" s="25"/>
      <c r="J137" s="25"/>
      <c r="K137" s="25"/>
      <c r="L137" s="25"/>
      <c r="M137" s="25"/>
      <c r="N137" s="25"/>
      <c r="O137" s="25"/>
      <c r="P137" s="25"/>
      <c r="Q137" s="25"/>
      <c r="R137" s="25"/>
      <c r="S137" s="25"/>
      <c r="T137" s="25"/>
      <c r="U137" s="25"/>
      <c r="V137" s="25"/>
      <c r="W137" s="25"/>
      <c r="X137" s="25"/>
      <c r="Y137" s="25"/>
      <c r="Z137" s="27"/>
      <c r="AA137" s="27"/>
      <c r="AB137" s="27"/>
      <c r="AC137" s="27"/>
      <c r="AD137" s="27"/>
      <c r="AE137" s="27"/>
      <c r="AF137" s="27"/>
      <c r="AG137" s="27"/>
    </row>
    <row r="138" spans="3:33" x14ac:dyDescent="0.2">
      <c r="C138" s="25"/>
      <c r="D138" s="25"/>
      <c r="E138" s="25"/>
      <c r="F138" s="25"/>
      <c r="G138" s="25"/>
      <c r="H138" s="25"/>
      <c r="I138" s="25"/>
      <c r="J138" s="25"/>
      <c r="K138" s="25"/>
      <c r="L138" s="25"/>
      <c r="M138" s="25"/>
      <c r="N138" s="25"/>
      <c r="O138" s="25"/>
      <c r="P138" s="25"/>
      <c r="Q138" s="25"/>
      <c r="R138" s="25"/>
      <c r="S138" s="25"/>
      <c r="T138" s="25"/>
      <c r="U138" s="25"/>
      <c r="V138" s="25"/>
      <c r="W138" s="25"/>
      <c r="X138" s="25"/>
      <c r="Y138" s="25"/>
      <c r="Z138" s="27"/>
      <c r="AA138" s="27"/>
      <c r="AB138" s="27"/>
      <c r="AC138" s="27"/>
      <c r="AD138" s="27"/>
      <c r="AE138" s="27"/>
      <c r="AF138" s="27"/>
      <c r="AG138" s="27"/>
    </row>
    <row r="139" spans="3:33" x14ac:dyDescent="0.2">
      <c r="C139" s="25"/>
      <c r="D139" s="25"/>
      <c r="E139" s="25"/>
      <c r="F139" s="25"/>
      <c r="G139" s="25"/>
      <c r="H139" s="25"/>
      <c r="I139" s="25"/>
      <c r="J139" s="25"/>
      <c r="K139" s="25"/>
      <c r="L139" s="25"/>
      <c r="M139" s="25"/>
      <c r="N139" s="25"/>
      <c r="O139" s="25"/>
      <c r="P139" s="25"/>
      <c r="Q139" s="25"/>
      <c r="R139" s="25"/>
      <c r="S139" s="25"/>
      <c r="T139" s="25"/>
      <c r="U139" s="25"/>
      <c r="V139" s="25"/>
      <c r="W139" s="25"/>
      <c r="X139" s="25"/>
      <c r="Y139" s="25"/>
      <c r="Z139" s="27"/>
      <c r="AA139" s="27"/>
      <c r="AB139" s="27"/>
      <c r="AC139" s="27"/>
      <c r="AD139" s="27"/>
      <c r="AE139" s="27"/>
      <c r="AF139" s="27"/>
      <c r="AG139" s="27"/>
    </row>
    <row r="140" spans="3:33" x14ac:dyDescent="0.2">
      <c r="C140" s="25"/>
      <c r="D140" s="25"/>
      <c r="E140" s="25"/>
      <c r="F140" s="25"/>
      <c r="G140" s="25"/>
      <c r="H140" s="25"/>
      <c r="I140" s="25"/>
      <c r="J140" s="25"/>
      <c r="K140" s="25"/>
      <c r="L140" s="25"/>
      <c r="M140" s="25"/>
      <c r="N140" s="25"/>
      <c r="O140" s="25"/>
      <c r="P140" s="25"/>
      <c r="Q140" s="25"/>
      <c r="R140" s="25"/>
      <c r="S140" s="25"/>
      <c r="T140" s="25"/>
      <c r="U140" s="25"/>
      <c r="V140" s="25"/>
      <c r="W140" s="25"/>
      <c r="X140" s="25"/>
      <c r="Y140" s="25"/>
      <c r="Z140" s="27"/>
      <c r="AA140" s="27"/>
      <c r="AB140" s="27"/>
      <c r="AC140" s="27"/>
      <c r="AD140" s="27"/>
      <c r="AE140" s="27"/>
      <c r="AF140" s="27"/>
      <c r="AG140" s="27"/>
    </row>
    <row r="141" spans="3:33" x14ac:dyDescent="0.2">
      <c r="C141" s="25"/>
      <c r="D141" s="25"/>
      <c r="E141" s="25"/>
      <c r="F141" s="25"/>
      <c r="G141" s="25"/>
      <c r="H141" s="25"/>
      <c r="I141" s="25"/>
      <c r="J141" s="25"/>
      <c r="K141" s="25"/>
      <c r="L141" s="25"/>
      <c r="M141" s="25"/>
      <c r="N141" s="25"/>
      <c r="O141" s="25"/>
      <c r="P141" s="25"/>
      <c r="Q141" s="25"/>
      <c r="R141" s="25"/>
      <c r="S141" s="25"/>
      <c r="T141" s="25"/>
      <c r="U141" s="25"/>
      <c r="V141" s="25"/>
      <c r="W141" s="25"/>
      <c r="X141" s="25"/>
      <c r="Y141" s="25"/>
      <c r="Z141" s="27"/>
      <c r="AA141" s="27"/>
      <c r="AB141" s="27"/>
      <c r="AC141" s="27"/>
      <c r="AD141" s="27"/>
      <c r="AE141" s="27"/>
      <c r="AF141" s="27"/>
      <c r="AG141" s="27"/>
    </row>
    <row r="142" spans="3:33" x14ac:dyDescent="0.2">
      <c r="C142" s="25"/>
      <c r="D142" s="25"/>
      <c r="E142" s="25"/>
      <c r="F142" s="25"/>
      <c r="G142" s="25"/>
      <c r="H142" s="25"/>
      <c r="I142" s="25"/>
      <c r="J142" s="25"/>
      <c r="K142" s="25"/>
      <c r="L142" s="25"/>
      <c r="M142" s="25"/>
      <c r="N142" s="25"/>
      <c r="O142" s="25"/>
      <c r="P142" s="25"/>
      <c r="Q142" s="25"/>
      <c r="R142" s="25"/>
      <c r="S142" s="25"/>
      <c r="T142" s="25"/>
      <c r="U142" s="25"/>
      <c r="V142" s="25"/>
      <c r="W142" s="25"/>
      <c r="X142" s="25"/>
      <c r="Y142" s="25"/>
      <c r="Z142" s="27"/>
      <c r="AA142" s="27"/>
      <c r="AB142" s="27"/>
      <c r="AC142" s="27"/>
      <c r="AD142" s="27"/>
      <c r="AE142" s="27"/>
      <c r="AF142" s="27"/>
      <c r="AG142" s="27"/>
    </row>
    <row r="143" spans="3:33" x14ac:dyDescent="0.2">
      <c r="C143" s="25"/>
      <c r="D143" s="25"/>
      <c r="E143" s="25"/>
      <c r="F143" s="25"/>
      <c r="G143" s="25"/>
      <c r="H143" s="25"/>
      <c r="I143" s="25"/>
      <c r="J143" s="25"/>
      <c r="K143" s="25"/>
      <c r="L143" s="25"/>
      <c r="M143" s="25"/>
      <c r="N143" s="25"/>
      <c r="O143" s="25"/>
      <c r="P143" s="25"/>
      <c r="Q143" s="25"/>
      <c r="R143" s="25"/>
      <c r="S143" s="25"/>
      <c r="T143" s="25"/>
      <c r="U143" s="25"/>
      <c r="V143" s="25"/>
      <c r="W143" s="25"/>
      <c r="X143" s="25"/>
      <c r="Y143" s="25"/>
      <c r="Z143" s="27"/>
      <c r="AA143" s="27"/>
      <c r="AB143" s="27"/>
      <c r="AC143" s="27"/>
      <c r="AD143" s="27"/>
      <c r="AE143" s="27"/>
      <c r="AF143" s="27"/>
      <c r="AG143" s="27"/>
    </row>
    <row r="144" spans="3:33" x14ac:dyDescent="0.2">
      <c r="C144" s="25"/>
      <c r="D144" s="25"/>
      <c r="E144" s="25"/>
      <c r="F144" s="25"/>
      <c r="G144" s="25"/>
      <c r="H144" s="25"/>
      <c r="I144" s="25"/>
      <c r="J144" s="25"/>
      <c r="K144" s="25"/>
      <c r="L144" s="25"/>
      <c r="M144" s="25"/>
      <c r="N144" s="25"/>
      <c r="O144" s="25"/>
      <c r="P144" s="25"/>
      <c r="Q144" s="25"/>
      <c r="R144" s="25"/>
      <c r="S144" s="25"/>
      <c r="T144" s="25"/>
      <c r="U144" s="25"/>
      <c r="V144" s="25"/>
      <c r="W144" s="25"/>
      <c r="X144" s="25"/>
      <c r="Y144" s="25"/>
      <c r="Z144" s="27"/>
      <c r="AA144" s="27"/>
      <c r="AB144" s="27"/>
      <c r="AC144" s="27"/>
      <c r="AD144" s="27"/>
      <c r="AE144" s="27"/>
      <c r="AF144" s="27"/>
      <c r="AG144" s="27"/>
    </row>
    <row r="145" spans="3:33" x14ac:dyDescent="0.2">
      <c r="C145" s="25"/>
      <c r="D145" s="25"/>
      <c r="E145" s="25"/>
      <c r="F145" s="25"/>
      <c r="G145" s="25"/>
      <c r="H145" s="25"/>
      <c r="I145" s="25"/>
      <c r="J145" s="25"/>
      <c r="K145" s="25"/>
      <c r="L145" s="25"/>
      <c r="M145" s="25"/>
      <c r="N145" s="25"/>
      <c r="O145" s="25"/>
      <c r="P145" s="25"/>
      <c r="Q145" s="25"/>
      <c r="R145" s="25"/>
      <c r="S145" s="25"/>
      <c r="T145" s="25"/>
      <c r="U145" s="25"/>
      <c r="V145" s="25"/>
      <c r="W145" s="25"/>
      <c r="X145" s="25"/>
      <c r="Y145" s="25"/>
      <c r="Z145" s="27"/>
      <c r="AA145" s="27"/>
      <c r="AB145" s="27"/>
      <c r="AC145" s="27"/>
      <c r="AD145" s="27"/>
      <c r="AE145" s="27"/>
      <c r="AF145" s="27"/>
      <c r="AG145" s="27"/>
    </row>
    <row r="146" spans="3:33" x14ac:dyDescent="0.2">
      <c r="C146" s="25"/>
      <c r="D146" s="25"/>
      <c r="E146" s="25"/>
      <c r="F146" s="25"/>
      <c r="G146" s="25"/>
      <c r="H146" s="25"/>
      <c r="I146" s="25"/>
      <c r="J146" s="25"/>
      <c r="K146" s="25"/>
      <c r="L146" s="25"/>
      <c r="M146" s="25"/>
      <c r="N146" s="25"/>
      <c r="O146" s="25"/>
      <c r="P146" s="25"/>
      <c r="Q146" s="25"/>
      <c r="R146" s="25"/>
      <c r="S146" s="25"/>
      <c r="T146" s="25"/>
      <c r="U146" s="25"/>
      <c r="V146" s="25"/>
      <c r="W146" s="25"/>
      <c r="X146" s="25"/>
      <c r="Y146" s="25"/>
      <c r="Z146" s="27"/>
      <c r="AA146" s="27"/>
      <c r="AB146" s="27"/>
      <c r="AC146" s="27"/>
      <c r="AD146" s="27"/>
      <c r="AE146" s="27"/>
      <c r="AF146" s="27"/>
      <c r="AG146" s="27"/>
    </row>
    <row r="147" spans="3:33" x14ac:dyDescent="0.2">
      <c r="C147" s="25"/>
      <c r="D147" s="25"/>
      <c r="E147" s="25"/>
      <c r="F147" s="25"/>
      <c r="G147" s="25"/>
      <c r="H147" s="25"/>
      <c r="I147" s="25"/>
      <c r="J147" s="25"/>
      <c r="K147" s="25"/>
      <c r="L147" s="25"/>
      <c r="M147" s="25"/>
      <c r="N147" s="25"/>
      <c r="O147" s="25"/>
      <c r="P147" s="25"/>
      <c r="Q147" s="25"/>
      <c r="R147" s="25"/>
      <c r="S147" s="25"/>
      <c r="T147" s="25"/>
      <c r="U147" s="25"/>
      <c r="V147" s="25"/>
      <c r="W147" s="25"/>
      <c r="X147" s="25"/>
      <c r="Y147" s="25"/>
      <c r="Z147" s="27"/>
      <c r="AA147" s="27"/>
      <c r="AB147" s="27"/>
      <c r="AC147" s="27"/>
      <c r="AD147" s="27"/>
      <c r="AE147" s="27"/>
      <c r="AF147" s="27"/>
      <c r="AG147" s="27"/>
    </row>
    <row r="148" spans="3:33" x14ac:dyDescent="0.2">
      <c r="C148" s="25"/>
      <c r="D148" s="25"/>
      <c r="E148" s="25"/>
      <c r="F148" s="25"/>
      <c r="G148" s="25"/>
      <c r="H148" s="25"/>
      <c r="I148" s="25"/>
      <c r="J148" s="25"/>
      <c r="K148" s="25"/>
      <c r="L148" s="25"/>
      <c r="M148" s="25"/>
      <c r="N148" s="25"/>
      <c r="O148" s="25"/>
      <c r="P148" s="25"/>
      <c r="Q148" s="25"/>
      <c r="R148" s="25"/>
      <c r="S148" s="25"/>
      <c r="T148" s="25"/>
      <c r="U148" s="25"/>
      <c r="V148" s="25"/>
      <c r="W148" s="25"/>
      <c r="X148" s="25"/>
      <c r="Y148" s="25"/>
      <c r="Z148" s="27"/>
      <c r="AA148" s="27"/>
      <c r="AB148" s="27"/>
      <c r="AC148" s="27"/>
      <c r="AD148" s="27"/>
      <c r="AE148" s="27"/>
      <c r="AF148" s="27"/>
      <c r="AG148" s="27"/>
    </row>
    <row r="149" spans="3:33" x14ac:dyDescent="0.2">
      <c r="C149" s="25"/>
      <c r="D149" s="25"/>
      <c r="E149" s="25"/>
      <c r="F149" s="25"/>
      <c r="G149" s="25"/>
      <c r="H149" s="25"/>
      <c r="I149" s="25"/>
      <c r="J149" s="25"/>
      <c r="K149" s="25"/>
      <c r="L149" s="25"/>
      <c r="M149" s="25"/>
      <c r="N149" s="25"/>
      <c r="O149" s="25"/>
      <c r="P149" s="25"/>
      <c r="Q149" s="25"/>
      <c r="R149" s="25"/>
      <c r="S149" s="25"/>
      <c r="T149" s="25"/>
      <c r="U149" s="25"/>
      <c r="V149" s="25"/>
      <c r="W149" s="25"/>
      <c r="X149" s="25"/>
      <c r="Y149" s="25"/>
      <c r="Z149" s="27"/>
      <c r="AA149" s="27"/>
      <c r="AB149" s="27"/>
      <c r="AC149" s="27"/>
      <c r="AD149" s="27"/>
      <c r="AE149" s="27"/>
      <c r="AF149" s="27"/>
      <c r="AG149" s="27"/>
    </row>
    <row r="150" spans="3:33" x14ac:dyDescent="0.2">
      <c r="C150" s="25"/>
      <c r="D150" s="25"/>
      <c r="E150" s="25"/>
      <c r="F150" s="25"/>
      <c r="G150" s="25"/>
      <c r="H150" s="25"/>
      <c r="I150" s="25"/>
      <c r="J150" s="25"/>
      <c r="K150" s="25"/>
      <c r="L150" s="25"/>
      <c r="M150" s="25"/>
      <c r="N150" s="25"/>
      <c r="O150" s="25"/>
      <c r="P150" s="25"/>
      <c r="Q150" s="25"/>
      <c r="R150" s="25"/>
      <c r="S150" s="25"/>
      <c r="T150" s="25"/>
      <c r="U150" s="25"/>
      <c r="V150" s="25"/>
      <c r="W150" s="25"/>
      <c r="X150" s="25"/>
      <c r="Y150" s="25"/>
      <c r="Z150" s="27"/>
      <c r="AA150" s="27"/>
      <c r="AB150" s="27"/>
      <c r="AC150" s="27"/>
      <c r="AD150" s="27"/>
      <c r="AE150" s="27"/>
      <c r="AF150" s="27"/>
      <c r="AG150" s="27"/>
    </row>
    <row r="151" spans="3:33" x14ac:dyDescent="0.2">
      <c r="C151" s="25"/>
      <c r="D151" s="25"/>
      <c r="E151" s="25"/>
      <c r="F151" s="25"/>
      <c r="G151" s="25"/>
      <c r="H151" s="25"/>
      <c r="I151" s="25"/>
      <c r="J151" s="25"/>
      <c r="K151" s="25"/>
      <c r="L151" s="25"/>
      <c r="M151" s="25"/>
      <c r="N151" s="25"/>
      <c r="O151" s="25"/>
      <c r="P151" s="25"/>
      <c r="Q151" s="25"/>
      <c r="R151" s="25"/>
      <c r="S151" s="25"/>
      <c r="T151" s="25"/>
      <c r="U151" s="25"/>
      <c r="V151" s="25"/>
      <c r="W151" s="25"/>
      <c r="X151" s="25"/>
      <c r="Y151" s="25"/>
      <c r="Z151" s="27"/>
      <c r="AA151" s="27"/>
      <c r="AB151" s="27"/>
      <c r="AC151" s="27"/>
      <c r="AD151" s="27"/>
      <c r="AE151" s="27"/>
      <c r="AF151" s="27"/>
      <c r="AG151" s="27"/>
    </row>
    <row r="152" spans="3:33" x14ac:dyDescent="0.2">
      <c r="C152" s="25"/>
      <c r="D152" s="25"/>
      <c r="E152" s="25"/>
      <c r="F152" s="25"/>
      <c r="G152" s="25"/>
      <c r="H152" s="25"/>
      <c r="I152" s="25"/>
      <c r="J152" s="25"/>
      <c r="K152" s="25"/>
      <c r="L152" s="25"/>
      <c r="M152" s="25"/>
      <c r="N152" s="25"/>
      <c r="O152" s="25"/>
      <c r="P152" s="25"/>
      <c r="Q152" s="25"/>
      <c r="R152" s="25"/>
      <c r="S152" s="25"/>
      <c r="T152" s="25"/>
      <c r="U152" s="25"/>
      <c r="V152" s="25"/>
      <c r="W152" s="25"/>
      <c r="X152" s="25"/>
      <c r="Y152" s="25"/>
      <c r="Z152" s="27"/>
      <c r="AA152" s="27"/>
      <c r="AB152" s="27"/>
      <c r="AC152" s="27"/>
      <c r="AD152" s="27"/>
      <c r="AE152" s="27"/>
      <c r="AF152" s="27"/>
      <c r="AG152" s="27"/>
    </row>
    <row r="153" spans="3:33" x14ac:dyDescent="0.2">
      <c r="C153" s="25"/>
      <c r="D153" s="25"/>
      <c r="E153" s="25"/>
      <c r="F153" s="25"/>
      <c r="G153" s="25"/>
      <c r="H153" s="25"/>
      <c r="I153" s="25"/>
      <c r="J153" s="25"/>
      <c r="K153" s="25"/>
      <c r="L153" s="25"/>
      <c r="M153" s="25"/>
      <c r="N153" s="25"/>
      <c r="O153" s="25"/>
      <c r="P153" s="25"/>
      <c r="Q153" s="25"/>
      <c r="R153" s="25"/>
      <c r="S153" s="25"/>
      <c r="T153" s="25"/>
      <c r="U153" s="25"/>
      <c r="V153" s="25"/>
      <c r="W153" s="25"/>
      <c r="X153" s="25"/>
      <c r="Y153" s="25"/>
      <c r="Z153" s="27"/>
      <c r="AA153" s="27"/>
      <c r="AB153" s="27"/>
      <c r="AC153" s="27"/>
      <c r="AD153" s="27"/>
      <c r="AE153" s="27"/>
      <c r="AF153" s="27"/>
      <c r="AG153" s="27"/>
    </row>
    <row r="154" spans="3:33" x14ac:dyDescent="0.2">
      <c r="C154" s="25"/>
      <c r="D154" s="25"/>
      <c r="E154" s="25"/>
      <c r="F154" s="25"/>
      <c r="G154" s="25"/>
      <c r="H154" s="25"/>
      <c r="I154" s="25"/>
      <c r="J154" s="25"/>
      <c r="K154" s="25"/>
      <c r="L154" s="25"/>
      <c r="M154" s="25"/>
      <c r="N154" s="25"/>
      <c r="O154" s="25"/>
      <c r="P154" s="25"/>
      <c r="Q154" s="25"/>
      <c r="R154" s="25"/>
      <c r="S154" s="25"/>
      <c r="T154" s="25"/>
      <c r="U154" s="25"/>
      <c r="V154" s="25"/>
      <c r="W154" s="25"/>
      <c r="X154" s="25"/>
      <c r="Y154" s="25"/>
      <c r="Z154" s="27"/>
      <c r="AA154" s="27"/>
      <c r="AB154" s="27"/>
      <c r="AC154" s="27"/>
      <c r="AD154" s="27"/>
      <c r="AE154" s="27"/>
      <c r="AF154" s="27"/>
      <c r="AG154" s="27"/>
    </row>
    <row r="155" spans="3:33" x14ac:dyDescent="0.2">
      <c r="C155" s="25"/>
      <c r="D155" s="25"/>
      <c r="E155" s="25"/>
      <c r="F155" s="25"/>
      <c r="G155" s="25"/>
      <c r="H155" s="25"/>
      <c r="I155" s="25"/>
      <c r="J155" s="25"/>
      <c r="K155" s="25"/>
      <c r="L155" s="25"/>
      <c r="M155" s="25"/>
      <c r="N155" s="25"/>
      <c r="O155" s="25"/>
      <c r="P155" s="25"/>
      <c r="Q155" s="25"/>
      <c r="R155" s="25"/>
      <c r="S155" s="25"/>
      <c r="T155" s="25"/>
      <c r="U155" s="25"/>
      <c r="V155" s="25"/>
      <c r="W155" s="25"/>
      <c r="X155" s="25"/>
      <c r="Y155" s="25"/>
      <c r="Z155" s="27"/>
      <c r="AA155" s="27"/>
      <c r="AB155" s="27"/>
      <c r="AC155" s="27"/>
      <c r="AD155" s="27"/>
      <c r="AE155" s="27"/>
      <c r="AF155" s="27"/>
      <c r="AG155" s="27"/>
    </row>
    <row r="156" spans="3:33" x14ac:dyDescent="0.2">
      <c r="C156" s="25"/>
      <c r="D156" s="25"/>
      <c r="E156" s="25"/>
      <c r="F156" s="25"/>
      <c r="G156" s="25"/>
      <c r="H156" s="25"/>
      <c r="I156" s="25"/>
      <c r="J156" s="25"/>
      <c r="K156" s="25"/>
      <c r="L156" s="25"/>
      <c r="M156" s="25"/>
      <c r="N156" s="25"/>
      <c r="O156" s="25"/>
      <c r="P156" s="25"/>
      <c r="Q156" s="25"/>
      <c r="R156" s="25"/>
      <c r="S156" s="25"/>
      <c r="T156" s="25"/>
      <c r="U156" s="25"/>
      <c r="V156" s="25"/>
      <c r="W156" s="25"/>
      <c r="X156" s="25"/>
      <c r="Y156" s="25"/>
      <c r="Z156" s="27"/>
      <c r="AA156" s="27"/>
      <c r="AB156" s="27"/>
      <c r="AC156" s="27"/>
      <c r="AD156" s="27"/>
      <c r="AE156" s="27"/>
      <c r="AF156" s="27"/>
      <c r="AG156" s="27"/>
    </row>
    <row r="157" spans="3:33" x14ac:dyDescent="0.2">
      <c r="C157" s="25"/>
      <c r="D157" s="25"/>
      <c r="E157" s="25"/>
      <c r="F157" s="25"/>
      <c r="G157" s="25"/>
      <c r="H157" s="25"/>
      <c r="I157" s="25"/>
      <c r="J157" s="25"/>
      <c r="K157" s="25"/>
      <c r="L157" s="25"/>
      <c r="M157" s="25"/>
      <c r="N157" s="25"/>
      <c r="O157" s="25"/>
      <c r="P157" s="25"/>
      <c r="Q157" s="25"/>
      <c r="R157" s="25"/>
      <c r="S157" s="25"/>
      <c r="T157" s="25"/>
      <c r="U157" s="25"/>
      <c r="V157" s="25"/>
      <c r="W157" s="25"/>
      <c r="X157" s="25"/>
      <c r="Y157" s="25"/>
      <c r="Z157" s="27"/>
      <c r="AA157" s="27"/>
      <c r="AB157" s="27"/>
      <c r="AC157" s="27"/>
      <c r="AD157" s="27"/>
      <c r="AE157" s="27"/>
      <c r="AF157" s="27"/>
      <c r="AG157" s="27"/>
    </row>
    <row r="158" spans="3:33" x14ac:dyDescent="0.2">
      <c r="C158" s="25"/>
      <c r="D158" s="25"/>
      <c r="E158" s="25"/>
      <c r="F158" s="25"/>
      <c r="G158" s="25"/>
      <c r="H158" s="25"/>
      <c r="I158" s="25"/>
      <c r="J158" s="25"/>
      <c r="K158" s="25"/>
      <c r="L158" s="25"/>
      <c r="M158" s="25"/>
      <c r="N158" s="25"/>
      <c r="O158" s="25"/>
      <c r="P158" s="25"/>
      <c r="Q158" s="25"/>
      <c r="R158" s="25"/>
      <c r="S158" s="25"/>
      <c r="T158" s="25"/>
      <c r="U158" s="25"/>
      <c r="V158" s="25"/>
      <c r="W158" s="25"/>
      <c r="X158" s="25"/>
      <c r="Y158" s="25"/>
      <c r="Z158" s="27"/>
      <c r="AA158" s="27"/>
      <c r="AB158" s="27"/>
      <c r="AC158" s="27"/>
      <c r="AD158" s="27"/>
      <c r="AE158" s="27"/>
      <c r="AF158" s="27"/>
      <c r="AG158" s="27"/>
    </row>
    <row r="159" spans="3:33" x14ac:dyDescent="0.2">
      <c r="C159" s="25"/>
      <c r="D159" s="25"/>
      <c r="E159" s="25"/>
      <c r="F159" s="25"/>
      <c r="G159" s="25"/>
      <c r="H159" s="25"/>
      <c r="I159" s="25"/>
      <c r="J159" s="25"/>
      <c r="K159" s="25"/>
      <c r="L159" s="25"/>
      <c r="M159" s="25"/>
      <c r="N159" s="25"/>
      <c r="O159" s="25"/>
      <c r="P159" s="25"/>
      <c r="Q159" s="25"/>
      <c r="R159" s="25"/>
      <c r="S159" s="25"/>
      <c r="T159" s="25"/>
      <c r="U159" s="25"/>
      <c r="V159" s="25"/>
      <c r="W159" s="25"/>
      <c r="X159" s="25"/>
      <c r="Y159" s="25"/>
      <c r="Z159" s="27"/>
      <c r="AA159" s="27"/>
      <c r="AB159" s="27"/>
      <c r="AC159" s="27"/>
      <c r="AD159" s="27"/>
      <c r="AE159" s="27"/>
      <c r="AF159" s="27"/>
      <c r="AG159" s="27"/>
    </row>
    <row r="160" spans="3:33" x14ac:dyDescent="0.2">
      <c r="C160" s="25"/>
      <c r="D160" s="25"/>
      <c r="E160" s="25"/>
      <c r="F160" s="25"/>
      <c r="G160" s="25"/>
      <c r="H160" s="25"/>
      <c r="I160" s="25"/>
      <c r="J160" s="25"/>
      <c r="K160" s="25"/>
      <c r="L160" s="25"/>
      <c r="M160" s="25"/>
      <c r="N160" s="25"/>
      <c r="O160" s="25"/>
      <c r="P160" s="25"/>
      <c r="Q160" s="25"/>
      <c r="R160" s="25"/>
      <c r="S160" s="25"/>
      <c r="T160" s="25"/>
      <c r="U160" s="25"/>
      <c r="V160" s="25"/>
      <c r="W160" s="25"/>
      <c r="X160" s="25"/>
      <c r="Y160" s="25"/>
      <c r="Z160" s="27"/>
      <c r="AA160" s="27"/>
      <c r="AB160" s="27"/>
      <c r="AC160" s="27"/>
      <c r="AD160" s="27"/>
      <c r="AE160" s="27"/>
      <c r="AF160" s="27"/>
      <c r="AG160" s="27"/>
    </row>
    <row r="161" spans="3:33" x14ac:dyDescent="0.2">
      <c r="C161" s="25"/>
      <c r="D161" s="25"/>
      <c r="E161" s="25"/>
      <c r="F161" s="25"/>
      <c r="G161" s="25"/>
      <c r="H161" s="25"/>
      <c r="I161" s="25"/>
      <c r="J161" s="25"/>
      <c r="K161" s="25"/>
      <c r="L161" s="25"/>
      <c r="M161" s="25"/>
      <c r="N161" s="25"/>
      <c r="O161" s="25"/>
      <c r="P161" s="25"/>
      <c r="Q161" s="25"/>
      <c r="R161" s="25"/>
      <c r="S161" s="25"/>
      <c r="T161" s="25"/>
      <c r="U161" s="25"/>
      <c r="V161" s="25"/>
      <c r="W161" s="25"/>
      <c r="X161" s="25"/>
      <c r="Y161" s="25"/>
      <c r="Z161" s="27"/>
      <c r="AA161" s="27"/>
      <c r="AB161" s="27"/>
      <c r="AC161" s="27"/>
      <c r="AD161" s="27"/>
      <c r="AE161" s="27"/>
      <c r="AF161" s="27"/>
      <c r="AG161" s="27"/>
    </row>
    <row r="162" spans="3:33" x14ac:dyDescent="0.2">
      <c r="C162" s="25"/>
      <c r="D162" s="25"/>
      <c r="E162" s="25"/>
      <c r="F162" s="25"/>
      <c r="G162" s="25"/>
      <c r="H162" s="25"/>
      <c r="I162" s="25"/>
      <c r="J162" s="25"/>
      <c r="K162" s="25"/>
      <c r="L162" s="25"/>
      <c r="M162" s="25"/>
      <c r="N162" s="25"/>
      <c r="O162" s="25"/>
      <c r="P162" s="25"/>
      <c r="Q162" s="25"/>
      <c r="R162" s="25"/>
      <c r="S162" s="25"/>
      <c r="T162" s="25"/>
      <c r="U162" s="25"/>
      <c r="V162" s="25"/>
      <c r="W162" s="25"/>
      <c r="X162" s="25"/>
      <c r="Y162" s="25"/>
      <c r="Z162" s="27"/>
      <c r="AA162" s="27"/>
      <c r="AB162" s="27"/>
      <c r="AC162" s="27"/>
      <c r="AD162" s="27"/>
      <c r="AE162" s="27"/>
      <c r="AF162" s="27"/>
      <c r="AG162" s="27"/>
    </row>
    <row r="163" spans="3:33" x14ac:dyDescent="0.2">
      <c r="C163" s="25"/>
      <c r="D163" s="25"/>
      <c r="E163" s="25"/>
      <c r="F163" s="25"/>
      <c r="G163" s="25"/>
      <c r="H163" s="25"/>
      <c r="I163" s="25"/>
      <c r="J163" s="25"/>
      <c r="K163" s="25"/>
      <c r="L163" s="25"/>
      <c r="M163" s="25"/>
      <c r="N163" s="25"/>
      <c r="O163" s="25"/>
      <c r="P163" s="25"/>
      <c r="Q163" s="25"/>
      <c r="R163" s="25"/>
      <c r="S163" s="25"/>
      <c r="T163" s="25"/>
      <c r="U163" s="25"/>
      <c r="V163" s="25"/>
      <c r="W163" s="25"/>
      <c r="X163" s="25"/>
      <c r="Y163" s="25"/>
      <c r="Z163" s="27"/>
      <c r="AA163" s="27"/>
      <c r="AB163" s="27"/>
      <c r="AC163" s="27"/>
      <c r="AD163" s="27"/>
      <c r="AE163" s="27"/>
      <c r="AF163" s="27"/>
      <c r="AG163" s="27"/>
    </row>
    <row r="164" spans="3:33" x14ac:dyDescent="0.2">
      <c r="C164" s="25"/>
      <c r="D164" s="25"/>
      <c r="E164" s="25"/>
      <c r="F164" s="25"/>
      <c r="G164" s="25"/>
      <c r="H164" s="25"/>
      <c r="I164" s="25"/>
      <c r="J164" s="25"/>
      <c r="K164" s="25"/>
      <c r="L164" s="25"/>
      <c r="M164" s="25"/>
      <c r="N164" s="25"/>
      <c r="O164" s="25"/>
      <c r="P164" s="25"/>
      <c r="Q164" s="25"/>
      <c r="R164" s="25"/>
      <c r="S164" s="25"/>
      <c r="T164" s="25"/>
      <c r="U164" s="25"/>
      <c r="V164" s="25"/>
      <c r="W164" s="25"/>
      <c r="X164" s="25"/>
      <c r="Y164" s="25"/>
      <c r="Z164" s="27"/>
      <c r="AA164" s="27"/>
      <c r="AB164" s="27"/>
      <c r="AC164" s="27"/>
      <c r="AD164" s="27"/>
      <c r="AE164" s="27"/>
      <c r="AF164" s="27"/>
      <c r="AG164" s="27"/>
    </row>
    <row r="165" spans="3:33" x14ac:dyDescent="0.2">
      <c r="C165" s="25"/>
      <c r="D165" s="25"/>
      <c r="E165" s="25"/>
      <c r="F165" s="25"/>
      <c r="G165" s="25"/>
      <c r="H165" s="25"/>
      <c r="I165" s="25"/>
      <c r="J165" s="25"/>
      <c r="K165" s="25"/>
      <c r="L165" s="25"/>
      <c r="M165" s="25"/>
      <c r="N165" s="25"/>
      <c r="O165" s="25"/>
      <c r="P165" s="25"/>
      <c r="Q165" s="25"/>
      <c r="R165" s="25"/>
      <c r="S165" s="25"/>
      <c r="T165" s="25"/>
      <c r="U165" s="25"/>
      <c r="V165" s="25"/>
      <c r="W165" s="25"/>
      <c r="X165" s="25"/>
      <c r="Y165" s="25"/>
      <c r="Z165" s="27"/>
      <c r="AA165" s="27"/>
      <c r="AB165" s="27"/>
      <c r="AC165" s="27"/>
      <c r="AD165" s="27"/>
      <c r="AE165" s="27"/>
      <c r="AF165" s="27"/>
      <c r="AG165" s="27"/>
    </row>
    <row r="166" spans="3:33" x14ac:dyDescent="0.2">
      <c r="C166" s="25"/>
      <c r="D166" s="25"/>
      <c r="E166" s="25"/>
      <c r="F166" s="25"/>
      <c r="G166" s="25"/>
      <c r="H166" s="25"/>
      <c r="I166" s="25"/>
      <c r="J166" s="25"/>
      <c r="K166" s="25"/>
      <c r="L166" s="25"/>
      <c r="M166" s="25"/>
      <c r="N166" s="25"/>
      <c r="O166" s="25"/>
      <c r="P166" s="25"/>
      <c r="Q166" s="25"/>
      <c r="R166" s="25"/>
      <c r="S166" s="25"/>
      <c r="T166" s="25"/>
      <c r="U166" s="25"/>
      <c r="V166" s="25"/>
      <c r="W166" s="25"/>
      <c r="X166" s="25"/>
      <c r="Y166" s="25"/>
      <c r="Z166" s="27"/>
      <c r="AA166" s="27"/>
      <c r="AB166" s="27"/>
      <c r="AC166" s="27"/>
      <c r="AD166" s="27"/>
      <c r="AE166" s="27"/>
      <c r="AF166" s="27"/>
      <c r="AG166" s="27"/>
    </row>
    <row r="167" spans="3:33" x14ac:dyDescent="0.2">
      <c r="C167" s="25"/>
      <c r="D167" s="25"/>
      <c r="E167" s="25"/>
      <c r="F167" s="25"/>
      <c r="G167" s="25"/>
      <c r="H167" s="25"/>
      <c r="I167" s="25"/>
      <c r="J167" s="25"/>
      <c r="K167" s="25"/>
      <c r="L167" s="25"/>
      <c r="M167" s="25"/>
      <c r="N167" s="25"/>
      <c r="O167" s="25"/>
      <c r="P167" s="25"/>
      <c r="Q167" s="25"/>
      <c r="R167" s="25"/>
      <c r="S167" s="25"/>
      <c r="T167" s="25"/>
      <c r="U167" s="25"/>
      <c r="V167" s="25"/>
      <c r="W167" s="25"/>
      <c r="X167" s="25"/>
      <c r="Y167" s="25"/>
      <c r="Z167" s="27"/>
      <c r="AA167" s="27"/>
      <c r="AB167" s="27"/>
      <c r="AC167" s="27"/>
      <c r="AD167" s="27"/>
      <c r="AE167" s="27"/>
      <c r="AF167" s="27"/>
      <c r="AG167" s="27"/>
    </row>
    <row r="168" spans="3:33" x14ac:dyDescent="0.2">
      <c r="C168" s="25"/>
      <c r="D168" s="25"/>
      <c r="E168" s="25"/>
      <c r="F168" s="25"/>
      <c r="G168" s="25"/>
      <c r="H168" s="25"/>
      <c r="I168" s="25"/>
      <c r="J168" s="25"/>
      <c r="K168" s="25"/>
      <c r="L168" s="25"/>
      <c r="M168" s="25"/>
      <c r="N168" s="25"/>
      <c r="O168" s="25"/>
      <c r="P168" s="25"/>
      <c r="Q168" s="25"/>
      <c r="R168" s="25"/>
      <c r="S168" s="25"/>
      <c r="T168" s="25"/>
      <c r="U168" s="25"/>
      <c r="V168" s="25"/>
      <c r="W168" s="25"/>
      <c r="X168" s="25"/>
      <c r="Y168" s="25"/>
      <c r="Z168" s="27"/>
      <c r="AA168" s="27"/>
      <c r="AB168" s="27"/>
      <c r="AC168" s="27"/>
      <c r="AD168" s="27"/>
      <c r="AE168" s="27"/>
      <c r="AF168" s="27"/>
      <c r="AG168" s="27"/>
    </row>
    <row r="169" spans="3:33" x14ac:dyDescent="0.2">
      <c r="C169" s="25"/>
      <c r="D169" s="25"/>
      <c r="E169" s="25"/>
      <c r="F169" s="25"/>
      <c r="G169" s="25"/>
      <c r="H169" s="25"/>
      <c r="I169" s="25"/>
      <c r="J169" s="25"/>
      <c r="K169" s="25"/>
      <c r="L169" s="25"/>
      <c r="M169" s="25"/>
      <c r="N169" s="25"/>
      <c r="O169" s="25"/>
      <c r="P169" s="25"/>
      <c r="Q169" s="25"/>
      <c r="R169" s="25"/>
      <c r="S169" s="25"/>
      <c r="T169" s="25"/>
      <c r="U169" s="25"/>
      <c r="V169" s="25"/>
      <c r="W169" s="25"/>
      <c r="X169" s="25"/>
      <c r="Y169" s="25"/>
      <c r="Z169" s="27"/>
      <c r="AA169" s="27"/>
      <c r="AB169" s="27"/>
      <c r="AC169" s="27"/>
      <c r="AD169" s="27"/>
      <c r="AE169" s="27"/>
      <c r="AF169" s="27"/>
      <c r="AG169" s="27"/>
    </row>
    <row r="170" spans="3:33" x14ac:dyDescent="0.2">
      <c r="C170" s="25"/>
      <c r="D170" s="25"/>
      <c r="E170" s="25"/>
      <c r="F170" s="25"/>
      <c r="G170" s="25"/>
      <c r="H170" s="25"/>
      <c r="I170" s="25"/>
      <c r="J170" s="25"/>
      <c r="K170" s="25"/>
      <c r="L170" s="25"/>
      <c r="M170" s="25"/>
      <c r="N170" s="25"/>
      <c r="O170" s="25"/>
      <c r="P170" s="25"/>
      <c r="Q170" s="25"/>
      <c r="R170" s="25"/>
      <c r="S170" s="25"/>
      <c r="T170" s="25"/>
      <c r="U170" s="25"/>
      <c r="V170" s="25"/>
      <c r="W170" s="25"/>
      <c r="X170" s="25"/>
      <c r="Y170" s="25"/>
      <c r="Z170" s="27"/>
      <c r="AA170" s="27"/>
      <c r="AB170" s="27"/>
      <c r="AC170" s="27"/>
      <c r="AD170" s="27"/>
      <c r="AE170" s="27"/>
      <c r="AF170" s="27"/>
      <c r="AG170" s="27"/>
    </row>
    <row r="171" spans="3:33" x14ac:dyDescent="0.2">
      <c r="C171" s="25"/>
      <c r="D171" s="25"/>
      <c r="E171" s="25"/>
      <c r="F171" s="25"/>
      <c r="G171" s="25"/>
      <c r="H171" s="25"/>
      <c r="I171" s="25"/>
      <c r="J171" s="25"/>
      <c r="K171" s="25"/>
      <c r="L171" s="25"/>
      <c r="M171" s="25"/>
      <c r="N171" s="25"/>
      <c r="O171" s="25"/>
      <c r="P171" s="25"/>
      <c r="Q171" s="25"/>
      <c r="R171" s="25"/>
      <c r="S171" s="25"/>
      <c r="T171" s="25"/>
      <c r="U171" s="25"/>
      <c r="V171" s="25"/>
      <c r="W171" s="25"/>
      <c r="X171" s="25"/>
      <c r="Y171" s="25"/>
      <c r="Z171" s="27"/>
      <c r="AA171" s="27"/>
      <c r="AB171" s="27"/>
      <c r="AC171" s="27"/>
      <c r="AD171" s="27"/>
      <c r="AE171" s="27"/>
      <c r="AF171" s="27"/>
      <c r="AG171" s="27"/>
    </row>
    <row r="172" spans="3:33" x14ac:dyDescent="0.2">
      <c r="C172" s="25"/>
      <c r="D172" s="25"/>
      <c r="E172" s="25"/>
      <c r="F172" s="25"/>
      <c r="G172" s="25"/>
      <c r="H172" s="25"/>
      <c r="I172" s="25"/>
      <c r="J172" s="25"/>
      <c r="K172" s="25"/>
      <c r="L172" s="25"/>
      <c r="M172" s="25"/>
      <c r="N172" s="25"/>
      <c r="O172" s="25"/>
      <c r="P172" s="25"/>
      <c r="Q172" s="25"/>
      <c r="R172" s="25"/>
      <c r="S172" s="25"/>
      <c r="T172" s="25"/>
      <c r="U172" s="25"/>
      <c r="V172" s="25"/>
      <c r="W172" s="25"/>
      <c r="X172" s="25"/>
      <c r="Y172" s="25"/>
      <c r="Z172" s="27"/>
      <c r="AA172" s="27"/>
      <c r="AB172" s="27"/>
      <c r="AC172" s="27"/>
      <c r="AD172" s="27"/>
      <c r="AE172" s="27"/>
      <c r="AF172" s="27"/>
      <c r="AG172" s="27"/>
    </row>
    <row r="173" spans="3:33" x14ac:dyDescent="0.2">
      <c r="C173" s="25"/>
      <c r="D173" s="25"/>
      <c r="E173" s="25"/>
      <c r="F173" s="25"/>
      <c r="G173" s="25"/>
      <c r="H173" s="25"/>
      <c r="I173" s="25"/>
      <c r="J173" s="25"/>
      <c r="K173" s="25"/>
      <c r="L173" s="25"/>
      <c r="M173" s="25"/>
      <c r="N173" s="25"/>
      <c r="O173" s="25"/>
      <c r="P173" s="25"/>
      <c r="Q173" s="25"/>
      <c r="R173" s="25"/>
      <c r="S173" s="25"/>
      <c r="T173" s="25"/>
      <c r="U173" s="25"/>
      <c r="V173" s="25"/>
      <c r="W173" s="25"/>
      <c r="X173" s="25"/>
      <c r="Y173" s="25"/>
      <c r="Z173" s="27"/>
      <c r="AA173" s="27"/>
      <c r="AB173" s="27"/>
      <c r="AC173" s="27"/>
      <c r="AD173" s="27"/>
      <c r="AE173" s="27"/>
      <c r="AF173" s="27"/>
      <c r="AG173" s="27"/>
    </row>
    <row r="174" spans="3:33" x14ac:dyDescent="0.2">
      <c r="C174" s="25"/>
      <c r="D174" s="25"/>
      <c r="E174" s="25"/>
      <c r="F174" s="25"/>
      <c r="G174" s="25"/>
      <c r="H174" s="25"/>
      <c r="I174" s="25"/>
      <c r="J174" s="25"/>
      <c r="K174" s="25"/>
      <c r="L174" s="25"/>
      <c r="M174" s="25"/>
      <c r="N174" s="25"/>
      <c r="O174" s="25"/>
      <c r="P174" s="25"/>
      <c r="Q174" s="25"/>
      <c r="R174" s="25"/>
      <c r="S174" s="25"/>
      <c r="T174" s="25"/>
      <c r="U174" s="25"/>
      <c r="V174" s="25"/>
      <c r="W174" s="25"/>
      <c r="X174" s="25"/>
      <c r="Y174" s="25"/>
      <c r="Z174" s="27"/>
      <c r="AA174" s="27"/>
      <c r="AB174" s="27"/>
      <c r="AC174" s="27"/>
      <c r="AD174" s="27"/>
      <c r="AE174" s="27"/>
      <c r="AF174" s="27"/>
      <c r="AG174" s="27"/>
    </row>
    <row r="175" spans="3:33" x14ac:dyDescent="0.2">
      <c r="C175" s="25"/>
      <c r="D175" s="25"/>
      <c r="E175" s="25"/>
      <c r="F175" s="25"/>
      <c r="G175" s="25"/>
      <c r="H175" s="25"/>
      <c r="I175" s="25"/>
      <c r="J175" s="25"/>
      <c r="K175" s="25"/>
      <c r="L175" s="25"/>
      <c r="M175" s="25"/>
      <c r="N175" s="25"/>
      <c r="O175" s="25"/>
      <c r="P175" s="25"/>
      <c r="Q175" s="25"/>
      <c r="R175" s="25"/>
      <c r="S175" s="25"/>
      <c r="T175" s="25"/>
      <c r="U175" s="25"/>
      <c r="V175" s="25"/>
      <c r="W175" s="25"/>
      <c r="X175" s="25"/>
      <c r="Y175" s="25"/>
      <c r="Z175" s="27"/>
      <c r="AA175" s="27"/>
      <c r="AB175" s="27"/>
      <c r="AC175" s="27"/>
      <c r="AD175" s="27"/>
      <c r="AE175" s="27"/>
      <c r="AF175" s="27"/>
      <c r="AG175" s="27"/>
    </row>
    <row r="176" spans="3:33" x14ac:dyDescent="0.2">
      <c r="C176" s="25"/>
      <c r="D176" s="25"/>
      <c r="E176" s="25"/>
      <c r="F176" s="25"/>
      <c r="G176" s="25"/>
      <c r="H176" s="25"/>
      <c r="I176" s="25"/>
      <c r="J176" s="25"/>
      <c r="K176" s="25"/>
      <c r="L176" s="25"/>
      <c r="M176" s="25"/>
      <c r="N176" s="25"/>
      <c r="O176" s="25"/>
      <c r="P176" s="25"/>
      <c r="Q176" s="25"/>
      <c r="R176" s="25"/>
      <c r="S176" s="25"/>
      <c r="T176" s="25"/>
      <c r="U176" s="25"/>
      <c r="V176" s="25"/>
      <c r="W176" s="25"/>
      <c r="X176" s="25"/>
      <c r="Y176" s="25"/>
      <c r="Z176" s="27"/>
      <c r="AA176" s="27"/>
      <c r="AB176" s="27"/>
      <c r="AC176" s="27"/>
      <c r="AD176" s="27"/>
      <c r="AE176" s="27"/>
      <c r="AF176" s="27"/>
      <c r="AG176" s="27"/>
    </row>
    <row r="177" spans="3:33" x14ac:dyDescent="0.2">
      <c r="C177" s="25"/>
      <c r="D177" s="25"/>
      <c r="E177" s="25"/>
      <c r="F177" s="25"/>
      <c r="G177" s="25"/>
      <c r="H177" s="25"/>
      <c r="I177" s="25"/>
      <c r="J177" s="25"/>
      <c r="K177" s="25"/>
      <c r="L177" s="25"/>
      <c r="M177" s="25"/>
      <c r="N177" s="25"/>
      <c r="O177" s="25"/>
      <c r="P177" s="25"/>
      <c r="Q177" s="25"/>
      <c r="R177" s="25"/>
      <c r="S177" s="25"/>
      <c r="T177" s="25"/>
      <c r="U177" s="25"/>
      <c r="V177" s="25"/>
      <c r="W177" s="25"/>
      <c r="X177" s="25"/>
      <c r="Y177" s="25"/>
      <c r="Z177" s="27"/>
      <c r="AA177" s="27"/>
      <c r="AB177" s="27"/>
      <c r="AC177" s="27"/>
      <c r="AD177" s="27"/>
      <c r="AE177" s="27"/>
      <c r="AF177" s="27"/>
      <c r="AG177" s="27"/>
    </row>
    <row r="178" spans="3:33" x14ac:dyDescent="0.2">
      <c r="C178" s="25"/>
      <c r="D178" s="25"/>
      <c r="E178" s="25"/>
      <c r="F178" s="25"/>
      <c r="G178" s="25"/>
      <c r="H178" s="25"/>
      <c r="I178" s="25"/>
      <c r="J178" s="25"/>
      <c r="K178" s="25"/>
      <c r="L178" s="25"/>
      <c r="M178" s="25"/>
      <c r="N178" s="25"/>
      <c r="O178" s="25"/>
      <c r="P178" s="25"/>
      <c r="Q178" s="25"/>
      <c r="R178" s="25"/>
      <c r="S178" s="25"/>
      <c r="T178" s="25"/>
      <c r="U178" s="25"/>
      <c r="V178" s="25"/>
      <c r="W178" s="25"/>
      <c r="X178" s="25"/>
      <c r="Y178" s="25"/>
      <c r="Z178" s="27"/>
      <c r="AA178" s="27"/>
      <c r="AB178" s="27"/>
      <c r="AC178" s="27"/>
      <c r="AD178" s="27"/>
      <c r="AE178" s="27"/>
      <c r="AF178" s="27"/>
      <c r="AG178" s="27"/>
    </row>
    <row r="179" spans="3:33" x14ac:dyDescent="0.2">
      <c r="C179" s="25"/>
      <c r="D179" s="25"/>
      <c r="E179" s="25"/>
      <c r="F179" s="25"/>
      <c r="G179" s="25"/>
      <c r="H179" s="25"/>
      <c r="I179" s="25"/>
      <c r="J179" s="25"/>
      <c r="K179" s="25"/>
      <c r="L179" s="25"/>
      <c r="M179" s="25"/>
      <c r="N179" s="25"/>
      <c r="O179" s="25"/>
      <c r="P179" s="25"/>
      <c r="Q179" s="25"/>
      <c r="R179" s="25"/>
      <c r="S179" s="25"/>
      <c r="T179" s="25"/>
      <c r="U179" s="25"/>
      <c r="V179" s="25"/>
      <c r="W179" s="25"/>
      <c r="X179" s="25"/>
      <c r="Y179" s="25"/>
      <c r="Z179" s="27"/>
      <c r="AA179" s="27"/>
      <c r="AB179" s="27"/>
      <c r="AC179" s="27"/>
      <c r="AD179" s="27"/>
      <c r="AE179" s="27"/>
      <c r="AF179" s="27"/>
      <c r="AG179" s="27"/>
    </row>
    <row r="180" spans="3:33" x14ac:dyDescent="0.2">
      <c r="C180" s="25"/>
      <c r="D180" s="25"/>
      <c r="E180" s="25"/>
      <c r="F180" s="25"/>
      <c r="G180" s="25"/>
      <c r="H180" s="25"/>
      <c r="I180" s="25"/>
      <c r="J180" s="25"/>
      <c r="K180" s="25"/>
      <c r="L180" s="25"/>
      <c r="M180" s="25"/>
      <c r="N180" s="25"/>
      <c r="O180" s="25"/>
      <c r="P180" s="25"/>
      <c r="Q180" s="25"/>
      <c r="R180" s="25"/>
      <c r="S180" s="25"/>
      <c r="T180" s="25"/>
      <c r="U180" s="25"/>
      <c r="V180" s="25"/>
      <c r="W180" s="25"/>
      <c r="X180" s="25"/>
      <c r="Y180" s="25"/>
      <c r="Z180" s="27"/>
      <c r="AA180" s="27"/>
      <c r="AB180" s="27"/>
      <c r="AC180" s="27"/>
      <c r="AD180" s="27"/>
      <c r="AE180" s="27"/>
      <c r="AF180" s="27"/>
      <c r="AG180" s="27"/>
    </row>
    <row r="181" spans="3:33" x14ac:dyDescent="0.2">
      <c r="C181" s="25"/>
      <c r="D181" s="25"/>
      <c r="E181" s="25"/>
      <c r="F181" s="25"/>
      <c r="G181" s="25"/>
      <c r="H181" s="25"/>
      <c r="I181" s="25"/>
      <c r="J181" s="25"/>
      <c r="K181" s="25"/>
      <c r="L181" s="25"/>
      <c r="M181" s="25"/>
      <c r="N181" s="25"/>
      <c r="O181" s="25"/>
      <c r="P181" s="25"/>
      <c r="Q181" s="25"/>
      <c r="R181" s="25"/>
      <c r="S181" s="25"/>
      <c r="T181" s="25"/>
      <c r="U181" s="25"/>
      <c r="V181" s="25"/>
      <c r="W181" s="25"/>
      <c r="X181" s="25"/>
      <c r="Y181" s="25"/>
      <c r="Z181" s="27"/>
      <c r="AA181" s="27"/>
      <c r="AB181" s="27"/>
      <c r="AC181" s="27"/>
      <c r="AD181" s="27"/>
      <c r="AE181" s="27"/>
      <c r="AF181" s="27"/>
      <c r="AG181" s="27"/>
    </row>
    <row r="182" spans="3:33" x14ac:dyDescent="0.2">
      <c r="C182" s="25"/>
      <c r="D182" s="25"/>
      <c r="E182" s="25"/>
      <c r="F182" s="25"/>
      <c r="G182" s="25"/>
      <c r="H182" s="25"/>
      <c r="I182" s="25"/>
      <c r="J182" s="25"/>
      <c r="K182" s="25"/>
      <c r="L182" s="25"/>
      <c r="M182" s="25"/>
      <c r="N182" s="25"/>
      <c r="O182" s="25"/>
      <c r="P182" s="25"/>
      <c r="Q182" s="25"/>
      <c r="R182" s="25"/>
      <c r="S182" s="25"/>
      <c r="T182" s="25"/>
      <c r="U182" s="25"/>
      <c r="V182" s="25"/>
      <c r="W182" s="25"/>
      <c r="X182" s="25"/>
      <c r="Y182" s="25"/>
      <c r="Z182" s="27"/>
      <c r="AA182" s="27"/>
      <c r="AB182" s="27"/>
      <c r="AC182" s="27"/>
      <c r="AD182" s="27"/>
      <c r="AE182" s="27"/>
      <c r="AF182" s="27"/>
      <c r="AG182" s="27"/>
    </row>
    <row r="183" spans="3:33" x14ac:dyDescent="0.2">
      <c r="C183" s="25"/>
      <c r="D183" s="25"/>
      <c r="E183" s="25"/>
      <c r="F183" s="25"/>
      <c r="G183" s="25"/>
      <c r="H183" s="25"/>
      <c r="I183" s="25"/>
      <c r="J183" s="25"/>
      <c r="K183" s="25"/>
      <c r="L183" s="25"/>
      <c r="M183" s="25"/>
      <c r="N183" s="25"/>
      <c r="O183" s="25"/>
      <c r="P183" s="25"/>
      <c r="Q183" s="25"/>
      <c r="R183" s="25"/>
      <c r="S183" s="25"/>
      <c r="T183" s="25"/>
      <c r="U183" s="25"/>
      <c r="V183" s="25"/>
      <c r="W183" s="25"/>
      <c r="X183" s="25"/>
      <c r="Y183" s="25"/>
      <c r="Z183" s="27"/>
      <c r="AA183" s="27"/>
      <c r="AB183" s="27"/>
      <c r="AC183" s="27"/>
      <c r="AD183" s="27"/>
      <c r="AE183" s="27"/>
      <c r="AF183" s="27"/>
      <c r="AG183" s="27"/>
    </row>
    <row r="184" spans="3:33" x14ac:dyDescent="0.2">
      <c r="C184" s="25"/>
      <c r="D184" s="25"/>
      <c r="E184" s="25"/>
      <c r="F184" s="25"/>
      <c r="G184" s="25"/>
      <c r="H184" s="25"/>
      <c r="I184" s="25"/>
      <c r="J184" s="25"/>
      <c r="K184" s="25"/>
      <c r="L184" s="25"/>
      <c r="M184" s="25"/>
      <c r="N184" s="25"/>
      <c r="O184" s="25"/>
      <c r="P184" s="25"/>
      <c r="Q184" s="25"/>
      <c r="R184" s="25"/>
      <c r="S184" s="25"/>
      <c r="T184" s="25"/>
      <c r="U184" s="25"/>
      <c r="V184" s="25"/>
      <c r="W184" s="25"/>
      <c r="X184" s="25"/>
      <c r="Y184" s="25"/>
      <c r="Z184" s="27"/>
      <c r="AA184" s="27"/>
      <c r="AB184" s="27"/>
      <c r="AC184" s="27"/>
      <c r="AD184" s="27"/>
      <c r="AE184" s="27"/>
      <c r="AF184" s="27"/>
      <c r="AG184" s="27"/>
    </row>
    <row r="185" spans="3:33" x14ac:dyDescent="0.2">
      <c r="C185" s="25"/>
      <c r="D185" s="25"/>
      <c r="E185" s="25"/>
      <c r="F185" s="25"/>
      <c r="G185" s="25"/>
      <c r="H185" s="25"/>
      <c r="I185" s="25"/>
      <c r="J185" s="25"/>
      <c r="K185" s="25"/>
      <c r="L185" s="25"/>
      <c r="M185" s="25"/>
      <c r="N185" s="25"/>
      <c r="O185" s="25"/>
      <c r="P185" s="25"/>
      <c r="Q185" s="25"/>
      <c r="R185" s="25"/>
      <c r="S185" s="25"/>
      <c r="T185" s="25"/>
      <c r="U185" s="25"/>
      <c r="V185" s="25"/>
      <c r="W185" s="25"/>
      <c r="X185" s="25"/>
      <c r="Y185" s="25"/>
      <c r="Z185" s="27"/>
      <c r="AA185" s="27"/>
      <c r="AB185" s="27"/>
      <c r="AC185" s="27"/>
      <c r="AD185" s="27"/>
      <c r="AE185" s="27"/>
      <c r="AF185" s="27"/>
      <c r="AG185" s="27"/>
    </row>
    <row r="186" spans="3:33" x14ac:dyDescent="0.2">
      <c r="C186" s="25"/>
      <c r="D186" s="25"/>
      <c r="E186" s="25"/>
      <c r="F186" s="25"/>
      <c r="G186" s="25"/>
      <c r="H186" s="25"/>
      <c r="I186" s="25"/>
      <c r="J186" s="25"/>
      <c r="K186" s="25"/>
      <c r="L186" s="25"/>
      <c r="M186" s="25"/>
      <c r="N186" s="25"/>
      <c r="O186" s="25"/>
      <c r="P186" s="25"/>
      <c r="Q186" s="25"/>
      <c r="R186" s="25"/>
      <c r="S186" s="25"/>
      <c r="T186" s="25"/>
      <c r="U186" s="25"/>
      <c r="V186" s="25"/>
      <c r="W186" s="25"/>
      <c r="X186" s="25"/>
      <c r="Y186" s="25"/>
      <c r="Z186" s="27"/>
      <c r="AA186" s="27"/>
      <c r="AB186" s="27"/>
      <c r="AC186" s="27"/>
      <c r="AD186" s="27"/>
      <c r="AE186" s="27"/>
      <c r="AF186" s="27"/>
      <c r="AG186" s="27"/>
    </row>
    <row r="187" spans="3:33" x14ac:dyDescent="0.2">
      <c r="C187" s="25"/>
      <c r="D187" s="25"/>
      <c r="E187" s="25"/>
      <c r="F187" s="25"/>
      <c r="G187" s="25"/>
      <c r="H187" s="25"/>
      <c r="I187" s="25"/>
      <c r="J187" s="25"/>
      <c r="K187" s="25"/>
      <c r="L187" s="25"/>
      <c r="M187" s="25"/>
      <c r="N187" s="25"/>
      <c r="O187" s="25"/>
      <c r="P187" s="25"/>
      <c r="Q187" s="25"/>
      <c r="R187" s="25"/>
      <c r="S187" s="25"/>
      <c r="T187" s="25"/>
      <c r="U187" s="25"/>
      <c r="V187" s="25"/>
      <c r="W187" s="25"/>
      <c r="X187" s="25"/>
      <c r="Y187" s="25"/>
      <c r="Z187" s="27"/>
      <c r="AA187" s="27"/>
      <c r="AB187" s="27"/>
      <c r="AC187" s="27"/>
      <c r="AD187" s="27"/>
      <c r="AE187" s="27"/>
      <c r="AF187" s="27"/>
      <c r="AG187" s="27"/>
    </row>
    <row r="188" spans="3:33" x14ac:dyDescent="0.2">
      <c r="C188" s="25"/>
      <c r="D188" s="25"/>
      <c r="E188" s="25"/>
      <c r="F188" s="25"/>
      <c r="G188" s="25"/>
      <c r="H188" s="25"/>
      <c r="I188" s="25"/>
      <c r="J188" s="25"/>
      <c r="K188" s="25"/>
      <c r="L188" s="25"/>
      <c r="M188" s="25"/>
      <c r="N188" s="25"/>
      <c r="O188" s="25"/>
      <c r="P188" s="25"/>
      <c r="Q188" s="25"/>
      <c r="R188" s="25"/>
      <c r="S188" s="25"/>
      <c r="T188" s="25"/>
      <c r="U188" s="25"/>
      <c r="V188" s="25"/>
      <c r="W188" s="25"/>
      <c r="X188" s="25"/>
      <c r="Y188" s="25"/>
      <c r="Z188" s="27"/>
      <c r="AA188" s="27"/>
      <c r="AB188" s="27"/>
      <c r="AC188" s="27"/>
      <c r="AD188" s="27"/>
      <c r="AE188" s="27"/>
      <c r="AF188" s="27"/>
      <c r="AG188" s="27"/>
    </row>
    <row r="189" spans="3:33" x14ac:dyDescent="0.2">
      <c r="C189" s="25"/>
      <c r="D189" s="25"/>
      <c r="E189" s="25"/>
      <c r="F189" s="25"/>
      <c r="G189" s="25"/>
      <c r="H189" s="25"/>
      <c r="I189" s="25"/>
      <c r="J189" s="25"/>
      <c r="K189" s="25"/>
      <c r="L189" s="25"/>
      <c r="M189" s="25"/>
      <c r="N189" s="25"/>
      <c r="O189" s="25"/>
      <c r="P189" s="25"/>
      <c r="Q189" s="25"/>
      <c r="R189" s="25"/>
      <c r="S189" s="25"/>
      <c r="T189" s="25"/>
      <c r="U189" s="25"/>
      <c r="V189" s="25"/>
      <c r="W189" s="25"/>
      <c r="X189" s="25"/>
      <c r="Y189" s="25"/>
      <c r="Z189" s="27"/>
      <c r="AA189" s="27"/>
      <c r="AB189" s="27"/>
      <c r="AC189" s="27"/>
      <c r="AD189" s="27"/>
      <c r="AE189" s="27"/>
      <c r="AF189" s="27"/>
      <c r="AG189" s="27"/>
    </row>
    <row r="190" spans="3:33" x14ac:dyDescent="0.2">
      <c r="C190" s="25"/>
      <c r="D190" s="25"/>
      <c r="E190" s="25"/>
      <c r="F190" s="25"/>
      <c r="G190" s="25"/>
      <c r="H190" s="25"/>
      <c r="I190" s="25"/>
      <c r="J190" s="25"/>
      <c r="K190" s="25"/>
      <c r="L190" s="25"/>
      <c r="M190" s="25"/>
      <c r="N190" s="25"/>
      <c r="O190" s="25"/>
      <c r="P190" s="25"/>
      <c r="Q190" s="25"/>
      <c r="R190" s="25"/>
      <c r="S190" s="25"/>
      <c r="T190" s="25"/>
      <c r="U190" s="25"/>
      <c r="V190" s="25"/>
      <c r="W190" s="25"/>
      <c r="X190" s="25"/>
      <c r="Y190" s="25"/>
      <c r="Z190" s="27"/>
      <c r="AA190" s="27"/>
      <c r="AB190" s="27"/>
      <c r="AC190" s="27"/>
      <c r="AD190" s="27"/>
      <c r="AE190" s="27"/>
      <c r="AF190" s="27"/>
      <c r="AG190" s="27"/>
    </row>
    <row r="191" spans="3:33" x14ac:dyDescent="0.2">
      <c r="C191" s="25"/>
      <c r="D191" s="25"/>
      <c r="E191" s="25"/>
      <c r="F191" s="25"/>
      <c r="G191" s="25"/>
      <c r="H191" s="25"/>
      <c r="I191" s="25"/>
      <c r="J191" s="25"/>
      <c r="K191" s="25"/>
      <c r="L191" s="25"/>
      <c r="M191" s="25"/>
      <c r="N191" s="25"/>
      <c r="O191" s="25"/>
      <c r="P191" s="25"/>
      <c r="Q191" s="25"/>
      <c r="R191" s="25"/>
      <c r="S191" s="25"/>
      <c r="T191" s="25"/>
      <c r="U191" s="25"/>
      <c r="V191" s="25"/>
      <c r="W191" s="25"/>
      <c r="X191" s="25"/>
      <c r="Y191" s="25"/>
      <c r="Z191" s="27"/>
      <c r="AA191" s="27"/>
      <c r="AB191" s="27"/>
      <c r="AC191" s="27"/>
      <c r="AD191" s="27"/>
      <c r="AE191" s="27"/>
      <c r="AF191" s="27"/>
      <c r="AG191" s="27"/>
    </row>
    <row r="192" spans="3:33" x14ac:dyDescent="0.2">
      <c r="C192" s="25"/>
      <c r="D192" s="25"/>
      <c r="E192" s="25"/>
      <c r="F192" s="25"/>
      <c r="G192" s="25"/>
      <c r="H192" s="25"/>
      <c r="I192" s="25"/>
      <c r="J192" s="25"/>
      <c r="K192" s="25"/>
      <c r="L192" s="25"/>
      <c r="M192" s="25"/>
      <c r="N192" s="25"/>
      <c r="O192" s="25"/>
      <c r="P192" s="25"/>
      <c r="Q192" s="25"/>
      <c r="R192" s="25"/>
      <c r="S192" s="25"/>
      <c r="T192" s="25"/>
      <c r="U192" s="25"/>
      <c r="V192" s="25"/>
      <c r="W192" s="25"/>
      <c r="X192" s="25"/>
      <c r="Y192" s="25"/>
      <c r="Z192" s="27"/>
      <c r="AA192" s="27"/>
      <c r="AB192" s="27"/>
      <c r="AC192" s="27"/>
      <c r="AD192" s="27"/>
      <c r="AE192" s="27"/>
      <c r="AF192" s="27"/>
      <c r="AG192" s="27"/>
    </row>
    <row r="193" spans="3:33" x14ac:dyDescent="0.2">
      <c r="C193" s="25"/>
      <c r="D193" s="25"/>
      <c r="E193" s="25"/>
      <c r="F193" s="25"/>
      <c r="G193" s="25"/>
      <c r="H193" s="25"/>
      <c r="I193" s="25"/>
      <c r="J193" s="25"/>
      <c r="K193" s="25"/>
      <c r="L193" s="25"/>
      <c r="M193" s="25"/>
      <c r="N193" s="25"/>
      <c r="O193" s="25"/>
      <c r="P193" s="25"/>
      <c r="Q193" s="25"/>
      <c r="R193" s="25"/>
      <c r="S193" s="25"/>
      <c r="T193" s="25"/>
      <c r="U193" s="25"/>
      <c r="V193" s="25"/>
      <c r="W193" s="25"/>
      <c r="X193" s="25"/>
      <c r="Y193" s="25"/>
      <c r="Z193" s="27"/>
      <c r="AA193" s="27"/>
      <c r="AB193" s="27"/>
      <c r="AC193" s="27"/>
      <c r="AD193" s="27"/>
      <c r="AE193" s="27"/>
      <c r="AF193" s="27"/>
      <c r="AG193" s="27"/>
    </row>
    <row r="194" spans="3:33" x14ac:dyDescent="0.2">
      <c r="C194" s="25"/>
      <c r="D194" s="25"/>
      <c r="E194" s="25"/>
      <c r="F194" s="25"/>
      <c r="G194" s="25"/>
      <c r="H194" s="25"/>
      <c r="I194" s="25"/>
      <c r="J194" s="25"/>
      <c r="K194" s="25"/>
      <c r="L194" s="25"/>
      <c r="M194" s="25"/>
      <c r="N194" s="25"/>
      <c r="O194" s="25"/>
      <c r="P194" s="25"/>
      <c r="Q194" s="25"/>
      <c r="R194" s="25"/>
      <c r="S194" s="25"/>
      <c r="T194" s="25"/>
      <c r="U194" s="25"/>
      <c r="V194" s="25"/>
      <c r="W194" s="25"/>
      <c r="X194" s="25"/>
      <c r="Y194" s="25"/>
      <c r="Z194" s="27"/>
      <c r="AA194" s="27"/>
      <c r="AB194" s="27"/>
      <c r="AC194" s="27"/>
      <c r="AD194" s="27"/>
      <c r="AE194" s="27"/>
      <c r="AF194" s="27"/>
      <c r="AG194" s="27"/>
    </row>
    <row r="195" spans="3:33" x14ac:dyDescent="0.2">
      <c r="C195" s="25"/>
      <c r="D195" s="25"/>
      <c r="E195" s="25"/>
      <c r="F195" s="25"/>
      <c r="G195" s="25"/>
      <c r="H195" s="25"/>
      <c r="I195" s="25"/>
      <c r="J195" s="25"/>
      <c r="K195" s="25"/>
      <c r="L195" s="25"/>
      <c r="M195" s="25"/>
      <c r="N195" s="25"/>
      <c r="O195" s="25"/>
      <c r="P195" s="25"/>
      <c r="Q195" s="25"/>
      <c r="R195" s="25"/>
      <c r="S195" s="25"/>
      <c r="T195" s="25"/>
      <c r="U195" s="25"/>
      <c r="V195" s="25"/>
      <c r="W195" s="25"/>
      <c r="X195" s="25"/>
      <c r="Y195" s="25"/>
      <c r="Z195" s="27"/>
      <c r="AA195" s="27"/>
      <c r="AB195" s="27"/>
      <c r="AC195" s="27"/>
      <c r="AD195" s="27"/>
      <c r="AE195" s="27"/>
      <c r="AF195" s="27"/>
      <c r="AG195" s="27"/>
    </row>
    <row r="196" spans="3:33" x14ac:dyDescent="0.2">
      <c r="C196" s="25"/>
      <c r="D196" s="25"/>
      <c r="E196" s="25"/>
      <c r="F196" s="25"/>
      <c r="G196" s="25"/>
      <c r="H196" s="25"/>
      <c r="I196" s="25"/>
      <c r="J196" s="25"/>
      <c r="K196" s="25"/>
      <c r="L196" s="25"/>
      <c r="M196" s="25"/>
      <c r="N196" s="25"/>
      <c r="O196" s="25"/>
      <c r="P196" s="25"/>
      <c r="Q196" s="25"/>
      <c r="R196" s="25"/>
      <c r="S196" s="25"/>
      <c r="T196" s="25"/>
      <c r="U196" s="25"/>
      <c r="V196" s="25"/>
      <c r="W196" s="25"/>
      <c r="X196" s="25"/>
      <c r="Y196" s="25"/>
      <c r="Z196" s="27"/>
      <c r="AA196" s="27"/>
      <c r="AB196" s="27"/>
      <c r="AC196" s="27"/>
      <c r="AD196" s="27"/>
      <c r="AE196" s="27"/>
      <c r="AF196" s="27"/>
      <c r="AG196" s="27"/>
    </row>
    <row r="197" spans="3:33" x14ac:dyDescent="0.2">
      <c r="C197" s="25"/>
      <c r="D197" s="25"/>
      <c r="E197" s="25"/>
      <c r="F197" s="25"/>
      <c r="G197" s="25"/>
      <c r="H197" s="25"/>
      <c r="I197" s="25"/>
      <c r="J197" s="25"/>
      <c r="K197" s="25"/>
      <c r="L197" s="25"/>
      <c r="M197" s="25"/>
      <c r="N197" s="25"/>
      <c r="O197" s="25"/>
      <c r="P197" s="25"/>
      <c r="Q197" s="25"/>
      <c r="R197" s="25"/>
      <c r="S197" s="25"/>
      <c r="T197" s="25"/>
      <c r="U197" s="25"/>
      <c r="V197" s="25"/>
      <c r="W197" s="25"/>
      <c r="X197" s="25"/>
      <c r="Y197" s="25"/>
      <c r="Z197" s="27"/>
      <c r="AA197" s="27"/>
      <c r="AB197" s="27"/>
      <c r="AC197" s="27"/>
      <c r="AD197" s="27"/>
      <c r="AE197" s="27"/>
      <c r="AF197" s="27"/>
      <c r="AG197" s="27"/>
    </row>
    <row r="198" spans="3:33" x14ac:dyDescent="0.2">
      <c r="C198" s="25"/>
      <c r="D198" s="25"/>
      <c r="E198" s="25"/>
      <c r="F198" s="25"/>
      <c r="G198" s="25"/>
      <c r="H198" s="25"/>
      <c r="I198" s="25"/>
      <c r="J198" s="25"/>
      <c r="K198" s="25"/>
      <c r="L198" s="25"/>
      <c r="M198" s="25"/>
      <c r="N198" s="25"/>
      <c r="O198" s="25"/>
      <c r="P198" s="25"/>
      <c r="Q198" s="25"/>
      <c r="R198" s="25"/>
      <c r="S198" s="25"/>
      <c r="T198" s="25"/>
      <c r="U198" s="25"/>
      <c r="V198" s="25"/>
      <c r="W198" s="25"/>
      <c r="X198" s="25"/>
      <c r="Y198" s="25"/>
      <c r="Z198" s="27"/>
      <c r="AA198" s="27"/>
      <c r="AB198" s="27"/>
      <c r="AC198" s="27"/>
      <c r="AD198" s="27"/>
      <c r="AE198" s="27"/>
      <c r="AF198" s="27"/>
      <c r="AG198" s="27"/>
    </row>
    <row r="199" spans="3:33" x14ac:dyDescent="0.2">
      <c r="C199" s="25"/>
      <c r="D199" s="25"/>
      <c r="E199" s="25"/>
      <c r="F199" s="25"/>
      <c r="G199" s="25"/>
      <c r="H199" s="25"/>
      <c r="I199" s="25"/>
      <c r="J199" s="25"/>
      <c r="K199" s="25"/>
      <c r="L199" s="25"/>
      <c r="M199" s="25"/>
      <c r="N199" s="25"/>
      <c r="O199" s="25"/>
      <c r="P199" s="25"/>
      <c r="Q199" s="25"/>
      <c r="R199" s="25"/>
      <c r="S199" s="25"/>
      <c r="T199" s="25"/>
      <c r="U199" s="25"/>
      <c r="V199" s="25"/>
      <c r="W199" s="25"/>
      <c r="X199" s="25"/>
      <c r="Y199" s="25"/>
      <c r="Z199" s="27"/>
      <c r="AA199" s="27"/>
      <c r="AB199" s="27"/>
      <c r="AC199" s="27"/>
      <c r="AD199" s="27"/>
      <c r="AE199" s="27"/>
      <c r="AF199" s="27"/>
      <c r="AG199" s="27"/>
    </row>
    <row r="200" spans="3:33" x14ac:dyDescent="0.2">
      <c r="C200" s="25"/>
      <c r="D200" s="25"/>
      <c r="E200" s="25"/>
      <c r="F200" s="25"/>
      <c r="G200" s="25"/>
      <c r="H200" s="25"/>
      <c r="I200" s="25"/>
      <c r="J200" s="25"/>
      <c r="K200" s="25"/>
      <c r="L200" s="25"/>
      <c r="M200" s="25"/>
      <c r="N200" s="25"/>
      <c r="O200" s="25"/>
      <c r="P200" s="25"/>
      <c r="Q200" s="25"/>
      <c r="R200" s="25"/>
      <c r="S200" s="25"/>
      <c r="T200" s="25"/>
      <c r="U200" s="25"/>
      <c r="V200" s="25"/>
      <c r="W200" s="25"/>
      <c r="X200" s="25"/>
      <c r="Y200" s="25"/>
      <c r="Z200" s="27"/>
      <c r="AA200" s="27"/>
      <c r="AB200" s="27"/>
      <c r="AC200" s="27"/>
      <c r="AD200" s="27"/>
      <c r="AE200" s="27"/>
      <c r="AF200" s="27"/>
      <c r="AG200" s="27"/>
    </row>
    <row r="201" spans="3:33" x14ac:dyDescent="0.2">
      <c r="C201" s="25"/>
      <c r="D201" s="25"/>
      <c r="E201" s="25"/>
      <c r="F201" s="25"/>
      <c r="G201" s="25"/>
      <c r="H201" s="25"/>
      <c r="I201" s="25"/>
      <c r="J201" s="25"/>
      <c r="K201" s="25"/>
      <c r="L201" s="25"/>
      <c r="M201" s="25"/>
      <c r="N201" s="25"/>
      <c r="O201" s="25"/>
      <c r="P201" s="25"/>
      <c r="Q201" s="25"/>
      <c r="R201" s="25"/>
      <c r="S201" s="25"/>
      <c r="T201" s="25"/>
      <c r="U201" s="25"/>
      <c r="V201" s="25"/>
      <c r="W201" s="25"/>
      <c r="X201" s="25"/>
      <c r="Y201" s="25"/>
      <c r="Z201" s="27"/>
      <c r="AA201" s="27"/>
      <c r="AB201" s="27"/>
      <c r="AC201" s="27"/>
      <c r="AD201" s="27"/>
      <c r="AE201" s="27"/>
      <c r="AF201" s="27"/>
      <c r="AG201" s="27"/>
    </row>
    <row r="202" spans="3:33" x14ac:dyDescent="0.2">
      <c r="C202" s="25"/>
      <c r="D202" s="25"/>
      <c r="E202" s="25"/>
      <c r="F202" s="25"/>
      <c r="G202" s="25"/>
      <c r="H202" s="25"/>
      <c r="I202" s="25"/>
      <c r="J202" s="25"/>
      <c r="K202" s="25"/>
      <c r="L202" s="25"/>
      <c r="M202" s="25"/>
      <c r="N202" s="25"/>
      <c r="O202" s="25"/>
      <c r="P202" s="25"/>
      <c r="Q202" s="25"/>
      <c r="R202" s="25"/>
      <c r="S202" s="25"/>
      <c r="T202" s="25"/>
      <c r="U202" s="25"/>
      <c r="V202" s="25"/>
      <c r="W202" s="25"/>
      <c r="X202" s="25"/>
      <c r="Y202" s="25"/>
      <c r="Z202" s="27"/>
      <c r="AA202" s="27"/>
      <c r="AB202" s="27"/>
      <c r="AC202" s="27"/>
      <c r="AD202" s="27"/>
      <c r="AE202" s="27"/>
      <c r="AF202" s="27"/>
      <c r="AG202" s="27"/>
    </row>
    <row r="203" spans="3:33" x14ac:dyDescent="0.2">
      <c r="C203" s="25"/>
      <c r="D203" s="25"/>
      <c r="E203" s="25"/>
      <c r="F203" s="25"/>
      <c r="G203" s="25"/>
      <c r="H203" s="25"/>
      <c r="I203" s="25"/>
      <c r="J203" s="25"/>
      <c r="K203" s="25"/>
      <c r="L203" s="25"/>
      <c r="M203" s="25"/>
      <c r="N203" s="25"/>
      <c r="O203" s="25"/>
      <c r="P203" s="25"/>
      <c r="Q203" s="25"/>
      <c r="R203" s="25"/>
      <c r="S203" s="25"/>
      <c r="T203" s="25"/>
      <c r="U203" s="25"/>
      <c r="V203" s="25"/>
      <c r="W203" s="25"/>
      <c r="X203" s="25"/>
      <c r="Y203" s="25"/>
      <c r="Z203" s="27"/>
      <c r="AA203" s="27"/>
      <c r="AB203" s="27"/>
      <c r="AC203" s="27"/>
      <c r="AD203" s="27"/>
      <c r="AE203" s="27"/>
      <c r="AF203" s="27"/>
      <c r="AG203" s="27"/>
    </row>
    <row r="204" spans="3:33" x14ac:dyDescent="0.2">
      <c r="C204" s="25"/>
      <c r="D204" s="25"/>
      <c r="E204" s="25"/>
      <c r="F204" s="25"/>
      <c r="G204" s="25"/>
      <c r="H204" s="25"/>
      <c r="I204" s="25"/>
      <c r="J204" s="25"/>
      <c r="K204" s="25"/>
      <c r="L204" s="25"/>
      <c r="M204" s="25"/>
      <c r="N204" s="25"/>
      <c r="O204" s="25"/>
      <c r="P204" s="25"/>
      <c r="Q204" s="25"/>
      <c r="R204" s="25"/>
      <c r="S204" s="25"/>
      <c r="T204" s="25"/>
      <c r="U204" s="25"/>
      <c r="V204" s="25"/>
      <c r="W204" s="25"/>
      <c r="X204" s="25"/>
      <c r="Y204" s="25"/>
      <c r="Z204" s="27"/>
      <c r="AA204" s="27"/>
      <c r="AB204" s="27"/>
      <c r="AC204" s="27"/>
      <c r="AD204" s="27"/>
      <c r="AE204" s="27"/>
      <c r="AF204" s="27"/>
      <c r="AG204" s="27"/>
    </row>
    <row r="205" spans="3:33" x14ac:dyDescent="0.2">
      <c r="C205" s="25"/>
      <c r="D205" s="25"/>
      <c r="E205" s="25"/>
      <c r="F205" s="25"/>
      <c r="G205" s="25"/>
      <c r="H205" s="25"/>
      <c r="I205" s="25"/>
      <c r="J205" s="25"/>
      <c r="K205" s="25"/>
      <c r="L205" s="25"/>
      <c r="M205" s="25"/>
      <c r="N205" s="25"/>
      <c r="O205" s="25"/>
      <c r="P205" s="25"/>
      <c r="Q205" s="25"/>
      <c r="R205" s="25"/>
      <c r="S205" s="25"/>
      <c r="T205" s="25"/>
      <c r="U205" s="25"/>
      <c r="V205" s="25"/>
      <c r="W205" s="25"/>
      <c r="X205" s="25"/>
      <c r="Y205" s="25"/>
      <c r="Z205" s="27"/>
      <c r="AA205" s="27"/>
      <c r="AB205" s="27"/>
      <c r="AC205" s="27"/>
      <c r="AD205" s="27"/>
      <c r="AE205" s="27"/>
      <c r="AF205" s="27"/>
      <c r="AG205" s="27"/>
    </row>
    <row r="206" spans="3:33" x14ac:dyDescent="0.2">
      <c r="C206" s="25"/>
      <c r="D206" s="25"/>
      <c r="E206" s="25"/>
      <c r="F206" s="25"/>
      <c r="G206" s="25"/>
      <c r="H206" s="25"/>
      <c r="I206" s="25"/>
      <c r="J206" s="25"/>
      <c r="K206" s="25"/>
      <c r="L206" s="25"/>
      <c r="M206" s="25"/>
      <c r="N206" s="25"/>
      <c r="O206" s="25"/>
      <c r="P206" s="25"/>
      <c r="Q206" s="25"/>
      <c r="R206" s="25"/>
      <c r="S206" s="25"/>
      <c r="T206" s="25"/>
      <c r="U206" s="25"/>
      <c r="V206" s="25"/>
      <c r="W206" s="25"/>
      <c r="X206" s="25"/>
      <c r="Y206" s="25"/>
      <c r="Z206" s="27"/>
      <c r="AA206" s="27"/>
      <c r="AB206" s="27"/>
      <c r="AC206" s="27"/>
      <c r="AD206" s="27"/>
      <c r="AE206" s="27"/>
      <c r="AF206" s="27"/>
      <c r="AG206" s="27"/>
    </row>
    <row r="207" spans="3:33" x14ac:dyDescent="0.2">
      <c r="C207" s="25"/>
      <c r="D207" s="25"/>
      <c r="E207" s="25"/>
      <c r="F207" s="25"/>
      <c r="G207" s="25"/>
      <c r="H207" s="25"/>
      <c r="I207" s="25"/>
      <c r="J207" s="25"/>
      <c r="K207" s="25"/>
      <c r="L207" s="25"/>
      <c r="M207" s="25"/>
      <c r="N207" s="25"/>
      <c r="O207" s="25"/>
      <c r="P207" s="25"/>
      <c r="Q207" s="25"/>
      <c r="R207" s="25"/>
      <c r="S207" s="25"/>
      <c r="T207" s="25"/>
      <c r="U207" s="25"/>
      <c r="V207" s="25"/>
      <c r="W207" s="25"/>
      <c r="X207" s="25"/>
      <c r="Y207" s="25"/>
      <c r="Z207" s="27"/>
      <c r="AA207" s="27"/>
      <c r="AB207" s="27"/>
      <c r="AC207" s="27"/>
      <c r="AD207" s="27"/>
      <c r="AE207" s="27"/>
      <c r="AF207" s="27"/>
      <c r="AG207" s="27"/>
    </row>
    <row r="208" spans="3:33" x14ac:dyDescent="0.2">
      <c r="C208" s="25"/>
      <c r="D208" s="25"/>
      <c r="E208" s="25"/>
      <c r="F208" s="25"/>
      <c r="G208" s="25"/>
      <c r="H208" s="25"/>
      <c r="I208" s="25"/>
      <c r="J208" s="25"/>
      <c r="K208" s="25"/>
      <c r="L208" s="25"/>
      <c r="M208" s="25"/>
      <c r="N208" s="25"/>
      <c r="O208" s="25"/>
      <c r="P208" s="25"/>
      <c r="Q208" s="25"/>
      <c r="R208" s="25"/>
      <c r="S208" s="25"/>
      <c r="T208" s="25"/>
      <c r="U208" s="25"/>
      <c r="V208" s="25"/>
      <c r="W208" s="25"/>
      <c r="X208" s="25"/>
      <c r="Y208" s="25"/>
      <c r="Z208" s="27"/>
      <c r="AA208" s="27"/>
      <c r="AB208" s="27"/>
      <c r="AC208" s="27"/>
      <c r="AD208" s="27"/>
      <c r="AE208" s="27"/>
      <c r="AF208" s="27"/>
      <c r="AG208" s="27"/>
    </row>
    <row r="209" spans="3:33" x14ac:dyDescent="0.2">
      <c r="C209" s="25"/>
      <c r="D209" s="25"/>
      <c r="E209" s="25"/>
      <c r="F209" s="25"/>
      <c r="G209" s="25"/>
      <c r="H209" s="25"/>
      <c r="I209" s="25"/>
      <c r="J209" s="25"/>
      <c r="K209" s="25"/>
      <c r="L209" s="25"/>
      <c r="M209" s="25"/>
      <c r="N209" s="25"/>
      <c r="O209" s="25"/>
      <c r="P209" s="25"/>
      <c r="Q209" s="25"/>
      <c r="R209" s="25"/>
      <c r="S209" s="25"/>
      <c r="T209" s="25"/>
      <c r="U209" s="25"/>
      <c r="V209" s="25"/>
      <c r="W209" s="25"/>
      <c r="X209" s="25"/>
      <c r="Y209" s="25"/>
      <c r="Z209" s="27"/>
      <c r="AA209" s="27"/>
      <c r="AB209" s="27"/>
      <c r="AC209" s="27"/>
      <c r="AD209" s="27"/>
      <c r="AE209" s="27"/>
      <c r="AF209" s="27"/>
      <c r="AG209" s="27"/>
    </row>
    <row r="210" spans="3:33" x14ac:dyDescent="0.2">
      <c r="C210" s="25"/>
      <c r="D210" s="25"/>
      <c r="E210" s="25"/>
      <c r="F210" s="25"/>
      <c r="G210" s="25"/>
      <c r="H210" s="25"/>
      <c r="I210" s="25"/>
      <c r="J210" s="25"/>
      <c r="K210" s="25"/>
      <c r="L210" s="25"/>
      <c r="M210" s="25"/>
      <c r="N210" s="25"/>
      <c r="O210" s="25"/>
      <c r="P210" s="25"/>
      <c r="Q210" s="25"/>
      <c r="R210" s="25"/>
      <c r="S210" s="25"/>
      <c r="T210" s="25"/>
      <c r="U210" s="25"/>
      <c r="V210" s="25"/>
      <c r="W210" s="25"/>
      <c r="X210" s="25"/>
      <c r="Y210" s="25"/>
      <c r="Z210" s="27"/>
      <c r="AA210" s="27"/>
      <c r="AB210" s="27"/>
      <c r="AC210" s="27"/>
      <c r="AD210" s="27"/>
      <c r="AE210" s="27"/>
      <c r="AF210" s="27"/>
      <c r="AG210" s="27"/>
    </row>
  </sheetData>
  <hyperlinks>
    <hyperlink ref="A1" location="Main!A1" display="Main" xr:uid="{86F6F4C9-DEF9-4305-9566-806DF504542B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Main</vt:lpstr>
      <vt:lpstr>Model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Oscar Settje</dc:creator>
  <cp:lastModifiedBy>Oscar Settje</cp:lastModifiedBy>
  <dcterms:created xsi:type="dcterms:W3CDTF">2024-06-23T13:37:16Z</dcterms:created>
  <dcterms:modified xsi:type="dcterms:W3CDTF">2025-11-29T09:49:35Z</dcterms:modified>
</cp:coreProperties>
</file>